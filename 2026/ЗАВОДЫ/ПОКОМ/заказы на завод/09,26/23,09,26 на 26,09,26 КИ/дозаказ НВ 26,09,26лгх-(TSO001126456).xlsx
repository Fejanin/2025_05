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2332" windowHeight="8988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62913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Y499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P477" i="2"/>
  <c r="X473" i="2"/>
  <c r="X472" i="2"/>
  <c r="BO471" i="2"/>
  <c r="BM471" i="2"/>
  <c r="Y471" i="2"/>
  <c r="BN471" i="2" s="1"/>
  <c r="P471" i="2"/>
  <c r="BO470" i="2"/>
  <c r="BN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BN461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X452" i="2"/>
  <c r="X451" i="2"/>
  <c r="BO450" i="2"/>
  <c r="BM450" i="2"/>
  <c r="Y450" i="2"/>
  <c r="BP450" i="2" s="1"/>
  <c r="P450" i="2"/>
  <c r="BP449" i="2"/>
  <c r="BO449" i="2"/>
  <c r="BN449" i="2"/>
  <c r="BM449" i="2"/>
  <c r="Z449" i="2"/>
  <c r="Y449" i="2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X427" i="2"/>
  <c r="X426" i="2"/>
  <c r="BO425" i="2"/>
  <c r="BM425" i="2"/>
  <c r="Y425" i="2"/>
  <c r="BN425" i="2" s="1"/>
  <c r="P425" i="2"/>
  <c r="BO424" i="2"/>
  <c r="BN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BN417" i="2" s="1"/>
  <c r="P417" i="2"/>
  <c r="X414" i="2"/>
  <c r="X413" i="2"/>
  <c r="BO412" i="2"/>
  <c r="BN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P405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N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O384" i="2"/>
  <c r="BM384" i="2"/>
  <c r="Y384" i="2"/>
  <c r="BN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X372" i="2"/>
  <c r="X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P357" i="2"/>
  <c r="BO357" i="2"/>
  <c r="BM357" i="2"/>
  <c r="Y357" i="2"/>
  <c r="P357" i="2"/>
  <c r="X354" i="2"/>
  <c r="X353" i="2"/>
  <c r="BO352" i="2"/>
  <c r="BM352" i="2"/>
  <c r="Y352" i="2"/>
  <c r="P352" i="2"/>
  <c r="BO351" i="2"/>
  <c r="BM351" i="2"/>
  <c r="Y351" i="2"/>
  <c r="P351" i="2"/>
  <c r="X349" i="2"/>
  <c r="X348" i="2"/>
  <c r="BO347" i="2"/>
  <c r="BM347" i="2"/>
  <c r="Y347" i="2"/>
  <c r="BN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P337" i="2"/>
  <c r="BO337" i="2"/>
  <c r="BM337" i="2"/>
  <c r="Z337" i="2"/>
  <c r="Y337" i="2"/>
  <c r="BN337" i="2" s="1"/>
  <c r="P337" i="2"/>
  <c r="BO336" i="2"/>
  <c r="BM336" i="2"/>
  <c r="Y336" i="2"/>
  <c r="P336" i="2"/>
  <c r="X333" i="2"/>
  <c r="X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M321" i="2"/>
  <c r="Y321" i="2"/>
  <c r="Y322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N304" i="2" s="1"/>
  <c r="P304" i="2"/>
  <c r="BO303" i="2"/>
  <c r="BM303" i="2"/>
  <c r="Y303" i="2"/>
  <c r="P303" i="2"/>
  <c r="X300" i="2"/>
  <c r="X299" i="2"/>
  <c r="BP298" i="2"/>
  <c r="BO298" i="2"/>
  <c r="BM298" i="2"/>
  <c r="Y298" i="2"/>
  <c r="BN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P293" i="2"/>
  <c r="BO292" i="2"/>
  <c r="BM292" i="2"/>
  <c r="Y292" i="2"/>
  <c r="BP292" i="2" s="1"/>
  <c r="P292" i="2"/>
  <c r="BO291" i="2"/>
  <c r="BN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X269" i="2"/>
  <c r="X268" i="2"/>
  <c r="BO267" i="2"/>
  <c r="BM267" i="2"/>
  <c r="Y267" i="2"/>
  <c r="BN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N261" i="2" s="1"/>
  <c r="P261" i="2"/>
  <c r="X258" i="2"/>
  <c r="X257" i="2"/>
  <c r="BO256" i="2"/>
  <c r="BM256" i="2"/>
  <c r="Y256" i="2"/>
  <c r="Y257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N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N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N216" i="2"/>
  <c r="BM216" i="2"/>
  <c r="Y216" i="2"/>
  <c r="Z216" i="2" s="1"/>
  <c r="Z217" i="2" s="1"/>
  <c r="P216" i="2"/>
  <c r="X213" i="2"/>
  <c r="X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BN206" i="2" s="1"/>
  <c r="P206" i="2"/>
  <c r="BO205" i="2"/>
  <c r="BM205" i="2"/>
  <c r="Y205" i="2"/>
  <c r="BN205" i="2" s="1"/>
  <c r="P205" i="2"/>
  <c r="X201" i="2"/>
  <c r="X200" i="2"/>
  <c r="BO199" i="2"/>
  <c r="BM199" i="2"/>
  <c r="Y199" i="2"/>
  <c r="Y201" i="2" s="1"/>
  <c r="P199" i="2"/>
  <c r="X197" i="2"/>
  <c r="X196" i="2"/>
  <c r="BO195" i="2"/>
  <c r="BM195" i="2"/>
  <c r="Y195" i="2"/>
  <c r="Y197" i="2" s="1"/>
  <c r="P195" i="2"/>
  <c r="X193" i="2"/>
  <c r="X192" i="2"/>
  <c r="BO191" i="2"/>
  <c r="BM191" i="2"/>
  <c r="Y191" i="2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P170" i="2" s="1"/>
  <c r="P170" i="2"/>
  <c r="X168" i="2"/>
  <c r="X167" i="2"/>
  <c r="BP166" i="2"/>
  <c r="BO166" i="2"/>
  <c r="BM166" i="2"/>
  <c r="Y166" i="2"/>
  <c r="BN166" i="2" s="1"/>
  <c r="P166" i="2"/>
  <c r="BO165" i="2"/>
  <c r="BM165" i="2"/>
  <c r="Y165" i="2"/>
  <c r="P165" i="2"/>
  <c r="BP164" i="2"/>
  <c r="BO164" i="2"/>
  <c r="BM164" i="2"/>
  <c r="Y164" i="2"/>
  <c r="BN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BN158" i="2" s="1"/>
  <c r="P158" i="2"/>
  <c r="X156" i="2"/>
  <c r="X155" i="2"/>
  <c r="BO154" i="2"/>
  <c r="BM154" i="2"/>
  <c r="Y154" i="2"/>
  <c r="BN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N150" i="2" s="1"/>
  <c r="P150" i="2"/>
  <c r="BP149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P139" i="2"/>
  <c r="BO139" i="2"/>
  <c r="BM139" i="2"/>
  <c r="Z139" i="2"/>
  <c r="Y139" i="2"/>
  <c r="BN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BP117" i="2" s="1"/>
  <c r="P117" i="2"/>
  <c r="BO116" i="2"/>
  <c r="BN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N96" i="2"/>
  <c r="BM96" i="2"/>
  <c r="Y96" i="2"/>
  <c r="BP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P87" i="2"/>
  <c r="X84" i="2"/>
  <c r="X83" i="2"/>
  <c r="BP82" i="2"/>
  <c r="BO82" i="2"/>
  <c r="BM82" i="2"/>
  <c r="Z82" i="2"/>
  <c r="Y82" i="2"/>
  <c r="BN82" i="2" s="1"/>
  <c r="P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N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F9" i="2" l="1"/>
  <c r="BP205" i="2"/>
  <c r="Y446" i="2"/>
  <c r="Y113" i="2"/>
  <c r="BN435" i="2"/>
  <c r="BP154" i="2"/>
  <c r="BP184" i="2"/>
  <c r="Z206" i="2"/>
  <c r="Z411" i="2"/>
  <c r="BN511" i="2"/>
  <c r="BN518" i="2"/>
  <c r="BN411" i="2"/>
  <c r="BP206" i="2"/>
  <c r="BP271" i="2"/>
  <c r="BN450" i="2"/>
  <c r="BN526" i="2"/>
  <c r="Z321" i="2"/>
  <c r="Z322" i="2" s="1"/>
  <c r="BN345" i="2"/>
  <c r="Z437" i="2"/>
  <c r="Z152" i="2"/>
  <c r="Z245" i="2"/>
  <c r="BP289" i="2"/>
  <c r="BP321" i="2"/>
  <c r="Z370" i="2"/>
  <c r="Z392" i="2"/>
  <c r="Z424" i="2"/>
  <c r="BN437" i="2"/>
  <c r="BP471" i="2"/>
  <c r="BN508" i="2"/>
  <c r="BN182" i="2"/>
  <c r="BN392" i="2"/>
  <c r="Z481" i="2"/>
  <c r="BP216" i="2"/>
  <c r="BN278" i="2"/>
  <c r="Y473" i="2"/>
  <c r="Z149" i="2"/>
  <c r="BN378" i="2"/>
  <c r="BP241" i="2"/>
  <c r="Z205" i="2"/>
  <c r="Z298" i="2"/>
  <c r="Y314" i="2"/>
  <c r="BP152" i="2"/>
  <c r="Z163" i="2"/>
  <c r="Z228" i="2"/>
  <c r="Z239" i="2"/>
  <c r="BP328" i="2"/>
  <c r="BN70" i="2"/>
  <c r="BN309" i="2"/>
  <c r="BN359" i="2"/>
  <c r="Y463" i="2"/>
  <c r="BN482" i="2"/>
  <c r="Z181" i="2"/>
  <c r="BN228" i="2"/>
  <c r="BN239" i="2"/>
  <c r="Z290" i="2"/>
  <c r="BP163" i="2"/>
  <c r="Y500" i="2"/>
  <c r="AA569" i="2"/>
  <c r="BN181" i="2"/>
  <c r="Z195" i="2"/>
  <c r="Z196" i="2" s="1"/>
  <c r="Z261" i="2"/>
  <c r="BN290" i="2"/>
  <c r="Y360" i="2"/>
  <c r="BP374" i="2"/>
  <c r="Z496" i="2"/>
  <c r="Z282" i="2"/>
  <c r="BN368" i="2"/>
  <c r="BN379" i="2"/>
  <c r="Z164" i="2"/>
  <c r="BN195" i="2"/>
  <c r="Z271" i="2"/>
  <c r="Y462" i="2"/>
  <c r="Z471" i="2"/>
  <c r="BN496" i="2"/>
  <c r="BP177" i="2"/>
  <c r="BP261" i="2"/>
  <c r="Y141" i="2"/>
  <c r="BP195" i="2"/>
  <c r="BP251" i="2"/>
  <c r="BP282" i="2"/>
  <c r="BN313" i="2"/>
  <c r="Y361" i="2"/>
  <c r="Y382" i="2"/>
  <c r="BP417" i="2"/>
  <c r="BN438" i="2"/>
  <c r="BP496" i="2"/>
  <c r="Y520" i="2"/>
  <c r="Z357" i="2"/>
  <c r="BP486" i="2"/>
  <c r="Y196" i="2"/>
  <c r="Y99" i="2"/>
  <c r="BN105" i="2"/>
  <c r="BN109" i="2"/>
  <c r="Z347" i="2"/>
  <c r="Z510" i="2"/>
  <c r="BP523" i="2"/>
  <c r="X561" i="2"/>
  <c r="BN497" i="2"/>
  <c r="BN510" i="2"/>
  <c r="BP528" i="2"/>
  <c r="BP542" i="2"/>
  <c r="BN39" i="2"/>
  <c r="BN124" i="2"/>
  <c r="Z175" i="2"/>
  <c r="Z227" i="2"/>
  <c r="Z238" i="2"/>
  <c r="BN272" i="2"/>
  <c r="BP347" i="2"/>
  <c r="BP30" i="2"/>
  <c r="BN117" i="2"/>
  <c r="BN370" i="2"/>
  <c r="BN391" i="2"/>
  <c r="Y483" i="2"/>
  <c r="BN481" i="2"/>
  <c r="BP23" i="2"/>
  <c r="BN175" i="2"/>
  <c r="BN246" i="2"/>
  <c r="Z289" i="2"/>
  <c r="BN358" i="2"/>
  <c r="Z460" i="2"/>
  <c r="Z507" i="2"/>
  <c r="Y530" i="2"/>
  <c r="Y544" i="2"/>
  <c r="BP56" i="2"/>
  <c r="BN49" i="2"/>
  <c r="BP91" i="2"/>
  <c r="BN138" i="2"/>
  <c r="BP227" i="2"/>
  <c r="BP238" i="2"/>
  <c r="BP384" i="2"/>
  <c r="BN469" i="2"/>
  <c r="Z569" i="2"/>
  <c r="BN498" i="2"/>
  <c r="BN62" i="2"/>
  <c r="Z184" i="2"/>
  <c r="BN256" i="2"/>
  <c r="BP477" i="2"/>
  <c r="BN507" i="2"/>
  <c r="BP98" i="2"/>
  <c r="Y414" i="2"/>
  <c r="BN410" i="2"/>
  <c r="Y413" i="2"/>
  <c r="BP410" i="2"/>
  <c r="Z410" i="2"/>
  <c r="BN506" i="2"/>
  <c r="BP506" i="2"/>
  <c r="Z506" i="2"/>
  <c r="H9" i="2"/>
  <c r="Y33" i="2"/>
  <c r="Z28" i="2"/>
  <c r="BP28" i="2"/>
  <c r="Y43" i="2"/>
  <c r="Z40" i="2"/>
  <c r="BP40" i="2"/>
  <c r="Z63" i="2"/>
  <c r="BP63" i="2"/>
  <c r="Z81" i="2"/>
  <c r="BP81" i="2"/>
  <c r="F569" i="2"/>
  <c r="BP88" i="2"/>
  <c r="Z104" i="2"/>
  <c r="BP104" i="2"/>
  <c r="Z106" i="2"/>
  <c r="BP106" i="2"/>
  <c r="Z128" i="2"/>
  <c r="Z129" i="2" s="1"/>
  <c r="BP128" i="2"/>
  <c r="Y130" i="2"/>
  <c r="Z151" i="2"/>
  <c r="BN171" i="2"/>
  <c r="BP171" i="2"/>
  <c r="Z171" i="2"/>
  <c r="Y193" i="2"/>
  <c r="Y236" i="2"/>
  <c r="BN220" i="2"/>
  <c r="BP220" i="2"/>
  <c r="Z220" i="2"/>
  <c r="BN226" i="2"/>
  <c r="BP226" i="2"/>
  <c r="Z226" i="2"/>
  <c r="BN274" i="2"/>
  <c r="BP274" i="2"/>
  <c r="BN293" i="2"/>
  <c r="BP293" i="2"/>
  <c r="BN327" i="2"/>
  <c r="BP327" i="2"/>
  <c r="Z405" i="2"/>
  <c r="BN405" i="2"/>
  <c r="V569" i="2"/>
  <c r="BN423" i="2"/>
  <c r="Y427" i="2"/>
  <c r="BP423" i="2"/>
  <c r="Z423" i="2"/>
  <c r="BN436" i="2"/>
  <c r="BP436" i="2"/>
  <c r="Z436" i="2"/>
  <c r="BP151" i="2"/>
  <c r="BN183" i="2"/>
  <c r="BP183" i="2"/>
  <c r="Z183" i="2"/>
  <c r="BN380" i="2"/>
  <c r="BP380" i="2"/>
  <c r="Z380" i="2"/>
  <c r="Y452" i="2"/>
  <c r="BN448" i="2"/>
  <c r="Y451" i="2"/>
  <c r="BP448" i="2"/>
  <c r="Z448" i="2"/>
  <c r="J9" i="2"/>
  <c r="X563" i="2"/>
  <c r="Z27" i="2"/>
  <c r="BP27" i="2"/>
  <c r="C569" i="2"/>
  <c r="Z39" i="2"/>
  <c r="BN58" i="2"/>
  <c r="Z60" i="2"/>
  <c r="BN61" i="2"/>
  <c r="Z62" i="2"/>
  <c r="Y100" i="2"/>
  <c r="Z96" i="2"/>
  <c r="BN98" i="2"/>
  <c r="BP109" i="2"/>
  <c r="Y119" i="2"/>
  <c r="Z117" i="2"/>
  <c r="Y126" i="2"/>
  <c r="Z138" i="2"/>
  <c r="Y140" i="2"/>
  <c r="BN143" i="2"/>
  <c r="BP143" i="2"/>
  <c r="Y145" i="2"/>
  <c r="Y173" i="2"/>
  <c r="BN208" i="2"/>
  <c r="BP208" i="2"/>
  <c r="Z208" i="2"/>
  <c r="BN346" i="2"/>
  <c r="BP346" i="2"/>
  <c r="Z346" i="2"/>
  <c r="BN351" i="2"/>
  <c r="BP351" i="2"/>
  <c r="BN400" i="2"/>
  <c r="BP400" i="2"/>
  <c r="Z400" i="2"/>
  <c r="BP517" i="2"/>
  <c r="BN517" i="2"/>
  <c r="Z517" i="2"/>
  <c r="Z140" i="2"/>
  <c r="BN191" i="2"/>
  <c r="BP191" i="2"/>
  <c r="Z191" i="2"/>
  <c r="Q569" i="2"/>
  <c r="BN336" i="2"/>
  <c r="BP336" i="2"/>
  <c r="Z336" i="2"/>
  <c r="BN369" i="2"/>
  <c r="BP369" i="2"/>
  <c r="Z369" i="2"/>
  <c r="F10" i="2"/>
  <c r="X560" i="2"/>
  <c r="X562" i="2" s="1"/>
  <c r="X559" i="2"/>
  <c r="Z37" i="2"/>
  <c r="BP37" i="2"/>
  <c r="BN47" i="2"/>
  <c r="Z49" i="2"/>
  <c r="BN68" i="2"/>
  <c r="Z70" i="2"/>
  <c r="BN71" i="2"/>
  <c r="BP76" i="2"/>
  <c r="Y83" i="2"/>
  <c r="Y84" i="2"/>
  <c r="BN88" i="2"/>
  <c r="Z95" i="2"/>
  <c r="BP95" i="2"/>
  <c r="Z116" i="2"/>
  <c r="Z124" i="2"/>
  <c r="BN128" i="2"/>
  <c r="BP150" i="2"/>
  <c r="Z150" i="2"/>
  <c r="BN231" i="2"/>
  <c r="BP231" i="2"/>
  <c r="BN288" i="2"/>
  <c r="BP288" i="2"/>
  <c r="Z288" i="2"/>
  <c r="Y311" i="2"/>
  <c r="BN303" i="2"/>
  <c r="BP303" i="2"/>
  <c r="Z303" i="2"/>
  <c r="BN305" i="2"/>
  <c r="BP305" i="2"/>
  <c r="BN364" i="2"/>
  <c r="Y372" i="2"/>
  <c r="BP364" i="2"/>
  <c r="BN509" i="2"/>
  <c r="BP509" i="2"/>
  <c r="Z509" i="2"/>
  <c r="Y167" i="2"/>
  <c r="Y213" i="2"/>
  <c r="Y258" i="2"/>
  <c r="Y280" i="2"/>
  <c r="P569" i="2"/>
  <c r="Y349" i="2"/>
  <c r="Y353" i="2"/>
  <c r="Y408" i="2"/>
  <c r="Y519" i="2"/>
  <c r="I569" i="2"/>
  <c r="Z182" i="2"/>
  <c r="Z207" i="2"/>
  <c r="BP207" i="2"/>
  <c r="BP210" i="2"/>
  <c r="L569" i="2"/>
  <c r="Y218" i="2"/>
  <c r="BP222" i="2"/>
  <c r="Z229" i="2"/>
  <c r="Z246" i="2"/>
  <c r="Y254" i="2"/>
  <c r="Z256" i="2"/>
  <c r="Z257" i="2" s="1"/>
  <c r="BP256" i="2"/>
  <c r="Y279" i="2"/>
  <c r="Z272" i="2"/>
  <c r="Z278" i="2"/>
  <c r="Y294" i="2"/>
  <c r="BP284" i="2"/>
  <c r="Z291" i="2"/>
  <c r="BP304" i="2"/>
  <c r="Z309" i="2"/>
  <c r="BN321" i="2"/>
  <c r="Z326" i="2"/>
  <c r="BP326" i="2"/>
  <c r="Y340" i="2"/>
  <c r="Z345" i="2"/>
  <c r="BN357" i="2"/>
  <c r="Z359" i="2"/>
  <c r="Z368" i="2"/>
  <c r="Z379" i="2"/>
  <c r="Z391" i="2"/>
  <c r="Y395" i="2"/>
  <c r="Z399" i="2"/>
  <c r="Z404" i="2"/>
  <c r="BP404" i="2"/>
  <c r="Y407" i="2"/>
  <c r="Y419" i="2"/>
  <c r="Y426" i="2"/>
  <c r="Z435" i="2"/>
  <c r="Z438" i="2"/>
  <c r="Z461" i="2"/>
  <c r="BP461" i="2"/>
  <c r="Z470" i="2"/>
  <c r="Y472" i="2"/>
  <c r="Z498" i="2"/>
  <c r="Z508" i="2"/>
  <c r="Z516" i="2"/>
  <c r="BP516" i="2"/>
  <c r="Z527" i="2"/>
  <c r="J569" i="2"/>
  <c r="K569" i="2"/>
  <c r="Y247" i="2"/>
  <c r="M569" i="2"/>
  <c r="Y295" i="2"/>
  <c r="Z313" i="2"/>
  <c r="Z314" i="2" s="1"/>
  <c r="BP313" i="2"/>
  <c r="Y323" i="2"/>
  <c r="S569" i="2"/>
  <c r="Z358" i="2"/>
  <c r="Z360" i="2" s="1"/>
  <c r="Z378" i="2"/>
  <c r="Z412" i="2"/>
  <c r="Z425" i="2"/>
  <c r="W569" i="2"/>
  <c r="BP431" i="2"/>
  <c r="Z450" i="2"/>
  <c r="X569" i="2"/>
  <c r="Z469" i="2"/>
  <c r="Z472" i="2" s="1"/>
  <c r="Z482" i="2"/>
  <c r="Z497" i="2"/>
  <c r="Z499" i="2" s="1"/>
  <c r="Z518" i="2"/>
  <c r="Z526" i="2"/>
  <c r="Y543" i="2"/>
  <c r="BN122" i="2"/>
  <c r="Y125" i="2"/>
  <c r="Z133" i="2"/>
  <c r="Y146" i="2"/>
  <c r="BP158" i="2"/>
  <c r="Y172" i="2"/>
  <c r="BN179" i="2"/>
  <c r="BN189" i="2"/>
  <c r="Y192" i="2"/>
  <c r="Z199" i="2"/>
  <c r="Z200" i="2" s="1"/>
  <c r="Z211" i="2"/>
  <c r="Y217" i="2"/>
  <c r="BN224" i="2"/>
  <c r="Z232" i="2"/>
  <c r="BP234" i="2"/>
  <c r="Z242" i="2"/>
  <c r="BP244" i="2"/>
  <c r="Z252" i="2"/>
  <c r="BP267" i="2"/>
  <c r="Z275" i="2"/>
  <c r="BP277" i="2"/>
  <c r="Z285" i="2"/>
  <c r="BP287" i="2"/>
  <c r="BP297" i="2"/>
  <c r="Z306" i="2"/>
  <c r="BP308" i="2"/>
  <c r="Y319" i="2"/>
  <c r="Z329" i="2"/>
  <c r="BP331" i="2"/>
  <c r="BN343" i="2"/>
  <c r="Y354" i="2"/>
  <c r="Z365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Z38" i="2"/>
  <c r="Z50" i="2"/>
  <c r="Z61" i="2"/>
  <c r="Z71" i="2"/>
  <c r="Z105" i="2"/>
  <c r="Z115" i="2"/>
  <c r="Y248" i="2"/>
  <c r="Y263" i="2"/>
  <c r="Y484" i="2"/>
  <c r="BN528" i="2"/>
  <c r="BN542" i="2"/>
  <c r="Z89" i="2"/>
  <c r="Z110" i="2"/>
  <c r="Y24" i="2"/>
  <c r="BN31" i="2"/>
  <c r="BP47" i="2"/>
  <c r="Z56" i="2"/>
  <c r="BP58" i="2"/>
  <c r="BP68" i="2"/>
  <c r="Z76" i="2"/>
  <c r="BN89" i="2"/>
  <c r="Y92" i="2"/>
  <c r="BN110" i="2"/>
  <c r="BP122" i="2"/>
  <c r="BN133" i="2"/>
  <c r="Z143" i="2"/>
  <c r="Z154" i="2"/>
  <c r="Y159" i="2"/>
  <c r="Y168" i="2"/>
  <c r="Z177" i="2"/>
  <c r="BP179" i="2"/>
  <c r="BP189" i="2"/>
  <c r="BN199" i="2"/>
  <c r="BN211" i="2"/>
  <c r="Z222" i="2"/>
  <c r="BP224" i="2"/>
  <c r="BN232" i="2"/>
  <c r="Y235" i="2"/>
  <c r="BN242" i="2"/>
  <c r="BN252" i="2"/>
  <c r="Y268" i="2"/>
  <c r="BN275" i="2"/>
  <c r="BN285" i="2"/>
  <c r="Z293" i="2"/>
  <c r="BN306" i="2"/>
  <c r="BN329" i="2"/>
  <c r="Y332" i="2"/>
  <c r="BP343" i="2"/>
  <c r="Z351" i="2"/>
  <c r="BN365" i="2"/>
  <c r="BN375" i="2"/>
  <c r="BN385" i="2"/>
  <c r="Y388" i="2"/>
  <c r="BP397" i="2"/>
  <c r="BN418" i="2"/>
  <c r="Z431" i="2"/>
  <c r="BP433" i="2"/>
  <c r="BP443" i="2"/>
  <c r="Y456" i="2"/>
  <c r="BN478" i="2"/>
  <c r="Y489" i="2"/>
  <c r="Z511" i="2"/>
  <c r="Y536" i="2"/>
  <c r="Y548" i="2"/>
  <c r="Y439" i="2"/>
  <c r="Y553" i="2"/>
  <c r="O569" i="2"/>
  <c r="BN38" i="2"/>
  <c r="BN50" i="2"/>
  <c r="Z29" i="2"/>
  <c r="BP31" i="2"/>
  <c r="Z41" i="2"/>
  <c r="Z87" i="2"/>
  <c r="Z97" i="2"/>
  <c r="Z108" i="2"/>
  <c r="BP133" i="2"/>
  <c r="Z165" i="2"/>
  <c r="Z185" i="2"/>
  <c r="BP199" i="2"/>
  <c r="Z209" i="2"/>
  <c r="Z230" i="2"/>
  <c r="Z240" i="2"/>
  <c r="Z250" i="2"/>
  <c r="Y264" i="2"/>
  <c r="Z273" i="2"/>
  <c r="Z283" i="2"/>
  <c r="Z304" i="2"/>
  <c r="Z327" i="2"/>
  <c r="Z338" i="2"/>
  <c r="Z339" i="2" s="1"/>
  <c r="Z393" i="2"/>
  <c r="Z394" i="2" s="1"/>
  <c r="BP418" i="2"/>
  <c r="Z486" i="2"/>
  <c r="Y25" i="2"/>
  <c r="BP38" i="2"/>
  <c r="Z48" i="2"/>
  <c r="Z59" i="2"/>
  <c r="Z69" i="2"/>
  <c r="Y93" i="2"/>
  <c r="Z103" i="2"/>
  <c r="BP115" i="2"/>
  <c r="Z123" i="2"/>
  <c r="Y160" i="2"/>
  <c r="Z170" i="2"/>
  <c r="Z172" i="2" s="1"/>
  <c r="Z180" i="2"/>
  <c r="Z190" i="2"/>
  <c r="Z192" i="2" s="1"/>
  <c r="Z225" i="2"/>
  <c r="Y269" i="2"/>
  <c r="Y333" i="2"/>
  <c r="Z344" i="2"/>
  <c r="Y371" i="2"/>
  <c r="Y381" i="2"/>
  <c r="Y389" i="2"/>
  <c r="Z398" i="2"/>
  <c r="Z434" i="2"/>
  <c r="Z444" i="2"/>
  <c r="Y457" i="2"/>
  <c r="Z492" i="2"/>
  <c r="Z493" i="2" s="1"/>
  <c r="Y529" i="2"/>
  <c r="Z538" i="2"/>
  <c r="Z539" i="2" s="1"/>
  <c r="Z550" i="2"/>
  <c r="BN115" i="2"/>
  <c r="Y32" i="2"/>
  <c r="BN97" i="2"/>
  <c r="BN165" i="2"/>
  <c r="BN185" i="2"/>
  <c r="Y200" i="2"/>
  <c r="Y212" i="2"/>
  <c r="BN240" i="2"/>
  <c r="BN250" i="2"/>
  <c r="Y253" i="2"/>
  <c r="BN273" i="2"/>
  <c r="BN283" i="2"/>
  <c r="BN338" i="2"/>
  <c r="BN393" i="2"/>
  <c r="Y440" i="2"/>
  <c r="BN486" i="2"/>
  <c r="Z556" i="2"/>
  <c r="Z557" i="2" s="1"/>
  <c r="R569" i="2"/>
  <c r="BP55" i="2"/>
  <c r="Y118" i="2"/>
  <c r="BN29" i="2"/>
  <c r="BN41" i="2"/>
  <c r="Y65" i="2"/>
  <c r="BN87" i="2"/>
  <c r="BN108" i="2"/>
  <c r="BN209" i="2"/>
  <c r="BN230" i="2"/>
  <c r="Z22" i="2"/>
  <c r="BN48" i="2"/>
  <c r="Y51" i="2"/>
  <c r="BN59" i="2"/>
  <c r="BN69" i="2"/>
  <c r="Y72" i="2"/>
  <c r="Z90" i="2"/>
  <c r="BN103" i="2"/>
  <c r="Z111" i="2"/>
  <c r="BN123" i="2"/>
  <c r="Z134" i="2"/>
  <c r="BN170" i="2"/>
  <c r="BN180" i="2"/>
  <c r="BN190" i="2"/>
  <c r="BN225" i="2"/>
  <c r="Z233" i="2"/>
  <c r="Z243" i="2"/>
  <c r="Z266" i="2"/>
  <c r="Z276" i="2"/>
  <c r="Z286" i="2"/>
  <c r="Z307" i="2"/>
  <c r="Z330" i="2"/>
  <c r="BN344" i="2"/>
  <c r="Z366" i="2"/>
  <c r="Z376" i="2"/>
  <c r="Z386" i="2"/>
  <c r="BN398" i="2"/>
  <c r="Y401" i="2"/>
  <c r="BN434" i="2"/>
  <c r="BN444" i="2"/>
  <c r="Z454" i="2"/>
  <c r="Z479" i="2"/>
  <c r="BN492" i="2"/>
  <c r="Z504" i="2"/>
  <c r="Z524" i="2"/>
  <c r="BN538" i="2"/>
  <c r="BN550" i="2"/>
  <c r="Y77" i="2"/>
  <c r="BP87" i="2"/>
  <c r="Y155" i="2"/>
  <c r="BN556" i="2"/>
  <c r="T569" i="2"/>
  <c r="BP250" i="2"/>
  <c r="BN22" i="2"/>
  <c r="Z57" i="2"/>
  <c r="Z67" i="2"/>
  <c r="BN90" i="2"/>
  <c r="BP103" i="2"/>
  <c r="BN111" i="2"/>
  <c r="Z121" i="2"/>
  <c r="Z125" i="2" s="1"/>
  <c r="BN134" i="2"/>
  <c r="Z144" i="2"/>
  <c r="Z178" i="2"/>
  <c r="Z223" i="2"/>
  <c r="BN233" i="2"/>
  <c r="BN243" i="2"/>
  <c r="BN266" i="2"/>
  <c r="BN276" i="2"/>
  <c r="BN286" i="2"/>
  <c r="Y299" i="2"/>
  <c r="BN307" i="2"/>
  <c r="Y310" i="2"/>
  <c r="Z317" i="2"/>
  <c r="Z318" i="2" s="1"/>
  <c r="BN330" i="2"/>
  <c r="Z352" i="2"/>
  <c r="BN366" i="2"/>
  <c r="BN376" i="2"/>
  <c r="BN386" i="2"/>
  <c r="Z406" i="2"/>
  <c r="Y420" i="2"/>
  <c r="Z432" i="2"/>
  <c r="Z442" i="2"/>
  <c r="BN454" i="2"/>
  <c r="Z465" i="2"/>
  <c r="Z466" i="2" s="1"/>
  <c r="BN479" i="2"/>
  <c r="BP492" i="2"/>
  <c r="BN504" i="2"/>
  <c r="Z512" i="2"/>
  <c r="BN524" i="2"/>
  <c r="BP538" i="2"/>
  <c r="B569" i="2"/>
  <c r="U569" i="2"/>
  <c r="Y64" i="2"/>
  <c r="BP97" i="2"/>
  <c r="Y339" i="2"/>
  <c r="Y394" i="2"/>
  <c r="Y402" i="2"/>
  <c r="BP556" i="2"/>
  <c r="BP165" i="2"/>
  <c r="Y42" i="2"/>
  <c r="Y52" i="2"/>
  <c r="Y73" i="2"/>
  <c r="Y186" i="2"/>
  <c r="Z30" i="2"/>
  <c r="BN57" i="2"/>
  <c r="BN67" i="2"/>
  <c r="Y78" i="2"/>
  <c r="BN121" i="2"/>
  <c r="BN144" i="2"/>
  <c r="Y156" i="2"/>
  <c r="Z166" i="2"/>
  <c r="BN178" i="2"/>
  <c r="Z210" i="2"/>
  <c r="BN223" i="2"/>
  <c r="Z231" i="2"/>
  <c r="Z241" i="2"/>
  <c r="Z251" i="2"/>
  <c r="Z274" i="2"/>
  <c r="Z284" i="2"/>
  <c r="Z305" i="2"/>
  <c r="BN317" i="2"/>
  <c r="Z328" i="2"/>
  <c r="BN352" i="2"/>
  <c r="Z364" i="2"/>
  <c r="Z374" i="2"/>
  <c r="Z384" i="2"/>
  <c r="BN406" i="2"/>
  <c r="Z417" i="2"/>
  <c r="Z419" i="2" s="1"/>
  <c r="BN432" i="2"/>
  <c r="BN442" i="2"/>
  <c r="Y445" i="2"/>
  <c r="BN465" i="2"/>
  <c r="Z477" i="2"/>
  <c r="Z487" i="2"/>
  <c r="Y493" i="2"/>
  <c r="BP504" i="2"/>
  <c r="BN512" i="2"/>
  <c r="Z522" i="2"/>
  <c r="Z534" i="2"/>
  <c r="Z535" i="2" s="1"/>
  <c r="Y539" i="2"/>
  <c r="Z546" i="2"/>
  <c r="Z547" i="2" s="1"/>
  <c r="D569" i="2"/>
  <c r="Y300" i="2"/>
  <c r="BP425" i="2"/>
  <c r="BP460" i="2"/>
  <c r="BN527" i="2"/>
  <c r="Z551" i="2"/>
  <c r="Y557" i="2"/>
  <c r="E569" i="2"/>
  <c r="Z55" i="2"/>
  <c r="Z75" i="2"/>
  <c r="Y112" i="2"/>
  <c r="Y135" i="2"/>
  <c r="BP144" i="2"/>
  <c r="Z153" i="2"/>
  <c r="Z176" i="2"/>
  <c r="Y187" i="2"/>
  <c r="Z221" i="2"/>
  <c r="Z262" i="2"/>
  <c r="Z292" i="2"/>
  <c r="BP317" i="2"/>
  <c r="BP352" i="2"/>
  <c r="BP406" i="2"/>
  <c r="BP442" i="2"/>
  <c r="BP465" i="2"/>
  <c r="BN477" i="2"/>
  <c r="BN487" i="2"/>
  <c r="BN522" i="2"/>
  <c r="BN534" i="2"/>
  <c r="BN546" i="2"/>
  <c r="Y569" i="2"/>
  <c r="Z23" i="2"/>
  <c r="Z80" i="2"/>
  <c r="Z83" i="2" s="1"/>
  <c r="Z91" i="2"/>
  <c r="Z158" i="2"/>
  <c r="Z159" i="2" s="1"/>
  <c r="Z234" i="2"/>
  <c r="Z244" i="2"/>
  <c r="Z267" i="2"/>
  <c r="Z277" i="2"/>
  <c r="Z287" i="2"/>
  <c r="Z297" i="2"/>
  <c r="Z308" i="2"/>
  <c r="Z331" i="2"/>
  <c r="Y348" i="2"/>
  <c r="Z367" i="2"/>
  <c r="Z377" i="2"/>
  <c r="Z387" i="2"/>
  <c r="Z455" i="2"/>
  <c r="Z480" i="2"/>
  <c r="Y494" i="2"/>
  <c r="Z505" i="2"/>
  <c r="Z525" i="2"/>
  <c r="BN551" i="2"/>
  <c r="G569" i="2"/>
  <c r="BN153" i="2"/>
  <c r="BN221" i="2"/>
  <c r="BN262" i="2"/>
  <c r="BN292" i="2"/>
  <c r="Y513" i="2"/>
  <c r="BP534" i="2"/>
  <c r="BP546" i="2"/>
  <c r="Y558" i="2"/>
  <c r="H569" i="2"/>
  <c r="BN75" i="2"/>
  <c r="BN176" i="2"/>
  <c r="BN80" i="2"/>
  <c r="Z343" i="2"/>
  <c r="Z348" i="2" s="1"/>
  <c r="AB569" i="2"/>
  <c r="Z155" i="2" l="1"/>
  <c r="Z401" i="2"/>
  <c r="Z519" i="2"/>
  <c r="Z426" i="2"/>
  <c r="Z167" i="2"/>
  <c r="Z299" i="2"/>
  <c r="Z488" i="2"/>
  <c r="Z51" i="2"/>
  <c r="Z212" i="2"/>
  <c r="Z462" i="2"/>
  <c r="Z263" i="2"/>
  <c r="Z407" i="2"/>
  <c r="Z451" i="2"/>
  <c r="Z64" i="2"/>
  <c r="Z310" i="2"/>
  <c r="Y561" i="2"/>
  <c r="Z294" i="2"/>
  <c r="Z247" i="2"/>
  <c r="Z99" i="2"/>
  <c r="Z32" i="2"/>
  <c r="Z118" i="2"/>
  <c r="Z413" i="2"/>
  <c r="Z186" i="2"/>
  <c r="Z72" i="2"/>
  <c r="Z513" i="2"/>
  <c r="Z279" i="2"/>
  <c r="Z92" i="2"/>
  <c r="Z42" i="2"/>
  <c r="Z456" i="2"/>
  <c r="Z332" i="2"/>
  <c r="Z77" i="2"/>
  <c r="Y563" i="2"/>
  <c r="Z353" i="2"/>
  <c r="Z552" i="2"/>
  <c r="Z253" i="2"/>
  <c r="Z381" i="2"/>
  <c r="Z112" i="2"/>
  <c r="Z483" i="2"/>
  <c r="Z145" i="2"/>
  <c r="Z371" i="2"/>
  <c r="Z235" i="2"/>
  <c r="Z135" i="2"/>
  <c r="Z439" i="2"/>
  <c r="Y560" i="2"/>
  <c r="Z529" i="2"/>
  <c r="Z24" i="2"/>
  <c r="Z388" i="2"/>
  <c r="Z445" i="2"/>
  <c r="Z268" i="2"/>
  <c r="Y559" i="2"/>
  <c r="Y562" i="2" l="1"/>
  <c r="Z564" i="2"/>
</calcChain>
</file>

<file path=xl/sharedStrings.xml><?xml version="1.0" encoding="utf-8"?>
<sst xmlns="http://schemas.openxmlformats.org/spreadsheetml/2006/main" count="4311" uniqueCount="906">
  <si>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</si>
  <si>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</si>
  <si>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</si>
  <si>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</si>
  <si>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</si>
  <si>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</si>
  <si>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</si>
  <si>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</si>
  <si>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</si>
  <si>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</si>
  <si>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</si>
  <si>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</si>
  <si>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</si>
  <si>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</si>
  <si>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</si>
  <si>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</si>
  <si>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</si>
  <si>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</si>
  <si>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</si>
  <si>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</si>
  <si>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</si>
  <si>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</si>
  <si>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</si>
  <si>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</si>
  <si>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</si>
  <si>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</si>
  <si>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</si>
  <si>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</si>
  <si>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</si>
  <si>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</si>
  <si>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</si>
  <si>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</si>
  <si>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</si>
  <si>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</si>
  <si>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</si>
  <si>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</si>
  <si>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</si>
  <si>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</si>
  <si>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</si>
  <si>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</si>
  <si>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</si>
  <si>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</si>
  <si>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</si>
  <si>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</si>
  <si>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</si>
  <si>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</si>
  <si>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</si>
  <si>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</si>
  <si>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</si>
  <si>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</si>
  <si>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</si>
  <si>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</si>
  <si>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</si>
  <si>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</si>
  <si>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</si>
  <si>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</si>
  <si>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</si>
  <si>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</si>
  <si>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</si>
  <si>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</si>
  <si>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</si>
  <si>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</si>
  <si>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</si>
  <si>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</si>
  <si>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</si>
  <si>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</si>
  <si>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</si>
  <si>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</si>
  <si>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</si>
  <si>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</si>
  <si>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</si>
  <si>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</si>
  <si>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</si>
  <si>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</si>
  <si>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</si>
  <si>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</si>
  <si>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</si>
  <si>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</si>
  <si>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</si>
  <si>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</si>
  <si>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</si>
  <si>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</si>
  <si>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</si>
  <si>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</si>
  <si>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</si>
  <si>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</si>
  <si>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</si>
  <si>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</si>
  <si>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</si>
  <si>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</si>
  <si>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</si>
  <si>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</si>
  <si>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</si>
  <si>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</si>
  <si>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</si>
  <si>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</si>
  <si>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</si>
  <si>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</si>
  <si>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</si>
  <si>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</si>
  <si>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</si>
  <si>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</si>
  <si>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</si>
  <si>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</si>
  <si>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</si>
  <si>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</si>
  <si>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</si>
  <si>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</si>
  <si>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</si>
  <si>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</si>
  <si>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</si>
  <si>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</si>
  <si>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</si>
  <si>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</si>
  <si>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</si>
  <si>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</si>
  <si>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</si>
  <si>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</si>
  <si>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</si>
  <si>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</si>
  <si>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</si>
  <si>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</si>
  <si>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</si>
  <si>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</si>
  <si>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</si>
  <si>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</si>
  <si>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</si>
  <si>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</si>
  <si>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</si>
  <si>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</si>
  <si>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</si>
  <si>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</si>
  <si>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</si>
  <si>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</si>
  <si>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</si>
  <si>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</si>
  <si>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</si>
  <si>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</si>
  <si>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</si>
  <si>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</si>
  <si>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</si>
  <si>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</si>
  <si>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</si>
  <si>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</si>
  <si>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</si>
  <si>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</si>
  <si>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</si>
  <si>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</si>
  <si>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</si>
  <si>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</si>
  <si>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</si>
  <si>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</si>
  <si>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</si>
  <si>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</si>
  <si>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</si>
  <si>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</si>
  <si>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</si>
  <si>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</si>
  <si>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</si>
  <si>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</si>
  <si>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</si>
  <si>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</si>
  <si>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</si>
  <si>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</si>
  <si>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</si>
  <si>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</si>
  <si>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</si>
  <si>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</si>
  <si>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</si>
  <si>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</si>
  <si>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</si>
  <si>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</si>
  <si>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</si>
  <si>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</si>
  <si>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</si>
  <si>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</si>
  <si>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</si>
  <si>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</si>
  <si>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</si>
  <si>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</si>
  <si>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</si>
  <si>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</si>
  <si>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</si>
  <si>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</si>
  <si>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</si>
  <si>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</si>
  <si>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</si>
  <si>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</si>
  <si>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</si>
  <si>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</si>
  <si>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</si>
  <si>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</si>
  <si>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</si>
  <si>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</si>
  <si>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</si>
  <si>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</si>
  <si>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</si>
  <si>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</si>
  <si>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</si>
  <si>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</si>
  <si>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</si>
  <si>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</si>
  <si>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</si>
  <si>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</si>
  <si>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</si>
  <si>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</si>
  <si>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</si>
  <si>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</si>
  <si>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</si>
  <si>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</si>
  <si>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</si>
  <si>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</si>
  <si>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</si>
  <si>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</si>
  <si>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</si>
  <si>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</si>
  <si>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</si>
  <si>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</si>
  <si>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</si>
  <si>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</si>
  <si>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</si>
  <si>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</si>
  <si>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</si>
  <si>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</si>
  <si>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</si>
  <si>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</si>
  <si>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</si>
  <si>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</si>
  <si>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</si>
  <si>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</si>
  <si>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</si>
  <si>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</si>
  <si>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</si>
  <si>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</si>
  <si>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</si>
  <si>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</si>
  <si>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</si>
  <si>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</si>
  <si>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</si>
  <si>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</si>
  <si>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</si>
  <si>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</si>
  <si>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</si>
  <si>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</si>
  <si>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</si>
  <si>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</si>
  <si>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</si>
  <si>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</si>
  <si>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</si>
  <si>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</si>
  <si>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</si>
  <si>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</si>
  <si>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</si>
  <si>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</si>
  <si>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</si>
  <si>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</si>
  <si>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</si>
  <si>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</si>
  <si>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</si>
  <si>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</si>
  <si>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</si>
  <si>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</si>
  <si>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</si>
  <si>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</si>
  <si>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</si>
  <si>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</si>
  <si>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</si>
  <si>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</si>
  <si>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</si>
  <si>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</si>
  <si>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</si>
  <si>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</si>
  <si>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</si>
  <si>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</si>
  <si>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</si>
  <si>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</si>
  <si>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</si>
  <si>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</si>
  <si>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</si>
  <si>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</si>
  <si>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</si>
  <si>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</si>
  <si>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</si>
  <si>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</si>
  <si>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</si>
  <si>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</si>
  <si>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</si>
  <si>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</si>
  <si>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</si>
  <si>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</si>
  <si>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</si>
  <si>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</si>
  <si>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</si>
  <si>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</si>
  <si>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</si>
  <si>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</si>
  <si>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</si>
  <si>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</si>
  <si>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</si>
  <si>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</si>
  <si>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</si>
  <si>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</si>
  <si>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</si>
  <si>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</si>
  <si>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</si>
  <si>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</si>
  <si>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</si>
  <si>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</si>
  <si>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</si>
  <si>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</si>
  <si>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</si>
  <si>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</si>
  <si>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</si>
  <si>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</si>
  <si>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</si>
  <si>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</si>
  <si>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</si>
  <si>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</si>
  <si>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</si>
  <si>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</si>
  <si>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</si>
  <si>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</si>
  <si>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</si>
  <si>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</si>
  <si>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</si>
  <si>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</si>
  <si>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</si>
  <si>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</si>
  <si>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</si>
  <si>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</si>
  <si>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</si>
  <si>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</si>
  <si>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</si>
  <si>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</si>
  <si>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</si>
  <si>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</si>
  <si>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</si>
  <si>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</si>
  <si>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</si>
  <si>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</si>
  <si>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</si>
  <si>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</si>
  <si>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</si>
  <si>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</si>
  <si>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</si>
  <si>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</si>
  <si>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</si>
  <si>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</si>
  <si>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</si>
  <si>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</si>
  <si>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</si>
  <si>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</si>
  <si>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</si>
  <si>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</si>
  <si>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</si>
  <si>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</si>
  <si>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</si>
  <si>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</si>
  <si>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</si>
  <si>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</si>
  <si>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</si>
  <si>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</si>
  <si>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</si>
  <si>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</si>
  <si>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</si>
  <si>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</si>
  <si>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</si>
  <si>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</si>
  <si>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</si>
  <si>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</si>
  <si>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</si>
  <si>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</si>
  <si>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</si>
  <si>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</si>
  <si>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</si>
  <si>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</si>
  <si>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</si>
  <si>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</si>
  <si>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</si>
  <si>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</si>
  <si>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</si>
  <si>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</si>
  <si>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</si>
  <si>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</si>
  <si>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</si>
  <si>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</si>
  <si>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</si>
  <si>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</si>
  <si>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</si>
  <si>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</si>
  <si>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</si>
  <si>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</si>
  <si>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</si>
  <si>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</si>
  <si>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</si>
  <si>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</si>
  <si>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</si>
  <si>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</si>
  <si>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</si>
  <si>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</si>
  <si>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</si>
  <si>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</si>
  <si>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</si>
  <si>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</si>
  <si>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</si>
  <si>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</si>
  <si>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</si>
  <si>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</si>
  <si>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</si>
  <si>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</si>
  <si>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</si>
  <si>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</si>
  <si>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</si>
  <si>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</si>
  <si>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</si>
  <si>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</si>
  <si>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</si>
  <si>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</si>
  <si>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</si>
  <si>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</si>
  <si>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</si>
  <si>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</si>
  <si>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</si>
  <si>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</si>
  <si>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</si>
  <si>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</si>
  <si>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</si>
  <si>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</si>
  <si>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</si>
  <si>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</si>
  <si>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</si>
  <si>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</si>
  <si>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</si>
  <si>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</si>
  <si>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</si>
  <si>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</si>
  <si>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</si>
  <si>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</si>
  <si>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</si>
  <si>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</si>
  <si>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</si>
  <si>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</si>
  <si>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</si>
  <si>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</si>
  <si>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</si>
  <si>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</si>
  <si>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</si>
  <si>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</si>
  <si>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</si>
  <si>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</si>
  <si>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</si>
  <si>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</si>
  <si>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</si>
  <si>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</si>
  <si>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</si>
  <si>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</si>
  <si>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</si>
  <si>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</si>
  <si>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</si>
  <si>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</si>
  <si>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</si>
  <si>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</si>
  <si>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</si>
  <si>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</si>
  <si>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</si>
  <si>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</si>
  <si>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</si>
  <si>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</si>
  <si>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</si>
  <si>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</si>
  <si>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</si>
  <si>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</si>
  <si>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</si>
  <si>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</si>
  <si>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</si>
  <si>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</si>
  <si>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</si>
  <si>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</si>
  <si>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</si>
  <si>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</si>
  <si>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</si>
  <si>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</si>
  <si>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</si>
  <si>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</si>
  <si>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</si>
  <si>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</si>
  <si>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</si>
  <si>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</si>
  <si>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</si>
  <si>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</si>
  <si>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</si>
  <si>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</si>
  <si>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</si>
  <si>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</si>
  <si>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</si>
  <si>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</si>
  <si>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</si>
  <si>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</si>
  <si>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</si>
  <si>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</si>
  <si>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</si>
  <si>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</si>
  <si>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</si>
  <si>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</si>
  <si>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</si>
  <si>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</si>
  <si>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</si>
  <si>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</si>
  <si>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</si>
  <si>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</si>
  <si>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</si>
  <si>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</si>
  <si>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</si>
  <si>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</si>
  <si>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</si>
  <si>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</si>
  <si>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</si>
  <si>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</si>
  <si>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</si>
  <si>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</si>
  <si>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</si>
  <si>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</si>
  <si>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</si>
  <si>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</si>
  <si>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</si>
  <si>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</si>
  <si>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</si>
  <si>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</si>
  <si>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</si>
  <si>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</si>
  <si>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</si>
  <si>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</si>
  <si>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</si>
  <si>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</si>
  <si>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</si>
  <si>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</si>
  <si>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</si>
  <si>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</si>
  <si>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</si>
  <si>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</si>
  <si>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</si>
  <si>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</si>
  <si>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</si>
  <si>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</si>
  <si>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</si>
  <si>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</si>
  <si>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</si>
  <si>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</si>
  <si>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</si>
  <si>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</si>
  <si>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</si>
  <si>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</si>
  <si>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</si>
  <si>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</si>
  <si>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</si>
  <si>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</si>
  <si>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</si>
  <si>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</si>
  <si>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</si>
  <si>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</si>
  <si>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</si>
  <si>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</si>
  <si>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</si>
  <si>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</si>
  <si>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</si>
  <si>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</si>
  <si>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</si>
  <si>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</si>
  <si>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</si>
  <si>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</si>
  <si>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</si>
  <si>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</si>
  <si>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</si>
  <si>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</si>
  <si>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</si>
  <si>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</si>
  <si>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</si>
  <si>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</si>
  <si>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</si>
  <si>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</si>
  <si>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</si>
  <si>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</si>
  <si>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</si>
  <si>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</si>
  <si>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</si>
  <si>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</si>
  <si>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</si>
  <si>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</si>
  <si>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</si>
  <si>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</si>
  <si>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</si>
  <si>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</si>
  <si>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</si>
  <si>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</si>
  <si>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</si>
  <si>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</si>
  <si>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</si>
  <si>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</si>
  <si>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</si>
  <si>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</si>
  <si>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</si>
  <si>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</si>
  <si>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</si>
  <si>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</si>
  <si>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</si>
  <si>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</si>
  <si>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</si>
  <si>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</si>
  <si>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</si>
  <si>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</si>
  <si>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</si>
  <si>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</si>
  <si>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</si>
  <si>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</si>
  <si>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</si>
  <si>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</si>
  <si>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</si>
  <si>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</si>
  <si>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</si>
  <si>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</si>
  <si>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</si>
  <si>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</si>
  <si>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</si>
  <si>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</si>
  <si>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</si>
  <si>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</si>
  <si>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</si>
  <si>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</si>
  <si>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</si>
  <si>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</si>
  <si>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</si>
  <si>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</si>
  <si>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</si>
  <si>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</si>
  <si>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</si>
  <si>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</si>
  <si>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</si>
  <si>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</si>
  <si>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</si>
  <si>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</si>
  <si>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</si>
  <si>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</si>
  <si>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</si>
  <si>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</si>
  <si>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</si>
  <si>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</si>
  <si>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</si>
  <si>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</si>
  <si>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</si>
  <si>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</si>
  <si>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</si>
  <si>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</si>
  <si>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</si>
  <si>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</si>
  <si>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</si>
  <si>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</si>
  <si>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</si>
  <si>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</si>
  <si>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</si>
  <si>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</si>
  <si>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</si>
  <si>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</si>
  <si>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</si>
  <si>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</si>
  <si>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</si>
  <si>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</si>
  <si>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</si>
  <si>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</si>
  <si>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</si>
  <si>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</si>
  <si>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</si>
  <si>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</si>
  <si>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</si>
  <si>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</si>
  <si>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</si>
  <si>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</si>
  <si>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</si>
  <si>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</si>
  <si>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</si>
  <si>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</si>
  <si>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</si>
  <si>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</si>
  <si>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</si>
  <si>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</si>
  <si>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</si>
  <si>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</si>
  <si>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</si>
  <si>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</si>
  <si>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</si>
  <si>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</si>
  <si>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</si>
  <si>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</si>
  <si>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</si>
  <si>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</si>
  <si>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</si>
  <si>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</si>
  <si>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</si>
  <si>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</si>
  <si>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</si>
  <si>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</si>
  <si>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</si>
  <si>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</si>
  <si>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</si>
  <si>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</si>
  <si>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</si>
  <si>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</si>
  <si>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</si>
  <si>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</si>
  <si>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</si>
  <si>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</si>
  <si>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</si>
  <si>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</si>
  <si>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</si>
  <si>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</si>
  <si>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</si>
  <si>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</si>
  <si>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</si>
  <si>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</si>
  <si>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</si>
  <si>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</si>
  <si>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</si>
  <si>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</si>
  <si>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</si>
  <si>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</si>
  <si>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</si>
  <si>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</si>
  <si>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</si>
  <si>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</si>
  <si>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</si>
  <si>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</si>
  <si>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</si>
  <si>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</si>
  <si>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</si>
  <si>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</si>
  <si>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</si>
  <si>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</si>
  <si>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</si>
  <si>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</si>
  <si>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</si>
  <si>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</si>
  <si>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</si>
  <si>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</si>
  <si>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</si>
  <si>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</si>
  <si>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</si>
  <si>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</si>
  <si>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</si>
  <si>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</si>
  <si>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</si>
  <si>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</si>
  <si>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</si>
  <si>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</si>
  <si>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</si>
  <si>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</si>
  <si>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</si>
  <si>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</si>
  <si>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</si>
  <si>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</si>
  <si>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</si>
  <si>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</si>
  <si>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</si>
  <si>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</si>
  <si>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</si>
  <si>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</si>
  <si>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</si>
  <si>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</si>
  <si>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</si>
  <si>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</si>
  <si>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</si>
  <si>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</si>
  <si>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</si>
  <si>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</si>
  <si>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</si>
  <si>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</si>
  <si>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</si>
  <si>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</si>
  <si>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</si>
  <si>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</si>
  <si>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</si>
  <si>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</si>
  <si>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</si>
  <si>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</si>
  <si>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</si>
  <si>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</si>
  <si>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</si>
  <si>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</si>
  <si>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</si>
  <si>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</si>
  <si>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</si>
  <si>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</si>
  <si>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</si>
  <si>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</si>
  <si>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</si>
  <si>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</si>
  <si>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</si>
  <si>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</si>
  <si>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</si>
  <si>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</si>
  <si>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</si>
  <si>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</si>
  <si>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</si>
  <si>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</si>
  <si>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</si>
  <si>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</si>
  <si>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</si>
  <si>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</si>
  <si>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</si>
  <si>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</si>
  <si>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</si>
  <si>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</si>
  <si>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</si>
  <si>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</si>
  <si>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</si>
  <si>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</si>
  <si>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</si>
  <si>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</si>
  <si>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</si>
  <si>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</si>
  <si>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</si>
  <si>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</si>
  <si>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</si>
  <si>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</si>
  <si>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</si>
  <si>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</si>
  <si>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</si>
  <si>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</si>
  <si>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</si>
  <si>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</si>
  <si>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</si>
  <si>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</si>
  <si>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</si>
  <si>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</si>
  <si>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</si>
  <si>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</si>
  <si>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</si>
  <si>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</si>
  <si>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</si>
  <si>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</si>
  <si>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</si>
  <si>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</si>
  <si>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</si>
  <si>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</si>
  <si>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</si>
  <si>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</si>
  <si>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</si>
  <si>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</si>
  <si>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</si>
  <si>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</si>
  <si>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</si>
  <si>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</si>
  <si>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</si>
  <si>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</si>
  <si>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</si>
  <si>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</si>
  <si>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</si>
  <si>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</si>
  <si>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</si>
  <si>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</si>
  <si>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</si>
  <si>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</si>
  <si>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</si>
  <si>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</si>
  <si>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</si>
  <si>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</si>
  <si>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</si>
  <si>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</si>
  <si>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</si>
  <si>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</si>
  <si>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</si>
  <si>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</si>
  <si>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</si>
  <si>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</si>
  <si>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</si>
  <si>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</si>
  <si>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</si>
  <si>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</si>
  <si>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</si>
  <si>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</si>
  <si>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</si>
  <si>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</si>
  <si>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</si>
  <si>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</si>
  <si>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</si>
  <si>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</si>
  <si>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</si>
  <si>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</si>
  <si>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</si>
  <si>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</si>
  <si>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</si>
  <si>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</si>
  <si>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</si>
  <si>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</si>
  <si>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</si>
  <si>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</si>
  <si>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</si>
  <si>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</si>
  <si>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</si>
  <si>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</si>
  <si>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</si>
  <si>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</si>
  <si>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</si>
  <si>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</si>
  <si>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</si>
  <si>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</si>
  <si>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TSO001126456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</si>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</sst>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 filterMode="1"/>
  <dimension ref="A1:BP569"/>
  <sheetViews>
    <sheetView showGridLines="0" tabSelected="1" topLeftCell="C1" zoomScaleNormal="100" zoomScaleSheetLayoutView="100" workbookViewId="0">
      <selection activeCell="V12" sqref="V12:W12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9" bestFit="1" customWidth="1"/>
    <col min="31" max="31" width="9.109375" style="9"/>
    <col min="32" max="32" width="8.88671875" style="9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5"/>
      <c r="B1" s="45"/>
      <c r="C1" s="45"/>
      <c r="D1" s="647" t="s">
        <v>26</v>
      </c>
      <c r="E1" s="647"/>
      <c r="F1" s="647"/>
      <c r="G1" s="14" t="s">
        <v>66</v>
      </c>
      <c r="H1" s="647" t="s">
        <v>47</v>
      </c>
      <c r="I1" s="647"/>
      <c r="J1" s="647"/>
      <c r="K1" s="647"/>
      <c r="L1" s="647"/>
      <c r="M1" s="647"/>
      <c r="N1" s="647"/>
      <c r="O1" s="647"/>
      <c r="P1" s="647"/>
      <c r="Q1" s="647"/>
      <c r="R1" s="648" t="s">
        <v>67</v>
      </c>
      <c r="S1" s="649"/>
      <c r="T1" s="64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5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0"/>
      <c r="R2" s="650"/>
      <c r="S2" s="650"/>
      <c r="T2" s="650"/>
      <c r="U2" s="650"/>
      <c r="V2" s="650"/>
      <c r="W2" s="65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5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0"/>
      <c r="Q3" s="650"/>
      <c r="R3" s="650"/>
      <c r="S3" s="650"/>
      <c r="T3" s="650"/>
      <c r="U3" s="650"/>
      <c r="V3" s="650"/>
      <c r="W3" s="65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" customHeight="1" x14ac:dyDescent="0.25">
      <c r="A5" s="651" t="s">
        <v>8</v>
      </c>
      <c r="B5" s="651"/>
      <c r="C5" s="651"/>
      <c r="D5" s="652"/>
      <c r="E5" s="652"/>
      <c r="F5" s="653" t="s">
        <v>14</v>
      </c>
      <c r="G5" s="653"/>
      <c r="H5" s="652" t="s">
        <v>904</v>
      </c>
      <c r="I5" s="652"/>
      <c r="J5" s="652"/>
      <c r="K5" s="652"/>
      <c r="L5" s="652"/>
      <c r="M5" s="652"/>
      <c r="N5" s="69"/>
      <c r="P5" s="26" t="s">
        <v>4</v>
      </c>
      <c r="Q5" s="654">
        <v>46291</v>
      </c>
      <c r="R5" s="654"/>
      <c r="T5" s="655" t="s">
        <v>3</v>
      </c>
      <c r="U5" s="656"/>
      <c r="V5" s="657" t="s">
        <v>872</v>
      </c>
      <c r="W5" s="658"/>
      <c r="AB5" s="57"/>
      <c r="AC5" s="57"/>
      <c r="AD5" s="57"/>
      <c r="AE5" s="57"/>
    </row>
    <row r="6" spans="1:32" s="17" customFormat="1" ht="24" customHeight="1" x14ac:dyDescent="0.25">
      <c r="A6" s="651" t="s">
        <v>1</v>
      </c>
      <c r="B6" s="651"/>
      <c r="C6" s="651"/>
      <c r="D6" s="659" t="s">
        <v>882</v>
      </c>
      <c r="E6" s="659"/>
      <c r="F6" s="659"/>
      <c r="G6" s="659"/>
      <c r="H6" s="659"/>
      <c r="I6" s="659"/>
      <c r="J6" s="659"/>
      <c r="K6" s="659"/>
      <c r="L6" s="659"/>
      <c r="M6" s="659"/>
      <c r="N6" s="70"/>
      <c r="P6" s="26" t="s">
        <v>27</v>
      </c>
      <c r="Q6" s="660" t="str">
        <f>IF(Q5=0," ",CHOOSE(WEEKDAY(Q5,2),"Понедельник","Вторник","Среда","Четверг","Пятница","Суббота","Воскресенье"))</f>
        <v>Суббота</v>
      </c>
      <c r="R6" s="660"/>
      <c r="T6" s="661" t="s">
        <v>5</v>
      </c>
      <c r="U6" s="662"/>
      <c r="V6" s="663" t="s">
        <v>69</v>
      </c>
      <c r="W6" s="664"/>
      <c r="AB6" s="57"/>
      <c r="AC6" s="57"/>
      <c r="AD6" s="57"/>
      <c r="AE6" s="57"/>
    </row>
    <row r="7" spans="1:32" s="17" customFormat="1" ht="21.75" hidden="1" customHeight="1" x14ac:dyDescent="0.25">
      <c r="A7" s="61"/>
      <c r="B7" s="61"/>
      <c r="C7" s="61"/>
      <c r="D7" s="669" t="str">
        <f>IFERROR(VLOOKUP(DeliveryAddress,Table,3,0),1)</f>
        <v>4</v>
      </c>
      <c r="E7" s="670"/>
      <c r="F7" s="670"/>
      <c r="G7" s="670"/>
      <c r="H7" s="670"/>
      <c r="I7" s="670"/>
      <c r="J7" s="670"/>
      <c r="K7" s="670"/>
      <c r="L7" s="670"/>
      <c r="M7" s="671"/>
      <c r="N7" s="71"/>
      <c r="P7" s="26"/>
      <c r="Q7" s="46"/>
      <c r="R7" s="46"/>
      <c r="T7" s="661"/>
      <c r="U7" s="662"/>
      <c r="V7" s="665"/>
      <c r="W7" s="666"/>
      <c r="AB7" s="57"/>
      <c r="AC7" s="57"/>
      <c r="AD7" s="57"/>
      <c r="AE7" s="57"/>
    </row>
    <row r="8" spans="1:32" s="17" customFormat="1" ht="25.5" customHeight="1" x14ac:dyDescent="0.25">
      <c r="A8" s="672" t="s">
        <v>57</v>
      </c>
      <c r="B8" s="672"/>
      <c r="C8" s="672"/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72"/>
      <c r="P8" s="26" t="s">
        <v>11</v>
      </c>
      <c r="Q8" s="674">
        <v>0.41666666666666669</v>
      </c>
      <c r="R8" s="674"/>
      <c r="T8" s="661"/>
      <c r="U8" s="662"/>
      <c r="V8" s="665"/>
      <c r="W8" s="666"/>
      <c r="AB8" s="57"/>
      <c r="AC8" s="57"/>
      <c r="AD8" s="57"/>
      <c r="AE8" s="57"/>
    </row>
    <row r="9" spans="1:32" s="17" customFormat="1" ht="39.9" customHeight="1" x14ac:dyDescent="0.25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676" t="s">
        <v>46</v>
      </c>
      <c r="E9" s="677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78" t="str">
        <f>IF(AND($A$9="Тип доверенности/получателя при получении в адресе перегруза:",$D$9="Разовая доверенность"),"Введите ФИО","")</f>
        <v/>
      </c>
      <c r="I9" s="678"/>
      <c r="J9" s="6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8"/>
      <c r="L9" s="678"/>
      <c r="M9" s="678"/>
      <c r="N9" s="67"/>
      <c r="P9" s="29" t="s">
        <v>15</v>
      </c>
      <c r="Q9" s="679"/>
      <c r="R9" s="679"/>
      <c r="T9" s="661"/>
      <c r="U9" s="662"/>
      <c r="V9" s="667"/>
      <c r="W9" s="66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" customHeight="1" x14ac:dyDescent="0.25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676"/>
      <c r="E10" s="677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680" t="str">
        <f>IFERROR(VLOOKUP($D$10,Proxy,2,FALSE),"")</f>
        <v/>
      </c>
      <c r="I10" s="680"/>
      <c r="J10" s="680"/>
      <c r="K10" s="680"/>
      <c r="L10" s="680"/>
      <c r="M10" s="680"/>
      <c r="N10" s="68"/>
      <c r="P10" s="29" t="s">
        <v>32</v>
      </c>
      <c r="Q10" s="681"/>
      <c r="R10" s="681"/>
      <c r="U10" s="26" t="s">
        <v>12</v>
      </c>
      <c r="V10" s="682" t="s">
        <v>70</v>
      </c>
      <c r="W10" s="68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" customHeight="1" x14ac:dyDescent="0.25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4"/>
      <c r="R11" s="684"/>
      <c r="U11" s="26" t="s">
        <v>28</v>
      </c>
      <c r="V11" s="685" t="s">
        <v>905</v>
      </c>
      <c r="W11" s="68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5">
      <c r="A12" s="686" t="s">
        <v>71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73"/>
      <c r="P12" s="26" t="s">
        <v>30</v>
      </c>
      <c r="Q12" s="674"/>
      <c r="R12" s="674"/>
      <c r="S12" s="27"/>
      <c r="T12"/>
      <c r="U12" s="26" t="s">
        <v>46</v>
      </c>
      <c r="V12" s="687"/>
      <c r="W12" s="687"/>
      <c r="X12"/>
      <c r="AB12" s="57"/>
      <c r="AC12" s="57"/>
      <c r="AD12" s="57"/>
      <c r="AE12" s="57"/>
    </row>
    <row r="13" spans="1:32" s="17" customFormat="1" ht="23.25" customHeight="1" x14ac:dyDescent="0.25">
      <c r="A13" s="686" t="s">
        <v>72</v>
      </c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6"/>
      <c r="N13" s="73"/>
      <c r="O13" s="29"/>
      <c r="P13" s="29" t="s">
        <v>31</v>
      </c>
      <c r="Q13" s="685"/>
      <c r="R13" s="68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5">
      <c r="A14" s="686" t="s">
        <v>73</v>
      </c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5">
      <c r="A15" s="688" t="s">
        <v>74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8"/>
      <c r="N15" s="74"/>
      <c r="O15"/>
      <c r="P15" s="689" t="s">
        <v>60</v>
      </c>
      <c r="Q15" s="689"/>
      <c r="R15" s="689"/>
      <c r="S15" s="689"/>
      <c r="T15" s="689"/>
      <c r="U15"/>
      <c r="V15"/>
      <c r="W15"/>
      <c r="AB15" s="57"/>
      <c r="AC15" s="57"/>
      <c r="AD15" s="57"/>
      <c r="AE15" s="57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0"/>
      <c r="Q16" s="690"/>
      <c r="R16" s="690"/>
      <c r="S16" s="690"/>
      <c r="T16" s="69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693" t="s">
        <v>58</v>
      </c>
      <c r="B17" s="693" t="s">
        <v>49</v>
      </c>
      <c r="C17" s="695" t="s">
        <v>48</v>
      </c>
      <c r="D17" s="697" t="s">
        <v>50</v>
      </c>
      <c r="E17" s="698"/>
      <c r="F17" s="693" t="s">
        <v>21</v>
      </c>
      <c r="G17" s="693" t="s">
        <v>24</v>
      </c>
      <c r="H17" s="693" t="s">
        <v>22</v>
      </c>
      <c r="I17" s="693" t="s">
        <v>23</v>
      </c>
      <c r="J17" s="693" t="s">
        <v>16</v>
      </c>
      <c r="K17" s="693" t="s">
        <v>65</v>
      </c>
      <c r="L17" s="693" t="s">
        <v>63</v>
      </c>
      <c r="M17" s="693" t="s">
        <v>2</v>
      </c>
      <c r="N17" s="693" t="s">
        <v>62</v>
      </c>
      <c r="O17" s="693" t="s">
        <v>25</v>
      </c>
      <c r="P17" s="697" t="s">
        <v>17</v>
      </c>
      <c r="Q17" s="701"/>
      <c r="R17" s="701"/>
      <c r="S17" s="701"/>
      <c r="T17" s="698"/>
      <c r="U17" s="691" t="s">
        <v>55</v>
      </c>
      <c r="V17" s="692"/>
      <c r="W17" s="693" t="s">
        <v>6</v>
      </c>
      <c r="X17" s="693" t="s">
        <v>41</v>
      </c>
      <c r="Y17" s="703" t="s">
        <v>54</v>
      </c>
      <c r="Z17" s="705" t="s">
        <v>18</v>
      </c>
      <c r="AA17" s="707" t="s">
        <v>59</v>
      </c>
      <c r="AB17" s="707" t="s">
        <v>19</v>
      </c>
      <c r="AC17" s="707" t="s">
        <v>64</v>
      </c>
      <c r="AD17" s="709" t="s">
        <v>56</v>
      </c>
      <c r="AE17" s="710"/>
      <c r="AF17" s="711"/>
      <c r="AG17" s="77"/>
      <c r="BD17" s="76" t="s">
        <v>61</v>
      </c>
    </row>
    <row r="18" spans="1:68" ht="14.25" customHeight="1" x14ac:dyDescent="0.25">
      <c r="A18" s="694"/>
      <c r="B18" s="694"/>
      <c r="C18" s="696"/>
      <c r="D18" s="699"/>
      <c r="E18" s="700"/>
      <c r="F18" s="694"/>
      <c r="G18" s="694"/>
      <c r="H18" s="694"/>
      <c r="I18" s="694"/>
      <c r="J18" s="694"/>
      <c r="K18" s="694"/>
      <c r="L18" s="694"/>
      <c r="M18" s="694"/>
      <c r="N18" s="694"/>
      <c r="O18" s="694"/>
      <c r="P18" s="699"/>
      <c r="Q18" s="702"/>
      <c r="R18" s="702"/>
      <c r="S18" s="702"/>
      <c r="T18" s="700"/>
      <c r="U18" s="78" t="s">
        <v>44</v>
      </c>
      <c r="V18" s="78" t="s">
        <v>43</v>
      </c>
      <c r="W18" s="694"/>
      <c r="X18" s="694"/>
      <c r="Y18" s="704"/>
      <c r="Z18" s="706"/>
      <c r="AA18" s="708"/>
      <c r="AB18" s="708"/>
      <c r="AC18" s="708"/>
      <c r="AD18" s="712"/>
      <c r="AE18" s="713"/>
      <c r="AF18" s="714"/>
      <c r="AG18" s="77"/>
      <c r="BD18" s="76"/>
    </row>
    <row r="19" spans="1:68" ht="27.75" hidden="1" customHeight="1" x14ac:dyDescent="0.25">
      <c r="A19" s="715" t="s">
        <v>75</v>
      </c>
      <c r="B19" s="715"/>
      <c r="C19" s="715"/>
      <c r="D19" s="715"/>
      <c r="E19" s="715"/>
      <c r="F19" s="715"/>
      <c r="G19" s="715"/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15"/>
      <c r="T19" s="715"/>
      <c r="U19" s="715"/>
      <c r="V19" s="715"/>
      <c r="W19" s="715"/>
      <c r="X19" s="715"/>
      <c r="Y19" s="715"/>
      <c r="Z19" s="715"/>
      <c r="AA19" s="52"/>
      <c r="AB19" s="52"/>
      <c r="AC19" s="52"/>
    </row>
    <row r="20" spans="1:68" ht="16.5" hidden="1" customHeight="1" x14ac:dyDescent="0.25">
      <c r="A20" s="716" t="s">
        <v>75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  <c r="AA20" s="62"/>
      <c r="AB20" s="62"/>
      <c r="AC20" s="62"/>
    </row>
    <row r="21" spans="1:68" ht="14.25" hidden="1" customHeight="1" x14ac:dyDescent="0.25">
      <c r="A21" s="717" t="s">
        <v>76</v>
      </c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17"/>
      <c r="Q21" s="717"/>
      <c r="R21" s="717"/>
      <c r="S21" s="717"/>
      <c r="T21" s="717"/>
      <c r="U21" s="717"/>
      <c r="V21" s="717"/>
      <c r="W21" s="717"/>
      <c r="X21" s="717"/>
      <c r="Y21" s="717"/>
      <c r="Z21" s="717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8">
        <v>4680115886643</v>
      </c>
      <c r="E22" s="71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0"/>
      <c r="R22" s="720"/>
      <c r="S22" s="720"/>
      <c r="T22" s="72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8">
        <v>4680115889071</v>
      </c>
      <c r="E23" s="71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0"/>
      <c r="R23" s="720"/>
      <c r="S23" s="720"/>
      <c r="T23" s="72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5">
      <c r="A24" s="726"/>
      <c r="B24" s="726"/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7"/>
      <c r="P24" s="723" t="s">
        <v>40</v>
      </c>
      <c r="Q24" s="724"/>
      <c r="R24" s="724"/>
      <c r="S24" s="724"/>
      <c r="T24" s="724"/>
      <c r="U24" s="724"/>
      <c r="V24" s="72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5">
      <c r="A25" s="726"/>
      <c r="B25" s="726"/>
      <c r="C25" s="726"/>
      <c r="D25" s="726"/>
      <c r="E25" s="726"/>
      <c r="F25" s="726"/>
      <c r="G25" s="726"/>
      <c r="H25" s="726"/>
      <c r="I25" s="726"/>
      <c r="J25" s="726"/>
      <c r="K25" s="726"/>
      <c r="L25" s="726"/>
      <c r="M25" s="726"/>
      <c r="N25" s="726"/>
      <c r="O25" s="727"/>
      <c r="P25" s="723" t="s">
        <v>40</v>
      </c>
      <c r="Q25" s="724"/>
      <c r="R25" s="724"/>
      <c r="S25" s="724"/>
      <c r="T25" s="724"/>
      <c r="U25" s="724"/>
      <c r="V25" s="72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7" t="s">
        <v>85</v>
      </c>
      <c r="B26" s="717"/>
      <c r="C26" s="717"/>
      <c r="D26" s="717"/>
      <c r="E26" s="717"/>
      <c r="F26" s="717"/>
      <c r="G26" s="717"/>
      <c r="H26" s="717"/>
      <c r="I26" s="717"/>
      <c r="J26" s="717"/>
      <c r="K26" s="717"/>
      <c r="L26" s="717"/>
      <c r="M26" s="717"/>
      <c r="N26" s="717"/>
      <c r="O26" s="717"/>
      <c r="P26" s="717"/>
      <c r="Q26" s="717"/>
      <c r="R26" s="717"/>
      <c r="S26" s="717"/>
      <c r="T26" s="717"/>
      <c r="U26" s="717"/>
      <c r="V26" s="717"/>
      <c r="W26" s="717"/>
      <c r="X26" s="717"/>
      <c r="Y26" s="717"/>
      <c r="Z26" s="717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8">
        <v>4680115885912</v>
      </c>
      <c r="E27" s="71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0"/>
      <c r="R27" s="720"/>
      <c r="S27" s="720"/>
      <c r="T27" s="72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8">
        <v>4607091388237</v>
      </c>
      <c r="E28" s="71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0"/>
      <c r="R28" s="720"/>
      <c r="S28" s="720"/>
      <c r="T28" s="72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8">
        <v>4680115887350</v>
      </c>
      <c r="E29" s="71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0"/>
      <c r="R29" s="720"/>
      <c r="S29" s="720"/>
      <c r="T29" s="72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8">
        <v>4680115885905</v>
      </c>
      <c r="E30" s="71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0"/>
      <c r="R30" s="720"/>
      <c r="S30" s="720"/>
      <c r="T30" s="72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8">
        <v>4680115887619</v>
      </c>
      <c r="E31" s="71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0"/>
      <c r="R31" s="720"/>
      <c r="S31" s="720"/>
      <c r="T31" s="72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5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3" t="s">
        <v>40</v>
      </c>
      <c r="Q32" s="724"/>
      <c r="R32" s="724"/>
      <c r="S32" s="724"/>
      <c r="T32" s="724"/>
      <c r="U32" s="724"/>
      <c r="V32" s="72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5">
      <c r="A33" s="726"/>
      <c r="B33" s="726"/>
      <c r="C33" s="726"/>
      <c r="D33" s="726"/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7"/>
      <c r="P33" s="723" t="s">
        <v>40</v>
      </c>
      <c r="Q33" s="724"/>
      <c r="R33" s="724"/>
      <c r="S33" s="724"/>
      <c r="T33" s="724"/>
      <c r="U33" s="724"/>
      <c r="V33" s="72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5">
      <c r="A34" s="715" t="s">
        <v>45</v>
      </c>
      <c r="B34" s="715"/>
      <c r="C34" s="715"/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715"/>
      <c r="O34" s="715"/>
      <c r="P34" s="715"/>
      <c r="Q34" s="715"/>
      <c r="R34" s="715"/>
      <c r="S34" s="715"/>
      <c r="T34" s="715"/>
      <c r="U34" s="715"/>
      <c r="V34" s="715"/>
      <c r="W34" s="715"/>
      <c r="X34" s="715"/>
      <c r="Y34" s="715"/>
      <c r="Z34" s="715"/>
      <c r="AA34" s="52"/>
      <c r="AB34" s="52"/>
      <c r="AC34" s="52"/>
    </row>
    <row r="35" spans="1:68" ht="16.5" hidden="1" customHeight="1" x14ac:dyDescent="0.25">
      <c r="A35" s="716" t="s">
        <v>103</v>
      </c>
      <c r="B35" s="716"/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  <c r="AA35" s="62"/>
      <c r="AB35" s="62"/>
      <c r="AC35" s="62"/>
    </row>
    <row r="36" spans="1:68" ht="14.25" hidden="1" customHeight="1" x14ac:dyDescent="0.25">
      <c r="A36" s="717" t="s">
        <v>85</v>
      </c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7"/>
      <c r="W36" s="717"/>
      <c r="X36" s="717"/>
      <c r="Y36" s="717"/>
      <c r="Z36" s="717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8">
        <v>4680115889354</v>
      </c>
      <c r="E37" s="71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0"/>
      <c r="R37" s="720"/>
      <c r="S37" s="720"/>
      <c r="T37" s="72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8">
        <v>4680115888463</v>
      </c>
      <c r="E38" s="71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0"/>
      <c r="R38" s="720"/>
      <c r="S38" s="720"/>
      <c r="T38" s="72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8">
        <v>4680115889590</v>
      </c>
      <c r="E39" s="71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0"/>
      <c r="R39" s="720"/>
      <c r="S39" s="720"/>
      <c r="T39" s="72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8">
        <v>4680115888272</v>
      </c>
      <c r="E40" s="71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0"/>
      <c r="R40" s="720"/>
      <c r="S40" s="720"/>
      <c r="T40" s="72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8">
        <v>4680115888364</v>
      </c>
      <c r="E41" s="71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0"/>
      <c r="R41" s="720"/>
      <c r="S41" s="720"/>
      <c r="T41" s="72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5">
      <c r="A42" s="726"/>
      <c r="B42" s="726"/>
      <c r="C42" s="726"/>
      <c r="D42" s="726"/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7"/>
      <c r="P42" s="723" t="s">
        <v>40</v>
      </c>
      <c r="Q42" s="724"/>
      <c r="R42" s="724"/>
      <c r="S42" s="724"/>
      <c r="T42" s="724"/>
      <c r="U42" s="724"/>
      <c r="V42" s="72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5">
      <c r="A43" s="72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7"/>
      <c r="P43" s="723" t="s">
        <v>40</v>
      </c>
      <c r="Q43" s="724"/>
      <c r="R43" s="724"/>
      <c r="S43" s="724"/>
      <c r="T43" s="724"/>
      <c r="U43" s="724"/>
      <c r="V43" s="72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5">
      <c r="A44" s="715" t="s">
        <v>119</v>
      </c>
      <c r="B44" s="715"/>
      <c r="C44" s="715"/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715"/>
      <c r="O44" s="715"/>
      <c r="P44" s="715"/>
      <c r="Q44" s="715"/>
      <c r="R44" s="715"/>
      <c r="S44" s="715"/>
      <c r="T44" s="715"/>
      <c r="U44" s="715"/>
      <c r="V44" s="715"/>
      <c r="W44" s="715"/>
      <c r="X44" s="715"/>
      <c r="Y44" s="715"/>
      <c r="Z44" s="715"/>
      <c r="AA44" s="52"/>
      <c r="AB44" s="52"/>
      <c r="AC44" s="52"/>
    </row>
    <row r="45" spans="1:68" ht="16.5" hidden="1" customHeight="1" x14ac:dyDescent="0.25">
      <c r="A45" s="716" t="s">
        <v>120</v>
      </c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  <c r="AA45" s="62"/>
      <c r="AB45" s="62"/>
      <c r="AC45" s="62"/>
    </row>
    <row r="46" spans="1:68" ht="14.25" hidden="1" customHeight="1" x14ac:dyDescent="0.25">
      <c r="A46" s="717" t="s">
        <v>121</v>
      </c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Y46" s="717"/>
      <c r="Z46" s="717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8">
        <v>4607091385670</v>
      </c>
      <c r="E47" s="71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0"/>
      <c r="R47" s="720"/>
      <c r="S47" s="720"/>
      <c r="T47" s="72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8">
        <v>4680115887725</v>
      </c>
      <c r="E48" s="71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0"/>
      <c r="R48" s="720"/>
      <c r="S48" s="720"/>
      <c r="T48" s="72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8">
        <v>4607091385687</v>
      </c>
      <c r="E49" s="71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0"/>
      <c r="R49" s="720"/>
      <c r="S49" s="720"/>
      <c r="T49" s="72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8">
        <v>4680115882539</v>
      </c>
      <c r="E50" s="71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0"/>
      <c r="R50" s="720"/>
      <c r="S50" s="720"/>
      <c r="T50" s="72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5">
      <c r="A51" s="726"/>
      <c r="B51" s="726"/>
      <c r="C51" s="726"/>
      <c r="D51" s="726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7"/>
      <c r="P51" s="723" t="s">
        <v>40</v>
      </c>
      <c r="Q51" s="724"/>
      <c r="R51" s="724"/>
      <c r="S51" s="724"/>
      <c r="T51" s="724"/>
      <c r="U51" s="724"/>
      <c r="V51" s="72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5">
      <c r="A52" s="726"/>
      <c r="B52" s="726"/>
      <c r="C52" s="726"/>
      <c r="D52" s="726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7"/>
      <c r="P52" s="723" t="s">
        <v>40</v>
      </c>
      <c r="Q52" s="724"/>
      <c r="R52" s="724"/>
      <c r="S52" s="724"/>
      <c r="T52" s="724"/>
      <c r="U52" s="724"/>
      <c r="V52" s="72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6" t="s">
        <v>136</v>
      </c>
      <c r="B53" s="716"/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  <c r="AA53" s="62"/>
      <c r="AB53" s="62"/>
      <c r="AC53" s="62"/>
    </row>
    <row r="54" spans="1:68" ht="14.25" hidden="1" customHeight="1" x14ac:dyDescent="0.25">
      <c r="A54" s="717" t="s">
        <v>121</v>
      </c>
      <c r="B54" s="717"/>
      <c r="C54" s="717"/>
      <c r="D54" s="717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Y54" s="717"/>
      <c r="Z54" s="717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8">
        <v>4680115885882</v>
      </c>
      <c r="E55" s="71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0"/>
      <c r="R55" s="720"/>
      <c r="S55" s="720"/>
      <c r="T55" s="72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8">
        <v>4680115881426</v>
      </c>
      <c r="E56" s="71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0"/>
      <c r="R56" s="720"/>
      <c r="S56" s="720"/>
      <c r="T56" s="72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140</v>
      </c>
      <c r="B57" s="60" t="s">
        <v>143</v>
      </c>
      <c r="C57" s="34">
        <v>4301012162</v>
      </c>
      <c r="D57" s="718">
        <v>4680115881426</v>
      </c>
      <c r="E57" s="718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126</v>
      </c>
      <c r="L57" s="35" t="s">
        <v>46</v>
      </c>
      <c r="M57" s="36" t="s">
        <v>125</v>
      </c>
      <c r="N57" s="36"/>
      <c r="O57" s="35">
        <v>50</v>
      </c>
      <c r="P57" s="74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0"/>
      <c r="R57" s="720"/>
      <c r="S57" s="720"/>
      <c r="T57" s="72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144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145</v>
      </c>
      <c r="B58" s="60" t="s">
        <v>146</v>
      </c>
      <c r="C58" s="34">
        <v>4301012259</v>
      </c>
      <c r="D58" s="718">
        <v>4680115880283</v>
      </c>
      <c r="E58" s="718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45</v>
      </c>
      <c r="P58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0"/>
      <c r="R58" s="720"/>
      <c r="S58" s="720"/>
      <c r="T58" s="72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147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148</v>
      </c>
      <c r="B59" s="60" t="s">
        <v>149</v>
      </c>
      <c r="C59" s="34">
        <v>4301011806</v>
      </c>
      <c r="D59" s="718">
        <v>4680115881525</v>
      </c>
      <c r="E59" s="71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0"/>
      <c r="R59" s="720"/>
      <c r="S59" s="720"/>
      <c r="T59" s="72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148</v>
      </c>
      <c r="B60" s="60" t="s">
        <v>151</v>
      </c>
      <c r="C60" s="34">
        <v>4301012159</v>
      </c>
      <c r="D60" s="718">
        <v>4680115881525</v>
      </c>
      <c r="E60" s="718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0"/>
      <c r="R60" s="720"/>
      <c r="S60" s="720"/>
      <c r="T60" s="72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144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152</v>
      </c>
      <c r="B61" s="60" t="s">
        <v>153</v>
      </c>
      <c r="C61" s="34">
        <v>4301012165</v>
      </c>
      <c r="D61" s="718">
        <v>4680115885899</v>
      </c>
      <c r="E61" s="718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90</v>
      </c>
      <c r="L61" s="35" t="s">
        <v>46</v>
      </c>
      <c r="M61" s="36" t="s">
        <v>125</v>
      </c>
      <c r="N61" s="36"/>
      <c r="O61" s="35">
        <v>50</v>
      </c>
      <c r="P61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0"/>
      <c r="R61" s="720"/>
      <c r="S61" s="720"/>
      <c r="T61" s="72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139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154</v>
      </c>
      <c r="B62" s="60" t="s">
        <v>155</v>
      </c>
      <c r="C62" s="34">
        <v>4301011801</v>
      </c>
      <c r="D62" s="718">
        <v>4680115881419</v>
      </c>
      <c r="E62" s="718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133</v>
      </c>
      <c r="L62" s="35" t="s">
        <v>46</v>
      </c>
      <c r="M62" s="36" t="s">
        <v>125</v>
      </c>
      <c r="N62" s="36"/>
      <c r="O62" s="35">
        <v>50</v>
      </c>
      <c r="P62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0"/>
      <c r="R62" s="720"/>
      <c r="S62" s="720"/>
      <c r="T62" s="72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156</v>
      </c>
      <c r="AG62" s="75"/>
      <c r="AJ62" s="79" t="s">
        <v>46</v>
      </c>
      <c r="AK62" s="79">
        <v>0</v>
      </c>
      <c r="BB62" s="128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154</v>
      </c>
      <c r="B63" s="60" t="s">
        <v>157</v>
      </c>
      <c r="C63" s="34">
        <v>4301012158</v>
      </c>
      <c r="D63" s="718">
        <v>4680115881419</v>
      </c>
      <c r="E63" s="718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133</v>
      </c>
      <c r="L63" s="35" t="s">
        <v>46</v>
      </c>
      <c r="M63" s="36" t="s">
        <v>125</v>
      </c>
      <c r="N63" s="36"/>
      <c r="O63" s="35">
        <v>50</v>
      </c>
      <c r="P63" s="75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0"/>
      <c r="R63" s="720"/>
      <c r="S63" s="720"/>
      <c r="T63" s="72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144</v>
      </c>
      <c r="AG63" s="75"/>
      <c r="AJ63" s="79" t="s">
        <v>46</v>
      </c>
      <c r="AK63" s="79">
        <v>0</v>
      </c>
      <c r="BB63" s="130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idden="1" x14ac:dyDescent="0.25">
      <c r="A64" s="726"/>
      <c r="B64" s="726"/>
      <c r="C64" s="726"/>
      <c r="D64" s="726"/>
      <c r="E64" s="726"/>
      <c r="F64" s="726"/>
      <c r="G64" s="726"/>
      <c r="H64" s="726"/>
      <c r="I64" s="726"/>
      <c r="J64" s="726"/>
      <c r="K64" s="726"/>
      <c r="L64" s="726"/>
      <c r="M64" s="726"/>
      <c r="N64" s="726"/>
      <c r="O64" s="727"/>
      <c r="P64" s="723" t="s">
        <v>40</v>
      </c>
      <c r="Q64" s="724"/>
      <c r="R64" s="724"/>
      <c r="S64" s="724"/>
      <c r="T64" s="724"/>
      <c r="U64" s="724"/>
      <c r="V64" s="725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0</v>
      </c>
      <c r="Y64" s="41">
        <f>IFERROR(Y55/H55,"0")+IFERROR(Y56/H56,"0")+IFERROR(Y57/H57,"0")+IFERROR(Y58/H58,"0")+IFERROR(Y59/H59,"0")+IFERROR(Y60/H60,"0")+IFERROR(Y61/H61,"0")+IFERROR(Y62/H62,"0")+IFERROR(Y63/H63,"0")</f>
        <v>0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"/>
      <c r="AB64" s="64"/>
      <c r="AC64" s="64"/>
    </row>
    <row r="65" spans="1:68" hidden="1" x14ac:dyDescent="0.25">
      <c r="A65" s="726"/>
      <c r="B65" s="726"/>
      <c r="C65" s="726"/>
      <c r="D65" s="726"/>
      <c r="E65" s="726"/>
      <c r="F65" s="726"/>
      <c r="G65" s="726"/>
      <c r="H65" s="726"/>
      <c r="I65" s="726"/>
      <c r="J65" s="726"/>
      <c r="K65" s="726"/>
      <c r="L65" s="726"/>
      <c r="M65" s="726"/>
      <c r="N65" s="726"/>
      <c r="O65" s="727"/>
      <c r="P65" s="723" t="s">
        <v>40</v>
      </c>
      <c r="Q65" s="724"/>
      <c r="R65" s="724"/>
      <c r="S65" s="724"/>
      <c r="T65" s="724"/>
      <c r="U65" s="724"/>
      <c r="V65" s="725"/>
      <c r="W65" s="40" t="s">
        <v>0</v>
      </c>
      <c r="X65" s="41">
        <f>IFERROR(SUM(X55:X63),"0")</f>
        <v>0</v>
      </c>
      <c r="Y65" s="41">
        <f>IFERROR(SUM(Y55:Y63),"0")</f>
        <v>0</v>
      </c>
      <c r="Z65" s="40"/>
      <c r="AA65" s="64"/>
      <c r="AB65" s="64"/>
      <c r="AC65" s="64"/>
    </row>
    <row r="66" spans="1:68" ht="14.25" hidden="1" customHeight="1" x14ac:dyDescent="0.25">
      <c r="A66" s="717" t="s">
        <v>158</v>
      </c>
      <c r="B66" s="717"/>
      <c r="C66" s="717"/>
      <c r="D66" s="717"/>
      <c r="E66" s="717"/>
      <c r="F66" s="717"/>
      <c r="G66" s="717"/>
      <c r="H66" s="717"/>
      <c r="I66" s="717"/>
      <c r="J66" s="717"/>
      <c r="K66" s="717"/>
      <c r="L66" s="717"/>
      <c r="M66" s="717"/>
      <c r="N66" s="717"/>
      <c r="O66" s="717"/>
      <c r="P66" s="717"/>
      <c r="Q66" s="717"/>
      <c r="R66" s="717"/>
      <c r="S66" s="717"/>
      <c r="T66" s="717"/>
      <c r="U66" s="717"/>
      <c r="V66" s="717"/>
      <c r="W66" s="717"/>
      <c r="X66" s="717"/>
      <c r="Y66" s="717"/>
      <c r="Z66" s="717"/>
      <c r="AA66" s="63"/>
      <c r="AB66" s="63"/>
      <c r="AC66" s="63"/>
    </row>
    <row r="67" spans="1:68" ht="16.5" hidden="1" customHeight="1" x14ac:dyDescent="0.25">
      <c r="A67" s="60" t="s">
        <v>159</v>
      </c>
      <c r="B67" s="60" t="s">
        <v>160</v>
      </c>
      <c r="C67" s="34">
        <v>4301020298</v>
      </c>
      <c r="D67" s="718">
        <v>4680115881440</v>
      </c>
      <c r="E67" s="718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126</v>
      </c>
      <c r="L67" s="35" t="s">
        <v>46</v>
      </c>
      <c r="M67" s="36" t="s">
        <v>125</v>
      </c>
      <c r="N67" s="36"/>
      <c r="O67" s="35">
        <v>50</v>
      </c>
      <c r="P67" s="7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0"/>
      <c r="R67" s="720"/>
      <c r="S67" s="720"/>
      <c r="T67" s="72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IFERROR(IF(Y67=0,"",ROUNDUP(Y67/H67,0)*0.01898),"")</f>
        <v/>
      </c>
      <c r="AA67" s="65" t="s">
        <v>46</v>
      </c>
      <c r="AB67" s="66" t="s">
        <v>46</v>
      </c>
      <c r="AC67" s="131" t="s">
        <v>161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159</v>
      </c>
      <c r="B68" s="60" t="s">
        <v>162</v>
      </c>
      <c r="C68" s="34">
        <v>4301020390</v>
      </c>
      <c r="D68" s="718">
        <v>4680115881440</v>
      </c>
      <c r="E68" s="718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126</v>
      </c>
      <c r="L68" s="35" t="s">
        <v>46</v>
      </c>
      <c r="M68" s="36" t="s">
        <v>125</v>
      </c>
      <c r="N68" s="36"/>
      <c r="O68" s="35">
        <v>50</v>
      </c>
      <c r="P68" s="7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0"/>
      <c r="R68" s="720"/>
      <c r="S68" s="720"/>
      <c r="T68" s="72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163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16.5" hidden="1" customHeight="1" x14ac:dyDescent="0.25">
      <c r="A69" s="60" t="s">
        <v>164</v>
      </c>
      <c r="B69" s="60" t="s">
        <v>165</v>
      </c>
      <c r="C69" s="34">
        <v>4301020358</v>
      </c>
      <c r="D69" s="718">
        <v>4680115885950</v>
      </c>
      <c r="E69" s="718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90</v>
      </c>
      <c r="L69" s="35" t="s">
        <v>46</v>
      </c>
      <c r="M69" s="36" t="s">
        <v>89</v>
      </c>
      <c r="N69" s="36"/>
      <c r="O69" s="35">
        <v>50</v>
      </c>
      <c r="P69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0"/>
      <c r="R69" s="720"/>
      <c r="S69" s="720"/>
      <c r="T69" s="72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161</v>
      </c>
      <c r="AG69" s="75"/>
      <c r="AJ69" s="79" t="s">
        <v>46</v>
      </c>
      <c r="AK69" s="79">
        <v>0</v>
      </c>
      <c r="BB69" s="136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166</v>
      </c>
      <c r="B70" s="60" t="s">
        <v>167</v>
      </c>
      <c r="C70" s="34">
        <v>4301020371</v>
      </c>
      <c r="D70" s="718">
        <v>4680115887688</v>
      </c>
      <c r="E70" s="718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130</v>
      </c>
      <c r="L70" s="35" t="s">
        <v>46</v>
      </c>
      <c r="M70" s="36" t="s">
        <v>80</v>
      </c>
      <c r="N70" s="36"/>
      <c r="O70" s="35">
        <v>30</v>
      </c>
      <c r="P70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0"/>
      <c r="R70" s="720"/>
      <c r="S70" s="720"/>
      <c r="T70" s="72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168</v>
      </c>
      <c r="AG70" s="75"/>
      <c r="AJ70" s="79" t="s">
        <v>46</v>
      </c>
      <c r="AK70" s="79">
        <v>0</v>
      </c>
      <c r="BB70" s="138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27" hidden="1" customHeight="1" x14ac:dyDescent="0.25">
      <c r="A71" s="60" t="s">
        <v>169</v>
      </c>
      <c r="B71" s="60" t="s">
        <v>170</v>
      </c>
      <c r="C71" s="34">
        <v>4301020389</v>
      </c>
      <c r="D71" s="718">
        <v>4680115881433</v>
      </c>
      <c r="E71" s="718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90</v>
      </c>
      <c r="L71" s="35" t="s">
        <v>46</v>
      </c>
      <c r="M71" s="36" t="s">
        <v>125</v>
      </c>
      <c r="N71" s="36"/>
      <c r="O71" s="35">
        <v>50</v>
      </c>
      <c r="P71" s="75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0"/>
      <c r="R71" s="720"/>
      <c r="S71" s="720"/>
      <c r="T71" s="72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9" t="s">
        <v>163</v>
      </c>
      <c r="AG71" s="75"/>
      <c r="AJ71" s="79" t="s">
        <v>46</v>
      </c>
      <c r="AK71" s="79">
        <v>0</v>
      </c>
      <c r="BB71" s="140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idden="1" x14ac:dyDescent="0.25">
      <c r="A72" s="726"/>
      <c r="B72" s="726"/>
      <c r="C72" s="726"/>
      <c r="D72" s="726"/>
      <c r="E72" s="726"/>
      <c r="F72" s="726"/>
      <c r="G72" s="726"/>
      <c r="H72" s="726"/>
      <c r="I72" s="726"/>
      <c r="J72" s="726"/>
      <c r="K72" s="726"/>
      <c r="L72" s="726"/>
      <c r="M72" s="726"/>
      <c r="N72" s="726"/>
      <c r="O72" s="727"/>
      <c r="P72" s="723" t="s">
        <v>40</v>
      </c>
      <c r="Q72" s="724"/>
      <c r="R72" s="724"/>
      <c r="S72" s="724"/>
      <c r="T72" s="724"/>
      <c r="U72" s="724"/>
      <c r="V72" s="725"/>
      <c r="W72" s="40" t="s">
        <v>39</v>
      </c>
      <c r="X72" s="41">
        <f>IFERROR(X67/H67,"0")+IFERROR(X68/H68,"0")+IFERROR(X69/H69,"0")+IFERROR(X70/H70,"0")+IFERROR(X71/H71,"0")</f>
        <v>0</v>
      </c>
      <c r="Y72" s="41">
        <f>IFERROR(Y67/H67,"0")+IFERROR(Y68/H68,"0")+IFERROR(Y69/H69,"0")+IFERROR(Y70/H70,"0")+IFERROR(Y71/H71,"0")</f>
        <v>0</v>
      </c>
      <c r="Z72" s="41">
        <f>IFERROR(IF(Z67="",0,Z67),"0")+IFERROR(IF(Z68="",0,Z68),"0")+IFERROR(IF(Z69="",0,Z69),"0")+IFERROR(IF(Z70="",0,Z70),"0")+IFERROR(IF(Z71="",0,Z71),"0")</f>
        <v>0</v>
      </c>
      <c r="AA72" s="64"/>
      <c r="AB72" s="64"/>
      <c r="AC72" s="64"/>
    </row>
    <row r="73" spans="1:68" hidden="1" x14ac:dyDescent="0.25">
      <c r="A73" s="726"/>
      <c r="B73" s="726"/>
      <c r="C73" s="726"/>
      <c r="D73" s="726"/>
      <c r="E73" s="726"/>
      <c r="F73" s="726"/>
      <c r="G73" s="726"/>
      <c r="H73" s="726"/>
      <c r="I73" s="726"/>
      <c r="J73" s="726"/>
      <c r="K73" s="726"/>
      <c r="L73" s="726"/>
      <c r="M73" s="726"/>
      <c r="N73" s="726"/>
      <c r="O73" s="727"/>
      <c r="P73" s="723" t="s">
        <v>40</v>
      </c>
      <c r="Q73" s="724"/>
      <c r="R73" s="724"/>
      <c r="S73" s="724"/>
      <c r="T73" s="724"/>
      <c r="U73" s="724"/>
      <c r="V73" s="725"/>
      <c r="W73" s="40" t="s">
        <v>0</v>
      </c>
      <c r="X73" s="41">
        <f>IFERROR(SUM(X67:X71),"0")</f>
        <v>0</v>
      </c>
      <c r="Y73" s="41">
        <f>IFERROR(SUM(Y67:Y71),"0")</f>
        <v>0</v>
      </c>
      <c r="Z73" s="40"/>
      <c r="AA73" s="64"/>
      <c r="AB73" s="64"/>
      <c r="AC73" s="64"/>
    </row>
    <row r="74" spans="1:68" ht="14.25" hidden="1" customHeight="1" x14ac:dyDescent="0.25">
      <c r="A74" s="717" t="s">
        <v>85</v>
      </c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7"/>
      <c r="P74" s="717"/>
      <c r="Q74" s="717"/>
      <c r="R74" s="717"/>
      <c r="S74" s="717"/>
      <c r="T74" s="717"/>
      <c r="U74" s="717"/>
      <c r="V74" s="717"/>
      <c r="W74" s="717"/>
      <c r="X74" s="717"/>
      <c r="Y74" s="717"/>
      <c r="Z74" s="717"/>
      <c r="AA74" s="63"/>
      <c r="AB74" s="63"/>
      <c r="AC74" s="63"/>
    </row>
    <row r="75" spans="1:68" ht="16.5" hidden="1" customHeight="1" x14ac:dyDescent="0.25">
      <c r="A75" s="60" t="s">
        <v>171</v>
      </c>
      <c r="B75" s="60" t="s">
        <v>172</v>
      </c>
      <c r="C75" s="34">
        <v>4301051837</v>
      </c>
      <c r="D75" s="718">
        <v>4680115884311</v>
      </c>
      <c r="E75" s="718"/>
      <c r="F75" s="59">
        <v>0.3</v>
      </c>
      <c r="G75" s="35">
        <v>6</v>
      </c>
      <c r="H75" s="59">
        <v>1.8</v>
      </c>
      <c r="I75" s="59">
        <v>2.0459999999999998</v>
      </c>
      <c r="J75" s="35">
        <v>182</v>
      </c>
      <c r="K75" s="35" t="s">
        <v>90</v>
      </c>
      <c r="L75" s="35" t="s">
        <v>46</v>
      </c>
      <c r="M75" s="36" t="s">
        <v>89</v>
      </c>
      <c r="N75" s="36"/>
      <c r="O75" s="35">
        <v>40</v>
      </c>
      <c r="P75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0"/>
      <c r="R75" s="720"/>
      <c r="S75" s="720"/>
      <c r="T75" s="721"/>
      <c r="U75" s="37" t="s">
        <v>46</v>
      </c>
      <c r="V75" s="37" t="s">
        <v>46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46</v>
      </c>
      <c r="AB75" s="66" t="s">
        <v>46</v>
      </c>
      <c r="AC75" s="141" t="s">
        <v>173</v>
      </c>
      <c r="AG75" s="75"/>
      <c r="AJ75" s="79" t="s">
        <v>46</v>
      </c>
      <c r="AK75" s="79">
        <v>0</v>
      </c>
      <c r="BB75" s="142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174</v>
      </c>
      <c r="B76" s="60" t="s">
        <v>175</v>
      </c>
      <c r="C76" s="34">
        <v>4301052083</v>
      </c>
      <c r="D76" s="718">
        <v>4680115884403</v>
      </c>
      <c r="E76" s="718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90</v>
      </c>
      <c r="L76" s="35" t="s">
        <v>46</v>
      </c>
      <c r="M76" s="36" t="s">
        <v>89</v>
      </c>
      <c r="N76" s="36"/>
      <c r="O76" s="35">
        <v>40</v>
      </c>
      <c r="P76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0"/>
      <c r="R76" s="720"/>
      <c r="S76" s="720"/>
      <c r="T76" s="72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176</v>
      </c>
      <c r="AG76" s="75"/>
      <c r="AJ76" s="79" t="s">
        <v>46</v>
      </c>
      <c r="AK76" s="79">
        <v>0</v>
      </c>
      <c r="BB76" s="144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5">
      <c r="A77" s="726"/>
      <c r="B77" s="726"/>
      <c r="C77" s="726"/>
      <c r="D77" s="726"/>
      <c r="E77" s="726"/>
      <c r="F77" s="726"/>
      <c r="G77" s="726"/>
      <c r="H77" s="726"/>
      <c r="I77" s="726"/>
      <c r="J77" s="726"/>
      <c r="K77" s="726"/>
      <c r="L77" s="726"/>
      <c r="M77" s="726"/>
      <c r="N77" s="726"/>
      <c r="O77" s="727"/>
      <c r="P77" s="723" t="s">
        <v>40</v>
      </c>
      <c r="Q77" s="724"/>
      <c r="R77" s="724"/>
      <c r="S77" s="724"/>
      <c r="T77" s="724"/>
      <c r="U77" s="724"/>
      <c r="V77" s="725"/>
      <c r="W77" s="40" t="s">
        <v>39</v>
      </c>
      <c r="X77" s="41">
        <f>IFERROR(X75/H75,"0")+IFERROR(X76/H76,"0")</f>
        <v>0</v>
      </c>
      <c r="Y77" s="41">
        <f>IFERROR(Y75/H75,"0")+IFERROR(Y76/H76,"0")</f>
        <v>0</v>
      </c>
      <c r="Z77" s="41">
        <f>IFERROR(IF(Z75="",0,Z75),"0")+IFERROR(IF(Z76="",0,Z76),"0")</f>
        <v>0</v>
      </c>
      <c r="AA77" s="64"/>
      <c r="AB77" s="64"/>
      <c r="AC77" s="64"/>
    </row>
    <row r="78" spans="1:68" hidden="1" x14ac:dyDescent="0.25">
      <c r="A78" s="726"/>
      <c r="B78" s="726"/>
      <c r="C78" s="726"/>
      <c r="D78" s="726"/>
      <c r="E78" s="726"/>
      <c r="F78" s="726"/>
      <c r="G78" s="726"/>
      <c r="H78" s="726"/>
      <c r="I78" s="726"/>
      <c r="J78" s="726"/>
      <c r="K78" s="726"/>
      <c r="L78" s="726"/>
      <c r="M78" s="726"/>
      <c r="N78" s="726"/>
      <c r="O78" s="727"/>
      <c r="P78" s="723" t="s">
        <v>40</v>
      </c>
      <c r="Q78" s="724"/>
      <c r="R78" s="724"/>
      <c r="S78" s="724"/>
      <c r="T78" s="724"/>
      <c r="U78" s="724"/>
      <c r="V78" s="725"/>
      <c r="W78" s="40" t="s">
        <v>0</v>
      </c>
      <c r="X78" s="41">
        <f>IFERROR(SUM(X75:X76),"0")</f>
        <v>0</v>
      </c>
      <c r="Y78" s="41">
        <f>IFERROR(SUM(Y75:Y76),"0")</f>
        <v>0</v>
      </c>
      <c r="Z78" s="40"/>
      <c r="AA78" s="64"/>
      <c r="AB78" s="64"/>
      <c r="AC78" s="64"/>
    </row>
    <row r="79" spans="1:68" ht="14.25" hidden="1" customHeight="1" x14ac:dyDescent="0.25">
      <c r="A79" s="717" t="s">
        <v>177</v>
      </c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7"/>
      <c r="P79" s="717"/>
      <c r="Q79" s="717"/>
      <c r="R79" s="717"/>
      <c r="S79" s="717"/>
      <c r="T79" s="717"/>
      <c r="U79" s="717"/>
      <c r="V79" s="717"/>
      <c r="W79" s="717"/>
      <c r="X79" s="717"/>
      <c r="Y79" s="717"/>
      <c r="Z79" s="717"/>
      <c r="AA79" s="63"/>
      <c r="AB79" s="63"/>
      <c r="AC79" s="63"/>
    </row>
    <row r="80" spans="1:68" ht="27" hidden="1" customHeight="1" x14ac:dyDescent="0.25">
      <c r="A80" s="60" t="s">
        <v>178</v>
      </c>
      <c r="B80" s="60" t="s">
        <v>179</v>
      </c>
      <c r="C80" s="34">
        <v>4301060455</v>
      </c>
      <c r="D80" s="718">
        <v>4680115881532</v>
      </c>
      <c r="E80" s="718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126</v>
      </c>
      <c r="L80" s="35" t="s">
        <v>46</v>
      </c>
      <c r="M80" s="36" t="s">
        <v>96</v>
      </c>
      <c r="N80" s="36"/>
      <c r="O80" s="35">
        <v>30</v>
      </c>
      <c r="P80" s="7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0"/>
      <c r="R80" s="720"/>
      <c r="S80" s="720"/>
      <c r="T80" s="72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178</v>
      </c>
      <c r="B81" s="60" t="s">
        <v>181</v>
      </c>
      <c r="C81" s="34">
        <v>4301060526</v>
      </c>
      <c r="D81" s="718">
        <v>4680115881532</v>
      </c>
      <c r="E81" s="71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126</v>
      </c>
      <c r="L81" s="35" t="s">
        <v>46</v>
      </c>
      <c r="M81" s="36" t="s">
        <v>96</v>
      </c>
      <c r="N81" s="36"/>
      <c r="O81" s="35">
        <v>30</v>
      </c>
      <c r="P81" s="7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0"/>
      <c r="R81" s="720"/>
      <c r="S81" s="720"/>
      <c r="T81" s="72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180</v>
      </c>
      <c r="AG81" s="75"/>
      <c r="AJ81" s="79" t="s">
        <v>46</v>
      </c>
      <c r="AK81" s="79">
        <v>0</v>
      </c>
      <c r="BB81" s="148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182</v>
      </c>
      <c r="B82" s="60" t="s">
        <v>183</v>
      </c>
      <c r="C82" s="34">
        <v>4301060527</v>
      </c>
      <c r="D82" s="718">
        <v>4680115881464</v>
      </c>
      <c r="E82" s="71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133</v>
      </c>
      <c r="L82" s="35" t="s">
        <v>46</v>
      </c>
      <c r="M82" s="36" t="s">
        <v>89</v>
      </c>
      <c r="N82" s="36"/>
      <c r="O82" s="35">
        <v>30</v>
      </c>
      <c r="P82" s="76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0"/>
      <c r="R82" s="720"/>
      <c r="S82" s="720"/>
      <c r="T82" s="72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9" t="s">
        <v>184</v>
      </c>
      <c r="AG82" s="75"/>
      <c r="AJ82" s="79" t="s">
        <v>46</v>
      </c>
      <c r="AK82" s="79">
        <v>0</v>
      </c>
      <c r="BB82" s="150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5">
      <c r="A83" s="726"/>
      <c r="B83" s="726"/>
      <c r="C83" s="726"/>
      <c r="D83" s="726"/>
      <c r="E83" s="726"/>
      <c r="F83" s="726"/>
      <c r="G83" s="726"/>
      <c r="H83" s="726"/>
      <c r="I83" s="726"/>
      <c r="J83" s="726"/>
      <c r="K83" s="726"/>
      <c r="L83" s="726"/>
      <c r="M83" s="726"/>
      <c r="N83" s="726"/>
      <c r="O83" s="727"/>
      <c r="P83" s="723" t="s">
        <v>40</v>
      </c>
      <c r="Q83" s="724"/>
      <c r="R83" s="724"/>
      <c r="S83" s="724"/>
      <c r="T83" s="724"/>
      <c r="U83" s="724"/>
      <c r="V83" s="725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hidden="1" x14ac:dyDescent="0.25">
      <c r="A84" s="726"/>
      <c r="B84" s="726"/>
      <c r="C84" s="726"/>
      <c r="D84" s="726"/>
      <c r="E84" s="726"/>
      <c r="F84" s="726"/>
      <c r="G84" s="726"/>
      <c r="H84" s="726"/>
      <c r="I84" s="726"/>
      <c r="J84" s="726"/>
      <c r="K84" s="726"/>
      <c r="L84" s="726"/>
      <c r="M84" s="726"/>
      <c r="N84" s="726"/>
      <c r="O84" s="727"/>
      <c r="P84" s="723" t="s">
        <v>40</v>
      </c>
      <c r="Q84" s="724"/>
      <c r="R84" s="724"/>
      <c r="S84" s="724"/>
      <c r="T84" s="724"/>
      <c r="U84" s="724"/>
      <c r="V84" s="725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hidden="1" customHeight="1" x14ac:dyDescent="0.25">
      <c r="A85" s="716" t="s">
        <v>185</v>
      </c>
      <c r="B85" s="716"/>
      <c r="C85" s="716"/>
      <c r="D85" s="716"/>
      <c r="E85" s="716"/>
      <c r="F85" s="716"/>
      <c r="G85" s="716"/>
      <c r="H85" s="716"/>
      <c r="I85" s="716"/>
      <c r="J85" s="716"/>
      <c r="K85" s="716"/>
      <c r="L85" s="716"/>
      <c r="M85" s="716"/>
      <c r="N85" s="716"/>
      <c r="O85" s="716"/>
      <c r="P85" s="716"/>
      <c r="Q85" s="716"/>
      <c r="R85" s="716"/>
      <c r="S85" s="716"/>
      <c r="T85" s="716"/>
      <c r="U85" s="716"/>
      <c r="V85" s="716"/>
      <c r="W85" s="716"/>
      <c r="X85" s="716"/>
      <c r="Y85" s="716"/>
      <c r="Z85" s="716"/>
      <c r="AA85" s="62"/>
      <c r="AB85" s="62"/>
      <c r="AC85" s="62"/>
    </row>
    <row r="86" spans="1:68" ht="14.25" hidden="1" customHeight="1" x14ac:dyDescent="0.25">
      <c r="A86" s="717" t="s">
        <v>121</v>
      </c>
      <c r="B86" s="717"/>
      <c r="C86" s="717"/>
      <c r="D86" s="717"/>
      <c r="E86" s="717"/>
      <c r="F86" s="717"/>
      <c r="G86" s="717"/>
      <c r="H86" s="717"/>
      <c r="I86" s="717"/>
      <c r="J86" s="717"/>
      <c r="K86" s="717"/>
      <c r="L86" s="717"/>
      <c r="M86" s="717"/>
      <c r="N86" s="717"/>
      <c r="O86" s="717"/>
      <c r="P86" s="717"/>
      <c r="Q86" s="717"/>
      <c r="R86" s="717"/>
      <c r="S86" s="717"/>
      <c r="T86" s="717"/>
      <c r="U86" s="717"/>
      <c r="V86" s="717"/>
      <c r="W86" s="717"/>
      <c r="X86" s="717"/>
      <c r="Y86" s="717"/>
      <c r="Z86" s="717"/>
      <c r="AA86" s="63"/>
      <c r="AB86" s="63"/>
      <c r="AC86" s="63"/>
    </row>
    <row r="87" spans="1:68" ht="27" hidden="1" customHeight="1" x14ac:dyDescent="0.25">
      <c r="A87" s="60" t="s">
        <v>186</v>
      </c>
      <c r="B87" s="60" t="s">
        <v>187</v>
      </c>
      <c r="C87" s="34">
        <v>4301011468</v>
      </c>
      <c r="D87" s="718">
        <v>4680115881327</v>
      </c>
      <c r="E87" s="71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126</v>
      </c>
      <c r="L87" s="35" t="s">
        <v>46</v>
      </c>
      <c r="M87" s="36" t="s">
        <v>96</v>
      </c>
      <c r="N87" s="36"/>
      <c r="O87" s="35">
        <v>50</v>
      </c>
      <c r="P87" s="7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0"/>
      <c r="R87" s="720"/>
      <c r="S87" s="720"/>
      <c r="T87" s="72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189</v>
      </c>
      <c r="B88" s="60" t="s">
        <v>190</v>
      </c>
      <c r="C88" s="34">
        <v>4301012392</v>
      </c>
      <c r="D88" s="718">
        <v>4680115887732</v>
      </c>
      <c r="E88" s="718"/>
      <c r="F88" s="59">
        <v>0.17</v>
      </c>
      <c r="G88" s="35">
        <v>8</v>
      </c>
      <c r="H88" s="59">
        <v>1.36</v>
      </c>
      <c r="I88" s="59">
        <v>1.54</v>
      </c>
      <c r="J88" s="35">
        <v>192</v>
      </c>
      <c r="K88" s="35" t="s">
        <v>130</v>
      </c>
      <c r="L88" s="35" t="s">
        <v>46</v>
      </c>
      <c r="M88" s="36" t="s">
        <v>80</v>
      </c>
      <c r="N88" s="36"/>
      <c r="O88" s="35">
        <v>30</v>
      </c>
      <c r="P88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0"/>
      <c r="R88" s="720"/>
      <c r="S88" s="720"/>
      <c r="T88" s="72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53" t="s">
        <v>191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4301011476</v>
      </c>
      <c r="D89" s="718">
        <v>4680115881518</v>
      </c>
      <c r="E89" s="71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133</v>
      </c>
      <c r="L89" s="35" t="s">
        <v>46</v>
      </c>
      <c r="M89" s="36" t="s">
        <v>89</v>
      </c>
      <c r="N89" s="36"/>
      <c r="O89" s="35">
        <v>50</v>
      </c>
      <c r="P89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0"/>
      <c r="R89" s="720"/>
      <c r="S89" s="720"/>
      <c r="T89" s="72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188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4301012252</v>
      </c>
      <c r="D90" s="718">
        <v>4680115881518</v>
      </c>
      <c r="E90" s="718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76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0"/>
      <c r="R90" s="720"/>
      <c r="S90" s="720"/>
      <c r="T90" s="72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188</v>
      </c>
      <c r="AG90" s="75"/>
      <c r="AJ90" s="79" t="s">
        <v>46</v>
      </c>
      <c r="AK90" s="79">
        <v>0</v>
      </c>
      <c r="BB90" s="158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195</v>
      </c>
      <c r="B91" s="60" t="s">
        <v>196</v>
      </c>
      <c r="C91" s="34">
        <v>4301012250</v>
      </c>
      <c r="D91" s="718">
        <v>4680115881303</v>
      </c>
      <c r="E91" s="718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133</v>
      </c>
      <c r="L91" s="35" t="s">
        <v>46</v>
      </c>
      <c r="M91" s="36" t="s">
        <v>125</v>
      </c>
      <c r="N91" s="36"/>
      <c r="O91" s="35">
        <v>50</v>
      </c>
      <c r="P91" s="76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0"/>
      <c r="R91" s="720"/>
      <c r="S91" s="720"/>
      <c r="T91" s="721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188</v>
      </c>
      <c r="AG91" s="75"/>
      <c r="AJ91" s="79" t="s">
        <v>46</v>
      </c>
      <c r="AK91" s="79">
        <v>0</v>
      </c>
      <c r="BB91" s="160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5">
      <c r="A92" s="726"/>
      <c r="B92" s="726"/>
      <c r="C92" s="726"/>
      <c r="D92" s="726"/>
      <c r="E92" s="726"/>
      <c r="F92" s="726"/>
      <c r="G92" s="726"/>
      <c r="H92" s="726"/>
      <c r="I92" s="726"/>
      <c r="J92" s="726"/>
      <c r="K92" s="726"/>
      <c r="L92" s="726"/>
      <c r="M92" s="726"/>
      <c r="N92" s="726"/>
      <c r="O92" s="727"/>
      <c r="P92" s="723" t="s">
        <v>40</v>
      </c>
      <c r="Q92" s="724"/>
      <c r="R92" s="724"/>
      <c r="S92" s="724"/>
      <c r="T92" s="724"/>
      <c r="U92" s="724"/>
      <c r="V92" s="725"/>
      <c r="W92" s="40" t="s">
        <v>39</v>
      </c>
      <c r="X92" s="41">
        <f>IFERROR(X87/H87,"0")+IFERROR(X88/H88,"0")+IFERROR(X89/H89,"0")+IFERROR(X90/H90,"0")+IFERROR(X91/H91,"0")</f>
        <v>0</v>
      </c>
      <c r="Y92" s="41">
        <f>IFERROR(Y87/H87,"0")+IFERROR(Y88/H88,"0")+IFERROR(Y89/H89,"0")+IFERROR(Y90/H90,"0")+IFERROR(Y91/H91,"0")</f>
        <v>0</v>
      </c>
      <c r="Z92" s="41">
        <f>IFERROR(IF(Z87="",0,Z87),"0")+IFERROR(IF(Z88="",0,Z88),"0")+IFERROR(IF(Z89="",0,Z89),"0")+IFERROR(IF(Z90="",0,Z90),"0")+IFERROR(IF(Z91="",0,Z91),"0")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5">
      <c r="A93" s="726"/>
      <c r="B93" s="726"/>
      <c r="C93" s="726"/>
      <c r="D93" s="726"/>
      <c r="E93" s="726"/>
      <c r="F93" s="726"/>
      <c r="G93" s="726"/>
      <c r="H93" s="726"/>
      <c r="I93" s="726"/>
      <c r="J93" s="726"/>
      <c r="K93" s="726"/>
      <c r="L93" s="726"/>
      <c r="M93" s="726"/>
      <c r="N93" s="726"/>
      <c r="O93" s="727"/>
      <c r="P93" s="723" t="s">
        <v>40</v>
      </c>
      <c r="Q93" s="724"/>
      <c r="R93" s="724"/>
      <c r="S93" s="724"/>
      <c r="T93" s="724"/>
      <c r="U93" s="724"/>
      <c r="V93" s="725"/>
      <c r="W93" s="40" t="s">
        <v>0</v>
      </c>
      <c r="X93" s="41">
        <f>IFERROR(SUM(X87:X91),"0")</f>
        <v>0</v>
      </c>
      <c r="Y93" s="41">
        <f>IFERROR(SUM(Y87:Y91),"0")</f>
        <v>0</v>
      </c>
      <c r="Z93" s="40"/>
      <c r="AA93" s="64"/>
      <c r="AB93" s="64"/>
      <c r="AC93" s="64"/>
    </row>
    <row r="94" spans="1:68" ht="14.25" hidden="1" customHeight="1" x14ac:dyDescent="0.25">
      <c r="A94" s="717" t="s">
        <v>85</v>
      </c>
      <c r="B94" s="717"/>
      <c r="C94" s="717"/>
      <c r="D94" s="717"/>
      <c r="E94" s="717"/>
      <c r="F94" s="717"/>
      <c r="G94" s="717"/>
      <c r="H94" s="717"/>
      <c r="I94" s="717"/>
      <c r="J94" s="717"/>
      <c r="K94" s="717"/>
      <c r="L94" s="717"/>
      <c r="M94" s="717"/>
      <c r="N94" s="717"/>
      <c r="O94" s="717"/>
      <c r="P94" s="717"/>
      <c r="Q94" s="717"/>
      <c r="R94" s="717"/>
      <c r="S94" s="717"/>
      <c r="T94" s="717"/>
      <c r="U94" s="717"/>
      <c r="V94" s="717"/>
      <c r="W94" s="717"/>
      <c r="X94" s="717"/>
      <c r="Y94" s="717"/>
      <c r="Z94" s="717"/>
      <c r="AA94" s="63"/>
      <c r="AB94" s="63"/>
      <c r="AC94" s="63"/>
    </row>
    <row r="95" spans="1:68" ht="27" hidden="1" customHeight="1" x14ac:dyDescent="0.25">
      <c r="A95" s="60" t="s">
        <v>197</v>
      </c>
      <c r="B95" s="60" t="s">
        <v>198</v>
      </c>
      <c r="C95" s="34">
        <v>4301052101</v>
      </c>
      <c r="D95" s="718">
        <v>4607091386967</v>
      </c>
      <c r="E95" s="718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126</v>
      </c>
      <c r="L95" s="35" t="s">
        <v>46</v>
      </c>
      <c r="M95" s="36" t="s">
        <v>96</v>
      </c>
      <c r="N95" s="36"/>
      <c r="O95" s="35">
        <v>45</v>
      </c>
      <c r="P95" s="76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0"/>
      <c r="R95" s="720"/>
      <c r="S95" s="720"/>
      <c r="T95" s="72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61" t="s">
        <v>199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200</v>
      </c>
      <c r="B96" s="60" t="s">
        <v>201</v>
      </c>
      <c r="C96" s="34">
        <v>4301052090</v>
      </c>
      <c r="D96" s="718">
        <v>4680115884953</v>
      </c>
      <c r="E96" s="718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6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0"/>
      <c r="R96" s="720"/>
      <c r="S96" s="720"/>
      <c r="T96" s="72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202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4301052094</v>
      </c>
      <c r="D97" s="718">
        <v>4607091385731</v>
      </c>
      <c r="E97" s="71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6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0"/>
      <c r="R97" s="720"/>
      <c r="S97" s="720"/>
      <c r="T97" s="72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199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18">
        <v>4680115880894</v>
      </c>
      <c r="E98" s="718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6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0"/>
      <c r="R98" s="720"/>
      <c r="S98" s="720"/>
      <c r="T98" s="721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5">
      <c r="A99" s="726"/>
      <c r="B99" s="726"/>
      <c r="C99" s="726"/>
      <c r="D99" s="726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7"/>
      <c r="P99" s="723" t="s">
        <v>40</v>
      </c>
      <c r="Q99" s="724"/>
      <c r="R99" s="724"/>
      <c r="S99" s="724"/>
      <c r="T99" s="724"/>
      <c r="U99" s="724"/>
      <c r="V99" s="725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5">
      <c r="A100" s="726"/>
      <c r="B100" s="726"/>
      <c r="C100" s="726"/>
      <c r="D100" s="726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7"/>
      <c r="P100" s="723" t="s">
        <v>40</v>
      </c>
      <c r="Q100" s="724"/>
      <c r="R100" s="724"/>
      <c r="S100" s="724"/>
      <c r="T100" s="724"/>
      <c r="U100" s="724"/>
      <c r="V100" s="725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16" t="s">
        <v>208</v>
      </c>
      <c r="B101" s="716"/>
      <c r="C101" s="716"/>
      <c r="D101" s="716"/>
      <c r="E101" s="716"/>
      <c r="F101" s="716"/>
      <c r="G101" s="716"/>
      <c r="H101" s="716"/>
      <c r="I101" s="716"/>
      <c r="J101" s="716"/>
      <c r="K101" s="716"/>
      <c r="L101" s="716"/>
      <c r="M101" s="716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  <c r="AA101" s="62"/>
      <c r="AB101" s="62"/>
      <c r="AC101" s="62"/>
    </row>
    <row r="102" spans="1:68" ht="14.25" hidden="1" customHeight="1" x14ac:dyDescent="0.25">
      <c r="A102" s="717" t="s">
        <v>121</v>
      </c>
      <c r="B102" s="717"/>
      <c r="C102" s="717"/>
      <c r="D102" s="717"/>
      <c r="E102" s="717"/>
      <c r="F102" s="717"/>
      <c r="G102" s="717"/>
      <c r="H102" s="717"/>
      <c r="I102" s="717"/>
      <c r="J102" s="717"/>
      <c r="K102" s="717"/>
      <c r="L102" s="717"/>
      <c r="M102" s="717"/>
      <c r="N102" s="717"/>
      <c r="O102" s="717"/>
      <c r="P102" s="717"/>
      <c r="Q102" s="717"/>
      <c r="R102" s="717"/>
      <c r="S102" s="717"/>
      <c r="T102" s="717"/>
      <c r="U102" s="717"/>
      <c r="V102" s="717"/>
      <c r="W102" s="717"/>
      <c r="X102" s="717"/>
      <c r="Y102" s="717"/>
      <c r="Z102" s="717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18">
        <v>4680115882133</v>
      </c>
      <c r="E103" s="718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7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0"/>
      <c r="R103" s="720"/>
      <c r="S103" s="720"/>
      <c r="T103" s="72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1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1" si="6">IFERROR(X103*I103/H103,"0")</f>
        <v>0</v>
      </c>
      <c r="BN103" s="75">
        <f t="shared" ref="BN103:BN111" si="7">IFERROR(Y103*I103/H103,"0")</f>
        <v>0</v>
      </c>
      <c r="BO103" s="75">
        <f t="shared" ref="BO103:BO111" si="8">IFERROR(1/J103*(X103/H103),"0")</f>
        <v>0</v>
      </c>
      <c r="BP103" s="75">
        <f t="shared" ref="BP103:BP111" si="9">IFERROR(1/J103*(Y103/H103),"0")</f>
        <v>0</v>
      </c>
    </row>
    <row r="104" spans="1:68" ht="27" hidden="1" customHeight="1" x14ac:dyDescent="0.25">
      <c r="A104" s="60" t="s">
        <v>209</v>
      </c>
      <c r="B104" s="60" t="s">
        <v>212</v>
      </c>
      <c r="C104" s="34">
        <v>4301012256</v>
      </c>
      <c r="D104" s="718">
        <v>4680115882133</v>
      </c>
      <c r="E104" s="718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126</v>
      </c>
      <c r="L104" s="35" t="s">
        <v>46</v>
      </c>
      <c r="M104" s="36" t="s">
        <v>125</v>
      </c>
      <c r="N104" s="36"/>
      <c r="O104" s="35">
        <v>50</v>
      </c>
      <c r="P104" s="77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0"/>
      <c r="R104" s="720"/>
      <c r="S104" s="720"/>
      <c r="T104" s="72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213</v>
      </c>
      <c r="AG104" s="75"/>
      <c r="AJ104" s="79" t="s">
        <v>46</v>
      </c>
      <c r="AK104" s="79">
        <v>0</v>
      </c>
      <c r="BB104" s="172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214</v>
      </c>
      <c r="B105" s="60" t="s">
        <v>215</v>
      </c>
      <c r="C105" s="34">
        <v>4301012379</v>
      </c>
      <c r="D105" s="718">
        <v>4680115887718</v>
      </c>
      <c r="E105" s="718"/>
      <c r="F105" s="59">
        <v>0.11</v>
      </c>
      <c r="G105" s="35">
        <v>6</v>
      </c>
      <c r="H105" s="59">
        <v>0.66</v>
      </c>
      <c r="I105" s="59">
        <v>0.82599999999999996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77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0"/>
      <c r="R105" s="720"/>
      <c r="S105" s="720"/>
      <c r="T105" s="72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216</v>
      </c>
      <c r="AG105" s="75"/>
      <c r="AJ105" s="79" t="s">
        <v>46</v>
      </c>
      <c r="AK105" s="79">
        <v>0</v>
      </c>
      <c r="BB105" s="174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718">
        <v>4680115880269</v>
      </c>
      <c r="E106" s="71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0"/>
      <c r="R106" s="720"/>
      <c r="S106" s="720"/>
      <c r="T106" s="72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211</v>
      </c>
      <c r="AG106" s="75"/>
      <c r="AJ106" s="79" t="s">
        <v>46</v>
      </c>
      <c r="AK106" s="79">
        <v>0</v>
      </c>
      <c r="BB106" s="176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217</v>
      </c>
      <c r="B107" s="60" t="s">
        <v>219</v>
      </c>
      <c r="C107" s="34">
        <v>4301012253</v>
      </c>
      <c r="D107" s="718">
        <v>4680115880269</v>
      </c>
      <c r="E107" s="718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0"/>
      <c r="R107" s="720"/>
      <c r="S107" s="720"/>
      <c r="T107" s="72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213</v>
      </c>
      <c r="AG107" s="75"/>
      <c r="AJ107" s="79" t="s">
        <v>46</v>
      </c>
      <c r="AK107" s="79">
        <v>0</v>
      </c>
      <c r="BB107" s="178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220</v>
      </c>
      <c r="B108" s="60" t="s">
        <v>221</v>
      </c>
      <c r="C108" s="34">
        <v>4301012254</v>
      </c>
      <c r="D108" s="718">
        <v>4680115880429</v>
      </c>
      <c r="E108" s="718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125</v>
      </c>
      <c r="N108" s="36"/>
      <c r="O108" s="35">
        <v>50</v>
      </c>
      <c r="P108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0"/>
      <c r="R108" s="720"/>
      <c r="S108" s="720"/>
      <c r="T108" s="72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213</v>
      </c>
      <c r="AG108" s="75"/>
      <c r="AJ108" s="79" t="s">
        <v>46</v>
      </c>
      <c r="AK108" s="79">
        <v>0</v>
      </c>
      <c r="BB108" s="180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t="37.5" hidden="1" customHeight="1" x14ac:dyDescent="0.25">
      <c r="A109" s="60" t="s">
        <v>222</v>
      </c>
      <c r="B109" s="60" t="s">
        <v>223</v>
      </c>
      <c r="C109" s="34">
        <v>4301011462</v>
      </c>
      <c r="D109" s="718">
        <v>4680115881457</v>
      </c>
      <c r="E109" s="718"/>
      <c r="F109" s="59">
        <v>0.75</v>
      </c>
      <c r="G109" s="35">
        <v>6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89</v>
      </c>
      <c r="N109" s="36"/>
      <c r="O109" s="35">
        <v>50</v>
      </c>
      <c r="P109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0"/>
      <c r="R109" s="720"/>
      <c r="S109" s="720"/>
      <c r="T109" s="72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5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211</v>
      </c>
      <c r="AG109" s="75"/>
      <c r="AJ109" s="79" t="s">
        <v>46</v>
      </c>
      <c r="AK109" s="79">
        <v>0</v>
      </c>
      <c r="BB109" s="182" t="s">
        <v>66</v>
      </c>
      <c r="BM109" s="75">
        <f t="shared" si="6"/>
        <v>0</v>
      </c>
      <c r="BN109" s="75">
        <f t="shared" si="7"/>
        <v>0</v>
      </c>
      <c r="BO109" s="75">
        <f t="shared" si="8"/>
        <v>0</v>
      </c>
      <c r="BP109" s="75">
        <f t="shared" si="9"/>
        <v>0</v>
      </c>
    </row>
    <row r="110" spans="1:68" ht="27" hidden="1" customHeight="1" x14ac:dyDescent="0.25">
      <c r="A110" s="60" t="s">
        <v>222</v>
      </c>
      <c r="B110" s="60" t="s">
        <v>224</v>
      </c>
      <c r="C110" s="34">
        <v>4301012255</v>
      </c>
      <c r="D110" s="718">
        <v>4680115881457</v>
      </c>
      <c r="E110" s="718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125</v>
      </c>
      <c r="N110" s="36"/>
      <c r="O110" s="35">
        <v>50</v>
      </c>
      <c r="P110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0"/>
      <c r="R110" s="720"/>
      <c r="S110" s="720"/>
      <c r="T110" s="72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5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213</v>
      </c>
      <c r="AG110" s="75"/>
      <c r="AJ110" s="79" t="s">
        <v>46</v>
      </c>
      <c r="AK110" s="79">
        <v>0</v>
      </c>
      <c r="BB110" s="184" t="s">
        <v>66</v>
      </c>
      <c r="BM110" s="75">
        <f t="shared" si="6"/>
        <v>0</v>
      </c>
      <c r="BN110" s="75">
        <f t="shared" si="7"/>
        <v>0</v>
      </c>
      <c r="BO110" s="75">
        <f t="shared" si="8"/>
        <v>0</v>
      </c>
      <c r="BP110" s="75">
        <f t="shared" si="9"/>
        <v>0</v>
      </c>
    </row>
    <row r="111" spans="1:68" ht="27" hidden="1" customHeight="1" x14ac:dyDescent="0.25">
      <c r="A111" s="60" t="s">
        <v>225</v>
      </c>
      <c r="B111" s="60" t="s">
        <v>226</v>
      </c>
      <c r="C111" s="34">
        <v>4301012366</v>
      </c>
      <c r="D111" s="718">
        <v>4680115889477</v>
      </c>
      <c r="E111" s="718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90</v>
      </c>
      <c r="L111" s="35" t="s">
        <v>46</v>
      </c>
      <c r="M111" s="36" t="s">
        <v>125</v>
      </c>
      <c r="N111" s="36"/>
      <c r="O111" s="35">
        <v>55</v>
      </c>
      <c r="P111" s="77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0"/>
      <c r="R111" s="720"/>
      <c r="S111" s="720"/>
      <c r="T111" s="721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5"/>
        <v>0</v>
      </c>
      <c r="Z111" s="39" t="str">
        <f>IFERROR(IF(Y111=0,"",ROUNDUP(Y111/H111,0)*0.00651),"")</f>
        <v/>
      </c>
      <c r="AA111" s="65" t="s">
        <v>46</v>
      </c>
      <c r="AB111" s="66" t="s">
        <v>46</v>
      </c>
      <c r="AC111" s="185" t="s">
        <v>227</v>
      </c>
      <c r="AG111" s="75"/>
      <c r="AJ111" s="79" t="s">
        <v>46</v>
      </c>
      <c r="AK111" s="79">
        <v>0</v>
      </c>
      <c r="BB111" s="186" t="s">
        <v>66</v>
      </c>
      <c r="BM111" s="75">
        <f t="shared" si="6"/>
        <v>0</v>
      </c>
      <c r="BN111" s="75">
        <f t="shared" si="7"/>
        <v>0</v>
      </c>
      <c r="BO111" s="75">
        <f t="shared" si="8"/>
        <v>0</v>
      </c>
      <c r="BP111" s="75">
        <f t="shared" si="9"/>
        <v>0</v>
      </c>
    </row>
    <row r="112" spans="1:68" hidden="1" x14ac:dyDescent="0.25">
      <c r="A112" s="726"/>
      <c r="B112" s="726"/>
      <c r="C112" s="726"/>
      <c r="D112" s="726"/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7"/>
      <c r="P112" s="723" t="s">
        <v>40</v>
      </c>
      <c r="Q112" s="724"/>
      <c r="R112" s="724"/>
      <c r="S112" s="724"/>
      <c r="T112" s="724"/>
      <c r="U112" s="724"/>
      <c r="V112" s="725"/>
      <c r="W112" s="40" t="s">
        <v>39</v>
      </c>
      <c r="X112" s="41">
        <f>IFERROR(X103/H103,"0")+IFERROR(X104/H104,"0")+IFERROR(X105/H105,"0")+IFERROR(X106/H106,"0")+IFERROR(X107/H107,"0")+IFERROR(X108/H108,"0")+IFERROR(X109/H109,"0")+IFERROR(X110/H110,"0")+IFERROR(X111/H111,"0")</f>
        <v>0</v>
      </c>
      <c r="Y112" s="41">
        <f>IFERROR(Y103/H103,"0")+IFERROR(Y104/H104,"0")+IFERROR(Y105/H105,"0")+IFERROR(Y106/H106,"0")+IFERROR(Y107/H107,"0")+IFERROR(Y108/H108,"0")+IFERROR(Y109/H109,"0")+IFERROR(Y110/H110,"0")+IFERROR(Y111/H111,"0")</f>
        <v>0</v>
      </c>
      <c r="Z112" s="41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5">
      <c r="A113" s="726"/>
      <c r="B113" s="726"/>
      <c r="C113" s="726"/>
      <c r="D113" s="726"/>
      <c r="E113" s="726"/>
      <c r="F113" s="726"/>
      <c r="G113" s="726"/>
      <c r="H113" s="726"/>
      <c r="I113" s="726"/>
      <c r="J113" s="726"/>
      <c r="K113" s="726"/>
      <c r="L113" s="726"/>
      <c r="M113" s="726"/>
      <c r="N113" s="726"/>
      <c r="O113" s="727"/>
      <c r="P113" s="723" t="s">
        <v>40</v>
      </c>
      <c r="Q113" s="724"/>
      <c r="R113" s="724"/>
      <c r="S113" s="724"/>
      <c r="T113" s="724"/>
      <c r="U113" s="724"/>
      <c r="V113" s="725"/>
      <c r="W113" s="40" t="s">
        <v>0</v>
      </c>
      <c r="X113" s="41">
        <f>IFERROR(SUM(X103:X111),"0")</f>
        <v>0</v>
      </c>
      <c r="Y113" s="41">
        <f>IFERROR(SUM(Y103:Y111),"0")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717" t="s">
        <v>158</v>
      </c>
      <c r="B114" s="717"/>
      <c r="C114" s="717"/>
      <c r="D114" s="717"/>
      <c r="E114" s="717"/>
      <c r="F114" s="717"/>
      <c r="G114" s="717"/>
      <c r="H114" s="717"/>
      <c r="I114" s="717"/>
      <c r="J114" s="717"/>
      <c r="K114" s="717"/>
      <c r="L114" s="717"/>
      <c r="M114" s="717"/>
      <c r="N114" s="717"/>
      <c r="O114" s="717"/>
      <c r="P114" s="717"/>
      <c r="Q114" s="717"/>
      <c r="R114" s="717"/>
      <c r="S114" s="717"/>
      <c r="T114" s="717"/>
      <c r="U114" s="717"/>
      <c r="V114" s="717"/>
      <c r="W114" s="717"/>
      <c r="X114" s="717"/>
      <c r="Y114" s="717"/>
      <c r="Z114" s="717"/>
      <c r="AA114" s="63"/>
      <c r="AB114" s="63"/>
      <c r="AC114" s="63"/>
    </row>
    <row r="115" spans="1:68" ht="27" hidden="1" customHeight="1" x14ac:dyDescent="0.25">
      <c r="A115" s="60" t="s">
        <v>228</v>
      </c>
      <c r="B115" s="60" t="s">
        <v>229</v>
      </c>
      <c r="C115" s="34">
        <v>4301020391</v>
      </c>
      <c r="D115" s="718">
        <v>4680115881488</v>
      </c>
      <c r="E115" s="718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126</v>
      </c>
      <c r="L115" s="35" t="s">
        <v>46</v>
      </c>
      <c r="M115" s="36" t="s">
        <v>125</v>
      </c>
      <c r="N115" s="36"/>
      <c r="O115" s="35">
        <v>55</v>
      </c>
      <c r="P115" s="7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0"/>
      <c r="R115" s="720"/>
      <c r="S115" s="720"/>
      <c r="T115" s="72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230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231</v>
      </c>
      <c r="B116" s="60" t="s">
        <v>232</v>
      </c>
      <c r="C116" s="34">
        <v>4301020393</v>
      </c>
      <c r="D116" s="718">
        <v>4680115882775</v>
      </c>
      <c r="E116" s="71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81</v>
      </c>
      <c r="L116" s="35" t="s">
        <v>46</v>
      </c>
      <c r="M116" s="36" t="s">
        <v>125</v>
      </c>
      <c r="N116" s="36"/>
      <c r="O116" s="35">
        <v>55</v>
      </c>
      <c r="P116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0"/>
      <c r="R116" s="720"/>
      <c r="S116" s="720"/>
      <c r="T116" s="72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9" t="s">
        <v>230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234</v>
      </c>
      <c r="C117" s="34">
        <v>4301020392</v>
      </c>
      <c r="D117" s="718">
        <v>4680115880658</v>
      </c>
      <c r="E117" s="71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90</v>
      </c>
      <c r="L117" s="35" t="s">
        <v>46</v>
      </c>
      <c r="M117" s="36" t="s">
        <v>125</v>
      </c>
      <c r="N117" s="36"/>
      <c r="O117" s="35">
        <v>55</v>
      </c>
      <c r="P117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0"/>
      <c r="R117" s="720"/>
      <c r="S117" s="720"/>
      <c r="T117" s="72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91" t="s">
        <v>230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idden="1" x14ac:dyDescent="0.25">
      <c r="A118" s="726"/>
      <c r="B118" s="726"/>
      <c r="C118" s="726"/>
      <c r="D118" s="726"/>
      <c r="E118" s="726"/>
      <c r="F118" s="726"/>
      <c r="G118" s="726"/>
      <c r="H118" s="726"/>
      <c r="I118" s="726"/>
      <c r="J118" s="726"/>
      <c r="K118" s="726"/>
      <c r="L118" s="726"/>
      <c r="M118" s="726"/>
      <c r="N118" s="726"/>
      <c r="O118" s="727"/>
      <c r="P118" s="723" t="s">
        <v>40</v>
      </c>
      <c r="Q118" s="724"/>
      <c r="R118" s="724"/>
      <c r="S118" s="724"/>
      <c r="T118" s="724"/>
      <c r="U118" s="724"/>
      <c r="V118" s="725"/>
      <c r="W118" s="40" t="s">
        <v>39</v>
      </c>
      <c r="X118" s="41">
        <f>IFERROR(X115/H115,"0")+IFERROR(X116/H116,"0")+IFERROR(X117/H117,"0")</f>
        <v>0</v>
      </c>
      <c r="Y118" s="41">
        <f>IFERROR(Y115/H115,"0")+IFERROR(Y116/H116,"0")+IFERROR(Y117/H117,"0")</f>
        <v>0</v>
      </c>
      <c r="Z118" s="41">
        <f>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5">
      <c r="A119" s="726"/>
      <c r="B119" s="726"/>
      <c r="C119" s="726"/>
      <c r="D119" s="726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7"/>
      <c r="P119" s="723" t="s">
        <v>40</v>
      </c>
      <c r="Q119" s="724"/>
      <c r="R119" s="724"/>
      <c r="S119" s="724"/>
      <c r="T119" s="724"/>
      <c r="U119" s="724"/>
      <c r="V119" s="725"/>
      <c r="W119" s="40" t="s">
        <v>0</v>
      </c>
      <c r="X119" s="41">
        <f>IFERROR(SUM(X115:X117),"0")</f>
        <v>0</v>
      </c>
      <c r="Y119" s="41">
        <f>IFERROR(SUM(Y115:Y117),"0")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717" t="s">
        <v>85</v>
      </c>
      <c r="B120" s="717"/>
      <c r="C120" s="717"/>
      <c r="D120" s="717"/>
      <c r="E120" s="717"/>
      <c r="F120" s="717"/>
      <c r="G120" s="717"/>
      <c r="H120" s="717"/>
      <c r="I120" s="717"/>
      <c r="J120" s="717"/>
      <c r="K120" s="717"/>
      <c r="L120" s="717"/>
      <c r="M120" s="717"/>
      <c r="N120" s="717"/>
      <c r="O120" s="717"/>
      <c r="P120" s="717"/>
      <c r="Q120" s="717"/>
      <c r="R120" s="717"/>
      <c r="S120" s="717"/>
      <c r="T120" s="717"/>
      <c r="U120" s="717"/>
      <c r="V120" s="717"/>
      <c r="W120" s="717"/>
      <c r="X120" s="717"/>
      <c r="Y120" s="717"/>
      <c r="Z120" s="717"/>
      <c r="AA120" s="63"/>
      <c r="AB120" s="63"/>
      <c r="AC120" s="63"/>
    </row>
    <row r="121" spans="1:68" ht="27" hidden="1" customHeight="1" x14ac:dyDescent="0.25">
      <c r="A121" s="60" t="s">
        <v>235</v>
      </c>
      <c r="B121" s="60" t="s">
        <v>236</v>
      </c>
      <c r="C121" s="34">
        <v>4301052088</v>
      </c>
      <c r="D121" s="718">
        <v>4607091385168</v>
      </c>
      <c r="E121" s="71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126</v>
      </c>
      <c r="L121" s="35" t="s">
        <v>46</v>
      </c>
      <c r="M121" s="36" t="s">
        <v>89</v>
      </c>
      <c r="N121" s="36"/>
      <c r="O121" s="35">
        <v>45</v>
      </c>
      <c r="P121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0"/>
      <c r="R121" s="720"/>
      <c r="S121" s="720"/>
      <c r="T121" s="72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238</v>
      </c>
      <c r="B122" s="60" t="s">
        <v>239</v>
      </c>
      <c r="C122" s="34">
        <v>4301052087</v>
      </c>
      <c r="D122" s="718">
        <v>4607091383256</v>
      </c>
      <c r="E122" s="71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0"/>
      <c r="R122" s="720"/>
      <c r="S122" s="720"/>
      <c r="T122" s="72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237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240</v>
      </c>
      <c r="B123" s="60" t="s">
        <v>241</v>
      </c>
      <c r="C123" s="34">
        <v>4301052086</v>
      </c>
      <c r="D123" s="718">
        <v>4607091385748</v>
      </c>
      <c r="E123" s="71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0"/>
      <c r="R123" s="720"/>
      <c r="S123" s="720"/>
      <c r="T123" s="72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237</v>
      </c>
      <c r="AG123" s="75"/>
      <c r="AJ123" s="79" t="s">
        <v>46</v>
      </c>
      <c r="AK123" s="79">
        <v>0</v>
      </c>
      <c r="BB123" s="198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242</v>
      </c>
      <c r="B124" s="60" t="s">
        <v>243</v>
      </c>
      <c r="C124" s="34">
        <v>4301052085</v>
      </c>
      <c r="D124" s="718">
        <v>4680115884533</v>
      </c>
      <c r="E124" s="71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90</v>
      </c>
      <c r="L124" s="35" t="s">
        <v>46</v>
      </c>
      <c r="M124" s="36" t="s">
        <v>89</v>
      </c>
      <c r="N124" s="36"/>
      <c r="O124" s="35">
        <v>45</v>
      </c>
      <c r="P124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0"/>
      <c r="R124" s="720"/>
      <c r="S124" s="720"/>
      <c r="T124" s="72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244</v>
      </c>
      <c r="AG124" s="75"/>
      <c r="AJ124" s="79" t="s">
        <v>46</v>
      </c>
      <c r="AK124" s="79">
        <v>0</v>
      </c>
      <c r="BB124" s="200" t="s">
        <v>66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5">
      <c r="A125" s="726"/>
      <c r="B125" s="726"/>
      <c r="C125" s="726"/>
      <c r="D125" s="726"/>
      <c r="E125" s="726"/>
      <c r="F125" s="726"/>
      <c r="G125" s="726"/>
      <c r="H125" s="726"/>
      <c r="I125" s="726"/>
      <c r="J125" s="726"/>
      <c r="K125" s="726"/>
      <c r="L125" s="726"/>
      <c r="M125" s="726"/>
      <c r="N125" s="726"/>
      <c r="O125" s="727"/>
      <c r="P125" s="723" t="s">
        <v>40</v>
      </c>
      <c r="Q125" s="724"/>
      <c r="R125" s="724"/>
      <c r="S125" s="724"/>
      <c r="T125" s="724"/>
      <c r="U125" s="724"/>
      <c r="V125" s="725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5">
      <c r="A126" s="726"/>
      <c r="B126" s="726"/>
      <c r="C126" s="726"/>
      <c r="D126" s="726"/>
      <c r="E126" s="726"/>
      <c r="F126" s="726"/>
      <c r="G126" s="726"/>
      <c r="H126" s="726"/>
      <c r="I126" s="726"/>
      <c r="J126" s="726"/>
      <c r="K126" s="726"/>
      <c r="L126" s="726"/>
      <c r="M126" s="726"/>
      <c r="N126" s="726"/>
      <c r="O126" s="727"/>
      <c r="P126" s="723" t="s">
        <v>40</v>
      </c>
      <c r="Q126" s="724"/>
      <c r="R126" s="724"/>
      <c r="S126" s="724"/>
      <c r="T126" s="724"/>
      <c r="U126" s="724"/>
      <c r="V126" s="725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717" t="s">
        <v>177</v>
      </c>
      <c r="B127" s="717"/>
      <c r="C127" s="717"/>
      <c r="D127" s="717"/>
      <c r="E127" s="717"/>
      <c r="F127" s="717"/>
      <c r="G127" s="717"/>
      <c r="H127" s="717"/>
      <c r="I127" s="717"/>
      <c r="J127" s="717"/>
      <c r="K127" s="717"/>
      <c r="L127" s="717"/>
      <c r="M127" s="717"/>
      <c r="N127" s="717"/>
      <c r="O127" s="717"/>
      <c r="P127" s="717"/>
      <c r="Q127" s="717"/>
      <c r="R127" s="717"/>
      <c r="S127" s="717"/>
      <c r="T127" s="717"/>
      <c r="U127" s="717"/>
      <c r="V127" s="717"/>
      <c r="W127" s="717"/>
      <c r="X127" s="717"/>
      <c r="Y127" s="717"/>
      <c r="Z127" s="717"/>
      <c r="AA127" s="63"/>
      <c r="AB127" s="63"/>
      <c r="AC127" s="63"/>
    </row>
    <row r="128" spans="1:68" ht="16.5" hidden="1" customHeight="1" x14ac:dyDescent="0.25">
      <c r="A128" s="60" t="s">
        <v>245</v>
      </c>
      <c r="B128" s="60" t="s">
        <v>246</v>
      </c>
      <c r="C128" s="34">
        <v>4301060525</v>
      </c>
      <c r="D128" s="718">
        <v>4680115880238</v>
      </c>
      <c r="E128" s="71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40</v>
      </c>
      <c r="P128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0"/>
      <c r="R128" s="720"/>
      <c r="S128" s="720"/>
      <c r="T128" s="721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1" t="s">
        <v>247</v>
      </c>
      <c r="AG128" s="75"/>
      <c r="AJ128" s="79" t="s">
        <v>46</v>
      </c>
      <c r="AK128" s="79">
        <v>0</v>
      </c>
      <c r="BB128" s="202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5">
      <c r="A129" s="726"/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7"/>
      <c r="P129" s="723" t="s">
        <v>40</v>
      </c>
      <c r="Q129" s="724"/>
      <c r="R129" s="724"/>
      <c r="S129" s="724"/>
      <c r="T129" s="724"/>
      <c r="U129" s="724"/>
      <c r="V129" s="725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5">
      <c r="A130" s="726"/>
      <c r="B130" s="726"/>
      <c r="C130" s="726"/>
      <c r="D130" s="726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7"/>
      <c r="P130" s="723" t="s">
        <v>40</v>
      </c>
      <c r="Q130" s="724"/>
      <c r="R130" s="724"/>
      <c r="S130" s="724"/>
      <c r="T130" s="724"/>
      <c r="U130" s="724"/>
      <c r="V130" s="725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716" t="s">
        <v>248</v>
      </c>
      <c r="B131" s="716"/>
      <c r="C131" s="716"/>
      <c r="D131" s="716"/>
      <c r="E131" s="716"/>
      <c r="F131" s="716"/>
      <c r="G131" s="716"/>
      <c r="H131" s="716"/>
      <c r="I131" s="716"/>
      <c r="J131" s="716"/>
      <c r="K131" s="716"/>
      <c r="L131" s="716"/>
      <c r="M131" s="716"/>
      <c r="N131" s="716"/>
      <c r="O131" s="716"/>
      <c r="P131" s="716"/>
      <c r="Q131" s="716"/>
      <c r="R131" s="716"/>
      <c r="S131" s="716"/>
      <c r="T131" s="716"/>
      <c r="U131" s="716"/>
      <c r="V131" s="716"/>
      <c r="W131" s="716"/>
      <c r="X131" s="716"/>
      <c r="Y131" s="716"/>
      <c r="Z131" s="716"/>
      <c r="AA131" s="62"/>
      <c r="AB131" s="62"/>
      <c r="AC131" s="62"/>
    </row>
    <row r="132" spans="1:68" ht="14.25" hidden="1" customHeight="1" x14ac:dyDescent="0.25">
      <c r="A132" s="717" t="s">
        <v>121</v>
      </c>
      <c r="B132" s="717"/>
      <c r="C132" s="717"/>
      <c r="D132" s="717"/>
      <c r="E132" s="717"/>
      <c r="F132" s="717"/>
      <c r="G132" s="717"/>
      <c r="H132" s="717"/>
      <c r="I132" s="717"/>
      <c r="J132" s="717"/>
      <c r="K132" s="717"/>
      <c r="L132" s="717"/>
      <c r="M132" s="717"/>
      <c r="N132" s="717"/>
      <c r="O132" s="717"/>
      <c r="P132" s="717"/>
      <c r="Q132" s="717"/>
      <c r="R132" s="717"/>
      <c r="S132" s="717"/>
      <c r="T132" s="717"/>
      <c r="U132" s="717"/>
      <c r="V132" s="717"/>
      <c r="W132" s="717"/>
      <c r="X132" s="717"/>
      <c r="Y132" s="717"/>
      <c r="Z132" s="717"/>
      <c r="AA132" s="63"/>
      <c r="AB132" s="63"/>
      <c r="AC132" s="63"/>
    </row>
    <row r="133" spans="1:68" ht="27" hidden="1" customHeight="1" x14ac:dyDescent="0.25">
      <c r="A133" s="60" t="s">
        <v>249</v>
      </c>
      <c r="B133" s="60" t="s">
        <v>250</v>
      </c>
      <c r="C133" s="34">
        <v>4301011562</v>
      </c>
      <c r="D133" s="718">
        <v>4680115882577</v>
      </c>
      <c r="E133" s="71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252</v>
      </c>
      <c r="N133" s="36"/>
      <c r="O133" s="35">
        <v>90</v>
      </c>
      <c r="P133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0"/>
      <c r="R133" s="720"/>
      <c r="S133" s="720"/>
      <c r="T133" s="72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251</v>
      </c>
      <c r="AG133" s="75"/>
      <c r="AJ133" s="79" t="s">
        <v>46</v>
      </c>
      <c r="AK133" s="79">
        <v>0</v>
      </c>
      <c r="BB133" s="204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249</v>
      </c>
      <c r="B134" s="60" t="s">
        <v>253</v>
      </c>
      <c r="C134" s="34">
        <v>4301011564</v>
      </c>
      <c r="D134" s="718">
        <v>4680115882577</v>
      </c>
      <c r="E134" s="71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252</v>
      </c>
      <c r="N134" s="36"/>
      <c r="O134" s="35">
        <v>90</v>
      </c>
      <c r="P134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0"/>
      <c r="R134" s="720"/>
      <c r="S134" s="720"/>
      <c r="T134" s="72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251</v>
      </c>
      <c r="AG134" s="75"/>
      <c r="AJ134" s="79" t="s">
        <v>46</v>
      </c>
      <c r="AK134" s="79">
        <v>0</v>
      </c>
      <c r="BB134" s="206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5">
      <c r="A135" s="726"/>
      <c r="B135" s="726"/>
      <c r="C135" s="726"/>
      <c r="D135" s="726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7"/>
      <c r="P135" s="723" t="s">
        <v>40</v>
      </c>
      <c r="Q135" s="724"/>
      <c r="R135" s="724"/>
      <c r="S135" s="724"/>
      <c r="T135" s="724"/>
      <c r="U135" s="724"/>
      <c r="V135" s="725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5">
      <c r="A136" s="726"/>
      <c r="B136" s="726"/>
      <c r="C136" s="726"/>
      <c r="D136" s="726"/>
      <c r="E136" s="726"/>
      <c r="F136" s="726"/>
      <c r="G136" s="726"/>
      <c r="H136" s="726"/>
      <c r="I136" s="726"/>
      <c r="J136" s="726"/>
      <c r="K136" s="726"/>
      <c r="L136" s="726"/>
      <c r="M136" s="726"/>
      <c r="N136" s="726"/>
      <c r="O136" s="727"/>
      <c r="P136" s="723" t="s">
        <v>40</v>
      </c>
      <c r="Q136" s="724"/>
      <c r="R136" s="724"/>
      <c r="S136" s="724"/>
      <c r="T136" s="724"/>
      <c r="U136" s="724"/>
      <c r="V136" s="725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717" t="s">
        <v>76</v>
      </c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7"/>
      <c r="P137" s="717"/>
      <c r="Q137" s="717"/>
      <c r="R137" s="717"/>
      <c r="S137" s="717"/>
      <c r="T137" s="717"/>
      <c r="U137" s="717"/>
      <c r="V137" s="717"/>
      <c r="W137" s="717"/>
      <c r="X137" s="717"/>
      <c r="Y137" s="717"/>
      <c r="Z137" s="717"/>
      <c r="AA137" s="63"/>
      <c r="AB137" s="63"/>
      <c r="AC137" s="63"/>
    </row>
    <row r="138" spans="1:68" ht="27" hidden="1" customHeight="1" x14ac:dyDescent="0.25">
      <c r="A138" s="60" t="s">
        <v>254</v>
      </c>
      <c r="B138" s="60" t="s">
        <v>255</v>
      </c>
      <c r="C138" s="34">
        <v>4301031234</v>
      </c>
      <c r="D138" s="718">
        <v>4680115883444</v>
      </c>
      <c r="E138" s="71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252</v>
      </c>
      <c r="N138" s="36"/>
      <c r="O138" s="35">
        <v>90</v>
      </c>
      <c r="P138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0"/>
      <c r="R138" s="720"/>
      <c r="S138" s="720"/>
      <c r="T138" s="72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256</v>
      </c>
      <c r="AG138" s="75"/>
      <c r="AJ138" s="79" t="s">
        <v>46</v>
      </c>
      <c r="AK138" s="79">
        <v>0</v>
      </c>
      <c r="BB138" s="208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254</v>
      </c>
      <c r="B139" s="60" t="s">
        <v>257</v>
      </c>
      <c r="C139" s="34">
        <v>4301031235</v>
      </c>
      <c r="D139" s="718">
        <v>4680115883444</v>
      </c>
      <c r="E139" s="71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90</v>
      </c>
      <c r="L139" s="35" t="s">
        <v>46</v>
      </c>
      <c r="M139" s="36" t="s">
        <v>252</v>
      </c>
      <c r="N139" s="36"/>
      <c r="O139" s="35">
        <v>90</v>
      </c>
      <c r="P139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0"/>
      <c r="R139" s="720"/>
      <c r="S139" s="720"/>
      <c r="T139" s="72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256</v>
      </c>
      <c r="AG139" s="75"/>
      <c r="AJ139" s="79" t="s">
        <v>46</v>
      </c>
      <c r="AK139" s="79">
        <v>0</v>
      </c>
      <c r="BB139" s="210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5">
      <c r="A140" s="726"/>
      <c r="B140" s="726"/>
      <c r="C140" s="726"/>
      <c r="D140" s="726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7"/>
      <c r="P140" s="723" t="s">
        <v>40</v>
      </c>
      <c r="Q140" s="724"/>
      <c r="R140" s="724"/>
      <c r="S140" s="724"/>
      <c r="T140" s="724"/>
      <c r="U140" s="724"/>
      <c r="V140" s="72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5">
      <c r="A141" s="726"/>
      <c r="B141" s="726"/>
      <c r="C141" s="726"/>
      <c r="D141" s="726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7"/>
      <c r="P141" s="723" t="s">
        <v>40</v>
      </c>
      <c r="Q141" s="724"/>
      <c r="R141" s="724"/>
      <c r="S141" s="724"/>
      <c r="T141" s="724"/>
      <c r="U141" s="724"/>
      <c r="V141" s="72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7" t="s">
        <v>85</v>
      </c>
      <c r="B142" s="717"/>
      <c r="C142" s="717"/>
      <c r="D142" s="717"/>
      <c r="E142" s="717"/>
      <c r="F142" s="717"/>
      <c r="G142" s="717"/>
      <c r="H142" s="717"/>
      <c r="I142" s="717"/>
      <c r="J142" s="717"/>
      <c r="K142" s="717"/>
      <c r="L142" s="717"/>
      <c r="M142" s="717"/>
      <c r="N142" s="717"/>
      <c r="O142" s="717"/>
      <c r="P142" s="717"/>
      <c r="Q142" s="717"/>
      <c r="R142" s="717"/>
      <c r="S142" s="717"/>
      <c r="T142" s="717"/>
      <c r="U142" s="717"/>
      <c r="V142" s="717"/>
      <c r="W142" s="717"/>
      <c r="X142" s="717"/>
      <c r="Y142" s="717"/>
      <c r="Z142" s="717"/>
      <c r="AA142" s="63"/>
      <c r="AB142" s="63"/>
      <c r="AC142" s="63"/>
    </row>
    <row r="143" spans="1:68" ht="16.5" hidden="1" customHeight="1" x14ac:dyDescent="0.25">
      <c r="A143" s="60" t="s">
        <v>258</v>
      </c>
      <c r="B143" s="60" t="s">
        <v>259</v>
      </c>
      <c r="C143" s="34">
        <v>4301051476</v>
      </c>
      <c r="D143" s="718">
        <v>4680115882584</v>
      </c>
      <c r="E143" s="71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252</v>
      </c>
      <c r="N143" s="36"/>
      <c r="O143" s="35">
        <v>60</v>
      </c>
      <c r="P143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0"/>
      <c r="R143" s="720"/>
      <c r="S143" s="720"/>
      <c r="T143" s="72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251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258</v>
      </c>
      <c r="B144" s="60" t="s">
        <v>260</v>
      </c>
      <c r="C144" s="34">
        <v>4301051477</v>
      </c>
      <c r="D144" s="718">
        <v>4680115882584</v>
      </c>
      <c r="E144" s="71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90</v>
      </c>
      <c r="L144" s="35" t="s">
        <v>46</v>
      </c>
      <c r="M144" s="36" t="s">
        <v>252</v>
      </c>
      <c r="N144" s="36"/>
      <c r="O144" s="35">
        <v>60</v>
      </c>
      <c r="P144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0"/>
      <c r="R144" s="720"/>
      <c r="S144" s="720"/>
      <c r="T144" s="72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251</v>
      </c>
      <c r="AG144" s="75"/>
      <c r="AJ144" s="79" t="s">
        <v>46</v>
      </c>
      <c r="AK144" s="79">
        <v>0</v>
      </c>
      <c r="BB144" s="214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5">
      <c r="A145" s="726"/>
      <c r="B145" s="726"/>
      <c r="C145" s="726"/>
      <c r="D145" s="726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7"/>
      <c r="P145" s="723" t="s">
        <v>40</v>
      </c>
      <c r="Q145" s="724"/>
      <c r="R145" s="724"/>
      <c r="S145" s="724"/>
      <c r="T145" s="724"/>
      <c r="U145" s="724"/>
      <c r="V145" s="72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5">
      <c r="A146" s="726"/>
      <c r="B146" s="726"/>
      <c r="C146" s="726"/>
      <c r="D146" s="726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7"/>
      <c r="P146" s="723" t="s">
        <v>40</v>
      </c>
      <c r="Q146" s="724"/>
      <c r="R146" s="724"/>
      <c r="S146" s="724"/>
      <c r="T146" s="724"/>
      <c r="U146" s="724"/>
      <c r="V146" s="72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716" t="s">
        <v>261</v>
      </c>
      <c r="B147" s="716"/>
      <c r="C147" s="716"/>
      <c r="D147" s="716"/>
      <c r="E147" s="716"/>
      <c r="F147" s="716"/>
      <c r="G147" s="716"/>
      <c r="H147" s="716"/>
      <c r="I147" s="716"/>
      <c r="J147" s="716"/>
      <c r="K147" s="716"/>
      <c r="L147" s="716"/>
      <c r="M147" s="716"/>
      <c r="N147" s="716"/>
      <c r="O147" s="716"/>
      <c r="P147" s="716"/>
      <c r="Q147" s="716"/>
      <c r="R147" s="716"/>
      <c r="S147" s="716"/>
      <c r="T147" s="716"/>
      <c r="U147" s="716"/>
      <c r="V147" s="716"/>
      <c r="W147" s="716"/>
      <c r="X147" s="716"/>
      <c r="Y147" s="716"/>
      <c r="Z147" s="716"/>
      <c r="AA147" s="62"/>
      <c r="AB147" s="62"/>
      <c r="AC147" s="62"/>
    </row>
    <row r="148" spans="1:68" ht="14.25" hidden="1" customHeight="1" x14ac:dyDescent="0.25">
      <c r="A148" s="717" t="s">
        <v>85</v>
      </c>
      <c r="B148" s="717"/>
      <c r="C148" s="717"/>
      <c r="D148" s="717"/>
      <c r="E148" s="717"/>
      <c r="F148" s="717"/>
      <c r="G148" s="717"/>
      <c r="H148" s="717"/>
      <c r="I148" s="717"/>
      <c r="J148" s="717"/>
      <c r="K148" s="717"/>
      <c r="L148" s="717"/>
      <c r="M148" s="717"/>
      <c r="N148" s="717"/>
      <c r="O148" s="717"/>
      <c r="P148" s="717"/>
      <c r="Q148" s="717"/>
      <c r="R148" s="717"/>
      <c r="S148" s="717"/>
      <c r="T148" s="717"/>
      <c r="U148" s="717"/>
      <c r="V148" s="717"/>
      <c r="W148" s="717"/>
      <c r="X148" s="717"/>
      <c r="Y148" s="717"/>
      <c r="Z148" s="717"/>
      <c r="AA148" s="63"/>
      <c r="AB148" s="63"/>
      <c r="AC148" s="63"/>
    </row>
    <row r="149" spans="1:68" ht="27" hidden="1" customHeight="1" x14ac:dyDescent="0.25">
      <c r="A149" s="60" t="s">
        <v>262</v>
      </c>
      <c r="B149" s="60" t="s">
        <v>263</v>
      </c>
      <c r="C149" s="34">
        <v>4301052254</v>
      </c>
      <c r="D149" s="718">
        <v>4680115888203</v>
      </c>
      <c r="E149" s="71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0"/>
      <c r="R149" s="720"/>
      <c r="S149" s="720"/>
      <c r="T149" s="72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4" si="10">IFERROR(IF(X149="",0,CEILING((X149/$H149),1)*$H149),"")</f>
        <v>0</v>
      </c>
      <c r="Z149" s="39" t="str">
        <f t="shared" ref="Z149:Z154" si="11">IFERROR(IF(Y149=0,"",ROUNDUP(Y149/H149,0)*0.00651),"")</f>
        <v/>
      </c>
      <c r="AA149" s="65" t="s">
        <v>46</v>
      </c>
      <c r="AB149" s="66" t="s">
        <v>46</v>
      </c>
      <c r="AC149" s="215" t="s">
        <v>264</v>
      </c>
      <c r="AG149" s="75"/>
      <c r="AJ149" s="79" t="s">
        <v>46</v>
      </c>
      <c r="AK149" s="79">
        <v>0</v>
      </c>
      <c r="BB149" s="216" t="s">
        <v>66</v>
      </c>
      <c r="BM149" s="75">
        <f t="shared" ref="BM149:BM154" si="12">IFERROR(X149*I149/H149,"0")</f>
        <v>0</v>
      </c>
      <c r="BN149" s="75">
        <f t="shared" ref="BN149:BN154" si="13">IFERROR(Y149*I149/H149,"0")</f>
        <v>0</v>
      </c>
      <c r="BO149" s="75">
        <f t="shared" ref="BO149:BO154" si="14">IFERROR(1/J149*(X149/H149),"0")</f>
        <v>0</v>
      </c>
      <c r="BP149" s="75">
        <f t="shared" ref="BP149:BP154" si="15">IFERROR(1/J149*(Y149/H149),"0")</f>
        <v>0</v>
      </c>
    </row>
    <row r="150" spans="1:68" ht="27" hidden="1" customHeight="1" x14ac:dyDescent="0.25">
      <c r="A150" s="60" t="s">
        <v>265</v>
      </c>
      <c r="B150" s="60" t="s">
        <v>266</v>
      </c>
      <c r="C150" s="34">
        <v>4301052172</v>
      </c>
      <c r="D150" s="718">
        <v>4680115888180</v>
      </c>
      <c r="E150" s="71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0"/>
      <c r="R150" s="720"/>
      <c r="S150" s="720"/>
      <c r="T150" s="72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267</v>
      </c>
      <c r="AG150" s="75"/>
      <c r="AJ150" s="79" t="s">
        <v>46</v>
      </c>
      <c r="AK150" s="79">
        <v>0</v>
      </c>
      <c r="BB150" s="218" t="s">
        <v>66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265</v>
      </c>
      <c r="B151" s="60" t="s">
        <v>268</v>
      </c>
      <c r="C151" s="34">
        <v>4301052252</v>
      </c>
      <c r="D151" s="718">
        <v>4680115888180</v>
      </c>
      <c r="E151" s="718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0"/>
      <c r="R151" s="720"/>
      <c r="S151" s="720"/>
      <c r="T151" s="72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267</v>
      </c>
      <c r="AG151" s="75"/>
      <c r="AJ151" s="79" t="s">
        <v>46</v>
      </c>
      <c r="AK151" s="79">
        <v>0</v>
      </c>
      <c r="BB151" s="220" t="s">
        <v>66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269</v>
      </c>
      <c r="B152" s="60" t="s">
        <v>270</v>
      </c>
      <c r="C152" s="34">
        <v>4301052253</v>
      </c>
      <c r="D152" s="718">
        <v>4680115888197</v>
      </c>
      <c r="E152" s="71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0"/>
      <c r="R152" s="720"/>
      <c r="S152" s="720"/>
      <c r="T152" s="72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271</v>
      </c>
      <c r="AG152" s="75"/>
      <c r="AJ152" s="79" t="s">
        <v>46</v>
      </c>
      <c r="AK152" s="79">
        <v>0</v>
      </c>
      <c r="BB152" s="222" t="s">
        <v>66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272</v>
      </c>
      <c r="B153" s="60" t="s">
        <v>273</v>
      </c>
      <c r="C153" s="34">
        <v>4301052175</v>
      </c>
      <c r="D153" s="718">
        <v>4680115888210</v>
      </c>
      <c r="E153" s="718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0"/>
      <c r="R153" s="720"/>
      <c r="S153" s="720"/>
      <c r="T153" s="721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274</v>
      </c>
      <c r="AG153" s="75"/>
      <c r="AJ153" s="79" t="s">
        <v>46</v>
      </c>
      <c r="AK153" s="79">
        <v>0</v>
      </c>
      <c r="BB153" s="224" t="s">
        <v>66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272</v>
      </c>
      <c r="B154" s="60" t="s">
        <v>275</v>
      </c>
      <c r="C154" s="34">
        <v>4301052255</v>
      </c>
      <c r="D154" s="718">
        <v>4680115888210</v>
      </c>
      <c r="E154" s="718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0"/>
      <c r="R154" s="720"/>
      <c r="S154" s="720"/>
      <c r="T154" s="721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274</v>
      </c>
      <c r="AG154" s="75"/>
      <c r="AJ154" s="79" t="s">
        <v>46</v>
      </c>
      <c r="AK154" s="79">
        <v>0</v>
      </c>
      <c r="BB154" s="226" t="s">
        <v>66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idden="1" x14ac:dyDescent="0.25">
      <c r="A155" s="726"/>
      <c r="B155" s="726"/>
      <c r="C155" s="726"/>
      <c r="D155" s="726"/>
      <c r="E155" s="726"/>
      <c r="F155" s="726"/>
      <c r="G155" s="726"/>
      <c r="H155" s="726"/>
      <c r="I155" s="726"/>
      <c r="J155" s="726"/>
      <c r="K155" s="726"/>
      <c r="L155" s="726"/>
      <c r="M155" s="726"/>
      <c r="N155" s="726"/>
      <c r="O155" s="727"/>
      <c r="P155" s="723" t="s">
        <v>40</v>
      </c>
      <c r="Q155" s="724"/>
      <c r="R155" s="724"/>
      <c r="S155" s="724"/>
      <c r="T155" s="724"/>
      <c r="U155" s="724"/>
      <c r="V155" s="725"/>
      <c r="W155" s="40" t="s">
        <v>39</v>
      </c>
      <c r="X155" s="41">
        <f>IFERROR(X149/H149,"0")+IFERROR(X150/H150,"0")+IFERROR(X151/H151,"0")+IFERROR(X152/H152,"0")+IFERROR(X153/H153,"0")+IFERROR(X154/H154,"0")</f>
        <v>0</v>
      </c>
      <c r="Y155" s="41">
        <f>IFERROR(Y149/H149,"0")+IFERROR(Y150/H150,"0")+IFERROR(Y151/H151,"0")+IFERROR(Y152/H152,"0")+IFERROR(Y153/H153,"0")+IFERROR(Y154/H154,"0")</f>
        <v>0</v>
      </c>
      <c r="Z155" s="41">
        <f>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5">
      <c r="A156" s="726"/>
      <c r="B156" s="726"/>
      <c r="C156" s="726"/>
      <c r="D156" s="726"/>
      <c r="E156" s="726"/>
      <c r="F156" s="726"/>
      <c r="G156" s="726"/>
      <c r="H156" s="726"/>
      <c r="I156" s="726"/>
      <c r="J156" s="726"/>
      <c r="K156" s="726"/>
      <c r="L156" s="726"/>
      <c r="M156" s="726"/>
      <c r="N156" s="726"/>
      <c r="O156" s="727"/>
      <c r="P156" s="723" t="s">
        <v>40</v>
      </c>
      <c r="Q156" s="724"/>
      <c r="R156" s="724"/>
      <c r="S156" s="724"/>
      <c r="T156" s="724"/>
      <c r="U156" s="724"/>
      <c r="V156" s="725"/>
      <c r="W156" s="40" t="s">
        <v>0</v>
      </c>
      <c r="X156" s="41">
        <f>IFERROR(SUM(X149:X154),"0")</f>
        <v>0</v>
      </c>
      <c r="Y156" s="41">
        <f>IFERROR(SUM(Y149:Y154),"0")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717" t="s">
        <v>276</v>
      </c>
      <c r="B157" s="717"/>
      <c r="C157" s="717"/>
      <c r="D157" s="717"/>
      <c r="E157" s="717"/>
      <c r="F157" s="717"/>
      <c r="G157" s="717"/>
      <c r="H157" s="717"/>
      <c r="I157" s="717"/>
      <c r="J157" s="717"/>
      <c r="K157" s="717"/>
      <c r="L157" s="717"/>
      <c r="M157" s="717"/>
      <c r="N157" s="717"/>
      <c r="O157" s="717"/>
      <c r="P157" s="717"/>
      <c r="Q157" s="717"/>
      <c r="R157" s="717"/>
      <c r="S157" s="717"/>
      <c r="T157" s="717"/>
      <c r="U157" s="717"/>
      <c r="V157" s="717"/>
      <c r="W157" s="717"/>
      <c r="X157" s="717"/>
      <c r="Y157" s="717"/>
      <c r="Z157" s="717"/>
      <c r="AA157" s="63"/>
      <c r="AB157" s="63"/>
      <c r="AC157" s="63"/>
    </row>
    <row r="158" spans="1:68" ht="27" hidden="1" customHeight="1" x14ac:dyDescent="0.25">
      <c r="A158" s="60" t="s">
        <v>277</v>
      </c>
      <c r="B158" s="60" t="s">
        <v>278</v>
      </c>
      <c r="C158" s="34">
        <v>4301032067</v>
      </c>
      <c r="D158" s="718">
        <v>4680115889132</v>
      </c>
      <c r="E158" s="718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282</v>
      </c>
      <c r="L158" s="35" t="s">
        <v>46</v>
      </c>
      <c r="M158" s="36" t="s">
        <v>281</v>
      </c>
      <c r="N158" s="36"/>
      <c r="O158" s="35">
        <v>120</v>
      </c>
      <c r="P158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0"/>
      <c r="R158" s="720"/>
      <c r="S158" s="720"/>
      <c r="T158" s="72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279</v>
      </c>
      <c r="AG158" s="75"/>
      <c r="AJ158" s="79" t="s">
        <v>46</v>
      </c>
      <c r="AK158" s="79">
        <v>0</v>
      </c>
      <c r="BB158" s="228" t="s">
        <v>280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5">
      <c r="A159" s="726"/>
      <c r="B159" s="726"/>
      <c r="C159" s="726"/>
      <c r="D159" s="726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7"/>
      <c r="P159" s="723" t="s">
        <v>40</v>
      </c>
      <c r="Q159" s="724"/>
      <c r="R159" s="724"/>
      <c r="S159" s="724"/>
      <c r="T159" s="724"/>
      <c r="U159" s="724"/>
      <c r="V159" s="725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5">
      <c r="A160" s="726"/>
      <c r="B160" s="726"/>
      <c r="C160" s="726"/>
      <c r="D160" s="726"/>
      <c r="E160" s="726"/>
      <c r="F160" s="726"/>
      <c r="G160" s="726"/>
      <c r="H160" s="726"/>
      <c r="I160" s="726"/>
      <c r="J160" s="726"/>
      <c r="K160" s="726"/>
      <c r="L160" s="726"/>
      <c r="M160" s="726"/>
      <c r="N160" s="726"/>
      <c r="O160" s="727"/>
      <c r="P160" s="723" t="s">
        <v>40</v>
      </c>
      <c r="Q160" s="724"/>
      <c r="R160" s="724"/>
      <c r="S160" s="724"/>
      <c r="T160" s="724"/>
      <c r="U160" s="724"/>
      <c r="V160" s="725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716" t="s">
        <v>119</v>
      </c>
      <c r="B161" s="716"/>
      <c r="C161" s="716"/>
      <c r="D161" s="716"/>
      <c r="E161" s="716"/>
      <c r="F161" s="716"/>
      <c r="G161" s="716"/>
      <c r="H161" s="716"/>
      <c r="I161" s="716"/>
      <c r="J161" s="716"/>
      <c r="K161" s="716"/>
      <c r="L161" s="716"/>
      <c r="M161" s="716"/>
      <c r="N161" s="716"/>
      <c r="O161" s="716"/>
      <c r="P161" s="716"/>
      <c r="Q161" s="716"/>
      <c r="R161" s="716"/>
      <c r="S161" s="716"/>
      <c r="T161" s="716"/>
      <c r="U161" s="716"/>
      <c r="V161" s="716"/>
      <c r="W161" s="716"/>
      <c r="X161" s="716"/>
      <c r="Y161" s="716"/>
      <c r="Z161" s="716"/>
      <c r="AA161" s="62"/>
      <c r="AB161" s="62"/>
      <c r="AC161" s="62"/>
    </row>
    <row r="162" spans="1:68" ht="14.25" hidden="1" customHeight="1" x14ac:dyDescent="0.25">
      <c r="A162" s="717" t="s">
        <v>121</v>
      </c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7"/>
      <c r="P162" s="717"/>
      <c r="Q162" s="717"/>
      <c r="R162" s="717"/>
      <c r="S162" s="717"/>
      <c r="T162" s="717"/>
      <c r="U162" s="717"/>
      <c r="V162" s="717"/>
      <c r="W162" s="717"/>
      <c r="X162" s="717"/>
      <c r="Y162" s="717"/>
      <c r="Z162" s="717"/>
      <c r="AA162" s="63"/>
      <c r="AB162" s="63"/>
      <c r="AC162" s="63"/>
    </row>
    <row r="163" spans="1:68" ht="27" hidden="1" customHeight="1" x14ac:dyDescent="0.25">
      <c r="A163" s="60" t="s">
        <v>283</v>
      </c>
      <c r="B163" s="60" t="s">
        <v>284</v>
      </c>
      <c r="C163" s="34">
        <v>4301012338</v>
      </c>
      <c r="D163" s="718">
        <v>4680115887374</v>
      </c>
      <c r="E163" s="718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126</v>
      </c>
      <c r="L163" s="35" t="s">
        <v>46</v>
      </c>
      <c r="M163" s="36" t="s">
        <v>125</v>
      </c>
      <c r="N163" s="36"/>
      <c r="O163" s="35">
        <v>55</v>
      </c>
      <c r="P163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0"/>
      <c r="R163" s="720"/>
      <c r="S163" s="720"/>
      <c r="T163" s="72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285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286</v>
      </c>
      <c r="B164" s="60" t="s">
        <v>287</v>
      </c>
      <c r="C164" s="34">
        <v>4301011705</v>
      </c>
      <c r="D164" s="718">
        <v>4607091384604</v>
      </c>
      <c r="E164" s="718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133</v>
      </c>
      <c r="L164" s="35" t="s">
        <v>46</v>
      </c>
      <c r="M164" s="36" t="s">
        <v>125</v>
      </c>
      <c r="N164" s="36"/>
      <c r="O164" s="35">
        <v>50</v>
      </c>
      <c r="P164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0"/>
      <c r="R164" s="720"/>
      <c r="S164" s="720"/>
      <c r="T164" s="72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288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286</v>
      </c>
      <c r="B165" s="60" t="s">
        <v>289</v>
      </c>
      <c r="C165" s="34">
        <v>4301012258</v>
      </c>
      <c r="D165" s="718">
        <v>4607091384604</v>
      </c>
      <c r="E165" s="718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133</v>
      </c>
      <c r="L165" s="35" t="s">
        <v>46</v>
      </c>
      <c r="M165" s="36" t="s">
        <v>125</v>
      </c>
      <c r="N165" s="36"/>
      <c r="O165" s="35">
        <v>50</v>
      </c>
      <c r="P165" s="80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0"/>
      <c r="R165" s="720"/>
      <c r="S165" s="720"/>
      <c r="T165" s="721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288</v>
      </c>
      <c r="AG165" s="75"/>
      <c r="AJ165" s="79" t="s">
        <v>46</v>
      </c>
      <c r="AK165" s="79">
        <v>0</v>
      </c>
      <c r="BB165" s="234" t="s">
        <v>66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290</v>
      </c>
      <c r="B166" s="60" t="s">
        <v>291</v>
      </c>
      <c r="C166" s="34">
        <v>4301012344</v>
      </c>
      <c r="D166" s="718">
        <v>4680115888876</v>
      </c>
      <c r="E166" s="718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0"/>
      <c r="R166" s="720"/>
      <c r="S166" s="720"/>
      <c r="T166" s="72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292</v>
      </c>
      <c r="AG166" s="75"/>
      <c r="AJ166" s="79" t="s">
        <v>46</v>
      </c>
      <c r="AK166" s="79">
        <v>0</v>
      </c>
      <c r="BB166" s="236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5">
      <c r="A167" s="726"/>
      <c r="B167" s="726"/>
      <c r="C167" s="726"/>
      <c r="D167" s="726"/>
      <c r="E167" s="726"/>
      <c r="F167" s="726"/>
      <c r="G167" s="726"/>
      <c r="H167" s="726"/>
      <c r="I167" s="726"/>
      <c r="J167" s="726"/>
      <c r="K167" s="726"/>
      <c r="L167" s="726"/>
      <c r="M167" s="726"/>
      <c r="N167" s="726"/>
      <c r="O167" s="727"/>
      <c r="P167" s="723" t="s">
        <v>40</v>
      </c>
      <c r="Q167" s="724"/>
      <c r="R167" s="724"/>
      <c r="S167" s="724"/>
      <c r="T167" s="724"/>
      <c r="U167" s="724"/>
      <c r="V167" s="725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5">
      <c r="A168" s="726"/>
      <c r="B168" s="726"/>
      <c r="C168" s="726"/>
      <c r="D168" s="726"/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7"/>
      <c r="P168" s="723" t="s">
        <v>40</v>
      </c>
      <c r="Q168" s="724"/>
      <c r="R168" s="724"/>
      <c r="S168" s="724"/>
      <c r="T168" s="724"/>
      <c r="U168" s="724"/>
      <c r="V168" s="725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717" t="s">
        <v>158</v>
      </c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7"/>
      <c r="P169" s="717"/>
      <c r="Q169" s="717"/>
      <c r="R169" s="717"/>
      <c r="S169" s="717"/>
      <c r="T169" s="717"/>
      <c r="U169" s="717"/>
      <c r="V169" s="717"/>
      <c r="W169" s="717"/>
      <c r="X169" s="717"/>
      <c r="Y169" s="717"/>
      <c r="Z169" s="717"/>
      <c r="AA169" s="63"/>
      <c r="AB169" s="63"/>
      <c r="AC169" s="63"/>
    </row>
    <row r="170" spans="1:68" ht="16.5" hidden="1" customHeight="1" x14ac:dyDescent="0.25">
      <c r="A170" s="60" t="s">
        <v>293</v>
      </c>
      <c r="B170" s="60" t="s">
        <v>294</v>
      </c>
      <c r="C170" s="34">
        <v>4301020410</v>
      </c>
      <c r="D170" s="718">
        <v>4680115887695</v>
      </c>
      <c r="E170" s="718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81</v>
      </c>
      <c r="L170" s="35" t="s">
        <v>46</v>
      </c>
      <c r="M170" s="36" t="s">
        <v>80</v>
      </c>
      <c r="N170" s="36"/>
      <c r="O170" s="35">
        <v>30</v>
      </c>
      <c r="P170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0"/>
      <c r="R170" s="720"/>
      <c r="S170" s="720"/>
      <c r="T170" s="721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295</v>
      </c>
      <c r="AG170" s="75"/>
      <c r="AJ170" s="79" t="s">
        <v>46</v>
      </c>
      <c r="AK170" s="79">
        <v>0</v>
      </c>
      <c r="BB170" s="238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296</v>
      </c>
      <c r="B171" s="60" t="s">
        <v>297</v>
      </c>
      <c r="C171" s="34">
        <v>4301020439</v>
      </c>
      <c r="D171" s="718">
        <v>4680115889491</v>
      </c>
      <c r="E171" s="718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81</v>
      </c>
      <c r="L171" s="35" t="s">
        <v>46</v>
      </c>
      <c r="M171" s="36" t="s">
        <v>125</v>
      </c>
      <c r="N171" s="36"/>
      <c r="O171" s="35">
        <v>55</v>
      </c>
      <c r="P171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0"/>
      <c r="R171" s="720"/>
      <c r="S171" s="720"/>
      <c r="T171" s="72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298</v>
      </c>
      <c r="AG171" s="75"/>
      <c r="AJ171" s="79" t="s">
        <v>46</v>
      </c>
      <c r="AK171" s="79">
        <v>0</v>
      </c>
      <c r="BB171" s="240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5">
      <c r="A172" s="726"/>
      <c r="B172" s="726"/>
      <c r="C172" s="726"/>
      <c r="D172" s="726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7"/>
      <c r="P172" s="723" t="s">
        <v>40</v>
      </c>
      <c r="Q172" s="724"/>
      <c r="R172" s="724"/>
      <c r="S172" s="724"/>
      <c r="T172" s="724"/>
      <c r="U172" s="724"/>
      <c r="V172" s="725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5">
      <c r="A173" s="726"/>
      <c r="B173" s="726"/>
      <c r="C173" s="726"/>
      <c r="D173" s="726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7"/>
      <c r="P173" s="723" t="s">
        <v>40</v>
      </c>
      <c r="Q173" s="724"/>
      <c r="R173" s="724"/>
      <c r="S173" s="724"/>
      <c r="T173" s="724"/>
      <c r="U173" s="724"/>
      <c r="V173" s="725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7" t="s">
        <v>76</v>
      </c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7"/>
      <c r="P174" s="717"/>
      <c r="Q174" s="717"/>
      <c r="R174" s="717"/>
      <c r="S174" s="717"/>
      <c r="T174" s="717"/>
      <c r="U174" s="717"/>
      <c r="V174" s="717"/>
      <c r="W174" s="717"/>
      <c r="X174" s="717"/>
      <c r="Y174" s="717"/>
      <c r="Z174" s="717"/>
      <c r="AA174" s="63"/>
      <c r="AB174" s="63"/>
      <c r="AC174" s="63"/>
    </row>
    <row r="175" spans="1:68" ht="27" hidden="1" customHeight="1" x14ac:dyDescent="0.25">
      <c r="A175" s="60" t="s">
        <v>299</v>
      </c>
      <c r="B175" s="60" t="s">
        <v>300</v>
      </c>
      <c r="C175" s="34">
        <v>4301031496</v>
      </c>
      <c r="D175" s="718">
        <v>4680115887428</v>
      </c>
      <c r="E175" s="71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40</v>
      </c>
      <c r="P175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0"/>
      <c r="R175" s="720"/>
      <c r="S175" s="720"/>
      <c r="T175" s="72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301</v>
      </c>
      <c r="AG175" s="75"/>
      <c r="AJ175" s="79" t="s">
        <v>46</v>
      </c>
      <c r="AK175" s="79">
        <v>0</v>
      </c>
      <c r="BB175" s="242" t="s">
        <v>66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302</v>
      </c>
      <c r="B176" s="60" t="s">
        <v>303</v>
      </c>
      <c r="C176" s="34">
        <v>4301031509</v>
      </c>
      <c r="D176" s="718">
        <v>4680115889170</v>
      </c>
      <c r="E176" s="718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0"/>
      <c r="R176" s="720"/>
      <c r="S176" s="720"/>
      <c r="T176" s="72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304</v>
      </c>
      <c r="AG176" s="75"/>
      <c r="AJ176" s="79" t="s">
        <v>46</v>
      </c>
      <c r="AK176" s="79">
        <v>0</v>
      </c>
      <c r="BB176" s="244" t="s">
        <v>66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305</v>
      </c>
      <c r="B177" s="60" t="s">
        <v>306</v>
      </c>
      <c r="C177" s="34">
        <v>4301031522</v>
      </c>
      <c r="D177" s="718">
        <v>4680115887398</v>
      </c>
      <c r="E177" s="718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133</v>
      </c>
      <c r="L177" s="35" t="s">
        <v>46</v>
      </c>
      <c r="M177" s="36" t="s">
        <v>80</v>
      </c>
      <c r="N177" s="36"/>
      <c r="O177" s="35">
        <v>45</v>
      </c>
      <c r="P177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0"/>
      <c r="R177" s="720"/>
      <c r="S177" s="720"/>
      <c r="T177" s="72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307</v>
      </c>
      <c r="AG177" s="75"/>
      <c r="AJ177" s="79" t="s">
        <v>46</v>
      </c>
      <c r="AK177" s="79">
        <v>0</v>
      </c>
      <c r="BB177" s="246" t="s">
        <v>66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308</v>
      </c>
      <c r="B178" s="60" t="s">
        <v>309</v>
      </c>
      <c r="C178" s="34">
        <v>4301031520</v>
      </c>
      <c r="D178" s="718">
        <v>4680115887336</v>
      </c>
      <c r="E178" s="718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133</v>
      </c>
      <c r="L178" s="35" t="s">
        <v>46</v>
      </c>
      <c r="M178" s="36" t="s">
        <v>80</v>
      </c>
      <c r="N178" s="36"/>
      <c r="O178" s="35">
        <v>45</v>
      </c>
      <c r="P178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0"/>
      <c r="R178" s="720"/>
      <c r="S178" s="720"/>
      <c r="T178" s="72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310</v>
      </c>
      <c r="AG178" s="75"/>
      <c r="AJ178" s="79" t="s">
        <v>46</v>
      </c>
      <c r="AK178" s="79">
        <v>0</v>
      </c>
      <c r="BB178" s="248" t="s">
        <v>66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311</v>
      </c>
      <c r="B179" s="60" t="s">
        <v>312</v>
      </c>
      <c r="C179" s="34">
        <v>4301032049</v>
      </c>
      <c r="D179" s="718">
        <v>4680115887787</v>
      </c>
      <c r="E179" s="718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130</v>
      </c>
      <c r="L179" s="35" t="s">
        <v>46</v>
      </c>
      <c r="M179" s="36" t="s">
        <v>80</v>
      </c>
      <c r="N179" s="36"/>
      <c r="O179" s="35">
        <v>45</v>
      </c>
      <c r="P179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0"/>
      <c r="R179" s="720"/>
      <c r="S179" s="720"/>
      <c r="T179" s="72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313</v>
      </c>
      <c r="AG179" s="75"/>
      <c r="AJ179" s="79" t="s">
        <v>46</v>
      </c>
      <c r="AK179" s="79">
        <v>0</v>
      </c>
      <c r="BB179" s="250" t="s">
        <v>66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16.5" hidden="1" customHeight="1" x14ac:dyDescent="0.25">
      <c r="A180" s="60" t="s">
        <v>311</v>
      </c>
      <c r="B180" s="60" t="s">
        <v>314</v>
      </c>
      <c r="C180" s="34">
        <v>4301031528</v>
      </c>
      <c r="D180" s="718">
        <v>4680115887787</v>
      </c>
      <c r="E180" s="71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192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0"/>
      <c r="R180" s="720"/>
      <c r="S180" s="720"/>
      <c r="T180" s="72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IFERROR(IF(Y180=0,"",ROUNDUP(Y180/H180,0)*0.00726),"")</f>
        <v/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66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315</v>
      </c>
      <c r="B181" s="60" t="s">
        <v>316</v>
      </c>
      <c r="C181" s="34">
        <v>4301031448</v>
      </c>
      <c r="D181" s="718">
        <v>4680115887503</v>
      </c>
      <c r="E181" s="71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40</v>
      </c>
      <c r="P181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0"/>
      <c r="R181" s="720"/>
      <c r="S181" s="720"/>
      <c r="T181" s="72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301</v>
      </c>
      <c r="AG181" s="75"/>
      <c r="AJ181" s="79" t="s">
        <v>46</v>
      </c>
      <c r="AK181" s="79">
        <v>0</v>
      </c>
      <c r="BB181" s="254" t="s">
        <v>66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4301031389</v>
      </c>
      <c r="D182" s="718">
        <v>4680115887763</v>
      </c>
      <c r="E182" s="718"/>
      <c r="F182" s="59">
        <v>0.09</v>
      </c>
      <c r="G182" s="35">
        <v>10</v>
      </c>
      <c r="H182" s="59">
        <v>0.9</v>
      </c>
      <c r="I182" s="59">
        <v>1.1100000000000001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0"/>
      <c r="R182" s="720"/>
      <c r="S182" s="720"/>
      <c r="T182" s="72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66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4301031521</v>
      </c>
      <c r="D183" s="718">
        <v>4680115887480</v>
      </c>
      <c r="E183" s="71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0"/>
      <c r="R183" s="720"/>
      <c r="S183" s="720"/>
      <c r="T183" s="72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307</v>
      </c>
      <c r="AG183" s="75"/>
      <c r="AJ183" s="79" t="s">
        <v>46</v>
      </c>
      <c r="AK183" s="79">
        <v>0</v>
      </c>
      <c r="BB183" s="258" t="s">
        <v>66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322</v>
      </c>
      <c r="B184" s="60" t="s">
        <v>323</v>
      </c>
      <c r="C184" s="34">
        <v>4301031434</v>
      </c>
      <c r="D184" s="718">
        <v>4680115888067</v>
      </c>
      <c r="E184" s="718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130</v>
      </c>
      <c r="L184" s="35" t="s">
        <v>46</v>
      </c>
      <c r="M184" s="36" t="s">
        <v>80</v>
      </c>
      <c r="N184" s="36"/>
      <c r="O184" s="35">
        <v>45</v>
      </c>
      <c r="P184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0"/>
      <c r="R184" s="720"/>
      <c r="S184" s="720"/>
      <c r="T184" s="721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325</v>
      </c>
      <c r="B185" s="60" t="s">
        <v>326</v>
      </c>
      <c r="C185" s="34">
        <v>4301031519</v>
      </c>
      <c r="D185" s="718">
        <v>4680115887435</v>
      </c>
      <c r="E185" s="718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45</v>
      </c>
      <c r="P185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0"/>
      <c r="R185" s="720"/>
      <c r="S185" s="720"/>
      <c r="T185" s="72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310</v>
      </c>
      <c r="AG185" s="75"/>
      <c r="AJ185" s="79" t="s">
        <v>46</v>
      </c>
      <c r="AK185" s="79">
        <v>0</v>
      </c>
      <c r="BB185" s="262" t="s">
        <v>66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5">
      <c r="A186" s="726"/>
      <c r="B186" s="726"/>
      <c r="C186" s="726"/>
      <c r="D186" s="726"/>
      <c r="E186" s="726"/>
      <c r="F186" s="726"/>
      <c r="G186" s="726"/>
      <c r="H186" s="726"/>
      <c r="I186" s="726"/>
      <c r="J186" s="726"/>
      <c r="K186" s="726"/>
      <c r="L186" s="726"/>
      <c r="M186" s="726"/>
      <c r="N186" s="726"/>
      <c r="O186" s="727"/>
      <c r="P186" s="723" t="s">
        <v>40</v>
      </c>
      <c r="Q186" s="724"/>
      <c r="R186" s="724"/>
      <c r="S186" s="724"/>
      <c r="T186" s="724"/>
      <c r="U186" s="724"/>
      <c r="V186" s="725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5">
      <c r="A187" s="726"/>
      <c r="B187" s="726"/>
      <c r="C187" s="726"/>
      <c r="D187" s="726"/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7"/>
      <c r="P187" s="723" t="s">
        <v>40</v>
      </c>
      <c r="Q187" s="724"/>
      <c r="R187" s="724"/>
      <c r="S187" s="724"/>
      <c r="T187" s="724"/>
      <c r="U187" s="724"/>
      <c r="V187" s="725"/>
      <c r="W187" s="40" t="s">
        <v>0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717" t="s">
        <v>85</v>
      </c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7"/>
      <c r="P188" s="717"/>
      <c r="Q188" s="717"/>
      <c r="R188" s="717"/>
      <c r="S188" s="717"/>
      <c r="T188" s="717"/>
      <c r="U188" s="717"/>
      <c r="V188" s="717"/>
      <c r="W188" s="717"/>
      <c r="X188" s="717"/>
      <c r="Y188" s="717"/>
      <c r="Z188" s="717"/>
      <c r="AA188" s="63"/>
      <c r="AB188" s="63"/>
      <c r="AC188" s="63"/>
    </row>
    <row r="189" spans="1:68" ht="16.5" hidden="1" customHeight="1" x14ac:dyDescent="0.25">
      <c r="A189" s="60" t="s">
        <v>327</v>
      </c>
      <c r="B189" s="60" t="s">
        <v>328</v>
      </c>
      <c r="C189" s="34">
        <v>4301052193</v>
      </c>
      <c r="D189" s="718">
        <v>4680115888395</v>
      </c>
      <c r="E189" s="718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0"/>
      <c r="R189" s="720"/>
      <c r="S189" s="720"/>
      <c r="T189" s="72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329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330</v>
      </c>
      <c r="B190" s="60" t="s">
        <v>331</v>
      </c>
      <c r="C190" s="34">
        <v>4301052191</v>
      </c>
      <c r="D190" s="718">
        <v>4680115888371</v>
      </c>
      <c r="E190" s="718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90</v>
      </c>
      <c r="L190" s="35" t="s">
        <v>46</v>
      </c>
      <c r="M190" s="36" t="s">
        <v>96</v>
      </c>
      <c r="N190" s="36"/>
      <c r="O190" s="35">
        <v>40</v>
      </c>
      <c r="P190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0"/>
      <c r="R190" s="720"/>
      <c r="S190" s="720"/>
      <c r="T190" s="72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332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333</v>
      </c>
      <c r="B191" s="60" t="s">
        <v>334</v>
      </c>
      <c r="C191" s="34">
        <v>4301052064</v>
      </c>
      <c r="D191" s="718">
        <v>4680115887459</v>
      </c>
      <c r="E191" s="718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90</v>
      </c>
      <c r="L191" s="35" t="s">
        <v>46</v>
      </c>
      <c r="M191" s="36" t="s">
        <v>89</v>
      </c>
      <c r="N191" s="36"/>
      <c r="O191" s="35">
        <v>45</v>
      </c>
      <c r="P191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0"/>
      <c r="R191" s="720"/>
      <c r="S191" s="720"/>
      <c r="T191" s="721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335</v>
      </c>
      <c r="AG191" s="75"/>
      <c r="AJ191" s="79" t="s">
        <v>46</v>
      </c>
      <c r="AK191" s="79">
        <v>0</v>
      </c>
      <c r="BB191" s="268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5">
      <c r="A192" s="726"/>
      <c r="B192" s="726"/>
      <c r="C192" s="726"/>
      <c r="D192" s="726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7"/>
      <c r="P192" s="723" t="s">
        <v>40</v>
      </c>
      <c r="Q192" s="724"/>
      <c r="R192" s="724"/>
      <c r="S192" s="724"/>
      <c r="T192" s="724"/>
      <c r="U192" s="724"/>
      <c r="V192" s="725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5">
      <c r="A193" s="726"/>
      <c r="B193" s="726"/>
      <c r="C193" s="726"/>
      <c r="D193" s="726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7"/>
      <c r="P193" s="723" t="s">
        <v>40</v>
      </c>
      <c r="Q193" s="724"/>
      <c r="R193" s="724"/>
      <c r="S193" s="724"/>
      <c r="T193" s="724"/>
      <c r="U193" s="724"/>
      <c r="V193" s="725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7" t="s">
        <v>276</v>
      </c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7"/>
      <c r="P194" s="717"/>
      <c r="Q194" s="717"/>
      <c r="R194" s="717"/>
      <c r="S194" s="717"/>
      <c r="T194" s="717"/>
      <c r="U194" s="717"/>
      <c r="V194" s="717"/>
      <c r="W194" s="717"/>
      <c r="X194" s="717"/>
      <c r="Y194" s="717"/>
      <c r="Z194" s="717"/>
      <c r="AA194" s="63"/>
      <c r="AB194" s="63"/>
      <c r="AC194" s="63"/>
    </row>
    <row r="195" spans="1:68" ht="16.5" hidden="1" customHeight="1" x14ac:dyDescent="0.25">
      <c r="A195" s="60" t="s">
        <v>336</v>
      </c>
      <c r="B195" s="60" t="s">
        <v>337</v>
      </c>
      <c r="C195" s="34">
        <v>4301032058</v>
      </c>
      <c r="D195" s="718">
        <v>4680115889026</v>
      </c>
      <c r="E195" s="718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339</v>
      </c>
      <c r="L195" s="35" t="s">
        <v>46</v>
      </c>
      <c r="M195" s="36" t="s">
        <v>281</v>
      </c>
      <c r="N195" s="36"/>
      <c r="O195" s="35">
        <v>60</v>
      </c>
      <c r="P195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0"/>
      <c r="R195" s="720"/>
      <c r="S195" s="720"/>
      <c r="T195" s="721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338</v>
      </c>
      <c r="AG195" s="75"/>
      <c r="AJ195" s="79" t="s">
        <v>46</v>
      </c>
      <c r="AK195" s="79">
        <v>0</v>
      </c>
      <c r="BB195" s="270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5">
      <c r="A196" s="726"/>
      <c r="B196" s="726"/>
      <c r="C196" s="726"/>
      <c r="D196" s="726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7"/>
      <c r="P196" s="723" t="s">
        <v>40</v>
      </c>
      <c r="Q196" s="724"/>
      <c r="R196" s="724"/>
      <c r="S196" s="724"/>
      <c r="T196" s="724"/>
      <c r="U196" s="724"/>
      <c r="V196" s="725"/>
      <c r="W196" s="40" t="s">
        <v>39</v>
      </c>
      <c r="X196" s="41">
        <f>IFERROR(X195/H195,"0")</f>
        <v>0</v>
      </c>
      <c r="Y196" s="41">
        <f>IFERROR(Y195/H195,"0")</f>
        <v>0</v>
      </c>
      <c r="Z196" s="41">
        <f>IFERROR(IF(Z195="",0,Z195),"0")</f>
        <v>0</v>
      </c>
      <c r="AA196" s="64"/>
      <c r="AB196" s="64"/>
      <c r="AC196" s="64"/>
    </row>
    <row r="197" spans="1:68" hidden="1" x14ac:dyDescent="0.25">
      <c r="A197" s="726"/>
      <c r="B197" s="726"/>
      <c r="C197" s="726"/>
      <c r="D197" s="726"/>
      <c r="E197" s="726"/>
      <c r="F197" s="726"/>
      <c r="G197" s="726"/>
      <c r="H197" s="726"/>
      <c r="I197" s="726"/>
      <c r="J197" s="726"/>
      <c r="K197" s="726"/>
      <c r="L197" s="726"/>
      <c r="M197" s="726"/>
      <c r="N197" s="726"/>
      <c r="O197" s="727"/>
      <c r="P197" s="723" t="s">
        <v>40</v>
      </c>
      <c r="Q197" s="724"/>
      <c r="R197" s="724"/>
      <c r="S197" s="724"/>
      <c r="T197" s="724"/>
      <c r="U197" s="724"/>
      <c r="V197" s="725"/>
      <c r="W197" s="40" t="s">
        <v>0</v>
      </c>
      <c r="X197" s="41">
        <f>IFERROR(SUM(X195:X195),"0")</f>
        <v>0</v>
      </c>
      <c r="Y197" s="41">
        <f>IFERROR(SUM(Y195:Y195),"0")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717" t="s">
        <v>340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3"/>
      <c r="AB198" s="63"/>
      <c r="AC198" s="63"/>
    </row>
    <row r="199" spans="1:68" ht="27" hidden="1" customHeight="1" x14ac:dyDescent="0.25">
      <c r="A199" s="60" t="s">
        <v>341</v>
      </c>
      <c r="B199" s="60" t="s">
        <v>342</v>
      </c>
      <c r="C199" s="34">
        <v>4301041009</v>
      </c>
      <c r="D199" s="718">
        <v>4680115889033</v>
      </c>
      <c r="E199" s="718"/>
      <c r="F199" s="59">
        <v>0.11</v>
      </c>
      <c r="G199" s="35">
        <v>15</v>
      </c>
      <c r="H199" s="59">
        <v>1.65</v>
      </c>
      <c r="I199" s="59">
        <v>1.9</v>
      </c>
      <c r="J199" s="35">
        <v>216</v>
      </c>
      <c r="K199" s="35" t="s">
        <v>339</v>
      </c>
      <c r="L199" s="35" t="s">
        <v>46</v>
      </c>
      <c r="M199" s="36" t="s">
        <v>281</v>
      </c>
      <c r="N199" s="36"/>
      <c r="O199" s="35">
        <v>60</v>
      </c>
      <c r="P199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0"/>
      <c r="R199" s="720"/>
      <c r="S199" s="720"/>
      <c r="T199" s="72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IFERROR(IF(Y199=0,"",ROUNDUP(Y199/H199,0)*0.0059),"")</f>
        <v/>
      </c>
      <c r="AA199" s="65" t="s">
        <v>46</v>
      </c>
      <c r="AB199" s="66" t="s">
        <v>46</v>
      </c>
      <c r="AC199" s="271" t="s">
        <v>343</v>
      </c>
      <c r="AG199" s="75"/>
      <c r="AJ199" s="79" t="s">
        <v>46</v>
      </c>
      <c r="AK199" s="79">
        <v>0</v>
      </c>
      <c r="BB199" s="272" t="s">
        <v>66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5">
      <c r="A200" s="726"/>
      <c r="B200" s="726"/>
      <c r="C200" s="726"/>
      <c r="D200" s="726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7"/>
      <c r="P200" s="723" t="s">
        <v>40</v>
      </c>
      <c r="Q200" s="724"/>
      <c r="R200" s="724"/>
      <c r="S200" s="724"/>
      <c r="T200" s="724"/>
      <c r="U200" s="724"/>
      <c r="V200" s="725"/>
      <c r="W200" s="40" t="s">
        <v>39</v>
      </c>
      <c r="X200" s="41">
        <f>IFERROR(X199/H199,"0")</f>
        <v>0</v>
      </c>
      <c r="Y200" s="41">
        <f>IFERROR(Y199/H199,"0")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5">
      <c r="A201" s="726"/>
      <c r="B201" s="726"/>
      <c r="C201" s="726"/>
      <c r="D201" s="726"/>
      <c r="E201" s="726"/>
      <c r="F201" s="726"/>
      <c r="G201" s="726"/>
      <c r="H201" s="726"/>
      <c r="I201" s="726"/>
      <c r="J201" s="726"/>
      <c r="K201" s="726"/>
      <c r="L201" s="726"/>
      <c r="M201" s="726"/>
      <c r="N201" s="726"/>
      <c r="O201" s="727"/>
      <c r="P201" s="723" t="s">
        <v>40</v>
      </c>
      <c r="Q201" s="724"/>
      <c r="R201" s="724"/>
      <c r="S201" s="724"/>
      <c r="T201" s="724"/>
      <c r="U201" s="724"/>
      <c r="V201" s="725"/>
      <c r="W201" s="40" t="s">
        <v>0</v>
      </c>
      <c r="X201" s="41">
        <f>IFERROR(SUM(X199:X199),"0")</f>
        <v>0</v>
      </c>
      <c r="Y201" s="41">
        <f>IFERROR(SUM(Y199:Y199),"0")</f>
        <v>0</v>
      </c>
      <c r="Z201" s="40"/>
      <c r="AA201" s="64"/>
      <c r="AB201" s="64"/>
      <c r="AC201" s="64"/>
    </row>
    <row r="202" spans="1:68" ht="27.75" hidden="1" customHeight="1" x14ac:dyDescent="0.25">
      <c r="A202" s="715" t="s">
        <v>344</v>
      </c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52"/>
      <c r="AB202" s="52"/>
      <c r="AC202" s="52"/>
    </row>
    <row r="203" spans="1:68" ht="16.5" hidden="1" customHeight="1" x14ac:dyDescent="0.25">
      <c r="A203" s="716" t="s">
        <v>345</v>
      </c>
      <c r="B203" s="716"/>
      <c r="C203" s="716"/>
      <c r="D203" s="716"/>
      <c r="E203" s="716"/>
      <c r="F203" s="716"/>
      <c r="G203" s="716"/>
      <c r="H203" s="716"/>
      <c r="I203" s="716"/>
      <c r="J203" s="716"/>
      <c r="K203" s="716"/>
      <c r="L203" s="716"/>
      <c r="M203" s="716"/>
      <c r="N203" s="716"/>
      <c r="O203" s="716"/>
      <c r="P203" s="716"/>
      <c r="Q203" s="716"/>
      <c r="R203" s="716"/>
      <c r="S203" s="716"/>
      <c r="T203" s="716"/>
      <c r="U203" s="716"/>
      <c r="V203" s="716"/>
      <c r="W203" s="716"/>
      <c r="X203" s="716"/>
      <c r="Y203" s="716"/>
      <c r="Z203" s="716"/>
      <c r="AA203" s="62"/>
      <c r="AB203" s="62"/>
      <c r="AC203" s="62"/>
    </row>
    <row r="204" spans="1:68" ht="14.25" hidden="1" customHeight="1" x14ac:dyDescent="0.25">
      <c r="A204" s="717" t="s">
        <v>121</v>
      </c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7"/>
      <c r="P204" s="717"/>
      <c r="Q204" s="717"/>
      <c r="R204" s="717"/>
      <c r="S204" s="717"/>
      <c r="T204" s="717"/>
      <c r="U204" s="717"/>
      <c r="V204" s="717"/>
      <c r="W204" s="717"/>
      <c r="X204" s="717"/>
      <c r="Y204" s="717"/>
      <c r="Z204" s="717"/>
      <c r="AA204" s="63"/>
      <c r="AB204" s="63"/>
      <c r="AC204" s="63"/>
    </row>
    <row r="205" spans="1:68" ht="27" hidden="1" customHeight="1" x14ac:dyDescent="0.25">
      <c r="A205" s="60" t="s">
        <v>346</v>
      </c>
      <c r="B205" s="60" t="s">
        <v>347</v>
      </c>
      <c r="C205" s="34">
        <v>4301011223</v>
      </c>
      <c r="D205" s="718">
        <v>4607091383423</v>
      </c>
      <c r="E205" s="718"/>
      <c r="F205" s="59">
        <v>1.35</v>
      </c>
      <c r="G205" s="35">
        <v>8</v>
      </c>
      <c r="H205" s="59">
        <v>10.8</v>
      </c>
      <c r="I205" s="59">
        <v>11.305999999999999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0"/>
      <c r="R205" s="720"/>
      <c r="S205" s="720"/>
      <c r="T205" s="72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ref="Y205:Y211" si="21">IFERROR(IF(X205="",0,CEILING((X205/$H205),1)*$H205),"")</f>
        <v>0</v>
      </c>
      <c r="Z205" s="39" t="str">
        <f t="shared" ref="Z205:Z211" si="22">IFERROR(IF(Y205=0,"",ROUNDUP(Y205/H205,0)*0.01898),"")</f>
        <v/>
      </c>
      <c r="AA205" s="65" t="s">
        <v>46</v>
      </c>
      <c r="AB205" s="66" t="s">
        <v>46</v>
      </c>
      <c r="AC205" s="273" t="s">
        <v>124</v>
      </c>
      <c r="AG205" s="75"/>
      <c r="AJ205" s="79" t="s">
        <v>46</v>
      </c>
      <c r="AK205" s="79">
        <v>0</v>
      </c>
      <c r="BB205" s="274" t="s">
        <v>66</v>
      </c>
      <c r="BM205" s="75">
        <f t="shared" ref="BM205:BM211" si="23">IFERROR(X205*I205/H205,"0")</f>
        <v>0</v>
      </c>
      <c r="BN205" s="75">
        <f t="shared" ref="BN205:BN211" si="24">IFERROR(Y205*I205/H205,"0")</f>
        <v>0</v>
      </c>
      <c r="BO205" s="75">
        <f t="shared" ref="BO205:BO211" si="25">IFERROR(1/J205*(X205/H205),"0")</f>
        <v>0</v>
      </c>
      <c r="BP205" s="75">
        <f t="shared" ref="BP205:BP211" si="26">IFERROR(1/J205*(Y205/H205),"0")</f>
        <v>0</v>
      </c>
    </row>
    <row r="206" spans="1:68" ht="27" hidden="1" customHeight="1" x14ac:dyDescent="0.25">
      <c r="A206" s="60" t="s">
        <v>348</v>
      </c>
      <c r="B206" s="60" t="s">
        <v>349</v>
      </c>
      <c r="C206" s="34">
        <v>4301012340</v>
      </c>
      <c r="D206" s="718">
        <v>4680115888760</v>
      </c>
      <c r="E206" s="718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0"/>
      <c r="R206" s="720"/>
      <c r="S206" s="720"/>
      <c r="T206" s="72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75" t="s">
        <v>350</v>
      </c>
      <c r="AG206" s="75"/>
      <c r="AJ206" s="79" t="s">
        <v>46</v>
      </c>
      <c r="AK206" s="79">
        <v>0</v>
      </c>
      <c r="BB206" s="276" t="s">
        <v>66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t="27" hidden="1" customHeight="1" x14ac:dyDescent="0.25">
      <c r="A207" s="60" t="s">
        <v>351</v>
      </c>
      <c r="B207" s="60" t="s">
        <v>352</v>
      </c>
      <c r="C207" s="34">
        <v>4301012341</v>
      </c>
      <c r="D207" s="718">
        <v>4680115888807</v>
      </c>
      <c r="E207" s="718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0"/>
      <c r="R207" s="720"/>
      <c r="S207" s="720"/>
      <c r="T207" s="72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353</v>
      </c>
      <c r="AG207" s="75"/>
      <c r="AJ207" s="79" t="s">
        <v>46</v>
      </c>
      <c r="AK207" s="79">
        <v>0</v>
      </c>
      <c r="BB207" s="278" t="s">
        <v>66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354</v>
      </c>
      <c r="B208" s="60" t="s">
        <v>355</v>
      </c>
      <c r="C208" s="34">
        <v>4301012342</v>
      </c>
      <c r="D208" s="718">
        <v>4680115888852</v>
      </c>
      <c r="E208" s="718"/>
      <c r="F208" s="59">
        <v>0.9</v>
      </c>
      <c r="G208" s="35">
        <v>6</v>
      </c>
      <c r="H208" s="59">
        <v>5.4</v>
      </c>
      <c r="I208" s="59">
        <v>5.81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0"/>
      <c r="R208" s="720"/>
      <c r="S208" s="720"/>
      <c r="T208" s="72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356</v>
      </c>
      <c r="AG208" s="75"/>
      <c r="AJ208" s="79" t="s">
        <v>46</v>
      </c>
      <c r="AK208" s="79">
        <v>0</v>
      </c>
      <c r="BB208" s="280" t="s">
        <v>66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37.5" hidden="1" customHeight="1" x14ac:dyDescent="0.25">
      <c r="A209" s="60" t="s">
        <v>357</v>
      </c>
      <c r="B209" s="60" t="s">
        <v>358</v>
      </c>
      <c r="C209" s="34">
        <v>4301012370</v>
      </c>
      <c r="D209" s="718">
        <v>4680115886957</v>
      </c>
      <c r="E209" s="718"/>
      <c r="F209" s="59">
        <v>1.35</v>
      </c>
      <c r="G209" s="35">
        <v>8</v>
      </c>
      <c r="H209" s="59">
        <v>10.8</v>
      </c>
      <c r="I209" s="59">
        <v>11.29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0"/>
      <c r="R209" s="720"/>
      <c r="S209" s="720"/>
      <c r="T209" s="72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359</v>
      </c>
      <c r="AG209" s="75"/>
      <c r="AJ209" s="79" t="s">
        <v>46</v>
      </c>
      <c r="AK209" s="79">
        <v>0</v>
      </c>
      <c r="BB209" s="282" t="s">
        <v>66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27" hidden="1" customHeight="1" x14ac:dyDescent="0.25">
      <c r="A210" s="60" t="s">
        <v>360</v>
      </c>
      <c r="B210" s="60" t="s">
        <v>361</v>
      </c>
      <c r="C210" s="34">
        <v>4301012098</v>
      </c>
      <c r="D210" s="718">
        <v>4680115885660</v>
      </c>
      <c r="E210" s="718"/>
      <c r="F210" s="59">
        <v>1.35</v>
      </c>
      <c r="G210" s="35">
        <v>8</v>
      </c>
      <c r="H210" s="59">
        <v>10.8</v>
      </c>
      <c r="I210" s="59">
        <v>11.21</v>
      </c>
      <c r="J210" s="35">
        <v>64</v>
      </c>
      <c r="K210" s="35" t="s">
        <v>126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0"/>
      <c r="R210" s="720"/>
      <c r="S210" s="720"/>
      <c r="T210" s="72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362</v>
      </c>
      <c r="AG210" s="75"/>
      <c r="AJ210" s="79" t="s">
        <v>46</v>
      </c>
      <c r="AK210" s="79">
        <v>0</v>
      </c>
      <c r="BB210" s="284" t="s">
        <v>66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363</v>
      </c>
      <c r="B211" s="60" t="s">
        <v>364</v>
      </c>
      <c r="C211" s="34">
        <v>4301012369</v>
      </c>
      <c r="D211" s="718">
        <v>4680115886773</v>
      </c>
      <c r="E211" s="718"/>
      <c r="F211" s="59">
        <v>0.9</v>
      </c>
      <c r="G211" s="35">
        <v>10</v>
      </c>
      <c r="H211" s="59">
        <v>9</v>
      </c>
      <c r="I211" s="59">
        <v>9.51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0"/>
      <c r="R211" s="720"/>
      <c r="S211" s="720"/>
      <c r="T211" s="72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365</v>
      </c>
      <c r="AG211" s="75"/>
      <c r="AJ211" s="79" t="s">
        <v>46</v>
      </c>
      <c r="AK211" s="79">
        <v>0</v>
      </c>
      <c r="BB211" s="286" t="s">
        <v>66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idden="1" x14ac:dyDescent="0.25">
      <c r="A212" s="726"/>
      <c r="B212" s="726"/>
      <c r="C212" s="726"/>
      <c r="D212" s="726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7"/>
      <c r="P212" s="723" t="s">
        <v>40</v>
      </c>
      <c r="Q212" s="724"/>
      <c r="R212" s="724"/>
      <c r="S212" s="724"/>
      <c r="T212" s="724"/>
      <c r="U212" s="724"/>
      <c r="V212" s="725"/>
      <c r="W212" s="40" t="s">
        <v>39</v>
      </c>
      <c r="X212" s="41">
        <f>IFERROR(X205/H205,"0")+IFERROR(X206/H206,"0")+IFERROR(X207/H207,"0")+IFERROR(X208/H208,"0")+IFERROR(X209/H209,"0")+IFERROR(X210/H210,"0")+IFERROR(X211/H211,"0")</f>
        <v>0</v>
      </c>
      <c r="Y212" s="41">
        <f>IFERROR(Y205/H205,"0")+IFERROR(Y206/H206,"0")+IFERROR(Y207/H207,"0")+IFERROR(Y208/H208,"0")+IFERROR(Y209/H209,"0")+IFERROR(Y210/H210,"0")+IFERROR(Y211/H211,"0")</f>
        <v>0</v>
      </c>
      <c r="Z212" s="41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hidden="1" x14ac:dyDescent="0.25">
      <c r="A213" s="726"/>
      <c r="B213" s="726"/>
      <c r="C213" s="726"/>
      <c r="D213" s="726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7"/>
      <c r="P213" s="723" t="s">
        <v>40</v>
      </c>
      <c r="Q213" s="724"/>
      <c r="R213" s="724"/>
      <c r="S213" s="724"/>
      <c r="T213" s="724"/>
      <c r="U213" s="724"/>
      <c r="V213" s="725"/>
      <c r="W213" s="40" t="s">
        <v>0</v>
      </c>
      <c r="X213" s="41">
        <f>IFERROR(SUM(X205:X211),"0")</f>
        <v>0</v>
      </c>
      <c r="Y213" s="41">
        <f>IFERROR(SUM(Y205:Y211),"0")</f>
        <v>0</v>
      </c>
      <c r="Z213" s="40"/>
      <c r="AA213" s="64"/>
      <c r="AB213" s="64"/>
      <c r="AC213" s="64"/>
    </row>
    <row r="214" spans="1:68" ht="16.5" hidden="1" customHeight="1" x14ac:dyDescent="0.25">
      <c r="A214" s="716" t="s">
        <v>366</v>
      </c>
      <c r="B214" s="716"/>
      <c r="C214" s="716"/>
      <c r="D214" s="716"/>
      <c r="E214" s="716"/>
      <c r="F214" s="716"/>
      <c r="G214" s="716"/>
      <c r="H214" s="716"/>
      <c r="I214" s="716"/>
      <c r="J214" s="716"/>
      <c r="K214" s="716"/>
      <c r="L214" s="716"/>
      <c r="M214" s="716"/>
      <c r="N214" s="716"/>
      <c r="O214" s="716"/>
      <c r="P214" s="716"/>
      <c r="Q214" s="716"/>
      <c r="R214" s="716"/>
      <c r="S214" s="716"/>
      <c r="T214" s="716"/>
      <c r="U214" s="716"/>
      <c r="V214" s="716"/>
      <c r="W214" s="716"/>
      <c r="X214" s="716"/>
      <c r="Y214" s="716"/>
      <c r="Z214" s="716"/>
      <c r="AA214" s="62"/>
      <c r="AB214" s="62"/>
      <c r="AC214" s="62"/>
    </row>
    <row r="215" spans="1:68" ht="14.25" hidden="1" customHeight="1" x14ac:dyDescent="0.25">
      <c r="A215" s="717" t="s">
        <v>158</v>
      </c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7"/>
      <c r="P215" s="717"/>
      <c r="Q215" s="717"/>
      <c r="R215" s="717"/>
      <c r="S215" s="717"/>
      <c r="T215" s="717"/>
      <c r="U215" s="717"/>
      <c r="V215" s="717"/>
      <c r="W215" s="717"/>
      <c r="X215" s="717"/>
      <c r="Y215" s="717"/>
      <c r="Z215" s="717"/>
      <c r="AA215" s="63"/>
      <c r="AB215" s="63"/>
      <c r="AC215" s="63"/>
    </row>
    <row r="216" spans="1:68" ht="27" hidden="1" customHeight="1" x14ac:dyDescent="0.25">
      <c r="A216" s="60" t="s">
        <v>367</v>
      </c>
      <c r="B216" s="60" t="s">
        <v>368</v>
      </c>
      <c r="C216" s="34">
        <v>4301020323</v>
      </c>
      <c r="D216" s="718">
        <v>4680115886223</v>
      </c>
      <c r="E216" s="718"/>
      <c r="F216" s="59">
        <v>0.33</v>
      </c>
      <c r="G216" s="35">
        <v>6</v>
      </c>
      <c r="H216" s="59">
        <v>1.98</v>
      </c>
      <c r="I216" s="59">
        <v>2.08</v>
      </c>
      <c r="J216" s="35">
        <v>234</v>
      </c>
      <c r="K216" s="35" t="s">
        <v>81</v>
      </c>
      <c r="L216" s="35" t="s">
        <v>46</v>
      </c>
      <c r="M216" s="36" t="s">
        <v>80</v>
      </c>
      <c r="N216" s="36"/>
      <c r="O216" s="35">
        <v>40</v>
      </c>
      <c r="P216" s="82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0"/>
      <c r="R216" s="720"/>
      <c r="S216" s="720"/>
      <c r="T216" s="721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IFERROR(IF(Y216=0,"",ROUNDUP(Y216/H216,0)*0.00502),"")</f>
        <v/>
      </c>
      <c r="AA216" s="65" t="s">
        <v>46</v>
      </c>
      <c r="AB216" s="66" t="s">
        <v>46</v>
      </c>
      <c r="AC216" s="287" t="s">
        <v>369</v>
      </c>
      <c r="AG216" s="75"/>
      <c r="AJ216" s="79" t="s">
        <v>46</v>
      </c>
      <c r="AK216" s="79">
        <v>0</v>
      </c>
      <c r="BB216" s="288" t="s">
        <v>66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5">
      <c r="A217" s="726"/>
      <c r="B217" s="726"/>
      <c r="C217" s="726"/>
      <c r="D217" s="726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7"/>
      <c r="P217" s="723" t="s">
        <v>40</v>
      </c>
      <c r="Q217" s="724"/>
      <c r="R217" s="724"/>
      <c r="S217" s="724"/>
      <c r="T217" s="724"/>
      <c r="U217" s="724"/>
      <c r="V217" s="725"/>
      <c r="W217" s="40" t="s">
        <v>39</v>
      </c>
      <c r="X217" s="41">
        <f>IFERROR(X216/H216,"0")</f>
        <v>0</v>
      </c>
      <c r="Y217" s="41">
        <f>IFERROR(Y216/H216,"0")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5">
      <c r="A218" s="726"/>
      <c r="B218" s="726"/>
      <c r="C218" s="726"/>
      <c r="D218" s="726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7"/>
      <c r="P218" s="723" t="s">
        <v>40</v>
      </c>
      <c r="Q218" s="724"/>
      <c r="R218" s="724"/>
      <c r="S218" s="724"/>
      <c r="T218" s="724"/>
      <c r="U218" s="724"/>
      <c r="V218" s="725"/>
      <c r="W218" s="40" t="s">
        <v>0</v>
      </c>
      <c r="X218" s="41">
        <f>IFERROR(SUM(X216:X216),"0")</f>
        <v>0</v>
      </c>
      <c r="Y218" s="41">
        <f>IFERROR(SUM(Y216:Y216),"0")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717" t="s">
        <v>76</v>
      </c>
      <c r="B219" s="717"/>
      <c r="C219" s="717"/>
      <c r="D219" s="717"/>
      <c r="E219" s="717"/>
      <c r="F219" s="717"/>
      <c r="G219" s="717"/>
      <c r="H219" s="717"/>
      <c r="I219" s="717"/>
      <c r="J219" s="717"/>
      <c r="K219" s="717"/>
      <c r="L219" s="717"/>
      <c r="M219" s="717"/>
      <c r="N219" s="717"/>
      <c r="O219" s="717"/>
      <c r="P219" s="717"/>
      <c r="Q219" s="717"/>
      <c r="R219" s="717"/>
      <c r="S219" s="717"/>
      <c r="T219" s="717"/>
      <c r="U219" s="717"/>
      <c r="V219" s="717"/>
      <c r="W219" s="717"/>
      <c r="X219" s="717"/>
      <c r="Y219" s="717"/>
      <c r="Z219" s="717"/>
      <c r="AA219" s="63"/>
      <c r="AB219" s="63"/>
      <c r="AC219" s="63"/>
    </row>
    <row r="220" spans="1:68" ht="27" hidden="1" customHeight="1" x14ac:dyDescent="0.25">
      <c r="A220" s="60" t="s">
        <v>370</v>
      </c>
      <c r="B220" s="60" t="s">
        <v>371</v>
      </c>
      <c r="C220" s="34">
        <v>4301031191</v>
      </c>
      <c r="D220" s="718">
        <v>4680115880993</v>
      </c>
      <c r="E220" s="718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0"/>
      <c r="R220" s="720"/>
      <c r="S220" s="720"/>
      <c r="T220" s="72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ref="Y220:Y234" si="27">IFERROR(IF(X220="",0,CEILING((X220/$H220),1)*$H220),"")</f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372</v>
      </c>
      <c r="AG220" s="75"/>
      <c r="AJ220" s="79" t="s">
        <v>46</v>
      </c>
      <c r="AK220" s="79">
        <v>0</v>
      </c>
      <c r="BB220" s="290" t="s">
        <v>66</v>
      </c>
      <c r="BM220" s="75">
        <f t="shared" ref="BM220:BM234" si="28">IFERROR(X220*I220/H220,"0")</f>
        <v>0</v>
      </c>
      <c r="BN220" s="75">
        <f t="shared" ref="BN220:BN234" si="29">IFERROR(Y220*I220/H220,"0")</f>
        <v>0</v>
      </c>
      <c r="BO220" s="75">
        <f t="shared" ref="BO220:BO234" si="30">IFERROR(1/J220*(X220/H220),"0")</f>
        <v>0</v>
      </c>
      <c r="BP220" s="75">
        <f t="shared" ref="BP220:BP234" si="31">IFERROR(1/J220*(Y220/H220),"0")</f>
        <v>0</v>
      </c>
    </row>
    <row r="221" spans="1:68" ht="27" hidden="1" customHeight="1" x14ac:dyDescent="0.25">
      <c r="A221" s="60" t="s">
        <v>373</v>
      </c>
      <c r="B221" s="60" t="s">
        <v>374</v>
      </c>
      <c r="C221" s="34">
        <v>4301031204</v>
      </c>
      <c r="D221" s="718">
        <v>4680115881761</v>
      </c>
      <c r="E221" s="718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133</v>
      </c>
      <c r="L221" s="35" t="s">
        <v>46</v>
      </c>
      <c r="M221" s="36" t="s">
        <v>80</v>
      </c>
      <c r="N221" s="36"/>
      <c r="O221" s="35">
        <v>40</v>
      </c>
      <c r="P221" s="83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0"/>
      <c r="R221" s="720"/>
      <c r="S221" s="720"/>
      <c r="T221" s="72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375</v>
      </c>
      <c r="AG221" s="75"/>
      <c r="AJ221" s="79" t="s">
        <v>46</v>
      </c>
      <c r="AK221" s="79">
        <v>0</v>
      </c>
      <c r="BB221" s="292" t="s">
        <v>66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376</v>
      </c>
      <c r="B222" s="60" t="s">
        <v>377</v>
      </c>
      <c r="C222" s="34">
        <v>4301031201</v>
      </c>
      <c r="D222" s="718">
        <v>4680115881563</v>
      </c>
      <c r="E222" s="718"/>
      <c r="F222" s="59">
        <v>0.7</v>
      </c>
      <c r="G222" s="35">
        <v>6</v>
      </c>
      <c r="H222" s="59">
        <v>4.2</v>
      </c>
      <c r="I222" s="59">
        <v>4.3899999999999997</v>
      </c>
      <c r="J222" s="35">
        <v>132</v>
      </c>
      <c r="K222" s="35" t="s">
        <v>133</v>
      </c>
      <c r="L222" s="35" t="s">
        <v>46</v>
      </c>
      <c r="M222" s="36" t="s">
        <v>80</v>
      </c>
      <c r="N222" s="36"/>
      <c r="O222" s="35">
        <v>40</v>
      </c>
      <c r="P222" s="8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0"/>
      <c r="R222" s="720"/>
      <c r="S222" s="720"/>
      <c r="T222" s="72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378</v>
      </c>
      <c r="AG222" s="75"/>
      <c r="AJ222" s="79" t="s">
        <v>46</v>
      </c>
      <c r="AK222" s="79">
        <v>0</v>
      </c>
      <c r="BB222" s="294" t="s">
        <v>66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37.5" hidden="1" customHeight="1" x14ac:dyDescent="0.25">
      <c r="A223" s="60" t="s">
        <v>379</v>
      </c>
      <c r="B223" s="60" t="s">
        <v>380</v>
      </c>
      <c r="C223" s="34">
        <v>4301031447</v>
      </c>
      <c r="D223" s="718">
        <v>4680115887565</v>
      </c>
      <c r="E223" s="718"/>
      <c r="F223" s="59">
        <v>0.08</v>
      </c>
      <c r="G223" s="35">
        <v>10</v>
      </c>
      <c r="H223" s="59">
        <v>0.8</v>
      </c>
      <c r="I223" s="59">
        <v>0.93</v>
      </c>
      <c r="J223" s="35">
        <v>252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0"/>
      <c r="R223" s="720"/>
      <c r="S223" s="720"/>
      <c r="T223" s="72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IFERROR(IF(Y223=0,"",ROUNDUP(Y223/H223,0)*0.00556),"")</f>
        <v/>
      </c>
      <c r="AA223" s="65" t="s">
        <v>46</v>
      </c>
      <c r="AB223" s="66" t="s">
        <v>46</v>
      </c>
      <c r="AC223" s="295" t="s">
        <v>381</v>
      </c>
      <c r="AG223" s="75"/>
      <c r="AJ223" s="79" t="s">
        <v>46</v>
      </c>
      <c r="AK223" s="79">
        <v>0</v>
      </c>
      <c r="BB223" s="296" t="s">
        <v>66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4301031199</v>
      </c>
      <c r="D224" s="718">
        <v>4680115880986</v>
      </c>
      <c r="E224" s="71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0"/>
      <c r="R224" s="720"/>
      <c r="S224" s="720"/>
      <c r="T224" s="72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ref="Z224:Z229" si="32"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66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384</v>
      </c>
      <c r="B225" s="60" t="s">
        <v>385</v>
      </c>
      <c r="C225" s="34">
        <v>4301031443</v>
      </c>
      <c r="D225" s="718">
        <v>4680115887213</v>
      </c>
      <c r="E225" s="718"/>
      <c r="F225" s="59">
        <v>0.3</v>
      </c>
      <c r="G225" s="35">
        <v>6</v>
      </c>
      <c r="H225" s="59">
        <v>1.8</v>
      </c>
      <c r="I225" s="59">
        <v>1.9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3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0"/>
      <c r="R225" s="720"/>
      <c r="S225" s="720"/>
      <c r="T225" s="72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si="32"/>
        <v/>
      </c>
      <c r="AA225" s="65" t="s">
        <v>46</v>
      </c>
      <c r="AB225" s="66" t="s">
        <v>46</v>
      </c>
      <c r="AC225" s="299" t="s">
        <v>386</v>
      </c>
      <c r="AG225" s="75"/>
      <c r="AJ225" s="79" t="s">
        <v>46</v>
      </c>
      <c r="AK225" s="79">
        <v>0</v>
      </c>
      <c r="BB225" s="300" t="s">
        <v>66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387</v>
      </c>
      <c r="B226" s="60" t="s">
        <v>388</v>
      </c>
      <c r="C226" s="34">
        <v>4301031205</v>
      </c>
      <c r="D226" s="718">
        <v>4680115881785</v>
      </c>
      <c r="E226" s="718"/>
      <c r="F226" s="59">
        <v>0.35</v>
      </c>
      <c r="G226" s="35">
        <v>6</v>
      </c>
      <c r="H226" s="59">
        <v>2.1</v>
      </c>
      <c r="I226" s="59">
        <v>2.23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0"/>
      <c r="R226" s="720"/>
      <c r="S226" s="720"/>
      <c r="T226" s="72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375</v>
      </c>
      <c r="AG226" s="75"/>
      <c r="AJ226" s="79" t="s">
        <v>46</v>
      </c>
      <c r="AK226" s="79">
        <v>0</v>
      </c>
      <c r="BB226" s="302" t="s">
        <v>66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4301031499</v>
      </c>
      <c r="D227" s="718">
        <v>4680115888432</v>
      </c>
      <c r="E227" s="71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0"/>
      <c r="R227" s="720"/>
      <c r="S227" s="720"/>
      <c r="T227" s="72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66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4301031427</v>
      </c>
      <c r="D228" s="718">
        <v>4680115888104</v>
      </c>
      <c r="E228" s="718"/>
      <c r="F228" s="59">
        <v>0.35</v>
      </c>
      <c r="G228" s="35">
        <v>6</v>
      </c>
      <c r="H228" s="59">
        <v>2.1</v>
      </c>
      <c r="I228" s="59">
        <v>2.2000000000000002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3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0"/>
      <c r="R228" s="720"/>
      <c r="S228" s="720"/>
      <c r="T228" s="72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66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395</v>
      </c>
      <c r="B229" s="60" t="s">
        <v>396</v>
      </c>
      <c r="C229" s="34">
        <v>4301031503</v>
      </c>
      <c r="D229" s="718">
        <v>4680115886537</v>
      </c>
      <c r="E229" s="718"/>
      <c r="F229" s="59">
        <v>0.3</v>
      </c>
      <c r="G229" s="35">
        <v>6</v>
      </c>
      <c r="H229" s="59">
        <v>1.8</v>
      </c>
      <c r="I229" s="59">
        <v>1.93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0"/>
      <c r="R229" s="720"/>
      <c r="S229" s="720"/>
      <c r="T229" s="72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66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398</v>
      </c>
      <c r="B230" s="60" t="s">
        <v>399</v>
      </c>
      <c r="C230" s="34">
        <v>4301031279</v>
      </c>
      <c r="D230" s="718">
        <v>4680115887596</v>
      </c>
      <c r="E230" s="718"/>
      <c r="F230" s="59">
        <v>0.08</v>
      </c>
      <c r="G230" s="35">
        <v>10</v>
      </c>
      <c r="H230" s="59">
        <v>0.8</v>
      </c>
      <c r="I230" s="59">
        <v>1.01</v>
      </c>
      <c r="J230" s="35">
        <v>336</v>
      </c>
      <c r="K230" s="35" t="s">
        <v>130</v>
      </c>
      <c r="L230" s="35" t="s">
        <v>46</v>
      </c>
      <c r="M230" s="36" t="s">
        <v>80</v>
      </c>
      <c r="N230" s="36"/>
      <c r="O230" s="35">
        <v>45</v>
      </c>
      <c r="P230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0"/>
      <c r="R230" s="720"/>
      <c r="S230" s="720"/>
      <c r="T230" s="72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>IFERROR(IF(Y230=0,"",ROUNDUP(Y230/H230,0)*0.00417),"")</f>
        <v/>
      </c>
      <c r="AA230" s="65" t="s">
        <v>46</v>
      </c>
      <c r="AB230" s="66" t="s">
        <v>46</v>
      </c>
      <c r="AC230" s="309" t="s">
        <v>400</v>
      </c>
      <c r="AG230" s="75"/>
      <c r="AJ230" s="79" t="s">
        <v>46</v>
      </c>
      <c r="AK230" s="79">
        <v>0</v>
      </c>
      <c r="BB230" s="310" t="s">
        <v>66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37.5" hidden="1" customHeight="1" x14ac:dyDescent="0.25">
      <c r="A231" s="60" t="s">
        <v>401</v>
      </c>
      <c r="B231" s="60" t="s">
        <v>402</v>
      </c>
      <c r="C231" s="34">
        <v>4301031530</v>
      </c>
      <c r="D231" s="718">
        <v>4680115881679</v>
      </c>
      <c r="E231" s="718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0"/>
      <c r="R231" s="720"/>
      <c r="S231" s="720"/>
      <c r="T231" s="72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IFERROR(IF(Y231=0,"",ROUNDUP(Y231/H231,0)*0.00502),"")</f>
        <v/>
      </c>
      <c r="AA231" s="65" t="s">
        <v>46</v>
      </c>
      <c r="AB231" s="66" t="s">
        <v>46</v>
      </c>
      <c r="AC231" s="311" t="s">
        <v>378</v>
      </c>
      <c r="AG231" s="75"/>
      <c r="AJ231" s="79" t="s">
        <v>46</v>
      </c>
      <c r="AK231" s="79">
        <v>0</v>
      </c>
      <c r="BB231" s="312" t="s">
        <v>66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4301031158</v>
      </c>
      <c r="D232" s="718">
        <v>4680115880191</v>
      </c>
      <c r="E232" s="718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90</v>
      </c>
      <c r="L232" s="35" t="s">
        <v>46</v>
      </c>
      <c r="M232" s="36" t="s">
        <v>80</v>
      </c>
      <c r="N232" s="36"/>
      <c r="O232" s="35">
        <v>40</v>
      </c>
      <c r="P232" s="84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0"/>
      <c r="R232" s="720"/>
      <c r="S232" s="720"/>
      <c r="T232" s="72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IFERROR(IF(Y232=0,"",ROUNDUP(Y232/H232,0)*0.00651),"")</f>
        <v/>
      </c>
      <c r="AA232" s="65" t="s">
        <v>46</v>
      </c>
      <c r="AB232" s="66" t="s">
        <v>46</v>
      </c>
      <c r="AC232" s="313" t="s">
        <v>378</v>
      </c>
      <c r="AG232" s="75"/>
      <c r="AJ232" s="79" t="s">
        <v>46</v>
      </c>
      <c r="AK232" s="79">
        <v>0</v>
      </c>
      <c r="BB232" s="314" t="s">
        <v>66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403</v>
      </c>
      <c r="B233" s="60" t="s">
        <v>405</v>
      </c>
      <c r="C233" s="34">
        <v>4301031531</v>
      </c>
      <c r="D233" s="718">
        <v>4680115880191</v>
      </c>
      <c r="E233" s="718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90</v>
      </c>
      <c r="L233" s="35" t="s">
        <v>46</v>
      </c>
      <c r="M233" s="36" t="s">
        <v>80</v>
      </c>
      <c r="N233" s="36"/>
      <c r="O233" s="35">
        <v>45</v>
      </c>
      <c r="P233" s="8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0"/>
      <c r="R233" s="720"/>
      <c r="S233" s="720"/>
      <c r="T233" s="72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378</v>
      </c>
      <c r="AG233" s="75"/>
      <c r="AJ233" s="79" t="s">
        <v>46</v>
      </c>
      <c r="AK233" s="79">
        <v>0</v>
      </c>
      <c r="BB233" s="316" t="s">
        <v>66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406</v>
      </c>
      <c r="B234" s="60" t="s">
        <v>407</v>
      </c>
      <c r="C234" s="34">
        <v>4301031245</v>
      </c>
      <c r="D234" s="718">
        <v>4680115883963</v>
      </c>
      <c r="E234" s="718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0"/>
      <c r="R234" s="720"/>
      <c r="S234" s="720"/>
      <c r="T234" s="72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408</v>
      </c>
      <c r="AG234" s="75"/>
      <c r="AJ234" s="79" t="s">
        <v>46</v>
      </c>
      <c r="AK234" s="79">
        <v>0</v>
      </c>
      <c r="BB234" s="318" t="s">
        <v>66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5">
      <c r="A235" s="726"/>
      <c r="B235" s="726"/>
      <c r="C235" s="726"/>
      <c r="D235" s="726"/>
      <c r="E235" s="726"/>
      <c r="F235" s="726"/>
      <c r="G235" s="726"/>
      <c r="H235" s="726"/>
      <c r="I235" s="726"/>
      <c r="J235" s="726"/>
      <c r="K235" s="726"/>
      <c r="L235" s="726"/>
      <c r="M235" s="726"/>
      <c r="N235" s="726"/>
      <c r="O235" s="727"/>
      <c r="P235" s="723" t="s">
        <v>40</v>
      </c>
      <c r="Q235" s="724"/>
      <c r="R235" s="724"/>
      <c r="S235" s="724"/>
      <c r="T235" s="724"/>
      <c r="U235" s="724"/>
      <c r="V235" s="725"/>
      <c r="W235" s="40" t="s">
        <v>39</v>
      </c>
      <c r="X235" s="41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5">
      <c r="A236" s="726"/>
      <c r="B236" s="726"/>
      <c r="C236" s="726"/>
      <c r="D236" s="726"/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7"/>
      <c r="P236" s="723" t="s">
        <v>40</v>
      </c>
      <c r="Q236" s="724"/>
      <c r="R236" s="724"/>
      <c r="S236" s="724"/>
      <c r="T236" s="724"/>
      <c r="U236" s="724"/>
      <c r="V236" s="725"/>
      <c r="W236" s="40" t="s">
        <v>0</v>
      </c>
      <c r="X236" s="41">
        <f>IFERROR(SUM(X220:X234),"0")</f>
        <v>0</v>
      </c>
      <c r="Y236" s="41">
        <f>IFERROR(SUM(Y220:Y234),"0")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717" t="s">
        <v>85</v>
      </c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7"/>
      <c r="P237" s="717"/>
      <c r="Q237" s="717"/>
      <c r="R237" s="717"/>
      <c r="S237" s="717"/>
      <c r="T237" s="717"/>
      <c r="U237" s="717"/>
      <c r="V237" s="717"/>
      <c r="W237" s="717"/>
      <c r="X237" s="717"/>
      <c r="Y237" s="717"/>
      <c r="Z237" s="717"/>
      <c r="AA237" s="63"/>
      <c r="AB237" s="63"/>
      <c r="AC237" s="63"/>
    </row>
    <row r="238" spans="1:68" ht="16.5" hidden="1" customHeight="1" x14ac:dyDescent="0.25">
      <c r="A238" s="60" t="s">
        <v>409</v>
      </c>
      <c r="B238" s="60" t="s">
        <v>410</v>
      </c>
      <c r="C238" s="34">
        <v>4301052209</v>
      </c>
      <c r="D238" s="718">
        <v>4680115888692</v>
      </c>
      <c r="E238" s="71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0"/>
      <c r="R238" s="720"/>
      <c r="S238" s="720"/>
      <c r="T238" s="72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ref="Y238:Y246" si="33"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411</v>
      </c>
      <c r="AG238" s="75"/>
      <c r="AJ238" s="79" t="s">
        <v>46</v>
      </c>
      <c r="AK238" s="79">
        <v>0</v>
      </c>
      <c r="BB238" s="320" t="s">
        <v>66</v>
      </c>
      <c r="BM238" s="75">
        <f t="shared" ref="BM238:BM246" si="34">IFERROR(X238*I238/H238,"0")</f>
        <v>0</v>
      </c>
      <c r="BN238" s="75">
        <f t="shared" ref="BN238:BN246" si="35">IFERROR(Y238*I238/H238,"0")</f>
        <v>0</v>
      </c>
      <c r="BO238" s="75">
        <f t="shared" ref="BO238:BO246" si="36">IFERROR(1/J238*(X238/H238),"0")</f>
        <v>0</v>
      </c>
      <c r="BP238" s="75">
        <f t="shared" ref="BP238:BP246" si="37">IFERROR(1/J238*(Y238/H238),"0")</f>
        <v>0</v>
      </c>
    </row>
    <row r="239" spans="1:68" ht="16.5" hidden="1" customHeight="1" x14ac:dyDescent="0.25">
      <c r="A239" s="60" t="s">
        <v>409</v>
      </c>
      <c r="B239" s="60" t="s">
        <v>412</v>
      </c>
      <c r="C239" s="34">
        <v>4301052279</v>
      </c>
      <c r="D239" s="718">
        <v>4680115888692</v>
      </c>
      <c r="E239" s="71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4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0"/>
      <c r="R239" s="720"/>
      <c r="S239" s="720"/>
      <c r="T239" s="72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413</v>
      </c>
      <c r="AG239" s="75"/>
      <c r="AJ239" s="79" t="s">
        <v>46</v>
      </c>
      <c r="AK239" s="79">
        <v>0</v>
      </c>
      <c r="BB239" s="322" t="s">
        <v>66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414</v>
      </c>
      <c r="B240" s="60" t="s">
        <v>415</v>
      </c>
      <c r="C240" s="34">
        <v>4301052213</v>
      </c>
      <c r="D240" s="718">
        <v>4680115888722</v>
      </c>
      <c r="E240" s="718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126</v>
      </c>
      <c r="L240" s="35" t="s">
        <v>46</v>
      </c>
      <c r="M240" s="36" t="s">
        <v>96</v>
      </c>
      <c r="N240" s="36"/>
      <c r="O240" s="35">
        <v>35</v>
      </c>
      <c r="P240" s="84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0"/>
      <c r="R240" s="720"/>
      <c r="S240" s="720"/>
      <c r="T240" s="72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416</v>
      </c>
      <c r="AG240" s="75"/>
      <c r="AJ240" s="79" t="s">
        <v>46</v>
      </c>
      <c r="AK240" s="79">
        <v>0</v>
      </c>
      <c r="BB240" s="324" t="s">
        <v>66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414</v>
      </c>
      <c r="B241" s="60" t="s">
        <v>417</v>
      </c>
      <c r="C241" s="34">
        <v>4301052280</v>
      </c>
      <c r="D241" s="718">
        <v>4680115888722</v>
      </c>
      <c r="E241" s="718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126</v>
      </c>
      <c r="L241" s="35" t="s">
        <v>46</v>
      </c>
      <c r="M241" s="36" t="s">
        <v>96</v>
      </c>
      <c r="N241" s="36"/>
      <c r="O241" s="35">
        <v>40</v>
      </c>
      <c r="P241" s="84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0"/>
      <c r="R241" s="720"/>
      <c r="S241" s="720"/>
      <c r="T241" s="72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418</v>
      </c>
      <c r="AG241" s="75"/>
      <c r="AJ241" s="79" t="s">
        <v>46</v>
      </c>
      <c r="AK241" s="79">
        <v>0</v>
      </c>
      <c r="BB241" s="326" t="s">
        <v>66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t="27" hidden="1" customHeight="1" x14ac:dyDescent="0.25">
      <c r="A242" s="60" t="s">
        <v>419</v>
      </c>
      <c r="B242" s="60" t="s">
        <v>420</v>
      </c>
      <c r="C242" s="34">
        <v>4301052177</v>
      </c>
      <c r="D242" s="718">
        <v>4680115888951</v>
      </c>
      <c r="E242" s="718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4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0"/>
      <c r="R242" s="720"/>
      <c r="S242" s="720"/>
      <c r="T242" s="72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3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421</v>
      </c>
      <c r="AG242" s="75"/>
      <c r="AJ242" s="79" t="s">
        <v>46</v>
      </c>
      <c r="AK242" s="79">
        <v>0</v>
      </c>
      <c r="BB242" s="328" t="s">
        <v>66</v>
      </c>
      <c r="BM242" s="75">
        <f t="shared" si="34"/>
        <v>0</v>
      </c>
      <c r="BN242" s="75">
        <f t="shared" si="35"/>
        <v>0</v>
      </c>
      <c r="BO242" s="75">
        <f t="shared" si="36"/>
        <v>0</v>
      </c>
      <c r="BP242" s="75">
        <f t="shared" si="37"/>
        <v>0</v>
      </c>
    </row>
    <row r="243" spans="1:68" ht="27" hidden="1" customHeight="1" x14ac:dyDescent="0.25">
      <c r="A243" s="60" t="s">
        <v>419</v>
      </c>
      <c r="B243" s="60" t="s">
        <v>422</v>
      </c>
      <c r="C243" s="34">
        <v>4301052276</v>
      </c>
      <c r="D243" s="718">
        <v>4680115888951</v>
      </c>
      <c r="E243" s="71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40</v>
      </c>
      <c r="P243" s="85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0"/>
      <c r="R243" s="720"/>
      <c r="S243" s="720"/>
      <c r="T243" s="72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3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413</v>
      </c>
      <c r="AG243" s="75"/>
      <c r="AJ243" s="79" t="s">
        <v>46</v>
      </c>
      <c r="AK243" s="79">
        <v>0</v>
      </c>
      <c r="BB243" s="330" t="s">
        <v>66</v>
      </c>
      <c r="BM243" s="75">
        <f t="shared" si="34"/>
        <v>0</v>
      </c>
      <c r="BN243" s="75">
        <f t="shared" si="35"/>
        <v>0</v>
      </c>
      <c r="BO243" s="75">
        <f t="shared" si="36"/>
        <v>0</v>
      </c>
      <c r="BP243" s="75">
        <f t="shared" si="37"/>
        <v>0</v>
      </c>
    </row>
    <row r="244" spans="1:68" ht="27" hidden="1" customHeight="1" x14ac:dyDescent="0.25">
      <c r="A244" s="60" t="s">
        <v>423</v>
      </c>
      <c r="B244" s="60" t="s">
        <v>424</v>
      </c>
      <c r="C244" s="34">
        <v>4301052178</v>
      </c>
      <c r="D244" s="718">
        <v>4680115888975</v>
      </c>
      <c r="E244" s="718"/>
      <c r="F244" s="59">
        <v>0.32</v>
      </c>
      <c r="G244" s="35">
        <v>6</v>
      </c>
      <c r="H244" s="59">
        <v>1.92</v>
      </c>
      <c r="I244" s="59">
        <v>2.1819999999999999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35</v>
      </c>
      <c r="P244" s="85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0"/>
      <c r="R244" s="720"/>
      <c r="S244" s="720"/>
      <c r="T244" s="72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3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425</v>
      </c>
      <c r="AG244" s="75"/>
      <c r="AJ244" s="79" t="s">
        <v>46</v>
      </c>
      <c r="AK244" s="79">
        <v>0</v>
      </c>
      <c r="BB244" s="332" t="s">
        <v>66</v>
      </c>
      <c r="BM244" s="75">
        <f t="shared" si="34"/>
        <v>0</v>
      </c>
      <c r="BN244" s="75">
        <f t="shared" si="35"/>
        <v>0</v>
      </c>
      <c r="BO244" s="75">
        <f t="shared" si="36"/>
        <v>0</v>
      </c>
      <c r="BP244" s="75">
        <f t="shared" si="37"/>
        <v>0</v>
      </c>
    </row>
    <row r="245" spans="1:68" ht="27" hidden="1" customHeight="1" x14ac:dyDescent="0.25">
      <c r="A245" s="60" t="s">
        <v>426</v>
      </c>
      <c r="B245" s="60" t="s">
        <v>427</v>
      </c>
      <c r="C245" s="34">
        <v>4301052176</v>
      </c>
      <c r="D245" s="718">
        <v>4680115888982</v>
      </c>
      <c r="E245" s="718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5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0"/>
      <c r="R245" s="720"/>
      <c r="S245" s="720"/>
      <c r="T245" s="721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3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416</v>
      </c>
      <c r="AG245" s="75"/>
      <c r="AJ245" s="79" t="s">
        <v>46</v>
      </c>
      <c r="AK245" s="79">
        <v>0</v>
      </c>
      <c r="BB245" s="334" t="s">
        <v>66</v>
      </c>
      <c r="BM245" s="75">
        <f t="shared" si="34"/>
        <v>0</v>
      </c>
      <c r="BN245" s="75">
        <f t="shared" si="35"/>
        <v>0</v>
      </c>
      <c r="BO245" s="75">
        <f t="shared" si="36"/>
        <v>0</v>
      </c>
      <c r="BP245" s="75">
        <f t="shared" si="37"/>
        <v>0</v>
      </c>
    </row>
    <row r="246" spans="1:68" ht="27" hidden="1" customHeight="1" x14ac:dyDescent="0.25">
      <c r="A246" s="60" t="s">
        <v>426</v>
      </c>
      <c r="B246" s="60" t="s">
        <v>428</v>
      </c>
      <c r="C246" s="34">
        <v>4301052277</v>
      </c>
      <c r="D246" s="718">
        <v>4680115888982</v>
      </c>
      <c r="E246" s="718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40</v>
      </c>
      <c r="P246" s="8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0"/>
      <c r="R246" s="720"/>
      <c r="S246" s="720"/>
      <c r="T246" s="721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3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418</v>
      </c>
      <c r="AG246" s="75"/>
      <c r="AJ246" s="79" t="s">
        <v>46</v>
      </c>
      <c r="AK246" s="79">
        <v>0</v>
      </c>
      <c r="BB246" s="336" t="s">
        <v>66</v>
      </c>
      <c r="BM246" s="75">
        <f t="shared" si="34"/>
        <v>0</v>
      </c>
      <c r="BN246" s="75">
        <f t="shared" si="35"/>
        <v>0</v>
      </c>
      <c r="BO246" s="75">
        <f t="shared" si="36"/>
        <v>0</v>
      </c>
      <c r="BP246" s="75">
        <f t="shared" si="37"/>
        <v>0</v>
      </c>
    </row>
    <row r="247" spans="1:68" hidden="1" x14ac:dyDescent="0.25">
      <c r="A247" s="726"/>
      <c r="B247" s="726"/>
      <c r="C247" s="726"/>
      <c r="D247" s="726"/>
      <c r="E247" s="726"/>
      <c r="F247" s="726"/>
      <c r="G247" s="726"/>
      <c r="H247" s="726"/>
      <c r="I247" s="726"/>
      <c r="J247" s="726"/>
      <c r="K247" s="726"/>
      <c r="L247" s="726"/>
      <c r="M247" s="726"/>
      <c r="N247" s="726"/>
      <c r="O247" s="727"/>
      <c r="P247" s="723" t="s">
        <v>40</v>
      </c>
      <c r="Q247" s="724"/>
      <c r="R247" s="724"/>
      <c r="S247" s="724"/>
      <c r="T247" s="724"/>
      <c r="U247" s="724"/>
      <c r="V247" s="725"/>
      <c r="W247" s="40" t="s">
        <v>39</v>
      </c>
      <c r="X247" s="41">
        <f>IFERROR(X238/H238,"0")+IFERROR(X239/H239,"0")+IFERROR(X240/H240,"0")+IFERROR(X241/H241,"0")+IFERROR(X242/H242,"0")+IFERROR(X243/H243,"0")+IFERROR(X244/H244,"0")+IFERROR(X245/H245,"0")+IFERROR(X246/H246,"0")</f>
        <v>0</v>
      </c>
      <c r="Y247" s="41">
        <f>IFERROR(Y238/H238,"0")+IFERROR(Y239/H239,"0")+IFERROR(Y240/H240,"0")+IFERROR(Y241/H241,"0")+IFERROR(Y242/H242,"0")+IFERROR(Y243/H243,"0")+IFERROR(Y244/H244,"0")+IFERROR(Y245/H245,"0")+IFERROR(Y246/H246,"0")</f>
        <v>0</v>
      </c>
      <c r="Z247" s="41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5">
      <c r="A248" s="726"/>
      <c r="B248" s="726"/>
      <c r="C248" s="726"/>
      <c r="D248" s="726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7"/>
      <c r="P248" s="723" t="s">
        <v>40</v>
      </c>
      <c r="Q248" s="724"/>
      <c r="R248" s="724"/>
      <c r="S248" s="724"/>
      <c r="T248" s="724"/>
      <c r="U248" s="724"/>
      <c r="V248" s="725"/>
      <c r="W248" s="40" t="s">
        <v>0</v>
      </c>
      <c r="X248" s="41">
        <f>IFERROR(SUM(X238:X246),"0")</f>
        <v>0</v>
      </c>
      <c r="Y248" s="41">
        <f>IFERROR(SUM(Y238:Y246),"0")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717" t="s">
        <v>276</v>
      </c>
      <c r="B249" s="717"/>
      <c r="C249" s="717"/>
      <c r="D249" s="717"/>
      <c r="E249" s="717"/>
      <c r="F249" s="717"/>
      <c r="G249" s="717"/>
      <c r="H249" s="717"/>
      <c r="I249" s="717"/>
      <c r="J249" s="717"/>
      <c r="K249" s="717"/>
      <c r="L249" s="717"/>
      <c r="M249" s="717"/>
      <c r="N249" s="717"/>
      <c r="O249" s="717"/>
      <c r="P249" s="717"/>
      <c r="Q249" s="717"/>
      <c r="R249" s="717"/>
      <c r="S249" s="717"/>
      <c r="T249" s="717"/>
      <c r="U249" s="717"/>
      <c r="V249" s="717"/>
      <c r="W249" s="717"/>
      <c r="X249" s="717"/>
      <c r="Y249" s="717"/>
      <c r="Z249" s="717"/>
      <c r="AA249" s="63"/>
      <c r="AB249" s="63"/>
      <c r="AC249" s="63"/>
    </row>
    <row r="250" spans="1:68" ht="27" hidden="1" customHeight="1" x14ac:dyDescent="0.25">
      <c r="A250" s="60" t="s">
        <v>429</v>
      </c>
      <c r="B250" s="60" t="s">
        <v>430</v>
      </c>
      <c r="C250" s="34">
        <v>4301032053</v>
      </c>
      <c r="D250" s="718">
        <v>4680115886780</v>
      </c>
      <c r="E250" s="71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339</v>
      </c>
      <c r="L250" s="35" t="s">
        <v>46</v>
      </c>
      <c r="M250" s="36" t="s">
        <v>281</v>
      </c>
      <c r="N250" s="36"/>
      <c r="O250" s="35">
        <v>60</v>
      </c>
      <c r="P250" s="85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0"/>
      <c r="R250" s="720"/>
      <c r="S250" s="720"/>
      <c r="T250" s="72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431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432</v>
      </c>
      <c r="B251" s="60" t="s">
        <v>433</v>
      </c>
      <c r="C251" s="34">
        <v>4301032051</v>
      </c>
      <c r="D251" s="718">
        <v>4680115886742</v>
      </c>
      <c r="E251" s="718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339</v>
      </c>
      <c r="L251" s="35" t="s">
        <v>46</v>
      </c>
      <c r="M251" s="36" t="s">
        <v>281</v>
      </c>
      <c r="N251" s="36"/>
      <c r="O251" s="35">
        <v>90</v>
      </c>
      <c r="P251" s="85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0"/>
      <c r="R251" s="720"/>
      <c r="S251" s="720"/>
      <c r="T251" s="72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435</v>
      </c>
      <c r="B252" s="60" t="s">
        <v>436</v>
      </c>
      <c r="C252" s="34">
        <v>4301032052</v>
      </c>
      <c r="D252" s="718">
        <v>4680115886766</v>
      </c>
      <c r="E252" s="718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339</v>
      </c>
      <c r="L252" s="35" t="s">
        <v>46</v>
      </c>
      <c r="M252" s="36" t="s">
        <v>281</v>
      </c>
      <c r="N252" s="36"/>
      <c r="O252" s="35">
        <v>90</v>
      </c>
      <c r="P252" s="8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0"/>
      <c r="R252" s="720"/>
      <c r="S252" s="720"/>
      <c r="T252" s="721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434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5">
      <c r="A253" s="726"/>
      <c r="B253" s="726"/>
      <c r="C253" s="726"/>
      <c r="D253" s="726"/>
      <c r="E253" s="726"/>
      <c r="F253" s="726"/>
      <c r="G253" s="726"/>
      <c r="H253" s="726"/>
      <c r="I253" s="726"/>
      <c r="J253" s="726"/>
      <c r="K253" s="726"/>
      <c r="L253" s="726"/>
      <c r="M253" s="726"/>
      <c r="N253" s="726"/>
      <c r="O253" s="727"/>
      <c r="P253" s="723" t="s">
        <v>40</v>
      </c>
      <c r="Q253" s="724"/>
      <c r="R253" s="724"/>
      <c r="S253" s="724"/>
      <c r="T253" s="724"/>
      <c r="U253" s="724"/>
      <c r="V253" s="725"/>
      <c r="W253" s="40" t="s">
        <v>39</v>
      </c>
      <c r="X253" s="41">
        <f>IFERROR(X250/H250,"0")+IFERROR(X251/H251,"0")+IFERROR(X252/H252,"0")</f>
        <v>0</v>
      </c>
      <c r="Y253" s="41">
        <f>IFERROR(Y250/H250,"0")+IFERROR(Y251/H251,"0")+IFERROR(Y252/H252,"0")</f>
        <v>0</v>
      </c>
      <c r="Z253" s="41">
        <f>IFERROR(IF(Z250="",0,Z250),"0")+IFERROR(IF(Z251="",0,Z251),"0")+IFERROR(IF(Z252="",0,Z252),"0")</f>
        <v>0</v>
      </c>
      <c r="AA253" s="64"/>
      <c r="AB253" s="64"/>
      <c r="AC253" s="64"/>
    </row>
    <row r="254" spans="1:68" hidden="1" x14ac:dyDescent="0.25">
      <c r="A254" s="726"/>
      <c r="B254" s="726"/>
      <c r="C254" s="726"/>
      <c r="D254" s="726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7"/>
      <c r="P254" s="723" t="s">
        <v>40</v>
      </c>
      <c r="Q254" s="724"/>
      <c r="R254" s="724"/>
      <c r="S254" s="724"/>
      <c r="T254" s="724"/>
      <c r="U254" s="724"/>
      <c r="V254" s="725"/>
      <c r="W254" s="40" t="s">
        <v>0</v>
      </c>
      <c r="X254" s="41">
        <f>IFERROR(SUM(X250:X252),"0")</f>
        <v>0</v>
      </c>
      <c r="Y254" s="41">
        <f>IFERROR(SUM(Y250:Y252),"0")</f>
        <v>0</v>
      </c>
      <c r="Z254" s="40"/>
      <c r="AA254" s="64"/>
      <c r="AB254" s="64"/>
      <c r="AC254" s="64"/>
    </row>
    <row r="255" spans="1:68" ht="14.25" hidden="1" customHeight="1" x14ac:dyDescent="0.25">
      <c r="A255" s="717" t="s">
        <v>437</v>
      </c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7"/>
      <c r="P255" s="717"/>
      <c r="Q255" s="717"/>
      <c r="R255" s="717"/>
      <c r="S255" s="717"/>
      <c r="T255" s="717"/>
      <c r="U255" s="717"/>
      <c r="V255" s="717"/>
      <c r="W255" s="717"/>
      <c r="X255" s="717"/>
      <c r="Y255" s="717"/>
      <c r="Z255" s="717"/>
      <c r="AA255" s="63"/>
      <c r="AB255" s="63"/>
      <c r="AC255" s="63"/>
    </row>
    <row r="256" spans="1:68" ht="27" hidden="1" customHeight="1" x14ac:dyDescent="0.25">
      <c r="A256" s="60" t="s">
        <v>438</v>
      </c>
      <c r="B256" s="60" t="s">
        <v>439</v>
      </c>
      <c r="C256" s="34">
        <v>4301170013</v>
      </c>
      <c r="D256" s="718">
        <v>4680115886797</v>
      </c>
      <c r="E256" s="718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339</v>
      </c>
      <c r="L256" s="35" t="s">
        <v>46</v>
      </c>
      <c r="M256" s="36" t="s">
        <v>281</v>
      </c>
      <c r="N256" s="36"/>
      <c r="O256" s="35">
        <v>90</v>
      </c>
      <c r="P256" s="8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0"/>
      <c r="R256" s="720"/>
      <c r="S256" s="720"/>
      <c r="T256" s="721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3" t="s">
        <v>434</v>
      </c>
      <c r="AG256" s="75"/>
      <c r="AJ256" s="79" t="s">
        <v>46</v>
      </c>
      <c r="AK256" s="79">
        <v>0</v>
      </c>
      <c r="BB256" s="34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5">
      <c r="A257" s="726"/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7"/>
      <c r="P257" s="723" t="s">
        <v>40</v>
      </c>
      <c r="Q257" s="724"/>
      <c r="R257" s="724"/>
      <c r="S257" s="724"/>
      <c r="T257" s="724"/>
      <c r="U257" s="724"/>
      <c r="V257" s="725"/>
      <c r="W257" s="40" t="s">
        <v>39</v>
      </c>
      <c r="X257" s="41">
        <f>IFERROR(X256/H256,"0")</f>
        <v>0</v>
      </c>
      <c r="Y257" s="41">
        <f>IFERROR(Y256/H256,"0")</f>
        <v>0</v>
      </c>
      <c r="Z257" s="41">
        <f>IFERROR(IF(Z256="",0,Z256),"0")</f>
        <v>0</v>
      </c>
      <c r="AA257" s="64"/>
      <c r="AB257" s="64"/>
      <c r="AC257" s="64"/>
    </row>
    <row r="258" spans="1:68" hidden="1" x14ac:dyDescent="0.25">
      <c r="A258" s="726"/>
      <c r="B258" s="726"/>
      <c r="C258" s="726"/>
      <c r="D258" s="726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7"/>
      <c r="P258" s="723" t="s">
        <v>40</v>
      </c>
      <c r="Q258" s="724"/>
      <c r="R258" s="724"/>
      <c r="S258" s="724"/>
      <c r="T258" s="724"/>
      <c r="U258" s="724"/>
      <c r="V258" s="725"/>
      <c r="W258" s="40" t="s">
        <v>0</v>
      </c>
      <c r="X258" s="41">
        <f>IFERROR(SUM(X256:X256),"0")</f>
        <v>0</v>
      </c>
      <c r="Y258" s="41">
        <f>IFERROR(SUM(Y256:Y256),"0")</f>
        <v>0</v>
      </c>
      <c r="Z258" s="40"/>
      <c r="AA258" s="64"/>
      <c r="AB258" s="64"/>
      <c r="AC258" s="64"/>
    </row>
    <row r="259" spans="1:68" ht="16.5" hidden="1" customHeight="1" x14ac:dyDescent="0.25">
      <c r="A259" s="716" t="s">
        <v>440</v>
      </c>
      <c r="B259" s="716"/>
      <c r="C259" s="716"/>
      <c r="D259" s="716"/>
      <c r="E259" s="716"/>
      <c r="F259" s="716"/>
      <c r="G259" s="716"/>
      <c r="H259" s="716"/>
      <c r="I259" s="716"/>
      <c r="J259" s="716"/>
      <c r="K259" s="716"/>
      <c r="L259" s="716"/>
      <c r="M259" s="716"/>
      <c r="N259" s="716"/>
      <c r="O259" s="716"/>
      <c r="P259" s="716"/>
      <c r="Q259" s="716"/>
      <c r="R259" s="716"/>
      <c r="S259" s="716"/>
      <c r="T259" s="716"/>
      <c r="U259" s="716"/>
      <c r="V259" s="716"/>
      <c r="W259" s="716"/>
      <c r="X259" s="716"/>
      <c r="Y259" s="716"/>
      <c r="Z259" s="716"/>
      <c r="AA259" s="62"/>
      <c r="AB259" s="62"/>
      <c r="AC259" s="62"/>
    </row>
    <row r="260" spans="1:68" ht="14.25" hidden="1" customHeight="1" x14ac:dyDescent="0.25">
      <c r="A260" s="717" t="s">
        <v>121</v>
      </c>
      <c r="B260" s="717"/>
      <c r="C260" s="717"/>
      <c r="D260" s="717"/>
      <c r="E260" s="717"/>
      <c r="F260" s="717"/>
      <c r="G260" s="717"/>
      <c r="H260" s="717"/>
      <c r="I260" s="717"/>
      <c r="J260" s="717"/>
      <c r="K260" s="717"/>
      <c r="L260" s="717"/>
      <c r="M260" s="717"/>
      <c r="N260" s="717"/>
      <c r="O260" s="717"/>
      <c r="P260" s="717"/>
      <c r="Q260" s="717"/>
      <c r="R260" s="717"/>
      <c r="S260" s="717"/>
      <c r="T260" s="717"/>
      <c r="U260" s="717"/>
      <c r="V260" s="717"/>
      <c r="W260" s="717"/>
      <c r="X260" s="717"/>
      <c r="Y260" s="717"/>
      <c r="Z260" s="717"/>
      <c r="AA260" s="63"/>
      <c r="AB260" s="63"/>
      <c r="AC260" s="63"/>
    </row>
    <row r="261" spans="1:68" ht="27" hidden="1" customHeight="1" x14ac:dyDescent="0.25">
      <c r="A261" s="60" t="s">
        <v>441</v>
      </c>
      <c r="B261" s="60" t="s">
        <v>442</v>
      </c>
      <c r="C261" s="34">
        <v>4301011450</v>
      </c>
      <c r="D261" s="718">
        <v>4680115881402</v>
      </c>
      <c r="E261" s="718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126</v>
      </c>
      <c r="L261" s="35" t="s">
        <v>46</v>
      </c>
      <c r="M261" s="36" t="s">
        <v>125</v>
      </c>
      <c r="N261" s="36"/>
      <c r="O261" s="35">
        <v>55</v>
      </c>
      <c r="P261" s="8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0"/>
      <c r="R261" s="720"/>
      <c r="S261" s="720"/>
      <c r="T261" s="721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443</v>
      </c>
      <c r="AG261" s="75"/>
      <c r="AJ261" s="79" t="s">
        <v>46</v>
      </c>
      <c r="AK261" s="79">
        <v>0</v>
      </c>
      <c r="BB261" s="346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27" hidden="1" customHeight="1" x14ac:dyDescent="0.25">
      <c r="A262" s="60" t="s">
        <v>444</v>
      </c>
      <c r="B262" s="60" t="s">
        <v>445</v>
      </c>
      <c r="C262" s="34">
        <v>4301011768</v>
      </c>
      <c r="D262" s="718">
        <v>4680115881396</v>
      </c>
      <c r="E262" s="718"/>
      <c r="F262" s="59">
        <v>0.45</v>
      </c>
      <c r="G262" s="35">
        <v>6</v>
      </c>
      <c r="H262" s="59">
        <v>2.7</v>
      </c>
      <c r="I262" s="59">
        <v>2.88</v>
      </c>
      <c r="J262" s="35">
        <v>182</v>
      </c>
      <c r="K262" s="35" t="s">
        <v>90</v>
      </c>
      <c r="L262" s="35" t="s">
        <v>46</v>
      </c>
      <c r="M262" s="36" t="s">
        <v>125</v>
      </c>
      <c r="N262" s="36"/>
      <c r="O262" s="35">
        <v>55</v>
      </c>
      <c r="P262" s="8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0"/>
      <c r="R262" s="720"/>
      <c r="S262" s="720"/>
      <c r="T262" s="721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443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5">
      <c r="A263" s="726"/>
      <c r="B263" s="726"/>
      <c r="C263" s="726"/>
      <c r="D263" s="726"/>
      <c r="E263" s="726"/>
      <c r="F263" s="726"/>
      <c r="G263" s="726"/>
      <c r="H263" s="726"/>
      <c r="I263" s="726"/>
      <c r="J263" s="726"/>
      <c r="K263" s="726"/>
      <c r="L263" s="726"/>
      <c r="M263" s="726"/>
      <c r="N263" s="726"/>
      <c r="O263" s="727"/>
      <c r="P263" s="723" t="s">
        <v>40</v>
      </c>
      <c r="Q263" s="724"/>
      <c r="R263" s="724"/>
      <c r="S263" s="724"/>
      <c r="T263" s="724"/>
      <c r="U263" s="724"/>
      <c r="V263" s="72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5">
      <c r="A264" s="726"/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7"/>
      <c r="P264" s="723" t="s">
        <v>40</v>
      </c>
      <c r="Q264" s="724"/>
      <c r="R264" s="724"/>
      <c r="S264" s="724"/>
      <c r="T264" s="724"/>
      <c r="U264" s="724"/>
      <c r="V264" s="72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7" t="s">
        <v>158</v>
      </c>
      <c r="B265" s="717"/>
      <c r="C265" s="717"/>
      <c r="D265" s="717"/>
      <c r="E265" s="717"/>
      <c r="F265" s="717"/>
      <c r="G265" s="717"/>
      <c r="H265" s="717"/>
      <c r="I265" s="717"/>
      <c r="J265" s="717"/>
      <c r="K265" s="717"/>
      <c r="L265" s="717"/>
      <c r="M265" s="717"/>
      <c r="N265" s="717"/>
      <c r="O265" s="717"/>
      <c r="P265" s="717"/>
      <c r="Q265" s="717"/>
      <c r="R265" s="717"/>
      <c r="S265" s="717"/>
      <c r="T265" s="717"/>
      <c r="U265" s="717"/>
      <c r="V265" s="717"/>
      <c r="W265" s="717"/>
      <c r="X265" s="717"/>
      <c r="Y265" s="717"/>
      <c r="Z265" s="717"/>
      <c r="AA265" s="63"/>
      <c r="AB265" s="63"/>
      <c r="AC265" s="63"/>
    </row>
    <row r="266" spans="1:68" ht="16.5" hidden="1" customHeight="1" x14ac:dyDescent="0.25">
      <c r="A266" s="60" t="s">
        <v>446</v>
      </c>
      <c r="B266" s="60" t="s">
        <v>447</v>
      </c>
      <c r="C266" s="34">
        <v>4301020261</v>
      </c>
      <c r="D266" s="718">
        <v>4680115882935</v>
      </c>
      <c r="E266" s="718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126</v>
      </c>
      <c r="L266" s="35" t="s">
        <v>46</v>
      </c>
      <c r="M266" s="36" t="s">
        <v>125</v>
      </c>
      <c r="N266" s="36"/>
      <c r="O266" s="35">
        <v>50</v>
      </c>
      <c r="P266" s="86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0"/>
      <c r="R266" s="720"/>
      <c r="S266" s="720"/>
      <c r="T266" s="721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49" t="s">
        <v>448</v>
      </c>
      <c r="AG266" s="75"/>
      <c r="AJ266" s="79" t="s">
        <v>46</v>
      </c>
      <c r="AK266" s="79">
        <v>0</v>
      </c>
      <c r="BB266" s="350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16.5" hidden="1" customHeight="1" x14ac:dyDescent="0.25">
      <c r="A267" s="60" t="s">
        <v>449</v>
      </c>
      <c r="B267" s="60" t="s">
        <v>450</v>
      </c>
      <c r="C267" s="34">
        <v>4301020220</v>
      </c>
      <c r="D267" s="718">
        <v>4680115880764</v>
      </c>
      <c r="E267" s="718"/>
      <c r="F267" s="59">
        <v>0.35</v>
      </c>
      <c r="G267" s="35">
        <v>6</v>
      </c>
      <c r="H267" s="59">
        <v>2.1</v>
      </c>
      <c r="I267" s="59">
        <v>2.2799999999999998</v>
      </c>
      <c r="J267" s="35">
        <v>182</v>
      </c>
      <c r="K267" s="35" t="s">
        <v>90</v>
      </c>
      <c r="L267" s="35" t="s">
        <v>46</v>
      </c>
      <c r="M267" s="36" t="s">
        <v>125</v>
      </c>
      <c r="N267" s="36"/>
      <c r="O267" s="35">
        <v>50</v>
      </c>
      <c r="P267" s="86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0"/>
      <c r="R267" s="720"/>
      <c r="S267" s="720"/>
      <c r="T267" s="72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1" t="s">
        <v>448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5">
      <c r="A268" s="726"/>
      <c r="B268" s="726"/>
      <c r="C268" s="726"/>
      <c r="D268" s="726"/>
      <c r="E268" s="726"/>
      <c r="F268" s="726"/>
      <c r="G268" s="726"/>
      <c r="H268" s="726"/>
      <c r="I268" s="726"/>
      <c r="J268" s="726"/>
      <c r="K268" s="726"/>
      <c r="L268" s="726"/>
      <c r="M268" s="726"/>
      <c r="N268" s="726"/>
      <c r="O268" s="727"/>
      <c r="P268" s="723" t="s">
        <v>40</v>
      </c>
      <c r="Q268" s="724"/>
      <c r="R268" s="724"/>
      <c r="S268" s="724"/>
      <c r="T268" s="724"/>
      <c r="U268" s="724"/>
      <c r="V268" s="725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5">
      <c r="A269" s="726"/>
      <c r="B269" s="726"/>
      <c r="C269" s="726"/>
      <c r="D269" s="726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7"/>
      <c r="P269" s="723" t="s">
        <v>40</v>
      </c>
      <c r="Q269" s="724"/>
      <c r="R269" s="724"/>
      <c r="S269" s="724"/>
      <c r="T269" s="724"/>
      <c r="U269" s="724"/>
      <c r="V269" s="725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717" t="s">
        <v>76</v>
      </c>
      <c r="B270" s="717"/>
      <c r="C270" s="717"/>
      <c r="D270" s="717"/>
      <c r="E270" s="717"/>
      <c r="F270" s="717"/>
      <c r="G270" s="717"/>
      <c r="H270" s="717"/>
      <c r="I270" s="717"/>
      <c r="J270" s="717"/>
      <c r="K270" s="717"/>
      <c r="L270" s="717"/>
      <c r="M270" s="717"/>
      <c r="N270" s="717"/>
      <c r="O270" s="717"/>
      <c r="P270" s="717"/>
      <c r="Q270" s="717"/>
      <c r="R270" s="717"/>
      <c r="S270" s="717"/>
      <c r="T270" s="717"/>
      <c r="U270" s="717"/>
      <c r="V270" s="717"/>
      <c r="W270" s="717"/>
      <c r="X270" s="717"/>
      <c r="Y270" s="717"/>
      <c r="Z270" s="717"/>
      <c r="AA270" s="63"/>
      <c r="AB270" s="63"/>
      <c r="AC270" s="63"/>
    </row>
    <row r="271" spans="1:68" ht="27" hidden="1" customHeight="1" x14ac:dyDescent="0.25">
      <c r="A271" s="60" t="s">
        <v>451</v>
      </c>
      <c r="B271" s="60" t="s">
        <v>452</v>
      </c>
      <c r="C271" s="34">
        <v>4301031224</v>
      </c>
      <c r="D271" s="718">
        <v>4680115882683</v>
      </c>
      <c r="E271" s="71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6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0"/>
      <c r="R271" s="720"/>
      <c r="S271" s="720"/>
      <c r="T271" s="72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ref="Y271:Y278" si="38">IFERROR(IF(X271="",0,CEILING((X271/$H271),1)*$H271),"")</f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453</v>
      </c>
      <c r="AG271" s="75"/>
      <c r="AJ271" s="79" t="s">
        <v>46</v>
      </c>
      <c r="AK271" s="79">
        <v>0</v>
      </c>
      <c r="BB271" s="354" t="s">
        <v>66</v>
      </c>
      <c r="BM271" s="75">
        <f t="shared" ref="BM271:BM278" si="39">IFERROR(X271*I271/H271,"0")</f>
        <v>0</v>
      </c>
      <c r="BN271" s="75">
        <f t="shared" ref="BN271:BN278" si="40">IFERROR(Y271*I271/H271,"0")</f>
        <v>0</v>
      </c>
      <c r="BO271" s="75">
        <f t="shared" ref="BO271:BO278" si="41">IFERROR(1/J271*(X271/H271),"0")</f>
        <v>0</v>
      </c>
      <c r="BP271" s="75">
        <f t="shared" ref="BP271:BP278" si="42">IFERROR(1/J271*(Y271/H271),"0")</f>
        <v>0</v>
      </c>
    </row>
    <row r="272" spans="1:68" ht="27" hidden="1" customHeight="1" x14ac:dyDescent="0.25">
      <c r="A272" s="60" t="s">
        <v>454</v>
      </c>
      <c r="B272" s="60" t="s">
        <v>455</v>
      </c>
      <c r="C272" s="34">
        <v>4301031230</v>
      </c>
      <c r="D272" s="718">
        <v>4680115882690</v>
      </c>
      <c r="E272" s="71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0"/>
      <c r="R272" s="720"/>
      <c r="S272" s="720"/>
      <c r="T272" s="72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456</v>
      </c>
      <c r="AG272" s="75"/>
      <c r="AJ272" s="79" t="s">
        <v>46</v>
      </c>
      <c r="AK272" s="79">
        <v>0</v>
      </c>
      <c r="BB272" s="356" t="s">
        <v>66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457</v>
      </c>
      <c r="B273" s="60" t="s">
        <v>458</v>
      </c>
      <c r="C273" s="34">
        <v>4301031220</v>
      </c>
      <c r="D273" s="718">
        <v>4680115882669</v>
      </c>
      <c r="E273" s="718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6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0"/>
      <c r="R273" s="720"/>
      <c r="S273" s="720"/>
      <c r="T273" s="72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459</v>
      </c>
      <c r="AG273" s="75"/>
      <c r="AJ273" s="79" t="s">
        <v>46</v>
      </c>
      <c r="AK273" s="79">
        <v>0</v>
      </c>
      <c r="BB273" s="358" t="s">
        <v>66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t="27" hidden="1" customHeight="1" x14ac:dyDescent="0.25">
      <c r="A274" s="60" t="s">
        <v>460</v>
      </c>
      <c r="B274" s="60" t="s">
        <v>461</v>
      </c>
      <c r="C274" s="34">
        <v>4301031221</v>
      </c>
      <c r="D274" s="718">
        <v>4680115882676</v>
      </c>
      <c r="E274" s="718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6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0"/>
      <c r="R274" s="720"/>
      <c r="S274" s="720"/>
      <c r="T274" s="72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8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462</v>
      </c>
      <c r="AG274" s="75"/>
      <c r="AJ274" s="79" t="s">
        <v>46</v>
      </c>
      <c r="AK274" s="79">
        <v>0</v>
      </c>
      <c r="BB274" s="360" t="s">
        <v>66</v>
      </c>
      <c r="BM274" s="75">
        <f t="shared" si="39"/>
        <v>0</v>
      </c>
      <c r="BN274" s="75">
        <f t="shared" si="40"/>
        <v>0</v>
      </c>
      <c r="BO274" s="75">
        <f t="shared" si="41"/>
        <v>0</v>
      </c>
      <c r="BP274" s="75">
        <f t="shared" si="42"/>
        <v>0</v>
      </c>
    </row>
    <row r="275" spans="1:68" ht="27" hidden="1" customHeight="1" x14ac:dyDescent="0.25">
      <c r="A275" s="60" t="s">
        <v>463</v>
      </c>
      <c r="B275" s="60" t="s">
        <v>464</v>
      </c>
      <c r="C275" s="34">
        <v>4301031223</v>
      </c>
      <c r="D275" s="718">
        <v>4680115884014</v>
      </c>
      <c r="E275" s="718"/>
      <c r="F275" s="59">
        <v>0.3</v>
      </c>
      <c r="G275" s="35">
        <v>6</v>
      </c>
      <c r="H275" s="59">
        <v>1.8</v>
      </c>
      <c r="I275" s="59">
        <v>1.93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0"/>
      <c r="R275" s="720"/>
      <c r="S275" s="720"/>
      <c r="T275" s="72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8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453</v>
      </c>
      <c r="AG275" s="75"/>
      <c r="AJ275" s="79" t="s">
        <v>46</v>
      </c>
      <c r="AK275" s="79">
        <v>0</v>
      </c>
      <c r="BB275" s="362" t="s">
        <v>66</v>
      </c>
      <c r="BM275" s="75">
        <f t="shared" si="39"/>
        <v>0</v>
      </c>
      <c r="BN275" s="75">
        <f t="shared" si="40"/>
        <v>0</v>
      </c>
      <c r="BO275" s="75">
        <f t="shared" si="41"/>
        <v>0</v>
      </c>
      <c r="BP275" s="75">
        <f t="shared" si="42"/>
        <v>0</v>
      </c>
    </row>
    <row r="276" spans="1:68" ht="27" hidden="1" customHeight="1" x14ac:dyDescent="0.25">
      <c r="A276" s="60" t="s">
        <v>465</v>
      </c>
      <c r="B276" s="60" t="s">
        <v>466</v>
      </c>
      <c r="C276" s="34">
        <v>4301031222</v>
      </c>
      <c r="D276" s="718">
        <v>4680115884007</v>
      </c>
      <c r="E276" s="71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0"/>
      <c r="R276" s="720"/>
      <c r="S276" s="720"/>
      <c r="T276" s="72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8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456</v>
      </c>
      <c r="AG276" s="75"/>
      <c r="AJ276" s="79" t="s">
        <v>46</v>
      </c>
      <c r="AK276" s="79">
        <v>0</v>
      </c>
      <c r="BB276" s="364" t="s">
        <v>66</v>
      </c>
      <c r="BM276" s="75">
        <f t="shared" si="39"/>
        <v>0</v>
      </c>
      <c r="BN276" s="75">
        <f t="shared" si="40"/>
        <v>0</v>
      </c>
      <c r="BO276" s="75">
        <f t="shared" si="41"/>
        <v>0</v>
      </c>
      <c r="BP276" s="75">
        <f t="shared" si="42"/>
        <v>0</v>
      </c>
    </row>
    <row r="277" spans="1:68" ht="27" hidden="1" customHeight="1" x14ac:dyDescent="0.25">
      <c r="A277" s="60" t="s">
        <v>467</v>
      </c>
      <c r="B277" s="60" t="s">
        <v>468</v>
      </c>
      <c r="C277" s="34">
        <v>4301031229</v>
      </c>
      <c r="D277" s="718">
        <v>4680115884038</v>
      </c>
      <c r="E277" s="718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0"/>
      <c r="R277" s="720"/>
      <c r="S277" s="720"/>
      <c r="T277" s="72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8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459</v>
      </c>
      <c r="AG277" s="75"/>
      <c r="AJ277" s="79" t="s">
        <v>46</v>
      </c>
      <c r="AK277" s="79">
        <v>0</v>
      </c>
      <c r="BB277" s="366" t="s">
        <v>66</v>
      </c>
      <c r="BM277" s="75">
        <f t="shared" si="39"/>
        <v>0</v>
      </c>
      <c r="BN277" s="75">
        <f t="shared" si="40"/>
        <v>0</v>
      </c>
      <c r="BO277" s="75">
        <f t="shared" si="41"/>
        <v>0</v>
      </c>
      <c r="BP277" s="75">
        <f t="shared" si="42"/>
        <v>0</v>
      </c>
    </row>
    <row r="278" spans="1:68" ht="27" hidden="1" customHeight="1" x14ac:dyDescent="0.25">
      <c r="A278" s="60" t="s">
        <v>469</v>
      </c>
      <c r="B278" s="60" t="s">
        <v>470</v>
      </c>
      <c r="C278" s="34">
        <v>4301031225</v>
      </c>
      <c r="D278" s="718">
        <v>4680115884021</v>
      </c>
      <c r="E278" s="718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6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0"/>
      <c r="R278" s="720"/>
      <c r="S278" s="720"/>
      <c r="T278" s="721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8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462</v>
      </c>
      <c r="AG278" s="75"/>
      <c r="AJ278" s="79" t="s">
        <v>46</v>
      </c>
      <c r="AK278" s="79">
        <v>0</v>
      </c>
      <c r="BB278" s="368" t="s">
        <v>66</v>
      </c>
      <c r="BM278" s="75">
        <f t="shared" si="39"/>
        <v>0</v>
      </c>
      <c r="BN278" s="75">
        <f t="shared" si="40"/>
        <v>0</v>
      </c>
      <c r="BO278" s="75">
        <f t="shared" si="41"/>
        <v>0</v>
      </c>
      <c r="BP278" s="75">
        <f t="shared" si="42"/>
        <v>0</v>
      </c>
    </row>
    <row r="279" spans="1:68" hidden="1" x14ac:dyDescent="0.25">
      <c r="A279" s="726"/>
      <c r="B279" s="726"/>
      <c r="C279" s="726"/>
      <c r="D279" s="726"/>
      <c r="E279" s="726"/>
      <c r="F279" s="726"/>
      <c r="G279" s="726"/>
      <c r="H279" s="726"/>
      <c r="I279" s="726"/>
      <c r="J279" s="726"/>
      <c r="K279" s="726"/>
      <c r="L279" s="726"/>
      <c r="M279" s="726"/>
      <c r="N279" s="726"/>
      <c r="O279" s="727"/>
      <c r="P279" s="723" t="s">
        <v>40</v>
      </c>
      <c r="Q279" s="724"/>
      <c r="R279" s="724"/>
      <c r="S279" s="724"/>
      <c r="T279" s="724"/>
      <c r="U279" s="724"/>
      <c r="V279" s="725"/>
      <c r="W279" s="40" t="s">
        <v>39</v>
      </c>
      <c r="X279" s="41">
        <f>IFERROR(X271/H271,"0")+IFERROR(X272/H272,"0")+IFERROR(X273/H273,"0")+IFERROR(X274/H274,"0")+IFERROR(X275/H275,"0")+IFERROR(X276/H276,"0")+IFERROR(X277/H277,"0")+IFERROR(X278/H278,"0")</f>
        <v>0</v>
      </c>
      <c r="Y279" s="41">
        <f>IFERROR(Y271/H271,"0")+IFERROR(Y272/H272,"0")+IFERROR(Y273/H273,"0")+IFERROR(Y274/H274,"0")+IFERROR(Y275/H275,"0")+IFERROR(Y276/H276,"0")+IFERROR(Y277/H277,"0")+IFERROR(Y278/H278,"0")</f>
        <v>0</v>
      </c>
      <c r="Z279" s="41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4"/>
      <c r="AB279" s="64"/>
      <c r="AC279" s="64"/>
    </row>
    <row r="280" spans="1:68" hidden="1" x14ac:dyDescent="0.25">
      <c r="A280" s="726"/>
      <c r="B280" s="726"/>
      <c r="C280" s="726"/>
      <c r="D280" s="726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7"/>
      <c r="P280" s="723" t="s">
        <v>40</v>
      </c>
      <c r="Q280" s="724"/>
      <c r="R280" s="724"/>
      <c r="S280" s="724"/>
      <c r="T280" s="724"/>
      <c r="U280" s="724"/>
      <c r="V280" s="725"/>
      <c r="W280" s="40" t="s">
        <v>0</v>
      </c>
      <c r="X280" s="41">
        <f>IFERROR(SUM(X271:X278),"0")</f>
        <v>0</v>
      </c>
      <c r="Y280" s="41">
        <f>IFERROR(SUM(Y271:Y278),"0")</f>
        <v>0</v>
      </c>
      <c r="Z280" s="40"/>
      <c r="AA280" s="64"/>
      <c r="AB280" s="64"/>
      <c r="AC280" s="64"/>
    </row>
    <row r="281" spans="1:68" ht="14.25" hidden="1" customHeight="1" x14ac:dyDescent="0.25">
      <c r="A281" s="717" t="s">
        <v>85</v>
      </c>
      <c r="B281" s="717"/>
      <c r="C281" s="717"/>
      <c r="D281" s="717"/>
      <c r="E281" s="717"/>
      <c r="F281" s="717"/>
      <c r="G281" s="717"/>
      <c r="H281" s="717"/>
      <c r="I281" s="717"/>
      <c r="J281" s="717"/>
      <c r="K281" s="717"/>
      <c r="L281" s="717"/>
      <c r="M281" s="717"/>
      <c r="N281" s="717"/>
      <c r="O281" s="717"/>
      <c r="P281" s="717"/>
      <c r="Q281" s="717"/>
      <c r="R281" s="717"/>
      <c r="S281" s="717"/>
      <c r="T281" s="717"/>
      <c r="U281" s="717"/>
      <c r="V281" s="717"/>
      <c r="W281" s="717"/>
      <c r="X281" s="717"/>
      <c r="Y281" s="717"/>
      <c r="Z281" s="717"/>
      <c r="AA281" s="63"/>
      <c r="AB281" s="63"/>
      <c r="AC281" s="63"/>
    </row>
    <row r="282" spans="1:68" ht="27" hidden="1" customHeight="1" x14ac:dyDescent="0.25">
      <c r="A282" s="60" t="s">
        <v>471</v>
      </c>
      <c r="B282" s="60" t="s">
        <v>472</v>
      </c>
      <c r="C282" s="34">
        <v>4301051408</v>
      </c>
      <c r="D282" s="718">
        <v>4680115881594</v>
      </c>
      <c r="E282" s="718"/>
      <c r="F282" s="59">
        <v>1.35</v>
      </c>
      <c r="G282" s="35">
        <v>6</v>
      </c>
      <c r="H282" s="59">
        <v>8.1</v>
      </c>
      <c r="I282" s="59">
        <v>8.5939999999999994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40</v>
      </c>
      <c r="P282" s="8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0"/>
      <c r="R282" s="720"/>
      <c r="S282" s="720"/>
      <c r="T282" s="72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ref="Y282:Y293" si="43">IFERROR(IF(X282="",0,CEILING((X282/$H282),1)*$H282),"")</f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473</v>
      </c>
      <c r="AG282" s="75"/>
      <c r="AJ282" s="79" t="s">
        <v>46</v>
      </c>
      <c r="AK282" s="79">
        <v>0</v>
      </c>
      <c r="BB282" s="370" t="s">
        <v>66</v>
      </c>
      <c r="BM282" s="75">
        <f t="shared" ref="BM282:BM293" si="44">IFERROR(X282*I282/H282,"0")</f>
        <v>0</v>
      </c>
      <c r="BN282" s="75">
        <f t="shared" ref="BN282:BN293" si="45">IFERROR(Y282*I282/H282,"0")</f>
        <v>0</v>
      </c>
      <c r="BO282" s="75">
        <f t="shared" ref="BO282:BO293" si="46">IFERROR(1/J282*(X282/H282),"0")</f>
        <v>0</v>
      </c>
      <c r="BP282" s="75">
        <f t="shared" ref="BP282:BP293" si="47">IFERROR(1/J282*(Y282/H282),"0")</f>
        <v>0</v>
      </c>
    </row>
    <row r="283" spans="1:68" ht="27" hidden="1" customHeight="1" x14ac:dyDescent="0.25">
      <c r="A283" s="60" t="s">
        <v>474</v>
      </c>
      <c r="B283" s="60" t="s">
        <v>475</v>
      </c>
      <c r="C283" s="34">
        <v>4301051411</v>
      </c>
      <c r="D283" s="718">
        <v>4680115881617</v>
      </c>
      <c r="E283" s="718"/>
      <c r="F283" s="59">
        <v>1.35</v>
      </c>
      <c r="G283" s="35">
        <v>6</v>
      </c>
      <c r="H283" s="59">
        <v>8.1</v>
      </c>
      <c r="I283" s="59">
        <v>8.5760000000000005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0"/>
      <c r="R283" s="720"/>
      <c r="S283" s="720"/>
      <c r="T283" s="72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476</v>
      </c>
      <c r="AG283" s="75"/>
      <c r="AJ283" s="79" t="s">
        <v>46</v>
      </c>
      <c r="AK283" s="79">
        <v>0</v>
      </c>
      <c r="BB283" s="372" t="s">
        <v>66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4301051656</v>
      </c>
      <c r="D284" s="718">
        <v>4680115880573</v>
      </c>
      <c r="E284" s="718"/>
      <c r="F284" s="59">
        <v>1.45</v>
      </c>
      <c r="G284" s="35">
        <v>6</v>
      </c>
      <c r="H284" s="59">
        <v>8.6999999999999993</v>
      </c>
      <c r="I284" s="59">
        <v>9.1940000000000008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45</v>
      </c>
      <c r="P284" s="87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0"/>
      <c r="R284" s="720"/>
      <c r="S284" s="720"/>
      <c r="T284" s="72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479</v>
      </c>
      <c r="AG284" s="75"/>
      <c r="AJ284" s="79" t="s">
        <v>46</v>
      </c>
      <c r="AK284" s="79">
        <v>0</v>
      </c>
      <c r="BB284" s="374" t="s">
        <v>66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4301051407</v>
      </c>
      <c r="D285" s="718">
        <v>4680115882195</v>
      </c>
      <c r="E285" s="718"/>
      <c r="F285" s="59">
        <v>0.4</v>
      </c>
      <c r="G285" s="35">
        <v>6</v>
      </c>
      <c r="H285" s="59">
        <v>2.4</v>
      </c>
      <c r="I285" s="59">
        <v>2.67</v>
      </c>
      <c r="J285" s="35">
        <v>182</v>
      </c>
      <c r="K285" s="35" t="s">
        <v>90</v>
      </c>
      <c r="L285" s="35" t="s">
        <v>46</v>
      </c>
      <c r="M285" s="36" t="s">
        <v>89</v>
      </c>
      <c r="N285" s="36"/>
      <c r="O285" s="35">
        <v>40</v>
      </c>
      <c r="P285" s="87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0"/>
      <c r="R285" s="720"/>
      <c r="S285" s="720"/>
      <c r="T285" s="72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473</v>
      </c>
      <c r="AG285" s="75"/>
      <c r="AJ285" s="79" t="s">
        <v>46</v>
      </c>
      <c r="AK285" s="79">
        <v>0</v>
      </c>
      <c r="BB285" s="376" t="s">
        <v>66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4301051752</v>
      </c>
      <c r="D286" s="718">
        <v>4680115882607</v>
      </c>
      <c r="E286" s="718"/>
      <c r="F286" s="59">
        <v>0.3</v>
      </c>
      <c r="G286" s="35">
        <v>6</v>
      </c>
      <c r="H286" s="59">
        <v>1.8</v>
      </c>
      <c r="I286" s="59">
        <v>2.052</v>
      </c>
      <c r="J286" s="35">
        <v>182</v>
      </c>
      <c r="K286" s="35" t="s">
        <v>90</v>
      </c>
      <c r="L286" s="35" t="s">
        <v>46</v>
      </c>
      <c r="M286" s="36" t="s">
        <v>96</v>
      </c>
      <c r="N286" s="36"/>
      <c r="O286" s="35">
        <v>45</v>
      </c>
      <c r="P286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0"/>
      <c r="R286" s="720"/>
      <c r="S286" s="720"/>
      <c r="T286" s="72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479</v>
      </c>
      <c r="AG286" s="75"/>
      <c r="AJ286" s="79" t="s">
        <v>46</v>
      </c>
      <c r="AK286" s="79">
        <v>0</v>
      </c>
      <c r="BB286" s="378" t="s">
        <v>66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4301052143</v>
      </c>
      <c r="D287" s="718">
        <v>4680115882607</v>
      </c>
      <c r="E287" s="718"/>
      <c r="F287" s="59">
        <v>0.3</v>
      </c>
      <c r="G287" s="35">
        <v>6</v>
      </c>
      <c r="H287" s="59">
        <v>1.8</v>
      </c>
      <c r="I287" s="59">
        <v>2.0619999999999998</v>
      </c>
      <c r="J287" s="35">
        <v>132</v>
      </c>
      <c r="K287" s="35" t="s">
        <v>133</v>
      </c>
      <c r="L287" s="35" t="s">
        <v>46</v>
      </c>
      <c r="M287" s="36" t="s">
        <v>89</v>
      </c>
      <c r="N287" s="36"/>
      <c r="O287" s="35">
        <v>45</v>
      </c>
      <c r="P287" s="8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0"/>
      <c r="R287" s="720"/>
      <c r="S287" s="720"/>
      <c r="T287" s="72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79" t="s">
        <v>486</v>
      </c>
      <c r="AG287" s="75"/>
      <c r="AJ287" s="79" t="s">
        <v>46</v>
      </c>
      <c r="AK287" s="79">
        <v>0</v>
      </c>
      <c r="BB287" s="380" t="s">
        <v>66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4301051666</v>
      </c>
      <c r="D288" s="718">
        <v>4680115880092</v>
      </c>
      <c r="E288" s="71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0"/>
      <c r="R288" s="720"/>
      <c r="S288" s="720"/>
      <c r="T288" s="72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479</v>
      </c>
      <c r="AG288" s="75"/>
      <c r="AJ288" s="79" t="s">
        <v>46</v>
      </c>
      <c r="AK288" s="79">
        <v>0</v>
      </c>
      <c r="BB288" s="382" t="s">
        <v>66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t="27" hidden="1" customHeight="1" x14ac:dyDescent="0.25">
      <c r="A289" s="60" t="s">
        <v>489</v>
      </c>
      <c r="B289" s="60" t="s">
        <v>490</v>
      </c>
      <c r="C289" s="34">
        <v>4301052214</v>
      </c>
      <c r="D289" s="718">
        <v>4680115889064</v>
      </c>
      <c r="E289" s="718"/>
      <c r="F289" s="59">
        <v>0.7</v>
      </c>
      <c r="G289" s="35">
        <v>6</v>
      </c>
      <c r="H289" s="59">
        <v>4.2</v>
      </c>
      <c r="I289" s="59">
        <v>4.6159999999999997</v>
      </c>
      <c r="J289" s="35">
        <v>104</v>
      </c>
      <c r="K289" s="35" t="s">
        <v>126</v>
      </c>
      <c r="L289" s="35" t="s">
        <v>46</v>
      </c>
      <c r="M289" s="36" t="s">
        <v>89</v>
      </c>
      <c r="N289" s="36"/>
      <c r="O289" s="35">
        <v>45</v>
      </c>
      <c r="P289" s="8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0"/>
      <c r="R289" s="720"/>
      <c r="S289" s="720"/>
      <c r="T289" s="72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3"/>
        <v>0</v>
      </c>
      <c r="Z289" s="39" t="str">
        <f>IFERROR(IF(Y289=0,"",ROUNDUP(Y289/H289,0)*0.01196),"")</f>
        <v/>
      </c>
      <c r="AA289" s="65" t="s">
        <v>46</v>
      </c>
      <c r="AB289" s="66" t="s">
        <v>46</v>
      </c>
      <c r="AC289" s="383" t="s">
        <v>486</v>
      </c>
      <c r="AG289" s="75"/>
      <c r="AJ289" s="79" t="s">
        <v>46</v>
      </c>
      <c r="AK289" s="79">
        <v>0</v>
      </c>
      <c r="BB289" s="384" t="s">
        <v>66</v>
      </c>
      <c r="BM289" s="75">
        <f t="shared" si="44"/>
        <v>0</v>
      </c>
      <c r="BN289" s="75">
        <f t="shared" si="45"/>
        <v>0</v>
      </c>
      <c r="BO289" s="75">
        <f t="shared" si="46"/>
        <v>0</v>
      </c>
      <c r="BP289" s="75">
        <f t="shared" si="47"/>
        <v>0</v>
      </c>
    </row>
    <row r="290" spans="1:68" ht="27" hidden="1" customHeight="1" x14ac:dyDescent="0.25">
      <c r="A290" s="60" t="s">
        <v>491</v>
      </c>
      <c r="B290" s="60" t="s">
        <v>492</v>
      </c>
      <c r="C290" s="34">
        <v>4301051668</v>
      </c>
      <c r="D290" s="718">
        <v>4680115880221</v>
      </c>
      <c r="E290" s="718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45</v>
      </c>
      <c r="P290" s="8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0"/>
      <c r="R290" s="720"/>
      <c r="S290" s="720"/>
      <c r="T290" s="72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3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479</v>
      </c>
      <c r="AG290" s="75"/>
      <c r="AJ290" s="79" t="s">
        <v>46</v>
      </c>
      <c r="AK290" s="79">
        <v>0</v>
      </c>
      <c r="BB290" s="386" t="s">
        <v>66</v>
      </c>
      <c r="BM290" s="75">
        <f t="shared" si="44"/>
        <v>0</v>
      </c>
      <c r="BN290" s="75">
        <f t="shared" si="45"/>
        <v>0</v>
      </c>
      <c r="BO290" s="75">
        <f t="shared" si="46"/>
        <v>0</v>
      </c>
      <c r="BP290" s="75">
        <f t="shared" si="47"/>
        <v>0</v>
      </c>
    </row>
    <row r="291" spans="1:68" ht="27" hidden="1" customHeight="1" x14ac:dyDescent="0.25">
      <c r="A291" s="60" t="s">
        <v>493</v>
      </c>
      <c r="B291" s="60" t="s">
        <v>494</v>
      </c>
      <c r="C291" s="34">
        <v>4301051945</v>
      </c>
      <c r="D291" s="718">
        <v>4680115880504</v>
      </c>
      <c r="E291" s="71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96</v>
      </c>
      <c r="N291" s="36"/>
      <c r="O291" s="35">
        <v>40</v>
      </c>
      <c r="P291" s="8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0"/>
      <c r="R291" s="720"/>
      <c r="S291" s="720"/>
      <c r="T291" s="72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3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495</v>
      </c>
      <c r="AG291" s="75"/>
      <c r="AJ291" s="79" t="s">
        <v>46</v>
      </c>
      <c r="AK291" s="79">
        <v>0</v>
      </c>
      <c r="BB291" s="388" t="s">
        <v>66</v>
      </c>
      <c r="BM291" s="75">
        <f t="shared" si="44"/>
        <v>0</v>
      </c>
      <c r="BN291" s="75">
        <f t="shared" si="45"/>
        <v>0</v>
      </c>
      <c r="BO291" s="75">
        <f t="shared" si="46"/>
        <v>0</v>
      </c>
      <c r="BP291" s="75">
        <f t="shared" si="47"/>
        <v>0</v>
      </c>
    </row>
    <row r="292" spans="1:68" ht="27" hidden="1" customHeight="1" x14ac:dyDescent="0.25">
      <c r="A292" s="60" t="s">
        <v>496</v>
      </c>
      <c r="B292" s="60" t="s">
        <v>497</v>
      </c>
      <c r="C292" s="34">
        <v>4301051410</v>
      </c>
      <c r="D292" s="718">
        <v>4680115882164</v>
      </c>
      <c r="E292" s="718"/>
      <c r="F292" s="59">
        <v>0.4</v>
      </c>
      <c r="G292" s="35">
        <v>6</v>
      </c>
      <c r="H292" s="59">
        <v>2.4</v>
      </c>
      <c r="I292" s="59">
        <v>2.6579999999999999</v>
      </c>
      <c r="J292" s="35">
        <v>182</v>
      </c>
      <c r="K292" s="35" t="s">
        <v>90</v>
      </c>
      <c r="L292" s="35" t="s">
        <v>46</v>
      </c>
      <c r="M292" s="36" t="s">
        <v>89</v>
      </c>
      <c r="N292" s="36"/>
      <c r="O292" s="35">
        <v>40</v>
      </c>
      <c r="P292" s="8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0"/>
      <c r="R292" s="720"/>
      <c r="S292" s="720"/>
      <c r="T292" s="72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3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498</v>
      </c>
      <c r="AG292" s="75"/>
      <c r="AJ292" s="79" t="s">
        <v>46</v>
      </c>
      <c r="AK292" s="79">
        <v>0</v>
      </c>
      <c r="BB292" s="390" t="s">
        <v>66</v>
      </c>
      <c r="BM292" s="75">
        <f t="shared" si="44"/>
        <v>0</v>
      </c>
      <c r="BN292" s="75">
        <f t="shared" si="45"/>
        <v>0</v>
      </c>
      <c r="BO292" s="75">
        <f t="shared" si="46"/>
        <v>0</v>
      </c>
      <c r="BP292" s="75">
        <f t="shared" si="47"/>
        <v>0</v>
      </c>
    </row>
    <row r="293" spans="1:68" ht="27" hidden="1" customHeight="1" x14ac:dyDescent="0.25">
      <c r="A293" s="60" t="s">
        <v>499</v>
      </c>
      <c r="B293" s="60" t="s">
        <v>500</v>
      </c>
      <c r="C293" s="34">
        <v>4301052180</v>
      </c>
      <c r="D293" s="718">
        <v>4680115888340</v>
      </c>
      <c r="E293" s="718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45</v>
      </c>
      <c r="P293" s="88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0"/>
      <c r="R293" s="720"/>
      <c r="S293" s="720"/>
      <c r="T293" s="721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3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501</v>
      </c>
      <c r="AG293" s="75"/>
      <c r="AJ293" s="79" t="s">
        <v>46</v>
      </c>
      <c r="AK293" s="79">
        <v>0</v>
      </c>
      <c r="BB293" s="392" t="s">
        <v>66</v>
      </c>
      <c r="BM293" s="75">
        <f t="shared" si="44"/>
        <v>0</v>
      </c>
      <c r="BN293" s="75">
        <f t="shared" si="45"/>
        <v>0</v>
      </c>
      <c r="BO293" s="75">
        <f t="shared" si="46"/>
        <v>0</v>
      </c>
      <c r="BP293" s="75">
        <f t="shared" si="47"/>
        <v>0</v>
      </c>
    </row>
    <row r="294" spans="1:68" hidden="1" x14ac:dyDescent="0.25">
      <c r="A294" s="726"/>
      <c r="B294" s="726"/>
      <c r="C294" s="726"/>
      <c r="D294" s="726"/>
      <c r="E294" s="726"/>
      <c r="F294" s="726"/>
      <c r="G294" s="726"/>
      <c r="H294" s="726"/>
      <c r="I294" s="726"/>
      <c r="J294" s="726"/>
      <c r="K294" s="726"/>
      <c r="L294" s="726"/>
      <c r="M294" s="726"/>
      <c r="N294" s="726"/>
      <c r="O294" s="727"/>
      <c r="P294" s="723" t="s">
        <v>40</v>
      </c>
      <c r="Q294" s="724"/>
      <c r="R294" s="724"/>
      <c r="S294" s="724"/>
      <c r="T294" s="724"/>
      <c r="U294" s="724"/>
      <c r="V294" s="725"/>
      <c r="W294" s="40" t="s">
        <v>39</v>
      </c>
      <c r="X294" s="41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1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1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hidden="1" x14ac:dyDescent="0.25">
      <c r="A295" s="726"/>
      <c r="B295" s="726"/>
      <c r="C295" s="726"/>
      <c r="D295" s="726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7"/>
      <c r="P295" s="723" t="s">
        <v>40</v>
      </c>
      <c r="Q295" s="724"/>
      <c r="R295" s="724"/>
      <c r="S295" s="724"/>
      <c r="T295" s="724"/>
      <c r="U295" s="724"/>
      <c r="V295" s="725"/>
      <c r="W295" s="40" t="s">
        <v>0</v>
      </c>
      <c r="X295" s="41">
        <f>IFERROR(SUM(X282:X293),"0")</f>
        <v>0</v>
      </c>
      <c r="Y295" s="41">
        <f>IFERROR(SUM(Y282:Y293),"0")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717" t="s">
        <v>177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3"/>
      <c r="AB296" s="63"/>
      <c r="AC296" s="63"/>
    </row>
    <row r="297" spans="1:68" ht="27" hidden="1" customHeight="1" x14ac:dyDescent="0.25">
      <c r="A297" s="60" t="s">
        <v>502</v>
      </c>
      <c r="B297" s="60" t="s">
        <v>503</v>
      </c>
      <c r="C297" s="34">
        <v>4301060463</v>
      </c>
      <c r="D297" s="718">
        <v>4680115880818</v>
      </c>
      <c r="E297" s="718"/>
      <c r="F297" s="59">
        <v>0.4</v>
      </c>
      <c r="G297" s="35">
        <v>6</v>
      </c>
      <c r="H297" s="59">
        <v>2.4</v>
      </c>
      <c r="I297" s="59">
        <v>2.6520000000000001</v>
      </c>
      <c r="J297" s="35">
        <v>182</v>
      </c>
      <c r="K297" s="35" t="s">
        <v>90</v>
      </c>
      <c r="L297" s="35" t="s">
        <v>46</v>
      </c>
      <c r="M297" s="36" t="s">
        <v>96</v>
      </c>
      <c r="N297" s="36"/>
      <c r="O297" s="35">
        <v>40</v>
      </c>
      <c r="P297" s="8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0"/>
      <c r="R297" s="720"/>
      <c r="S297" s="720"/>
      <c r="T297" s="72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3" t="s">
        <v>504</v>
      </c>
      <c r="AG297" s="75"/>
      <c r="AJ297" s="79" t="s">
        <v>46</v>
      </c>
      <c r="AK297" s="79">
        <v>0</v>
      </c>
      <c r="BB297" s="394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27" hidden="1" customHeight="1" x14ac:dyDescent="0.25">
      <c r="A298" s="60" t="s">
        <v>505</v>
      </c>
      <c r="B298" s="60" t="s">
        <v>506</v>
      </c>
      <c r="C298" s="34">
        <v>4301060389</v>
      </c>
      <c r="D298" s="718">
        <v>4680115880801</v>
      </c>
      <c r="E298" s="71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89</v>
      </c>
      <c r="N298" s="36"/>
      <c r="O298" s="35">
        <v>40</v>
      </c>
      <c r="P298" s="8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0"/>
      <c r="R298" s="720"/>
      <c r="S298" s="720"/>
      <c r="T298" s="721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507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idden="1" x14ac:dyDescent="0.25">
      <c r="A299" s="726"/>
      <c r="B299" s="726"/>
      <c r="C299" s="726"/>
      <c r="D299" s="726"/>
      <c r="E299" s="726"/>
      <c r="F299" s="726"/>
      <c r="G299" s="726"/>
      <c r="H299" s="726"/>
      <c r="I299" s="726"/>
      <c r="J299" s="726"/>
      <c r="K299" s="726"/>
      <c r="L299" s="726"/>
      <c r="M299" s="726"/>
      <c r="N299" s="726"/>
      <c r="O299" s="727"/>
      <c r="P299" s="723" t="s">
        <v>40</v>
      </c>
      <c r="Q299" s="724"/>
      <c r="R299" s="724"/>
      <c r="S299" s="724"/>
      <c r="T299" s="724"/>
      <c r="U299" s="724"/>
      <c r="V299" s="725"/>
      <c r="W299" s="40" t="s">
        <v>39</v>
      </c>
      <c r="X299" s="41">
        <f>IFERROR(X297/H297,"0")+IFERROR(X298/H298,"0")</f>
        <v>0</v>
      </c>
      <c r="Y299" s="41">
        <f>IFERROR(Y297/H297,"0")+IFERROR(Y298/H298,"0")</f>
        <v>0</v>
      </c>
      <c r="Z299" s="41">
        <f>IFERROR(IF(Z297="",0,Z297),"0")+IFERROR(IF(Z298="",0,Z298),"0")</f>
        <v>0</v>
      </c>
      <c r="AA299" s="64"/>
      <c r="AB299" s="64"/>
      <c r="AC299" s="64"/>
    </row>
    <row r="300" spans="1:68" hidden="1" x14ac:dyDescent="0.25">
      <c r="A300" s="726"/>
      <c r="B300" s="726"/>
      <c r="C300" s="726"/>
      <c r="D300" s="726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7"/>
      <c r="P300" s="723" t="s">
        <v>40</v>
      </c>
      <c r="Q300" s="724"/>
      <c r="R300" s="724"/>
      <c r="S300" s="724"/>
      <c r="T300" s="724"/>
      <c r="U300" s="724"/>
      <c r="V300" s="725"/>
      <c r="W300" s="40" t="s">
        <v>0</v>
      </c>
      <c r="X300" s="41">
        <f>IFERROR(SUM(X297:X298),"0")</f>
        <v>0</v>
      </c>
      <c r="Y300" s="41">
        <f>IFERROR(SUM(Y297:Y298),"0")</f>
        <v>0</v>
      </c>
      <c r="Z300" s="40"/>
      <c r="AA300" s="64"/>
      <c r="AB300" s="64"/>
      <c r="AC300" s="64"/>
    </row>
    <row r="301" spans="1:68" ht="16.5" hidden="1" customHeight="1" x14ac:dyDescent="0.25">
      <c r="A301" s="716" t="s">
        <v>508</v>
      </c>
      <c r="B301" s="716"/>
      <c r="C301" s="716"/>
      <c r="D301" s="716"/>
      <c r="E301" s="716"/>
      <c r="F301" s="716"/>
      <c r="G301" s="716"/>
      <c r="H301" s="716"/>
      <c r="I301" s="716"/>
      <c r="J301" s="716"/>
      <c r="K301" s="716"/>
      <c r="L301" s="716"/>
      <c r="M301" s="716"/>
      <c r="N301" s="716"/>
      <c r="O301" s="716"/>
      <c r="P301" s="716"/>
      <c r="Q301" s="716"/>
      <c r="R301" s="716"/>
      <c r="S301" s="716"/>
      <c r="T301" s="716"/>
      <c r="U301" s="716"/>
      <c r="V301" s="716"/>
      <c r="W301" s="716"/>
      <c r="X301" s="716"/>
      <c r="Y301" s="716"/>
      <c r="Z301" s="716"/>
      <c r="AA301" s="62"/>
      <c r="AB301" s="62"/>
      <c r="AC301" s="62"/>
    </row>
    <row r="302" spans="1:68" ht="14.25" hidden="1" customHeight="1" x14ac:dyDescent="0.25">
      <c r="A302" s="717" t="s">
        <v>121</v>
      </c>
      <c r="B302" s="717"/>
      <c r="C302" s="717"/>
      <c r="D302" s="717"/>
      <c r="E302" s="717"/>
      <c r="F302" s="717"/>
      <c r="G302" s="717"/>
      <c r="H302" s="717"/>
      <c r="I302" s="717"/>
      <c r="J302" s="717"/>
      <c r="K302" s="717"/>
      <c r="L302" s="717"/>
      <c r="M302" s="717"/>
      <c r="N302" s="717"/>
      <c r="O302" s="717"/>
      <c r="P302" s="717"/>
      <c r="Q302" s="717"/>
      <c r="R302" s="717"/>
      <c r="S302" s="717"/>
      <c r="T302" s="717"/>
      <c r="U302" s="717"/>
      <c r="V302" s="717"/>
      <c r="W302" s="717"/>
      <c r="X302" s="717"/>
      <c r="Y302" s="717"/>
      <c r="Z302" s="717"/>
      <c r="AA302" s="63"/>
      <c r="AB302" s="63"/>
      <c r="AC302" s="63"/>
    </row>
    <row r="303" spans="1:68" ht="27" hidden="1" customHeight="1" x14ac:dyDescent="0.25">
      <c r="A303" s="60" t="s">
        <v>509</v>
      </c>
      <c r="B303" s="60" t="s">
        <v>510</v>
      </c>
      <c r="C303" s="34">
        <v>4301011826</v>
      </c>
      <c r="D303" s="718">
        <v>4680115884137</v>
      </c>
      <c r="E303" s="71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8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0"/>
      <c r="R303" s="720"/>
      <c r="S303" s="720"/>
      <c r="T303" s="72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ref="Y303:Y309" si="48">IFERROR(IF(X303="",0,CEILING((X303/$H303),1)*$H303),"")</f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511</v>
      </c>
      <c r="AG303" s="75"/>
      <c r="AJ303" s="79" t="s">
        <v>46</v>
      </c>
      <c r="AK303" s="79">
        <v>0</v>
      </c>
      <c r="BB303" s="398" t="s">
        <v>66</v>
      </c>
      <c r="BM303" s="75">
        <f t="shared" ref="BM303:BM309" si="49">IFERROR(X303*I303/H303,"0")</f>
        <v>0</v>
      </c>
      <c r="BN303" s="75">
        <f t="shared" ref="BN303:BN309" si="50">IFERROR(Y303*I303/H303,"0")</f>
        <v>0</v>
      </c>
      <c r="BO303" s="75">
        <f t="shared" ref="BO303:BO309" si="51">IFERROR(1/J303*(X303/H303),"0")</f>
        <v>0</v>
      </c>
      <c r="BP303" s="75">
        <f t="shared" ref="BP303:BP309" si="52">IFERROR(1/J303*(Y303/H303),"0")</f>
        <v>0</v>
      </c>
    </row>
    <row r="304" spans="1:68" ht="27" hidden="1" customHeight="1" x14ac:dyDescent="0.25">
      <c r="A304" s="60" t="s">
        <v>512</v>
      </c>
      <c r="B304" s="60" t="s">
        <v>513</v>
      </c>
      <c r="C304" s="34">
        <v>4301011724</v>
      </c>
      <c r="D304" s="718">
        <v>4680115884236</v>
      </c>
      <c r="E304" s="718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8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0"/>
      <c r="R304" s="720"/>
      <c r="S304" s="720"/>
      <c r="T304" s="72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514</v>
      </c>
      <c r="AG304" s="75"/>
      <c r="AJ304" s="79" t="s">
        <v>46</v>
      </c>
      <c r="AK304" s="79">
        <v>0</v>
      </c>
      <c r="BB304" s="400" t="s">
        <v>66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t="27" hidden="1" customHeight="1" x14ac:dyDescent="0.25">
      <c r="A305" s="60" t="s">
        <v>515</v>
      </c>
      <c r="B305" s="60" t="s">
        <v>516</v>
      </c>
      <c r="C305" s="34">
        <v>4301011721</v>
      </c>
      <c r="D305" s="718">
        <v>4680115884175</v>
      </c>
      <c r="E305" s="718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8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0"/>
      <c r="R305" s="720"/>
      <c r="S305" s="720"/>
      <c r="T305" s="72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48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362</v>
      </c>
      <c r="AG305" s="75"/>
      <c r="AJ305" s="79" t="s">
        <v>46</v>
      </c>
      <c r="AK305" s="79">
        <v>0</v>
      </c>
      <c r="BB305" s="402" t="s">
        <v>66</v>
      </c>
      <c r="BM305" s="75">
        <f t="shared" si="49"/>
        <v>0</v>
      </c>
      <c r="BN305" s="75">
        <f t="shared" si="50"/>
        <v>0</v>
      </c>
      <c r="BO305" s="75">
        <f t="shared" si="51"/>
        <v>0</v>
      </c>
      <c r="BP305" s="75">
        <f t="shared" si="52"/>
        <v>0</v>
      </c>
    </row>
    <row r="306" spans="1:68" ht="27" hidden="1" customHeight="1" x14ac:dyDescent="0.25">
      <c r="A306" s="60" t="s">
        <v>517</v>
      </c>
      <c r="B306" s="60" t="s">
        <v>518</v>
      </c>
      <c r="C306" s="34">
        <v>4301011824</v>
      </c>
      <c r="D306" s="718">
        <v>4680115884144</v>
      </c>
      <c r="E306" s="718"/>
      <c r="F306" s="59">
        <v>0.4</v>
      </c>
      <c r="G306" s="35">
        <v>10</v>
      </c>
      <c r="H306" s="59">
        <v>4</v>
      </c>
      <c r="I306" s="59">
        <v>4.1900000000000004</v>
      </c>
      <c r="J306" s="35">
        <v>132</v>
      </c>
      <c r="K306" s="35" t="s">
        <v>133</v>
      </c>
      <c r="L306" s="35" t="s">
        <v>46</v>
      </c>
      <c r="M306" s="36" t="s">
        <v>125</v>
      </c>
      <c r="N306" s="36"/>
      <c r="O306" s="35">
        <v>55</v>
      </c>
      <c r="P306" s="8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0"/>
      <c r="R306" s="720"/>
      <c r="S306" s="720"/>
      <c r="T306" s="72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48"/>
        <v>0</v>
      </c>
      <c r="Z306" s="39" t="str">
        <f>IFERROR(IF(Y306=0,"",ROUNDUP(Y306/H306,0)*0.00902),"")</f>
        <v/>
      </c>
      <c r="AA306" s="65" t="s">
        <v>46</v>
      </c>
      <c r="AB306" s="66" t="s">
        <v>46</v>
      </c>
      <c r="AC306" s="403" t="s">
        <v>511</v>
      </c>
      <c r="AG306" s="75"/>
      <c r="AJ306" s="79" t="s">
        <v>46</v>
      </c>
      <c r="AK306" s="79">
        <v>0</v>
      </c>
      <c r="BB306" s="404" t="s">
        <v>66</v>
      </c>
      <c r="BM306" s="75">
        <f t="shared" si="49"/>
        <v>0</v>
      </c>
      <c r="BN306" s="75">
        <f t="shared" si="50"/>
        <v>0</v>
      </c>
      <c r="BO306" s="75">
        <f t="shared" si="51"/>
        <v>0</v>
      </c>
      <c r="BP306" s="75">
        <f t="shared" si="52"/>
        <v>0</v>
      </c>
    </row>
    <row r="307" spans="1:68" ht="27" hidden="1" customHeight="1" x14ac:dyDescent="0.25">
      <c r="A307" s="60" t="s">
        <v>519</v>
      </c>
      <c r="B307" s="60" t="s">
        <v>520</v>
      </c>
      <c r="C307" s="34">
        <v>4301012149</v>
      </c>
      <c r="D307" s="718">
        <v>4680115886551</v>
      </c>
      <c r="E307" s="71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0"/>
      <c r="R307" s="720"/>
      <c r="S307" s="720"/>
      <c r="T307" s="72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48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521</v>
      </c>
      <c r="AG307" s="75"/>
      <c r="AJ307" s="79" t="s">
        <v>46</v>
      </c>
      <c r="AK307" s="79">
        <v>0</v>
      </c>
      <c r="BB307" s="406" t="s">
        <v>66</v>
      </c>
      <c r="BM307" s="75">
        <f t="shared" si="49"/>
        <v>0</v>
      </c>
      <c r="BN307" s="75">
        <f t="shared" si="50"/>
        <v>0</v>
      </c>
      <c r="BO307" s="75">
        <f t="shared" si="51"/>
        <v>0</v>
      </c>
      <c r="BP307" s="75">
        <f t="shared" si="52"/>
        <v>0</v>
      </c>
    </row>
    <row r="308" spans="1:68" ht="27" hidden="1" customHeight="1" x14ac:dyDescent="0.25">
      <c r="A308" s="60" t="s">
        <v>522</v>
      </c>
      <c r="B308" s="60" t="s">
        <v>523</v>
      </c>
      <c r="C308" s="34">
        <v>4301012228</v>
      </c>
      <c r="D308" s="718">
        <v>4680115887282</v>
      </c>
      <c r="E308" s="718"/>
      <c r="F308" s="59">
        <v>0.4</v>
      </c>
      <c r="G308" s="35">
        <v>6</v>
      </c>
      <c r="H308" s="59">
        <v>2.4</v>
      </c>
      <c r="I308" s="59">
        <v>2.58</v>
      </c>
      <c r="J308" s="35">
        <v>182</v>
      </c>
      <c r="K308" s="35" t="s">
        <v>90</v>
      </c>
      <c r="L308" s="35" t="s">
        <v>46</v>
      </c>
      <c r="M308" s="36" t="s">
        <v>125</v>
      </c>
      <c r="N308" s="36"/>
      <c r="O308" s="35">
        <v>55</v>
      </c>
      <c r="P308" s="8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0"/>
      <c r="R308" s="720"/>
      <c r="S308" s="720"/>
      <c r="T308" s="72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48"/>
        <v>0</v>
      </c>
      <c r="Z308" s="39" t="str">
        <f>IFERROR(IF(Y308=0,"",ROUNDUP(Y308/H308,0)*0.00651),"")</f>
        <v/>
      </c>
      <c r="AA308" s="65" t="s">
        <v>46</v>
      </c>
      <c r="AB308" s="66" t="s">
        <v>46</v>
      </c>
      <c r="AC308" s="407" t="s">
        <v>524</v>
      </c>
      <c r="AG308" s="75"/>
      <c r="AJ308" s="79" t="s">
        <v>46</v>
      </c>
      <c r="AK308" s="79">
        <v>0</v>
      </c>
      <c r="BB308" s="408" t="s">
        <v>66</v>
      </c>
      <c r="BM308" s="75">
        <f t="shared" si="49"/>
        <v>0</v>
      </c>
      <c r="BN308" s="75">
        <f t="shared" si="50"/>
        <v>0</v>
      </c>
      <c r="BO308" s="75">
        <f t="shared" si="51"/>
        <v>0</v>
      </c>
      <c r="BP308" s="75">
        <f t="shared" si="52"/>
        <v>0</v>
      </c>
    </row>
    <row r="309" spans="1:68" ht="27" hidden="1" customHeight="1" x14ac:dyDescent="0.25">
      <c r="A309" s="60" t="s">
        <v>525</v>
      </c>
      <c r="B309" s="60" t="s">
        <v>526</v>
      </c>
      <c r="C309" s="34">
        <v>4301011722</v>
      </c>
      <c r="D309" s="718">
        <v>4680115884205</v>
      </c>
      <c r="E309" s="718"/>
      <c r="F309" s="59">
        <v>0.4</v>
      </c>
      <c r="G309" s="35">
        <v>10</v>
      </c>
      <c r="H309" s="59">
        <v>4</v>
      </c>
      <c r="I309" s="59">
        <v>4.1900000000000004</v>
      </c>
      <c r="J309" s="35">
        <v>132</v>
      </c>
      <c r="K309" s="35" t="s">
        <v>133</v>
      </c>
      <c r="L309" s="35" t="s">
        <v>46</v>
      </c>
      <c r="M309" s="36" t="s">
        <v>125</v>
      </c>
      <c r="N309" s="36"/>
      <c r="O309" s="35">
        <v>55</v>
      </c>
      <c r="P309" s="8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0"/>
      <c r="R309" s="720"/>
      <c r="S309" s="720"/>
      <c r="T309" s="72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48"/>
        <v>0</v>
      </c>
      <c r="Z309" s="39" t="str">
        <f>IFERROR(IF(Y309=0,"",ROUNDUP(Y309/H309,0)*0.00902),"")</f>
        <v/>
      </c>
      <c r="AA309" s="65" t="s">
        <v>46</v>
      </c>
      <c r="AB309" s="66" t="s">
        <v>46</v>
      </c>
      <c r="AC309" s="409" t="s">
        <v>362</v>
      </c>
      <c r="AG309" s="75"/>
      <c r="AJ309" s="79" t="s">
        <v>46</v>
      </c>
      <c r="AK309" s="79">
        <v>0</v>
      </c>
      <c r="BB309" s="410" t="s">
        <v>66</v>
      </c>
      <c r="BM309" s="75">
        <f t="shared" si="49"/>
        <v>0</v>
      </c>
      <c r="BN309" s="75">
        <f t="shared" si="50"/>
        <v>0</v>
      </c>
      <c r="BO309" s="75">
        <f t="shared" si="51"/>
        <v>0</v>
      </c>
      <c r="BP309" s="75">
        <f t="shared" si="52"/>
        <v>0</v>
      </c>
    </row>
    <row r="310" spans="1:68" hidden="1" x14ac:dyDescent="0.25">
      <c r="A310" s="726"/>
      <c r="B310" s="726"/>
      <c r="C310" s="726"/>
      <c r="D310" s="726"/>
      <c r="E310" s="726"/>
      <c r="F310" s="726"/>
      <c r="G310" s="726"/>
      <c r="H310" s="726"/>
      <c r="I310" s="726"/>
      <c r="J310" s="726"/>
      <c r="K310" s="726"/>
      <c r="L310" s="726"/>
      <c r="M310" s="726"/>
      <c r="N310" s="726"/>
      <c r="O310" s="727"/>
      <c r="P310" s="723" t="s">
        <v>40</v>
      </c>
      <c r="Q310" s="724"/>
      <c r="R310" s="724"/>
      <c r="S310" s="724"/>
      <c r="T310" s="724"/>
      <c r="U310" s="724"/>
      <c r="V310" s="725"/>
      <c r="W310" s="40" t="s">
        <v>39</v>
      </c>
      <c r="X310" s="41">
        <f>IFERROR(X303/H303,"0")+IFERROR(X304/H304,"0")+IFERROR(X305/H305,"0")+IFERROR(X306/H306,"0")+IFERROR(X307/H307,"0")+IFERROR(X308/H308,"0")+IFERROR(X309/H309,"0")</f>
        <v>0</v>
      </c>
      <c r="Y310" s="41">
        <f>IFERROR(Y303/H303,"0")+IFERROR(Y304/H304,"0")+IFERROR(Y305/H305,"0")+IFERROR(Y306/H306,"0")+IFERROR(Y307/H307,"0")+IFERROR(Y308/H308,"0")+IFERROR(Y309/H309,"0")</f>
        <v>0</v>
      </c>
      <c r="Z310" s="41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"/>
      <c r="AB310" s="64"/>
      <c r="AC310" s="64"/>
    </row>
    <row r="311" spans="1:68" hidden="1" x14ac:dyDescent="0.25">
      <c r="A311" s="726"/>
      <c r="B311" s="726"/>
      <c r="C311" s="726"/>
      <c r="D311" s="726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7"/>
      <c r="P311" s="723" t="s">
        <v>40</v>
      </c>
      <c r="Q311" s="724"/>
      <c r="R311" s="724"/>
      <c r="S311" s="724"/>
      <c r="T311" s="724"/>
      <c r="U311" s="724"/>
      <c r="V311" s="725"/>
      <c r="W311" s="40" t="s">
        <v>0</v>
      </c>
      <c r="X311" s="41">
        <f>IFERROR(SUM(X303:X309),"0")</f>
        <v>0</v>
      </c>
      <c r="Y311" s="41">
        <f>IFERROR(SUM(Y303:Y309),"0")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717" t="s">
        <v>158</v>
      </c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7"/>
      <c r="P312" s="717"/>
      <c r="Q312" s="717"/>
      <c r="R312" s="717"/>
      <c r="S312" s="717"/>
      <c r="T312" s="717"/>
      <c r="U312" s="717"/>
      <c r="V312" s="717"/>
      <c r="W312" s="717"/>
      <c r="X312" s="717"/>
      <c r="Y312" s="717"/>
      <c r="Z312" s="717"/>
      <c r="AA312" s="63"/>
      <c r="AB312" s="63"/>
      <c r="AC312" s="63"/>
    </row>
    <row r="313" spans="1:68" ht="27" hidden="1" customHeight="1" x14ac:dyDescent="0.25">
      <c r="A313" s="60" t="s">
        <v>527</v>
      </c>
      <c r="B313" s="60" t="s">
        <v>528</v>
      </c>
      <c r="C313" s="34">
        <v>4301020377</v>
      </c>
      <c r="D313" s="718">
        <v>4680115885981</v>
      </c>
      <c r="E313" s="718"/>
      <c r="F313" s="59">
        <v>0.33</v>
      </c>
      <c r="G313" s="35">
        <v>6</v>
      </c>
      <c r="H313" s="59">
        <v>1.98</v>
      </c>
      <c r="I313" s="59">
        <v>2.08</v>
      </c>
      <c r="J313" s="35">
        <v>234</v>
      </c>
      <c r="K313" s="35" t="s">
        <v>81</v>
      </c>
      <c r="L313" s="35" t="s">
        <v>46</v>
      </c>
      <c r="M313" s="36" t="s">
        <v>89</v>
      </c>
      <c r="N313" s="36"/>
      <c r="O313" s="35">
        <v>50</v>
      </c>
      <c r="P313" s="8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0"/>
      <c r="R313" s="720"/>
      <c r="S313" s="720"/>
      <c r="T313" s="72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411" t="s">
        <v>529</v>
      </c>
      <c r="AG313" s="75"/>
      <c r="AJ313" s="79" t="s">
        <v>46</v>
      </c>
      <c r="AK313" s="79">
        <v>0</v>
      </c>
      <c r="BB313" s="412" t="s">
        <v>66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5">
      <c r="A314" s="726"/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7"/>
      <c r="P314" s="723" t="s">
        <v>40</v>
      </c>
      <c r="Q314" s="724"/>
      <c r="R314" s="724"/>
      <c r="S314" s="724"/>
      <c r="T314" s="724"/>
      <c r="U314" s="724"/>
      <c r="V314" s="725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5">
      <c r="A315" s="726"/>
      <c r="B315" s="726"/>
      <c r="C315" s="726"/>
      <c r="D315" s="726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7"/>
      <c r="P315" s="723" t="s">
        <v>40</v>
      </c>
      <c r="Q315" s="724"/>
      <c r="R315" s="724"/>
      <c r="S315" s="724"/>
      <c r="T315" s="724"/>
      <c r="U315" s="724"/>
      <c r="V315" s="725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717" t="s">
        <v>530</v>
      </c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7"/>
      <c r="P316" s="717"/>
      <c r="Q316" s="717"/>
      <c r="R316" s="717"/>
      <c r="S316" s="717"/>
      <c r="T316" s="717"/>
      <c r="U316" s="717"/>
      <c r="V316" s="717"/>
      <c r="W316" s="717"/>
      <c r="X316" s="717"/>
      <c r="Y316" s="717"/>
      <c r="Z316" s="717"/>
      <c r="AA316" s="63"/>
      <c r="AB316" s="63"/>
      <c r="AC316" s="63"/>
    </row>
    <row r="317" spans="1:68" ht="27" hidden="1" customHeight="1" x14ac:dyDescent="0.25">
      <c r="A317" s="60" t="s">
        <v>531</v>
      </c>
      <c r="B317" s="60" t="s">
        <v>532</v>
      </c>
      <c r="C317" s="34">
        <v>4301040362</v>
      </c>
      <c r="D317" s="718">
        <v>4680115886803</v>
      </c>
      <c r="E317" s="718"/>
      <c r="F317" s="59">
        <v>0.12</v>
      </c>
      <c r="G317" s="35">
        <v>15</v>
      </c>
      <c r="H317" s="59">
        <v>1.8</v>
      </c>
      <c r="I317" s="59">
        <v>1.9750000000000001</v>
      </c>
      <c r="J317" s="35">
        <v>216</v>
      </c>
      <c r="K317" s="35" t="s">
        <v>339</v>
      </c>
      <c r="L317" s="35" t="s">
        <v>46</v>
      </c>
      <c r="M317" s="36" t="s">
        <v>281</v>
      </c>
      <c r="N317" s="36"/>
      <c r="O317" s="35">
        <v>45</v>
      </c>
      <c r="P317" s="8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0"/>
      <c r="R317" s="720"/>
      <c r="S317" s="720"/>
      <c r="T317" s="721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13" t="s">
        <v>533</v>
      </c>
      <c r="AG317" s="75"/>
      <c r="AJ317" s="79" t="s">
        <v>46</v>
      </c>
      <c r="AK317" s="79">
        <v>0</v>
      </c>
      <c r="BB317" s="414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5">
      <c r="A318" s="726"/>
      <c r="B318" s="726"/>
      <c r="C318" s="726"/>
      <c r="D318" s="726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7"/>
      <c r="P318" s="723" t="s">
        <v>40</v>
      </c>
      <c r="Q318" s="724"/>
      <c r="R318" s="724"/>
      <c r="S318" s="724"/>
      <c r="T318" s="724"/>
      <c r="U318" s="724"/>
      <c r="V318" s="725"/>
      <c r="W318" s="40" t="s">
        <v>39</v>
      </c>
      <c r="X318" s="41">
        <f>IFERROR(X317/H317,"0")</f>
        <v>0</v>
      </c>
      <c r="Y318" s="41">
        <f>IFERROR(Y317/H317,"0")</f>
        <v>0</v>
      </c>
      <c r="Z318" s="41">
        <f>IFERROR(IF(Z317="",0,Z317),"0")</f>
        <v>0</v>
      </c>
      <c r="AA318" s="64"/>
      <c r="AB318" s="64"/>
      <c r="AC318" s="64"/>
    </row>
    <row r="319" spans="1:68" hidden="1" x14ac:dyDescent="0.25">
      <c r="A319" s="726"/>
      <c r="B319" s="726"/>
      <c r="C319" s="726"/>
      <c r="D319" s="726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7"/>
      <c r="P319" s="723" t="s">
        <v>40</v>
      </c>
      <c r="Q319" s="724"/>
      <c r="R319" s="724"/>
      <c r="S319" s="724"/>
      <c r="T319" s="724"/>
      <c r="U319" s="724"/>
      <c r="V319" s="725"/>
      <c r="W319" s="40" t="s">
        <v>0</v>
      </c>
      <c r="X319" s="41">
        <f>IFERROR(SUM(X317:X317),"0")</f>
        <v>0</v>
      </c>
      <c r="Y319" s="41">
        <f>IFERROR(SUM(Y317:Y317),"0")</f>
        <v>0</v>
      </c>
      <c r="Z319" s="40"/>
      <c r="AA319" s="64"/>
      <c r="AB319" s="64"/>
      <c r="AC319" s="64"/>
    </row>
    <row r="320" spans="1:68" ht="14.25" hidden="1" customHeight="1" x14ac:dyDescent="0.25">
      <c r="A320" s="717" t="s">
        <v>340</v>
      </c>
      <c r="B320" s="717"/>
      <c r="C320" s="717"/>
      <c r="D320" s="717"/>
      <c r="E320" s="717"/>
      <c r="F320" s="717"/>
      <c r="G320" s="717"/>
      <c r="H320" s="717"/>
      <c r="I320" s="717"/>
      <c r="J320" s="717"/>
      <c r="K320" s="717"/>
      <c r="L320" s="717"/>
      <c r="M320" s="717"/>
      <c r="N320" s="717"/>
      <c r="O320" s="717"/>
      <c r="P320" s="717"/>
      <c r="Q320" s="717"/>
      <c r="R320" s="717"/>
      <c r="S320" s="717"/>
      <c r="T320" s="717"/>
      <c r="U320" s="717"/>
      <c r="V320" s="717"/>
      <c r="W320" s="717"/>
      <c r="X320" s="717"/>
      <c r="Y320" s="717"/>
      <c r="Z320" s="717"/>
      <c r="AA320" s="63"/>
      <c r="AB320" s="63"/>
      <c r="AC320" s="63"/>
    </row>
    <row r="321" spans="1:68" ht="27" hidden="1" customHeight="1" x14ac:dyDescent="0.25">
      <c r="A321" s="60" t="s">
        <v>534</v>
      </c>
      <c r="B321" s="60" t="s">
        <v>535</v>
      </c>
      <c r="C321" s="34">
        <v>4301041008</v>
      </c>
      <c r="D321" s="718">
        <v>4680115886681</v>
      </c>
      <c r="E321" s="718"/>
      <c r="F321" s="59">
        <v>0.12</v>
      </c>
      <c r="G321" s="35">
        <v>15</v>
      </c>
      <c r="H321" s="59">
        <v>1.8</v>
      </c>
      <c r="I321" s="59">
        <v>1.9750000000000001</v>
      </c>
      <c r="J321" s="35">
        <v>216</v>
      </c>
      <c r="K321" s="35" t="s">
        <v>339</v>
      </c>
      <c r="L321" s="35" t="s">
        <v>46</v>
      </c>
      <c r="M321" s="36" t="s">
        <v>281</v>
      </c>
      <c r="N321" s="36"/>
      <c r="O321" s="35">
        <v>90</v>
      </c>
      <c r="P321" s="8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0"/>
      <c r="R321" s="720"/>
      <c r="S321" s="720"/>
      <c r="T321" s="72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536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5">
      <c r="A322" s="726"/>
      <c r="B322" s="726"/>
      <c r="C322" s="726"/>
      <c r="D322" s="726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7"/>
      <c r="P322" s="723" t="s">
        <v>40</v>
      </c>
      <c r="Q322" s="724"/>
      <c r="R322" s="724"/>
      <c r="S322" s="724"/>
      <c r="T322" s="724"/>
      <c r="U322" s="724"/>
      <c r="V322" s="725"/>
      <c r="W322" s="40" t="s">
        <v>39</v>
      </c>
      <c r="X322" s="41">
        <f>IFERROR(X321/H321,"0")</f>
        <v>0</v>
      </c>
      <c r="Y322" s="41">
        <f>IFERROR(Y321/H321,"0")</f>
        <v>0</v>
      </c>
      <c r="Z322" s="41">
        <f>IFERROR(IF(Z321="",0,Z321),"0")</f>
        <v>0</v>
      </c>
      <c r="AA322" s="64"/>
      <c r="AB322" s="64"/>
      <c r="AC322" s="64"/>
    </row>
    <row r="323" spans="1:68" hidden="1" x14ac:dyDescent="0.25">
      <c r="A323" s="726"/>
      <c r="B323" s="726"/>
      <c r="C323" s="726"/>
      <c r="D323" s="726"/>
      <c r="E323" s="726"/>
      <c r="F323" s="726"/>
      <c r="G323" s="726"/>
      <c r="H323" s="726"/>
      <c r="I323" s="726"/>
      <c r="J323" s="726"/>
      <c r="K323" s="726"/>
      <c r="L323" s="726"/>
      <c r="M323" s="726"/>
      <c r="N323" s="726"/>
      <c r="O323" s="727"/>
      <c r="P323" s="723" t="s">
        <v>40</v>
      </c>
      <c r="Q323" s="724"/>
      <c r="R323" s="724"/>
      <c r="S323" s="724"/>
      <c r="T323" s="724"/>
      <c r="U323" s="724"/>
      <c r="V323" s="725"/>
      <c r="W323" s="40" t="s">
        <v>0</v>
      </c>
      <c r="X323" s="41">
        <f>IFERROR(SUM(X321:X321),"0")</f>
        <v>0</v>
      </c>
      <c r="Y323" s="41">
        <f>IFERROR(SUM(Y321:Y321),"0")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16" t="s">
        <v>537</v>
      </c>
      <c r="B324" s="716"/>
      <c r="C324" s="716"/>
      <c r="D324" s="716"/>
      <c r="E324" s="716"/>
      <c r="F324" s="716"/>
      <c r="G324" s="716"/>
      <c r="H324" s="716"/>
      <c r="I324" s="716"/>
      <c r="J324" s="716"/>
      <c r="K324" s="716"/>
      <c r="L324" s="716"/>
      <c r="M324" s="716"/>
      <c r="N324" s="716"/>
      <c r="O324" s="716"/>
      <c r="P324" s="716"/>
      <c r="Q324" s="716"/>
      <c r="R324" s="716"/>
      <c r="S324" s="716"/>
      <c r="T324" s="716"/>
      <c r="U324" s="716"/>
      <c r="V324" s="716"/>
      <c r="W324" s="716"/>
      <c r="X324" s="716"/>
      <c r="Y324" s="716"/>
      <c r="Z324" s="716"/>
      <c r="AA324" s="62"/>
      <c r="AB324" s="62"/>
      <c r="AC324" s="62"/>
    </row>
    <row r="325" spans="1:68" ht="14.25" hidden="1" customHeight="1" x14ac:dyDescent="0.25">
      <c r="A325" s="717" t="s">
        <v>121</v>
      </c>
      <c r="B325" s="717"/>
      <c r="C325" s="717"/>
      <c r="D325" s="717"/>
      <c r="E325" s="717"/>
      <c r="F325" s="717"/>
      <c r="G325" s="717"/>
      <c r="H325" s="717"/>
      <c r="I325" s="717"/>
      <c r="J325" s="717"/>
      <c r="K325" s="717"/>
      <c r="L325" s="717"/>
      <c r="M325" s="717"/>
      <c r="N325" s="717"/>
      <c r="O325" s="717"/>
      <c r="P325" s="717"/>
      <c r="Q325" s="717"/>
      <c r="R325" s="717"/>
      <c r="S325" s="717"/>
      <c r="T325" s="717"/>
      <c r="U325" s="717"/>
      <c r="V325" s="717"/>
      <c r="W325" s="717"/>
      <c r="X325" s="717"/>
      <c r="Y325" s="717"/>
      <c r="Z325" s="717"/>
      <c r="AA325" s="63"/>
      <c r="AB325" s="63"/>
      <c r="AC325" s="63"/>
    </row>
    <row r="326" spans="1:68" ht="27" hidden="1" customHeight="1" x14ac:dyDescent="0.25">
      <c r="A326" s="60" t="s">
        <v>538</v>
      </c>
      <c r="B326" s="60" t="s">
        <v>539</v>
      </c>
      <c r="C326" s="34">
        <v>4301012390</v>
      </c>
      <c r="D326" s="718">
        <v>4680115889637</v>
      </c>
      <c r="E326" s="71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89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0"/>
      <c r="R326" s="720"/>
      <c r="S326" s="720"/>
      <c r="T326" s="721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ref="Y326:Y331" si="53"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541</v>
      </c>
      <c r="AC326" s="417" t="s">
        <v>540</v>
      </c>
      <c r="AG326" s="75"/>
      <c r="AJ326" s="79" t="s">
        <v>46</v>
      </c>
      <c r="AK326" s="79">
        <v>0</v>
      </c>
      <c r="BB326" s="418" t="s">
        <v>66</v>
      </c>
      <c r="BM326" s="75">
        <f t="shared" ref="BM326:BM331" si="54">IFERROR(X326*I326/H326,"0")</f>
        <v>0</v>
      </c>
      <c r="BN326" s="75">
        <f t="shared" ref="BN326:BN331" si="55">IFERROR(Y326*I326/H326,"0")</f>
        <v>0</v>
      </c>
      <c r="BO326" s="75">
        <f t="shared" ref="BO326:BO331" si="56">IFERROR(1/J326*(X326/H326),"0")</f>
        <v>0</v>
      </c>
      <c r="BP326" s="75">
        <f t="shared" ref="BP326:BP331" si="57">IFERROR(1/J326*(Y326/H326),"0")</f>
        <v>0</v>
      </c>
    </row>
    <row r="327" spans="1:68" ht="27" hidden="1" customHeight="1" x14ac:dyDescent="0.25">
      <c r="A327" s="60" t="s">
        <v>542</v>
      </c>
      <c r="B327" s="60" t="s">
        <v>543</v>
      </c>
      <c r="C327" s="34">
        <v>4301011855</v>
      </c>
      <c r="D327" s="718">
        <v>4680115885837</v>
      </c>
      <c r="E327" s="71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89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0"/>
      <c r="R327" s="720"/>
      <c r="S327" s="720"/>
      <c r="T327" s="721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53"/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544</v>
      </c>
      <c r="AG327" s="75"/>
      <c r="AJ327" s="79" t="s">
        <v>46</v>
      </c>
      <c r="AK327" s="79">
        <v>0</v>
      </c>
      <c r="BB327" s="420" t="s">
        <v>66</v>
      </c>
      <c r="BM327" s="75">
        <f t="shared" si="54"/>
        <v>0</v>
      </c>
      <c r="BN327" s="75">
        <f t="shared" si="55"/>
        <v>0</v>
      </c>
      <c r="BO327" s="75">
        <f t="shared" si="56"/>
        <v>0</v>
      </c>
      <c r="BP327" s="75">
        <f t="shared" si="57"/>
        <v>0</v>
      </c>
    </row>
    <row r="328" spans="1:68" ht="37.5" hidden="1" customHeight="1" x14ac:dyDescent="0.25">
      <c r="A328" s="60" t="s">
        <v>545</v>
      </c>
      <c r="B328" s="60" t="s">
        <v>546</v>
      </c>
      <c r="C328" s="34">
        <v>4301012234</v>
      </c>
      <c r="D328" s="718">
        <v>4680115887237</v>
      </c>
      <c r="E328" s="71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89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0"/>
      <c r="R328" s="720"/>
      <c r="S328" s="720"/>
      <c r="T328" s="721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3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547</v>
      </c>
      <c r="AG328" s="75"/>
      <c r="AJ328" s="79" t="s">
        <v>46</v>
      </c>
      <c r="AK328" s="79">
        <v>0</v>
      </c>
      <c r="BB328" s="422" t="s">
        <v>66</v>
      </c>
      <c r="BM328" s="75">
        <f t="shared" si="54"/>
        <v>0</v>
      </c>
      <c r="BN328" s="75">
        <f t="shared" si="55"/>
        <v>0</v>
      </c>
      <c r="BO328" s="75">
        <f t="shared" si="56"/>
        <v>0</v>
      </c>
      <c r="BP328" s="75">
        <f t="shared" si="57"/>
        <v>0</v>
      </c>
    </row>
    <row r="329" spans="1:68" ht="27" hidden="1" customHeight="1" x14ac:dyDescent="0.25">
      <c r="A329" s="60" t="s">
        <v>548</v>
      </c>
      <c r="B329" s="60" t="s">
        <v>549</v>
      </c>
      <c r="C329" s="34">
        <v>4301011850</v>
      </c>
      <c r="D329" s="718">
        <v>4680115885806</v>
      </c>
      <c r="E329" s="718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8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0"/>
      <c r="R329" s="720"/>
      <c r="S329" s="720"/>
      <c r="T329" s="721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3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550</v>
      </c>
      <c r="AG329" s="75"/>
      <c r="AJ329" s="79" t="s">
        <v>46</v>
      </c>
      <c r="AK329" s="79">
        <v>0</v>
      </c>
      <c r="BB329" s="424" t="s">
        <v>66</v>
      </c>
      <c r="BM329" s="75">
        <f t="shared" si="54"/>
        <v>0</v>
      </c>
      <c r="BN329" s="75">
        <f t="shared" si="55"/>
        <v>0</v>
      </c>
      <c r="BO329" s="75">
        <f t="shared" si="56"/>
        <v>0</v>
      </c>
      <c r="BP329" s="75">
        <f t="shared" si="57"/>
        <v>0</v>
      </c>
    </row>
    <row r="330" spans="1:68" ht="27" hidden="1" customHeight="1" x14ac:dyDescent="0.25">
      <c r="A330" s="60" t="s">
        <v>551</v>
      </c>
      <c r="B330" s="60" t="s">
        <v>552</v>
      </c>
      <c r="C330" s="34">
        <v>4301011852</v>
      </c>
      <c r="D330" s="718">
        <v>4680115885844</v>
      </c>
      <c r="E330" s="71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8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0"/>
      <c r="R330" s="720"/>
      <c r="S330" s="720"/>
      <c r="T330" s="721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3"/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553</v>
      </c>
      <c r="AG330" s="75"/>
      <c r="AJ330" s="79" t="s">
        <v>46</v>
      </c>
      <c r="AK330" s="79">
        <v>0</v>
      </c>
      <c r="BB330" s="426" t="s">
        <v>66</v>
      </c>
      <c r="BM330" s="75">
        <f t="shared" si="54"/>
        <v>0</v>
      </c>
      <c r="BN330" s="75">
        <f t="shared" si="55"/>
        <v>0</v>
      </c>
      <c r="BO330" s="75">
        <f t="shared" si="56"/>
        <v>0</v>
      </c>
      <c r="BP330" s="75">
        <f t="shared" si="57"/>
        <v>0</v>
      </c>
    </row>
    <row r="331" spans="1:68" ht="37.5" hidden="1" customHeight="1" x14ac:dyDescent="0.25">
      <c r="A331" s="60" t="s">
        <v>554</v>
      </c>
      <c r="B331" s="60" t="s">
        <v>555</v>
      </c>
      <c r="C331" s="34">
        <v>4301011851</v>
      </c>
      <c r="D331" s="718">
        <v>4680115885820</v>
      </c>
      <c r="E331" s="718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133</v>
      </c>
      <c r="L331" s="35" t="s">
        <v>46</v>
      </c>
      <c r="M331" s="36" t="s">
        <v>125</v>
      </c>
      <c r="N331" s="36"/>
      <c r="O331" s="35">
        <v>55</v>
      </c>
      <c r="P331" s="89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0"/>
      <c r="R331" s="720"/>
      <c r="S331" s="720"/>
      <c r="T331" s="721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3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556</v>
      </c>
      <c r="AG331" s="75"/>
      <c r="AJ331" s="79" t="s">
        <v>46</v>
      </c>
      <c r="AK331" s="79">
        <v>0</v>
      </c>
      <c r="BB331" s="428" t="s">
        <v>66</v>
      </c>
      <c r="BM331" s="75">
        <f t="shared" si="54"/>
        <v>0</v>
      </c>
      <c r="BN331" s="75">
        <f t="shared" si="55"/>
        <v>0</v>
      </c>
      <c r="BO331" s="75">
        <f t="shared" si="56"/>
        <v>0</v>
      </c>
      <c r="BP331" s="75">
        <f t="shared" si="57"/>
        <v>0</v>
      </c>
    </row>
    <row r="332" spans="1:68" hidden="1" x14ac:dyDescent="0.25">
      <c r="A332" s="726"/>
      <c r="B332" s="726"/>
      <c r="C332" s="726"/>
      <c r="D332" s="726"/>
      <c r="E332" s="726"/>
      <c r="F332" s="726"/>
      <c r="G332" s="726"/>
      <c r="H332" s="726"/>
      <c r="I332" s="726"/>
      <c r="J332" s="726"/>
      <c r="K332" s="726"/>
      <c r="L332" s="726"/>
      <c r="M332" s="726"/>
      <c r="N332" s="726"/>
      <c r="O332" s="727"/>
      <c r="P332" s="723" t="s">
        <v>40</v>
      </c>
      <c r="Q332" s="724"/>
      <c r="R332" s="724"/>
      <c r="S332" s="724"/>
      <c r="T332" s="724"/>
      <c r="U332" s="724"/>
      <c r="V332" s="725"/>
      <c r="W332" s="40" t="s">
        <v>39</v>
      </c>
      <c r="X332" s="41">
        <f>IFERROR(X326/H326,"0")+IFERROR(X327/H327,"0")+IFERROR(X328/H328,"0")+IFERROR(X329/H329,"0")+IFERROR(X330/H330,"0")+IFERROR(X331/H331,"0")</f>
        <v>0</v>
      </c>
      <c r="Y332" s="41">
        <f>IFERROR(Y326/H326,"0")+IFERROR(Y327/H327,"0")+IFERROR(Y328/H328,"0")+IFERROR(Y329/H329,"0")+IFERROR(Y330/H330,"0")+IFERROR(Y331/H331,"0")</f>
        <v>0</v>
      </c>
      <c r="Z332" s="41">
        <f>IFERROR(IF(Z326="",0,Z326),"0")+IFERROR(IF(Z327="",0,Z327),"0")+IFERROR(IF(Z328="",0,Z328),"0")+IFERROR(IF(Z329="",0,Z329),"0")+IFERROR(IF(Z330="",0,Z330),"0")+IFERROR(IF(Z331="",0,Z331),"0")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5">
      <c r="A333" s="726"/>
      <c r="B333" s="726"/>
      <c r="C333" s="726"/>
      <c r="D333" s="726"/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7"/>
      <c r="P333" s="723" t="s">
        <v>40</v>
      </c>
      <c r="Q333" s="724"/>
      <c r="R333" s="724"/>
      <c r="S333" s="724"/>
      <c r="T333" s="724"/>
      <c r="U333" s="724"/>
      <c r="V333" s="725"/>
      <c r="W333" s="40" t="s">
        <v>0</v>
      </c>
      <c r="X333" s="41">
        <f>IFERROR(SUM(X326:X331),"0")</f>
        <v>0</v>
      </c>
      <c r="Y333" s="41">
        <f>IFERROR(SUM(Y326:Y331),"0")</f>
        <v>0</v>
      </c>
      <c r="Z333" s="40"/>
      <c r="AA333" s="64"/>
      <c r="AB333" s="64"/>
      <c r="AC333" s="64"/>
    </row>
    <row r="334" spans="1:68" ht="16.5" hidden="1" customHeight="1" x14ac:dyDescent="0.25">
      <c r="A334" s="716" t="s">
        <v>557</v>
      </c>
      <c r="B334" s="716"/>
      <c r="C334" s="716"/>
      <c r="D334" s="716"/>
      <c r="E334" s="716"/>
      <c r="F334" s="716"/>
      <c r="G334" s="716"/>
      <c r="H334" s="716"/>
      <c r="I334" s="716"/>
      <c r="J334" s="716"/>
      <c r="K334" s="716"/>
      <c r="L334" s="716"/>
      <c r="M334" s="716"/>
      <c r="N334" s="716"/>
      <c r="O334" s="716"/>
      <c r="P334" s="716"/>
      <c r="Q334" s="716"/>
      <c r="R334" s="716"/>
      <c r="S334" s="716"/>
      <c r="T334" s="716"/>
      <c r="U334" s="716"/>
      <c r="V334" s="716"/>
      <c r="W334" s="716"/>
      <c r="X334" s="716"/>
      <c r="Y334" s="716"/>
      <c r="Z334" s="716"/>
      <c r="AA334" s="62"/>
      <c r="AB334" s="62"/>
      <c r="AC334" s="62"/>
    </row>
    <row r="335" spans="1:68" ht="14.25" hidden="1" customHeight="1" x14ac:dyDescent="0.25">
      <c r="A335" s="717" t="s">
        <v>85</v>
      </c>
      <c r="B335" s="717"/>
      <c r="C335" s="717"/>
      <c r="D335" s="717"/>
      <c r="E335" s="717"/>
      <c r="F335" s="717"/>
      <c r="G335" s="717"/>
      <c r="H335" s="717"/>
      <c r="I335" s="717"/>
      <c r="J335" s="717"/>
      <c r="K335" s="717"/>
      <c r="L335" s="717"/>
      <c r="M335" s="717"/>
      <c r="N335" s="717"/>
      <c r="O335" s="717"/>
      <c r="P335" s="717"/>
      <c r="Q335" s="717"/>
      <c r="R335" s="717"/>
      <c r="S335" s="717"/>
      <c r="T335" s="717"/>
      <c r="U335" s="717"/>
      <c r="V335" s="717"/>
      <c r="W335" s="717"/>
      <c r="X335" s="717"/>
      <c r="Y335" s="717"/>
      <c r="Z335" s="717"/>
      <c r="AA335" s="63"/>
      <c r="AB335" s="63"/>
      <c r="AC335" s="63"/>
    </row>
    <row r="336" spans="1:68" ht="27" hidden="1" customHeight="1" x14ac:dyDescent="0.25">
      <c r="A336" s="60" t="s">
        <v>558</v>
      </c>
      <c r="B336" s="60" t="s">
        <v>559</v>
      </c>
      <c r="C336" s="34">
        <v>4301051893</v>
      </c>
      <c r="D336" s="718">
        <v>4680115886186</v>
      </c>
      <c r="E336" s="718"/>
      <c r="F336" s="59">
        <v>0.3</v>
      </c>
      <c r="G336" s="35">
        <v>6</v>
      </c>
      <c r="H336" s="59">
        <v>1.8</v>
      </c>
      <c r="I336" s="59">
        <v>1.98</v>
      </c>
      <c r="J336" s="35">
        <v>182</v>
      </c>
      <c r="K336" s="35" t="s">
        <v>90</v>
      </c>
      <c r="L336" s="35" t="s">
        <v>46</v>
      </c>
      <c r="M336" s="36" t="s">
        <v>89</v>
      </c>
      <c r="N336" s="36"/>
      <c r="O336" s="35">
        <v>45</v>
      </c>
      <c r="P336" s="9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0"/>
      <c r="R336" s="720"/>
      <c r="S336" s="720"/>
      <c r="T336" s="72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560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561</v>
      </c>
      <c r="B337" s="60" t="s">
        <v>562</v>
      </c>
      <c r="C337" s="34">
        <v>4301051795</v>
      </c>
      <c r="D337" s="718">
        <v>4680115881228</v>
      </c>
      <c r="E337" s="718"/>
      <c r="F337" s="59">
        <v>0.4</v>
      </c>
      <c r="G337" s="35">
        <v>6</v>
      </c>
      <c r="H337" s="59">
        <v>2.4</v>
      </c>
      <c r="I337" s="59">
        <v>2.6520000000000001</v>
      </c>
      <c r="J337" s="35">
        <v>182</v>
      </c>
      <c r="K337" s="35" t="s">
        <v>90</v>
      </c>
      <c r="L337" s="35" t="s">
        <v>46</v>
      </c>
      <c r="M337" s="36" t="s">
        <v>96</v>
      </c>
      <c r="N337" s="36"/>
      <c r="O337" s="35">
        <v>40</v>
      </c>
      <c r="P337" s="9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0"/>
      <c r="R337" s="720"/>
      <c r="S337" s="720"/>
      <c r="T337" s="72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563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564</v>
      </c>
      <c r="B338" s="60" t="s">
        <v>565</v>
      </c>
      <c r="C338" s="34">
        <v>4301051388</v>
      </c>
      <c r="D338" s="718">
        <v>4680115881211</v>
      </c>
      <c r="E338" s="718"/>
      <c r="F338" s="59">
        <v>0.4</v>
      </c>
      <c r="G338" s="35">
        <v>6</v>
      </c>
      <c r="H338" s="59">
        <v>2.4</v>
      </c>
      <c r="I338" s="59">
        <v>2.58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90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0"/>
      <c r="R338" s="720"/>
      <c r="S338" s="720"/>
      <c r="T338" s="721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560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idden="1" x14ac:dyDescent="0.25">
      <c r="A339" s="726"/>
      <c r="B339" s="726"/>
      <c r="C339" s="726"/>
      <c r="D339" s="726"/>
      <c r="E339" s="726"/>
      <c r="F339" s="726"/>
      <c r="G339" s="726"/>
      <c r="H339" s="726"/>
      <c r="I339" s="726"/>
      <c r="J339" s="726"/>
      <c r="K339" s="726"/>
      <c r="L339" s="726"/>
      <c r="M339" s="726"/>
      <c r="N339" s="726"/>
      <c r="O339" s="727"/>
      <c r="P339" s="723" t="s">
        <v>40</v>
      </c>
      <c r="Q339" s="724"/>
      <c r="R339" s="724"/>
      <c r="S339" s="724"/>
      <c r="T339" s="724"/>
      <c r="U339" s="724"/>
      <c r="V339" s="725"/>
      <c r="W339" s="40" t="s">
        <v>39</v>
      </c>
      <c r="X339" s="41">
        <f>IFERROR(X336/H336,"0")+IFERROR(X337/H337,"0")+IFERROR(X338/H338,"0")</f>
        <v>0</v>
      </c>
      <c r="Y339" s="41">
        <f>IFERROR(Y336/H336,"0")+IFERROR(Y337/H337,"0")+IFERROR(Y338/H338,"0")</f>
        <v>0</v>
      </c>
      <c r="Z339" s="41">
        <f>IFERROR(IF(Z336="",0,Z336),"0")+IFERROR(IF(Z337="",0,Z337),"0")+IFERROR(IF(Z338="",0,Z338),"0")</f>
        <v>0</v>
      </c>
      <c r="AA339" s="64"/>
      <c r="AB339" s="64"/>
      <c r="AC339" s="64"/>
    </row>
    <row r="340" spans="1:68" hidden="1" x14ac:dyDescent="0.25">
      <c r="A340" s="726"/>
      <c r="B340" s="726"/>
      <c r="C340" s="726"/>
      <c r="D340" s="726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7"/>
      <c r="P340" s="723" t="s">
        <v>40</v>
      </c>
      <c r="Q340" s="724"/>
      <c r="R340" s="724"/>
      <c r="S340" s="724"/>
      <c r="T340" s="724"/>
      <c r="U340" s="724"/>
      <c r="V340" s="725"/>
      <c r="W340" s="40" t="s">
        <v>0</v>
      </c>
      <c r="X340" s="41">
        <f>IFERROR(SUM(X336:X338),"0")</f>
        <v>0</v>
      </c>
      <c r="Y340" s="41">
        <f>IFERROR(SUM(Y336:Y338),"0")</f>
        <v>0</v>
      </c>
      <c r="Z340" s="40"/>
      <c r="AA340" s="64"/>
      <c r="AB340" s="64"/>
      <c r="AC340" s="64"/>
    </row>
    <row r="341" spans="1:68" ht="16.5" hidden="1" customHeight="1" x14ac:dyDescent="0.25">
      <c r="A341" s="716" t="s">
        <v>566</v>
      </c>
      <c r="B341" s="716"/>
      <c r="C341" s="716"/>
      <c r="D341" s="716"/>
      <c r="E341" s="716"/>
      <c r="F341" s="716"/>
      <c r="G341" s="716"/>
      <c r="H341" s="716"/>
      <c r="I341" s="716"/>
      <c r="J341" s="716"/>
      <c r="K341" s="716"/>
      <c r="L341" s="716"/>
      <c r="M341" s="716"/>
      <c r="N341" s="716"/>
      <c r="O341" s="716"/>
      <c r="P341" s="716"/>
      <c r="Q341" s="716"/>
      <c r="R341" s="716"/>
      <c r="S341" s="716"/>
      <c r="T341" s="716"/>
      <c r="U341" s="716"/>
      <c r="V341" s="716"/>
      <c r="W341" s="716"/>
      <c r="X341" s="716"/>
      <c r="Y341" s="716"/>
      <c r="Z341" s="716"/>
      <c r="AA341" s="62"/>
      <c r="AB341" s="62"/>
      <c r="AC341" s="62"/>
    </row>
    <row r="342" spans="1:68" ht="14.25" hidden="1" customHeight="1" x14ac:dyDescent="0.25">
      <c r="A342" s="717" t="s">
        <v>76</v>
      </c>
      <c r="B342" s="717"/>
      <c r="C342" s="717"/>
      <c r="D342" s="717"/>
      <c r="E342" s="717"/>
      <c r="F342" s="717"/>
      <c r="G342" s="717"/>
      <c r="H342" s="717"/>
      <c r="I342" s="717"/>
      <c r="J342" s="717"/>
      <c r="K342" s="717"/>
      <c r="L342" s="717"/>
      <c r="M342" s="717"/>
      <c r="N342" s="717"/>
      <c r="O342" s="717"/>
      <c r="P342" s="717"/>
      <c r="Q342" s="717"/>
      <c r="R342" s="717"/>
      <c r="S342" s="717"/>
      <c r="T342" s="717"/>
      <c r="U342" s="717"/>
      <c r="V342" s="717"/>
      <c r="W342" s="717"/>
      <c r="X342" s="717"/>
      <c r="Y342" s="717"/>
      <c r="Z342" s="717"/>
      <c r="AA342" s="63"/>
      <c r="AB342" s="63"/>
      <c r="AC342" s="63"/>
    </row>
    <row r="343" spans="1:68" ht="27" hidden="1" customHeight="1" x14ac:dyDescent="0.25">
      <c r="A343" s="60" t="s">
        <v>567</v>
      </c>
      <c r="B343" s="60" t="s">
        <v>568</v>
      </c>
      <c r="C343" s="34">
        <v>4301031445</v>
      </c>
      <c r="D343" s="718">
        <v>4680115888319</v>
      </c>
      <c r="E343" s="718"/>
      <c r="F343" s="59">
        <v>0.35</v>
      </c>
      <c r="G343" s="35">
        <v>6</v>
      </c>
      <c r="H343" s="59">
        <v>2.1</v>
      </c>
      <c r="I343" s="59">
        <v>2.23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45</v>
      </c>
      <c r="P343" s="90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0"/>
      <c r="R343" s="720"/>
      <c r="S343" s="720"/>
      <c r="T343" s="72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394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569</v>
      </c>
      <c r="B344" s="60" t="s">
        <v>570</v>
      </c>
      <c r="C344" s="34">
        <v>4301031502</v>
      </c>
      <c r="D344" s="718">
        <v>4680115884700</v>
      </c>
      <c r="E344" s="718"/>
      <c r="F344" s="59">
        <v>0.57999999999999996</v>
      </c>
      <c r="G344" s="35">
        <v>4</v>
      </c>
      <c r="H344" s="59">
        <v>2.3199999999999998</v>
      </c>
      <c r="I344" s="59">
        <v>2.42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90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0"/>
      <c r="R344" s="720"/>
      <c r="S344" s="720"/>
      <c r="T344" s="72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571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572</v>
      </c>
      <c r="B345" s="60" t="s">
        <v>573</v>
      </c>
      <c r="C345" s="34">
        <v>4301031307</v>
      </c>
      <c r="D345" s="718">
        <v>4680115880344</v>
      </c>
      <c r="E345" s="718"/>
      <c r="F345" s="59">
        <v>0.28000000000000003</v>
      </c>
      <c r="G345" s="35">
        <v>6</v>
      </c>
      <c r="H345" s="59">
        <v>1.68</v>
      </c>
      <c r="I345" s="59">
        <v>1.78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40</v>
      </c>
      <c r="P345" s="9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0"/>
      <c r="R345" s="720"/>
      <c r="S345" s="720"/>
      <c r="T345" s="72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574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575</v>
      </c>
      <c r="B346" s="60" t="s">
        <v>576</v>
      </c>
      <c r="C346" s="34">
        <v>4301031501</v>
      </c>
      <c r="D346" s="718">
        <v>4680115886919</v>
      </c>
      <c r="E346" s="718"/>
      <c r="F346" s="59">
        <v>0.4</v>
      </c>
      <c r="G346" s="35">
        <v>6</v>
      </c>
      <c r="H346" s="59">
        <v>2.4</v>
      </c>
      <c r="I346" s="59">
        <v>2.58</v>
      </c>
      <c r="J346" s="35">
        <v>182</v>
      </c>
      <c r="K346" s="35" t="s">
        <v>90</v>
      </c>
      <c r="L346" s="35" t="s">
        <v>46</v>
      </c>
      <c r="M346" s="36" t="s">
        <v>80</v>
      </c>
      <c r="N346" s="36"/>
      <c r="O346" s="35">
        <v>40</v>
      </c>
      <c r="P346" s="90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0"/>
      <c r="R346" s="720"/>
      <c r="S346" s="720"/>
      <c r="T346" s="72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46</v>
      </c>
      <c r="AB346" s="66" t="s">
        <v>46</v>
      </c>
      <c r="AC346" s="441" t="s">
        <v>577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578</v>
      </c>
      <c r="B347" s="60" t="s">
        <v>579</v>
      </c>
      <c r="C347" s="34">
        <v>4301031246</v>
      </c>
      <c r="D347" s="718">
        <v>4680115883970</v>
      </c>
      <c r="E347" s="718"/>
      <c r="F347" s="59">
        <v>0.28000000000000003</v>
      </c>
      <c r="G347" s="35">
        <v>6</v>
      </c>
      <c r="H347" s="59">
        <v>1.68</v>
      </c>
      <c r="I347" s="59">
        <v>2.5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0"/>
      <c r="R347" s="720"/>
      <c r="S347" s="720"/>
      <c r="T347" s="72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580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5">
      <c r="A348" s="726"/>
      <c r="B348" s="726"/>
      <c r="C348" s="726"/>
      <c r="D348" s="726"/>
      <c r="E348" s="726"/>
      <c r="F348" s="726"/>
      <c r="G348" s="726"/>
      <c r="H348" s="726"/>
      <c r="I348" s="726"/>
      <c r="J348" s="726"/>
      <c r="K348" s="726"/>
      <c r="L348" s="726"/>
      <c r="M348" s="726"/>
      <c r="N348" s="726"/>
      <c r="O348" s="727"/>
      <c r="P348" s="723" t="s">
        <v>40</v>
      </c>
      <c r="Q348" s="724"/>
      <c r="R348" s="724"/>
      <c r="S348" s="724"/>
      <c r="T348" s="724"/>
      <c r="U348" s="724"/>
      <c r="V348" s="725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hidden="1" x14ac:dyDescent="0.25">
      <c r="A349" s="726"/>
      <c r="B349" s="726"/>
      <c r="C349" s="726"/>
      <c r="D349" s="726"/>
      <c r="E349" s="726"/>
      <c r="F349" s="726"/>
      <c r="G349" s="726"/>
      <c r="H349" s="726"/>
      <c r="I349" s="726"/>
      <c r="J349" s="726"/>
      <c r="K349" s="726"/>
      <c r="L349" s="726"/>
      <c r="M349" s="726"/>
      <c r="N349" s="726"/>
      <c r="O349" s="727"/>
      <c r="P349" s="723" t="s">
        <v>40</v>
      </c>
      <c r="Q349" s="724"/>
      <c r="R349" s="724"/>
      <c r="S349" s="724"/>
      <c r="T349" s="724"/>
      <c r="U349" s="724"/>
      <c r="V349" s="725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hidden="1" customHeight="1" x14ac:dyDescent="0.25">
      <c r="A350" s="717" t="s">
        <v>85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3"/>
      <c r="AB350" s="63"/>
      <c r="AC350" s="63"/>
    </row>
    <row r="351" spans="1:68" ht="27" hidden="1" customHeight="1" x14ac:dyDescent="0.25">
      <c r="A351" s="60" t="s">
        <v>581</v>
      </c>
      <c r="B351" s="60" t="s">
        <v>582</v>
      </c>
      <c r="C351" s="34">
        <v>4301051782</v>
      </c>
      <c r="D351" s="718">
        <v>4680115884618</v>
      </c>
      <c r="E351" s="718"/>
      <c r="F351" s="59">
        <v>0.6</v>
      </c>
      <c r="G351" s="35">
        <v>6</v>
      </c>
      <c r="H351" s="59">
        <v>3.6</v>
      </c>
      <c r="I351" s="59">
        <v>3.79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90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0"/>
      <c r="R351" s="720"/>
      <c r="S351" s="720"/>
      <c r="T351" s="72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583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584</v>
      </c>
      <c r="B352" s="60" t="s">
        <v>585</v>
      </c>
      <c r="C352" s="34">
        <v>4301052057</v>
      </c>
      <c r="D352" s="718">
        <v>4680115887114</v>
      </c>
      <c r="E352" s="718"/>
      <c r="F352" s="59">
        <v>0.55000000000000004</v>
      </c>
      <c r="G352" s="35">
        <v>6</v>
      </c>
      <c r="H352" s="59">
        <v>3.3</v>
      </c>
      <c r="I352" s="59">
        <v>3.49</v>
      </c>
      <c r="J352" s="35">
        <v>132</v>
      </c>
      <c r="K352" s="35" t="s">
        <v>133</v>
      </c>
      <c r="L352" s="35" t="s">
        <v>46</v>
      </c>
      <c r="M352" s="36" t="s">
        <v>89</v>
      </c>
      <c r="N352" s="36"/>
      <c r="O352" s="35">
        <v>45</v>
      </c>
      <c r="P352" s="9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0"/>
      <c r="R352" s="720"/>
      <c r="S352" s="720"/>
      <c r="T352" s="721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586</v>
      </c>
      <c r="AG352" s="75"/>
      <c r="AJ352" s="79" t="s">
        <v>46</v>
      </c>
      <c r="AK352" s="79">
        <v>0</v>
      </c>
      <c r="BB352" s="448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5">
      <c r="A353" s="726"/>
      <c r="B353" s="726"/>
      <c r="C353" s="726"/>
      <c r="D353" s="726"/>
      <c r="E353" s="726"/>
      <c r="F353" s="726"/>
      <c r="G353" s="726"/>
      <c r="H353" s="726"/>
      <c r="I353" s="726"/>
      <c r="J353" s="726"/>
      <c r="K353" s="726"/>
      <c r="L353" s="726"/>
      <c r="M353" s="726"/>
      <c r="N353" s="726"/>
      <c r="O353" s="727"/>
      <c r="P353" s="723" t="s">
        <v>40</v>
      </c>
      <c r="Q353" s="724"/>
      <c r="R353" s="724"/>
      <c r="S353" s="724"/>
      <c r="T353" s="724"/>
      <c r="U353" s="724"/>
      <c r="V353" s="725"/>
      <c r="W353" s="40" t="s">
        <v>39</v>
      </c>
      <c r="X353" s="41">
        <f>IFERROR(X351/H351,"0")+IFERROR(X352/H352,"0")</f>
        <v>0</v>
      </c>
      <c r="Y353" s="41">
        <f>IFERROR(Y351/H351,"0")+IFERROR(Y352/H352,"0")</f>
        <v>0</v>
      </c>
      <c r="Z353" s="41">
        <f>IFERROR(IF(Z351="",0,Z351),"0")+IFERROR(IF(Z352="",0,Z352),"0")</f>
        <v>0</v>
      </c>
      <c r="AA353" s="64"/>
      <c r="AB353" s="64"/>
      <c r="AC353" s="64"/>
    </row>
    <row r="354" spans="1:68" hidden="1" x14ac:dyDescent="0.25">
      <c r="A354" s="726"/>
      <c r="B354" s="726"/>
      <c r="C354" s="726"/>
      <c r="D354" s="726"/>
      <c r="E354" s="726"/>
      <c r="F354" s="726"/>
      <c r="G354" s="726"/>
      <c r="H354" s="726"/>
      <c r="I354" s="726"/>
      <c r="J354" s="726"/>
      <c r="K354" s="726"/>
      <c r="L354" s="726"/>
      <c r="M354" s="726"/>
      <c r="N354" s="726"/>
      <c r="O354" s="727"/>
      <c r="P354" s="723" t="s">
        <v>40</v>
      </c>
      <c r="Q354" s="724"/>
      <c r="R354" s="724"/>
      <c r="S354" s="724"/>
      <c r="T354" s="724"/>
      <c r="U354" s="724"/>
      <c r="V354" s="725"/>
      <c r="W354" s="40" t="s">
        <v>0</v>
      </c>
      <c r="X354" s="41">
        <f>IFERROR(SUM(X351:X352),"0")</f>
        <v>0</v>
      </c>
      <c r="Y354" s="41">
        <f>IFERROR(SUM(Y351:Y352),"0")</f>
        <v>0</v>
      </c>
      <c r="Z354" s="40"/>
      <c r="AA354" s="64"/>
      <c r="AB354" s="64"/>
      <c r="AC354" s="64"/>
    </row>
    <row r="355" spans="1:68" ht="16.5" hidden="1" customHeight="1" x14ac:dyDescent="0.25">
      <c r="A355" s="716" t="s">
        <v>587</v>
      </c>
      <c r="B355" s="716"/>
      <c r="C355" s="716"/>
      <c r="D355" s="716"/>
      <c r="E355" s="716"/>
      <c r="F355" s="716"/>
      <c r="G355" s="716"/>
      <c r="H355" s="716"/>
      <c r="I355" s="716"/>
      <c r="J355" s="716"/>
      <c r="K355" s="716"/>
      <c r="L355" s="716"/>
      <c r="M355" s="716"/>
      <c r="N355" s="716"/>
      <c r="O355" s="716"/>
      <c r="P355" s="716"/>
      <c r="Q355" s="716"/>
      <c r="R355" s="716"/>
      <c r="S355" s="716"/>
      <c r="T355" s="716"/>
      <c r="U355" s="716"/>
      <c r="V355" s="716"/>
      <c r="W355" s="716"/>
      <c r="X355" s="716"/>
      <c r="Y355" s="716"/>
      <c r="Z355" s="716"/>
      <c r="AA355" s="62"/>
      <c r="AB355" s="62"/>
      <c r="AC355" s="62"/>
    </row>
    <row r="356" spans="1:68" ht="14.25" hidden="1" customHeight="1" x14ac:dyDescent="0.25">
      <c r="A356" s="717" t="s">
        <v>121</v>
      </c>
      <c r="B356" s="717"/>
      <c r="C356" s="717"/>
      <c r="D356" s="717"/>
      <c r="E356" s="717"/>
      <c r="F356" s="717"/>
      <c r="G356" s="717"/>
      <c r="H356" s="717"/>
      <c r="I356" s="717"/>
      <c r="J356" s="717"/>
      <c r="K356" s="717"/>
      <c r="L356" s="717"/>
      <c r="M356" s="717"/>
      <c r="N356" s="717"/>
      <c r="O356" s="717"/>
      <c r="P356" s="717"/>
      <c r="Q356" s="717"/>
      <c r="R356" s="717"/>
      <c r="S356" s="717"/>
      <c r="T356" s="717"/>
      <c r="U356" s="717"/>
      <c r="V356" s="717"/>
      <c r="W356" s="717"/>
      <c r="X356" s="717"/>
      <c r="Y356" s="717"/>
      <c r="Z356" s="717"/>
      <c r="AA356" s="63"/>
      <c r="AB356" s="63"/>
      <c r="AC356" s="63"/>
    </row>
    <row r="357" spans="1:68" ht="27" hidden="1" customHeight="1" x14ac:dyDescent="0.25">
      <c r="A357" s="60" t="s">
        <v>588</v>
      </c>
      <c r="B357" s="60" t="s">
        <v>589</v>
      </c>
      <c r="C357" s="34">
        <v>4301012324</v>
      </c>
      <c r="D357" s="718">
        <v>4680115887947</v>
      </c>
      <c r="E357" s="71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91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0"/>
      <c r="R357" s="720"/>
      <c r="S357" s="720"/>
      <c r="T357" s="72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353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590</v>
      </c>
      <c r="B358" s="60" t="s">
        <v>591</v>
      </c>
      <c r="C358" s="34">
        <v>4301012325</v>
      </c>
      <c r="D358" s="718">
        <v>4680115887978</v>
      </c>
      <c r="E358" s="71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0"/>
      <c r="R358" s="720"/>
      <c r="S358" s="720"/>
      <c r="T358" s="72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592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593</v>
      </c>
      <c r="B359" s="60" t="s">
        <v>594</v>
      </c>
      <c r="C359" s="34">
        <v>4301012327</v>
      </c>
      <c r="D359" s="718">
        <v>4680115887992</v>
      </c>
      <c r="E359" s="718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91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0"/>
      <c r="R359" s="720"/>
      <c r="S359" s="720"/>
      <c r="T359" s="721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595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5">
      <c r="A360" s="726"/>
      <c r="B360" s="726"/>
      <c r="C360" s="726"/>
      <c r="D360" s="726"/>
      <c r="E360" s="726"/>
      <c r="F360" s="726"/>
      <c r="G360" s="726"/>
      <c r="H360" s="726"/>
      <c r="I360" s="726"/>
      <c r="J360" s="726"/>
      <c r="K360" s="726"/>
      <c r="L360" s="726"/>
      <c r="M360" s="726"/>
      <c r="N360" s="726"/>
      <c r="O360" s="727"/>
      <c r="P360" s="723" t="s">
        <v>40</v>
      </c>
      <c r="Q360" s="724"/>
      <c r="R360" s="724"/>
      <c r="S360" s="724"/>
      <c r="T360" s="724"/>
      <c r="U360" s="724"/>
      <c r="V360" s="725"/>
      <c r="W360" s="40" t="s">
        <v>39</v>
      </c>
      <c r="X360" s="41">
        <f>IFERROR(X357/H357,"0")+IFERROR(X358/H358,"0")+IFERROR(X359/H359,"0")</f>
        <v>0</v>
      </c>
      <c r="Y360" s="41">
        <f>IFERROR(Y357/H357,"0")+IFERROR(Y358/H358,"0")+IFERROR(Y359/H359,"0")</f>
        <v>0</v>
      </c>
      <c r="Z360" s="41">
        <f>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5">
      <c r="A361" s="726"/>
      <c r="B361" s="726"/>
      <c r="C361" s="726"/>
      <c r="D361" s="726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7"/>
      <c r="P361" s="723" t="s">
        <v>40</v>
      </c>
      <c r="Q361" s="724"/>
      <c r="R361" s="724"/>
      <c r="S361" s="724"/>
      <c r="T361" s="724"/>
      <c r="U361" s="724"/>
      <c r="V361" s="725"/>
      <c r="W361" s="40" t="s">
        <v>0</v>
      </c>
      <c r="X361" s="41">
        <f>IFERROR(SUM(X357:X359),"0")</f>
        <v>0</v>
      </c>
      <c r="Y361" s="41">
        <f>IFERROR(SUM(Y357:Y359),"0")</f>
        <v>0</v>
      </c>
      <c r="Z361" s="40"/>
      <c r="AA361" s="64"/>
      <c r="AB361" s="64"/>
      <c r="AC361" s="64"/>
    </row>
    <row r="362" spans="1:68" ht="16.5" hidden="1" customHeight="1" x14ac:dyDescent="0.25">
      <c r="A362" s="716" t="s">
        <v>596</v>
      </c>
      <c r="B362" s="716"/>
      <c r="C362" s="716"/>
      <c r="D362" s="716"/>
      <c r="E362" s="716"/>
      <c r="F362" s="716"/>
      <c r="G362" s="716"/>
      <c r="H362" s="716"/>
      <c r="I362" s="716"/>
      <c r="J362" s="716"/>
      <c r="K362" s="716"/>
      <c r="L362" s="716"/>
      <c r="M362" s="716"/>
      <c r="N362" s="716"/>
      <c r="O362" s="716"/>
      <c r="P362" s="716"/>
      <c r="Q362" s="716"/>
      <c r="R362" s="716"/>
      <c r="S362" s="716"/>
      <c r="T362" s="716"/>
      <c r="U362" s="716"/>
      <c r="V362" s="716"/>
      <c r="W362" s="716"/>
      <c r="X362" s="716"/>
      <c r="Y362" s="716"/>
      <c r="Z362" s="716"/>
      <c r="AA362" s="62"/>
      <c r="AB362" s="62"/>
      <c r="AC362" s="62"/>
    </row>
    <row r="363" spans="1:68" ht="14.25" hidden="1" customHeight="1" x14ac:dyDescent="0.25">
      <c r="A363" s="717" t="s">
        <v>121</v>
      </c>
      <c r="B363" s="717"/>
      <c r="C363" s="717"/>
      <c r="D363" s="717"/>
      <c r="E363" s="717"/>
      <c r="F363" s="717"/>
      <c r="G363" s="717"/>
      <c r="H363" s="717"/>
      <c r="I363" s="717"/>
      <c r="J363" s="717"/>
      <c r="K363" s="717"/>
      <c r="L363" s="717"/>
      <c r="M363" s="717"/>
      <c r="N363" s="717"/>
      <c r="O363" s="717"/>
      <c r="P363" s="717"/>
      <c r="Q363" s="717"/>
      <c r="R363" s="717"/>
      <c r="S363" s="717"/>
      <c r="T363" s="717"/>
      <c r="U363" s="717"/>
      <c r="V363" s="717"/>
      <c r="W363" s="717"/>
      <c r="X363" s="717"/>
      <c r="Y363" s="717"/>
      <c r="Z363" s="717"/>
      <c r="AA363" s="63"/>
      <c r="AB363" s="63"/>
      <c r="AC363" s="63"/>
    </row>
    <row r="364" spans="1:68" ht="27" hidden="1" customHeight="1" x14ac:dyDescent="0.25">
      <c r="A364" s="60" t="s">
        <v>597</v>
      </c>
      <c r="B364" s="60" t="s">
        <v>598</v>
      </c>
      <c r="C364" s="34">
        <v>4301012400</v>
      </c>
      <c r="D364" s="718">
        <v>4680115889880</v>
      </c>
      <c r="E364" s="71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91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0"/>
      <c r="R364" s="720"/>
      <c r="S364" s="720"/>
      <c r="T364" s="72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ref="Y364:Y370" si="58"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541</v>
      </c>
      <c r="AC364" s="455" t="s">
        <v>521</v>
      </c>
      <c r="AG364" s="75"/>
      <c r="AJ364" s="79" t="s">
        <v>46</v>
      </c>
      <c r="AK364" s="79">
        <v>0</v>
      </c>
      <c r="BB364" s="456" t="s">
        <v>66</v>
      </c>
      <c r="BM364" s="75">
        <f t="shared" ref="BM364:BM370" si="59">IFERROR(X364*I364/H364,"0")</f>
        <v>0</v>
      </c>
      <c r="BN364" s="75">
        <f t="shared" ref="BN364:BN370" si="60">IFERROR(Y364*I364/H364,"0")</f>
        <v>0</v>
      </c>
      <c r="BO364" s="75">
        <f t="shared" ref="BO364:BO370" si="61">IFERROR(1/J364*(X364/H364),"0")</f>
        <v>0</v>
      </c>
      <c r="BP364" s="75">
        <f t="shared" ref="BP364:BP370" si="62">IFERROR(1/J364*(Y364/H364),"0")</f>
        <v>0</v>
      </c>
    </row>
    <row r="365" spans="1:68" ht="27" hidden="1" customHeight="1" x14ac:dyDescent="0.25">
      <c r="A365" s="60" t="s">
        <v>599</v>
      </c>
      <c r="B365" s="60" t="s">
        <v>600</v>
      </c>
      <c r="C365" s="34">
        <v>4301012360</v>
      </c>
      <c r="D365" s="718">
        <v>4680115889293</v>
      </c>
      <c r="E365" s="71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91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0"/>
      <c r="R365" s="720"/>
      <c r="S365" s="720"/>
      <c r="T365" s="72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601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602</v>
      </c>
      <c r="B366" s="60" t="s">
        <v>603</v>
      </c>
      <c r="C366" s="34">
        <v>4301012235</v>
      </c>
      <c r="D366" s="718">
        <v>4680115887190</v>
      </c>
      <c r="E366" s="71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91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0"/>
      <c r="R366" s="720"/>
      <c r="S366" s="720"/>
      <c r="T366" s="72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604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37.5" hidden="1" customHeight="1" x14ac:dyDescent="0.25">
      <c r="A367" s="60" t="s">
        <v>605</v>
      </c>
      <c r="B367" s="60" t="s">
        <v>606</v>
      </c>
      <c r="C367" s="34">
        <v>4301012233</v>
      </c>
      <c r="D367" s="718">
        <v>4680115887138</v>
      </c>
      <c r="E367" s="718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9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0"/>
      <c r="R367" s="720"/>
      <c r="S367" s="720"/>
      <c r="T367" s="72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607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608</v>
      </c>
      <c r="B368" s="60" t="s">
        <v>609</v>
      </c>
      <c r="C368" s="34">
        <v>4301012016</v>
      </c>
      <c r="D368" s="718">
        <v>4680115885554</v>
      </c>
      <c r="E368" s="718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89</v>
      </c>
      <c r="N368" s="36"/>
      <c r="O368" s="35">
        <v>55</v>
      </c>
      <c r="P368" s="9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0"/>
      <c r="R368" s="720"/>
      <c r="S368" s="720"/>
      <c r="T368" s="72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610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611</v>
      </c>
      <c r="B369" s="60" t="s">
        <v>612</v>
      </c>
      <c r="C369" s="34">
        <v>4301012236</v>
      </c>
      <c r="D369" s="718">
        <v>4680115887220</v>
      </c>
      <c r="E369" s="718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133</v>
      </c>
      <c r="L369" s="35" t="s">
        <v>46</v>
      </c>
      <c r="M369" s="36" t="s">
        <v>125</v>
      </c>
      <c r="N369" s="36"/>
      <c r="O369" s="35">
        <v>55</v>
      </c>
      <c r="P369" s="91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0"/>
      <c r="R369" s="720"/>
      <c r="S369" s="720"/>
      <c r="T369" s="721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604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613</v>
      </c>
      <c r="B370" s="60" t="s">
        <v>614</v>
      </c>
      <c r="C370" s="34">
        <v>4301011859</v>
      </c>
      <c r="D370" s="718">
        <v>4680115885608</v>
      </c>
      <c r="E370" s="718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91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0"/>
      <c r="R370" s="720"/>
      <c r="S370" s="720"/>
      <c r="T370" s="721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615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idden="1" x14ac:dyDescent="0.25">
      <c r="A371" s="726"/>
      <c r="B371" s="726"/>
      <c r="C371" s="726"/>
      <c r="D371" s="726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7"/>
      <c r="P371" s="723" t="s">
        <v>40</v>
      </c>
      <c r="Q371" s="724"/>
      <c r="R371" s="724"/>
      <c r="S371" s="724"/>
      <c r="T371" s="724"/>
      <c r="U371" s="724"/>
      <c r="V371" s="725"/>
      <c r="W371" s="40" t="s">
        <v>39</v>
      </c>
      <c r="X371" s="41">
        <f>IFERROR(X364/H364,"0")+IFERROR(X365/H365,"0")+IFERROR(X366/H366,"0")+IFERROR(X367/H367,"0")+IFERROR(X368/H368,"0")+IFERROR(X369/H369,"0")+IFERROR(X370/H370,"0")</f>
        <v>0</v>
      </c>
      <c r="Y371" s="41">
        <f>IFERROR(Y364/H364,"0")+IFERROR(Y365/H365,"0")+IFERROR(Y366/H366,"0")+IFERROR(Y367/H367,"0")+IFERROR(Y368/H368,"0")+IFERROR(Y369/H369,"0")+IFERROR(Y370/H370,"0")</f>
        <v>0</v>
      </c>
      <c r="Z371" s="41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5">
      <c r="A372" s="726"/>
      <c r="B372" s="726"/>
      <c r="C372" s="726"/>
      <c r="D372" s="726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7"/>
      <c r="P372" s="723" t="s">
        <v>40</v>
      </c>
      <c r="Q372" s="724"/>
      <c r="R372" s="724"/>
      <c r="S372" s="724"/>
      <c r="T372" s="724"/>
      <c r="U372" s="724"/>
      <c r="V372" s="725"/>
      <c r="W372" s="40" t="s">
        <v>0</v>
      </c>
      <c r="X372" s="41">
        <f>IFERROR(SUM(X364:X370),"0")</f>
        <v>0</v>
      </c>
      <c r="Y372" s="41">
        <f>IFERROR(SUM(Y364:Y370),"0")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717" t="s">
        <v>76</v>
      </c>
      <c r="B373" s="717"/>
      <c r="C373" s="717"/>
      <c r="D373" s="717"/>
      <c r="E373" s="717"/>
      <c r="F373" s="717"/>
      <c r="G373" s="717"/>
      <c r="H373" s="717"/>
      <c r="I373" s="717"/>
      <c r="J373" s="717"/>
      <c r="K373" s="717"/>
      <c r="L373" s="717"/>
      <c r="M373" s="717"/>
      <c r="N373" s="717"/>
      <c r="O373" s="717"/>
      <c r="P373" s="717"/>
      <c r="Q373" s="717"/>
      <c r="R373" s="717"/>
      <c r="S373" s="717"/>
      <c r="T373" s="717"/>
      <c r="U373" s="717"/>
      <c r="V373" s="717"/>
      <c r="W373" s="717"/>
      <c r="X373" s="717"/>
      <c r="Y373" s="717"/>
      <c r="Z373" s="717"/>
      <c r="AA373" s="63"/>
      <c r="AB373" s="63"/>
      <c r="AC373" s="63"/>
    </row>
    <row r="374" spans="1:68" ht="27" hidden="1" customHeight="1" x14ac:dyDescent="0.25">
      <c r="A374" s="60" t="s">
        <v>616</v>
      </c>
      <c r="B374" s="60" t="s">
        <v>617</v>
      </c>
      <c r="C374" s="34">
        <v>4301030878</v>
      </c>
      <c r="D374" s="718">
        <v>4607091387193</v>
      </c>
      <c r="E374" s="718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35</v>
      </c>
      <c r="P374" s="9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0"/>
      <c r="R374" s="720"/>
      <c r="S374" s="720"/>
      <c r="T374" s="72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63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618</v>
      </c>
      <c r="AG374" s="75"/>
      <c r="AJ374" s="79" t="s">
        <v>46</v>
      </c>
      <c r="AK374" s="79">
        <v>0</v>
      </c>
      <c r="BB374" s="470" t="s">
        <v>66</v>
      </c>
      <c r="BM374" s="75">
        <f t="shared" ref="BM374:BM380" si="64">IFERROR(X374*I374/H374,"0")</f>
        <v>0</v>
      </c>
      <c r="BN374" s="75">
        <f t="shared" ref="BN374:BN380" si="65">IFERROR(Y374*I374/H374,"0")</f>
        <v>0</v>
      </c>
      <c r="BO374" s="75">
        <f t="shared" ref="BO374:BO380" si="66">IFERROR(1/J374*(X374/H374),"0")</f>
        <v>0</v>
      </c>
      <c r="BP374" s="75">
        <f t="shared" ref="BP374:BP380" si="67">IFERROR(1/J374*(Y374/H374),"0")</f>
        <v>0</v>
      </c>
    </row>
    <row r="375" spans="1:68" ht="27" hidden="1" customHeight="1" x14ac:dyDescent="0.25">
      <c r="A375" s="60" t="s">
        <v>619</v>
      </c>
      <c r="B375" s="60" t="s">
        <v>620</v>
      </c>
      <c r="C375" s="34">
        <v>4301031153</v>
      </c>
      <c r="D375" s="718">
        <v>4607091387230</v>
      </c>
      <c r="E375" s="718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40</v>
      </c>
      <c r="P375" s="9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0"/>
      <c r="R375" s="720"/>
      <c r="S375" s="720"/>
      <c r="T375" s="72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621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622</v>
      </c>
      <c r="B376" s="60" t="s">
        <v>623</v>
      </c>
      <c r="C376" s="34">
        <v>4301031154</v>
      </c>
      <c r="D376" s="718">
        <v>4607091387292</v>
      </c>
      <c r="E376" s="718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45</v>
      </c>
      <c r="P376" s="92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0"/>
      <c r="R376" s="720"/>
      <c r="S376" s="720"/>
      <c r="T376" s="72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624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625</v>
      </c>
      <c r="B377" s="60" t="s">
        <v>626</v>
      </c>
      <c r="C377" s="34">
        <v>4301031152</v>
      </c>
      <c r="D377" s="718">
        <v>4607091387285</v>
      </c>
      <c r="E377" s="718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81</v>
      </c>
      <c r="L377" s="35" t="s">
        <v>46</v>
      </c>
      <c r="M377" s="36" t="s">
        <v>80</v>
      </c>
      <c r="N377" s="36"/>
      <c r="O377" s="35">
        <v>40</v>
      </c>
      <c r="P377" s="9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0"/>
      <c r="R377" s="720"/>
      <c r="S377" s="720"/>
      <c r="T377" s="72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4301031305</v>
      </c>
      <c r="D378" s="718">
        <v>4607091389845</v>
      </c>
      <c r="E378" s="718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92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0"/>
      <c r="R378" s="720"/>
      <c r="S378" s="720"/>
      <c r="T378" s="72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629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630</v>
      </c>
      <c r="B379" s="60" t="s">
        <v>631</v>
      </c>
      <c r="C379" s="34">
        <v>4301031460</v>
      </c>
      <c r="D379" s="718">
        <v>4680115887442</v>
      </c>
      <c r="E379" s="718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133</v>
      </c>
      <c r="L379" s="35" t="s">
        <v>46</v>
      </c>
      <c r="M379" s="36" t="s">
        <v>80</v>
      </c>
      <c r="N379" s="36"/>
      <c r="O379" s="35">
        <v>45</v>
      </c>
      <c r="P379" s="92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0"/>
      <c r="R379" s="720"/>
      <c r="S379" s="720"/>
      <c r="T379" s="72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624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632</v>
      </c>
      <c r="B380" s="60" t="s">
        <v>633</v>
      </c>
      <c r="C380" s="34">
        <v>4301031066</v>
      </c>
      <c r="D380" s="718">
        <v>4607091383836</v>
      </c>
      <c r="E380" s="718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90</v>
      </c>
      <c r="L380" s="35" t="s">
        <v>46</v>
      </c>
      <c r="M380" s="36" t="s">
        <v>80</v>
      </c>
      <c r="N380" s="36"/>
      <c r="O380" s="35">
        <v>40</v>
      </c>
      <c r="P380" s="9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0"/>
      <c r="R380" s="720"/>
      <c r="S380" s="720"/>
      <c r="T380" s="72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634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idden="1" x14ac:dyDescent="0.25">
      <c r="A381" s="726"/>
      <c r="B381" s="726"/>
      <c r="C381" s="726"/>
      <c r="D381" s="726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7"/>
      <c r="P381" s="723" t="s">
        <v>40</v>
      </c>
      <c r="Q381" s="724"/>
      <c r="R381" s="724"/>
      <c r="S381" s="724"/>
      <c r="T381" s="724"/>
      <c r="U381" s="724"/>
      <c r="V381" s="725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5">
      <c r="A382" s="726"/>
      <c r="B382" s="726"/>
      <c r="C382" s="726"/>
      <c r="D382" s="726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7"/>
      <c r="P382" s="723" t="s">
        <v>40</v>
      </c>
      <c r="Q382" s="724"/>
      <c r="R382" s="724"/>
      <c r="S382" s="724"/>
      <c r="T382" s="724"/>
      <c r="U382" s="724"/>
      <c r="V382" s="725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717" t="s">
        <v>85</v>
      </c>
      <c r="B383" s="717"/>
      <c r="C383" s="717"/>
      <c r="D383" s="717"/>
      <c r="E383" s="717"/>
      <c r="F383" s="717"/>
      <c r="G383" s="717"/>
      <c r="H383" s="717"/>
      <c r="I383" s="717"/>
      <c r="J383" s="717"/>
      <c r="K383" s="717"/>
      <c r="L383" s="717"/>
      <c r="M383" s="717"/>
      <c r="N383" s="717"/>
      <c r="O383" s="717"/>
      <c r="P383" s="717"/>
      <c r="Q383" s="717"/>
      <c r="R383" s="717"/>
      <c r="S383" s="717"/>
      <c r="T383" s="717"/>
      <c r="U383" s="717"/>
      <c r="V383" s="717"/>
      <c r="W383" s="717"/>
      <c r="X383" s="717"/>
      <c r="Y383" s="717"/>
      <c r="Z383" s="717"/>
      <c r="AA383" s="63"/>
      <c r="AB383" s="63"/>
      <c r="AC383" s="63"/>
    </row>
    <row r="384" spans="1:68" ht="27" hidden="1" customHeight="1" x14ac:dyDescent="0.25">
      <c r="A384" s="60" t="s">
        <v>635</v>
      </c>
      <c r="B384" s="60" t="s">
        <v>636</v>
      </c>
      <c r="C384" s="34">
        <v>4301051100</v>
      </c>
      <c r="D384" s="718">
        <v>4607091387766</v>
      </c>
      <c r="E384" s="718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9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0"/>
      <c r="R384" s="720"/>
      <c r="S384" s="720"/>
      <c r="T384" s="72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637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4301051818</v>
      </c>
      <c r="D385" s="718">
        <v>4607091387957</v>
      </c>
      <c r="E385" s="718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9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0"/>
      <c r="R385" s="720"/>
      <c r="S385" s="720"/>
      <c r="T385" s="72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640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641</v>
      </c>
      <c r="B386" s="60" t="s">
        <v>642</v>
      </c>
      <c r="C386" s="34">
        <v>4301051819</v>
      </c>
      <c r="D386" s="718">
        <v>4607091387964</v>
      </c>
      <c r="E386" s="718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92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0"/>
      <c r="R386" s="720"/>
      <c r="S386" s="720"/>
      <c r="T386" s="72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643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644</v>
      </c>
      <c r="B387" s="60" t="s">
        <v>645</v>
      </c>
      <c r="C387" s="34">
        <v>4301051734</v>
      </c>
      <c r="D387" s="718">
        <v>4680115884588</v>
      </c>
      <c r="E387" s="718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90</v>
      </c>
      <c r="L387" s="35" t="s">
        <v>46</v>
      </c>
      <c r="M387" s="36" t="s">
        <v>89</v>
      </c>
      <c r="N387" s="36"/>
      <c r="O387" s="35">
        <v>40</v>
      </c>
      <c r="P387" s="9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0"/>
      <c r="R387" s="720"/>
      <c r="S387" s="720"/>
      <c r="T387" s="72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637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5">
      <c r="A388" s="726"/>
      <c r="B388" s="726"/>
      <c r="C388" s="726"/>
      <c r="D388" s="726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7"/>
      <c r="P388" s="723" t="s">
        <v>40</v>
      </c>
      <c r="Q388" s="724"/>
      <c r="R388" s="724"/>
      <c r="S388" s="724"/>
      <c r="T388" s="724"/>
      <c r="U388" s="724"/>
      <c r="V388" s="725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5">
      <c r="A389" s="726"/>
      <c r="B389" s="726"/>
      <c r="C389" s="726"/>
      <c r="D389" s="726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7"/>
      <c r="P389" s="723" t="s">
        <v>40</v>
      </c>
      <c r="Q389" s="724"/>
      <c r="R389" s="724"/>
      <c r="S389" s="724"/>
      <c r="T389" s="724"/>
      <c r="U389" s="724"/>
      <c r="V389" s="725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717" t="s">
        <v>177</v>
      </c>
      <c r="B390" s="717"/>
      <c r="C390" s="717"/>
      <c r="D390" s="717"/>
      <c r="E390" s="717"/>
      <c r="F390" s="717"/>
      <c r="G390" s="717"/>
      <c r="H390" s="717"/>
      <c r="I390" s="717"/>
      <c r="J390" s="717"/>
      <c r="K390" s="717"/>
      <c r="L390" s="717"/>
      <c r="M390" s="717"/>
      <c r="N390" s="717"/>
      <c r="O390" s="717"/>
      <c r="P390" s="717"/>
      <c r="Q390" s="717"/>
      <c r="R390" s="717"/>
      <c r="S390" s="717"/>
      <c r="T390" s="717"/>
      <c r="U390" s="717"/>
      <c r="V390" s="717"/>
      <c r="W390" s="717"/>
      <c r="X390" s="717"/>
      <c r="Y390" s="717"/>
      <c r="Z390" s="717"/>
      <c r="AA390" s="63"/>
      <c r="AB390" s="63"/>
      <c r="AC390" s="63"/>
    </row>
    <row r="391" spans="1:68" ht="27" hidden="1" customHeight="1" x14ac:dyDescent="0.25">
      <c r="A391" s="60" t="s">
        <v>646</v>
      </c>
      <c r="B391" s="60" t="s">
        <v>647</v>
      </c>
      <c r="C391" s="34">
        <v>4301060387</v>
      </c>
      <c r="D391" s="718">
        <v>4607091380880</v>
      </c>
      <c r="E391" s="71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89</v>
      </c>
      <c r="N391" s="36"/>
      <c r="O391" s="35">
        <v>30</v>
      </c>
      <c r="P391" s="9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0"/>
      <c r="R391" s="720"/>
      <c r="S391" s="720"/>
      <c r="T391" s="72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648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649</v>
      </c>
      <c r="B392" s="60" t="s">
        <v>650</v>
      </c>
      <c r="C392" s="34">
        <v>4301060406</v>
      </c>
      <c r="D392" s="718">
        <v>4607091384482</v>
      </c>
      <c r="E392" s="718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93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0"/>
      <c r="R392" s="720"/>
      <c r="S392" s="720"/>
      <c r="T392" s="72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651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652</v>
      </c>
      <c r="B393" s="60" t="s">
        <v>653</v>
      </c>
      <c r="C393" s="34">
        <v>4301060484</v>
      </c>
      <c r="D393" s="718">
        <v>4607091380897</v>
      </c>
      <c r="E393" s="718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126</v>
      </c>
      <c r="L393" s="35" t="s">
        <v>46</v>
      </c>
      <c r="M393" s="36" t="s">
        <v>96</v>
      </c>
      <c r="N393" s="36"/>
      <c r="O393" s="35">
        <v>30</v>
      </c>
      <c r="P393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0"/>
      <c r="R393" s="720"/>
      <c r="S393" s="720"/>
      <c r="T393" s="72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654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5">
      <c r="A394" s="726"/>
      <c r="B394" s="726"/>
      <c r="C394" s="726"/>
      <c r="D394" s="726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7"/>
      <c r="P394" s="723" t="s">
        <v>40</v>
      </c>
      <c r="Q394" s="724"/>
      <c r="R394" s="724"/>
      <c r="S394" s="724"/>
      <c r="T394" s="724"/>
      <c r="U394" s="724"/>
      <c r="V394" s="725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5">
      <c r="A395" s="726"/>
      <c r="B395" s="726"/>
      <c r="C395" s="726"/>
      <c r="D395" s="726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7"/>
      <c r="P395" s="723" t="s">
        <v>40</v>
      </c>
      <c r="Q395" s="724"/>
      <c r="R395" s="724"/>
      <c r="S395" s="724"/>
      <c r="T395" s="724"/>
      <c r="U395" s="724"/>
      <c r="V395" s="725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717" t="s">
        <v>276</v>
      </c>
      <c r="B396" s="717"/>
      <c r="C396" s="717"/>
      <c r="D396" s="717"/>
      <c r="E396" s="717"/>
      <c r="F396" s="717"/>
      <c r="G396" s="717"/>
      <c r="H396" s="717"/>
      <c r="I396" s="717"/>
      <c r="J396" s="717"/>
      <c r="K396" s="717"/>
      <c r="L396" s="717"/>
      <c r="M396" s="717"/>
      <c r="N396" s="717"/>
      <c r="O396" s="717"/>
      <c r="P396" s="717"/>
      <c r="Q396" s="717"/>
      <c r="R396" s="717"/>
      <c r="S396" s="717"/>
      <c r="T396" s="717"/>
      <c r="U396" s="717"/>
      <c r="V396" s="717"/>
      <c r="W396" s="717"/>
      <c r="X396" s="717"/>
      <c r="Y396" s="717"/>
      <c r="Z396" s="717"/>
      <c r="AA396" s="63"/>
      <c r="AB396" s="63"/>
      <c r="AC396" s="63"/>
    </row>
    <row r="397" spans="1:68" ht="27" hidden="1" customHeight="1" x14ac:dyDescent="0.25">
      <c r="A397" s="60" t="s">
        <v>655</v>
      </c>
      <c r="B397" s="60" t="s">
        <v>656</v>
      </c>
      <c r="C397" s="34">
        <v>4301030235</v>
      </c>
      <c r="D397" s="718">
        <v>4607091388381</v>
      </c>
      <c r="E397" s="718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133</v>
      </c>
      <c r="L397" s="35" t="s">
        <v>46</v>
      </c>
      <c r="M397" s="36" t="s">
        <v>252</v>
      </c>
      <c r="N397" s="36"/>
      <c r="O397" s="35">
        <v>180</v>
      </c>
      <c r="P397" s="9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0"/>
      <c r="R397" s="720"/>
      <c r="S397" s="720"/>
      <c r="T397" s="72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657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658</v>
      </c>
      <c r="B398" s="60" t="s">
        <v>659</v>
      </c>
      <c r="C398" s="34">
        <v>4301030232</v>
      </c>
      <c r="D398" s="718">
        <v>4607091388374</v>
      </c>
      <c r="E398" s="718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133</v>
      </c>
      <c r="L398" s="35" t="s">
        <v>46</v>
      </c>
      <c r="M398" s="36" t="s">
        <v>252</v>
      </c>
      <c r="N398" s="36"/>
      <c r="O398" s="35">
        <v>180</v>
      </c>
      <c r="P398" s="9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0"/>
      <c r="R398" s="720"/>
      <c r="S398" s="720"/>
      <c r="T398" s="72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657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660</v>
      </c>
      <c r="B399" s="60" t="s">
        <v>661</v>
      </c>
      <c r="C399" s="34">
        <v>4301032015</v>
      </c>
      <c r="D399" s="718">
        <v>4607091383102</v>
      </c>
      <c r="E399" s="718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90</v>
      </c>
      <c r="L399" s="35" t="s">
        <v>46</v>
      </c>
      <c r="M399" s="36" t="s">
        <v>252</v>
      </c>
      <c r="N399" s="36"/>
      <c r="O399" s="35">
        <v>180</v>
      </c>
      <c r="P399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0"/>
      <c r="R399" s="720"/>
      <c r="S399" s="720"/>
      <c r="T399" s="721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657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4301030233</v>
      </c>
      <c r="D400" s="718">
        <v>4607091388404</v>
      </c>
      <c r="E400" s="718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90</v>
      </c>
      <c r="L400" s="35" t="s">
        <v>46</v>
      </c>
      <c r="M400" s="36" t="s">
        <v>252</v>
      </c>
      <c r="N400" s="36"/>
      <c r="O400" s="35">
        <v>180</v>
      </c>
      <c r="P400" s="9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0"/>
      <c r="R400" s="720"/>
      <c r="S400" s="720"/>
      <c r="T400" s="721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657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5">
      <c r="A401" s="726"/>
      <c r="B401" s="726"/>
      <c r="C401" s="726"/>
      <c r="D401" s="726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7"/>
      <c r="P401" s="723" t="s">
        <v>40</v>
      </c>
      <c r="Q401" s="724"/>
      <c r="R401" s="724"/>
      <c r="S401" s="724"/>
      <c r="T401" s="724"/>
      <c r="U401" s="724"/>
      <c r="V401" s="725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5">
      <c r="A402" s="726"/>
      <c r="B402" s="726"/>
      <c r="C402" s="726"/>
      <c r="D402" s="726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7"/>
      <c r="P402" s="723" t="s">
        <v>40</v>
      </c>
      <c r="Q402" s="724"/>
      <c r="R402" s="724"/>
      <c r="S402" s="724"/>
      <c r="T402" s="724"/>
      <c r="U402" s="724"/>
      <c r="V402" s="725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717" t="s">
        <v>664</v>
      </c>
      <c r="B403" s="717"/>
      <c r="C403" s="717"/>
      <c r="D403" s="717"/>
      <c r="E403" s="717"/>
      <c r="F403" s="717"/>
      <c r="G403" s="717"/>
      <c r="H403" s="717"/>
      <c r="I403" s="717"/>
      <c r="J403" s="717"/>
      <c r="K403" s="717"/>
      <c r="L403" s="717"/>
      <c r="M403" s="717"/>
      <c r="N403" s="717"/>
      <c r="O403" s="717"/>
      <c r="P403" s="717"/>
      <c r="Q403" s="717"/>
      <c r="R403" s="717"/>
      <c r="S403" s="717"/>
      <c r="T403" s="717"/>
      <c r="U403" s="717"/>
      <c r="V403" s="717"/>
      <c r="W403" s="717"/>
      <c r="X403" s="717"/>
      <c r="Y403" s="717"/>
      <c r="Z403" s="717"/>
      <c r="AA403" s="63"/>
      <c r="AB403" s="63"/>
      <c r="AC403" s="63"/>
    </row>
    <row r="404" spans="1:68" ht="16.5" hidden="1" customHeight="1" x14ac:dyDescent="0.25">
      <c r="A404" s="60" t="s">
        <v>665</v>
      </c>
      <c r="B404" s="60" t="s">
        <v>666</v>
      </c>
      <c r="C404" s="34">
        <v>4301180007</v>
      </c>
      <c r="D404" s="718">
        <v>4680115881808</v>
      </c>
      <c r="E404" s="71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668</v>
      </c>
      <c r="N404" s="36"/>
      <c r="O404" s="35">
        <v>731</v>
      </c>
      <c r="P404" s="93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0"/>
      <c r="R404" s="720"/>
      <c r="S404" s="720"/>
      <c r="T404" s="72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667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669</v>
      </c>
      <c r="B405" s="60" t="s">
        <v>670</v>
      </c>
      <c r="C405" s="34">
        <v>4301180006</v>
      </c>
      <c r="D405" s="718">
        <v>4680115881822</v>
      </c>
      <c r="E405" s="718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668</v>
      </c>
      <c r="N405" s="36"/>
      <c r="O405" s="35">
        <v>731</v>
      </c>
      <c r="P405" s="9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0"/>
      <c r="R405" s="720"/>
      <c r="S405" s="720"/>
      <c r="T405" s="72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667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671</v>
      </c>
      <c r="B406" s="60" t="s">
        <v>672</v>
      </c>
      <c r="C406" s="34">
        <v>4301180001</v>
      </c>
      <c r="D406" s="718">
        <v>4680115880016</v>
      </c>
      <c r="E406" s="718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668</v>
      </c>
      <c r="N406" s="36"/>
      <c r="O406" s="35">
        <v>731</v>
      </c>
      <c r="P406" s="9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0"/>
      <c r="R406" s="720"/>
      <c r="S406" s="720"/>
      <c r="T406" s="721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667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5">
      <c r="A407" s="726"/>
      <c r="B407" s="726"/>
      <c r="C407" s="726"/>
      <c r="D407" s="726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7"/>
      <c r="P407" s="723" t="s">
        <v>40</v>
      </c>
      <c r="Q407" s="724"/>
      <c r="R407" s="724"/>
      <c r="S407" s="724"/>
      <c r="T407" s="724"/>
      <c r="U407" s="724"/>
      <c r="V407" s="725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5">
      <c r="A408" s="726"/>
      <c r="B408" s="726"/>
      <c r="C408" s="726"/>
      <c r="D408" s="726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7"/>
      <c r="P408" s="723" t="s">
        <v>40</v>
      </c>
      <c r="Q408" s="724"/>
      <c r="R408" s="724"/>
      <c r="S408" s="724"/>
      <c r="T408" s="724"/>
      <c r="U408" s="724"/>
      <c r="V408" s="725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717" t="s">
        <v>673</v>
      </c>
      <c r="B409" s="717"/>
      <c r="C409" s="717"/>
      <c r="D409" s="717"/>
      <c r="E409" s="717"/>
      <c r="F409" s="717"/>
      <c r="G409" s="717"/>
      <c r="H409" s="717"/>
      <c r="I409" s="717"/>
      <c r="J409" s="717"/>
      <c r="K409" s="717"/>
      <c r="L409" s="717"/>
      <c r="M409" s="717"/>
      <c r="N409" s="717"/>
      <c r="O409" s="717"/>
      <c r="P409" s="717"/>
      <c r="Q409" s="717"/>
      <c r="R409" s="717"/>
      <c r="S409" s="717"/>
      <c r="T409" s="717"/>
      <c r="U409" s="717"/>
      <c r="V409" s="717"/>
      <c r="W409" s="717"/>
      <c r="X409" s="717"/>
      <c r="Y409" s="717"/>
      <c r="Z409" s="717"/>
      <c r="AA409" s="63"/>
      <c r="AB409" s="63"/>
      <c r="AC409" s="63"/>
    </row>
    <row r="410" spans="1:68" ht="27" hidden="1" customHeight="1" x14ac:dyDescent="0.25">
      <c r="A410" s="60" t="s">
        <v>674</v>
      </c>
      <c r="B410" s="60" t="s">
        <v>675</v>
      </c>
      <c r="C410" s="34">
        <v>4301220003</v>
      </c>
      <c r="D410" s="718">
        <v>4680115888678</v>
      </c>
      <c r="E410" s="71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668</v>
      </c>
      <c r="N410" s="36"/>
      <c r="O410" s="35">
        <v>1096</v>
      </c>
      <c r="P410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0"/>
      <c r="R410" s="720"/>
      <c r="S410" s="720"/>
      <c r="T410" s="72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676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677</v>
      </c>
      <c r="B411" s="60" t="s">
        <v>678</v>
      </c>
      <c r="C411" s="34">
        <v>4301220001</v>
      </c>
      <c r="D411" s="718">
        <v>4680115888654</v>
      </c>
      <c r="E411" s="718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133</v>
      </c>
      <c r="L411" s="35" t="s">
        <v>46</v>
      </c>
      <c r="M411" s="36" t="s">
        <v>668</v>
      </c>
      <c r="N411" s="36"/>
      <c r="O411" s="35">
        <v>1096</v>
      </c>
      <c r="P411" s="94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0"/>
      <c r="R411" s="720"/>
      <c r="S411" s="720"/>
      <c r="T411" s="72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679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680</v>
      </c>
      <c r="B412" s="60" t="s">
        <v>681</v>
      </c>
      <c r="C412" s="34">
        <v>4301220002</v>
      </c>
      <c r="D412" s="718">
        <v>4680115888753</v>
      </c>
      <c r="E412" s="718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90</v>
      </c>
      <c r="L412" s="35" t="s">
        <v>46</v>
      </c>
      <c r="M412" s="36" t="s">
        <v>668</v>
      </c>
      <c r="N412" s="36"/>
      <c r="O412" s="35">
        <v>1096</v>
      </c>
      <c r="P412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0"/>
      <c r="R412" s="720"/>
      <c r="S412" s="720"/>
      <c r="T412" s="72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676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5">
      <c r="A413" s="726"/>
      <c r="B413" s="726"/>
      <c r="C413" s="726"/>
      <c r="D413" s="726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7"/>
      <c r="P413" s="723" t="s">
        <v>40</v>
      </c>
      <c r="Q413" s="724"/>
      <c r="R413" s="724"/>
      <c r="S413" s="724"/>
      <c r="T413" s="724"/>
      <c r="U413" s="724"/>
      <c r="V413" s="725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5">
      <c r="A414" s="726"/>
      <c r="B414" s="726"/>
      <c r="C414" s="726"/>
      <c r="D414" s="726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7"/>
      <c r="P414" s="723" t="s">
        <v>40</v>
      </c>
      <c r="Q414" s="724"/>
      <c r="R414" s="724"/>
      <c r="S414" s="724"/>
      <c r="T414" s="724"/>
      <c r="U414" s="724"/>
      <c r="V414" s="725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716" t="s">
        <v>682</v>
      </c>
      <c r="B415" s="716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6"/>
      <c r="N415" s="716"/>
      <c r="O415" s="716"/>
      <c r="P415" s="716"/>
      <c r="Q415" s="716"/>
      <c r="R415" s="716"/>
      <c r="S415" s="716"/>
      <c r="T415" s="716"/>
      <c r="U415" s="716"/>
      <c r="V415" s="716"/>
      <c r="W415" s="716"/>
      <c r="X415" s="716"/>
      <c r="Y415" s="716"/>
      <c r="Z415" s="716"/>
      <c r="AA415" s="62"/>
      <c r="AB415" s="62"/>
      <c r="AC415" s="62"/>
    </row>
    <row r="416" spans="1:68" ht="14.25" hidden="1" customHeight="1" x14ac:dyDescent="0.25">
      <c r="A416" s="717" t="s">
        <v>85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3"/>
      <c r="AB416" s="63"/>
      <c r="AC416" s="63"/>
    </row>
    <row r="417" spans="1:68" ht="16.5" hidden="1" customHeight="1" x14ac:dyDescent="0.25">
      <c r="A417" s="60" t="s">
        <v>683</v>
      </c>
      <c r="B417" s="60" t="s">
        <v>684</v>
      </c>
      <c r="C417" s="34">
        <v>4301052235</v>
      </c>
      <c r="D417" s="718">
        <v>4680115889415</v>
      </c>
      <c r="E417" s="718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126</v>
      </c>
      <c r="L417" s="35" t="s">
        <v>46</v>
      </c>
      <c r="M417" s="36" t="s">
        <v>89</v>
      </c>
      <c r="N417" s="36"/>
      <c r="O417" s="35">
        <v>40</v>
      </c>
      <c r="P417" s="94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0"/>
      <c r="R417" s="720"/>
      <c r="S417" s="720"/>
      <c r="T417" s="72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685</v>
      </c>
      <c r="AG417" s="75"/>
      <c r="AJ417" s="79" t="s">
        <v>46</v>
      </c>
      <c r="AK417" s="79">
        <v>0</v>
      </c>
      <c r="BB417" s="518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686</v>
      </c>
      <c r="B418" s="60" t="s">
        <v>687</v>
      </c>
      <c r="C418" s="34">
        <v>4301052236</v>
      </c>
      <c r="D418" s="718">
        <v>4680115889422</v>
      </c>
      <c r="E418" s="718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0"/>
      <c r="R418" s="720"/>
      <c r="S418" s="720"/>
      <c r="T418" s="72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688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5">
      <c r="A419" s="726"/>
      <c r="B419" s="726"/>
      <c r="C419" s="726"/>
      <c r="D419" s="726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7"/>
      <c r="P419" s="723" t="s">
        <v>40</v>
      </c>
      <c r="Q419" s="724"/>
      <c r="R419" s="724"/>
      <c r="S419" s="724"/>
      <c r="T419" s="724"/>
      <c r="U419" s="724"/>
      <c r="V419" s="72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5">
      <c r="A420" s="726"/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7"/>
      <c r="P420" s="723" t="s">
        <v>40</v>
      </c>
      <c r="Q420" s="724"/>
      <c r="R420" s="724"/>
      <c r="S420" s="724"/>
      <c r="T420" s="724"/>
      <c r="U420" s="724"/>
      <c r="V420" s="72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716" t="s">
        <v>689</v>
      </c>
      <c r="B421" s="716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6"/>
      <c r="N421" s="716"/>
      <c r="O421" s="716"/>
      <c r="P421" s="716"/>
      <c r="Q421" s="716"/>
      <c r="R421" s="716"/>
      <c r="S421" s="716"/>
      <c r="T421" s="716"/>
      <c r="U421" s="716"/>
      <c r="V421" s="716"/>
      <c r="W421" s="716"/>
      <c r="X421" s="716"/>
      <c r="Y421" s="716"/>
      <c r="Z421" s="716"/>
      <c r="AA421" s="62"/>
      <c r="AB421" s="62"/>
      <c r="AC421" s="62"/>
    </row>
    <row r="422" spans="1:68" ht="14.25" hidden="1" customHeight="1" x14ac:dyDescent="0.25">
      <c r="A422" s="717" t="s">
        <v>85</v>
      </c>
      <c r="B422" s="717"/>
      <c r="C422" s="717"/>
      <c r="D422" s="717"/>
      <c r="E422" s="717"/>
      <c r="F422" s="717"/>
      <c r="G422" s="717"/>
      <c r="H422" s="717"/>
      <c r="I422" s="717"/>
      <c r="J422" s="717"/>
      <c r="K422" s="717"/>
      <c r="L422" s="717"/>
      <c r="M422" s="717"/>
      <c r="N422" s="717"/>
      <c r="O422" s="717"/>
      <c r="P422" s="717"/>
      <c r="Q422" s="717"/>
      <c r="R422" s="717"/>
      <c r="S422" s="717"/>
      <c r="T422" s="717"/>
      <c r="U422" s="717"/>
      <c r="V422" s="717"/>
      <c r="W422" s="717"/>
      <c r="X422" s="717"/>
      <c r="Y422" s="717"/>
      <c r="Z422" s="717"/>
      <c r="AA422" s="63"/>
      <c r="AB422" s="63"/>
      <c r="AC422" s="63"/>
    </row>
    <row r="423" spans="1:68" ht="27" hidden="1" customHeight="1" x14ac:dyDescent="0.25">
      <c r="A423" s="60" t="s">
        <v>690</v>
      </c>
      <c r="B423" s="60" t="s">
        <v>691</v>
      </c>
      <c r="C423" s="34">
        <v>4301051489</v>
      </c>
      <c r="D423" s="718">
        <v>4607091387919</v>
      </c>
      <c r="E423" s="718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126</v>
      </c>
      <c r="L423" s="35" t="s">
        <v>46</v>
      </c>
      <c r="M423" s="36" t="s">
        <v>96</v>
      </c>
      <c r="N423" s="36"/>
      <c r="O423" s="35">
        <v>45</v>
      </c>
      <c r="P423" s="94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0"/>
      <c r="R423" s="720"/>
      <c r="S423" s="720"/>
      <c r="T423" s="72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692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693</v>
      </c>
      <c r="B424" s="60" t="s">
        <v>694</v>
      </c>
      <c r="C424" s="34">
        <v>4301051461</v>
      </c>
      <c r="D424" s="718">
        <v>4680115883604</v>
      </c>
      <c r="E424" s="718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90</v>
      </c>
      <c r="L424" s="35" t="s">
        <v>46</v>
      </c>
      <c r="M424" s="36" t="s">
        <v>89</v>
      </c>
      <c r="N424" s="36"/>
      <c r="O424" s="35">
        <v>45</v>
      </c>
      <c r="P424" s="9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0"/>
      <c r="R424" s="720"/>
      <c r="S424" s="720"/>
      <c r="T424" s="72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695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696</v>
      </c>
      <c r="B425" s="60" t="s">
        <v>697</v>
      </c>
      <c r="C425" s="34">
        <v>4301051864</v>
      </c>
      <c r="D425" s="718">
        <v>4680115883567</v>
      </c>
      <c r="E425" s="718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90</v>
      </c>
      <c r="L425" s="35" t="s">
        <v>46</v>
      </c>
      <c r="M425" s="36" t="s">
        <v>96</v>
      </c>
      <c r="N425" s="36"/>
      <c r="O425" s="35">
        <v>40</v>
      </c>
      <c r="P425" s="94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0"/>
      <c r="R425" s="720"/>
      <c r="S425" s="720"/>
      <c r="T425" s="72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698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5">
      <c r="A426" s="726"/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7"/>
      <c r="P426" s="723" t="s">
        <v>40</v>
      </c>
      <c r="Q426" s="724"/>
      <c r="R426" s="724"/>
      <c r="S426" s="724"/>
      <c r="T426" s="724"/>
      <c r="U426" s="724"/>
      <c r="V426" s="725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5">
      <c r="A427" s="726"/>
      <c r="B427" s="726"/>
      <c r="C427" s="726"/>
      <c r="D427" s="726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7"/>
      <c r="P427" s="723" t="s">
        <v>40</v>
      </c>
      <c r="Q427" s="724"/>
      <c r="R427" s="724"/>
      <c r="S427" s="724"/>
      <c r="T427" s="724"/>
      <c r="U427" s="724"/>
      <c r="V427" s="725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5">
      <c r="A428" s="715" t="s">
        <v>699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52"/>
      <c r="AB428" s="52"/>
      <c r="AC428" s="52"/>
    </row>
    <row r="429" spans="1:68" ht="16.5" hidden="1" customHeight="1" x14ac:dyDescent="0.25">
      <c r="A429" s="716" t="s">
        <v>700</v>
      </c>
      <c r="B429" s="716"/>
      <c r="C429" s="716"/>
      <c r="D429" s="716"/>
      <c r="E429" s="716"/>
      <c r="F429" s="716"/>
      <c r="G429" s="716"/>
      <c r="H429" s="716"/>
      <c r="I429" s="716"/>
      <c r="J429" s="716"/>
      <c r="K429" s="716"/>
      <c r="L429" s="716"/>
      <c r="M429" s="716"/>
      <c r="N429" s="716"/>
      <c r="O429" s="716"/>
      <c r="P429" s="716"/>
      <c r="Q429" s="716"/>
      <c r="R429" s="716"/>
      <c r="S429" s="716"/>
      <c r="T429" s="716"/>
      <c r="U429" s="716"/>
      <c r="V429" s="716"/>
      <c r="W429" s="716"/>
      <c r="X429" s="716"/>
      <c r="Y429" s="716"/>
      <c r="Z429" s="716"/>
      <c r="AA429" s="62"/>
      <c r="AB429" s="62"/>
      <c r="AC429" s="62"/>
    </row>
    <row r="430" spans="1:68" ht="14.25" hidden="1" customHeight="1" x14ac:dyDescent="0.25">
      <c r="A430" s="717" t="s">
        <v>121</v>
      </c>
      <c r="B430" s="717"/>
      <c r="C430" s="717"/>
      <c r="D430" s="717"/>
      <c r="E430" s="717"/>
      <c r="F430" s="717"/>
      <c r="G430" s="717"/>
      <c r="H430" s="717"/>
      <c r="I430" s="717"/>
      <c r="J430" s="717"/>
      <c r="K430" s="717"/>
      <c r="L430" s="717"/>
      <c r="M430" s="717"/>
      <c r="N430" s="717"/>
      <c r="O430" s="717"/>
      <c r="P430" s="717"/>
      <c r="Q430" s="717"/>
      <c r="R430" s="717"/>
      <c r="S430" s="717"/>
      <c r="T430" s="717"/>
      <c r="U430" s="717"/>
      <c r="V430" s="717"/>
      <c r="W430" s="717"/>
      <c r="X430" s="717"/>
      <c r="Y430" s="717"/>
      <c r="Z430" s="717"/>
      <c r="AA430" s="63"/>
      <c r="AB430" s="63"/>
      <c r="AC430" s="63"/>
    </row>
    <row r="431" spans="1:68" ht="27" hidden="1" customHeight="1" x14ac:dyDescent="0.25">
      <c r="A431" s="60" t="s">
        <v>701</v>
      </c>
      <c r="B431" s="60" t="s">
        <v>702</v>
      </c>
      <c r="C431" s="34">
        <v>4301012332</v>
      </c>
      <c r="D431" s="718">
        <v>4680115888401</v>
      </c>
      <c r="E431" s="71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96</v>
      </c>
      <c r="N431" s="36"/>
      <c r="O431" s="35">
        <v>60</v>
      </c>
      <c r="P431" s="9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0"/>
      <c r="R431" s="720"/>
      <c r="S431" s="720"/>
      <c r="T431" s="72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8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703</v>
      </c>
      <c r="AG431" s="75"/>
      <c r="AJ431" s="79" t="s">
        <v>46</v>
      </c>
      <c r="AK431" s="79">
        <v>0</v>
      </c>
      <c r="BB431" s="528" t="s">
        <v>66</v>
      </c>
      <c r="BM431" s="75">
        <f t="shared" ref="BM431:BM438" si="69">IFERROR(X431*I431/H431,"0")</f>
        <v>0</v>
      </c>
      <c r="BN431" s="75">
        <f t="shared" ref="BN431:BN438" si="70">IFERROR(Y431*I431/H431,"0")</f>
        <v>0</v>
      </c>
      <c r="BO431" s="75">
        <f t="shared" ref="BO431:BO438" si="71">IFERROR(1/J431*(X431/H431),"0")</f>
        <v>0</v>
      </c>
      <c r="BP431" s="75">
        <f t="shared" ref="BP431:BP438" si="72">IFERROR(1/J431*(Y431/H431),"0")</f>
        <v>0</v>
      </c>
    </row>
    <row r="432" spans="1:68" ht="37.5" customHeight="1" x14ac:dyDescent="0.25">
      <c r="A432" s="60" t="s">
        <v>704</v>
      </c>
      <c r="B432" s="60" t="s">
        <v>705</v>
      </c>
      <c r="C432" s="34">
        <v>4301011869</v>
      </c>
      <c r="D432" s="718">
        <v>4680115884847</v>
      </c>
      <c r="E432" s="71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9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0"/>
      <c r="R432" s="720"/>
      <c r="S432" s="720"/>
      <c r="T432" s="721"/>
      <c r="U432" s="37" t="s">
        <v>46</v>
      </c>
      <c r="V432" s="37" t="s">
        <v>46</v>
      </c>
      <c r="W432" s="38" t="s">
        <v>0</v>
      </c>
      <c r="X432" s="56">
        <v>330</v>
      </c>
      <c r="Y432" s="53">
        <f t="shared" si="68"/>
        <v>330</v>
      </c>
      <c r="Z432" s="39">
        <f>IFERROR(IF(Y432=0,"",ROUNDUP(Y432/H432,0)*0.02175),"")</f>
        <v>0.47849999999999998</v>
      </c>
      <c r="AA432" s="65" t="s">
        <v>46</v>
      </c>
      <c r="AB432" s="66" t="s">
        <v>46</v>
      </c>
      <c r="AC432" s="529" t="s">
        <v>706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340.34000000000003</v>
      </c>
      <c r="BN432" s="75">
        <f t="shared" si="70"/>
        <v>340.34000000000003</v>
      </c>
      <c r="BO432" s="75">
        <f t="shared" si="71"/>
        <v>0.45833333333333331</v>
      </c>
      <c r="BP432" s="75">
        <f t="shared" si="72"/>
        <v>0.45833333333333331</v>
      </c>
    </row>
    <row r="433" spans="1:68" ht="27" customHeight="1" x14ac:dyDescent="0.25">
      <c r="A433" s="60" t="s">
        <v>707</v>
      </c>
      <c r="B433" s="60" t="s">
        <v>708</v>
      </c>
      <c r="C433" s="34">
        <v>4301012083</v>
      </c>
      <c r="D433" s="718">
        <v>4680115884854</v>
      </c>
      <c r="E433" s="71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125</v>
      </c>
      <c r="N433" s="36"/>
      <c r="O433" s="35">
        <v>60</v>
      </c>
      <c r="P433" s="9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0"/>
      <c r="R433" s="720"/>
      <c r="S433" s="720"/>
      <c r="T433" s="721"/>
      <c r="U433" s="37" t="s">
        <v>46</v>
      </c>
      <c r="V433" s="37" t="s">
        <v>46</v>
      </c>
      <c r="W433" s="38" t="s">
        <v>0</v>
      </c>
      <c r="X433" s="56">
        <v>330</v>
      </c>
      <c r="Y433" s="53">
        <f t="shared" si="68"/>
        <v>330</v>
      </c>
      <c r="Z433" s="39">
        <f>IFERROR(IF(Y433=0,"",ROUNDUP(Y433/H433,0)*0.02175),"")</f>
        <v>0.47849999999999998</v>
      </c>
      <c r="AA433" s="65" t="s">
        <v>46</v>
      </c>
      <c r="AB433" s="66" t="s">
        <v>46</v>
      </c>
      <c r="AC433" s="531" t="s">
        <v>709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340.34000000000003</v>
      </c>
      <c r="BN433" s="75">
        <f t="shared" si="70"/>
        <v>340.34000000000003</v>
      </c>
      <c r="BO433" s="75">
        <f t="shared" si="71"/>
        <v>0.45833333333333331</v>
      </c>
      <c r="BP433" s="75">
        <f t="shared" si="72"/>
        <v>0.45833333333333331</v>
      </c>
    </row>
    <row r="434" spans="1:68" ht="27" customHeight="1" x14ac:dyDescent="0.25">
      <c r="A434" s="60" t="s">
        <v>710</v>
      </c>
      <c r="B434" s="60" t="s">
        <v>711</v>
      </c>
      <c r="C434" s="34">
        <v>4301011867</v>
      </c>
      <c r="D434" s="718">
        <v>4680115884830</v>
      </c>
      <c r="E434" s="718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80</v>
      </c>
      <c r="N434" s="36"/>
      <c r="O434" s="35">
        <v>60</v>
      </c>
      <c r="P434" s="9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0"/>
      <c r="R434" s="720"/>
      <c r="S434" s="720"/>
      <c r="T434" s="721"/>
      <c r="U434" s="37" t="s">
        <v>46</v>
      </c>
      <c r="V434" s="37" t="s">
        <v>46</v>
      </c>
      <c r="W434" s="38" t="s">
        <v>0</v>
      </c>
      <c r="X434" s="56">
        <v>300</v>
      </c>
      <c r="Y434" s="53">
        <f t="shared" si="68"/>
        <v>300</v>
      </c>
      <c r="Z434" s="39">
        <f>IFERROR(IF(Y434=0,"",ROUNDUP(Y434/H434,0)*0.02175),"")</f>
        <v>0.43499999999999994</v>
      </c>
      <c r="AA434" s="65" t="s">
        <v>46</v>
      </c>
      <c r="AB434" s="66" t="s">
        <v>46</v>
      </c>
      <c r="AC434" s="533" t="s">
        <v>712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309.39999999999998</v>
      </c>
      <c r="BN434" s="75">
        <f t="shared" si="70"/>
        <v>309.39999999999998</v>
      </c>
      <c r="BO434" s="75">
        <f t="shared" si="71"/>
        <v>0.41666666666666663</v>
      </c>
      <c r="BP434" s="75">
        <f t="shared" si="72"/>
        <v>0.41666666666666663</v>
      </c>
    </row>
    <row r="435" spans="1:68" ht="27" hidden="1" customHeight="1" x14ac:dyDescent="0.25">
      <c r="A435" s="60" t="s">
        <v>713</v>
      </c>
      <c r="B435" s="60" t="s">
        <v>714</v>
      </c>
      <c r="C435" s="34">
        <v>4301012356</v>
      </c>
      <c r="D435" s="718">
        <v>4680115889231</v>
      </c>
      <c r="E435" s="718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96</v>
      </c>
      <c r="N435" s="36"/>
      <c r="O435" s="35">
        <v>60</v>
      </c>
      <c r="P435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0"/>
      <c r="R435" s="720"/>
      <c r="S435" s="720"/>
      <c r="T435" s="72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715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27" hidden="1" customHeight="1" x14ac:dyDescent="0.25">
      <c r="A436" s="60" t="s">
        <v>716</v>
      </c>
      <c r="B436" s="60" t="s">
        <v>717</v>
      </c>
      <c r="C436" s="34">
        <v>4301011433</v>
      </c>
      <c r="D436" s="718">
        <v>4680115882638</v>
      </c>
      <c r="E436" s="718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133</v>
      </c>
      <c r="L436" s="35" t="s">
        <v>46</v>
      </c>
      <c r="M436" s="36" t="s">
        <v>125</v>
      </c>
      <c r="N436" s="36"/>
      <c r="O436" s="35">
        <v>90</v>
      </c>
      <c r="P436" s="9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0"/>
      <c r="R436" s="720"/>
      <c r="S436" s="720"/>
      <c r="T436" s="72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718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719</v>
      </c>
      <c r="B437" s="60" t="s">
        <v>720</v>
      </c>
      <c r="C437" s="34">
        <v>4301011952</v>
      </c>
      <c r="D437" s="718">
        <v>4680115884922</v>
      </c>
      <c r="E437" s="718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133</v>
      </c>
      <c r="L437" s="35" t="s">
        <v>46</v>
      </c>
      <c r="M437" s="36" t="s">
        <v>80</v>
      </c>
      <c r="N437" s="36"/>
      <c r="O437" s="35">
        <v>60</v>
      </c>
      <c r="P437" s="95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0"/>
      <c r="R437" s="720"/>
      <c r="S437" s="720"/>
      <c r="T437" s="721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721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37.5" hidden="1" customHeight="1" x14ac:dyDescent="0.25">
      <c r="A438" s="60" t="s">
        <v>722</v>
      </c>
      <c r="B438" s="60" t="s">
        <v>723</v>
      </c>
      <c r="C438" s="34">
        <v>4301011868</v>
      </c>
      <c r="D438" s="718">
        <v>4680115884861</v>
      </c>
      <c r="E438" s="718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9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0"/>
      <c r="R438" s="720"/>
      <c r="S438" s="720"/>
      <c r="T438" s="721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724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x14ac:dyDescent="0.25">
      <c r="A439" s="726"/>
      <c r="B439" s="726"/>
      <c r="C439" s="726"/>
      <c r="D439" s="726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7"/>
      <c r="P439" s="723" t="s">
        <v>40</v>
      </c>
      <c r="Q439" s="724"/>
      <c r="R439" s="724"/>
      <c r="S439" s="724"/>
      <c r="T439" s="724"/>
      <c r="U439" s="724"/>
      <c r="V439" s="725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64</v>
      </c>
      <c r="Y439" s="41">
        <f>IFERROR(Y431/H431,"0")+IFERROR(Y432/H432,"0")+IFERROR(Y433/H433,"0")+IFERROR(Y434/H434,"0")+IFERROR(Y435/H435,"0")+IFERROR(Y436/H436,"0")+IFERROR(Y437/H437,"0")+IFERROR(Y438/H438,"0")</f>
        <v>64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1.3919999999999999</v>
      </c>
      <c r="AA439" s="64"/>
      <c r="AB439" s="64"/>
      <c r="AC439" s="64"/>
    </row>
    <row r="440" spans="1:68" x14ac:dyDescent="0.25">
      <c r="A440" s="726"/>
      <c r="B440" s="726"/>
      <c r="C440" s="726"/>
      <c r="D440" s="726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7"/>
      <c r="P440" s="723" t="s">
        <v>40</v>
      </c>
      <c r="Q440" s="724"/>
      <c r="R440" s="724"/>
      <c r="S440" s="724"/>
      <c r="T440" s="724"/>
      <c r="U440" s="724"/>
      <c r="V440" s="725"/>
      <c r="W440" s="40" t="s">
        <v>0</v>
      </c>
      <c r="X440" s="41">
        <f>IFERROR(SUM(X431:X438),"0")</f>
        <v>960</v>
      </c>
      <c r="Y440" s="41">
        <f>IFERROR(SUM(Y431:Y438),"0")</f>
        <v>960</v>
      </c>
      <c r="Z440" s="40"/>
      <c r="AA440" s="64"/>
      <c r="AB440" s="64"/>
      <c r="AC440" s="64"/>
    </row>
    <row r="441" spans="1:68" ht="14.25" hidden="1" customHeight="1" x14ac:dyDescent="0.25">
      <c r="A441" s="717" t="s">
        <v>158</v>
      </c>
      <c r="B441" s="717"/>
      <c r="C441" s="717"/>
      <c r="D441" s="717"/>
      <c r="E441" s="717"/>
      <c r="F441" s="717"/>
      <c r="G441" s="717"/>
      <c r="H441" s="717"/>
      <c r="I441" s="717"/>
      <c r="J441" s="717"/>
      <c r="K441" s="717"/>
      <c r="L441" s="717"/>
      <c r="M441" s="717"/>
      <c r="N441" s="717"/>
      <c r="O441" s="717"/>
      <c r="P441" s="717"/>
      <c r="Q441" s="717"/>
      <c r="R441" s="717"/>
      <c r="S441" s="717"/>
      <c r="T441" s="717"/>
      <c r="U441" s="717"/>
      <c r="V441" s="717"/>
      <c r="W441" s="717"/>
      <c r="X441" s="717"/>
      <c r="Y441" s="717"/>
      <c r="Z441" s="717"/>
      <c r="AA441" s="63"/>
      <c r="AB441" s="63"/>
      <c r="AC441" s="63"/>
    </row>
    <row r="442" spans="1:68" ht="27" hidden="1" customHeight="1" x14ac:dyDescent="0.25">
      <c r="A442" s="60" t="s">
        <v>725</v>
      </c>
      <c r="B442" s="60" t="s">
        <v>726</v>
      </c>
      <c r="C442" s="34">
        <v>4301020178</v>
      </c>
      <c r="D442" s="718">
        <v>4607091383980</v>
      </c>
      <c r="E442" s="718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126</v>
      </c>
      <c r="L442" s="35" t="s">
        <v>46</v>
      </c>
      <c r="M442" s="36" t="s">
        <v>125</v>
      </c>
      <c r="N442" s="36"/>
      <c r="O442" s="35">
        <v>50</v>
      </c>
      <c r="P442" s="95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0"/>
      <c r="R442" s="720"/>
      <c r="S442" s="720"/>
      <c r="T442" s="72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727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728</v>
      </c>
      <c r="B443" s="60" t="s">
        <v>729</v>
      </c>
      <c r="C443" s="34">
        <v>4301020355</v>
      </c>
      <c r="D443" s="718">
        <v>4680115888425</v>
      </c>
      <c r="E443" s="718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9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0"/>
      <c r="R443" s="720"/>
      <c r="S443" s="720"/>
      <c r="T443" s="721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730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731</v>
      </c>
      <c r="B444" s="60" t="s">
        <v>732</v>
      </c>
      <c r="C444" s="34">
        <v>4301020179</v>
      </c>
      <c r="D444" s="718">
        <v>4607091384178</v>
      </c>
      <c r="E444" s="718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133</v>
      </c>
      <c r="L444" s="35" t="s">
        <v>46</v>
      </c>
      <c r="M444" s="36" t="s">
        <v>125</v>
      </c>
      <c r="N444" s="36"/>
      <c r="O444" s="35">
        <v>50</v>
      </c>
      <c r="P444" s="9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0"/>
      <c r="R444" s="720"/>
      <c r="S444" s="720"/>
      <c r="T444" s="721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733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5">
      <c r="A445" s="726"/>
      <c r="B445" s="726"/>
      <c r="C445" s="726"/>
      <c r="D445" s="726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7"/>
      <c r="P445" s="723" t="s">
        <v>40</v>
      </c>
      <c r="Q445" s="724"/>
      <c r="R445" s="724"/>
      <c r="S445" s="724"/>
      <c r="T445" s="724"/>
      <c r="U445" s="724"/>
      <c r="V445" s="725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5">
      <c r="A446" s="726"/>
      <c r="B446" s="726"/>
      <c r="C446" s="726"/>
      <c r="D446" s="726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7"/>
      <c r="P446" s="723" t="s">
        <v>40</v>
      </c>
      <c r="Q446" s="724"/>
      <c r="R446" s="724"/>
      <c r="S446" s="724"/>
      <c r="T446" s="724"/>
      <c r="U446" s="724"/>
      <c r="V446" s="725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717" t="s">
        <v>85</v>
      </c>
      <c r="B447" s="717"/>
      <c r="C447" s="717"/>
      <c r="D447" s="717"/>
      <c r="E447" s="717"/>
      <c r="F447" s="717"/>
      <c r="G447" s="717"/>
      <c r="H447" s="717"/>
      <c r="I447" s="717"/>
      <c r="J447" s="717"/>
      <c r="K447" s="717"/>
      <c r="L447" s="717"/>
      <c r="M447" s="717"/>
      <c r="N447" s="717"/>
      <c r="O447" s="717"/>
      <c r="P447" s="717"/>
      <c r="Q447" s="717"/>
      <c r="R447" s="717"/>
      <c r="S447" s="717"/>
      <c r="T447" s="717"/>
      <c r="U447" s="717"/>
      <c r="V447" s="717"/>
      <c r="W447" s="717"/>
      <c r="X447" s="717"/>
      <c r="Y447" s="717"/>
      <c r="Z447" s="717"/>
      <c r="AA447" s="63"/>
      <c r="AB447" s="63"/>
      <c r="AC447" s="63"/>
    </row>
    <row r="448" spans="1:68" ht="27" hidden="1" customHeight="1" x14ac:dyDescent="0.25">
      <c r="A448" s="60" t="s">
        <v>734</v>
      </c>
      <c r="B448" s="60" t="s">
        <v>735</v>
      </c>
      <c r="C448" s="34">
        <v>4301051903</v>
      </c>
      <c r="D448" s="718">
        <v>4607091383928</v>
      </c>
      <c r="E448" s="718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126</v>
      </c>
      <c r="L448" s="35" t="s">
        <v>46</v>
      </c>
      <c r="M448" s="36" t="s">
        <v>89</v>
      </c>
      <c r="N448" s="36"/>
      <c r="O448" s="35">
        <v>40</v>
      </c>
      <c r="P448" s="9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0"/>
      <c r="R448" s="720"/>
      <c r="S448" s="720"/>
      <c r="T448" s="72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736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737</v>
      </c>
      <c r="B449" s="60" t="s">
        <v>738</v>
      </c>
      <c r="C449" s="34">
        <v>4301051897</v>
      </c>
      <c r="D449" s="718">
        <v>4607091384260</v>
      </c>
      <c r="E449" s="718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96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0"/>
      <c r="R449" s="720"/>
      <c r="S449" s="720"/>
      <c r="T449" s="72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739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740</v>
      </c>
      <c r="B450" s="60" t="s">
        <v>741</v>
      </c>
      <c r="C450" s="34">
        <v>4301052220</v>
      </c>
      <c r="D450" s="718">
        <v>4680115889538</v>
      </c>
      <c r="E450" s="718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126</v>
      </c>
      <c r="L450" s="35" t="s">
        <v>46</v>
      </c>
      <c r="M450" s="36" t="s">
        <v>89</v>
      </c>
      <c r="N450" s="36"/>
      <c r="O450" s="35">
        <v>45</v>
      </c>
      <c r="P450" s="96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0"/>
      <c r="R450" s="720"/>
      <c r="S450" s="720"/>
      <c r="T450" s="721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742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5">
      <c r="A451" s="726"/>
      <c r="B451" s="726"/>
      <c r="C451" s="726"/>
      <c r="D451" s="726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7"/>
      <c r="P451" s="723" t="s">
        <v>40</v>
      </c>
      <c r="Q451" s="724"/>
      <c r="R451" s="724"/>
      <c r="S451" s="724"/>
      <c r="T451" s="724"/>
      <c r="U451" s="724"/>
      <c r="V451" s="725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5">
      <c r="A452" s="726"/>
      <c r="B452" s="726"/>
      <c r="C452" s="726"/>
      <c r="D452" s="726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7"/>
      <c r="P452" s="723" t="s">
        <v>40</v>
      </c>
      <c r="Q452" s="724"/>
      <c r="R452" s="724"/>
      <c r="S452" s="724"/>
      <c r="T452" s="724"/>
      <c r="U452" s="724"/>
      <c r="V452" s="725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717" t="s">
        <v>177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3"/>
      <c r="AB453" s="63"/>
      <c r="AC453" s="63"/>
    </row>
    <row r="454" spans="1:68" ht="27" hidden="1" customHeight="1" x14ac:dyDescent="0.25">
      <c r="A454" s="60" t="s">
        <v>743</v>
      </c>
      <c r="B454" s="60" t="s">
        <v>744</v>
      </c>
      <c r="C454" s="34">
        <v>4301060537</v>
      </c>
      <c r="D454" s="718">
        <v>4680115889545</v>
      </c>
      <c r="E454" s="718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126</v>
      </c>
      <c r="L454" s="35" t="s">
        <v>46</v>
      </c>
      <c r="M454" s="36" t="s">
        <v>89</v>
      </c>
      <c r="N454" s="36"/>
      <c r="O454" s="35">
        <v>30</v>
      </c>
      <c r="P454" s="96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0"/>
      <c r="R454" s="720"/>
      <c r="S454" s="720"/>
      <c r="T454" s="72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745</v>
      </c>
      <c r="AG454" s="75"/>
      <c r="AJ454" s="79" t="s">
        <v>46</v>
      </c>
      <c r="AK454" s="79">
        <v>0</v>
      </c>
      <c r="BB454" s="556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746</v>
      </c>
      <c r="B455" s="60" t="s">
        <v>747</v>
      </c>
      <c r="C455" s="34">
        <v>4301060524</v>
      </c>
      <c r="D455" s="718">
        <v>4607091384673</v>
      </c>
      <c r="E455" s="718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126</v>
      </c>
      <c r="L455" s="35" t="s">
        <v>46</v>
      </c>
      <c r="M455" s="36" t="s">
        <v>89</v>
      </c>
      <c r="N455" s="36"/>
      <c r="O455" s="35">
        <v>40</v>
      </c>
      <c r="P455" s="9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0"/>
      <c r="R455" s="720"/>
      <c r="S455" s="720"/>
      <c r="T455" s="72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748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5">
      <c r="A456" s="726"/>
      <c r="B456" s="726"/>
      <c r="C456" s="726"/>
      <c r="D456" s="726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7"/>
      <c r="P456" s="723" t="s">
        <v>40</v>
      </c>
      <c r="Q456" s="724"/>
      <c r="R456" s="724"/>
      <c r="S456" s="724"/>
      <c r="T456" s="724"/>
      <c r="U456" s="724"/>
      <c r="V456" s="725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5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7"/>
      <c r="P457" s="723" t="s">
        <v>40</v>
      </c>
      <c r="Q457" s="724"/>
      <c r="R457" s="724"/>
      <c r="S457" s="724"/>
      <c r="T457" s="724"/>
      <c r="U457" s="724"/>
      <c r="V457" s="725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716" t="s">
        <v>749</v>
      </c>
      <c r="B458" s="716"/>
      <c r="C458" s="716"/>
      <c r="D458" s="716"/>
      <c r="E458" s="716"/>
      <c r="F458" s="716"/>
      <c r="G458" s="716"/>
      <c r="H458" s="716"/>
      <c r="I458" s="716"/>
      <c r="J458" s="716"/>
      <c r="K458" s="716"/>
      <c r="L458" s="716"/>
      <c r="M458" s="716"/>
      <c r="N458" s="716"/>
      <c r="O458" s="716"/>
      <c r="P458" s="716"/>
      <c r="Q458" s="716"/>
      <c r="R458" s="716"/>
      <c r="S458" s="716"/>
      <c r="T458" s="716"/>
      <c r="U458" s="716"/>
      <c r="V458" s="716"/>
      <c r="W458" s="716"/>
      <c r="X458" s="716"/>
      <c r="Y458" s="716"/>
      <c r="Z458" s="716"/>
      <c r="AA458" s="62"/>
      <c r="AB458" s="62"/>
      <c r="AC458" s="62"/>
    </row>
    <row r="459" spans="1:68" ht="14.25" hidden="1" customHeight="1" x14ac:dyDescent="0.25">
      <c r="A459" s="717" t="s">
        <v>121</v>
      </c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7"/>
      <c r="P459" s="717"/>
      <c r="Q459" s="717"/>
      <c r="R459" s="717"/>
      <c r="S459" s="717"/>
      <c r="T459" s="717"/>
      <c r="U459" s="717"/>
      <c r="V459" s="717"/>
      <c r="W459" s="717"/>
      <c r="X459" s="717"/>
      <c r="Y459" s="717"/>
      <c r="Z459" s="717"/>
      <c r="AA459" s="63"/>
      <c r="AB459" s="63"/>
      <c r="AC459" s="63"/>
    </row>
    <row r="460" spans="1:68" ht="27" hidden="1" customHeight="1" x14ac:dyDescent="0.25">
      <c r="A460" s="60" t="s">
        <v>750</v>
      </c>
      <c r="B460" s="60" t="s">
        <v>751</v>
      </c>
      <c r="C460" s="34">
        <v>4301011875</v>
      </c>
      <c r="D460" s="718">
        <v>4680115884885</v>
      </c>
      <c r="E460" s="718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126</v>
      </c>
      <c r="L460" s="35" t="s">
        <v>46</v>
      </c>
      <c r="M460" s="36" t="s">
        <v>80</v>
      </c>
      <c r="N460" s="36"/>
      <c r="O460" s="35">
        <v>60</v>
      </c>
      <c r="P460" s="9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0"/>
      <c r="R460" s="720"/>
      <c r="S460" s="720"/>
      <c r="T460" s="721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752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753</v>
      </c>
      <c r="B461" s="60" t="s">
        <v>754</v>
      </c>
      <c r="C461" s="34">
        <v>4301011871</v>
      </c>
      <c r="D461" s="718">
        <v>4680115884908</v>
      </c>
      <c r="E461" s="718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133</v>
      </c>
      <c r="L461" s="35" t="s">
        <v>46</v>
      </c>
      <c r="M461" s="36" t="s">
        <v>80</v>
      </c>
      <c r="N461" s="36"/>
      <c r="O461" s="35">
        <v>60</v>
      </c>
      <c r="P461" s="9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0"/>
      <c r="R461" s="720"/>
      <c r="S461" s="720"/>
      <c r="T461" s="721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752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5">
      <c r="A462" s="726"/>
      <c r="B462" s="726"/>
      <c r="C462" s="726"/>
      <c r="D462" s="726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7"/>
      <c r="P462" s="723" t="s">
        <v>40</v>
      </c>
      <c r="Q462" s="724"/>
      <c r="R462" s="724"/>
      <c r="S462" s="724"/>
      <c r="T462" s="724"/>
      <c r="U462" s="724"/>
      <c r="V462" s="725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5">
      <c r="A463" s="726"/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7"/>
      <c r="P463" s="723" t="s">
        <v>40</v>
      </c>
      <c r="Q463" s="724"/>
      <c r="R463" s="724"/>
      <c r="S463" s="724"/>
      <c r="T463" s="724"/>
      <c r="U463" s="724"/>
      <c r="V463" s="725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17" t="s">
        <v>76</v>
      </c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7"/>
      <c r="P464" s="717"/>
      <c r="Q464" s="717"/>
      <c r="R464" s="717"/>
      <c r="S464" s="717"/>
      <c r="T464" s="717"/>
      <c r="U464" s="717"/>
      <c r="V464" s="717"/>
      <c r="W464" s="717"/>
      <c r="X464" s="717"/>
      <c r="Y464" s="717"/>
      <c r="Z464" s="717"/>
      <c r="AA464" s="63"/>
      <c r="AB464" s="63"/>
      <c r="AC464" s="63"/>
    </row>
    <row r="465" spans="1:68" ht="27" hidden="1" customHeight="1" x14ac:dyDescent="0.25">
      <c r="A465" s="60" t="s">
        <v>755</v>
      </c>
      <c r="B465" s="60" t="s">
        <v>756</v>
      </c>
      <c r="C465" s="34">
        <v>4301031457</v>
      </c>
      <c r="D465" s="718">
        <v>4607091384802</v>
      </c>
      <c r="E465" s="718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133</v>
      </c>
      <c r="L465" s="35" t="s">
        <v>46</v>
      </c>
      <c r="M465" s="36" t="s">
        <v>80</v>
      </c>
      <c r="N465" s="36"/>
      <c r="O465" s="35">
        <v>50</v>
      </c>
      <c r="P465" s="96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0"/>
      <c r="R465" s="720"/>
      <c r="S465" s="720"/>
      <c r="T465" s="72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757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5">
      <c r="A466" s="726"/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7"/>
      <c r="P466" s="723" t="s">
        <v>40</v>
      </c>
      <c r="Q466" s="724"/>
      <c r="R466" s="724"/>
      <c r="S466" s="724"/>
      <c r="T466" s="724"/>
      <c r="U466" s="724"/>
      <c r="V466" s="725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5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7"/>
      <c r="P467" s="723" t="s">
        <v>40</v>
      </c>
      <c r="Q467" s="724"/>
      <c r="R467" s="724"/>
      <c r="S467" s="724"/>
      <c r="T467" s="724"/>
      <c r="U467" s="724"/>
      <c r="V467" s="725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717" t="s">
        <v>85</v>
      </c>
      <c r="B468" s="717"/>
      <c r="C468" s="717"/>
      <c r="D468" s="717"/>
      <c r="E468" s="717"/>
      <c r="F468" s="717"/>
      <c r="G468" s="717"/>
      <c r="H468" s="717"/>
      <c r="I468" s="717"/>
      <c r="J468" s="717"/>
      <c r="K468" s="717"/>
      <c r="L468" s="717"/>
      <c r="M468" s="717"/>
      <c r="N468" s="717"/>
      <c r="O468" s="717"/>
      <c r="P468" s="717"/>
      <c r="Q468" s="717"/>
      <c r="R468" s="717"/>
      <c r="S468" s="717"/>
      <c r="T468" s="717"/>
      <c r="U468" s="717"/>
      <c r="V468" s="717"/>
      <c r="W468" s="717"/>
      <c r="X468" s="717"/>
      <c r="Y468" s="717"/>
      <c r="Z468" s="717"/>
      <c r="AA468" s="63"/>
      <c r="AB468" s="63"/>
      <c r="AC468" s="63"/>
    </row>
    <row r="469" spans="1:68" ht="27" hidden="1" customHeight="1" x14ac:dyDescent="0.25">
      <c r="A469" s="60" t="s">
        <v>758</v>
      </c>
      <c r="B469" s="60" t="s">
        <v>759</v>
      </c>
      <c r="C469" s="34">
        <v>4301051899</v>
      </c>
      <c r="D469" s="718">
        <v>4607091384246</v>
      </c>
      <c r="E469" s="718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126</v>
      </c>
      <c r="L469" s="35" t="s">
        <v>46</v>
      </c>
      <c r="M469" s="36" t="s">
        <v>89</v>
      </c>
      <c r="N469" s="36"/>
      <c r="O469" s="35">
        <v>40</v>
      </c>
      <c r="P469" s="9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0"/>
      <c r="R469" s="720"/>
      <c r="S469" s="720"/>
      <c r="T469" s="72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760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761</v>
      </c>
      <c r="B470" s="60" t="s">
        <v>762</v>
      </c>
      <c r="C470" s="34">
        <v>4301051660</v>
      </c>
      <c r="D470" s="718">
        <v>4607091384253</v>
      </c>
      <c r="E470" s="718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90</v>
      </c>
      <c r="L470" s="35" t="s">
        <v>46</v>
      </c>
      <c r="M470" s="36" t="s">
        <v>89</v>
      </c>
      <c r="N470" s="36"/>
      <c r="O470" s="35">
        <v>40</v>
      </c>
      <c r="P470" s="9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0"/>
      <c r="R470" s="720"/>
      <c r="S470" s="720"/>
      <c r="T470" s="72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760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761</v>
      </c>
      <c r="B471" s="60" t="s">
        <v>763</v>
      </c>
      <c r="C471" s="34">
        <v>4301052069</v>
      </c>
      <c r="D471" s="718">
        <v>4607091384253</v>
      </c>
      <c r="E471" s="718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0"/>
      <c r="R471" s="720"/>
      <c r="S471" s="720"/>
      <c r="T471" s="721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764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5">
      <c r="A472" s="726"/>
      <c r="B472" s="726"/>
      <c r="C472" s="726"/>
      <c r="D472" s="726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7"/>
      <c r="P472" s="723" t="s">
        <v>40</v>
      </c>
      <c r="Q472" s="724"/>
      <c r="R472" s="724"/>
      <c r="S472" s="724"/>
      <c r="T472" s="724"/>
      <c r="U472" s="724"/>
      <c r="V472" s="725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5">
      <c r="A473" s="726"/>
      <c r="B473" s="726"/>
      <c r="C473" s="726"/>
      <c r="D473" s="726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7"/>
      <c r="P473" s="723" t="s">
        <v>40</v>
      </c>
      <c r="Q473" s="724"/>
      <c r="R473" s="724"/>
      <c r="S473" s="724"/>
      <c r="T473" s="724"/>
      <c r="U473" s="724"/>
      <c r="V473" s="725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5">
      <c r="A474" s="715" t="s">
        <v>765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52"/>
      <c r="AB474" s="52"/>
      <c r="AC474" s="52"/>
    </row>
    <row r="475" spans="1:68" ht="16.5" hidden="1" customHeight="1" x14ac:dyDescent="0.25">
      <c r="A475" s="716" t="s">
        <v>766</v>
      </c>
      <c r="B475" s="716"/>
      <c r="C475" s="716"/>
      <c r="D475" s="716"/>
      <c r="E475" s="716"/>
      <c r="F475" s="716"/>
      <c r="G475" s="716"/>
      <c r="H475" s="716"/>
      <c r="I475" s="716"/>
      <c r="J475" s="716"/>
      <c r="K475" s="716"/>
      <c r="L475" s="716"/>
      <c r="M475" s="716"/>
      <c r="N475" s="716"/>
      <c r="O475" s="716"/>
      <c r="P475" s="716"/>
      <c r="Q475" s="716"/>
      <c r="R475" s="716"/>
      <c r="S475" s="716"/>
      <c r="T475" s="716"/>
      <c r="U475" s="716"/>
      <c r="V475" s="716"/>
      <c r="W475" s="716"/>
      <c r="X475" s="716"/>
      <c r="Y475" s="716"/>
      <c r="Z475" s="716"/>
      <c r="AA475" s="62"/>
      <c r="AB475" s="62"/>
      <c r="AC475" s="62"/>
    </row>
    <row r="476" spans="1:68" ht="14.25" hidden="1" customHeight="1" x14ac:dyDescent="0.25">
      <c r="A476" s="717" t="s">
        <v>76</v>
      </c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7"/>
      <c r="P476" s="717"/>
      <c r="Q476" s="717"/>
      <c r="R476" s="717"/>
      <c r="S476" s="717"/>
      <c r="T476" s="717"/>
      <c r="U476" s="717"/>
      <c r="V476" s="717"/>
      <c r="W476" s="717"/>
      <c r="X476" s="717"/>
      <c r="Y476" s="717"/>
      <c r="Z476" s="717"/>
      <c r="AA476" s="63"/>
      <c r="AB476" s="63"/>
      <c r="AC476" s="63"/>
    </row>
    <row r="477" spans="1:68" ht="27" hidden="1" customHeight="1" x14ac:dyDescent="0.25">
      <c r="A477" s="60" t="s">
        <v>767</v>
      </c>
      <c r="B477" s="60" t="s">
        <v>768</v>
      </c>
      <c r="C477" s="34">
        <v>4301031405</v>
      </c>
      <c r="D477" s="718">
        <v>4680115886100</v>
      </c>
      <c r="E477" s="718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133</v>
      </c>
      <c r="L477" s="35" t="s">
        <v>46</v>
      </c>
      <c r="M477" s="36" t="s">
        <v>80</v>
      </c>
      <c r="N477" s="36"/>
      <c r="O477" s="35">
        <v>50</v>
      </c>
      <c r="P477" s="9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0"/>
      <c r="R477" s="720"/>
      <c r="S477" s="720"/>
      <c r="T477" s="72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73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769</v>
      </c>
      <c r="AG477" s="75"/>
      <c r="AJ477" s="79" t="s">
        <v>46</v>
      </c>
      <c r="AK477" s="79">
        <v>0</v>
      </c>
      <c r="BB477" s="572" t="s">
        <v>66</v>
      </c>
      <c r="BM477" s="75">
        <f t="shared" ref="BM477:BM482" si="74">IFERROR(X477*I477/H477,"0")</f>
        <v>0</v>
      </c>
      <c r="BN477" s="75">
        <f t="shared" ref="BN477:BN482" si="75">IFERROR(Y477*I477/H477,"0")</f>
        <v>0</v>
      </c>
      <c r="BO477" s="75">
        <f t="shared" ref="BO477:BO482" si="76">IFERROR(1/J477*(X477/H477),"0")</f>
        <v>0</v>
      </c>
      <c r="BP477" s="75">
        <f t="shared" ref="BP477:BP482" si="77">IFERROR(1/J477*(Y477/H477),"0")</f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4301031402</v>
      </c>
      <c r="D478" s="718">
        <v>4680115886124</v>
      </c>
      <c r="E478" s="718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9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0"/>
      <c r="R478" s="720"/>
      <c r="S478" s="720"/>
      <c r="T478" s="72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772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773</v>
      </c>
      <c r="B479" s="60" t="s">
        <v>774</v>
      </c>
      <c r="C479" s="34">
        <v>4301031362</v>
      </c>
      <c r="D479" s="718">
        <v>4607091384338</v>
      </c>
      <c r="E479" s="71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0"/>
      <c r="R479" s="720"/>
      <c r="S479" s="720"/>
      <c r="T479" s="72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769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775</v>
      </c>
      <c r="B480" s="60" t="s">
        <v>776</v>
      </c>
      <c r="C480" s="34">
        <v>4301031364</v>
      </c>
      <c r="D480" s="718">
        <v>4680115883161</v>
      </c>
      <c r="E480" s="718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0"/>
      <c r="R480" s="720"/>
      <c r="S480" s="720"/>
      <c r="T480" s="72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777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778</v>
      </c>
      <c r="B481" s="60" t="s">
        <v>779</v>
      </c>
      <c r="C481" s="34">
        <v>4301031358</v>
      </c>
      <c r="D481" s="718">
        <v>4607091389531</v>
      </c>
      <c r="E481" s="718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9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0"/>
      <c r="R481" s="720"/>
      <c r="S481" s="720"/>
      <c r="T481" s="721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780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37.5" hidden="1" customHeight="1" x14ac:dyDescent="0.25">
      <c r="A482" s="60" t="s">
        <v>781</v>
      </c>
      <c r="B482" s="60" t="s">
        <v>782</v>
      </c>
      <c r="C482" s="34">
        <v>4301031360</v>
      </c>
      <c r="D482" s="718">
        <v>4607091384345</v>
      </c>
      <c r="E482" s="718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9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0"/>
      <c r="R482" s="720"/>
      <c r="S482" s="720"/>
      <c r="T482" s="72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777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5">
      <c r="A483" s="726"/>
      <c r="B483" s="726"/>
      <c r="C483" s="726"/>
      <c r="D483" s="726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7"/>
      <c r="P483" s="723" t="s">
        <v>40</v>
      </c>
      <c r="Q483" s="724"/>
      <c r="R483" s="724"/>
      <c r="S483" s="724"/>
      <c r="T483" s="724"/>
      <c r="U483" s="724"/>
      <c r="V483" s="725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5">
      <c r="A484" s="726"/>
      <c r="B484" s="726"/>
      <c r="C484" s="726"/>
      <c r="D484" s="726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7"/>
      <c r="P484" s="723" t="s">
        <v>40</v>
      </c>
      <c r="Q484" s="724"/>
      <c r="R484" s="724"/>
      <c r="S484" s="724"/>
      <c r="T484" s="724"/>
      <c r="U484" s="724"/>
      <c r="V484" s="725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717" t="s">
        <v>85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3"/>
      <c r="AB485" s="63"/>
      <c r="AC485" s="63"/>
    </row>
    <row r="486" spans="1:68" ht="27" hidden="1" customHeight="1" x14ac:dyDescent="0.25">
      <c r="A486" s="60" t="s">
        <v>783</v>
      </c>
      <c r="B486" s="60" t="s">
        <v>784</v>
      </c>
      <c r="C486" s="34">
        <v>4301051284</v>
      </c>
      <c r="D486" s="718">
        <v>4607091384352</v>
      </c>
      <c r="E486" s="718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133</v>
      </c>
      <c r="L486" s="35" t="s">
        <v>46</v>
      </c>
      <c r="M486" s="36" t="s">
        <v>89</v>
      </c>
      <c r="N486" s="36"/>
      <c r="O486" s="35">
        <v>45</v>
      </c>
      <c r="P486" s="9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0"/>
      <c r="R486" s="720"/>
      <c r="S486" s="720"/>
      <c r="T486" s="721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785</v>
      </c>
      <c r="AG486" s="75"/>
      <c r="AJ486" s="79" t="s">
        <v>46</v>
      </c>
      <c r="AK486" s="79">
        <v>0</v>
      </c>
      <c r="BB486" s="58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786</v>
      </c>
      <c r="B487" s="60" t="s">
        <v>787</v>
      </c>
      <c r="C487" s="34">
        <v>4301051431</v>
      </c>
      <c r="D487" s="718">
        <v>4607091389654</v>
      </c>
      <c r="E487" s="718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90</v>
      </c>
      <c r="L487" s="35" t="s">
        <v>46</v>
      </c>
      <c r="M487" s="36" t="s">
        <v>89</v>
      </c>
      <c r="N487" s="36"/>
      <c r="O487" s="35">
        <v>45</v>
      </c>
      <c r="P487" s="9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0"/>
      <c r="R487" s="720"/>
      <c r="S487" s="720"/>
      <c r="T487" s="721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788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5">
      <c r="A488" s="726"/>
      <c r="B488" s="726"/>
      <c r="C488" s="726"/>
      <c r="D488" s="726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7"/>
      <c r="P488" s="723" t="s">
        <v>40</v>
      </c>
      <c r="Q488" s="724"/>
      <c r="R488" s="724"/>
      <c r="S488" s="724"/>
      <c r="T488" s="724"/>
      <c r="U488" s="724"/>
      <c r="V488" s="725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5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7"/>
      <c r="P489" s="723" t="s">
        <v>40</v>
      </c>
      <c r="Q489" s="724"/>
      <c r="R489" s="724"/>
      <c r="S489" s="724"/>
      <c r="T489" s="724"/>
      <c r="U489" s="724"/>
      <c r="V489" s="725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716" t="s">
        <v>789</v>
      </c>
      <c r="B490" s="716"/>
      <c r="C490" s="716"/>
      <c r="D490" s="716"/>
      <c r="E490" s="716"/>
      <c r="F490" s="716"/>
      <c r="G490" s="716"/>
      <c r="H490" s="716"/>
      <c r="I490" s="716"/>
      <c r="J490" s="716"/>
      <c r="K490" s="716"/>
      <c r="L490" s="716"/>
      <c r="M490" s="716"/>
      <c r="N490" s="716"/>
      <c r="O490" s="716"/>
      <c r="P490" s="716"/>
      <c r="Q490" s="716"/>
      <c r="R490" s="716"/>
      <c r="S490" s="716"/>
      <c r="T490" s="716"/>
      <c r="U490" s="716"/>
      <c r="V490" s="716"/>
      <c r="W490" s="716"/>
      <c r="X490" s="716"/>
      <c r="Y490" s="716"/>
      <c r="Z490" s="716"/>
      <c r="AA490" s="62"/>
      <c r="AB490" s="62"/>
      <c r="AC490" s="62"/>
    </row>
    <row r="491" spans="1:68" ht="14.25" hidden="1" customHeight="1" x14ac:dyDescent="0.25">
      <c r="A491" s="717" t="s">
        <v>158</v>
      </c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7"/>
      <c r="P491" s="717"/>
      <c r="Q491" s="717"/>
      <c r="R491" s="717"/>
      <c r="S491" s="717"/>
      <c r="T491" s="717"/>
      <c r="U491" s="717"/>
      <c r="V491" s="717"/>
      <c r="W491" s="717"/>
      <c r="X491" s="717"/>
      <c r="Y491" s="717"/>
      <c r="Z491" s="717"/>
      <c r="AA491" s="63"/>
      <c r="AB491" s="63"/>
      <c r="AC491" s="63"/>
    </row>
    <row r="492" spans="1:68" ht="27" hidden="1" customHeight="1" x14ac:dyDescent="0.25">
      <c r="A492" s="60" t="s">
        <v>790</v>
      </c>
      <c r="B492" s="60" t="s">
        <v>791</v>
      </c>
      <c r="C492" s="34">
        <v>4301020416</v>
      </c>
      <c r="D492" s="718">
        <v>4680115885240</v>
      </c>
      <c r="E492" s="718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90</v>
      </c>
      <c r="L492" s="35" t="s">
        <v>46</v>
      </c>
      <c r="M492" s="36" t="s">
        <v>80</v>
      </c>
      <c r="N492" s="36"/>
      <c r="O492" s="35">
        <v>40</v>
      </c>
      <c r="P492" s="9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0"/>
      <c r="R492" s="720"/>
      <c r="S492" s="720"/>
      <c r="T492" s="72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792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5">
      <c r="A493" s="726"/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7"/>
      <c r="P493" s="723" t="s">
        <v>40</v>
      </c>
      <c r="Q493" s="724"/>
      <c r="R493" s="724"/>
      <c r="S493" s="724"/>
      <c r="T493" s="724"/>
      <c r="U493" s="724"/>
      <c r="V493" s="725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5">
      <c r="A494" s="726"/>
      <c r="B494" s="726"/>
      <c r="C494" s="726"/>
      <c r="D494" s="726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7"/>
      <c r="P494" s="723" t="s">
        <v>40</v>
      </c>
      <c r="Q494" s="724"/>
      <c r="R494" s="724"/>
      <c r="S494" s="724"/>
      <c r="T494" s="724"/>
      <c r="U494" s="724"/>
      <c r="V494" s="725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717" t="s">
        <v>76</v>
      </c>
      <c r="B495" s="717"/>
      <c r="C495" s="717"/>
      <c r="D495" s="717"/>
      <c r="E495" s="717"/>
      <c r="F495" s="717"/>
      <c r="G495" s="717"/>
      <c r="H495" s="717"/>
      <c r="I495" s="717"/>
      <c r="J495" s="717"/>
      <c r="K495" s="717"/>
      <c r="L495" s="717"/>
      <c r="M495" s="717"/>
      <c r="N495" s="717"/>
      <c r="O495" s="717"/>
      <c r="P495" s="717"/>
      <c r="Q495" s="717"/>
      <c r="R495" s="717"/>
      <c r="S495" s="717"/>
      <c r="T495" s="717"/>
      <c r="U495" s="717"/>
      <c r="V495" s="717"/>
      <c r="W495" s="717"/>
      <c r="X495" s="717"/>
      <c r="Y495" s="717"/>
      <c r="Z495" s="717"/>
      <c r="AA495" s="63"/>
      <c r="AB495" s="63"/>
      <c r="AC495" s="63"/>
    </row>
    <row r="496" spans="1:68" ht="27" hidden="1" customHeight="1" x14ac:dyDescent="0.25">
      <c r="A496" s="60" t="s">
        <v>793</v>
      </c>
      <c r="B496" s="60" t="s">
        <v>794</v>
      </c>
      <c r="C496" s="34">
        <v>4301031407</v>
      </c>
      <c r="D496" s="718">
        <v>4680115886094</v>
      </c>
      <c r="E496" s="718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133</v>
      </c>
      <c r="L496" s="35" t="s">
        <v>46</v>
      </c>
      <c r="M496" s="36" t="s">
        <v>80</v>
      </c>
      <c r="N496" s="36"/>
      <c r="O496" s="35">
        <v>50</v>
      </c>
      <c r="P496" s="9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0"/>
      <c r="R496" s="720"/>
      <c r="S496" s="720"/>
      <c r="T496" s="72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796</v>
      </c>
      <c r="B497" s="60" t="s">
        <v>797</v>
      </c>
      <c r="C497" s="34">
        <v>4301031373</v>
      </c>
      <c r="D497" s="718">
        <v>4680115880771</v>
      </c>
      <c r="E497" s="718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81</v>
      </c>
      <c r="L497" s="35" t="s">
        <v>46</v>
      </c>
      <c r="M497" s="36" t="s">
        <v>80</v>
      </c>
      <c r="N497" s="36"/>
      <c r="O497" s="35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0"/>
      <c r="R497" s="720"/>
      <c r="S497" s="720"/>
      <c r="T497" s="72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798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799</v>
      </c>
      <c r="B498" s="60" t="s">
        <v>800</v>
      </c>
      <c r="C498" s="34">
        <v>4301031359</v>
      </c>
      <c r="D498" s="718">
        <v>4607091389500</v>
      </c>
      <c r="E498" s="718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0"/>
      <c r="R498" s="720"/>
      <c r="S498" s="720"/>
      <c r="T498" s="72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798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5">
      <c r="A499" s="726"/>
      <c r="B499" s="726"/>
      <c r="C499" s="726"/>
      <c r="D499" s="726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7"/>
      <c r="P499" s="723" t="s">
        <v>40</v>
      </c>
      <c r="Q499" s="724"/>
      <c r="R499" s="724"/>
      <c r="S499" s="724"/>
      <c r="T499" s="724"/>
      <c r="U499" s="724"/>
      <c r="V499" s="725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5">
      <c r="A500" s="726"/>
      <c r="B500" s="726"/>
      <c r="C500" s="726"/>
      <c r="D500" s="726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7"/>
      <c r="P500" s="723" t="s">
        <v>40</v>
      </c>
      <c r="Q500" s="724"/>
      <c r="R500" s="724"/>
      <c r="S500" s="724"/>
      <c r="T500" s="724"/>
      <c r="U500" s="724"/>
      <c r="V500" s="725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5">
      <c r="A501" s="715" t="s">
        <v>801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52"/>
      <c r="AB501" s="52"/>
      <c r="AC501" s="52"/>
    </row>
    <row r="502" spans="1:68" ht="16.5" hidden="1" customHeight="1" x14ac:dyDescent="0.25">
      <c r="A502" s="716" t="s">
        <v>801</v>
      </c>
      <c r="B502" s="716"/>
      <c r="C502" s="716"/>
      <c r="D502" s="716"/>
      <c r="E502" s="716"/>
      <c r="F502" s="716"/>
      <c r="G502" s="716"/>
      <c r="H502" s="716"/>
      <c r="I502" s="716"/>
      <c r="J502" s="716"/>
      <c r="K502" s="716"/>
      <c r="L502" s="716"/>
      <c r="M502" s="716"/>
      <c r="N502" s="716"/>
      <c r="O502" s="716"/>
      <c r="P502" s="716"/>
      <c r="Q502" s="716"/>
      <c r="R502" s="716"/>
      <c r="S502" s="716"/>
      <c r="T502" s="716"/>
      <c r="U502" s="716"/>
      <c r="V502" s="716"/>
      <c r="W502" s="716"/>
      <c r="X502" s="716"/>
      <c r="Y502" s="716"/>
      <c r="Z502" s="716"/>
      <c r="AA502" s="62"/>
      <c r="AB502" s="62"/>
      <c r="AC502" s="62"/>
    </row>
    <row r="503" spans="1:68" ht="14.25" hidden="1" customHeight="1" x14ac:dyDescent="0.25">
      <c r="A503" s="717" t="s">
        <v>121</v>
      </c>
      <c r="B503" s="717"/>
      <c r="C503" s="717"/>
      <c r="D503" s="717"/>
      <c r="E503" s="717"/>
      <c r="F503" s="717"/>
      <c r="G503" s="717"/>
      <c r="H503" s="717"/>
      <c r="I503" s="717"/>
      <c r="J503" s="717"/>
      <c r="K503" s="717"/>
      <c r="L503" s="717"/>
      <c r="M503" s="717"/>
      <c r="N503" s="717"/>
      <c r="O503" s="717"/>
      <c r="P503" s="717"/>
      <c r="Q503" s="717"/>
      <c r="R503" s="717"/>
      <c r="S503" s="717"/>
      <c r="T503" s="717"/>
      <c r="U503" s="717"/>
      <c r="V503" s="717"/>
      <c r="W503" s="717"/>
      <c r="X503" s="717"/>
      <c r="Y503" s="717"/>
      <c r="Z503" s="717"/>
      <c r="AA503" s="63"/>
      <c r="AB503" s="63"/>
      <c r="AC503" s="63"/>
    </row>
    <row r="504" spans="1:68" ht="27" hidden="1" customHeight="1" x14ac:dyDescent="0.25">
      <c r="A504" s="60" t="s">
        <v>802</v>
      </c>
      <c r="B504" s="60" t="s">
        <v>803</v>
      </c>
      <c r="C504" s="34">
        <v>4301011769</v>
      </c>
      <c r="D504" s="718">
        <v>4607091389067</v>
      </c>
      <c r="E504" s="71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89</v>
      </c>
      <c r="N504" s="36"/>
      <c r="O504" s="35">
        <v>60</v>
      </c>
      <c r="P504" s="9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0"/>
      <c r="R504" s="720"/>
      <c r="S504" s="720"/>
      <c r="T504" s="72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8">IFERROR(IF(X504="",0,CEILING((X504/$H504),1)*$H504),"")</f>
        <v>0</v>
      </c>
      <c r="Z504" s="39" t="str">
        <f t="shared" ref="Z504:Z509" si="79">IFERROR(IF(Y504=0,"",ROUNDUP(Y504/H504,0)*0.01196),"")</f>
        <v/>
      </c>
      <c r="AA504" s="65" t="s">
        <v>46</v>
      </c>
      <c r="AB504" s="66" t="s">
        <v>46</v>
      </c>
      <c r="AC504" s="595" t="s">
        <v>124</v>
      </c>
      <c r="AG504" s="75"/>
      <c r="AJ504" s="79" t="s">
        <v>46</v>
      </c>
      <c r="AK504" s="79">
        <v>0</v>
      </c>
      <c r="BB504" s="596" t="s">
        <v>66</v>
      </c>
      <c r="BM504" s="75">
        <f t="shared" ref="BM504:BM512" si="80">IFERROR(X504*I504/H504,"0")</f>
        <v>0</v>
      </c>
      <c r="BN504" s="75">
        <f t="shared" ref="BN504:BN512" si="81">IFERROR(Y504*I504/H504,"0")</f>
        <v>0</v>
      </c>
      <c r="BO504" s="75">
        <f t="shared" ref="BO504:BO512" si="82">IFERROR(1/J504*(X504/H504),"0")</f>
        <v>0</v>
      </c>
      <c r="BP504" s="75">
        <f t="shared" ref="BP504:BP512" si="83">IFERROR(1/J504*(Y504/H504),"0")</f>
        <v>0</v>
      </c>
    </row>
    <row r="505" spans="1:68" ht="16.5" hidden="1" customHeight="1" x14ac:dyDescent="0.25">
      <c r="A505" s="60" t="s">
        <v>804</v>
      </c>
      <c r="B505" s="60" t="s">
        <v>805</v>
      </c>
      <c r="C505" s="34">
        <v>4301012380</v>
      </c>
      <c r="D505" s="718">
        <v>4680115889576</v>
      </c>
      <c r="E505" s="71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9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0"/>
      <c r="R505" s="720"/>
      <c r="S505" s="720"/>
      <c r="T505" s="72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806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807</v>
      </c>
      <c r="B506" s="60" t="s">
        <v>808</v>
      </c>
      <c r="C506" s="34">
        <v>4301011961</v>
      </c>
      <c r="D506" s="718">
        <v>4680115885271</v>
      </c>
      <c r="E506" s="71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9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0"/>
      <c r="R506" s="720"/>
      <c r="S506" s="720"/>
      <c r="T506" s="72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809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810</v>
      </c>
      <c r="B507" s="60" t="s">
        <v>811</v>
      </c>
      <c r="C507" s="34">
        <v>4301011369</v>
      </c>
      <c r="D507" s="718">
        <v>4680115885226</v>
      </c>
      <c r="E507" s="71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0"/>
      <c r="R507" s="720"/>
      <c r="S507" s="720"/>
      <c r="T507" s="72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812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16.5" hidden="1" customHeight="1" x14ac:dyDescent="0.25">
      <c r="A508" s="60" t="s">
        <v>813</v>
      </c>
      <c r="B508" s="60" t="s">
        <v>814</v>
      </c>
      <c r="C508" s="34">
        <v>4301011797</v>
      </c>
      <c r="D508" s="718">
        <v>4680115884502</v>
      </c>
      <c r="E508" s="718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89</v>
      </c>
      <c r="N508" s="36"/>
      <c r="O508" s="35">
        <v>60</v>
      </c>
      <c r="P508" s="9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0"/>
      <c r="R508" s="720"/>
      <c r="S508" s="720"/>
      <c r="T508" s="72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815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816</v>
      </c>
      <c r="B509" s="60" t="s">
        <v>817</v>
      </c>
      <c r="C509" s="34">
        <v>4301011771</v>
      </c>
      <c r="D509" s="718">
        <v>4607091389104</v>
      </c>
      <c r="E509" s="71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125</v>
      </c>
      <c r="N509" s="36"/>
      <c r="O509" s="35">
        <v>60</v>
      </c>
      <c r="P509" s="9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0"/>
      <c r="R509" s="720"/>
      <c r="S509" s="720"/>
      <c r="T509" s="72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818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819</v>
      </c>
      <c r="B510" s="60" t="s">
        <v>820</v>
      </c>
      <c r="C510" s="34">
        <v>4301012125</v>
      </c>
      <c r="D510" s="718">
        <v>4680115886391</v>
      </c>
      <c r="E510" s="718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89</v>
      </c>
      <c r="N510" s="36"/>
      <c r="O510" s="35">
        <v>60</v>
      </c>
      <c r="P510" s="9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0"/>
      <c r="R510" s="720"/>
      <c r="S510" s="720"/>
      <c r="T510" s="72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821</v>
      </c>
      <c r="B511" s="60" t="s">
        <v>822</v>
      </c>
      <c r="C511" s="34">
        <v>4301012048</v>
      </c>
      <c r="D511" s="718">
        <v>4680115880603</v>
      </c>
      <c r="E511" s="718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133</v>
      </c>
      <c r="L511" s="35" t="s">
        <v>46</v>
      </c>
      <c r="M511" s="36" t="s">
        <v>89</v>
      </c>
      <c r="N511" s="36"/>
      <c r="O511" s="35">
        <v>60</v>
      </c>
      <c r="P511" s="9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0"/>
      <c r="R511" s="720"/>
      <c r="S511" s="720"/>
      <c r="T511" s="72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823</v>
      </c>
      <c r="B512" s="60" t="s">
        <v>824</v>
      </c>
      <c r="C512" s="34">
        <v>4301012034</v>
      </c>
      <c r="D512" s="718">
        <v>4607091389982</v>
      </c>
      <c r="E512" s="718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125</v>
      </c>
      <c r="N512" s="36"/>
      <c r="O512" s="35">
        <v>60</v>
      </c>
      <c r="P512" s="99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0"/>
      <c r="R512" s="720"/>
      <c r="S512" s="720"/>
      <c r="T512" s="72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818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idden="1" x14ac:dyDescent="0.25">
      <c r="A513" s="726"/>
      <c r="B513" s="726"/>
      <c r="C513" s="726"/>
      <c r="D513" s="726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7"/>
      <c r="P513" s="723" t="s">
        <v>40</v>
      </c>
      <c r="Q513" s="724"/>
      <c r="R513" s="724"/>
      <c r="S513" s="724"/>
      <c r="T513" s="724"/>
      <c r="U513" s="724"/>
      <c r="V513" s="725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5">
      <c r="A514" s="726"/>
      <c r="B514" s="726"/>
      <c r="C514" s="726"/>
      <c r="D514" s="726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7"/>
      <c r="P514" s="723" t="s">
        <v>40</v>
      </c>
      <c r="Q514" s="724"/>
      <c r="R514" s="724"/>
      <c r="S514" s="724"/>
      <c r="T514" s="724"/>
      <c r="U514" s="724"/>
      <c r="V514" s="725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717" t="s">
        <v>158</v>
      </c>
      <c r="B515" s="717"/>
      <c r="C515" s="717"/>
      <c r="D515" s="717"/>
      <c r="E515" s="717"/>
      <c r="F515" s="717"/>
      <c r="G515" s="717"/>
      <c r="H515" s="717"/>
      <c r="I515" s="717"/>
      <c r="J515" s="717"/>
      <c r="K515" s="717"/>
      <c r="L515" s="717"/>
      <c r="M515" s="717"/>
      <c r="N515" s="717"/>
      <c r="O515" s="717"/>
      <c r="P515" s="717"/>
      <c r="Q515" s="717"/>
      <c r="R515" s="717"/>
      <c r="S515" s="717"/>
      <c r="T515" s="717"/>
      <c r="U515" s="717"/>
      <c r="V515" s="717"/>
      <c r="W515" s="717"/>
      <c r="X515" s="717"/>
      <c r="Y515" s="717"/>
      <c r="Z515" s="717"/>
      <c r="AA515" s="63"/>
      <c r="AB515" s="63"/>
      <c r="AC515" s="63"/>
    </row>
    <row r="516" spans="1:68" ht="16.5" hidden="1" customHeight="1" x14ac:dyDescent="0.25">
      <c r="A516" s="60" t="s">
        <v>825</v>
      </c>
      <c r="B516" s="60" t="s">
        <v>826</v>
      </c>
      <c r="C516" s="34">
        <v>4301020334</v>
      </c>
      <c r="D516" s="718">
        <v>4607091388930</v>
      </c>
      <c r="E516" s="718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126</v>
      </c>
      <c r="L516" s="35" t="s">
        <v>46</v>
      </c>
      <c r="M516" s="36" t="s">
        <v>89</v>
      </c>
      <c r="N516" s="36"/>
      <c r="O516" s="35">
        <v>70</v>
      </c>
      <c r="P516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0"/>
      <c r="R516" s="720"/>
      <c r="S516" s="720"/>
      <c r="T516" s="72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827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828</v>
      </c>
      <c r="B517" s="60" t="s">
        <v>829</v>
      </c>
      <c r="C517" s="34">
        <v>4301020374</v>
      </c>
      <c r="D517" s="718">
        <v>4680115886407</v>
      </c>
      <c r="E517" s="718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90</v>
      </c>
      <c r="L517" s="35" t="s">
        <v>46</v>
      </c>
      <c r="M517" s="36" t="s">
        <v>125</v>
      </c>
      <c r="N517" s="36"/>
      <c r="O517" s="35">
        <v>70</v>
      </c>
      <c r="P517" s="99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0"/>
      <c r="R517" s="720"/>
      <c r="S517" s="720"/>
      <c r="T517" s="721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827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830</v>
      </c>
      <c r="B518" s="60" t="s">
        <v>831</v>
      </c>
      <c r="C518" s="34">
        <v>4301020385</v>
      </c>
      <c r="D518" s="718">
        <v>4680115880054</v>
      </c>
      <c r="E518" s="718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133</v>
      </c>
      <c r="L518" s="35" t="s">
        <v>46</v>
      </c>
      <c r="M518" s="36" t="s">
        <v>125</v>
      </c>
      <c r="N518" s="36"/>
      <c r="O518" s="35">
        <v>70</v>
      </c>
      <c r="P518" s="99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0"/>
      <c r="R518" s="720"/>
      <c r="S518" s="720"/>
      <c r="T518" s="72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827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5">
      <c r="A519" s="726"/>
      <c r="B519" s="726"/>
      <c r="C519" s="726"/>
      <c r="D519" s="726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7"/>
      <c r="P519" s="723" t="s">
        <v>40</v>
      </c>
      <c r="Q519" s="724"/>
      <c r="R519" s="724"/>
      <c r="S519" s="724"/>
      <c r="T519" s="724"/>
      <c r="U519" s="724"/>
      <c r="V519" s="725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5">
      <c r="A520" s="726"/>
      <c r="B520" s="726"/>
      <c r="C520" s="726"/>
      <c r="D520" s="726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7"/>
      <c r="P520" s="723" t="s">
        <v>40</v>
      </c>
      <c r="Q520" s="724"/>
      <c r="R520" s="724"/>
      <c r="S520" s="724"/>
      <c r="T520" s="724"/>
      <c r="U520" s="724"/>
      <c r="V520" s="725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717" t="s">
        <v>76</v>
      </c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7"/>
      <c r="P521" s="717"/>
      <c r="Q521" s="717"/>
      <c r="R521" s="717"/>
      <c r="S521" s="717"/>
      <c r="T521" s="717"/>
      <c r="U521" s="717"/>
      <c r="V521" s="717"/>
      <c r="W521" s="717"/>
      <c r="X521" s="717"/>
      <c r="Y521" s="717"/>
      <c r="Z521" s="717"/>
      <c r="AA521" s="63"/>
      <c r="AB521" s="63"/>
      <c r="AC521" s="63"/>
    </row>
    <row r="522" spans="1:68" ht="27" hidden="1" customHeight="1" x14ac:dyDescent="0.25">
      <c r="A522" s="60" t="s">
        <v>832</v>
      </c>
      <c r="B522" s="60" t="s">
        <v>833</v>
      </c>
      <c r="C522" s="34">
        <v>4301031349</v>
      </c>
      <c r="D522" s="718">
        <v>4680115883116</v>
      </c>
      <c r="E522" s="71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125</v>
      </c>
      <c r="N522" s="36"/>
      <c r="O522" s="35">
        <v>70</v>
      </c>
      <c r="P522" s="99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0"/>
      <c r="R522" s="720"/>
      <c r="S522" s="720"/>
      <c r="T522" s="72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84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834</v>
      </c>
      <c r="AG522" s="75"/>
      <c r="AJ522" s="79" t="s">
        <v>46</v>
      </c>
      <c r="AK522" s="79">
        <v>0</v>
      </c>
      <c r="BB522" s="620" t="s">
        <v>66</v>
      </c>
      <c r="BM522" s="75">
        <f t="shared" ref="BM522:BM528" si="85">IFERROR(X522*I522/H522,"0")</f>
        <v>0</v>
      </c>
      <c r="BN522" s="75">
        <f t="shared" ref="BN522:BN528" si="86">IFERROR(Y522*I522/H522,"0")</f>
        <v>0</v>
      </c>
      <c r="BO522" s="75">
        <f t="shared" ref="BO522:BO528" si="87">IFERROR(1/J522*(X522/H522),"0")</f>
        <v>0</v>
      </c>
      <c r="BP522" s="75">
        <f t="shared" ref="BP522:BP528" si="88">IFERROR(1/J522*(Y522/H522),"0")</f>
        <v>0</v>
      </c>
    </row>
    <row r="523" spans="1:68" ht="27" hidden="1" customHeight="1" x14ac:dyDescent="0.25">
      <c r="A523" s="60" t="s">
        <v>835</v>
      </c>
      <c r="B523" s="60" t="s">
        <v>836</v>
      </c>
      <c r="C523" s="34">
        <v>4301031350</v>
      </c>
      <c r="D523" s="718">
        <v>4680115883093</v>
      </c>
      <c r="E523" s="718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80</v>
      </c>
      <c r="N523" s="36"/>
      <c r="O523" s="35">
        <v>70</v>
      </c>
      <c r="P523" s="99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0"/>
      <c r="R523" s="720"/>
      <c r="S523" s="720"/>
      <c r="T523" s="72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837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838</v>
      </c>
      <c r="B524" s="60" t="s">
        <v>839</v>
      </c>
      <c r="C524" s="34">
        <v>4301031353</v>
      </c>
      <c r="D524" s="718">
        <v>4680115883109</v>
      </c>
      <c r="E524" s="718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9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0"/>
      <c r="R524" s="720"/>
      <c r="S524" s="720"/>
      <c r="T524" s="72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840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841</v>
      </c>
      <c r="B525" s="60" t="s">
        <v>842</v>
      </c>
      <c r="C525" s="34">
        <v>4301031419</v>
      </c>
      <c r="D525" s="718">
        <v>4680115882072</v>
      </c>
      <c r="E525" s="718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133</v>
      </c>
      <c r="L525" s="35" t="s">
        <v>46</v>
      </c>
      <c r="M525" s="36" t="s">
        <v>125</v>
      </c>
      <c r="N525" s="36"/>
      <c r="O525" s="35">
        <v>70</v>
      </c>
      <c r="P525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0"/>
      <c r="R525" s="720"/>
      <c r="S525" s="720"/>
      <c r="T525" s="72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4301031352</v>
      </c>
      <c r="D526" s="718">
        <v>4680115882102</v>
      </c>
      <c r="E526" s="718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99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0"/>
      <c r="R526" s="720"/>
      <c r="S526" s="720"/>
      <c r="T526" s="72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843</v>
      </c>
      <c r="B527" s="60" t="s">
        <v>845</v>
      </c>
      <c r="C527" s="34">
        <v>4301031418</v>
      </c>
      <c r="D527" s="718">
        <v>4680115882102</v>
      </c>
      <c r="E527" s="718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0"/>
      <c r="R527" s="720"/>
      <c r="S527" s="720"/>
      <c r="T527" s="72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837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846</v>
      </c>
      <c r="B528" s="60" t="s">
        <v>847</v>
      </c>
      <c r="C528" s="34">
        <v>4301031417</v>
      </c>
      <c r="D528" s="718">
        <v>4680115882096</v>
      </c>
      <c r="E528" s="718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10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0"/>
      <c r="R528" s="720"/>
      <c r="S528" s="720"/>
      <c r="T528" s="72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840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idden="1" x14ac:dyDescent="0.25">
      <c r="A529" s="726"/>
      <c r="B529" s="726"/>
      <c r="C529" s="726"/>
      <c r="D529" s="726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7"/>
      <c r="P529" s="723" t="s">
        <v>40</v>
      </c>
      <c r="Q529" s="724"/>
      <c r="R529" s="724"/>
      <c r="S529" s="724"/>
      <c r="T529" s="724"/>
      <c r="U529" s="724"/>
      <c r="V529" s="725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5">
      <c r="A530" s="726"/>
      <c r="B530" s="726"/>
      <c r="C530" s="726"/>
      <c r="D530" s="726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7"/>
      <c r="P530" s="723" t="s">
        <v>40</v>
      </c>
      <c r="Q530" s="724"/>
      <c r="R530" s="724"/>
      <c r="S530" s="724"/>
      <c r="T530" s="724"/>
      <c r="U530" s="724"/>
      <c r="V530" s="725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5">
      <c r="A531" s="715" t="s">
        <v>848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52"/>
      <c r="AB531" s="52"/>
      <c r="AC531" s="52"/>
    </row>
    <row r="532" spans="1:68" ht="16.5" hidden="1" customHeight="1" x14ac:dyDescent="0.25">
      <c r="A532" s="716" t="s">
        <v>848</v>
      </c>
      <c r="B532" s="716"/>
      <c r="C532" s="716"/>
      <c r="D532" s="716"/>
      <c r="E532" s="716"/>
      <c r="F532" s="716"/>
      <c r="G532" s="716"/>
      <c r="H532" s="716"/>
      <c r="I532" s="716"/>
      <c r="J532" s="716"/>
      <c r="K532" s="716"/>
      <c r="L532" s="716"/>
      <c r="M532" s="716"/>
      <c r="N532" s="716"/>
      <c r="O532" s="716"/>
      <c r="P532" s="716"/>
      <c r="Q532" s="716"/>
      <c r="R532" s="716"/>
      <c r="S532" s="716"/>
      <c r="T532" s="716"/>
      <c r="U532" s="716"/>
      <c r="V532" s="716"/>
      <c r="W532" s="716"/>
      <c r="X532" s="716"/>
      <c r="Y532" s="716"/>
      <c r="Z532" s="716"/>
      <c r="AA532" s="62"/>
      <c r="AB532" s="62"/>
      <c r="AC532" s="62"/>
    </row>
    <row r="533" spans="1:68" ht="14.25" hidden="1" customHeight="1" x14ac:dyDescent="0.25">
      <c r="A533" s="717" t="s">
        <v>121</v>
      </c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7"/>
      <c r="P533" s="717"/>
      <c r="Q533" s="717"/>
      <c r="R533" s="717"/>
      <c r="S533" s="717"/>
      <c r="T533" s="717"/>
      <c r="U533" s="717"/>
      <c r="V533" s="717"/>
      <c r="W533" s="717"/>
      <c r="X533" s="717"/>
      <c r="Y533" s="717"/>
      <c r="Z533" s="717"/>
      <c r="AA533" s="63"/>
      <c r="AB533" s="63"/>
      <c r="AC533" s="63"/>
    </row>
    <row r="534" spans="1:68" ht="27" hidden="1" customHeight="1" x14ac:dyDescent="0.25">
      <c r="A534" s="60" t="s">
        <v>849</v>
      </c>
      <c r="B534" s="60" t="s">
        <v>850</v>
      </c>
      <c r="C534" s="34">
        <v>4301011584</v>
      </c>
      <c r="D534" s="718">
        <v>4640242180564</v>
      </c>
      <c r="E534" s="718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126</v>
      </c>
      <c r="L534" s="35" t="s">
        <v>46</v>
      </c>
      <c r="M534" s="36" t="s">
        <v>125</v>
      </c>
      <c r="N534" s="36"/>
      <c r="O534" s="35">
        <v>50</v>
      </c>
      <c r="P534" s="100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0"/>
      <c r="R534" s="720"/>
      <c r="S534" s="720"/>
      <c r="T534" s="721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851</v>
      </c>
      <c r="AG534" s="75"/>
      <c r="AJ534" s="79" t="s">
        <v>46</v>
      </c>
      <c r="AK534" s="79">
        <v>0</v>
      </c>
      <c r="BB534" s="63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5">
      <c r="A535" s="726"/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7"/>
      <c r="P535" s="723" t="s">
        <v>40</v>
      </c>
      <c r="Q535" s="724"/>
      <c r="R535" s="724"/>
      <c r="S535" s="724"/>
      <c r="T535" s="724"/>
      <c r="U535" s="724"/>
      <c r="V535" s="725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5">
      <c r="A536" s="726"/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7"/>
      <c r="P536" s="723" t="s">
        <v>40</v>
      </c>
      <c r="Q536" s="724"/>
      <c r="R536" s="724"/>
      <c r="S536" s="724"/>
      <c r="T536" s="724"/>
      <c r="U536" s="724"/>
      <c r="V536" s="725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17" t="s">
        <v>158</v>
      </c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7"/>
      <c r="P537" s="717"/>
      <c r="Q537" s="717"/>
      <c r="R537" s="717"/>
      <c r="S537" s="717"/>
      <c r="T537" s="717"/>
      <c r="U537" s="717"/>
      <c r="V537" s="717"/>
      <c r="W537" s="717"/>
      <c r="X537" s="717"/>
      <c r="Y537" s="717"/>
      <c r="Z537" s="717"/>
      <c r="AA537" s="63"/>
      <c r="AB537" s="63"/>
      <c r="AC537" s="63"/>
    </row>
    <row r="538" spans="1:68" ht="27" hidden="1" customHeight="1" x14ac:dyDescent="0.25">
      <c r="A538" s="60" t="s">
        <v>852</v>
      </c>
      <c r="B538" s="60" t="s">
        <v>853</v>
      </c>
      <c r="C538" s="34">
        <v>4301020444</v>
      </c>
      <c r="D538" s="718">
        <v>4680115889781</v>
      </c>
      <c r="E538" s="718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126</v>
      </c>
      <c r="L538" s="35" t="s">
        <v>46</v>
      </c>
      <c r="M538" s="36" t="s">
        <v>89</v>
      </c>
      <c r="N538" s="36"/>
      <c r="O538" s="35">
        <v>50</v>
      </c>
      <c r="P538" s="100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0"/>
      <c r="R538" s="720"/>
      <c r="S538" s="720"/>
      <c r="T538" s="721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727</v>
      </c>
      <c r="AG538" s="75"/>
      <c r="AJ538" s="79" t="s">
        <v>46</v>
      </c>
      <c r="AK538" s="79">
        <v>0</v>
      </c>
      <c r="BB538" s="63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5">
      <c r="A539" s="726"/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7"/>
      <c r="P539" s="723" t="s">
        <v>40</v>
      </c>
      <c r="Q539" s="724"/>
      <c r="R539" s="724"/>
      <c r="S539" s="724"/>
      <c r="T539" s="724"/>
      <c r="U539" s="724"/>
      <c r="V539" s="72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5">
      <c r="A540" s="726"/>
      <c r="B540" s="726"/>
      <c r="C540" s="726"/>
      <c r="D540" s="726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7"/>
      <c r="P540" s="723" t="s">
        <v>40</v>
      </c>
      <c r="Q540" s="724"/>
      <c r="R540" s="724"/>
      <c r="S540" s="724"/>
      <c r="T540" s="724"/>
      <c r="U540" s="724"/>
      <c r="V540" s="72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17" t="s">
        <v>76</v>
      </c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7"/>
      <c r="P541" s="717"/>
      <c r="Q541" s="717"/>
      <c r="R541" s="717"/>
      <c r="S541" s="717"/>
      <c r="T541" s="717"/>
      <c r="U541" s="717"/>
      <c r="V541" s="717"/>
      <c r="W541" s="717"/>
      <c r="X541" s="717"/>
      <c r="Y541" s="717"/>
      <c r="Z541" s="717"/>
      <c r="AA541" s="63"/>
      <c r="AB541" s="63"/>
      <c r="AC541" s="63"/>
    </row>
    <row r="542" spans="1:68" ht="27" hidden="1" customHeight="1" x14ac:dyDescent="0.25">
      <c r="A542" s="60" t="s">
        <v>854</v>
      </c>
      <c r="B542" s="60" t="s">
        <v>855</v>
      </c>
      <c r="C542" s="34">
        <v>4301031500</v>
      </c>
      <c r="D542" s="718">
        <v>4640242180595</v>
      </c>
      <c r="E542" s="718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133</v>
      </c>
      <c r="L542" s="35" t="s">
        <v>46</v>
      </c>
      <c r="M542" s="36" t="s">
        <v>80</v>
      </c>
      <c r="N542" s="36"/>
      <c r="O542" s="35">
        <v>40</v>
      </c>
      <c r="P542" s="100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0"/>
      <c r="R542" s="720"/>
      <c r="S542" s="720"/>
      <c r="T542" s="721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856</v>
      </c>
      <c r="AG542" s="75"/>
      <c r="AJ542" s="79" t="s">
        <v>46</v>
      </c>
      <c r="AK542" s="79">
        <v>0</v>
      </c>
      <c r="BB542" s="63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5">
      <c r="A543" s="726"/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7"/>
      <c r="P543" s="723" t="s">
        <v>40</v>
      </c>
      <c r="Q543" s="724"/>
      <c r="R543" s="724"/>
      <c r="S543" s="724"/>
      <c r="T543" s="724"/>
      <c r="U543" s="724"/>
      <c r="V543" s="725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5">
      <c r="A544" s="726"/>
      <c r="B544" s="726"/>
      <c r="C544" s="726"/>
      <c r="D544" s="726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7"/>
      <c r="P544" s="723" t="s">
        <v>40</v>
      </c>
      <c r="Q544" s="724"/>
      <c r="R544" s="724"/>
      <c r="S544" s="724"/>
      <c r="T544" s="724"/>
      <c r="U544" s="724"/>
      <c r="V544" s="725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17" t="s">
        <v>85</v>
      </c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7"/>
      <c r="P545" s="717"/>
      <c r="Q545" s="717"/>
      <c r="R545" s="717"/>
      <c r="S545" s="717"/>
      <c r="T545" s="717"/>
      <c r="U545" s="717"/>
      <c r="V545" s="717"/>
      <c r="W545" s="717"/>
      <c r="X545" s="717"/>
      <c r="Y545" s="717"/>
      <c r="Z545" s="717"/>
      <c r="AA545" s="63"/>
      <c r="AB545" s="63"/>
      <c r="AC545" s="63"/>
    </row>
    <row r="546" spans="1:68" ht="27" hidden="1" customHeight="1" x14ac:dyDescent="0.25">
      <c r="A546" s="60" t="s">
        <v>857</v>
      </c>
      <c r="B546" s="60" t="s">
        <v>858</v>
      </c>
      <c r="C546" s="34">
        <v>4301052043</v>
      </c>
      <c r="D546" s="718">
        <v>4640242180533</v>
      </c>
      <c r="E546" s="718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45</v>
      </c>
      <c r="P546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0"/>
      <c r="R546" s="720"/>
      <c r="S546" s="720"/>
      <c r="T546" s="721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859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5">
      <c r="A547" s="726"/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7"/>
      <c r="P547" s="723" t="s">
        <v>40</v>
      </c>
      <c r="Q547" s="724"/>
      <c r="R547" s="724"/>
      <c r="S547" s="724"/>
      <c r="T547" s="724"/>
      <c r="U547" s="724"/>
      <c r="V547" s="725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5">
      <c r="A548" s="726"/>
      <c r="B548" s="726"/>
      <c r="C548" s="726"/>
      <c r="D548" s="726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7"/>
      <c r="P548" s="723" t="s">
        <v>40</v>
      </c>
      <c r="Q548" s="724"/>
      <c r="R548" s="724"/>
      <c r="S548" s="724"/>
      <c r="T548" s="724"/>
      <c r="U548" s="724"/>
      <c r="V548" s="725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717" t="s">
        <v>177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3"/>
      <c r="AB549" s="63"/>
      <c r="AC549" s="63"/>
    </row>
    <row r="550" spans="1:68" ht="27" hidden="1" customHeight="1" x14ac:dyDescent="0.25">
      <c r="A550" s="60" t="s">
        <v>860</v>
      </c>
      <c r="B550" s="60" t="s">
        <v>861</v>
      </c>
      <c r="C550" s="34">
        <v>4301060535</v>
      </c>
      <c r="D550" s="718">
        <v>4640242180120</v>
      </c>
      <c r="E550" s="718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126</v>
      </c>
      <c r="L550" s="35" t="s">
        <v>46</v>
      </c>
      <c r="M550" s="36" t="s">
        <v>89</v>
      </c>
      <c r="N550" s="36"/>
      <c r="O550" s="35">
        <v>40</v>
      </c>
      <c r="P550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0"/>
      <c r="R550" s="720"/>
      <c r="S550" s="720"/>
      <c r="T550" s="721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862</v>
      </c>
      <c r="AG550" s="75"/>
      <c r="AJ550" s="79" t="s">
        <v>46</v>
      </c>
      <c r="AK550" s="79">
        <v>0</v>
      </c>
      <c r="BB550" s="642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863</v>
      </c>
      <c r="B551" s="60" t="s">
        <v>864</v>
      </c>
      <c r="C551" s="34">
        <v>4301060536</v>
      </c>
      <c r="D551" s="718">
        <v>4640242180137</v>
      </c>
      <c r="E551" s="718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0"/>
      <c r="R551" s="720"/>
      <c r="S551" s="720"/>
      <c r="T551" s="721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865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5">
      <c r="A552" s="726"/>
      <c r="B552" s="726"/>
      <c r="C552" s="726"/>
      <c r="D552" s="726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7"/>
      <c r="P552" s="723" t="s">
        <v>40</v>
      </c>
      <c r="Q552" s="724"/>
      <c r="R552" s="724"/>
      <c r="S552" s="724"/>
      <c r="T552" s="724"/>
      <c r="U552" s="724"/>
      <c r="V552" s="725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5">
      <c r="A553" s="726"/>
      <c r="B553" s="726"/>
      <c r="C553" s="726"/>
      <c r="D553" s="726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7"/>
      <c r="P553" s="723" t="s">
        <v>40</v>
      </c>
      <c r="Q553" s="724"/>
      <c r="R553" s="724"/>
      <c r="S553" s="724"/>
      <c r="T553" s="724"/>
      <c r="U553" s="724"/>
      <c r="V553" s="725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716" t="s">
        <v>866</v>
      </c>
      <c r="B554" s="716"/>
      <c r="C554" s="716"/>
      <c r="D554" s="716"/>
      <c r="E554" s="716"/>
      <c r="F554" s="716"/>
      <c r="G554" s="716"/>
      <c r="H554" s="716"/>
      <c r="I554" s="716"/>
      <c r="J554" s="716"/>
      <c r="K554" s="716"/>
      <c r="L554" s="716"/>
      <c r="M554" s="716"/>
      <c r="N554" s="716"/>
      <c r="O554" s="716"/>
      <c r="P554" s="716"/>
      <c r="Q554" s="716"/>
      <c r="R554" s="716"/>
      <c r="S554" s="716"/>
      <c r="T554" s="716"/>
      <c r="U554" s="716"/>
      <c r="V554" s="716"/>
      <c r="W554" s="716"/>
      <c r="X554" s="716"/>
      <c r="Y554" s="716"/>
      <c r="Z554" s="716"/>
      <c r="AA554" s="62"/>
      <c r="AB554" s="62"/>
      <c r="AC554" s="62"/>
    </row>
    <row r="555" spans="1:68" ht="14.25" hidden="1" customHeight="1" x14ac:dyDescent="0.25">
      <c r="A555" s="717" t="s">
        <v>158</v>
      </c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717"/>
      <c r="P555" s="717"/>
      <c r="Q555" s="717"/>
      <c r="R555" s="717"/>
      <c r="S555" s="717"/>
      <c r="T555" s="717"/>
      <c r="U555" s="717"/>
      <c r="V555" s="717"/>
      <c r="W555" s="717"/>
      <c r="X555" s="717"/>
      <c r="Y555" s="717"/>
      <c r="Z555" s="717"/>
      <c r="AA555" s="63"/>
      <c r="AB555" s="63"/>
      <c r="AC555" s="63"/>
    </row>
    <row r="556" spans="1:68" ht="27" hidden="1" customHeight="1" x14ac:dyDescent="0.25">
      <c r="A556" s="60" t="s">
        <v>867</v>
      </c>
      <c r="B556" s="60" t="s">
        <v>868</v>
      </c>
      <c r="C556" s="34">
        <v>4301020441</v>
      </c>
      <c r="D556" s="718">
        <v>4680115889798</v>
      </c>
      <c r="E556" s="718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126</v>
      </c>
      <c r="L556" s="35" t="s">
        <v>46</v>
      </c>
      <c r="M556" s="36" t="s">
        <v>125</v>
      </c>
      <c r="N556" s="36"/>
      <c r="O556" s="35">
        <v>50</v>
      </c>
      <c r="P556" s="10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0"/>
      <c r="R556" s="720"/>
      <c r="S556" s="720"/>
      <c r="T556" s="72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869</v>
      </c>
      <c r="AG556" s="75"/>
      <c r="AJ556" s="79" t="s">
        <v>46</v>
      </c>
      <c r="AK556" s="79">
        <v>0</v>
      </c>
      <c r="BB556" s="646" t="s">
        <v>66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5">
      <c r="A557" s="726"/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7"/>
      <c r="P557" s="723" t="s">
        <v>40</v>
      </c>
      <c r="Q557" s="724"/>
      <c r="R557" s="724"/>
      <c r="S557" s="724"/>
      <c r="T557" s="724"/>
      <c r="U557" s="724"/>
      <c r="V557" s="725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5">
      <c r="A558" s="726"/>
      <c r="B558" s="726"/>
      <c r="C558" s="726"/>
      <c r="D558" s="726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7"/>
      <c r="P558" s="723" t="s">
        <v>40</v>
      </c>
      <c r="Q558" s="724"/>
      <c r="R558" s="724"/>
      <c r="S558" s="724"/>
      <c r="T558" s="724"/>
      <c r="U558" s="724"/>
      <c r="V558" s="725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5">
      <c r="A559" s="726"/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1013"/>
      <c r="P559" s="1010" t="s">
        <v>33</v>
      </c>
      <c r="Q559" s="1011"/>
      <c r="R559" s="1011"/>
      <c r="S559" s="1011"/>
      <c r="T559" s="1011"/>
      <c r="U559" s="1011"/>
      <c r="V559" s="1012"/>
      <c r="W559" s="40" t="s">
        <v>0</v>
      </c>
      <c r="X559" s="41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960</v>
      </c>
      <c r="Y559" s="41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960</v>
      </c>
      <c r="Z559" s="40"/>
      <c r="AA559" s="64"/>
      <c r="AB559" s="64"/>
      <c r="AC559" s="64"/>
    </row>
    <row r="560" spans="1:68" x14ac:dyDescent="0.25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1013"/>
      <c r="P560" s="1010" t="s">
        <v>34</v>
      </c>
      <c r="Q560" s="1011"/>
      <c r="R560" s="1011"/>
      <c r="S560" s="1011"/>
      <c r="T560" s="1011"/>
      <c r="U560" s="1011"/>
      <c r="V560" s="1012"/>
      <c r="W560" s="40" t="s">
        <v>0</v>
      </c>
      <c r="X560" s="41">
        <f>IFERROR(SUM(BM22:BM556),"0")</f>
        <v>990.08</v>
      </c>
      <c r="Y560" s="41">
        <f>IFERROR(SUM(BN22:BN556),"0")</f>
        <v>990.08</v>
      </c>
      <c r="Z560" s="40"/>
      <c r="AA560" s="64"/>
      <c r="AB560" s="64"/>
      <c r="AC560" s="64"/>
    </row>
    <row r="561" spans="1:32" x14ac:dyDescent="0.25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1013"/>
      <c r="P561" s="1010" t="s">
        <v>35</v>
      </c>
      <c r="Q561" s="1011"/>
      <c r="R561" s="1011"/>
      <c r="S561" s="1011"/>
      <c r="T561" s="1011"/>
      <c r="U561" s="1011"/>
      <c r="V561" s="1012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5">
      <c r="A562" s="726"/>
      <c r="B562" s="726"/>
      <c r="C562" s="726"/>
      <c r="D562" s="726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1013"/>
      <c r="P562" s="1010" t="s">
        <v>36</v>
      </c>
      <c r="Q562" s="1011"/>
      <c r="R562" s="1011"/>
      <c r="S562" s="1011"/>
      <c r="T562" s="1011"/>
      <c r="U562" s="1011"/>
      <c r="V562" s="1012"/>
      <c r="W562" s="40" t="s">
        <v>0</v>
      </c>
      <c r="X562" s="41">
        <f>GrossWeightTotal+PalletQtyTotal*25</f>
        <v>1040.08</v>
      </c>
      <c r="Y562" s="41">
        <f>GrossWeightTotalR+PalletQtyTotalR*25</f>
        <v>1040.08</v>
      </c>
      <c r="Z562" s="40"/>
      <c r="AA562" s="64"/>
      <c r="AB562" s="64"/>
      <c r="AC562" s="64"/>
    </row>
    <row r="563" spans="1:32" x14ac:dyDescent="0.25">
      <c r="A563" s="726"/>
      <c r="B563" s="726"/>
      <c r="C563" s="726"/>
      <c r="D563" s="726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1013"/>
      <c r="P563" s="1010" t="s">
        <v>37</v>
      </c>
      <c r="Q563" s="1011"/>
      <c r="R563" s="1011"/>
      <c r="S563" s="1011"/>
      <c r="T563" s="1011"/>
      <c r="U563" s="1011"/>
      <c r="V563" s="1012"/>
      <c r="W563" s="40" t="s">
        <v>20</v>
      </c>
      <c r="X563" s="41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64</v>
      </c>
      <c r="Y563" s="41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64</v>
      </c>
      <c r="Z563" s="40"/>
      <c r="AA563" s="64"/>
      <c r="AB563" s="64"/>
      <c r="AC563" s="64"/>
    </row>
    <row r="564" spans="1:32" ht="15.6" hidden="1" x14ac:dyDescent="0.25">
      <c r="A564" s="726"/>
      <c r="B564" s="726"/>
      <c r="C564" s="726"/>
      <c r="D564" s="726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1013"/>
      <c r="P564" s="1010" t="s">
        <v>38</v>
      </c>
      <c r="Q564" s="1011"/>
      <c r="R564" s="1011"/>
      <c r="S564" s="1011"/>
      <c r="T564" s="1011"/>
      <c r="U564" s="1011"/>
      <c r="V564" s="1012"/>
      <c r="W564" s="43" t="s">
        <v>52</v>
      </c>
      <c r="X564" s="40"/>
      <c r="Y564" s="40"/>
      <c r="Z564" s="40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1.3919999999999999</v>
      </c>
      <c r="AA564" s="64"/>
      <c r="AB564" s="64"/>
      <c r="AC564" s="64"/>
    </row>
    <row r="565" spans="1:32" ht="13.8" thickBot="1" x14ac:dyDescent="0.3"/>
    <row r="566" spans="1:32" ht="28.8" thickTop="1" thickBot="1" x14ac:dyDescent="0.3">
      <c r="A566" s="44" t="s">
        <v>9</v>
      </c>
      <c r="B566" s="80" t="s">
        <v>75</v>
      </c>
      <c r="C566" s="80" t="s">
        <v>45</v>
      </c>
      <c r="D566" s="1005" t="s">
        <v>119</v>
      </c>
      <c r="E566" s="1005" t="s">
        <v>119</v>
      </c>
      <c r="F566" s="1005" t="s">
        <v>119</v>
      </c>
      <c r="G566" s="1005" t="s">
        <v>119</v>
      </c>
      <c r="H566" s="1005" t="s">
        <v>119</v>
      </c>
      <c r="I566" s="1005" t="s">
        <v>119</v>
      </c>
      <c r="J566" s="1005" t="s">
        <v>119</v>
      </c>
      <c r="K566" s="1005" t="s">
        <v>344</v>
      </c>
      <c r="L566" s="1005" t="s">
        <v>344</v>
      </c>
      <c r="M566" s="1005" t="s">
        <v>344</v>
      </c>
      <c r="N566" s="1014"/>
      <c r="O566" s="1005" t="s">
        <v>344</v>
      </c>
      <c r="P566" s="1005" t="s">
        <v>344</v>
      </c>
      <c r="Q566" s="1005" t="s">
        <v>344</v>
      </c>
      <c r="R566" s="1005" t="s">
        <v>344</v>
      </c>
      <c r="S566" s="1005" t="s">
        <v>344</v>
      </c>
      <c r="T566" s="1005" t="s">
        <v>344</v>
      </c>
      <c r="U566" s="1005" t="s">
        <v>344</v>
      </c>
      <c r="V566" s="1005" t="s">
        <v>344</v>
      </c>
      <c r="W566" s="1005" t="s">
        <v>699</v>
      </c>
      <c r="X566" s="1005" t="s">
        <v>699</v>
      </c>
      <c r="Y566" s="1005" t="s">
        <v>765</v>
      </c>
      <c r="Z566" s="1005" t="s">
        <v>765</v>
      </c>
      <c r="AA566" s="80" t="s">
        <v>801</v>
      </c>
      <c r="AB566" s="1005" t="s">
        <v>848</v>
      </c>
      <c r="AC566" s="1005" t="s">
        <v>848</v>
      </c>
      <c r="AF566" s="1"/>
    </row>
    <row r="567" spans="1:32" ht="14.25" customHeight="1" thickTop="1" x14ac:dyDescent="0.25">
      <c r="A567" s="1015" t="s">
        <v>10</v>
      </c>
      <c r="B567" s="1005" t="s">
        <v>75</v>
      </c>
      <c r="C567" s="1005" t="s">
        <v>103</v>
      </c>
      <c r="D567" s="1005" t="s">
        <v>120</v>
      </c>
      <c r="E567" s="1005" t="s">
        <v>136</v>
      </c>
      <c r="F567" s="1005" t="s">
        <v>185</v>
      </c>
      <c r="G567" s="1005" t="s">
        <v>208</v>
      </c>
      <c r="H567" s="1005" t="s">
        <v>248</v>
      </c>
      <c r="I567" s="1005" t="s">
        <v>261</v>
      </c>
      <c r="J567" s="1005" t="s">
        <v>119</v>
      </c>
      <c r="K567" s="1005" t="s">
        <v>345</v>
      </c>
      <c r="L567" s="1005" t="s">
        <v>366</v>
      </c>
      <c r="M567" s="1005" t="s">
        <v>440</v>
      </c>
      <c r="N567" s="1"/>
      <c r="O567" s="1005" t="s">
        <v>508</v>
      </c>
      <c r="P567" s="1005" t="s">
        <v>537</v>
      </c>
      <c r="Q567" s="1005" t="s">
        <v>557</v>
      </c>
      <c r="R567" s="1005" t="s">
        <v>566</v>
      </c>
      <c r="S567" s="1005" t="s">
        <v>587</v>
      </c>
      <c r="T567" s="1005" t="s">
        <v>596</v>
      </c>
      <c r="U567" s="1005" t="s">
        <v>682</v>
      </c>
      <c r="V567" s="1005" t="s">
        <v>689</v>
      </c>
      <c r="W567" s="1005" t="s">
        <v>700</v>
      </c>
      <c r="X567" s="1005" t="s">
        <v>749</v>
      </c>
      <c r="Y567" s="1005" t="s">
        <v>766</v>
      </c>
      <c r="Z567" s="1005" t="s">
        <v>789</v>
      </c>
      <c r="AA567" s="1005" t="s">
        <v>801</v>
      </c>
      <c r="AB567" s="1005" t="s">
        <v>848</v>
      </c>
      <c r="AC567" s="1005" t="s">
        <v>866</v>
      </c>
      <c r="AF567" s="1"/>
    </row>
    <row r="568" spans="1:32" ht="13.8" thickBot="1" x14ac:dyDescent="0.3">
      <c r="A568" s="1016"/>
      <c r="B568" s="1005"/>
      <c r="C568" s="1005"/>
      <c r="D568" s="1005"/>
      <c r="E568" s="1005"/>
      <c r="F568" s="1005"/>
      <c r="G568" s="1005"/>
      <c r="H568" s="1005"/>
      <c r="I568" s="1005"/>
      <c r="J568" s="1005"/>
      <c r="K568" s="1005"/>
      <c r="L568" s="1005"/>
      <c r="M568" s="1005"/>
      <c r="N568" s="1"/>
      <c r="O568" s="1005"/>
      <c r="P568" s="1005"/>
      <c r="Q568" s="1005"/>
      <c r="R568" s="1005"/>
      <c r="S568" s="1005"/>
      <c r="T568" s="1005"/>
      <c r="U568" s="1005"/>
      <c r="V568" s="1005"/>
      <c r="W568" s="1005"/>
      <c r="X568" s="1005"/>
      <c r="Y568" s="1005"/>
      <c r="Z568" s="1005"/>
      <c r="AA568" s="1005"/>
      <c r="AB568" s="1005"/>
      <c r="AC568" s="1005"/>
      <c r="AF568" s="1"/>
    </row>
    <row r="569" spans="1:32" ht="15" thickTop="1" thickBot="1" x14ac:dyDescent="0.3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0">
        <f>IFERROR(Y87*1,"0")+IFERROR(Y88*1,"0")+IFERROR(Y89*1,"0")+IFERROR(Y90*1,"0")+IFERROR(Y91*1,"0")+IFERROR(Y95*1,"0")+IFERROR(Y96*1,"0")+IFERROR(Y97*1,"0")+IFERROR(Y98*1,"0")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0</v>
      </c>
      <c r="H569" s="50">
        <f>IFERROR(Y133*1,"0")+IFERROR(Y134*1,"0")+IFERROR(Y138*1,"0")+IFERROR(Y139*1,"0")+IFERROR(Y143*1,"0")+IFERROR(Y144*1,"0")</f>
        <v>0</v>
      </c>
      <c r="I569" s="50">
        <f>IFERROR(Y149*1,"0")+IFERROR(Y150*1,"0")+IFERROR(Y151*1,"0")+IFERROR(Y152*1,"0")+IFERROR(Y153*1,"0")+IFERROR(Y154*1,"0")+IFERROR(Y158*1,"0")</f>
        <v>0</v>
      </c>
      <c r="J569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0">
        <f>IFERROR(Y205*1,"0")+IFERROR(Y206*1,"0")+IFERROR(Y207*1,"0")+IFERROR(Y208*1,"0")+IFERROR(Y209*1,"0")+IFERROR(Y210*1,"0")+IFERROR(Y211*1,"0")</f>
        <v>0</v>
      </c>
      <c r="L569" s="50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0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0">
        <f>IFERROR(Y303*1,"0")+IFERROR(Y304*1,"0")+IFERROR(Y305*1,"0")+IFERROR(Y306*1,"0")+IFERROR(Y307*1,"0")+IFERROR(Y308*1,"0")+IFERROR(Y309*1,"0")+IFERROR(Y313*1,"0")+IFERROR(Y317*1,"0")+IFERROR(Y321*1,"0")</f>
        <v>0</v>
      </c>
      <c r="P569" s="50">
        <f>IFERROR(Y326*1,"0")+IFERROR(Y327*1,"0")+IFERROR(Y328*1,"0")+IFERROR(Y329*1,"0")+IFERROR(Y330*1,"0")+IFERROR(Y331*1,"0")</f>
        <v>0</v>
      </c>
      <c r="Q569" s="50">
        <f>IFERROR(Y336*1,"0")+IFERROR(Y337*1,"0")+IFERROR(Y338*1,"0")</f>
        <v>0</v>
      </c>
      <c r="R569" s="50">
        <f>IFERROR(Y343*1,"0")+IFERROR(Y344*1,"0")+IFERROR(Y345*1,"0")+IFERROR(Y346*1,"0")+IFERROR(Y347*1,"0")+IFERROR(Y351*1,"0")+IFERROR(Y352*1,"0")</f>
        <v>0</v>
      </c>
      <c r="S569" s="50">
        <f>IFERROR(Y357*1,"0")+IFERROR(Y358*1,"0")+IFERROR(Y359*1,"0")</f>
        <v>0</v>
      </c>
      <c r="T569" s="50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960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0,08"/>
        <filter val="2"/>
        <filter val="300,00"/>
        <filter val="330,00"/>
        <filter val="64,00"/>
        <filter val="960,00"/>
        <filter val="990,08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2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870</v>
      </c>
      <c r="H1" s="9"/>
    </row>
    <row r="3" spans="2:8" x14ac:dyDescent="0.25">
      <c r="B3" s="51" t="s">
        <v>871</v>
      </c>
      <c r="C3" s="51" t="s">
        <v>46</v>
      </c>
      <c r="D3" s="51" t="s">
        <v>46</v>
      </c>
      <c r="E3" s="51" t="s">
        <v>46</v>
      </c>
    </row>
    <row r="4" spans="2:8" x14ac:dyDescent="0.25">
      <c r="B4" s="51" t="s">
        <v>872</v>
      </c>
      <c r="C4" s="51" t="s">
        <v>46</v>
      </c>
      <c r="D4" s="51" t="s">
        <v>46</v>
      </c>
      <c r="E4" s="51" t="s">
        <v>46</v>
      </c>
    </row>
    <row r="6" spans="2:8" x14ac:dyDescent="0.25">
      <c r="B6" s="51" t="s">
        <v>873</v>
      </c>
      <c r="C6" s="51" t="s">
        <v>874</v>
      </c>
      <c r="D6" s="51" t="s">
        <v>875</v>
      </c>
      <c r="E6" s="51" t="s">
        <v>46</v>
      </c>
    </row>
    <row r="7" spans="2:8" x14ac:dyDescent="0.25">
      <c r="B7" s="51" t="s">
        <v>876</v>
      </c>
      <c r="C7" s="51" t="s">
        <v>877</v>
      </c>
      <c r="D7" s="51" t="s">
        <v>878</v>
      </c>
      <c r="E7" s="51" t="s">
        <v>46</v>
      </c>
    </row>
    <row r="8" spans="2:8" x14ac:dyDescent="0.25">
      <c r="B8" s="51" t="s">
        <v>879</v>
      </c>
      <c r="C8" s="51" t="s">
        <v>880</v>
      </c>
      <c r="D8" s="51" t="s">
        <v>881</v>
      </c>
      <c r="E8" s="51" t="s">
        <v>46</v>
      </c>
    </row>
    <row r="9" spans="2:8" x14ac:dyDescent="0.25">
      <c r="B9" s="51" t="s">
        <v>882</v>
      </c>
      <c r="C9" s="51" t="s">
        <v>883</v>
      </c>
      <c r="D9" s="51" t="s">
        <v>884</v>
      </c>
      <c r="E9" s="51" t="s">
        <v>46</v>
      </c>
    </row>
    <row r="10" spans="2:8" x14ac:dyDescent="0.25">
      <c r="B10" s="51" t="s">
        <v>885</v>
      </c>
      <c r="C10" s="51" t="s">
        <v>886</v>
      </c>
      <c r="D10" s="51" t="s">
        <v>887</v>
      </c>
      <c r="E10" s="51" t="s">
        <v>46</v>
      </c>
    </row>
    <row r="12" spans="2:8" x14ac:dyDescent="0.25">
      <c r="B12" s="51" t="s">
        <v>888</v>
      </c>
      <c r="C12" s="51" t="s">
        <v>874</v>
      </c>
      <c r="D12" s="51" t="s">
        <v>46</v>
      </c>
      <c r="E12" s="51" t="s">
        <v>46</v>
      </c>
    </row>
    <row r="14" spans="2:8" x14ac:dyDescent="0.25">
      <c r="B14" s="51" t="s">
        <v>889</v>
      </c>
      <c r="C14" s="51" t="s">
        <v>877</v>
      </c>
      <c r="D14" s="51" t="s">
        <v>46</v>
      </c>
      <c r="E14" s="51" t="s">
        <v>46</v>
      </c>
    </row>
    <row r="16" spans="2:8" x14ac:dyDescent="0.25">
      <c r="B16" s="51" t="s">
        <v>890</v>
      </c>
      <c r="C16" s="51" t="s">
        <v>880</v>
      </c>
      <c r="D16" s="51" t="s">
        <v>46</v>
      </c>
      <c r="E16" s="51" t="s">
        <v>46</v>
      </c>
    </row>
    <row r="18" spans="2:5" x14ac:dyDescent="0.25">
      <c r="B18" s="51" t="s">
        <v>891</v>
      </c>
      <c r="C18" s="51" t="s">
        <v>883</v>
      </c>
      <c r="D18" s="51" t="s">
        <v>46</v>
      </c>
      <c r="E18" s="51" t="s">
        <v>46</v>
      </c>
    </row>
    <row r="20" spans="2:5" x14ac:dyDescent="0.25">
      <c r="B20" s="51" t="s">
        <v>892</v>
      </c>
      <c r="C20" s="51" t="s">
        <v>886</v>
      </c>
      <c r="D20" s="51" t="s">
        <v>46</v>
      </c>
      <c r="E20" s="51" t="s">
        <v>46</v>
      </c>
    </row>
    <row r="22" spans="2:5" x14ac:dyDescent="0.25">
      <c r="B22" s="51" t="s">
        <v>893</v>
      </c>
      <c r="C22" s="51" t="s">
        <v>46</v>
      </c>
      <c r="D22" s="51" t="s">
        <v>46</v>
      </c>
      <c r="E22" s="51" t="s">
        <v>46</v>
      </c>
    </row>
    <row r="23" spans="2:5" x14ac:dyDescent="0.25">
      <c r="B23" s="51" t="s">
        <v>894</v>
      </c>
      <c r="C23" s="51" t="s">
        <v>46</v>
      </c>
      <c r="D23" s="51" t="s">
        <v>46</v>
      </c>
      <c r="E23" s="51" t="s">
        <v>46</v>
      </c>
    </row>
    <row r="24" spans="2:5" x14ac:dyDescent="0.25">
      <c r="B24" s="51" t="s">
        <v>895</v>
      </c>
      <c r="C24" s="51" t="s">
        <v>46</v>
      </c>
      <c r="D24" s="51" t="s">
        <v>46</v>
      </c>
      <c r="E24" s="51" t="s">
        <v>46</v>
      </c>
    </row>
    <row r="25" spans="2:5" x14ac:dyDescent="0.25">
      <c r="B25" s="51" t="s">
        <v>896</v>
      </c>
      <c r="C25" s="51" t="s">
        <v>46</v>
      </c>
      <c r="D25" s="51" t="s">
        <v>46</v>
      </c>
      <c r="E25" s="51" t="s">
        <v>46</v>
      </c>
    </row>
    <row r="26" spans="2:5" x14ac:dyDescent="0.25">
      <c r="B26" s="51" t="s">
        <v>897</v>
      </c>
      <c r="C26" s="51" t="s">
        <v>46</v>
      </c>
      <c r="D26" s="51" t="s">
        <v>46</v>
      </c>
      <c r="E26" s="51" t="s">
        <v>46</v>
      </c>
    </row>
    <row r="27" spans="2:5" x14ac:dyDescent="0.25">
      <c r="B27" s="51" t="s">
        <v>898</v>
      </c>
      <c r="C27" s="51" t="s">
        <v>46</v>
      </c>
      <c r="D27" s="51" t="s">
        <v>46</v>
      </c>
      <c r="E27" s="51" t="s">
        <v>46</v>
      </c>
    </row>
    <row r="28" spans="2:5" x14ac:dyDescent="0.25">
      <c r="B28" s="51" t="s">
        <v>899</v>
      </c>
      <c r="C28" s="51" t="s">
        <v>46</v>
      </c>
      <c r="D28" s="51" t="s">
        <v>46</v>
      </c>
      <c r="E28" s="51" t="s">
        <v>46</v>
      </c>
    </row>
    <row r="29" spans="2:5" x14ac:dyDescent="0.25">
      <c r="B29" s="51" t="s">
        <v>900</v>
      </c>
      <c r="C29" s="51" t="s">
        <v>46</v>
      </c>
      <c r="D29" s="51" t="s">
        <v>46</v>
      </c>
      <c r="E29" s="51" t="s">
        <v>46</v>
      </c>
    </row>
    <row r="30" spans="2:5" x14ac:dyDescent="0.25">
      <c r="B30" s="51" t="s">
        <v>901</v>
      </c>
      <c r="C30" s="51" t="s">
        <v>46</v>
      </c>
      <c r="D30" s="51" t="s">
        <v>46</v>
      </c>
      <c r="E30" s="51" t="s">
        <v>46</v>
      </c>
    </row>
    <row r="31" spans="2:5" x14ac:dyDescent="0.25">
      <c r="B31" s="51" t="s">
        <v>902</v>
      </c>
      <c r="C31" s="51" t="s">
        <v>46</v>
      </c>
      <c r="D31" s="51" t="s">
        <v>46</v>
      </c>
      <c r="E31" s="51" t="s">
        <v>46</v>
      </c>
    </row>
    <row r="32" spans="2:5" x14ac:dyDescent="0.25">
      <c r="B32" s="51" t="s">
        <v>903</v>
      </c>
      <c r="C32" s="51" t="s">
        <v>46</v>
      </c>
      <c r="D32" s="51" t="s">
        <v>46</v>
      </c>
      <c r="E32" s="51" t="s">
        <v>46</v>
      </c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2026-09-26T05:50:34Z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