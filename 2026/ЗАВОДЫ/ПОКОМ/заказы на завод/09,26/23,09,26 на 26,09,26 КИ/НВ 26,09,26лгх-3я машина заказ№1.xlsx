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3A27A9C-FB77-4C68-82EC-F5E3664C52CF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55" i="1" l="1"/>
  <c r="X554" i="1"/>
  <c r="BO553" i="1"/>
  <c r="BM553" i="1"/>
  <c r="Y553" i="1"/>
  <c r="P553" i="1"/>
  <c r="X550" i="1"/>
  <c r="X549" i="1"/>
  <c r="BO548" i="1"/>
  <c r="BM548" i="1"/>
  <c r="Y548" i="1"/>
  <c r="P548" i="1"/>
  <c r="BO547" i="1"/>
  <c r="BM547" i="1"/>
  <c r="Y547" i="1"/>
  <c r="Y549" i="1" s="1"/>
  <c r="P547" i="1"/>
  <c r="X545" i="1"/>
  <c r="X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1" i="1"/>
  <c r="X530" i="1"/>
  <c r="BO529" i="1"/>
  <c r="BM529" i="1"/>
  <c r="Y529" i="1"/>
  <c r="P529" i="1"/>
  <c r="BO528" i="1"/>
  <c r="BN528" i="1"/>
  <c r="BM528" i="1"/>
  <c r="Y528" i="1"/>
  <c r="BP528" i="1" s="1"/>
  <c r="P528" i="1"/>
  <c r="BO527" i="1"/>
  <c r="BM527" i="1"/>
  <c r="Y527" i="1"/>
  <c r="P527" i="1"/>
  <c r="BO526" i="1"/>
  <c r="BM526" i="1"/>
  <c r="Y526" i="1"/>
  <c r="P526" i="1"/>
  <c r="BO525" i="1"/>
  <c r="BM525" i="1"/>
  <c r="Y525" i="1"/>
  <c r="P525" i="1"/>
  <c r="BP524" i="1"/>
  <c r="BO524" i="1"/>
  <c r="BN524" i="1"/>
  <c r="BM524" i="1"/>
  <c r="Z524" i="1"/>
  <c r="Y524" i="1"/>
  <c r="P524" i="1"/>
  <c r="BO523" i="1"/>
  <c r="BM523" i="1"/>
  <c r="Y523" i="1"/>
  <c r="P523" i="1"/>
  <c r="X521" i="1"/>
  <c r="X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BN512" i="1" s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BO508" i="1"/>
  <c r="BN508" i="1"/>
  <c r="BM508" i="1"/>
  <c r="Y508" i="1"/>
  <c r="BP508" i="1" s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X501" i="1"/>
  <c r="X500" i="1"/>
  <c r="BO499" i="1"/>
  <c r="BM499" i="1"/>
  <c r="Y499" i="1"/>
  <c r="P499" i="1"/>
  <c r="BO498" i="1"/>
  <c r="BM498" i="1"/>
  <c r="Y498" i="1"/>
  <c r="BN498" i="1" s="1"/>
  <c r="P498" i="1"/>
  <c r="BO497" i="1"/>
  <c r="BM497" i="1"/>
  <c r="Y497" i="1"/>
  <c r="P497" i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P483" i="1"/>
  <c r="BO483" i="1"/>
  <c r="BN483" i="1"/>
  <c r="BM483" i="1"/>
  <c r="Z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BO479" i="1"/>
  <c r="BM479" i="1"/>
  <c r="Y479" i="1"/>
  <c r="BN479" i="1" s="1"/>
  <c r="P479" i="1"/>
  <c r="BO478" i="1"/>
  <c r="BM478" i="1"/>
  <c r="Y478" i="1"/>
  <c r="P478" i="1"/>
  <c r="X474" i="1"/>
  <c r="X473" i="1"/>
  <c r="BO472" i="1"/>
  <c r="BM472" i="1"/>
  <c r="Y472" i="1"/>
  <c r="P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X458" i="1"/>
  <c r="Y457" i="1"/>
  <c r="X457" i="1"/>
  <c r="BO456" i="1"/>
  <c r="BN456" i="1"/>
  <c r="BM456" i="1"/>
  <c r="Y456" i="1"/>
  <c r="BP456" i="1" s="1"/>
  <c r="P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N444" i="1"/>
  <c r="BM444" i="1"/>
  <c r="Y444" i="1"/>
  <c r="BP444" i="1" s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N436" i="1"/>
  <c r="BM436" i="1"/>
  <c r="Y436" i="1"/>
  <c r="BP436" i="1" s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N432" i="1"/>
  <c r="BM432" i="1"/>
  <c r="Z432" i="1"/>
  <c r="Y432" i="1"/>
  <c r="BP432" i="1" s="1"/>
  <c r="P432" i="1"/>
  <c r="X428" i="1"/>
  <c r="X427" i="1"/>
  <c r="BO426" i="1"/>
  <c r="BN426" i="1"/>
  <c r="BM426" i="1"/>
  <c r="Y426" i="1"/>
  <c r="BP426" i="1" s="1"/>
  <c r="P426" i="1"/>
  <c r="BO425" i="1"/>
  <c r="BM425" i="1"/>
  <c r="Y425" i="1"/>
  <c r="P425" i="1"/>
  <c r="BO424" i="1"/>
  <c r="BM424" i="1"/>
  <c r="Y424" i="1"/>
  <c r="P424" i="1"/>
  <c r="X421" i="1"/>
  <c r="X420" i="1"/>
  <c r="BO419" i="1"/>
  <c r="BM419" i="1"/>
  <c r="Y419" i="1"/>
  <c r="BN419" i="1" s="1"/>
  <c r="P419" i="1"/>
  <c r="BO418" i="1"/>
  <c r="BM418" i="1"/>
  <c r="Y418" i="1"/>
  <c r="P418" i="1"/>
  <c r="X415" i="1"/>
  <c r="X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N406" i="1"/>
  <c r="BM406" i="1"/>
  <c r="Y406" i="1"/>
  <c r="BP406" i="1" s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BN398" i="1" s="1"/>
  <c r="P398" i="1"/>
  <c r="X396" i="1"/>
  <c r="X395" i="1"/>
  <c r="BO394" i="1"/>
  <c r="BM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90" i="1"/>
  <c r="X389" i="1"/>
  <c r="BO388" i="1"/>
  <c r="BM388" i="1"/>
  <c r="Y388" i="1"/>
  <c r="P388" i="1"/>
  <c r="BO387" i="1"/>
  <c r="BM387" i="1"/>
  <c r="Y387" i="1"/>
  <c r="P387" i="1"/>
  <c r="BO386" i="1"/>
  <c r="BN386" i="1"/>
  <c r="BM386" i="1"/>
  <c r="Y386" i="1"/>
  <c r="BP386" i="1" s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O378" i="1"/>
  <c r="BN378" i="1"/>
  <c r="BM378" i="1"/>
  <c r="Y378" i="1"/>
  <c r="BP378" i="1" s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BO370" i="1"/>
  <c r="BM370" i="1"/>
  <c r="Y370" i="1"/>
  <c r="BN370" i="1" s="1"/>
  <c r="P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BO366" i="1"/>
  <c r="BN366" i="1"/>
  <c r="BM366" i="1"/>
  <c r="Y366" i="1"/>
  <c r="BP366" i="1" s="1"/>
  <c r="P366" i="1"/>
  <c r="BO365" i="1"/>
  <c r="BM365" i="1"/>
  <c r="Y365" i="1"/>
  <c r="P365" i="1"/>
  <c r="X362" i="1"/>
  <c r="X361" i="1"/>
  <c r="BO360" i="1"/>
  <c r="BM360" i="1"/>
  <c r="Y360" i="1"/>
  <c r="P360" i="1"/>
  <c r="BO359" i="1"/>
  <c r="BM359" i="1"/>
  <c r="Y359" i="1"/>
  <c r="P359" i="1"/>
  <c r="BO358" i="1"/>
  <c r="BM358" i="1"/>
  <c r="Y358" i="1"/>
  <c r="Y362" i="1" s="1"/>
  <c r="P358" i="1"/>
  <c r="X355" i="1"/>
  <c r="X354" i="1"/>
  <c r="BO353" i="1"/>
  <c r="BM353" i="1"/>
  <c r="Y353" i="1"/>
  <c r="P353" i="1"/>
  <c r="BO352" i="1"/>
  <c r="BN352" i="1"/>
  <c r="BM352" i="1"/>
  <c r="Z352" i="1"/>
  <c r="Y352" i="1"/>
  <c r="BP352" i="1" s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N346" i="1"/>
  <c r="BM346" i="1"/>
  <c r="Y346" i="1"/>
  <c r="BP346" i="1" s="1"/>
  <c r="P346" i="1"/>
  <c r="BO345" i="1"/>
  <c r="BM345" i="1"/>
  <c r="Y345" i="1"/>
  <c r="P345" i="1"/>
  <c r="BO344" i="1"/>
  <c r="BM344" i="1"/>
  <c r="Y344" i="1"/>
  <c r="P344" i="1"/>
  <c r="X341" i="1"/>
  <c r="X340" i="1"/>
  <c r="BO339" i="1"/>
  <c r="BM339" i="1"/>
  <c r="Y339" i="1"/>
  <c r="P339" i="1"/>
  <c r="BO338" i="1"/>
  <c r="BM338" i="1"/>
  <c r="Y338" i="1"/>
  <c r="P338" i="1"/>
  <c r="BO337" i="1"/>
  <c r="BM337" i="1"/>
  <c r="Y337" i="1"/>
  <c r="BN337" i="1" s="1"/>
  <c r="P337" i="1"/>
  <c r="X334" i="1"/>
  <c r="X333" i="1"/>
  <c r="BO332" i="1"/>
  <c r="BM332" i="1"/>
  <c r="Y332" i="1"/>
  <c r="P332" i="1"/>
  <c r="BO331" i="1"/>
  <c r="BM331" i="1"/>
  <c r="Y331" i="1"/>
  <c r="P331" i="1"/>
  <c r="BP330" i="1"/>
  <c r="BO330" i="1"/>
  <c r="BM330" i="1"/>
  <c r="Z330" i="1"/>
  <c r="Y330" i="1"/>
  <c r="BN330" i="1" s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Y333" i="1" s="1"/>
  <c r="P327" i="1"/>
  <c r="X324" i="1"/>
  <c r="X323" i="1"/>
  <c r="BO322" i="1"/>
  <c r="BM322" i="1"/>
  <c r="Y322" i="1"/>
  <c r="P322" i="1"/>
  <c r="X320" i="1"/>
  <c r="X319" i="1"/>
  <c r="BO318" i="1"/>
  <c r="BM318" i="1"/>
  <c r="Y318" i="1"/>
  <c r="P318" i="1"/>
  <c r="X316" i="1"/>
  <c r="X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BN309" i="1" s="1"/>
  <c r="P309" i="1"/>
  <c r="BO308" i="1"/>
  <c r="BM308" i="1"/>
  <c r="Y308" i="1"/>
  <c r="P308" i="1"/>
  <c r="BO307" i="1"/>
  <c r="BN307" i="1"/>
  <c r="BM307" i="1"/>
  <c r="Y307" i="1"/>
  <c r="BP307" i="1" s="1"/>
  <c r="P307" i="1"/>
  <c r="BO306" i="1"/>
  <c r="BM306" i="1"/>
  <c r="Y306" i="1"/>
  <c r="P306" i="1"/>
  <c r="BO305" i="1"/>
  <c r="BM305" i="1"/>
  <c r="Y305" i="1"/>
  <c r="BP305" i="1" s="1"/>
  <c r="P305" i="1"/>
  <c r="BO304" i="1"/>
  <c r="BM304" i="1"/>
  <c r="Y304" i="1"/>
  <c r="P304" i="1"/>
  <c r="X301" i="1"/>
  <c r="X300" i="1"/>
  <c r="BO299" i="1"/>
  <c r="BM299" i="1"/>
  <c r="Y299" i="1"/>
  <c r="P299" i="1"/>
  <c r="BO298" i="1"/>
  <c r="BN298" i="1"/>
  <c r="BM298" i="1"/>
  <c r="Y298" i="1"/>
  <c r="BP298" i="1" s="1"/>
  <c r="P298" i="1"/>
  <c r="X296" i="1"/>
  <c r="X295" i="1"/>
  <c r="BO294" i="1"/>
  <c r="BM294" i="1"/>
  <c r="Y294" i="1"/>
  <c r="BP294" i="1" s="1"/>
  <c r="P294" i="1"/>
  <c r="BO293" i="1"/>
  <c r="BM293" i="1"/>
  <c r="Y293" i="1"/>
  <c r="P293" i="1"/>
  <c r="BO292" i="1"/>
  <c r="BM292" i="1"/>
  <c r="Y292" i="1"/>
  <c r="BN292" i="1" s="1"/>
  <c r="P292" i="1"/>
  <c r="BO291" i="1"/>
  <c r="BM291" i="1"/>
  <c r="Y291" i="1"/>
  <c r="P291" i="1"/>
  <c r="BO290" i="1"/>
  <c r="BM290" i="1"/>
  <c r="Y290" i="1"/>
  <c r="BP290" i="1" s="1"/>
  <c r="P290" i="1"/>
  <c r="BO289" i="1"/>
  <c r="BM289" i="1"/>
  <c r="Y289" i="1"/>
  <c r="P289" i="1"/>
  <c r="BO288" i="1"/>
  <c r="BN288" i="1"/>
  <c r="BM288" i="1"/>
  <c r="Y288" i="1"/>
  <c r="BP288" i="1" s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Z285" i="1" s="1"/>
  <c r="P285" i="1"/>
  <c r="BO284" i="1"/>
  <c r="BM284" i="1"/>
  <c r="Y284" i="1"/>
  <c r="BP284" i="1" s="1"/>
  <c r="P284" i="1"/>
  <c r="BO283" i="1"/>
  <c r="BM283" i="1"/>
  <c r="Y283" i="1"/>
  <c r="BP283" i="1" s="1"/>
  <c r="P283" i="1"/>
  <c r="X281" i="1"/>
  <c r="X280" i="1"/>
  <c r="BP279" i="1"/>
  <c r="BO279" i="1"/>
  <c r="BM279" i="1"/>
  <c r="Z279" i="1"/>
  <c r="Y279" i="1"/>
  <c r="BN279" i="1" s="1"/>
  <c r="P279" i="1"/>
  <c r="BO278" i="1"/>
  <c r="BM278" i="1"/>
  <c r="Y278" i="1"/>
  <c r="BP278" i="1" s="1"/>
  <c r="P278" i="1"/>
  <c r="BO277" i="1"/>
  <c r="BM277" i="1"/>
  <c r="Y277" i="1"/>
  <c r="BP277" i="1" s="1"/>
  <c r="P277" i="1"/>
  <c r="BO276" i="1"/>
  <c r="BM276" i="1"/>
  <c r="Y276" i="1"/>
  <c r="BP276" i="1" s="1"/>
  <c r="P276" i="1"/>
  <c r="BO275" i="1"/>
  <c r="BM275" i="1"/>
  <c r="Y275" i="1"/>
  <c r="BN275" i="1" s="1"/>
  <c r="P275" i="1"/>
  <c r="BO274" i="1"/>
  <c r="BM274" i="1"/>
  <c r="Y274" i="1"/>
  <c r="BP274" i="1" s="1"/>
  <c r="P274" i="1"/>
  <c r="BO273" i="1"/>
  <c r="BM273" i="1"/>
  <c r="Y273" i="1"/>
  <c r="BP273" i="1" s="1"/>
  <c r="P273" i="1"/>
  <c r="BO272" i="1"/>
  <c r="BM272" i="1"/>
  <c r="Y272" i="1"/>
  <c r="Y280" i="1" s="1"/>
  <c r="P272" i="1"/>
  <c r="X270" i="1"/>
  <c r="X269" i="1"/>
  <c r="BO268" i="1"/>
  <c r="BM268" i="1"/>
  <c r="Y268" i="1"/>
  <c r="P268" i="1"/>
  <c r="BP267" i="1"/>
  <c r="BO267" i="1"/>
  <c r="BM267" i="1"/>
  <c r="Z267" i="1"/>
  <c r="Y267" i="1"/>
  <c r="BN267" i="1" s="1"/>
  <c r="P267" i="1"/>
  <c r="X265" i="1"/>
  <c r="X264" i="1"/>
  <c r="BO263" i="1"/>
  <c r="BM263" i="1"/>
  <c r="Y263" i="1"/>
  <c r="BP263" i="1" s="1"/>
  <c r="P263" i="1"/>
  <c r="BO262" i="1"/>
  <c r="BM262" i="1"/>
  <c r="Y262" i="1"/>
  <c r="P262" i="1"/>
  <c r="X259" i="1"/>
  <c r="X258" i="1"/>
  <c r="BO257" i="1"/>
  <c r="BM257" i="1"/>
  <c r="Y257" i="1"/>
  <c r="Y259" i="1" s="1"/>
  <c r="P257" i="1"/>
  <c r="X255" i="1"/>
  <c r="X254" i="1"/>
  <c r="BO253" i="1"/>
  <c r="BM253" i="1"/>
  <c r="Y253" i="1"/>
  <c r="BP253" i="1" s="1"/>
  <c r="P253" i="1"/>
  <c r="BO252" i="1"/>
  <c r="BN252" i="1"/>
  <c r="BM252" i="1"/>
  <c r="Y252" i="1"/>
  <c r="BP252" i="1" s="1"/>
  <c r="P252" i="1"/>
  <c r="BO251" i="1"/>
  <c r="BM251" i="1"/>
  <c r="Y251" i="1"/>
  <c r="P251" i="1"/>
  <c r="X249" i="1"/>
  <c r="X248" i="1"/>
  <c r="BO247" i="1"/>
  <c r="BM247" i="1"/>
  <c r="Y247" i="1"/>
  <c r="BP247" i="1" s="1"/>
  <c r="P247" i="1"/>
  <c r="BO246" i="1"/>
  <c r="BM246" i="1"/>
  <c r="Y246" i="1"/>
  <c r="BP246" i="1" s="1"/>
  <c r="P246" i="1"/>
  <c r="BO245" i="1"/>
  <c r="BM245" i="1"/>
  <c r="Y245" i="1"/>
  <c r="BP245" i="1" s="1"/>
  <c r="P245" i="1"/>
  <c r="BO244" i="1"/>
  <c r="BN244" i="1"/>
  <c r="BM244" i="1"/>
  <c r="Y244" i="1"/>
  <c r="BP244" i="1" s="1"/>
  <c r="P244" i="1"/>
  <c r="BO243" i="1"/>
  <c r="BM243" i="1"/>
  <c r="Y243" i="1"/>
  <c r="BP243" i="1" s="1"/>
  <c r="P243" i="1"/>
  <c r="BO242" i="1"/>
  <c r="BM242" i="1"/>
  <c r="Y242" i="1"/>
  <c r="BP242" i="1" s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X237" i="1"/>
  <c r="X236" i="1"/>
  <c r="BO235" i="1"/>
  <c r="BM235" i="1"/>
  <c r="Y235" i="1"/>
  <c r="BP235" i="1" s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N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P224" i="1"/>
  <c r="BO224" i="1"/>
  <c r="BM224" i="1"/>
  <c r="Z224" i="1"/>
  <c r="Y224" i="1"/>
  <c r="BN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BP212" i="1" s="1"/>
  <c r="P212" i="1"/>
  <c r="BO211" i="1"/>
  <c r="BM211" i="1"/>
  <c r="Y211" i="1"/>
  <c r="BN211" i="1" s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N207" i="1"/>
  <c r="BM207" i="1"/>
  <c r="Y207" i="1"/>
  <c r="BP207" i="1" s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BP191" i="1" s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BO183" i="1"/>
  <c r="BM183" i="1"/>
  <c r="Y183" i="1"/>
  <c r="BP183" i="1" s="1"/>
  <c r="P183" i="1"/>
  <c r="BO182" i="1"/>
  <c r="BM182" i="1"/>
  <c r="Y182" i="1"/>
  <c r="P182" i="1"/>
  <c r="BP181" i="1"/>
  <c r="BO181" i="1"/>
  <c r="BM181" i="1"/>
  <c r="Z181" i="1"/>
  <c r="Y181" i="1"/>
  <c r="BN181" i="1" s="1"/>
  <c r="P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N177" i="1" s="1"/>
  <c r="P177" i="1"/>
  <c r="BO176" i="1"/>
  <c r="BM176" i="1"/>
  <c r="Y176" i="1"/>
  <c r="P176" i="1"/>
  <c r="X174" i="1"/>
  <c r="X173" i="1"/>
  <c r="BO172" i="1"/>
  <c r="BM172" i="1"/>
  <c r="Y172" i="1"/>
  <c r="BP172" i="1" s="1"/>
  <c r="P172" i="1"/>
  <c r="BO171" i="1"/>
  <c r="BM171" i="1"/>
  <c r="Y171" i="1"/>
  <c r="Y173" i="1" s="1"/>
  <c r="P171" i="1"/>
  <c r="X169" i="1"/>
  <c r="X168" i="1"/>
  <c r="BO167" i="1"/>
  <c r="BN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BP165" i="1" s="1"/>
  <c r="P165" i="1"/>
  <c r="BO164" i="1"/>
  <c r="BM164" i="1"/>
  <c r="Y164" i="1"/>
  <c r="P164" i="1"/>
  <c r="X161" i="1"/>
  <c r="X160" i="1"/>
  <c r="BO159" i="1"/>
  <c r="BM159" i="1"/>
  <c r="Y159" i="1"/>
  <c r="Y160" i="1" s="1"/>
  <c r="P159" i="1"/>
  <c r="X157" i="1"/>
  <c r="X156" i="1"/>
  <c r="BO155" i="1"/>
  <c r="BM155" i="1"/>
  <c r="Y155" i="1"/>
  <c r="BP155" i="1" s="1"/>
  <c r="P155" i="1"/>
  <c r="BO154" i="1"/>
  <c r="BN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X147" i="1"/>
  <c r="X146" i="1"/>
  <c r="BO145" i="1"/>
  <c r="BM145" i="1"/>
  <c r="Y145" i="1"/>
  <c r="BP145" i="1" s="1"/>
  <c r="P145" i="1"/>
  <c r="BO144" i="1"/>
  <c r="BM144" i="1"/>
  <c r="Y144" i="1"/>
  <c r="Y147" i="1" s="1"/>
  <c r="P144" i="1"/>
  <c r="X142" i="1"/>
  <c r="X141" i="1"/>
  <c r="BO140" i="1"/>
  <c r="BM140" i="1"/>
  <c r="Y140" i="1"/>
  <c r="BP140" i="1" s="1"/>
  <c r="P140" i="1"/>
  <c r="BO139" i="1"/>
  <c r="BM139" i="1"/>
  <c r="Y139" i="1"/>
  <c r="BN139" i="1" s="1"/>
  <c r="P139" i="1"/>
  <c r="X137" i="1"/>
  <c r="X136" i="1"/>
  <c r="BO135" i="1"/>
  <c r="BM135" i="1"/>
  <c r="Y135" i="1"/>
  <c r="BP135" i="1" s="1"/>
  <c r="P135" i="1"/>
  <c r="BO134" i="1"/>
  <c r="BM134" i="1"/>
  <c r="Y134" i="1"/>
  <c r="P134" i="1"/>
  <c r="X131" i="1"/>
  <c r="X130" i="1"/>
  <c r="BO129" i="1"/>
  <c r="BM129" i="1"/>
  <c r="Y129" i="1"/>
  <c r="Y130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BO123" i="1"/>
  <c r="BM123" i="1"/>
  <c r="Y123" i="1"/>
  <c r="BP123" i="1" s="1"/>
  <c r="P123" i="1"/>
  <c r="BO122" i="1"/>
  <c r="BM122" i="1"/>
  <c r="Y122" i="1"/>
  <c r="Y126" i="1" s="1"/>
  <c r="P122" i="1"/>
  <c r="X120" i="1"/>
  <c r="X119" i="1"/>
  <c r="BO118" i="1"/>
  <c r="BN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Y120" i="1" s="1"/>
  <c r="P116" i="1"/>
  <c r="X114" i="1"/>
  <c r="X113" i="1"/>
  <c r="BO112" i="1"/>
  <c r="BN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N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X101" i="1"/>
  <c r="X100" i="1"/>
  <c r="BO99" i="1"/>
  <c r="BM99" i="1"/>
  <c r="Y99" i="1"/>
  <c r="BP99" i="1" s="1"/>
  <c r="P99" i="1"/>
  <c r="BO98" i="1"/>
  <c r="BM98" i="1"/>
  <c r="Y98" i="1"/>
  <c r="BP98" i="1" s="1"/>
  <c r="P98" i="1"/>
  <c r="BO97" i="1"/>
  <c r="BN97" i="1"/>
  <c r="BM97" i="1"/>
  <c r="Y97" i="1"/>
  <c r="BP97" i="1" s="1"/>
  <c r="P97" i="1"/>
  <c r="BO96" i="1"/>
  <c r="BM96" i="1"/>
  <c r="Y96" i="1"/>
  <c r="P96" i="1"/>
  <c r="X94" i="1"/>
  <c r="X93" i="1"/>
  <c r="BO92" i="1"/>
  <c r="BM92" i="1"/>
  <c r="Y92" i="1"/>
  <c r="BP92" i="1" s="1"/>
  <c r="P92" i="1"/>
  <c r="BO91" i="1"/>
  <c r="BM91" i="1"/>
  <c r="Y91" i="1"/>
  <c r="BP91" i="1" s="1"/>
  <c r="P91" i="1"/>
  <c r="BO90" i="1"/>
  <c r="BM90" i="1"/>
  <c r="Y90" i="1"/>
  <c r="BP90" i="1" s="1"/>
  <c r="P90" i="1"/>
  <c r="BO89" i="1"/>
  <c r="BN89" i="1"/>
  <c r="BM89" i="1"/>
  <c r="Y89" i="1"/>
  <c r="BP89" i="1" s="1"/>
  <c r="P89" i="1"/>
  <c r="BO88" i="1"/>
  <c r="BM88" i="1"/>
  <c r="Y88" i="1"/>
  <c r="P88" i="1"/>
  <c r="X85" i="1"/>
  <c r="X84" i="1"/>
  <c r="BO83" i="1"/>
  <c r="BM83" i="1"/>
  <c r="Y83" i="1"/>
  <c r="BP83" i="1" s="1"/>
  <c r="P83" i="1"/>
  <c r="BO82" i="1"/>
  <c r="BM82" i="1"/>
  <c r="Y82" i="1"/>
  <c r="BP82" i="1" s="1"/>
  <c r="P82" i="1"/>
  <c r="BO81" i="1"/>
  <c r="BM81" i="1"/>
  <c r="Y81" i="1"/>
  <c r="Y84" i="1" s="1"/>
  <c r="P81" i="1"/>
  <c r="X79" i="1"/>
  <c r="X78" i="1"/>
  <c r="BO77" i="1"/>
  <c r="BM77" i="1"/>
  <c r="Y77" i="1"/>
  <c r="BP77" i="1" s="1"/>
  <c r="P77" i="1"/>
  <c r="BP76" i="1"/>
  <c r="BO76" i="1"/>
  <c r="BN76" i="1"/>
  <c r="BM76" i="1"/>
  <c r="Z76" i="1"/>
  <c r="Y76" i="1"/>
  <c r="P76" i="1"/>
  <c r="X74" i="1"/>
  <c r="X73" i="1"/>
  <c r="BO72" i="1"/>
  <c r="BM72" i="1"/>
  <c r="Y72" i="1"/>
  <c r="BP72" i="1" s="1"/>
  <c r="P72" i="1"/>
  <c r="BO71" i="1"/>
  <c r="BM71" i="1"/>
  <c r="Y71" i="1"/>
  <c r="BP71" i="1" s="1"/>
  <c r="P71" i="1"/>
  <c r="BO70" i="1"/>
  <c r="BN70" i="1"/>
  <c r="BM70" i="1"/>
  <c r="Y70" i="1"/>
  <c r="BP70" i="1" s="1"/>
  <c r="P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N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N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N49" i="1" s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P41" i="1"/>
  <c r="BO41" i="1"/>
  <c r="BM41" i="1"/>
  <c r="Z41" i="1"/>
  <c r="Y41" i="1"/>
  <c r="BN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BN37" i="1" s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M29" i="1"/>
  <c r="Z29" i="1"/>
  <c r="Y29" i="1"/>
  <c r="BN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24" i="1"/>
  <c r="BP23" i="1"/>
  <c r="BO23" i="1"/>
  <c r="BN23" i="1"/>
  <c r="BM23" i="1"/>
  <c r="Z23" i="1"/>
  <c r="Y23" i="1"/>
  <c r="P23" i="1"/>
  <c r="BO22" i="1"/>
  <c r="BM22" i="1"/>
  <c r="Y22" i="1"/>
  <c r="P22" i="1"/>
  <c r="H10" i="1"/>
  <c r="A9" i="1"/>
  <c r="F10" i="1" s="1"/>
  <c r="D7" i="1"/>
  <c r="Q6" i="1"/>
  <c r="P2" i="1"/>
  <c r="X556" i="1" l="1"/>
  <c r="Z37" i="1"/>
  <c r="BP37" i="1"/>
  <c r="Z49" i="1"/>
  <c r="BP49" i="1"/>
  <c r="E566" i="1"/>
  <c r="Z62" i="1"/>
  <c r="BP62" i="1"/>
  <c r="Y74" i="1"/>
  <c r="Z139" i="1"/>
  <c r="BP139" i="1"/>
  <c r="J566" i="1"/>
  <c r="Z177" i="1"/>
  <c r="BP177" i="1"/>
  <c r="Z211" i="1"/>
  <c r="BP211" i="1"/>
  <c r="L566" i="1"/>
  <c r="M566" i="1"/>
  <c r="Z275" i="1"/>
  <c r="BP275" i="1"/>
  <c r="Z292" i="1"/>
  <c r="BP292" i="1"/>
  <c r="Z309" i="1"/>
  <c r="BP309" i="1"/>
  <c r="Z337" i="1"/>
  <c r="BP337" i="1"/>
  <c r="Z370" i="1"/>
  <c r="BP370" i="1"/>
  <c r="Z398" i="1"/>
  <c r="BP398" i="1"/>
  <c r="Z419" i="1"/>
  <c r="BP419" i="1"/>
  <c r="Z479" i="1"/>
  <c r="BP479" i="1"/>
  <c r="Z498" i="1"/>
  <c r="BP498" i="1"/>
  <c r="Z512" i="1"/>
  <c r="BP512" i="1"/>
  <c r="Z58" i="1"/>
  <c r="Z70" i="1"/>
  <c r="Z89" i="1"/>
  <c r="Z112" i="1"/>
  <c r="H566" i="1"/>
  <c r="Z167" i="1"/>
  <c r="Z207" i="1"/>
  <c r="Z232" i="1"/>
  <c r="Z244" i="1"/>
  <c r="Y270" i="1"/>
  <c r="Z288" i="1"/>
  <c r="Z298" i="1"/>
  <c r="Z346" i="1"/>
  <c r="Z366" i="1"/>
  <c r="Z378" i="1"/>
  <c r="Z406" i="1"/>
  <c r="Z426" i="1"/>
  <c r="Z436" i="1"/>
  <c r="Z456" i="1"/>
  <c r="Z508" i="1"/>
  <c r="X557" i="1"/>
  <c r="Z97" i="1"/>
  <c r="Z108" i="1"/>
  <c r="Z118" i="1"/>
  <c r="Z154" i="1"/>
  <c r="Y237" i="1"/>
  <c r="Z252" i="1"/>
  <c r="Z307" i="1"/>
  <c r="Z386" i="1"/>
  <c r="Z444" i="1"/>
  <c r="Z528" i="1"/>
  <c r="AB566" i="1"/>
  <c r="BP328" i="1"/>
  <c r="BN328" i="1"/>
  <c r="Z328" i="1"/>
  <c r="BP339" i="1"/>
  <c r="BN339" i="1"/>
  <c r="Z339" i="1"/>
  <c r="BP344" i="1"/>
  <c r="BN344" i="1"/>
  <c r="Z344" i="1"/>
  <c r="BP359" i="1"/>
  <c r="BN359" i="1"/>
  <c r="Z359" i="1"/>
  <c r="BP376" i="1"/>
  <c r="BN376" i="1"/>
  <c r="Z376" i="1"/>
  <c r="BP388" i="1"/>
  <c r="BN388" i="1"/>
  <c r="Z388" i="1"/>
  <c r="BP400" i="1"/>
  <c r="BN400" i="1"/>
  <c r="Z400" i="1"/>
  <c r="BP424" i="1"/>
  <c r="BN424" i="1"/>
  <c r="Z424" i="1"/>
  <c r="BP438" i="1"/>
  <c r="BN438" i="1"/>
  <c r="Z438" i="1"/>
  <c r="BP471" i="1"/>
  <c r="BN471" i="1"/>
  <c r="Z471" i="1"/>
  <c r="BP487" i="1"/>
  <c r="BN487" i="1"/>
  <c r="Z487" i="1"/>
  <c r="BP510" i="1"/>
  <c r="BN510" i="1"/>
  <c r="Z510" i="1"/>
  <c r="BP526" i="1"/>
  <c r="BN526" i="1"/>
  <c r="Z526" i="1"/>
  <c r="B566" i="1"/>
  <c r="X558" i="1"/>
  <c r="X559" i="1" s="1"/>
  <c r="Z27" i="1"/>
  <c r="BN27" i="1"/>
  <c r="BP27" i="1"/>
  <c r="Z31" i="1"/>
  <c r="BN31" i="1"/>
  <c r="Z39" i="1"/>
  <c r="BN39" i="1"/>
  <c r="Z47" i="1"/>
  <c r="BN47" i="1"/>
  <c r="Z56" i="1"/>
  <c r="BN56" i="1"/>
  <c r="Z60" i="1"/>
  <c r="BN60" i="1"/>
  <c r="Z68" i="1"/>
  <c r="BN68" i="1"/>
  <c r="Z72" i="1"/>
  <c r="BN72" i="1"/>
  <c r="Y78" i="1"/>
  <c r="Z82" i="1"/>
  <c r="BN82" i="1"/>
  <c r="F566" i="1"/>
  <c r="Z91" i="1"/>
  <c r="BN91" i="1"/>
  <c r="Y101" i="1"/>
  <c r="Z99" i="1"/>
  <c r="BN99" i="1"/>
  <c r="Z106" i="1"/>
  <c r="BN106" i="1"/>
  <c r="Z110" i="1"/>
  <c r="BN110" i="1"/>
  <c r="Z116" i="1"/>
  <c r="BN116" i="1"/>
  <c r="BP116" i="1"/>
  <c r="Z122" i="1"/>
  <c r="BN122" i="1"/>
  <c r="BP122" i="1"/>
  <c r="Z135" i="1"/>
  <c r="BN135" i="1"/>
  <c r="Y141" i="1"/>
  <c r="Z145" i="1"/>
  <c r="BN145" i="1"/>
  <c r="Z152" i="1"/>
  <c r="BN152" i="1"/>
  <c r="Z165" i="1"/>
  <c r="BN165" i="1"/>
  <c r="Z171" i="1"/>
  <c r="BN171" i="1"/>
  <c r="BP171" i="1"/>
  <c r="Y187" i="1"/>
  <c r="Z179" i="1"/>
  <c r="BN179" i="1"/>
  <c r="Z183" i="1"/>
  <c r="BN183" i="1"/>
  <c r="Z191" i="1"/>
  <c r="BN191" i="1"/>
  <c r="K566" i="1"/>
  <c r="Z209" i="1"/>
  <c r="BN209" i="1"/>
  <c r="Z222" i="1"/>
  <c r="BN222" i="1"/>
  <c r="Z226" i="1"/>
  <c r="BN226" i="1"/>
  <c r="Z230" i="1"/>
  <c r="BN230" i="1"/>
  <c r="Z234" i="1"/>
  <c r="BN234" i="1"/>
  <c r="Y249" i="1"/>
  <c r="Z242" i="1"/>
  <c r="BN242" i="1"/>
  <c r="Z246" i="1"/>
  <c r="BN246" i="1"/>
  <c r="Y255" i="1"/>
  <c r="Z263" i="1"/>
  <c r="BN263" i="1"/>
  <c r="Y269" i="1"/>
  <c r="Z273" i="1"/>
  <c r="BN273" i="1"/>
  <c r="Z277" i="1"/>
  <c r="BN277" i="1"/>
  <c r="Z283" i="1"/>
  <c r="BN283" i="1"/>
  <c r="Z286" i="1"/>
  <c r="BN286" i="1"/>
  <c r="Z290" i="1"/>
  <c r="BN290" i="1"/>
  <c r="Z294" i="1"/>
  <c r="BN294" i="1"/>
  <c r="Y300" i="1"/>
  <c r="Z305" i="1"/>
  <c r="BN305" i="1"/>
  <c r="BP332" i="1"/>
  <c r="BN332" i="1"/>
  <c r="Z332" i="1"/>
  <c r="Y340" i="1"/>
  <c r="BP348" i="1"/>
  <c r="BN348" i="1"/>
  <c r="Z348" i="1"/>
  <c r="BP368" i="1"/>
  <c r="BN368" i="1"/>
  <c r="Z368" i="1"/>
  <c r="BP380" i="1"/>
  <c r="BN380" i="1"/>
  <c r="Z380" i="1"/>
  <c r="BP394" i="1"/>
  <c r="BN394" i="1"/>
  <c r="Z394" i="1"/>
  <c r="BP412" i="1"/>
  <c r="BN412" i="1"/>
  <c r="Z412" i="1"/>
  <c r="Y427" i="1"/>
  <c r="BP434" i="1"/>
  <c r="BN434" i="1"/>
  <c r="Z434" i="1"/>
  <c r="BP450" i="1"/>
  <c r="BN450" i="1"/>
  <c r="Z450" i="1"/>
  <c r="BP481" i="1"/>
  <c r="BN481" i="1"/>
  <c r="Z481" i="1"/>
  <c r="BP506" i="1"/>
  <c r="BN506" i="1"/>
  <c r="Z506" i="1"/>
  <c r="BP518" i="1"/>
  <c r="BN518" i="1"/>
  <c r="Z518" i="1"/>
  <c r="BP548" i="1"/>
  <c r="BN548" i="1"/>
  <c r="Z548" i="1"/>
  <c r="AC566" i="1"/>
  <c r="Y554" i="1"/>
  <c r="BP553" i="1"/>
  <c r="BN553" i="1"/>
  <c r="Z553" i="1"/>
  <c r="Z554" i="1" s="1"/>
  <c r="Y354" i="1"/>
  <c r="Y402" i="1"/>
  <c r="H9" i="1"/>
  <c r="A10" i="1"/>
  <c r="Y24" i="1"/>
  <c r="Y32" i="1"/>
  <c r="Y42" i="1"/>
  <c r="Y52" i="1"/>
  <c r="Y65" i="1"/>
  <c r="Y73" i="1"/>
  <c r="Y79" i="1"/>
  <c r="Y85" i="1"/>
  <c r="Y94" i="1"/>
  <c r="Y100" i="1"/>
  <c r="Y113" i="1"/>
  <c r="Y119" i="1"/>
  <c r="Y127" i="1"/>
  <c r="Y131" i="1"/>
  <c r="Y136" i="1"/>
  <c r="Y142" i="1"/>
  <c r="Y146" i="1"/>
  <c r="Y157" i="1"/>
  <c r="Y161" i="1"/>
  <c r="Y168" i="1"/>
  <c r="Y174" i="1"/>
  <c r="BP178" i="1"/>
  <c r="BN178" i="1"/>
  <c r="BP180" i="1"/>
  <c r="BN180" i="1"/>
  <c r="Z180" i="1"/>
  <c r="BP184" i="1"/>
  <c r="BN184" i="1"/>
  <c r="Z184" i="1"/>
  <c r="BP192" i="1"/>
  <c r="BN192" i="1"/>
  <c r="Z192" i="1"/>
  <c r="Y194" i="1"/>
  <c r="Y197" i="1"/>
  <c r="BP196" i="1"/>
  <c r="BN196" i="1"/>
  <c r="Z196" i="1"/>
  <c r="Z197" i="1" s="1"/>
  <c r="Y198" i="1"/>
  <c r="Y202" i="1"/>
  <c r="Y201" i="1"/>
  <c r="BP200" i="1"/>
  <c r="BN200" i="1"/>
  <c r="Z200" i="1"/>
  <c r="Z201" i="1" s="1"/>
  <c r="F9" i="1"/>
  <c r="J9" i="1"/>
  <c r="Z22" i="1"/>
  <c r="Z24" i="1" s="1"/>
  <c r="BN22" i="1"/>
  <c r="BP22" i="1"/>
  <c r="X560" i="1"/>
  <c r="Y25" i="1"/>
  <c r="Z28" i="1"/>
  <c r="BN28" i="1"/>
  <c r="Z30" i="1"/>
  <c r="BN30" i="1"/>
  <c r="C566" i="1"/>
  <c r="Z38" i="1"/>
  <c r="BN38" i="1"/>
  <c r="Z40" i="1"/>
  <c r="BN40" i="1"/>
  <c r="Y43" i="1"/>
  <c r="D566" i="1"/>
  <c r="Z48" i="1"/>
  <c r="BN48" i="1"/>
  <c r="Z50" i="1"/>
  <c r="BN50" i="1"/>
  <c r="Y51" i="1"/>
  <c r="Z55" i="1"/>
  <c r="Z64" i="1" s="1"/>
  <c r="BN55" i="1"/>
  <c r="BP55" i="1"/>
  <c r="Z57" i="1"/>
  <c r="BN57" i="1"/>
  <c r="Z59" i="1"/>
  <c r="BN59" i="1"/>
  <c r="Z61" i="1"/>
  <c r="BN61" i="1"/>
  <c r="Z63" i="1"/>
  <c r="BN63" i="1"/>
  <c r="Y64" i="1"/>
  <c r="Z67" i="1"/>
  <c r="Z73" i="1" s="1"/>
  <c r="BN67" i="1"/>
  <c r="BP67" i="1"/>
  <c r="Z69" i="1"/>
  <c r="BN69" i="1"/>
  <c r="Z71" i="1"/>
  <c r="BN71" i="1"/>
  <c r="Z77" i="1"/>
  <c r="Z78" i="1" s="1"/>
  <c r="BN77" i="1"/>
  <c r="Z81" i="1"/>
  <c r="BN81" i="1"/>
  <c r="BP81" i="1"/>
  <c r="Z83" i="1"/>
  <c r="BN83" i="1"/>
  <c r="Z88" i="1"/>
  <c r="BN88" i="1"/>
  <c r="BP88" i="1"/>
  <c r="Z90" i="1"/>
  <c r="BN90" i="1"/>
  <c r="Z92" i="1"/>
  <c r="BN92" i="1"/>
  <c r="Y93" i="1"/>
  <c r="Z96" i="1"/>
  <c r="Z100" i="1" s="1"/>
  <c r="BN96" i="1"/>
  <c r="BP96" i="1"/>
  <c r="Z98" i="1"/>
  <c r="BN98" i="1"/>
  <c r="G566" i="1"/>
  <c r="Z105" i="1"/>
  <c r="BN105" i="1"/>
  <c r="Z107" i="1"/>
  <c r="BN107" i="1"/>
  <c r="Z109" i="1"/>
  <c r="BN109" i="1"/>
  <c r="Z111" i="1"/>
  <c r="BN111" i="1"/>
  <c r="Y114" i="1"/>
  <c r="Z117" i="1"/>
  <c r="Z119" i="1" s="1"/>
  <c r="BN117" i="1"/>
  <c r="Z123" i="1"/>
  <c r="BN123" i="1"/>
  <c r="Z125" i="1"/>
  <c r="BN125" i="1"/>
  <c r="Z129" i="1"/>
  <c r="Z130" i="1" s="1"/>
  <c r="BN129" i="1"/>
  <c r="BP129" i="1"/>
  <c r="Z134" i="1"/>
  <c r="Z136" i="1" s="1"/>
  <c r="BN134" i="1"/>
  <c r="BP134" i="1"/>
  <c r="Y137" i="1"/>
  <c r="Z140" i="1"/>
  <c r="Z141" i="1" s="1"/>
  <c r="BN140" i="1"/>
  <c r="Z144" i="1"/>
  <c r="Z146" i="1" s="1"/>
  <c r="BN144" i="1"/>
  <c r="BP144" i="1"/>
  <c r="I566" i="1"/>
  <c r="Z151" i="1"/>
  <c r="BN151" i="1"/>
  <c r="Z153" i="1"/>
  <c r="BN153" i="1"/>
  <c r="Z155" i="1"/>
  <c r="BN155" i="1"/>
  <c r="Y156" i="1"/>
  <c r="Z159" i="1"/>
  <c r="Z160" i="1" s="1"/>
  <c r="BN159" i="1"/>
  <c r="BP159" i="1"/>
  <c r="Z164" i="1"/>
  <c r="Z168" i="1" s="1"/>
  <c r="BN164" i="1"/>
  <c r="BP164" i="1"/>
  <c r="Z166" i="1"/>
  <c r="BN166" i="1"/>
  <c r="Y169" i="1"/>
  <c r="Z172" i="1"/>
  <c r="Z173" i="1" s="1"/>
  <c r="BN172" i="1"/>
  <c r="Z176" i="1"/>
  <c r="BN176" i="1"/>
  <c r="BP176" i="1"/>
  <c r="Z178" i="1"/>
  <c r="BP182" i="1"/>
  <c r="BN182" i="1"/>
  <c r="Z182" i="1"/>
  <c r="BP186" i="1"/>
  <c r="BN186" i="1"/>
  <c r="Z186" i="1"/>
  <c r="Y188" i="1"/>
  <c r="Y193" i="1"/>
  <c r="BP190" i="1"/>
  <c r="BN190" i="1"/>
  <c r="Z190" i="1"/>
  <c r="Z193" i="1" s="1"/>
  <c r="Z206" i="1"/>
  <c r="BN206" i="1"/>
  <c r="BP206" i="1"/>
  <c r="Z208" i="1"/>
  <c r="BN208" i="1"/>
  <c r="Z210" i="1"/>
  <c r="BN210" i="1"/>
  <c r="Z212" i="1"/>
  <c r="BN212" i="1"/>
  <c r="Y213" i="1"/>
  <c r="Z217" i="1"/>
  <c r="Z218" i="1" s="1"/>
  <c r="BN217" i="1"/>
  <c r="BP217" i="1"/>
  <c r="Y218" i="1"/>
  <c r="Z221" i="1"/>
  <c r="BN221" i="1"/>
  <c r="BP221" i="1"/>
  <c r="Z223" i="1"/>
  <c r="BN223" i="1"/>
  <c r="Z225" i="1"/>
  <c r="BN225" i="1"/>
  <c r="Z227" i="1"/>
  <c r="BN227" i="1"/>
  <c r="Z229" i="1"/>
  <c r="BN229" i="1"/>
  <c r="Z231" i="1"/>
  <c r="BN231" i="1"/>
  <c r="Z233" i="1"/>
  <c r="BN233" i="1"/>
  <c r="Z235" i="1"/>
  <c r="BN235" i="1"/>
  <c r="Y236" i="1"/>
  <c r="Z239" i="1"/>
  <c r="BN239" i="1"/>
  <c r="BP239" i="1"/>
  <c r="Z241" i="1"/>
  <c r="BN241" i="1"/>
  <c r="Z243" i="1"/>
  <c r="BN243" i="1"/>
  <c r="Z245" i="1"/>
  <c r="BN245" i="1"/>
  <c r="Z247" i="1"/>
  <c r="BN247" i="1"/>
  <c r="Y248" i="1"/>
  <c r="Z251" i="1"/>
  <c r="BN251" i="1"/>
  <c r="BP251" i="1"/>
  <c r="Z253" i="1"/>
  <c r="BN253" i="1"/>
  <c r="Y254" i="1"/>
  <c r="Z257" i="1"/>
  <c r="Z258" i="1" s="1"/>
  <c r="BN257" i="1"/>
  <c r="BP257" i="1"/>
  <c r="Y258" i="1"/>
  <c r="Z262" i="1"/>
  <c r="Z264" i="1" s="1"/>
  <c r="BN262" i="1"/>
  <c r="BP262" i="1"/>
  <c r="Y265" i="1"/>
  <c r="Z268" i="1"/>
  <c r="Z269" i="1" s="1"/>
  <c r="BN268" i="1"/>
  <c r="BP268" i="1"/>
  <c r="Z272" i="1"/>
  <c r="BN272" i="1"/>
  <c r="BP272" i="1"/>
  <c r="Z274" i="1"/>
  <c r="BN274" i="1"/>
  <c r="Z276" i="1"/>
  <c r="BN276" i="1"/>
  <c r="Z278" i="1"/>
  <c r="BN278" i="1"/>
  <c r="Y281" i="1"/>
  <c r="Y296" i="1"/>
  <c r="Z284" i="1"/>
  <c r="BN284" i="1"/>
  <c r="BP285" i="1"/>
  <c r="BN285" i="1"/>
  <c r="BP287" i="1"/>
  <c r="BN287" i="1"/>
  <c r="Z287" i="1"/>
  <c r="BP291" i="1"/>
  <c r="BN291" i="1"/>
  <c r="Z291" i="1"/>
  <c r="Y295" i="1"/>
  <c r="BP299" i="1"/>
  <c r="BN299" i="1"/>
  <c r="Z299" i="1"/>
  <c r="Z300" i="1" s="1"/>
  <c r="Y301" i="1"/>
  <c r="O566" i="1"/>
  <c r="Y311" i="1"/>
  <c r="BP304" i="1"/>
  <c r="BN304" i="1"/>
  <c r="Z304" i="1"/>
  <c r="BP308" i="1"/>
  <c r="BN308" i="1"/>
  <c r="Z308" i="1"/>
  <c r="BP329" i="1"/>
  <c r="BN329" i="1"/>
  <c r="Z329" i="1"/>
  <c r="BP338" i="1"/>
  <c r="BN338" i="1"/>
  <c r="Z338" i="1"/>
  <c r="Z340" i="1" s="1"/>
  <c r="BP347" i="1"/>
  <c r="BN347" i="1"/>
  <c r="Z347" i="1"/>
  <c r="BP360" i="1"/>
  <c r="BN360" i="1"/>
  <c r="Z360" i="1"/>
  <c r="T566" i="1"/>
  <c r="Y372" i="1"/>
  <c r="BP365" i="1"/>
  <c r="BN365" i="1"/>
  <c r="Z365" i="1"/>
  <c r="BP369" i="1"/>
  <c r="BN369" i="1"/>
  <c r="Z369" i="1"/>
  <c r="BP377" i="1"/>
  <c r="BN377" i="1"/>
  <c r="Z377" i="1"/>
  <c r="BP381" i="1"/>
  <c r="BN381" i="1"/>
  <c r="Z381" i="1"/>
  <c r="Y383" i="1"/>
  <c r="Y390" i="1"/>
  <c r="BP385" i="1"/>
  <c r="BN385" i="1"/>
  <c r="Z385" i="1"/>
  <c r="Y389" i="1"/>
  <c r="BP393" i="1"/>
  <c r="BN393" i="1"/>
  <c r="Z393" i="1"/>
  <c r="Z395" i="1" s="1"/>
  <c r="BP401" i="1"/>
  <c r="BN401" i="1"/>
  <c r="Z401" i="1"/>
  <c r="Y403" i="1"/>
  <c r="Y408" i="1"/>
  <c r="BP405" i="1"/>
  <c r="BN405" i="1"/>
  <c r="Z405" i="1"/>
  <c r="BP413" i="1"/>
  <c r="BN413" i="1"/>
  <c r="Z413" i="1"/>
  <c r="Y415" i="1"/>
  <c r="U566" i="1"/>
  <c r="Y421" i="1"/>
  <c r="BP418" i="1"/>
  <c r="BN418" i="1"/>
  <c r="Z418" i="1"/>
  <c r="Z420" i="1" s="1"/>
  <c r="BP433" i="1"/>
  <c r="BN433" i="1"/>
  <c r="Z433" i="1"/>
  <c r="BP437" i="1"/>
  <c r="BN437" i="1"/>
  <c r="Z437" i="1"/>
  <c r="BP445" i="1"/>
  <c r="BN445" i="1"/>
  <c r="Z445" i="1"/>
  <c r="Y447" i="1"/>
  <c r="Y452" i="1"/>
  <c r="BP449" i="1"/>
  <c r="BN449" i="1"/>
  <c r="Z449" i="1"/>
  <c r="Y453" i="1"/>
  <c r="BP462" i="1"/>
  <c r="BN462" i="1"/>
  <c r="Z462" i="1"/>
  <c r="Z463" i="1" s="1"/>
  <c r="Y464" i="1"/>
  <c r="Y467" i="1"/>
  <c r="BP466" i="1"/>
  <c r="BN466" i="1"/>
  <c r="Z466" i="1"/>
  <c r="Z467" i="1" s="1"/>
  <c r="Y468" i="1"/>
  <c r="Y473" i="1"/>
  <c r="BP470" i="1"/>
  <c r="BN470" i="1"/>
  <c r="Z470" i="1"/>
  <c r="Y474" i="1"/>
  <c r="BP480" i="1"/>
  <c r="BN480" i="1"/>
  <c r="Z480" i="1"/>
  <c r="Y484" i="1"/>
  <c r="BP488" i="1"/>
  <c r="BN488" i="1"/>
  <c r="Z488" i="1"/>
  <c r="Y490" i="1"/>
  <c r="Y494" i="1"/>
  <c r="BP493" i="1"/>
  <c r="BN493" i="1"/>
  <c r="Z493" i="1"/>
  <c r="Z494" i="1" s="1"/>
  <c r="Z566" i="1"/>
  <c r="Y495" i="1"/>
  <c r="Y500" i="1"/>
  <c r="BP497" i="1"/>
  <c r="BN497" i="1"/>
  <c r="Z497" i="1"/>
  <c r="Y501" i="1"/>
  <c r="BP507" i="1"/>
  <c r="BN507" i="1"/>
  <c r="Z507" i="1"/>
  <c r="BP511" i="1"/>
  <c r="BN511" i="1"/>
  <c r="Z511" i="1"/>
  <c r="BP519" i="1"/>
  <c r="BN519" i="1"/>
  <c r="Z519" i="1"/>
  <c r="Y521" i="1"/>
  <c r="Y530" i="1"/>
  <c r="BP523" i="1"/>
  <c r="BN523" i="1"/>
  <c r="Z523" i="1"/>
  <c r="Y531" i="1"/>
  <c r="BP527" i="1"/>
  <c r="BN527" i="1"/>
  <c r="Z527" i="1"/>
  <c r="X566" i="1"/>
  <c r="Y214" i="1"/>
  <c r="Y219" i="1"/>
  <c r="Y264" i="1"/>
  <c r="BP289" i="1"/>
  <c r="BN289" i="1"/>
  <c r="Z289" i="1"/>
  <c r="BP293" i="1"/>
  <c r="BN293" i="1"/>
  <c r="Z293" i="1"/>
  <c r="BP306" i="1"/>
  <c r="BN306" i="1"/>
  <c r="Z306" i="1"/>
  <c r="BP310" i="1"/>
  <c r="BN310" i="1"/>
  <c r="Z310" i="1"/>
  <c r="Y312" i="1"/>
  <c r="Y315" i="1"/>
  <c r="BP314" i="1"/>
  <c r="BN314" i="1"/>
  <c r="Z314" i="1"/>
  <c r="Z315" i="1" s="1"/>
  <c r="Y316" i="1"/>
  <c r="Y319" i="1"/>
  <c r="BP318" i="1"/>
  <c r="BN318" i="1"/>
  <c r="Z318" i="1"/>
  <c r="Z319" i="1" s="1"/>
  <c r="Y320" i="1"/>
  <c r="Y323" i="1"/>
  <c r="BP322" i="1"/>
  <c r="BN322" i="1"/>
  <c r="Z322" i="1"/>
  <c r="Z323" i="1" s="1"/>
  <c r="Y324" i="1"/>
  <c r="Y334" i="1"/>
  <c r="BP327" i="1"/>
  <c r="BN327" i="1"/>
  <c r="Z327" i="1"/>
  <c r="BP331" i="1"/>
  <c r="BN331" i="1"/>
  <c r="Z331" i="1"/>
  <c r="BP345" i="1"/>
  <c r="BN345" i="1"/>
  <c r="Z345" i="1"/>
  <c r="Y349" i="1"/>
  <c r="BP353" i="1"/>
  <c r="BN353" i="1"/>
  <c r="Z353" i="1"/>
  <c r="Z354" i="1" s="1"/>
  <c r="Y355" i="1"/>
  <c r="S566" i="1"/>
  <c r="Y361" i="1"/>
  <c r="BP358" i="1"/>
  <c r="BN358" i="1"/>
  <c r="Z358" i="1"/>
  <c r="Z361" i="1" s="1"/>
  <c r="BP367" i="1"/>
  <c r="BN367" i="1"/>
  <c r="Z367" i="1"/>
  <c r="BP371" i="1"/>
  <c r="BN371" i="1"/>
  <c r="Z371" i="1"/>
  <c r="Y373" i="1"/>
  <c r="Y382" i="1"/>
  <c r="BP375" i="1"/>
  <c r="BN375" i="1"/>
  <c r="Z375" i="1"/>
  <c r="BP379" i="1"/>
  <c r="BN379" i="1"/>
  <c r="Z379" i="1"/>
  <c r="BP387" i="1"/>
  <c r="BN387" i="1"/>
  <c r="Z387" i="1"/>
  <c r="Y396" i="1"/>
  <c r="Y395" i="1"/>
  <c r="BP399" i="1"/>
  <c r="BN399" i="1"/>
  <c r="Z399" i="1"/>
  <c r="Z402" i="1" s="1"/>
  <c r="BP407" i="1"/>
  <c r="BN407" i="1"/>
  <c r="Z407" i="1"/>
  <c r="Y409" i="1"/>
  <c r="Y414" i="1"/>
  <c r="BP411" i="1"/>
  <c r="BN411" i="1"/>
  <c r="Z411" i="1"/>
  <c r="Z414" i="1" s="1"/>
  <c r="Y420" i="1"/>
  <c r="BP425" i="1"/>
  <c r="BN425" i="1"/>
  <c r="Z425" i="1"/>
  <c r="Z427" i="1" s="1"/>
  <c r="P566" i="1"/>
  <c r="Q566" i="1"/>
  <c r="Y341" i="1"/>
  <c r="R566" i="1"/>
  <c r="Y350" i="1"/>
  <c r="V566" i="1"/>
  <c r="Y428" i="1"/>
  <c r="W566" i="1"/>
  <c r="Y440" i="1"/>
  <c r="BP435" i="1"/>
  <c r="BN435" i="1"/>
  <c r="Z435" i="1"/>
  <c r="BP439" i="1"/>
  <c r="BN439" i="1"/>
  <c r="Z439" i="1"/>
  <c r="Y441" i="1"/>
  <c r="Y446" i="1"/>
  <c r="BP443" i="1"/>
  <c r="BN443" i="1"/>
  <c r="Z443" i="1"/>
  <c r="BP451" i="1"/>
  <c r="BN451" i="1"/>
  <c r="Z451" i="1"/>
  <c r="Y458" i="1"/>
  <c r="BP455" i="1"/>
  <c r="BN455" i="1"/>
  <c r="Z455" i="1"/>
  <c r="Z457" i="1" s="1"/>
  <c r="Y463" i="1"/>
  <c r="BP472" i="1"/>
  <c r="BN472" i="1"/>
  <c r="Z472" i="1"/>
  <c r="Y566" i="1"/>
  <c r="Y485" i="1"/>
  <c r="BP478" i="1"/>
  <c r="BN478" i="1"/>
  <c r="Z478" i="1"/>
  <c r="BP482" i="1"/>
  <c r="BN482" i="1"/>
  <c r="Z482" i="1"/>
  <c r="Y489" i="1"/>
  <c r="BP499" i="1"/>
  <c r="BN499" i="1"/>
  <c r="Z499" i="1"/>
  <c r="AA566" i="1"/>
  <c r="Y514" i="1"/>
  <c r="BP505" i="1"/>
  <c r="BN505" i="1"/>
  <c r="Z505" i="1"/>
  <c r="BP509" i="1"/>
  <c r="BN509" i="1"/>
  <c r="Z509" i="1"/>
  <c r="BP513" i="1"/>
  <c r="BN513" i="1"/>
  <c r="Z513" i="1"/>
  <c r="Y515" i="1"/>
  <c r="Y520" i="1"/>
  <c r="BP517" i="1"/>
  <c r="BN517" i="1"/>
  <c r="Z517" i="1"/>
  <c r="BP525" i="1"/>
  <c r="BN525" i="1"/>
  <c r="Z525" i="1"/>
  <c r="BP529" i="1"/>
  <c r="BN529" i="1"/>
  <c r="Z529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4" i="1"/>
  <c r="BP543" i="1"/>
  <c r="BN543" i="1"/>
  <c r="Z543" i="1"/>
  <c r="Z544" i="1" s="1"/>
  <c r="Y545" i="1"/>
  <c r="Y550" i="1"/>
  <c r="BP547" i="1"/>
  <c r="BN547" i="1"/>
  <c r="Z547" i="1"/>
  <c r="Z549" i="1" s="1"/>
  <c r="Y555" i="1"/>
  <c r="Z349" i="1" l="1"/>
  <c r="Z484" i="1"/>
  <c r="Z446" i="1"/>
  <c r="Z93" i="1"/>
  <c r="Z440" i="1"/>
  <c r="Z156" i="1"/>
  <c r="Z113" i="1"/>
  <c r="Z32" i="1"/>
  <c r="Z520" i="1"/>
  <c r="Z382" i="1"/>
  <c r="Z333" i="1"/>
  <c r="Z295" i="1"/>
  <c r="Z489" i="1"/>
  <c r="Z254" i="1"/>
  <c r="Z248" i="1"/>
  <c r="Z236" i="1"/>
  <c r="Z213" i="1"/>
  <c r="Z126" i="1"/>
  <c r="Z51" i="1"/>
  <c r="Z42" i="1"/>
  <c r="Z514" i="1"/>
  <c r="Z530" i="1"/>
  <c r="Z473" i="1"/>
  <c r="Z452" i="1"/>
  <c r="Z408" i="1"/>
  <c r="Z311" i="1"/>
  <c r="Z280" i="1"/>
  <c r="Z84" i="1"/>
  <c r="Y556" i="1"/>
  <c r="Y558" i="1"/>
  <c r="Z500" i="1"/>
  <c r="Z389" i="1"/>
  <c r="Z372" i="1"/>
  <c r="Z187" i="1"/>
  <c r="Z561" i="1" s="1"/>
  <c r="Y557" i="1"/>
  <c r="Y560" i="1"/>
  <c r="Y559" i="1" l="1"/>
</calcChain>
</file>

<file path=xl/sharedStrings.xml><?xml version="1.0" encoding="utf-8"?>
<sst xmlns="http://schemas.openxmlformats.org/spreadsheetml/2006/main" count="2545" uniqueCount="912">
  <si>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</si>
  <si>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</si>
  <si>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</si>
  <si>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</si>
  <si>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</si>
  <si>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22.09.2026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</si>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</sst>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6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6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9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0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87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6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7" t="s">
        <v>0</v>
      </c>
      <c r="E1" s="680"/>
      <c r="F1" s="680"/>
      <c r="G1" s="12" t="s">
        <v>1</v>
      </c>
      <c r="H1" s="727" t="s">
        <v>2</v>
      </c>
      <c r="I1" s="680"/>
      <c r="J1" s="680"/>
      <c r="K1" s="680"/>
      <c r="L1" s="680"/>
      <c r="M1" s="680"/>
      <c r="N1" s="680"/>
      <c r="O1" s="680"/>
      <c r="P1" s="680"/>
      <c r="Q1" s="680"/>
      <c r="R1" s="679" t="s">
        <v>3</v>
      </c>
      <c r="S1" s="680"/>
      <c r="T1" s="6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8"/>
      <c r="R2" s="658"/>
      <c r="S2" s="658"/>
      <c r="T2" s="658"/>
      <c r="U2" s="658"/>
      <c r="V2" s="658"/>
      <c r="W2" s="658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8"/>
      <c r="Q3" s="658"/>
      <c r="R3" s="658"/>
      <c r="S3" s="658"/>
      <c r="T3" s="658"/>
      <c r="U3" s="658"/>
      <c r="V3" s="658"/>
      <c r="W3" s="658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91" t="s">
        <v>8</v>
      </c>
      <c r="B5" s="672"/>
      <c r="C5" s="673"/>
      <c r="D5" s="737"/>
      <c r="E5" s="738"/>
      <c r="F5" s="969" t="s">
        <v>9</v>
      </c>
      <c r="G5" s="673"/>
      <c r="H5" s="737" t="s">
        <v>911</v>
      </c>
      <c r="I5" s="912"/>
      <c r="J5" s="912"/>
      <c r="K5" s="912"/>
      <c r="L5" s="912"/>
      <c r="M5" s="738"/>
      <c r="N5" s="58"/>
      <c r="P5" s="24" t="s">
        <v>10</v>
      </c>
      <c r="Q5" s="987">
        <v>46291</v>
      </c>
      <c r="R5" s="790"/>
      <c r="T5" s="823" t="s">
        <v>11</v>
      </c>
      <c r="U5" s="824"/>
      <c r="V5" s="826" t="s">
        <v>12</v>
      </c>
      <c r="W5" s="790"/>
      <c r="AB5" s="51"/>
      <c r="AC5" s="51"/>
      <c r="AD5" s="51"/>
      <c r="AE5" s="51"/>
    </row>
    <row r="6" spans="1:32" s="637" customFormat="1" ht="24" customHeight="1" x14ac:dyDescent="0.2">
      <c r="A6" s="791" t="s">
        <v>13</v>
      </c>
      <c r="B6" s="672"/>
      <c r="C6" s="673"/>
      <c r="D6" s="915" t="s">
        <v>887</v>
      </c>
      <c r="E6" s="916"/>
      <c r="F6" s="916"/>
      <c r="G6" s="916"/>
      <c r="H6" s="916"/>
      <c r="I6" s="916"/>
      <c r="J6" s="916"/>
      <c r="K6" s="916"/>
      <c r="L6" s="916"/>
      <c r="M6" s="790"/>
      <c r="N6" s="59"/>
      <c r="P6" s="24" t="s">
        <v>14</v>
      </c>
      <c r="Q6" s="996" t="str">
        <f>IF(Q5=0," ",CHOOSE(WEEKDAY(Q5,2),"Понедельник","Вторник","Среда","Четверг","Пятница","Суббота","Воскресенье"))</f>
        <v>Суббота</v>
      </c>
      <c r="R6" s="648"/>
      <c r="T6" s="832" t="s">
        <v>15</v>
      </c>
      <c r="U6" s="824"/>
      <c r="V6" s="898" t="s">
        <v>16</v>
      </c>
      <c r="W6" s="730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15" t="str">
        <f>IFERROR(VLOOKUP(DeliveryAddress,Table,3,0),1)</f>
        <v>6</v>
      </c>
      <c r="E7" s="716"/>
      <c r="F7" s="716"/>
      <c r="G7" s="716"/>
      <c r="H7" s="716"/>
      <c r="I7" s="716"/>
      <c r="J7" s="716"/>
      <c r="K7" s="716"/>
      <c r="L7" s="716"/>
      <c r="M7" s="717"/>
      <c r="N7" s="60"/>
      <c r="P7" s="24"/>
      <c r="Q7" s="42"/>
      <c r="R7" s="42"/>
      <c r="T7" s="658"/>
      <c r="U7" s="824"/>
      <c r="V7" s="899"/>
      <c r="W7" s="900"/>
      <c r="AB7" s="51"/>
      <c r="AC7" s="51"/>
      <c r="AD7" s="51"/>
      <c r="AE7" s="51"/>
    </row>
    <row r="8" spans="1:32" s="637" customFormat="1" ht="25.5" customHeight="1" x14ac:dyDescent="0.2">
      <c r="A8" s="1011" t="s">
        <v>17</v>
      </c>
      <c r="B8" s="650"/>
      <c r="C8" s="651"/>
      <c r="D8" s="721"/>
      <c r="E8" s="722"/>
      <c r="F8" s="722"/>
      <c r="G8" s="722"/>
      <c r="H8" s="722"/>
      <c r="I8" s="722"/>
      <c r="J8" s="722"/>
      <c r="K8" s="722"/>
      <c r="L8" s="722"/>
      <c r="M8" s="723"/>
      <c r="N8" s="61"/>
      <c r="P8" s="24" t="s">
        <v>18</v>
      </c>
      <c r="Q8" s="799">
        <v>0.41666666666666669</v>
      </c>
      <c r="R8" s="717"/>
      <c r="T8" s="658"/>
      <c r="U8" s="824"/>
      <c r="V8" s="899"/>
      <c r="W8" s="900"/>
      <c r="AB8" s="51"/>
      <c r="AC8" s="51"/>
      <c r="AD8" s="51"/>
      <c r="AE8" s="51"/>
    </row>
    <row r="9" spans="1:32" s="637" customFormat="1" ht="39.950000000000003" customHeight="1" x14ac:dyDescent="0.2">
      <c r="A9" s="80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8"/>
      <c r="C9" s="658"/>
      <c r="D9" s="806"/>
      <c r="E9" s="668"/>
      <c r="F9" s="80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8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8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8"/>
      <c r="L9" s="668"/>
      <c r="M9" s="668"/>
      <c r="N9" s="635"/>
      <c r="P9" s="26" t="s">
        <v>19</v>
      </c>
      <c r="Q9" s="786"/>
      <c r="R9" s="787"/>
      <c r="T9" s="658"/>
      <c r="U9" s="824"/>
      <c r="V9" s="901"/>
      <c r="W9" s="902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80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8"/>
      <c r="C10" s="658"/>
      <c r="D10" s="806"/>
      <c r="E10" s="668"/>
      <c r="F10" s="80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8"/>
      <c r="H10" s="885" t="str">
        <f>IFERROR(VLOOKUP($D$10,Proxy,2,FALSE),"")</f>
        <v/>
      </c>
      <c r="I10" s="658"/>
      <c r="J10" s="658"/>
      <c r="K10" s="658"/>
      <c r="L10" s="658"/>
      <c r="M10" s="658"/>
      <c r="N10" s="636"/>
      <c r="P10" s="26" t="s">
        <v>20</v>
      </c>
      <c r="Q10" s="833"/>
      <c r="R10" s="834"/>
      <c r="U10" s="24" t="s">
        <v>21</v>
      </c>
      <c r="V10" s="729" t="s">
        <v>22</v>
      </c>
      <c r="W10" s="730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9"/>
      <c r="R11" s="790"/>
      <c r="U11" s="24" t="s">
        <v>25</v>
      </c>
      <c r="V11" s="933" t="s">
        <v>26</v>
      </c>
      <c r="W11" s="787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48" t="s">
        <v>27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28</v>
      </c>
      <c r="Q12" s="799"/>
      <c r="R12" s="717"/>
      <c r="S12" s="23"/>
      <c r="U12" s="24"/>
      <c r="V12" s="680"/>
      <c r="W12" s="658"/>
      <c r="AB12" s="51"/>
      <c r="AC12" s="51"/>
      <c r="AD12" s="51"/>
      <c r="AE12" s="51"/>
    </row>
    <row r="13" spans="1:32" s="637" customFormat="1" ht="23.25" customHeight="1" x14ac:dyDescent="0.2">
      <c r="A13" s="848" t="s">
        <v>29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30</v>
      </c>
      <c r="Q13" s="933"/>
      <c r="R13" s="78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48" t="s">
        <v>31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49" t="s">
        <v>32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811" t="s">
        <v>33</v>
      </c>
      <c r="Q15" s="680"/>
      <c r="R15" s="680"/>
      <c r="S15" s="680"/>
      <c r="T15" s="6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2"/>
      <c r="Q16" s="812"/>
      <c r="R16" s="812"/>
      <c r="S16" s="812"/>
      <c r="T16" s="81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34</v>
      </c>
      <c r="B17" s="692" t="s">
        <v>35</v>
      </c>
      <c r="C17" s="804" t="s">
        <v>36</v>
      </c>
      <c r="D17" s="692" t="s">
        <v>37</v>
      </c>
      <c r="E17" s="766"/>
      <c r="F17" s="692" t="s">
        <v>38</v>
      </c>
      <c r="G17" s="692" t="s">
        <v>39</v>
      </c>
      <c r="H17" s="692" t="s">
        <v>40</v>
      </c>
      <c r="I17" s="692" t="s">
        <v>41</v>
      </c>
      <c r="J17" s="692" t="s">
        <v>42</v>
      </c>
      <c r="K17" s="692" t="s">
        <v>43</v>
      </c>
      <c r="L17" s="692" t="s">
        <v>44</v>
      </c>
      <c r="M17" s="692" t="s">
        <v>45</v>
      </c>
      <c r="N17" s="692" t="s">
        <v>46</v>
      </c>
      <c r="O17" s="692" t="s">
        <v>47</v>
      </c>
      <c r="P17" s="692" t="s">
        <v>48</v>
      </c>
      <c r="Q17" s="765"/>
      <c r="R17" s="765"/>
      <c r="S17" s="765"/>
      <c r="T17" s="766"/>
      <c r="U17" s="1009" t="s">
        <v>49</v>
      </c>
      <c r="V17" s="673"/>
      <c r="W17" s="692" t="s">
        <v>50</v>
      </c>
      <c r="X17" s="692" t="s">
        <v>51</v>
      </c>
      <c r="Y17" s="1007" t="s">
        <v>52</v>
      </c>
      <c r="Z17" s="896" t="s">
        <v>53</v>
      </c>
      <c r="AA17" s="883" t="s">
        <v>54</v>
      </c>
      <c r="AB17" s="883" t="s">
        <v>55</v>
      </c>
      <c r="AC17" s="883" t="s">
        <v>56</v>
      </c>
      <c r="AD17" s="883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93"/>
      <c r="B18" s="693"/>
      <c r="C18" s="693"/>
      <c r="D18" s="767"/>
      <c r="E18" s="769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67"/>
      <c r="Q18" s="768"/>
      <c r="R18" s="768"/>
      <c r="S18" s="768"/>
      <c r="T18" s="769"/>
      <c r="U18" s="67" t="s">
        <v>59</v>
      </c>
      <c r="V18" s="67" t="s">
        <v>60</v>
      </c>
      <c r="W18" s="693"/>
      <c r="X18" s="693"/>
      <c r="Y18" s="1008"/>
      <c r="Z18" s="897"/>
      <c r="AA18" s="884"/>
      <c r="AB18" s="884"/>
      <c r="AC18" s="884"/>
      <c r="AD18" s="962"/>
      <c r="AE18" s="963"/>
      <c r="AF18" s="964"/>
      <c r="AG18" s="66"/>
      <c r="BD18" s="65"/>
    </row>
    <row r="19" spans="1:68" ht="27.75" hidden="1" customHeight="1" x14ac:dyDescent="0.2">
      <c r="A19" s="664" t="s">
        <v>61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48"/>
      <c r="AB19" s="48"/>
      <c r="AC19" s="48"/>
    </row>
    <row r="20" spans="1:68" ht="16.5" hidden="1" customHeight="1" x14ac:dyDescent="0.25">
      <c r="A20" s="676" t="s">
        <v>61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38"/>
      <c r="AB20" s="638"/>
      <c r="AC20" s="638"/>
    </row>
    <row r="21" spans="1:68" ht="14.25" hidden="1" customHeight="1" x14ac:dyDescent="0.25">
      <c r="A21" s="663" t="s">
        <v>62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7">
        <v>4680115886643</v>
      </c>
      <c r="E22" s="648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7">
        <v>4680115889071</v>
      </c>
      <c r="E23" s="648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7"/>
      <c r="B24" s="658"/>
      <c r="C24" s="658"/>
      <c r="D24" s="658"/>
      <c r="E24" s="658"/>
      <c r="F24" s="658"/>
      <c r="G24" s="658"/>
      <c r="H24" s="658"/>
      <c r="I24" s="658"/>
      <c r="J24" s="658"/>
      <c r="K24" s="658"/>
      <c r="L24" s="658"/>
      <c r="M24" s="658"/>
      <c r="N24" s="658"/>
      <c r="O24" s="659"/>
      <c r="P24" s="649" t="s">
        <v>72</v>
      </c>
      <c r="Q24" s="650"/>
      <c r="R24" s="650"/>
      <c r="S24" s="650"/>
      <c r="T24" s="650"/>
      <c r="U24" s="650"/>
      <c r="V24" s="651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8"/>
      <c r="B25" s="658"/>
      <c r="C25" s="658"/>
      <c r="D25" s="658"/>
      <c r="E25" s="658"/>
      <c r="F25" s="658"/>
      <c r="G25" s="658"/>
      <c r="H25" s="658"/>
      <c r="I25" s="658"/>
      <c r="J25" s="658"/>
      <c r="K25" s="658"/>
      <c r="L25" s="658"/>
      <c r="M25" s="658"/>
      <c r="N25" s="658"/>
      <c r="O25" s="659"/>
      <c r="P25" s="649" t="s">
        <v>72</v>
      </c>
      <c r="Q25" s="650"/>
      <c r="R25" s="650"/>
      <c r="S25" s="650"/>
      <c r="T25" s="650"/>
      <c r="U25" s="650"/>
      <c r="V25" s="651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63" t="s">
        <v>74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7">
        <v>4680115885912</v>
      </c>
      <c r="E27" s="648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7">
        <v>4607091388237</v>
      </c>
      <c r="E28" s="648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7">
        <v>4680115887350</v>
      </c>
      <c r="E29" s="648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4"/>
      <c r="V29" s="34"/>
      <c r="W29" s="35" t="s">
        <v>67</v>
      </c>
      <c r="X29" s="643">
        <v>20</v>
      </c>
      <c r="Y29" s="644">
        <f>IFERROR(IF(X29="",0,CEILING((X29/$H29),1)*$H29),"")</f>
        <v>21.6</v>
      </c>
      <c r="Z29" s="36">
        <f>IFERROR(IF(Y29=0,"",ROUNDUP(Y29/H29,0)*0.00651),"")</f>
        <v>7.8119999999999995E-2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35.333333333333336</v>
      </c>
      <c r="BN29" s="64">
        <f>IFERROR(Y29*I29/H29,"0")</f>
        <v>38.160000000000004</v>
      </c>
      <c r="BO29" s="64">
        <f>IFERROR(1/J29*(X29/H29),"0")</f>
        <v>6.1050061050061055E-2</v>
      </c>
      <c r="BP29" s="64">
        <f>IFERROR(1/J29*(Y29/H29),"0")</f>
        <v>6.5934065934065936E-2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47">
        <v>4680115885905</v>
      </c>
      <c r="E30" s="648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7">
        <v>4680115887619</v>
      </c>
      <c r="E31" s="648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2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7"/>
      <c r="B32" s="658"/>
      <c r="C32" s="658"/>
      <c r="D32" s="658"/>
      <c r="E32" s="658"/>
      <c r="F32" s="658"/>
      <c r="G32" s="658"/>
      <c r="H32" s="658"/>
      <c r="I32" s="658"/>
      <c r="J32" s="658"/>
      <c r="K32" s="658"/>
      <c r="L32" s="658"/>
      <c r="M32" s="658"/>
      <c r="N32" s="658"/>
      <c r="O32" s="659"/>
      <c r="P32" s="649" t="s">
        <v>72</v>
      </c>
      <c r="Q32" s="650"/>
      <c r="R32" s="650"/>
      <c r="S32" s="650"/>
      <c r="T32" s="650"/>
      <c r="U32" s="650"/>
      <c r="V32" s="651"/>
      <c r="W32" s="37" t="s">
        <v>73</v>
      </c>
      <c r="X32" s="645">
        <f>IFERROR(X27/H27,"0")+IFERROR(X28/H28,"0")+IFERROR(X29/H29,"0")+IFERROR(X30/H30,"0")+IFERROR(X31/H31,"0")</f>
        <v>11.111111111111111</v>
      </c>
      <c r="Y32" s="645">
        <f>IFERROR(Y27/H27,"0")+IFERROR(Y28/H28,"0")+IFERROR(Y29/H29,"0")+IFERROR(Y30/H30,"0")+IFERROR(Y31/H31,"0")</f>
        <v>12</v>
      </c>
      <c r="Z32" s="645">
        <f>IFERROR(IF(Z27="",0,Z27),"0")+IFERROR(IF(Z28="",0,Z28),"0")+IFERROR(IF(Z29="",0,Z29),"0")+IFERROR(IF(Z30="",0,Z30),"0")+IFERROR(IF(Z31="",0,Z31),"0")</f>
        <v>7.8119999999999995E-2</v>
      </c>
      <c r="AA32" s="646"/>
      <c r="AB32" s="646"/>
      <c r="AC32" s="646"/>
    </row>
    <row r="33" spans="1:68" x14ac:dyDescent="0.2">
      <c r="A33" s="658"/>
      <c r="B33" s="658"/>
      <c r="C33" s="658"/>
      <c r="D33" s="658"/>
      <c r="E33" s="658"/>
      <c r="F33" s="658"/>
      <c r="G33" s="658"/>
      <c r="H33" s="658"/>
      <c r="I33" s="658"/>
      <c r="J33" s="658"/>
      <c r="K33" s="658"/>
      <c r="L33" s="658"/>
      <c r="M33" s="658"/>
      <c r="N33" s="658"/>
      <c r="O33" s="659"/>
      <c r="P33" s="649" t="s">
        <v>72</v>
      </c>
      <c r="Q33" s="650"/>
      <c r="R33" s="650"/>
      <c r="S33" s="650"/>
      <c r="T33" s="650"/>
      <c r="U33" s="650"/>
      <c r="V33" s="651"/>
      <c r="W33" s="37" t="s">
        <v>67</v>
      </c>
      <c r="X33" s="645">
        <f>IFERROR(SUM(X27:X31),"0")</f>
        <v>20</v>
      </c>
      <c r="Y33" s="645">
        <f>IFERROR(SUM(Y27:Y31),"0")</f>
        <v>21.6</v>
      </c>
      <c r="Z33" s="37"/>
      <c r="AA33" s="646"/>
      <c r="AB33" s="646"/>
      <c r="AC33" s="646"/>
    </row>
    <row r="34" spans="1:68" ht="27.75" hidden="1" customHeight="1" x14ac:dyDescent="0.2">
      <c r="A34" s="664" t="s">
        <v>92</v>
      </c>
      <c r="B34" s="665"/>
      <c r="C34" s="665"/>
      <c r="D34" s="665"/>
      <c r="E34" s="665"/>
      <c r="F34" s="665"/>
      <c r="G34" s="665"/>
      <c r="H34" s="665"/>
      <c r="I34" s="665"/>
      <c r="J34" s="665"/>
      <c r="K34" s="665"/>
      <c r="L34" s="665"/>
      <c r="M34" s="665"/>
      <c r="N34" s="665"/>
      <c r="O34" s="665"/>
      <c r="P34" s="665"/>
      <c r="Q34" s="665"/>
      <c r="R34" s="665"/>
      <c r="S34" s="665"/>
      <c r="T34" s="665"/>
      <c r="U34" s="665"/>
      <c r="V34" s="665"/>
      <c r="W34" s="665"/>
      <c r="X34" s="665"/>
      <c r="Y34" s="665"/>
      <c r="Z34" s="665"/>
      <c r="AA34" s="48"/>
      <c r="AB34" s="48"/>
      <c r="AC34" s="48"/>
    </row>
    <row r="35" spans="1:68" ht="16.5" hidden="1" customHeight="1" x14ac:dyDescent="0.25">
      <c r="A35" s="676" t="s">
        <v>93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38"/>
      <c r="AB35" s="638"/>
      <c r="AC35" s="638"/>
    </row>
    <row r="36" spans="1:68" ht="14.25" hidden="1" customHeight="1" x14ac:dyDescent="0.25">
      <c r="A36" s="663" t="s">
        <v>74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7">
        <v>4680115889354</v>
      </c>
      <c r="E37" s="648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7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3"/>
      <c r="R37" s="653"/>
      <c r="S37" s="653"/>
      <c r="T37" s="654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7">
        <v>4680115888463</v>
      </c>
      <c r="E38" s="648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90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3"/>
      <c r="R38" s="653"/>
      <c r="S38" s="653"/>
      <c r="T38" s="654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7">
        <v>4680115889590</v>
      </c>
      <c r="E39" s="648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4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3"/>
      <c r="R39" s="653"/>
      <c r="S39" s="653"/>
      <c r="T39" s="654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7">
        <v>4680115888272</v>
      </c>
      <c r="E40" s="648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3"/>
      <c r="R40" s="653"/>
      <c r="S40" s="653"/>
      <c r="T40" s="654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7">
        <v>4680115888364</v>
      </c>
      <c r="E41" s="648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3"/>
      <c r="R41" s="653"/>
      <c r="S41" s="653"/>
      <c r="T41" s="654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7"/>
      <c r="B42" s="658"/>
      <c r="C42" s="658"/>
      <c r="D42" s="658"/>
      <c r="E42" s="658"/>
      <c r="F42" s="658"/>
      <c r="G42" s="658"/>
      <c r="H42" s="658"/>
      <c r="I42" s="658"/>
      <c r="J42" s="658"/>
      <c r="K42" s="658"/>
      <c r="L42" s="658"/>
      <c r="M42" s="658"/>
      <c r="N42" s="658"/>
      <c r="O42" s="659"/>
      <c r="P42" s="649" t="s">
        <v>72</v>
      </c>
      <c r="Q42" s="650"/>
      <c r="R42" s="650"/>
      <c r="S42" s="650"/>
      <c r="T42" s="650"/>
      <c r="U42" s="650"/>
      <c r="V42" s="651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8"/>
      <c r="B43" s="658"/>
      <c r="C43" s="658"/>
      <c r="D43" s="658"/>
      <c r="E43" s="658"/>
      <c r="F43" s="658"/>
      <c r="G43" s="658"/>
      <c r="H43" s="658"/>
      <c r="I43" s="658"/>
      <c r="J43" s="658"/>
      <c r="K43" s="658"/>
      <c r="L43" s="658"/>
      <c r="M43" s="658"/>
      <c r="N43" s="658"/>
      <c r="O43" s="659"/>
      <c r="P43" s="649" t="s">
        <v>72</v>
      </c>
      <c r="Q43" s="650"/>
      <c r="R43" s="650"/>
      <c r="S43" s="650"/>
      <c r="T43" s="650"/>
      <c r="U43" s="650"/>
      <c r="V43" s="651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64" t="s">
        <v>109</v>
      </c>
      <c r="B44" s="665"/>
      <c r="C44" s="665"/>
      <c r="D44" s="665"/>
      <c r="E44" s="665"/>
      <c r="F44" s="665"/>
      <c r="G44" s="665"/>
      <c r="H44" s="665"/>
      <c r="I44" s="665"/>
      <c r="J44" s="665"/>
      <c r="K44" s="665"/>
      <c r="L44" s="665"/>
      <c r="M44" s="665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  <c r="AA44" s="48"/>
      <c r="AB44" s="48"/>
      <c r="AC44" s="48"/>
    </row>
    <row r="45" spans="1:68" ht="16.5" hidden="1" customHeight="1" x14ac:dyDescent="0.25">
      <c r="A45" s="676" t="s">
        <v>110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38"/>
      <c r="AB45" s="638"/>
      <c r="AC45" s="638"/>
    </row>
    <row r="46" spans="1:68" ht="14.25" hidden="1" customHeight="1" x14ac:dyDescent="0.25">
      <c r="A46" s="663" t="s">
        <v>111</v>
      </c>
      <c r="B46" s="658"/>
      <c r="C46" s="658"/>
      <c r="D46" s="658"/>
      <c r="E46" s="658"/>
      <c r="F46" s="658"/>
      <c r="G46" s="658"/>
      <c r="H46" s="658"/>
      <c r="I46" s="658"/>
      <c r="J46" s="658"/>
      <c r="K46" s="658"/>
      <c r="L46" s="658"/>
      <c r="M46" s="658"/>
      <c r="N46" s="658"/>
      <c r="O46" s="658"/>
      <c r="P46" s="658"/>
      <c r="Q46" s="658"/>
      <c r="R46" s="658"/>
      <c r="S46" s="658"/>
      <c r="T46" s="658"/>
      <c r="U46" s="658"/>
      <c r="V46" s="658"/>
      <c r="W46" s="658"/>
      <c r="X46" s="658"/>
      <c r="Y46" s="658"/>
      <c r="Z46" s="658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7">
        <v>4607091385670</v>
      </c>
      <c r="E47" s="648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3"/>
      <c r="R47" s="653"/>
      <c r="S47" s="653"/>
      <c r="T47" s="654"/>
      <c r="U47" s="34"/>
      <c r="V47" s="34"/>
      <c r="W47" s="35" t="s">
        <v>67</v>
      </c>
      <c r="X47" s="643">
        <v>39</v>
      </c>
      <c r="Y47" s="644">
        <f>IFERROR(IF(X47="",0,CEILING((X47/$H47),1)*$H47),"")</f>
        <v>43.2</v>
      </c>
      <c r="Z47" s="36">
        <f>IFERROR(IF(Y47=0,"",ROUNDUP(Y47/H47,0)*0.01898),"")</f>
        <v>7.5920000000000001E-2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40.480555555555561</v>
      </c>
      <c r="BN47" s="64">
        <f>IFERROR(Y47*I47/H47,"0")</f>
        <v>44.84</v>
      </c>
      <c r="BO47" s="64">
        <f>IFERROR(1/J47*(X47/H47),"0")</f>
        <v>5.6423611111111105E-2</v>
      </c>
      <c r="BP47" s="64">
        <f>IFERROR(1/J47*(Y47/H47),"0")</f>
        <v>6.25E-2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7">
        <v>4680115887725</v>
      </c>
      <c r="E48" s="648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87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3"/>
      <c r="R48" s="653"/>
      <c r="S48" s="653"/>
      <c r="T48" s="654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47">
        <v>4607091385687</v>
      </c>
      <c r="E49" s="648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3"/>
      <c r="R49" s="653"/>
      <c r="S49" s="653"/>
      <c r="T49" s="654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7">
        <v>4680115882539</v>
      </c>
      <c r="E50" s="648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3"/>
      <c r="R50" s="653"/>
      <c r="S50" s="653"/>
      <c r="T50" s="654"/>
      <c r="U50" s="34"/>
      <c r="V50" s="34"/>
      <c r="W50" s="35" t="s">
        <v>67</v>
      </c>
      <c r="X50" s="643">
        <v>9</v>
      </c>
      <c r="Y50" s="644">
        <f>IFERROR(IF(X50="",0,CEILING((X50/$H50),1)*$H50),"")</f>
        <v>11.100000000000001</v>
      </c>
      <c r="Z50" s="36">
        <f>IFERROR(IF(Y50=0,"",ROUNDUP(Y50/H50,0)*0.00902),"")</f>
        <v>2.7060000000000001E-2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9.4621621621621603</v>
      </c>
      <c r="BN50" s="64">
        <f>IFERROR(Y50*I50/H50,"0")</f>
        <v>11.670000000000002</v>
      </c>
      <c r="BO50" s="64">
        <f>IFERROR(1/J50*(X50/H50),"0")</f>
        <v>1.8427518427518427E-2</v>
      </c>
      <c r="BP50" s="64">
        <f>IFERROR(1/J50*(Y50/H50),"0")</f>
        <v>2.2727272727272731E-2</v>
      </c>
    </row>
    <row r="51" spans="1:68" x14ac:dyDescent="0.2">
      <c r="A51" s="657"/>
      <c r="B51" s="658"/>
      <c r="C51" s="658"/>
      <c r="D51" s="658"/>
      <c r="E51" s="658"/>
      <c r="F51" s="658"/>
      <c r="G51" s="658"/>
      <c r="H51" s="658"/>
      <c r="I51" s="658"/>
      <c r="J51" s="658"/>
      <c r="K51" s="658"/>
      <c r="L51" s="658"/>
      <c r="M51" s="658"/>
      <c r="N51" s="658"/>
      <c r="O51" s="659"/>
      <c r="P51" s="649" t="s">
        <v>72</v>
      </c>
      <c r="Q51" s="650"/>
      <c r="R51" s="650"/>
      <c r="S51" s="650"/>
      <c r="T51" s="650"/>
      <c r="U51" s="650"/>
      <c r="V51" s="651"/>
      <c r="W51" s="37" t="s">
        <v>73</v>
      </c>
      <c r="X51" s="645">
        <f>IFERROR(X47/H47,"0")+IFERROR(X48/H48,"0")+IFERROR(X49/H49,"0")+IFERROR(X50/H50,"0")</f>
        <v>6.0435435435435432</v>
      </c>
      <c r="Y51" s="645">
        <f>IFERROR(Y47/H47,"0")+IFERROR(Y48/H48,"0")+IFERROR(Y49/H49,"0")+IFERROR(Y50/H50,"0")</f>
        <v>7</v>
      </c>
      <c r="Z51" s="645">
        <f>IFERROR(IF(Z47="",0,Z47),"0")+IFERROR(IF(Z48="",0,Z48),"0")+IFERROR(IF(Z49="",0,Z49),"0")+IFERROR(IF(Z50="",0,Z50),"0")</f>
        <v>0.10298</v>
      </c>
      <c r="AA51" s="646"/>
      <c r="AB51" s="646"/>
      <c r="AC51" s="646"/>
    </row>
    <row r="52" spans="1:68" x14ac:dyDescent="0.2">
      <c r="A52" s="658"/>
      <c r="B52" s="658"/>
      <c r="C52" s="658"/>
      <c r="D52" s="658"/>
      <c r="E52" s="658"/>
      <c r="F52" s="658"/>
      <c r="G52" s="658"/>
      <c r="H52" s="658"/>
      <c r="I52" s="658"/>
      <c r="J52" s="658"/>
      <c r="K52" s="658"/>
      <c r="L52" s="658"/>
      <c r="M52" s="658"/>
      <c r="N52" s="658"/>
      <c r="O52" s="659"/>
      <c r="P52" s="649" t="s">
        <v>72</v>
      </c>
      <c r="Q52" s="650"/>
      <c r="R52" s="650"/>
      <c r="S52" s="650"/>
      <c r="T52" s="650"/>
      <c r="U52" s="650"/>
      <c r="V52" s="651"/>
      <c r="W52" s="37" t="s">
        <v>67</v>
      </c>
      <c r="X52" s="645">
        <f>IFERROR(SUM(X47:X50),"0")</f>
        <v>48</v>
      </c>
      <c r="Y52" s="645">
        <f>IFERROR(SUM(Y47:Y50),"0")</f>
        <v>54.300000000000004</v>
      </c>
      <c r="Z52" s="37"/>
      <c r="AA52" s="646"/>
      <c r="AB52" s="646"/>
      <c r="AC52" s="646"/>
    </row>
    <row r="53" spans="1:68" ht="16.5" hidden="1" customHeight="1" x14ac:dyDescent="0.25">
      <c r="A53" s="676" t="s">
        <v>126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38"/>
      <c r="AB53" s="638"/>
      <c r="AC53" s="638"/>
    </row>
    <row r="54" spans="1:68" ht="14.25" hidden="1" customHeight="1" x14ac:dyDescent="0.25">
      <c r="A54" s="663" t="s">
        <v>111</v>
      </c>
      <c r="B54" s="658"/>
      <c r="C54" s="658"/>
      <c r="D54" s="658"/>
      <c r="E54" s="658"/>
      <c r="F54" s="658"/>
      <c r="G54" s="658"/>
      <c r="H54" s="658"/>
      <c r="I54" s="658"/>
      <c r="J54" s="658"/>
      <c r="K54" s="658"/>
      <c r="L54" s="658"/>
      <c r="M54" s="658"/>
      <c r="N54" s="658"/>
      <c r="O54" s="658"/>
      <c r="P54" s="658"/>
      <c r="Q54" s="658"/>
      <c r="R54" s="658"/>
      <c r="S54" s="658"/>
      <c r="T54" s="658"/>
      <c r="U54" s="658"/>
      <c r="V54" s="658"/>
      <c r="W54" s="658"/>
      <c r="X54" s="658"/>
      <c r="Y54" s="658"/>
      <c r="Z54" s="658"/>
      <c r="AA54" s="639"/>
      <c r="AB54" s="639"/>
      <c r="AC54" s="639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47">
        <v>4680115885882</v>
      </c>
      <c r="E55" s="648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9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3"/>
      <c r="R55" s="653"/>
      <c r="S55" s="653"/>
      <c r="T55" s="654"/>
      <c r="U55" s="34"/>
      <c r="V55" s="34"/>
      <c r="W55" s="35" t="s">
        <v>67</v>
      </c>
      <c r="X55" s="643">
        <v>74</v>
      </c>
      <c r="Y55" s="644">
        <f t="shared" ref="Y55:Y63" si="0">IFERROR(IF(X55="",0,CEILING((X55/$H55),1)*$H55),"")</f>
        <v>78.399999999999991</v>
      </c>
      <c r="Z55" s="36">
        <f>IFERROR(IF(Y55=0,"",ROUNDUP(Y55/H55,0)*0.01898),"")</f>
        <v>0.13286000000000001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76.708928571428572</v>
      </c>
      <c r="BN55" s="64">
        <f t="shared" ref="BN55:BN63" si="2">IFERROR(Y55*I55/H55,"0")</f>
        <v>81.27</v>
      </c>
      <c r="BO55" s="64">
        <f t="shared" ref="BO55:BO63" si="3">IFERROR(1/J55*(X55/H55),"0")</f>
        <v>0.10323660714285715</v>
      </c>
      <c r="BP55" s="64">
        <f t="shared" ref="BP55:BP63" si="4">IFERROR(1/J55*(Y55/H55),"0")</f>
        <v>0.109375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47">
        <v>4680115881426</v>
      </c>
      <c r="E56" s="648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3"/>
      <c r="R56" s="653"/>
      <c r="S56" s="653"/>
      <c r="T56" s="654"/>
      <c r="U56" s="34"/>
      <c r="V56" s="34"/>
      <c r="W56" s="35" t="s">
        <v>67</v>
      </c>
      <c r="X56" s="643">
        <v>195</v>
      </c>
      <c r="Y56" s="644">
        <f t="shared" si="0"/>
        <v>205.20000000000002</v>
      </c>
      <c r="Z56" s="36">
        <f>IFERROR(IF(Y56=0,"",ROUNDUP(Y56/H56,0)*0.01898),"")</f>
        <v>0.36062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202.4027777777778</v>
      </c>
      <c r="BN56" s="64">
        <f t="shared" si="2"/>
        <v>212.99</v>
      </c>
      <c r="BO56" s="64">
        <f t="shared" si="3"/>
        <v>0.28211805555555552</v>
      </c>
      <c r="BP56" s="64">
        <f t="shared" si="4"/>
        <v>0.296875</v>
      </c>
    </row>
    <row r="57" spans="1:68" ht="27" hidden="1" customHeight="1" x14ac:dyDescent="0.25">
      <c r="A57" s="54" t="s">
        <v>130</v>
      </c>
      <c r="B57" s="54" t="s">
        <v>133</v>
      </c>
      <c r="C57" s="31">
        <v>4301012162</v>
      </c>
      <c r="D57" s="647">
        <v>4680115881426</v>
      </c>
      <c r="E57" s="648"/>
      <c r="F57" s="642">
        <v>1.35</v>
      </c>
      <c r="G57" s="32">
        <v>8</v>
      </c>
      <c r="H57" s="642">
        <v>10.8</v>
      </c>
      <c r="I57" s="64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3"/>
      <c r="R57" s="653"/>
      <c r="S57" s="653"/>
      <c r="T57" s="654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4301012259</v>
      </c>
      <c r="D58" s="647">
        <v>4680115880283</v>
      </c>
      <c r="E58" s="648"/>
      <c r="F58" s="642">
        <v>0.6</v>
      </c>
      <c r="G58" s="32">
        <v>8</v>
      </c>
      <c r="H58" s="642">
        <v>4.8</v>
      </c>
      <c r="I58" s="64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3"/>
      <c r="R58" s="653"/>
      <c r="S58" s="653"/>
      <c r="T58" s="654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138</v>
      </c>
      <c r="B59" s="54" t="s">
        <v>139</v>
      </c>
      <c r="C59" s="31">
        <v>4301011806</v>
      </c>
      <c r="D59" s="647">
        <v>4680115881525</v>
      </c>
      <c r="E59" s="648"/>
      <c r="F59" s="642">
        <v>0.4</v>
      </c>
      <c r="G59" s="32">
        <v>10</v>
      </c>
      <c r="H59" s="642">
        <v>4</v>
      </c>
      <c r="I59" s="642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87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3"/>
      <c r="R59" s="653"/>
      <c r="S59" s="653"/>
      <c r="T59" s="654"/>
      <c r="U59" s="34"/>
      <c r="V59" s="34"/>
      <c r="W59" s="35" t="s">
        <v>67</v>
      </c>
      <c r="X59" s="643">
        <v>17</v>
      </c>
      <c r="Y59" s="644">
        <f t="shared" si="0"/>
        <v>20</v>
      </c>
      <c r="Z59" s="36">
        <f>IFERROR(IF(Y59=0,"",ROUNDUP(Y59/H59,0)*0.00902),"")</f>
        <v>4.5100000000000001E-2</v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17.807500000000001</v>
      </c>
      <c r="BN59" s="64">
        <f t="shared" si="2"/>
        <v>20.950000000000003</v>
      </c>
      <c r="BO59" s="64">
        <f t="shared" si="3"/>
        <v>3.2196969696969696E-2</v>
      </c>
      <c r="BP59" s="64">
        <f t="shared" si="4"/>
        <v>3.787878787878788E-2</v>
      </c>
    </row>
    <row r="60" spans="1:68" ht="27" hidden="1" customHeight="1" x14ac:dyDescent="0.25">
      <c r="A60" s="54" t="s">
        <v>138</v>
      </c>
      <c r="B60" s="54" t="s">
        <v>141</v>
      </c>
      <c r="C60" s="31">
        <v>4301012159</v>
      </c>
      <c r="D60" s="647">
        <v>4680115881525</v>
      </c>
      <c r="E60" s="648"/>
      <c r="F60" s="642">
        <v>0.4</v>
      </c>
      <c r="G60" s="32">
        <v>10</v>
      </c>
      <c r="H60" s="642">
        <v>4</v>
      </c>
      <c r="I60" s="64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3"/>
      <c r="R60" s="653"/>
      <c r="S60" s="653"/>
      <c r="T60" s="654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134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47">
        <v>4680115885899</v>
      </c>
      <c r="E61" s="648"/>
      <c r="F61" s="642">
        <v>0.35</v>
      </c>
      <c r="G61" s="32">
        <v>6</v>
      </c>
      <c r="H61" s="642">
        <v>2.1</v>
      </c>
      <c r="I61" s="64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3"/>
      <c r="R61" s="653"/>
      <c r="S61" s="653"/>
      <c r="T61" s="654"/>
      <c r="U61" s="34"/>
      <c r="V61" s="34"/>
      <c r="W61" s="35" t="s">
        <v>67</v>
      </c>
      <c r="X61" s="643">
        <v>0</v>
      </c>
      <c r="Y61" s="64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129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7">
        <v>4680115881419</v>
      </c>
      <c r="E62" s="648"/>
      <c r="F62" s="642">
        <v>0.45</v>
      </c>
      <c r="G62" s="32">
        <v>10</v>
      </c>
      <c r="H62" s="642">
        <v>4.5</v>
      </c>
      <c r="I62" s="64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3"/>
      <c r="R62" s="653"/>
      <c r="S62" s="653"/>
      <c r="T62" s="654"/>
      <c r="U62" s="34"/>
      <c r="V62" s="34"/>
      <c r="W62" s="35" t="s">
        <v>67</v>
      </c>
      <c r="X62" s="643">
        <v>36</v>
      </c>
      <c r="Y62" s="644">
        <f t="shared" si="0"/>
        <v>36</v>
      </c>
      <c r="Z62" s="36">
        <f>IFERROR(IF(Y62=0,"",ROUNDUP(Y62/H62,0)*0.00902),"")</f>
        <v>7.2160000000000002E-2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37.520000000000003</v>
      </c>
      <c r="BN62" s="64">
        <f t="shared" si="2"/>
        <v>37.520000000000003</v>
      </c>
      <c r="BO62" s="64">
        <f t="shared" si="3"/>
        <v>6.0606060606060608E-2</v>
      </c>
      <c r="BP62" s="64">
        <f t="shared" si="4"/>
        <v>6.0606060606060608E-2</v>
      </c>
    </row>
    <row r="63" spans="1:68" ht="27" hidden="1" customHeight="1" x14ac:dyDescent="0.25">
      <c r="A63" s="54" t="s">
        <v>144</v>
      </c>
      <c r="B63" s="54" t="s">
        <v>147</v>
      </c>
      <c r="C63" s="31">
        <v>4301012158</v>
      </c>
      <c r="D63" s="647">
        <v>4680115881419</v>
      </c>
      <c r="E63" s="648"/>
      <c r="F63" s="642">
        <v>0.45</v>
      </c>
      <c r="G63" s="32">
        <v>10</v>
      </c>
      <c r="H63" s="642">
        <v>4.5</v>
      </c>
      <c r="I63" s="642">
        <v>4.6900000000000004</v>
      </c>
      <c r="J63" s="32">
        <v>132</v>
      </c>
      <c r="K63" s="32" t="s">
        <v>123</v>
      </c>
      <c r="L63" s="32"/>
      <c r="M63" s="33" t="s">
        <v>115</v>
      </c>
      <c r="N63" s="33"/>
      <c r="O63" s="32">
        <v>50</v>
      </c>
      <c r="P63" s="75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3"/>
      <c r="R63" s="653"/>
      <c r="S63" s="653"/>
      <c r="T63" s="654"/>
      <c r="U63" s="34"/>
      <c r="V63" s="34"/>
      <c r="W63" s="35" t="s">
        <v>67</v>
      </c>
      <c r="X63" s="643">
        <v>0</v>
      </c>
      <c r="Y63" s="644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134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57"/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9"/>
      <c r="P64" s="649" t="s">
        <v>72</v>
      </c>
      <c r="Q64" s="650"/>
      <c r="R64" s="650"/>
      <c r="S64" s="650"/>
      <c r="T64" s="650"/>
      <c r="U64" s="650"/>
      <c r="V64" s="651"/>
      <c r="W64" s="37" t="s">
        <v>73</v>
      </c>
      <c r="X64" s="645">
        <f>IFERROR(X55/H55,"0")+IFERROR(X56/H56,"0")+IFERROR(X57/H57,"0")+IFERROR(X58/H58,"0")+IFERROR(X59/H59,"0")+IFERROR(X60/H60,"0")+IFERROR(X61/H61,"0")+IFERROR(X62/H62,"0")+IFERROR(X63/H63,"0")</f>
        <v>36.912698412698411</v>
      </c>
      <c r="Y64" s="645">
        <f>IFERROR(Y55/H55,"0")+IFERROR(Y56/H56,"0")+IFERROR(Y57/H57,"0")+IFERROR(Y58/H58,"0")+IFERROR(Y59/H59,"0")+IFERROR(Y60/H60,"0")+IFERROR(Y61/H61,"0")+IFERROR(Y62/H62,"0")+IFERROR(Y63/H63,"0")</f>
        <v>39</v>
      </c>
      <c r="Z64" s="645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0.61074000000000006</v>
      </c>
      <c r="AA64" s="646"/>
      <c r="AB64" s="646"/>
      <c r="AC64" s="646"/>
    </row>
    <row r="65" spans="1:68" x14ac:dyDescent="0.2">
      <c r="A65" s="658"/>
      <c r="B65" s="658"/>
      <c r="C65" s="658"/>
      <c r="D65" s="658"/>
      <c r="E65" s="658"/>
      <c r="F65" s="658"/>
      <c r="G65" s="658"/>
      <c r="H65" s="658"/>
      <c r="I65" s="658"/>
      <c r="J65" s="658"/>
      <c r="K65" s="658"/>
      <c r="L65" s="658"/>
      <c r="M65" s="658"/>
      <c r="N65" s="658"/>
      <c r="O65" s="659"/>
      <c r="P65" s="649" t="s">
        <v>72</v>
      </c>
      <c r="Q65" s="650"/>
      <c r="R65" s="650"/>
      <c r="S65" s="650"/>
      <c r="T65" s="650"/>
      <c r="U65" s="650"/>
      <c r="V65" s="651"/>
      <c r="W65" s="37" t="s">
        <v>67</v>
      </c>
      <c r="X65" s="645">
        <f>IFERROR(SUM(X55:X63),"0")</f>
        <v>322</v>
      </c>
      <c r="Y65" s="645">
        <f>IFERROR(SUM(Y55:Y63),"0")</f>
        <v>339.6</v>
      </c>
      <c r="Z65" s="37"/>
      <c r="AA65" s="646"/>
      <c r="AB65" s="646"/>
      <c r="AC65" s="646"/>
    </row>
    <row r="66" spans="1:68" ht="14.25" hidden="1" customHeight="1" x14ac:dyDescent="0.25">
      <c r="A66" s="663" t="s">
        <v>148</v>
      </c>
      <c r="B66" s="658"/>
      <c r="C66" s="658"/>
      <c r="D66" s="658"/>
      <c r="E66" s="658"/>
      <c r="F66" s="658"/>
      <c r="G66" s="658"/>
      <c r="H66" s="658"/>
      <c r="I66" s="658"/>
      <c r="J66" s="658"/>
      <c r="K66" s="658"/>
      <c r="L66" s="658"/>
      <c r="M66" s="658"/>
      <c r="N66" s="658"/>
      <c r="O66" s="658"/>
      <c r="P66" s="658"/>
      <c r="Q66" s="658"/>
      <c r="R66" s="658"/>
      <c r="S66" s="658"/>
      <c r="T66" s="658"/>
      <c r="U66" s="658"/>
      <c r="V66" s="658"/>
      <c r="W66" s="658"/>
      <c r="X66" s="658"/>
      <c r="Y66" s="658"/>
      <c r="Z66" s="658"/>
      <c r="AA66" s="639"/>
      <c r="AB66" s="639"/>
      <c r="AC66" s="639"/>
    </row>
    <row r="67" spans="1:68" ht="16.5" customHeight="1" x14ac:dyDescent="0.25">
      <c r="A67" s="54" t="s">
        <v>149</v>
      </c>
      <c r="B67" s="54" t="s">
        <v>150</v>
      </c>
      <c r="C67" s="31">
        <v>4301020298</v>
      </c>
      <c r="D67" s="647">
        <v>4680115881440</v>
      </c>
      <c r="E67" s="648"/>
      <c r="F67" s="642">
        <v>1.35</v>
      </c>
      <c r="G67" s="32">
        <v>8</v>
      </c>
      <c r="H67" s="642">
        <v>10.8</v>
      </c>
      <c r="I67" s="642">
        <v>11.21</v>
      </c>
      <c r="J67" s="32">
        <v>64</v>
      </c>
      <c r="K67" s="32" t="s">
        <v>114</v>
      </c>
      <c r="L67" s="32"/>
      <c r="M67" s="33" t="s">
        <v>115</v>
      </c>
      <c r="N67" s="33"/>
      <c r="O67" s="32">
        <v>50</v>
      </c>
      <c r="P67" s="9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3"/>
      <c r="R67" s="653"/>
      <c r="S67" s="653"/>
      <c r="T67" s="654"/>
      <c r="U67" s="34"/>
      <c r="V67" s="34"/>
      <c r="W67" s="35" t="s">
        <v>67</v>
      </c>
      <c r="X67" s="643">
        <v>77</v>
      </c>
      <c r="Y67" s="644">
        <f t="shared" ref="Y67:Y72" si="5">IFERROR(IF(X67="",0,CEILING((X67/$H67),1)*$H67),"")</f>
        <v>86.4</v>
      </c>
      <c r="Z67" s="36">
        <f>IFERROR(IF(Y67=0,"",ROUNDUP(Y67/H67,0)*0.01898),"")</f>
        <v>0.15184</v>
      </c>
      <c r="AA67" s="56"/>
      <c r="AB67" s="57"/>
      <c r="AC67" s="119" t="s">
        <v>151</v>
      </c>
      <c r="AG67" s="64"/>
      <c r="AJ67" s="68"/>
      <c r="AK67" s="68">
        <v>0</v>
      </c>
      <c r="BB67" s="120" t="s">
        <v>1</v>
      </c>
      <c r="BM67" s="64">
        <f t="shared" ref="BM67:BM72" si="6">IFERROR(X67*I67/H67,"0")</f>
        <v>79.923148148148144</v>
      </c>
      <c r="BN67" s="64">
        <f t="shared" ref="BN67:BN72" si="7">IFERROR(Y67*I67/H67,"0")</f>
        <v>89.68</v>
      </c>
      <c r="BO67" s="64">
        <f t="shared" ref="BO67:BO72" si="8">IFERROR(1/J67*(X67/H67),"0")</f>
        <v>0.11140046296296295</v>
      </c>
      <c r="BP67" s="64">
        <f t="shared" ref="BP67:BP72" si="9">IFERROR(1/J67*(Y67/H67),"0")</f>
        <v>0.125</v>
      </c>
    </row>
    <row r="68" spans="1:68" ht="27" hidden="1" customHeight="1" x14ac:dyDescent="0.25">
      <c r="A68" s="54" t="s">
        <v>149</v>
      </c>
      <c r="B68" s="54" t="s">
        <v>152</v>
      </c>
      <c r="C68" s="31">
        <v>4301020390</v>
      </c>
      <c r="D68" s="647">
        <v>4680115881440</v>
      </c>
      <c r="E68" s="648"/>
      <c r="F68" s="642">
        <v>1.35</v>
      </c>
      <c r="G68" s="32">
        <v>8</v>
      </c>
      <c r="H68" s="642">
        <v>10.8</v>
      </c>
      <c r="I68" s="642">
        <v>11.21</v>
      </c>
      <c r="J68" s="32">
        <v>64</v>
      </c>
      <c r="K68" s="32" t="s">
        <v>114</v>
      </c>
      <c r="L68" s="32"/>
      <c r="M68" s="33" t="s">
        <v>115</v>
      </c>
      <c r="N68" s="33"/>
      <c r="O68" s="32">
        <v>50</v>
      </c>
      <c r="P68" s="810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3"/>
      <c r="R68" s="653"/>
      <c r="S68" s="653"/>
      <c r="T68" s="654"/>
      <c r="U68" s="34"/>
      <c r="V68" s="34"/>
      <c r="W68" s="35" t="s">
        <v>67</v>
      </c>
      <c r="X68" s="643">
        <v>0</v>
      </c>
      <c r="Y68" s="644">
        <f t="shared" si="5"/>
        <v>0</v>
      </c>
      <c r="Z68" s="36" t="str">
        <f>IFERROR(IF(Y68=0,"",ROUNDUP(Y68/H68,0)*0.01898),"")</f>
        <v/>
      </c>
      <c r="AA68" s="56"/>
      <c r="AB68" s="57"/>
      <c r="AC68" s="121" t="s">
        <v>153</v>
      </c>
      <c r="AG68" s="64"/>
      <c r="AJ68" s="68"/>
      <c r="AK68" s="68">
        <v>0</v>
      </c>
      <c r="BB68" s="122" t="s">
        <v>1</v>
      </c>
      <c r="BM68" s="64">
        <f t="shared" si="6"/>
        <v>0</v>
      </c>
      <c r="BN68" s="64">
        <f t="shared" si="7"/>
        <v>0</v>
      </c>
      <c r="BO68" s="64">
        <f t="shared" si="8"/>
        <v>0</v>
      </c>
      <c r="BP68" s="64">
        <f t="shared" si="9"/>
        <v>0</v>
      </c>
    </row>
    <row r="69" spans="1:68" ht="16.5" hidden="1" customHeight="1" x14ac:dyDescent="0.25">
      <c r="A69" s="54" t="s">
        <v>154</v>
      </c>
      <c r="B69" s="54" t="s">
        <v>155</v>
      </c>
      <c r="C69" s="31">
        <v>4301020358</v>
      </c>
      <c r="D69" s="647">
        <v>4680115885950</v>
      </c>
      <c r="E69" s="648"/>
      <c r="F69" s="642">
        <v>0.37</v>
      </c>
      <c r="G69" s="32">
        <v>6</v>
      </c>
      <c r="H69" s="642">
        <v>2.2200000000000002</v>
      </c>
      <c r="I69" s="642">
        <v>2.4</v>
      </c>
      <c r="J69" s="32">
        <v>182</v>
      </c>
      <c r="K69" s="32" t="s">
        <v>77</v>
      </c>
      <c r="L69" s="32"/>
      <c r="M69" s="33" t="s">
        <v>78</v>
      </c>
      <c r="N69" s="33"/>
      <c r="O69" s="32">
        <v>50</v>
      </c>
      <c r="P69" s="8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3"/>
      <c r="R69" s="653"/>
      <c r="S69" s="653"/>
      <c r="T69" s="654"/>
      <c r="U69" s="34"/>
      <c r="V69" s="34"/>
      <c r="W69" s="35" t="s">
        <v>67</v>
      </c>
      <c r="X69" s="643">
        <v>0</v>
      </c>
      <c r="Y69" s="644">
        <f t="shared" si="5"/>
        <v>0</v>
      </c>
      <c r="Z69" s="36" t="str">
        <f>IFERROR(IF(Y69=0,"",ROUNDUP(Y69/H69,0)*0.00651),"")</f>
        <v/>
      </c>
      <c r="AA69" s="56"/>
      <c r="AB69" s="57"/>
      <c r="AC69" s="123" t="s">
        <v>151</v>
      </c>
      <c r="AG69" s="64"/>
      <c r="AJ69" s="68"/>
      <c r="AK69" s="68">
        <v>0</v>
      </c>
      <c r="BB69" s="124" t="s">
        <v>1</v>
      </c>
      <c r="BM69" s="64">
        <f t="shared" si="6"/>
        <v>0</v>
      </c>
      <c r="BN69" s="64">
        <f t="shared" si="7"/>
        <v>0</v>
      </c>
      <c r="BO69" s="64">
        <f t="shared" si="8"/>
        <v>0</v>
      </c>
      <c r="BP69" s="64">
        <f t="shared" si="9"/>
        <v>0</v>
      </c>
    </row>
    <row r="70" spans="1:68" ht="16.5" hidden="1" customHeight="1" x14ac:dyDescent="0.25">
      <c r="A70" s="54" t="s">
        <v>156</v>
      </c>
      <c r="B70" s="54" t="s">
        <v>157</v>
      </c>
      <c r="C70" s="31">
        <v>4301020371</v>
      </c>
      <c r="D70" s="647">
        <v>4680115887688</v>
      </c>
      <c r="E70" s="648"/>
      <c r="F70" s="642">
        <v>0.1</v>
      </c>
      <c r="G70" s="32">
        <v>10</v>
      </c>
      <c r="H70" s="642">
        <v>1</v>
      </c>
      <c r="I70" s="642">
        <v>1.21</v>
      </c>
      <c r="J70" s="32">
        <v>192</v>
      </c>
      <c r="K70" s="32" t="s">
        <v>119</v>
      </c>
      <c r="L70" s="32"/>
      <c r="M70" s="33" t="s">
        <v>66</v>
      </c>
      <c r="N70" s="33"/>
      <c r="O70" s="32">
        <v>30</v>
      </c>
      <c r="P70" s="99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3"/>
      <c r="R70" s="653"/>
      <c r="S70" s="653"/>
      <c r="T70" s="654"/>
      <c r="U70" s="34"/>
      <c r="V70" s="34"/>
      <c r="W70" s="35" t="s">
        <v>67</v>
      </c>
      <c r="X70" s="643">
        <v>0</v>
      </c>
      <c r="Y70" s="644">
        <f t="shared" si="5"/>
        <v>0</v>
      </c>
      <c r="Z70" s="36" t="str">
        <f>IFERROR(IF(Y70=0,"",ROUNDUP(Y70/H70,0)*0.00726),"")</f>
        <v/>
      </c>
      <c r="AA70" s="56"/>
      <c r="AB70" s="57"/>
      <c r="AC70" s="125" t="s">
        <v>158</v>
      </c>
      <c r="AG70" s="64"/>
      <c r="AJ70" s="68"/>
      <c r="AK70" s="68">
        <v>0</v>
      </c>
      <c r="BB70" s="126" t="s">
        <v>1</v>
      </c>
      <c r="BM70" s="64">
        <f t="shared" si="6"/>
        <v>0</v>
      </c>
      <c r="BN70" s="64">
        <f t="shared" si="7"/>
        <v>0</v>
      </c>
      <c r="BO70" s="64">
        <f t="shared" si="8"/>
        <v>0</v>
      </c>
      <c r="BP70" s="64">
        <f t="shared" si="9"/>
        <v>0</v>
      </c>
    </row>
    <row r="71" spans="1:68" ht="27" hidden="1" customHeight="1" x14ac:dyDescent="0.25">
      <c r="A71" s="54" t="s">
        <v>159</v>
      </c>
      <c r="B71" s="54" t="s">
        <v>160</v>
      </c>
      <c r="C71" s="31">
        <v>4301020296</v>
      </c>
      <c r="D71" s="647">
        <v>4680115881433</v>
      </c>
      <c r="E71" s="648"/>
      <c r="F71" s="642">
        <v>0.45</v>
      </c>
      <c r="G71" s="32">
        <v>6</v>
      </c>
      <c r="H71" s="642">
        <v>2.7</v>
      </c>
      <c r="I71" s="642">
        <v>2.88</v>
      </c>
      <c r="J71" s="32">
        <v>182</v>
      </c>
      <c r="K71" s="32" t="s">
        <v>77</v>
      </c>
      <c r="L71" s="32"/>
      <c r="M71" s="33" t="s">
        <v>115</v>
      </c>
      <c r="N71" s="33"/>
      <c r="O71" s="32">
        <v>50</v>
      </c>
      <c r="P71" s="100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653"/>
      <c r="R71" s="653"/>
      <c r="S71" s="653"/>
      <c r="T71" s="654"/>
      <c r="U71" s="34"/>
      <c r="V71" s="34"/>
      <c r="W71" s="35" t="s">
        <v>67</v>
      </c>
      <c r="X71" s="643">
        <v>0</v>
      </c>
      <c r="Y71" s="644">
        <f t="shared" si="5"/>
        <v>0</v>
      </c>
      <c r="Z71" s="36" t="str">
        <f>IFERROR(IF(Y71=0,"",ROUNDUP(Y71/H71,0)*0.00651),"")</f>
        <v/>
      </c>
      <c r="AA71" s="56"/>
      <c r="AB71" s="57"/>
      <c r="AC71" s="127" t="s">
        <v>151</v>
      </c>
      <c r="AG71" s="64"/>
      <c r="AJ71" s="68"/>
      <c r="AK71" s="68">
        <v>0</v>
      </c>
      <c r="BB71" s="128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27" hidden="1" customHeight="1" x14ac:dyDescent="0.25">
      <c r="A72" s="54" t="s">
        <v>159</v>
      </c>
      <c r="B72" s="54" t="s">
        <v>161</v>
      </c>
      <c r="C72" s="31">
        <v>4301020389</v>
      </c>
      <c r="D72" s="647">
        <v>4680115881433</v>
      </c>
      <c r="E72" s="648"/>
      <c r="F72" s="642">
        <v>0.45</v>
      </c>
      <c r="G72" s="32">
        <v>6</v>
      </c>
      <c r="H72" s="642">
        <v>2.7</v>
      </c>
      <c r="I72" s="642">
        <v>2.88</v>
      </c>
      <c r="J72" s="32">
        <v>182</v>
      </c>
      <c r="K72" s="32" t="s">
        <v>77</v>
      </c>
      <c r="L72" s="32"/>
      <c r="M72" s="33" t="s">
        <v>115</v>
      </c>
      <c r="N72" s="33"/>
      <c r="O72" s="32">
        <v>50</v>
      </c>
      <c r="P72" s="979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653"/>
      <c r="R72" s="653"/>
      <c r="S72" s="653"/>
      <c r="T72" s="654"/>
      <c r="U72" s="34"/>
      <c r="V72" s="34"/>
      <c r="W72" s="35" t="s">
        <v>67</v>
      </c>
      <c r="X72" s="643">
        <v>0</v>
      </c>
      <c r="Y72" s="644">
        <f t="shared" si="5"/>
        <v>0</v>
      </c>
      <c r="Z72" s="36" t="str">
        <f>IFERROR(IF(Y72=0,"",ROUNDUP(Y72/H72,0)*0.00651),"")</f>
        <v/>
      </c>
      <c r="AA72" s="56"/>
      <c r="AB72" s="57"/>
      <c r="AC72" s="129" t="s">
        <v>153</v>
      </c>
      <c r="AG72" s="64"/>
      <c r="AJ72" s="68"/>
      <c r="AK72" s="68">
        <v>0</v>
      </c>
      <c r="BB72" s="130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x14ac:dyDescent="0.2">
      <c r="A73" s="657"/>
      <c r="B73" s="658"/>
      <c r="C73" s="658"/>
      <c r="D73" s="658"/>
      <c r="E73" s="658"/>
      <c r="F73" s="658"/>
      <c r="G73" s="658"/>
      <c r="H73" s="658"/>
      <c r="I73" s="658"/>
      <c r="J73" s="658"/>
      <c r="K73" s="658"/>
      <c r="L73" s="658"/>
      <c r="M73" s="658"/>
      <c r="N73" s="658"/>
      <c r="O73" s="659"/>
      <c r="P73" s="649" t="s">
        <v>72</v>
      </c>
      <c r="Q73" s="650"/>
      <c r="R73" s="650"/>
      <c r="S73" s="650"/>
      <c r="T73" s="650"/>
      <c r="U73" s="650"/>
      <c r="V73" s="651"/>
      <c r="W73" s="37" t="s">
        <v>73</v>
      </c>
      <c r="X73" s="645">
        <f>IFERROR(X67/H67,"0")+IFERROR(X68/H68,"0")+IFERROR(X69/H69,"0")+IFERROR(X70/H70,"0")+IFERROR(X71/H71,"0")+IFERROR(X72/H72,"0")</f>
        <v>7.1296296296296289</v>
      </c>
      <c r="Y73" s="645">
        <f>IFERROR(Y67/H67,"0")+IFERROR(Y68/H68,"0")+IFERROR(Y69/H69,"0")+IFERROR(Y70/H70,"0")+IFERROR(Y71/H71,"0")+IFERROR(Y72/H72,"0")</f>
        <v>8</v>
      </c>
      <c r="Z73" s="645">
        <f>IFERROR(IF(Z67="",0,Z67),"0")+IFERROR(IF(Z68="",0,Z68),"0")+IFERROR(IF(Z69="",0,Z69),"0")+IFERROR(IF(Z70="",0,Z70),"0")+IFERROR(IF(Z71="",0,Z71),"0")+IFERROR(IF(Z72="",0,Z72),"0")</f>
        <v>0.15184</v>
      </c>
      <c r="AA73" s="646"/>
      <c r="AB73" s="646"/>
      <c r="AC73" s="646"/>
    </row>
    <row r="74" spans="1:68" x14ac:dyDescent="0.2">
      <c r="A74" s="658"/>
      <c r="B74" s="658"/>
      <c r="C74" s="658"/>
      <c r="D74" s="658"/>
      <c r="E74" s="658"/>
      <c r="F74" s="658"/>
      <c r="G74" s="658"/>
      <c r="H74" s="658"/>
      <c r="I74" s="658"/>
      <c r="J74" s="658"/>
      <c r="K74" s="658"/>
      <c r="L74" s="658"/>
      <c r="M74" s="658"/>
      <c r="N74" s="658"/>
      <c r="O74" s="659"/>
      <c r="P74" s="649" t="s">
        <v>72</v>
      </c>
      <c r="Q74" s="650"/>
      <c r="R74" s="650"/>
      <c r="S74" s="650"/>
      <c r="T74" s="650"/>
      <c r="U74" s="650"/>
      <c r="V74" s="651"/>
      <c r="W74" s="37" t="s">
        <v>67</v>
      </c>
      <c r="X74" s="645">
        <f>IFERROR(SUM(X67:X72),"0")</f>
        <v>77</v>
      </c>
      <c r="Y74" s="645">
        <f>IFERROR(SUM(Y67:Y72),"0")</f>
        <v>86.4</v>
      </c>
      <c r="Z74" s="37"/>
      <c r="AA74" s="646"/>
      <c r="AB74" s="646"/>
      <c r="AC74" s="646"/>
    </row>
    <row r="75" spans="1:68" ht="14.25" hidden="1" customHeight="1" x14ac:dyDescent="0.25">
      <c r="A75" s="663" t="s">
        <v>74</v>
      </c>
      <c r="B75" s="658"/>
      <c r="C75" s="658"/>
      <c r="D75" s="658"/>
      <c r="E75" s="658"/>
      <c r="F75" s="658"/>
      <c r="G75" s="658"/>
      <c r="H75" s="658"/>
      <c r="I75" s="658"/>
      <c r="J75" s="658"/>
      <c r="K75" s="658"/>
      <c r="L75" s="658"/>
      <c r="M75" s="658"/>
      <c r="N75" s="658"/>
      <c r="O75" s="658"/>
      <c r="P75" s="658"/>
      <c r="Q75" s="658"/>
      <c r="R75" s="658"/>
      <c r="S75" s="658"/>
      <c r="T75" s="658"/>
      <c r="U75" s="658"/>
      <c r="V75" s="658"/>
      <c r="W75" s="658"/>
      <c r="X75" s="658"/>
      <c r="Y75" s="658"/>
      <c r="Z75" s="658"/>
      <c r="AA75" s="639"/>
      <c r="AB75" s="639"/>
      <c r="AC75" s="639"/>
    </row>
    <row r="76" spans="1:68" ht="16.5" hidden="1" customHeight="1" x14ac:dyDescent="0.25">
      <c r="A76" s="54" t="s">
        <v>162</v>
      </c>
      <c r="B76" s="54" t="s">
        <v>163</v>
      </c>
      <c r="C76" s="31">
        <v>4301051837</v>
      </c>
      <c r="D76" s="647">
        <v>4680115884311</v>
      </c>
      <c r="E76" s="648"/>
      <c r="F76" s="642">
        <v>0.3</v>
      </c>
      <c r="G76" s="32">
        <v>6</v>
      </c>
      <c r="H76" s="642">
        <v>1.8</v>
      </c>
      <c r="I76" s="642">
        <v>2.0459999999999998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82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53"/>
      <c r="R76" s="653"/>
      <c r="S76" s="653"/>
      <c r="T76" s="654"/>
      <c r="U76" s="34"/>
      <c r="V76" s="34"/>
      <c r="W76" s="35" t="s">
        <v>67</v>
      </c>
      <c r="X76" s="643">
        <v>0</v>
      </c>
      <c r="Y76" s="6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164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165</v>
      </c>
      <c r="B77" s="54" t="s">
        <v>166</v>
      </c>
      <c r="C77" s="31">
        <v>4301052083</v>
      </c>
      <c r="D77" s="647">
        <v>4680115884403</v>
      </c>
      <c r="E77" s="648"/>
      <c r="F77" s="642">
        <v>0.3</v>
      </c>
      <c r="G77" s="32">
        <v>6</v>
      </c>
      <c r="H77" s="642">
        <v>1.8</v>
      </c>
      <c r="I77" s="642">
        <v>1.98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653"/>
      <c r="R77" s="653"/>
      <c r="S77" s="653"/>
      <c r="T77" s="654"/>
      <c r="U77" s="34"/>
      <c r="V77" s="34"/>
      <c r="W77" s="35" t="s">
        <v>67</v>
      </c>
      <c r="X77" s="643">
        <v>0</v>
      </c>
      <c r="Y77" s="64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33" t="s">
        <v>167</v>
      </c>
      <c r="AG77" s="64"/>
      <c r="AJ77" s="68"/>
      <c r="AK77" s="68">
        <v>0</v>
      </c>
      <c r="BB77" s="134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57"/>
      <c r="B78" s="658"/>
      <c r="C78" s="658"/>
      <c r="D78" s="658"/>
      <c r="E78" s="658"/>
      <c r="F78" s="658"/>
      <c r="G78" s="658"/>
      <c r="H78" s="658"/>
      <c r="I78" s="658"/>
      <c r="J78" s="658"/>
      <c r="K78" s="658"/>
      <c r="L78" s="658"/>
      <c r="M78" s="658"/>
      <c r="N78" s="658"/>
      <c r="O78" s="659"/>
      <c r="P78" s="649" t="s">
        <v>72</v>
      </c>
      <c r="Q78" s="650"/>
      <c r="R78" s="650"/>
      <c r="S78" s="650"/>
      <c r="T78" s="650"/>
      <c r="U78" s="650"/>
      <c r="V78" s="651"/>
      <c r="W78" s="37" t="s">
        <v>73</v>
      </c>
      <c r="X78" s="645">
        <f>IFERROR(X76/H76,"0")+IFERROR(X77/H77,"0")</f>
        <v>0</v>
      </c>
      <c r="Y78" s="645">
        <f>IFERROR(Y76/H76,"0")+IFERROR(Y77/H77,"0")</f>
        <v>0</v>
      </c>
      <c r="Z78" s="645">
        <f>IFERROR(IF(Z76="",0,Z76),"0")+IFERROR(IF(Z77="",0,Z77),"0")</f>
        <v>0</v>
      </c>
      <c r="AA78" s="646"/>
      <c r="AB78" s="646"/>
      <c r="AC78" s="646"/>
    </row>
    <row r="79" spans="1:68" hidden="1" x14ac:dyDescent="0.2">
      <c r="A79" s="658"/>
      <c r="B79" s="658"/>
      <c r="C79" s="658"/>
      <c r="D79" s="658"/>
      <c r="E79" s="658"/>
      <c r="F79" s="658"/>
      <c r="G79" s="658"/>
      <c r="H79" s="658"/>
      <c r="I79" s="658"/>
      <c r="J79" s="658"/>
      <c r="K79" s="658"/>
      <c r="L79" s="658"/>
      <c r="M79" s="658"/>
      <c r="N79" s="658"/>
      <c r="O79" s="659"/>
      <c r="P79" s="649" t="s">
        <v>72</v>
      </c>
      <c r="Q79" s="650"/>
      <c r="R79" s="650"/>
      <c r="S79" s="650"/>
      <c r="T79" s="650"/>
      <c r="U79" s="650"/>
      <c r="V79" s="651"/>
      <c r="W79" s="37" t="s">
        <v>67</v>
      </c>
      <c r="X79" s="645">
        <f>IFERROR(SUM(X76:X77),"0")</f>
        <v>0</v>
      </c>
      <c r="Y79" s="645">
        <f>IFERROR(SUM(Y76:Y77),"0")</f>
        <v>0</v>
      </c>
      <c r="Z79" s="37"/>
      <c r="AA79" s="646"/>
      <c r="AB79" s="646"/>
      <c r="AC79" s="646"/>
    </row>
    <row r="80" spans="1:68" ht="14.25" hidden="1" customHeight="1" x14ac:dyDescent="0.25">
      <c r="A80" s="663" t="s">
        <v>168</v>
      </c>
      <c r="B80" s="658"/>
      <c r="C80" s="658"/>
      <c r="D80" s="658"/>
      <c r="E80" s="658"/>
      <c r="F80" s="658"/>
      <c r="G80" s="658"/>
      <c r="H80" s="658"/>
      <c r="I80" s="658"/>
      <c r="J80" s="658"/>
      <c r="K80" s="658"/>
      <c r="L80" s="658"/>
      <c r="M80" s="658"/>
      <c r="N80" s="658"/>
      <c r="O80" s="658"/>
      <c r="P80" s="658"/>
      <c r="Q80" s="658"/>
      <c r="R80" s="658"/>
      <c r="S80" s="658"/>
      <c r="T80" s="658"/>
      <c r="U80" s="658"/>
      <c r="V80" s="658"/>
      <c r="W80" s="658"/>
      <c r="X80" s="658"/>
      <c r="Y80" s="658"/>
      <c r="Z80" s="658"/>
      <c r="AA80" s="639"/>
      <c r="AB80" s="639"/>
      <c r="AC80" s="639"/>
    </row>
    <row r="81" spans="1:68" ht="27" customHeight="1" x14ac:dyDescent="0.25">
      <c r="A81" s="54" t="s">
        <v>169</v>
      </c>
      <c r="B81" s="54" t="s">
        <v>170</v>
      </c>
      <c r="C81" s="31">
        <v>4301060455</v>
      </c>
      <c r="D81" s="647">
        <v>4680115881532</v>
      </c>
      <c r="E81" s="648"/>
      <c r="F81" s="642">
        <v>1.3</v>
      </c>
      <c r="G81" s="32">
        <v>6</v>
      </c>
      <c r="H81" s="642">
        <v>7.8</v>
      </c>
      <c r="I81" s="642">
        <v>8.2100000000000009</v>
      </c>
      <c r="J81" s="32">
        <v>64</v>
      </c>
      <c r="K81" s="32" t="s">
        <v>114</v>
      </c>
      <c r="L81" s="32"/>
      <c r="M81" s="33" t="s">
        <v>84</v>
      </c>
      <c r="N81" s="33"/>
      <c r="O81" s="32">
        <v>30</v>
      </c>
      <c r="P81" s="76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53"/>
      <c r="R81" s="653"/>
      <c r="S81" s="653"/>
      <c r="T81" s="654"/>
      <c r="U81" s="34"/>
      <c r="V81" s="34"/>
      <c r="W81" s="35" t="s">
        <v>67</v>
      </c>
      <c r="X81" s="643">
        <v>72</v>
      </c>
      <c r="Y81" s="644">
        <f>IFERROR(IF(X81="",0,CEILING((X81/$H81),1)*$H81),"")</f>
        <v>78</v>
      </c>
      <c r="Z81" s="36">
        <f>IFERROR(IF(Y81=0,"",ROUNDUP(Y81/H81,0)*0.01898),"")</f>
        <v>0.1898</v>
      </c>
      <c r="AA81" s="56"/>
      <c r="AB81" s="57"/>
      <c r="AC81" s="135" t="s">
        <v>171</v>
      </c>
      <c r="AG81" s="64"/>
      <c r="AJ81" s="68"/>
      <c r="AK81" s="68">
        <v>0</v>
      </c>
      <c r="BB81" s="136" t="s">
        <v>1</v>
      </c>
      <c r="BM81" s="64">
        <f>IFERROR(X81*I81/H81,"0")</f>
        <v>75.784615384615407</v>
      </c>
      <c r="BN81" s="64">
        <f>IFERROR(Y81*I81/H81,"0")</f>
        <v>82.100000000000023</v>
      </c>
      <c r="BO81" s="64">
        <f>IFERROR(1/J81*(X81/H81),"0")</f>
        <v>0.14423076923076925</v>
      </c>
      <c r="BP81" s="64">
        <f>IFERROR(1/J81*(Y81/H81),"0")</f>
        <v>0.15625</v>
      </c>
    </row>
    <row r="82" spans="1:68" ht="27" hidden="1" customHeight="1" x14ac:dyDescent="0.25">
      <c r="A82" s="54" t="s">
        <v>169</v>
      </c>
      <c r="B82" s="54" t="s">
        <v>172</v>
      </c>
      <c r="C82" s="31">
        <v>4301060526</v>
      </c>
      <c r="D82" s="647">
        <v>4680115881532</v>
      </c>
      <c r="E82" s="648"/>
      <c r="F82" s="642">
        <v>1.3</v>
      </c>
      <c r="G82" s="32">
        <v>6</v>
      </c>
      <c r="H82" s="642">
        <v>7.8</v>
      </c>
      <c r="I82" s="642">
        <v>8.2100000000000009</v>
      </c>
      <c r="J82" s="32">
        <v>64</v>
      </c>
      <c r="K82" s="32" t="s">
        <v>114</v>
      </c>
      <c r="L82" s="32"/>
      <c r="M82" s="33" t="s">
        <v>84</v>
      </c>
      <c r="N82" s="33"/>
      <c r="O82" s="32">
        <v>30</v>
      </c>
      <c r="P82" s="97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653"/>
      <c r="R82" s="653"/>
      <c r="S82" s="653"/>
      <c r="T82" s="654"/>
      <c r="U82" s="34"/>
      <c r="V82" s="34"/>
      <c r="W82" s="35" t="s">
        <v>67</v>
      </c>
      <c r="X82" s="643">
        <v>0</v>
      </c>
      <c r="Y82" s="64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7" t="s">
        <v>171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174</v>
      </c>
      <c r="C83" s="31">
        <v>4301060527</v>
      </c>
      <c r="D83" s="647">
        <v>4680115881464</v>
      </c>
      <c r="E83" s="648"/>
      <c r="F83" s="642">
        <v>0.4</v>
      </c>
      <c r="G83" s="32">
        <v>6</v>
      </c>
      <c r="H83" s="642">
        <v>2.4</v>
      </c>
      <c r="I83" s="642">
        <v>2.59</v>
      </c>
      <c r="J83" s="32">
        <v>132</v>
      </c>
      <c r="K83" s="32" t="s">
        <v>123</v>
      </c>
      <c r="L83" s="32"/>
      <c r="M83" s="33" t="s">
        <v>78</v>
      </c>
      <c r="N83" s="33"/>
      <c r="O83" s="32">
        <v>30</v>
      </c>
      <c r="P83" s="100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4"/>
      <c r="V83" s="34"/>
      <c r="W83" s="35" t="s">
        <v>67</v>
      </c>
      <c r="X83" s="643">
        <v>0</v>
      </c>
      <c r="Y83" s="644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9" t="s">
        <v>175</v>
      </c>
      <c r="AG83" s="64"/>
      <c r="AJ83" s="68"/>
      <c r="AK83" s="68">
        <v>0</v>
      </c>
      <c r="BB83" s="140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7"/>
      <c r="B84" s="658"/>
      <c r="C84" s="658"/>
      <c r="D84" s="658"/>
      <c r="E84" s="658"/>
      <c r="F84" s="658"/>
      <c r="G84" s="658"/>
      <c r="H84" s="658"/>
      <c r="I84" s="658"/>
      <c r="J84" s="658"/>
      <c r="K84" s="658"/>
      <c r="L84" s="658"/>
      <c r="M84" s="658"/>
      <c r="N84" s="658"/>
      <c r="O84" s="659"/>
      <c r="P84" s="649" t="s">
        <v>72</v>
      </c>
      <c r="Q84" s="650"/>
      <c r="R84" s="650"/>
      <c r="S84" s="650"/>
      <c r="T84" s="650"/>
      <c r="U84" s="650"/>
      <c r="V84" s="651"/>
      <c r="W84" s="37" t="s">
        <v>73</v>
      </c>
      <c r="X84" s="645">
        <f>IFERROR(X81/H81,"0")+IFERROR(X82/H82,"0")+IFERROR(X83/H83,"0")</f>
        <v>9.2307692307692317</v>
      </c>
      <c r="Y84" s="645">
        <f>IFERROR(Y81/H81,"0")+IFERROR(Y82/H82,"0")+IFERROR(Y83/H83,"0")</f>
        <v>10</v>
      </c>
      <c r="Z84" s="645">
        <f>IFERROR(IF(Z81="",0,Z81),"0")+IFERROR(IF(Z82="",0,Z82),"0")+IFERROR(IF(Z83="",0,Z83),"0")</f>
        <v>0.1898</v>
      </c>
      <c r="AA84" s="646"/>
      <c r="AB84" s="646"/>
      <c r="AC84" s="646"/>
    </row>
    <row r="85" spans="1:68" x14ac:dyDescent="0.2">
      <c r="A85" s="658"/>
      <c r="B85" s="658"/>
      <c r="C85" s="658"/>
      <c r="D85" s="658"/>
      <c r="E85" s="658"/>
      <c r="F85" s="658"/>
      <c r="G85" s="658"/>
      <c r="H85" s="658"/>
      <c r="I85" s="658"/>
      <c r="J85" s="658"/>
      <c r="K85" s="658"/>
      <c r="L85" s="658"/>
      <c r="M85" s="658"/>
      <c r="N85" s="658"/>
      <c r="O85" s="659"/>
      <c r="P85" s="649" t="s">
        <v>72</v>
      </c>
      <c r="Q85" s="650"/>
      <c r="R85" s="650"/>
      <c r="S85" s="650"/>
      <c r="T85" s="650"/>
      <c r="U85" s="650"/>
      <c r="V85" s="651"/>
      <c r="W85" s="37" t="s">
        <v>67</v>
      </c>
      <c r="X85" s="645">
        <f>IFERROR(SUM(X81:X83),"0")</f>
        <v>72</v>
      </c>
      <c r="Y85" s="645">
        <f>IFERROR(SUM(Y81:Y83),"0")</f>
        <v>78</v>
      </c>
      <c r="Z85" s="37"/>
      <c r="AA85" s="646"/>
      <c r="AB85" s="646"/>
      <c r="AC85" s="646"/>
    </row>
    <row r="86" spans="1:68" ht="16.5" hidden="1" customHeight="1" x14ac:dyDescent="0.25">
      <c r="A86" s="676" t="s">
        <v>176</v>
      </c>
      <c r="B86" s="658"/>
      <c r="C86" s="658"/>
      <c r="D86" s="658"/>
      <c r="E86" s="658"/>
      <c r="F86" s="658"/>
      <c r="G86" s="658"/>
      <c r="H86" s="658"/>
      <c r="I86" s="658"/>
      <c r="J86" s="658"/>
      <c r="K86" s="658"/>
      <c r="L86" s="658"/>
      <c r="M86" s="658"/>
      <c r="N86" s="658"/>
      <c r="O86" s="658"/>
      <c r="P86" s="658"/>
      <c r="Q86" s="658"/>
      <c r="R86" s="658"/>
      <c r="S86" s="658"/>
      <c r="T86" s="658"/>
      <c r="U86" s="658"/>
      <c r="V86" s="658"/>
      <c r="W86" s="658"/>
      <c r="X86" s="658"/>
      <c r="Y86" s="658"/>
      <c r="Z86" s="658"/>
      <c r="AA86" s="638"/>
      <c r="AB86" s="638"/>
      <c r="AC86" s="638"/>
    </row>
    <row r="87" spans="1:68" ht="14.25" hidden="1" customHeight="1" x14ac:dyDescent="0.25">
      <c r="A87" s="663" t="s">
        <v>111</v>
      </c>
      <c r="B87" s="658"/>
      <c r="C87" s="658"/>
      <c r="D87" s="658"/>
      <c r="E87" s="658"/>
      <c r="F87" s="658"/>
      <c r="G87" s="658"/>
      <c r="H87" s="658"/>
      <c r="I87" s="658"/>
      <c r="J87" s="658"/>
      <c r="K87" s="658"/>
      <c r="L87" s="658"/>
      <c r="M87" s="658"/>
      <c r="N87" s="658"/>
      <c r="O87" s="658"/>
      <c r="P87" s="658"/>
      <c r="Q87" s="658"/>
      <c r="R87" s="658"/>
      <c r="S87" s="658"/>
      <c r="T87" s="658"/>
      <c r="U87" s="658"/>
      <c r="V87" s="658"/>
      <c r="W87" s="658"/>
      <c r="X87" s="658"/>
      <c r="Y87" s="658"/>
      <c r="Z87" s="658"/>
      <c r="AA87" s="639"/>
      <c r="AB87" s="639"/>
      <c r="AC87" s="639"/>
    </row>
    <row r="88" spans="1:68" ht="27" customHeight="1" x14ac:dyDescent="0.25">
      <c r="A88" s="54" t="s">
        <v>177</v>
      </c>
      <c r="B88" s="54" t="s">
        <v>178</v>
      </c>
      <c r="C88" s="31">
        <v>4301011468</v>
      </c>
      <c r="D88" s="647">
        <v>4680115881327</v>
      </c>
      <c r="E88" s="648"/>
      <c r="F88" s="642">
        <v>1.35</v>
      </c>
      <c r="G88" s="32">
        <v>8</v>
      </c>
      <c r="H88" s="642">
        <v>10.8</v>
      </c>
      <c r="I88" s="642">
        <v>11.21</v>
      </c>
      <c r="J88" s="32">
        <v>64</v>
      </c>
      <c r="K88" s="32" t="s">
        <v>114</v>
      </c>
      <c r="L88" s="32"/>
      <c r="M88" s="33" t="s">
        <v>84</v>
      </c>
      <c r="N88" s="33"/>
      <c r="O88" s="32">
        <v>50</v>
      </c>
      <c r="P88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4"/>
      <c r="V88" s="34"/>
      <c r="W88" s="35" t="s">
        <v>67</v>
      </c>
      <c r="X88" s="643">
        <v>185</v>
      </c>
      <c r="Y88" s="644">
        <f>IFERROR(IF(X88="",0,CEILING((X88/$H88),1)*$H88),"")</f>
        <v>194.4</v>
      </c>
      <c r="Z88" s="36">
        <f>IFERROR(IF(Y88=0,"",ROUNDUP(Y88/H88,0)*0.01898),"")</f>
        <v>0.34164</v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>IFERROR(X88*I88/H88,"0")</f>
        <v>192.02314814814818</v>
      </c>
      <c r="BN88" s="64">
        <f>IFERROR(Y88*I88/H88,"0")</f>
        <v>201.78</v>
      </c>
      <c r="BO88" s="64">
        <f>IFERROR(1/J88*(X88/H88),"0")</f>
        <v>0.26765046296296297</v>
      </c>
      <c r="BP88" s="64">
        <f>IFERROR(1/J88*(Y88/H88),"0")</f>
        <v>0.28125</v>
      </c>
    </row>
    <row r="89" spans="1:68" ht="27" customHeight="1" x14ac:dyDescent="0.25">
      <c r="A89" s="54" t="s">
        <v>180</v>
      </c>
      <c r="B89" s="54" t="s">
        <v>181</v>
      </c>
      <c r="C89" s="31">
        <v>4301012392</v>
      </c>
      <c r="D89" s="647">
        <v>4680115887732</v>
      </c>
      <c r="E89" s="648"/>
      <c r="F89" s="642">
        <v>0.17</v>
      </c>
      <c r="G89" s="32">
        <v>8</v>
      </c>
      <c r="H89" s="642">
        <v>1.36</v>
      </c>
      <c r="I89" s="642">
        <v>1.54</v>
      </c>
      <c r="J89" s="32">
        <v>192</v>
      </c>
      <c r="K89" s="32" t="s">
        <v>119</v>
      </c>
      <c r="L89" s="32"/>
      <c r="M89" s="33" t="s">
        <v>66</v>
      </c>
      <c r="N89" s="33"/>
      <c r="O89" s="32">
        <v>30</v>
      </c>
      <c r="P89" s="84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4"/>
      <c r="V89" s="34"/>
      <c r="W89" s="35" t="s">
        <v>67</v>
      </c>
      <c r="X89" s="643">
        <v>4</v>
      </c>
      <c r="Y89" s="644">
        <f>IFERROR(IF(X89="",0,CEILING((X89/$H89),1)*$H89),"")</f>
        <v>4.08</v>
      </c>
      <c r="Z89" s="36">
        <f>IFERROR(IF(Y89=0,"",ROUNDUP(Y89/H89,0)*0.00726),"")</f>
        <v>2.1780000000000001E-2</v>
      </c>
      <c r="AA89" s="56"/>
      <c r="AB89" s="57"/>
      <c r="AC89" s="143" t="s">
        <v>182</v>
      </c>
      <c r="AG89" s="64"/>
      <c r="AJ89" s="68"/>
      <c r="AK89" s="68">
        <v>0</v>
      </c>
      <c r="BB89" s="144" t="s">
        <v>1</v>
      </c>
      <c r="BM89" s="64">
        <f>IFERROR(X89*I89/H89,"0")</f>
        <v>4.5294117647058822</v>
      </c>
      <c r="BN89" s="64">
        <f>IFERROR(Y89*I89/H89,"0")</f>
        <v>4.6199999999999992</v>
      </c>
      <c r="BO89" s="64">
        <f>IFERROR(1/J89*(X89/H89),"0")</f>
        <v>1.531862745098039E-2</v>
      </c>
      <c r="BP89" s="64">
        <f>IFERROR(1/J89*(Y89/H89),"0")</f>
        <v>1.5625E-2</v>
      </c>
    </row>
    <row r="90" spans="1:68" ht="27" hidden="1" customHeight="1" x14ac:dyDescent="0.25">
      <c r="A90" s="54" t="s">
        <v>183</v>
      </c>
      <c r="B90" s="54" t="s">
        <v>184</v>
      </c>
      <c r="C90" s="31">
        <v>4301011476</v>
      </c>
      <c r="D90" s="647">
        <v>4680115881518</v>
      </c>
      <c r="E90" s="648"/>
      <c r="F90" s="642">
        <v>0.4</v>
      </c>
      <c r="G90" s="32">
        <v>10</v>
      </c>
      <c r="H90" s="642">
        <v>4</v>
      </c>
      <c r="I90" s="642">
        <v>4.1900000000000004</v>
      </c>
      <c r="J90" s="32">
        <v>132</v>
      </c>
      <c r="K90" s="32" t="s">
        <v>123</v>
      </c>
      <c r="L90" s="32"/>
      <c r="M90" s="33" t="s">
        <v>78</v>
      </c>
      <c r="N90" s="33"/>
      <c r="O90" s="32">
        <v>50</v>
      </c>
      <c r="P90" s="8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4"/>
      <c r="V90" s="34"/>
      <c r="W90" s="35" t="s">
        <v>67</v>
      </c>
      <c r="X90" s="643">
        <v>0</v>
      </c>
      <c r="Y90" s="644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183</v>
      </c>
      <c r="B91" s="54" t="s">
        <v>185</v>
      </c>
      <c r="C91" s="31">
        <v>4301012252</v>
      </c>
      <c r="D91" s="647">
        <v>4680115881518</v>
      </c>
      <c r="E91" s="648"/>
      <c r="F91" s="642">
        <v>0.4</v>
      </c>
      <c r="G91" s="32">
        <v>10</v>
      </c>
      <c r="H91" s="642">
        <v>4</v>
      </c>
      <c r="I91" s="642">
        <v>4.1900000000000004</v>
      </c>
      <c r="J91" s="32">
        <v>132</v>
      </c>
      <c r="K91" s="32" t="s">
        <v>123</v>
      </c>
      <c r="L91" s="32"/>
      <c r="M91" s="33" t="s">
        <v>115</v>
      </c>
      <c r="N91" s="33"/>
      <c r="O91" s="32">
        <v>50</v>
      </c>
      <c r="P91" s="87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53"/>
      <c r="R91" s="653"/>
      <c r="S91" s="653"/>
      <c r="T91" s="654"/>
      <c r="U91" s="34"/>
      <c r="V91" s="34"/>
      <c r="W91" s="35" t="s">
        <v>67</v>
      </c>
      <c r="X91" s="643">
        <v>0</v>
      </c>
      <c r="Y91" s="644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7" t="s">
        <v>179</v>
      </c>
      <c r="AG91" s="64"/>
      <c r="AJ91" s="68"/>
      <c r="AK91" s="68">
        <v>0</v>
      </c>
      <c r="BB91" s="148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186</v>
      </c>
      <c r="B92" s="54" t="s">
        <v>187</v>
      </c>
      <c r="C92" s="31">
        <v>4301012250</v>
      </c>
      <c r="D92" s="647">
        <v>4680115881303</v>
      </c>
      <c r="E92" s="648"/>
      <c r="F92" s="642">
        <v>0.45</v>
      </c>
      <c r="G92" s="32">
        <v>10</v>
      </c>
      <c r="H92" s="642">
        <v>4.5</v>
      </c>
      <c r="I92" s="642">
        <v>4.6900000000000004</v>
      </c>
      <c r="J92" s="32">
        <v>132</v>
      </c>
      <c r="K92" s="32" t="s">
        <v>123</v>
      </c>
      <c r="L92" s="32"/>
      <c r="M92" s="33" t="s">
        <v>115</v>
      </c>
      <c r="N92" s="33"/>
      <c r="O92" s="32">
        <v>50</v>
      </c>
      <c r="P92" s="718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53"/>
      <c r="R92" s="653"/>
      <c r="S92" s="653"/>
      <c r="T92" s="654"/>
      <c r="U92" s="34"/>
      <c r="V92" s="34"/>
      <c r="W92" s="35" t="s">
        <v>67</v>
      </c>
      <c r="X92" s="643">
        <v>71</v>
      </c>
      <c r="Y92" s="644">
        <f>IFERROR(IF(X92="",0,CEILING((X92/$H92),1)*$H92),"")</f>
        <v>72</v>
      </c>
      <c r="Z92" s="36">
        <f>IFERROR(IF(Y92=0,"",ROUNDUP(Y92/H92,0)*0.00902),"")</f>
        <v>0.14432</v>
      </c>
      <c r="AA92" s="56"/>
      <c r="AB92" s="57"/>
      <c r="AC92" s="149" t="s">
        <v>179</v>
      </c>
      <c r="AG92" s="64"/>
      <c r="AJ92" s="68"/>
      <c r="AK92" s="68">
        <v>0</v>
      </c>
      <c r="BB92" s="150" t="s">
        <v>1</v>
      </c>
      <c r="BM92" s="64">
        <f>IFERROR(X92*I92/H92,"0")</f>
        <v>73.997777777777785</v>
      </c>
      <c r="BN92" s="64">
        <f>IFERROR(Y92*I92/H92,"0")</f>
        <v>75.040000000000006</v>
      </c>
      <c r="BO92" s="64">
        <f>IFERROR(1/J92*(X92/H92),"0")</f>
        <v>0.11952861952861954</v>
      </c>
      <c r="BP92" s="64">
        <f>IFERROR(1/J92*(Y92/H92),"0")</f>
        <v>0.12121212121212122</v>
      </c>
    </row>
    <row r="93" spans="1:68" x14ac:dyDescent="0.2">
      <c r="A93" s="657"/>
      <c r="B93" s="658"/>
      <c r="C93" s="658"/>
      <c r="D93" s="658"/>
      <c r="E93" s="658"/>
      <c r="F93" s="658"/>
      <c r="G93" s="658"/>
      <c r="H93" s="658"/>
      <c r="I93" s="658"/>
      <c r="J93" s="658"/>
      <c r="K93" s="658"/>
      <c r="L93" s="658"/>
      <c r="M93" s="658"/>
      <c r="N93" s="658"/>
      <c r="O93" s="659"/>
      <c r="P93" s="649" t="s">
        <v>72</v>
      </c>
      <c r="Q93" s="650"/>
      <c r="R93" s="650"/>
      <c r="S93" s="650"/>
      <c r="T93" s="650"/>
      <c r="U93" s="650"/>
      <c r="V93" s="651"/>
      <c r="W93" s="37" t="s">
        <v>73</v>
      </c>
      <c r="X93" s="645">
        <f>IFERROR(X88/H88,"0")+IFERROR(X89/H89,"0")+IFERROR(X90/H90,"0")+IFERROR(X91/H91,"0")+IFERROR(X92/H92,"0")</f>
        <v>35.848583877995644</v>
      </c>
      <c r="Y93" s="645">
        <f>IFERROR(Y88/H88,"0")+IFERROR(Y89/H89,"0")+IFERROR(Y90/H90,"0")+IFERROR(Y91/H91,"0")+IFERROR(Y92/H92,"0")</f>
        <v>37</v>
      </c>
      <c r="Z93" s="645">
        <f>IFERROR(IF(Z88="",0,Z88),"0")+IFERROR(IF(Z89="",0,Z89),"0")+IFERROR(IF(Z90="",0,Z90),"0")+IFERROR(IF(Z91="",0,Z91),"0")+IFERROR(IF(Z92="",0,Z92),"0")</f>
        <v>0.50774000000000008</v>
      </c>
      <c r="AA93" s="646"/>
      <c r="AB93" s="646"/>
      <c r="AC93" s="646"/>
    </row>
    <row r="94" spans="1:68" x14ac:dyDescent="0.2">
      <c r="A94" s="658"/>
      <c r="B94" s="658"/>
      <c r="C94" s="658"/>
      <c r="D94" s="658"/>
      <c r="E94" s="658"/>
      <c r="F94" s="658"/>
      <c r="G94" s="658"/>
      <c r="H94" s="658"/>
      <c r="I94" s="658"/>
      <c r="J94" s="658"/>
      <c r="K94" s="658"/>
      <c r="L94" s="658"/>
      <c r="M94" s="658"/>
      <c r="N94" s="658"/>
      <c r="O94" s="659"/>
      <c r="P94" s="649" t="s">
        <v>72</v>
      </c>
      <c r="Q94" s="650"/>
      <c r="R94" s="650"/>
      <c r="S94" s="650"/>
      <c r="T94" s="650"/>
      <c r="U94" s="650"/>
      <c r="V94" s="651"/>
      <c r="W94" s="37" t="s">
        <v>67</v>
      </c>
      <c r="X94" s="645">
        <f>IFERROR(SUM(X88:X92),"0")</f>
        <v>260</v>
      </c>
      <c r="Y94" s="645">
        <f>IFERROR(SUM(Y88:Y92),"0")</f>
        <v>270.48</v>
      </c>
      <c r="Z94" s="37"/>
      <c r="AA94" s="646"/>
      <c r="AB94" s="646"/>
      <c r="AC94" s="646"/>
    </row>
    <row r="95" spans="1:68" ht="14.25" hidden="1" customHeight="1" x14ac:dyDescent="0.25">
      <c r="A95" s="663" t="s">
        <v>74</v>
      </c>
      <c r="B95" s="658"/>
      <c r="C95" s="658"/>
      <c r="D95" s="658"/>
      <c r="E95" s="658"/>
      <c r="F95" s="658"/>
      <c r="G95" s="658"/>
      <c r="H95" s="658"/>
      <c r="I95" s="658"/>
      <c r="J95" s="658"/>
      <c r="K95" s="658"/>
      <c r="L95" s="658"/>
      <c r="M95" s="658"/>
      <c r="N95" s="658"/>
      <c r="O95" s="658"/>
      <c r="P95" s="658"/>
      <c r="Q95" s="658"/>
      <c r="R95" s="658"/>
      <c r="S95" s="658"/>
      <c r="T95" s="658"/>
      <c r="U95" s="658"/>
      <c r="V95" s="658"/>
      <c r="W95" s="658"/>
      <c r="X95" s="658"/>
      <c r="Y95" s="658"/>
      <c r="Z95" s="658"/>
      <c r="AA95" s="639"/>
      <c r="AB95" s="639"/>
      <c r="AC95" s="639"/>
    </row>
    <row r="96" spans="1:68" ht="27" customHeight="1" x14ac:dyDescent="0.25">
      <c r="A96" s="54" t="s">
        <v>188</v>
      </c>
      <c r="B96" s="54" t="s">
        <v>189</v>
      </c>
      <c r="C96" s="31">
        <v>4301052101</v>
      </c>
      <c r="D96" s="647">
        <v>4607091386967</v>
      </c>
      <c r="E96" s="648"/>
      <c r="F96" s="642">
        <v>1.35</v>
      </c>
      <c r="G96" s="32">
        <v>6</v>
      </c>
      <c r="H96" s="642">
        <v>8.1</v>
      </c>
      <c r="I96" s="642">
        <v>8.5939999999999994</v>
      </c>
      <c r="J96" s="32">
        <v>64</v>
      </c>
      <c r="K96" s="32" t="s">
        <v>114</v>
      </c>
      <c r="L96" s="32"/>
      <c r="M96" s="33" t="s">
        <v>84</v>
      </c>
      <c r="N96" s="33"/>
      <c r="O96" s="32">
        <v>45</v>
      </c>
      <c r="P96" s="86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53"/>
      <c r="R96" s="653"/>
      <c r="S96" s="653"/>
      <c r="T96" s="654"/>
      <c r="U96" s="34"/>
      <c r="V96" s="34"/>
      <c r="W96" s="35" t="s">
        <v>67</v>
      </c>
      <c r="X96" s="643">
        <v>48</v>
      </c>
      <c r="Y96" s="644">
        <f>IFERROR(IF(X96="",0,CEILING((X96/$H96),1)*$H96),"")</f>
        <v>48.599999999999994</v>
      </c>
      <c r="Z96" s="36">
        <f>IFERROR(IF(Y96=0,"",ROUNDUP(Y96/H96,0)*0.01898),"")</f>
        <v>0.11388000000000001</v>
      </c>
      <c r="AA96" s="56"/>
      <c r="AB96" s="57"/>
      <c r="AC96" s="151" t="s">
        <v>190</v>
      </c>
      <c r="AG96" s="64"/>
      <c r="AJ96" s="68"/>
      <c r="AK96" s="68">
        <v>0</v>
      </c>
      <c r="BB96" s="152" t="s">
        <v>1</v>
      </c>
      <c r="BM96" s="64">
        <f>IFERROR(X96*I96/H96,"0")</f>
        <v>50.927407407407401</v>
      </c>
      <c r="BN96" s="64">
        <f>IFERROR(Y96*I96/H96,"0")</f>
        <v>51.563999999999993</v>
      </c>
      <c r="BO96" s="64">
        <f>IFERROR(1/J96*(X96/H96),"0")</f>
        <v>9.2592592592592601E-2</v>
      </c>
      <c r="BP96" s="64">
        <f>IFERROR(1/J96*(Y96/H96),"0")</f>
        <v>9.375E-2</v>
      </c>
    </row>
    <row r="97" spans="1:68" ht="27" hidden="1" customHeight="1" x14ac:dyDescent="0.25">
      <c r="A97" s="54" t="s">
        <v>191</v>
      </c>
      <c r="B97" s="54" t="s">
        <v>192</v>
      </c>
      <c r="C97" s="31">
        <v>4301052090</v>
      </c>
      <c r="D97" s="647">
        <v>4680115884953</v>
      </c>
      <c r="E97" s="648"/>
      <c r="F97" s="642">
        <v>0.37</v>
      </c>
      <c r="G97" s="32">
        <v>6</v>
      </c>
      <c r="H97" s="642">
        <v>2.2200000000000002</v>
      </c>
      <c r="I97" s="642">
        <v>2.472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10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53"/>
      <c r="R97" s="653"/>
      <c r="S97" s="653"/>
      <c r="T97" s="654"/>
      <c r="U97" s="34"/>
      <c r="V97" s="34"/>
      <c r="W97" s="35" t="s">
        <v>67</v>
      </c>
      <c r="X97" s="643">
        <v>0</v>
      </c>
      <c r="Y97" s="644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193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27" hidden="1" customHeight="1" x14ac:dyDescent="0.25">
      <c r="A98" s="54" t="s">
        <v>194</v>
      </c>
      <c r="B98" s="54" t="s">
        <v>195</v>
      </c>
      <c r="C98" s="31">
        <v>4301052094</v>
      </c>
      <c r="D98" s="647">
        <v>4607091385731</v>
      </c>
      <c r="E98" s="648"/>
      <c r="F98" s="642">
        <v>0.45</v>
      </c>
      <c r="G98" s="32">
        <v>6</v>
      </c>
      <c r="H98" s="642">
        <v>2.7</v>
      </c>
      <c r="I98" s="642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1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53"/>
      <c r="R98" s="653"/>
      <c r="S98" s="653"/>
      <c r="T98" s="654"/>
      <c r="U98" s="34"/>
      <c r="V98" s="34"/>
      <c r="W98" s="35" t="s">
        <v>67</v>
      </c>
      <c r="X98" s="643">
        <v>0</v>
      </c>
      <c r="Y98" s="644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190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16.5" hidden="1" customHeight="1" x14ac:dyDescent="0.25">
      <c r="A99" s="54" t="s">
        <v>196</v>
      </c>
      <c r="B99" s="54" t="s">
        <v>197</v>
      </c>
      <c r="C99" s="31">
        <v>4301052092</v>
      </c>
      <c r="D99" s="647">
        <v>4680115880894</v>
      </c>
      <c r="E99" s="648"/>
      <c r="F99" s="642">
        <v>0.33</v>
      </c>
      <c r="G99" s="32">
        <v>6</v>
      </c>
      <c r="H99" s="642">
        <v>1.98</v>
      </c>
      <c r="I99" s="642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6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3"/>
      <c r="R99" s="653"/>
      <c r="S99" s="653"/>
      <c r="T99" s="654"/>
      <c r="U99" s="34"/>
      <c r="V99" s="34"/>
      <c r="W99" s="35" t="s">
        <v>67</v>
      </c>
      <c r="X99" s="643">
        <v>0</v>
      </c>
      <c r="Y99" s="64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7" t="s">
        <v>198</v>
      </c>
      <c r="AG99" s="64"/>
      <c r="AJ99" s="68"/>
      <c r="AK99" s="68">
        <v>0</v>
      </c>
      <c r="BB99" s="158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x14ac:dyDescent="0.2">
      <c r="A100" s="657"/>
      <c r="B100" s="658"/>
      <c r="C100" s="658"/>
      <c r="D100" s="658"/>
      <c r="E100" s="658"/>
      <c r="F100" s="658"/>
      <c r="G100" s="658"/>
      <c r="H100" s="658"/>
      <c r="I100" s="658"/>
      <c r="J100" s="658"/>
      <c r="K100" s="658"/>
      <c r="L100" s="658"/>
      <c r="M100" s="658"/>
      <c r="N100" s="658"/>
      <c r="O100" s="659"/>
      <c r="P100" s="649" t="s">
        <v>72</v>
      </c>
      <c r="Q100" s="650"/>
      <c r="R100" s="650"/>
      <c r="S100" s="650"/>
      <c r="T100" s="650"/>
      <c r="U100" s="650"/>
      <c r="V100" s="651"/>
      <c r="W100" s="37" t="s">
        <v>73</v>
      </c>
      <c r="X100" s="645">
        <f>IFERROR(X96/H96,"0")+IFERROR(X97/H97,"0")+IFERROR(X98/H98,"0")+IFERROR(X99/H99,"0")</f>
        <v>5.9259259259259265</v>
      </c>
      <c r="Y100" s="645">
        <f>IFERROR(Y96/H96,"0")+IFERROR(Y97/H97,"0")+IFERROR(Y98/H98,"0")+IFERROR(Y99/H99,"0")</f>
        <v>6</v>
      </c>
      <c r="Z100" s="645">
        <f>IFERROR(IF(Z96="",0,Z96),"0")+IFERROR(IF(Z97="",0,Z97),"0")+IFERROR(IF(Z98="",0,Z98),"0")+IFERROR(IF(Z99="",0,Z99),"0")</f>
        <v>0.11388000000000001</v>
      </c>
      <c r="AA100" s="646"/>
      <c r="AB100" s="646"/>
      <c r="AC100" s="646"/>
    </row>
    <row r="101" spans="1:68" x14ac:dyDescent="0.2">
      <c r="A101" s="658"/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59"/>
      <c r="P101" s="649" t="s">
        <v>72</v>
      </c>
      <c r="Q101" s="650"/>
      <c r="R101" s="650"/>
      <c r="S101" s="650"/>
      <c r="T101" s="650"/>
      <c r="U101" s="650"/>
      <c r="V101" s="651"/>
      <c r="W101" s="37" t="s">
        <v>67</v>
      </c>
      <c r="X101" s="645">
        <f>IFERROR(SUM(X96:X99),"0")</f>
        <v>48</v>
      </c>
      <c r="Y101" s="645">
        <f>IFERROR(SUM(Y96:Y99),"0")</f>
        <v>48.599999999999994</v>
      </c>
      <c r="Z101" s="37"/>
      <c r="AA101" s="646"/>
      <c r="AB101" s="646"/>
      <c r="AC101" s="646"/>
    </row>
    <row r="102" spans="1:68" ht="16.5" hidden="1" customHeight="1" x14ac:dyDescent="0.25">
      <c r="A102" s="676" t="s">
        <v>199</v>
      </c>
      <c r="B102" s="658"/>
      <c r="C102" s="658"/>
      <c r="D102" s="658"/>
      <c r="E102" s="658"/>
      <c r="F102" s="658"/>
      <c r="G102" s="658"/>
      <c r="H102" s="658"/>
      <c r="I102" s="658"/>
      <c r="J102" s="658"/>
      <c r="K102" s="658"/>
      <c r="L102" s="658"/>
      <c r="M102" s="658"/>
      <c r="N102" s="658"/>
      <c r="O102" s="658"/>
      <c r="P102" s="658"/>
      <c r="Q102" s="658"/>
      <c r="R102" s="658"/>
      <c r="S102" s="658"/>
      <c r="T102" s="658"/>
      <c r="U102" s="658"/>
      <c r="V102" s="658"/>
      <c r="W102" s="658"/>
      <c r="X102" s="658"/>
      <c r="Y102" s="658"/>
      <c r="Z102" s="658"/>
      <c r="AA102" s="638"/>
      <c r="AB102" s="638"/>
      <c r="AC102" s="638"/>
    </row>
    <row r="103" spans="1:68" ht="14.25" hidden="1" customHeight="1" x14ac:dyDescent="0.25">
      <c r="A103" s="663" t="s">
        <v>111</v>
      </c>
      <c r="B103" s="658"/>
      <c r="C103" s="658"/>
      <c r="D103" s="658"/>
      <c r="E103" s="658"/>
      <c r="F103" s="658"/>
      <c r="G103" s="658"/>
      <c r="H103" s="658"/>
      <c r="I103" s="658"/>
      <c r="J103" s="658"/>
      <c r="K103" s="658"/>
      <c r="L103" s="658"/>
      <c r="M103" s="658"/>
      <c r="N103" s="658"/>
      <c r="O103" s="658"/>
      <c r="P103" s="658"/>
      <c r="Q103" s="658"/>
      <c r="R103" s="658"/>
      <c r="S103" s="658"/>
      <c r="T103" s="658"/>
      <c r="U103" s="658"/>
      <c r="V103" s="658"/>
      <c r="W103" s="658"/>
      <c r="X103" s="658"/>
      <c r="Y103" s="658"/>
      <c r="Z103" s="658"/>
      <c r="AA103" s="639"/>
      <c r="AB103" s="639"/>
      <c r="AC103" s="639"/>
    </row>
    <row r="104" spans="1:68" ht="37.5" customHeight="1" x14ac:dyDescent="0.25">
      <c r="A104" s="54" t="s">
        <v>200</v>
      </c>
      <c r="B104" s="54" t="s">
        <v>201</v>
      </c>
      <c r="C104" s="31">
        <v>4301011514</v>
      </c>
      <c r="D104" s="647">
        <v>4680115882133</v>
      </c>
      <c r="E104" s="648"/>
      <c r="F104" s="642">
        <v>1.35</v>
      </c>
      <c r="G104" s="32">
        <v>8</v>
      </c>
      <c r="H104" s="642">
        <v>10.8</v>
      </c>
      <c r="I104" s="642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69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3"/>
      <c r="R104" s="653"/>
      <c r="S104" s="653"/>
      <c r="T104" s="654"/>
      <c r="U104" s="34"/>
      <c r="V104" s="34"/>
      <c r="W104" s="35" t="s">
        <v>67</v>
      </c>
      <c r="X104" s="643">
        <v>221</v>
      </c>
      <c r="Y104" s="644">
        <f t="shared" ref="Y104:Y112" si="10">IFERROR(IF(X104="",0,CEILING((X104/$H104),1)*$H104),"")</f>
        <v>226.8</v>
      </c>
      <c r="Z104" s="36">
        <f>IFERROR(IF(Y104=0,"",ROUNDUP(Y104/H104,0)*0.01898),"")</f>
        <v>0.39857999999999999</v>
      </c>
      <c r="AA104" s="56"/>
      <c r="AB104" s="57"/>
      <c r="AC104" s="159" t="s">
        <v>202</v>
      </c>
      <c r="AG104" s="64"/>
      <c r="AJ104" s="68"/>
      <c r="AK104" s="68">
        <v>0</v>
      </c>
      <c r="BB104" s="160" t="s">
        <v>1</v>
      </c>
      <c r="BM104" s="64">
        <f t="shared" ref="BM104:BM112" si="11">IFERROR(X104*I104/H104,"0")</f>
        <v>229.38981481481483</v>
      </c>
      <c r="BN104" s="64">
        <f t="shared" ref="BN104:BN112" si="12">IFERROR(Y104*I104/H104,"0")</f>
        <v>235.41000000000003</v>
      </c>
      <c r="BO104" s="64">
        <f t="shared" ref="BO104:BO112" si="13">IFERROR(1/J104*(X104/H104),"0")</f>
        <v>0.31973379629629628</v>
      </c>
      <c r="BP104" s="64">
        <f t="shared" ref="BP104:BP112" si="14">IFERROR(1/J104*(Y104/H104),"0")</f>
        <v>0.328125</v>
      </c>
    </row>
    <row r="105" spans="1:68" ht="27" hidden="1" customHeight="1" x14ac:dyDescent="0.25">
      <c r="A105" s="54" t="s">
        <v>200</v>
      </c>
      <c r="B105" s="54" t="s">
        <v>203</v>
      </c>
      <c r="C105" s="31">
        <v>4301012256</v>
      </c>
      <c r="D105" s="647">
        <v>4680115882133</v>
      </c>
      <c r="E105" s="648"/>
      <c r="F105" s="642">
        <v>1.35</v>
      </c>
      <c r="G105" s="32">
        <v>8</v>
      </c>
      <c r="H105" s="642">
        <v>10.8</v>
      </c>
      <c r="I105" s="642">
        <v>11.21</v>
      </c>
      <c r="J105" s="32">
        <v>64</v>
      </c>
      <c r="K105" s="32" t="s">
        <v>114</v>
      </c>
      <c r="L105" s="32"/>
      <c r="M105" s="33" t="s">
        <v>115</v>
      </c>
      <c r="N105" s="33"/>
      <c r="O105" s="32">
        <v>50</v>
      </c>
      <c r="P105" s="94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53"/>
      <c r="R105" s="653"/>
      <c r="S105" s="653"/>
      <c r="T105" s="654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IFERROR(IF(Y105=0,"",ROUNDUP(Y105/H105,0)*0.01898),"")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205</v>
      </c>
      <c r="B106" s="54" t="s">
        <v>206</v>
      </c>
      <c r="C106" s="31">
        <v>4301012379</v>
      </c>
      <c r="D106" s="647">
        <v>4680115887718</v>
      </c>
      <c r="E106" s="648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2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3"/>
      <c r="R106" s="653"/>
      <c r="S106" s="653"/>
      <c r="T106" s="654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4301011417</v>
      </c>
      <c r="D107" s="647">
        <v>4680115880269</v>
      </c>
      <c r="E107" s="648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3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53"/>
      <c r="R107" s="653"/>
      <c r="S107" s="653"/>
      <c r="T107" s="654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202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208</v>
      </c>
      <c r="B108" s="54" t="s">
        <v>210</v>
      </c>
      <c r="C108" s="31">
        <v>4301012253</v>
      </c>
      <c r="D108" s="647">
        <v>4680115880269</v>
      </c>
      <c r="E108" s="648"/>
      <c r="F108" s="642">
        <v>0.375</v>
      </c>
      <c r="G108" s="32">
        <v>10</v>
      </c>
      <c r="H108" s="642">
        <v>3.75</v>
      </c>
      <c r="I108" s="642">
        <v>3.94</v>
      </c>
      <c r="J108" s="32">
        <v>132</v>
      </c>
      <c r="K108" s="32" t="s">
        <v>123</v>
      </c>
      <c r="L108" s="32"/>
      <c r="M108" s="33" t="s">
        <v>115</v>
      </c>
      <c r="N108" s="33"/>
      <c r="O108" s="32">
        <v>50</v>
      </c>
      <c r="P108" s="89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53"/>
      <c r="R108" s="653"/>
      <c r="S108" s="653"/>
      <c r="T108" s="654"/>
      <c r="U108" s="34"/>
      <c r="V108" s="34"/>
      <c r="W108" s="35" t="s">
        <v>67</v>
      </c>
      <c r="X108" s="643">
        <v>0</v>
      </c>
      <c r="Y108" s="644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customHeight="1" x14ac:dyDescent="0.25">
      <c r="A109" s="54" t="s">
        <v>211</v>
      </c>
      <c r="B109" s="54" t="s">
        <v>212</v>
      </c>
      <c r="C109" s="31">
        <v>4301012254</v>
      </c>
      <c r="D109" s="647">
        <v>4680115880429</v>
      </c>
      <c r="E109" s="648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90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53"/>
      <c r="R109" s="653"/>
      <c r="S109" s="653"/>
      <c r="T109" s="654"/>
      <c r="U109" s="34"/>
      <c r="V109" s="34"/>
      <c r="W109" s="35" t="s">
        <v>67</v>
      </c>
      <c r="X109" s="643">
        <v>34</v>
      </c>
      <c r="Y109" s="644">
        <f t="shared" si="10"/>
        <v>36</v>
      </c>
      <c r="Z109" s="36">
        <f>IFERROR(IF(Y109=0,"",ROUNDUP(Y109/H109,0)*0.00902),"")</f>
        <v>7.2160000000000002E-2</v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35.43555555555556</v>
      </c>
      <c r="BN109" s="64">
        <f t="shared" si="12"/>
        <v>37.520000000000003</v>
      </c>
      <c r="BO109" s="64">
        <f t="shared" si="13"/>
        <v>5.7239057239057242E-2</v>
      </c>
      <c r="BP109" s="64">
        <f t="shared" si="14"/>
        <v>6.0606060606060608E-2</v>
      </c>
    </row>
    <row r="110" spans="1:68" ht="37.5" hidden="1" customHeight="1" x14ac:dyDescent="0.25">
      <c r="A110" s="54" t="s">
        <v>213</v>
      </c>
      <c r="B110" s="54" t="s">
        <v>214</v>
      </c>
      <c r="C110" s="31">
        <v>4301011462</v>
      </c>
      <c r="D110" s="647">
        <v>4680115881457</v>
      </c>
      <c r="E110" s="648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9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53"/>
      <c r="R110" s="653"/>
      <c r="S110" s="653"/>
      <c r="T110" s="654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202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213</v>
      </c>
      <c r="B111" s="54" t="s">
        <v>215</v>
      </c>
      <c r="C111" s="31">
        <v>4301012255</v>
      </c>
      <c r="D111" s="647">
        <v>4680115881457</v>
      </c>
      <c r="E111" s="648"/>
      <c r="F111" s="642">
        <v>0.75</v>
      </c>
      <c r="G111" s="32">
        <v>6</v>
      </c>
      <c r="H111" s="642">
        <v>4.5</v>
      </c>
      <c r="I111" s="642">
        <v>4.6900000000000004</v>
      </c>
      <c r="J111" s="32">
        <v>132</v>
      </c>
      <c r="K111" s="32" t="s">
        <v>123</v>
      </c>
      <c r="L111" s="32"/>
      <c r="M111" s="33" t="s">
        <v>115</v>
      </c>
      <c r="N111" s="33"/>
      <c r="O111" s="32">
        <v>50</v>
      </c>
      <c r="P111" s="92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3"/>
      <c r="R111" s="653"/>
      <c r="S111" s="653"/>
      <c r="T111" s="654"/>
      <c r="U111" s="34"/>
      <c r="V111" s="34"/>
      <c r="W111" s="35" t="s">
        <v>67</v>
      </c>
      <c r="X111" s="643">
        <v>0</v>
      </c>
      <c r="Y111" s="644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216</v>
      </c>
      <c r="B112" s="54" t="s">
        <v>217</v>
      </c>
      <c r="C112" s="31">
        <v>4301012366</v>
      </c>
      <c r="D112" s="647">
        <v>4680115889477</v>
      </c>
      <c r="E112" s="648"/>
      <c r="F112" s="642">
        <v>0.4</v>
      </c>
      <c r="G112" s="32">
        <v>6</v>
      </c>
      <c r="H112" s="642">
        <v>2.4</v>
      </c>
      <c r="I112" s="642">
        <v>2.58</v>
      </c>
      <c r="J112" s="32">
        <v>182</v>
      </c>
      <c r="K112" s="32" t="s">
        <v>77</v>
      </c>
      <c r="L112" s="32"/>
      <c r="M112" s="33" t="s">
        <v>115</v>
      </c>
      <c r="N112" s="33"/>
      <c r="O112" s="32">
        <v>55</v>
      </c>
      <c r="P112" s="93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3"/>
      <c r="R112" s="653"/>
      <c r="S112" s="653"/>
      <c r="T112" s="654"/>
      <c r="U112" s="34"/>
      <c r="V112" s="34"/>
      <c r="W112" s="35" t="s">
        <v>67</v>
      </c>
      <c r="X112" s="643">
        <v>0</v>
      </c>
      <c r="Y112" s="644">
        <f t="shared" si="10"/>
        <v>0</v>
      </c>
      <c r="Z112" s="36" t="str">
        <f>IFERROR(IF(Y112=0,"",ROUNDUP(Y112/H112,0)*0.00651),"")</f>
        <v/>
      </c>
      <c r="AA112" s="56"/>
      <c r="AB112" s="57"/>
      <c r="AC112" s="175" t="s">
        <v>218</v>
      </c>
      <c r="AG112" s="64"/>
      <c r="AJ112" s="68"/>
      <c r="AK112" s="68">
        <v>0</v>
      </c>
      <c r="BB112" s="176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57"/>
      <c r="B113" s="658"/>
      <c r="C113" s="658"/>
      <c r="D113" s="658"/>
      <c r="E113" s="658"/>
      <c r="F113" s="658"/>
      <c r="G113" s="658"/>
      <c r="H113" s="658"/>
      <c r="I113" s="658"/>
      <c r="J113" s="658"/>
      <c r="K113" s="658"/>
      <c r="L113" s="658"/>
      <c r="M113" s="658"/>
      <c r="N113" s="658"/>
      <c r="O113" s="659"/>
      <c r="P113" s="649" t="s">
        <v>72</v>
      </c>
      <c r="Q113" s="650"/>
      <c r="R113" s="650"/>
      <c r="S113" s="650"/>
      <c r="T113" s="650"/>
      <c r="U113" s="650"/>
      <c r="V113" s="651"/>
      <c r="W113" s="37" t="s">
        <v>73</v>
      </c>
      <c r="X113" s="645">
        <f>IFERROR(X104/H104,"0")+IFERROR(X105/H105,"0")+IFERROR(X106/H106,"0")+IFERROR(X107/H107,"0")+IFERROR(X108/H108,"0")+IFERROR(X109/H109,"0")+IFERROR(X110/H110,"0")+IFERROR(X111/H111,"0")+IFERROR(X112/H112,"0")</f>
        <v>28.018518518518519</v>
      </c>
      <c r="Y113" s="645">
        <f>IFERROR(Y104/H104,"0")+IFERROR(Y105/H105,"0")+IFERROR(Y106/H106,"0")+IFERROR(Y107/H107,"0")+IFERROR(Y108/H108,"0")+IFERROR(Y109/H109,"0")+IFERROR(Y110/H110,"0")+IFERROR(Y111/H111,"0")+IFERROR(Y112/H112,"0")</f>
        <v>29</v>
      </c>
      <c r="Z113" s="645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0.47073999999999999</v>
      </c>
      <c r="AA113" s="646"/>
      <c r="AB113" s="646"/>
      <c r="AC113" s="646"/>
    </row>
    <row r="114" spans="1:68" x14ac:dyDescent="0.2">
      <c r="A114" s="658"/>
      <c r="B114" s="658"/>
      <c r="C114" s="658"/>
      <c r="D114" s="658"/>
      <c r="E114" s="658"/>
      <c r="F114" s="658"/>
      <c r="G114" s="658"/>
      <c r="H114" s="658"/>
      <c r="I114" s="658"/>
      <c r="J114" s="658"/>
      <c r="K114" s="658"/>
      <c r="L114" s="658"/>
      <c r="M114" s="658"/>
      <c r="N114" s="658"/>
      <c r="O114" s="659"/>
      <c r="P114" s="649" t="s">
        <v>72</v>
      </c>
      <c r="Q114" s="650"/>
      <c r="R114" s="650"/>
      <c r="S114" s="650"/>
      <c r="T114" s="650"/>
      <c r="U114" s="650"/>
      <c r="V114" s="651"/>
      <c r="W114" s="37" t="s">
        <v>67</v>
      </c>
      <c r="X114" s="645">
        <f>IFERROR(SUM(X104:X112),"0")</f>
        <v>255</v>
      </c>
      <c r="Y114" s="645">
        <f>IFERROR(SUM(Y104:Y112),"0")</f>
        <v>262.8</v>
      </c>
      <c r="Z114" s="37"/>
      <c r="AA114" s="646"/>
      <c r="AB114" s="646"/>
      <c r="AC114" s="646"/>
    </row>
    <row r="115" spans="1:68" ht="14.25" hidden="1" customHeight="1" x14ac:dyDescent="0.25">
      <c r="A115" s="663" t="s">
        <v>148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39"/>
      <c r="AB115" s="639"/>
      <c r="AC115" s="639"/>
    </row>
    <row r="116" spans="1:68" ht="27" hidden="1" customHeight="1" x14ac:dyDescent="0.25">
      <c r="A116" s="54" t="s">
        <v>219</v>
      </c>
      <c r="B116" s="54" t="s">
        <v>220</v>
      </c>
      <c r="C116" s="31">
        <v>4301020391</v>
      </c>
      <c r="D116" s="647">
        <v>4680115881488</v>
      </c>
      <c r="E116" s="648"/>
      <c r="F116" s="642">
        <v>1.35</v>
      </c>
      <c r="G116" s="32">
        <v>8</v>
      </c>
      <c r="H116" s="642">
        <v>10.8</v>
      </c>
      <c r="I116" s="642">
        <v>11.21</v>
      </c>
      <c r="J116" s="32">
        <v>64</v>
      </c>
      <c r="K116" s="32" t="s">
        <v>114</v>
      </c>
      <c r="L116" s="32"/>
      <c r="M116" s="33" t="s">
        <v>115</v>
      </c>
      <c r="N116" s="33"/>
      <c r="O116" s="32">
        <v>55</v>
      </c>
      <c r="P116" s="7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3"/>
      <c r="R116" s="653"/>
      <c r="S116" s="653"/>
      <c r="T116" s="654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7" t="s">
        <v>221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223</v>
      </c>
      <c r="C117" s="31">
        <v>4301020393</v>
      </c>
      <c r="D117" s="647">
        <v>4680115882775</v>
      </c>
      <c r="E117" s="648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53"/>
      <c r="R117" s="653"/>
      <c r="S117" s="653"/>
      <c r="T117" s="654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221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224</v>
      </c>
      <c r="B118" s="54" t="s">
        <v>225</v>
      </c>
      <c r="C118" s="31">
        <v>4301020392</v>
      </c>
      <c r="D118" s="647">
        <v>4680115880658</v>
      </c>
      <c r="E118" s="648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9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53"/>
      <c r="R118" s="653"/>
      <c r="S118" s="653"/>
      <c r="T118" s="654"/>
      <c r="U118" s="34"/>
      <c r="V118" s="34"/>
      <c r="W118" s="35" t="s">
        <v>67</v>
      </c>
      <c r="X118" s="643">
        <v>19</v>
      </c>
      <c r="Y118" s="644">
        <f>IFERROR(IF(X118="",0,CEILING((X118/$H118),1)*$H118),"")</f>
        <v>19.2</v>
      </c>
      <c r="Z118" s="36">
        <f>IFERROR(IF(Y118=0,"",ROUNDUP(Y118/H118,0)*0.00651),"")</f>
        <v>5.2080000000000001E-2</v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20.425000000000001</v>
      </c>
      <c r="BN118" s="64">
        <f>IFERROR(Y118*I118/H118,"0")</f>
        <v>20.64</v>
      </c>
      <c r="BO118" s="64">
        <f>IFERROR(1/J118*(X118/H118),"0")</f>
        <v>4.3498168498168503E-2</v>
      </c>
      <c r="BP118" s="64">
        <f>IFERROR(1/J118*(Y118/H118),"0")</f>
        <v>4.3956043956043959E-2</v>
      </c>
    </row>
    <row r="119" spans="1:68" x14ac:dyDescent="0.2">
      <c r="A119" s="657"/>
      <c r="B119" s="658"/>
      <c r="C119" s="658"/>
      <c r="D119" s="658"/>
      <c r="E119" s="658"/>
      <c r="F119" s="658"/>
      <c r="G119" s="658"/>
      <c r="H119" s="658"/>
      <c r="I119" s="658"/>
      <c r="J119" s="658"/>
      <c r="K119" s="658"/>
      <c r="L119" s="658"/>
      <c r="M119" s="658"/>
      <c r="N119" s="658"/>
      <c r="O119" s="659"/>
      <c r="P119" s="649" t="s">
        <v>72</v>
      </c>
      <c r="Q119" s="650"/>
      <c r="R119" s="650"/>
      <c r="S119" s="650"/>
      <c r="T119" s="650"/>
      <c r="U119" s="650"/>
      <c r="V119" s="651"/>
      <c r="W119" s="37" t="s">
        <v>73</v>
      </c>
      <c r="X119" s="645">
        <f>IFERROR(X116/H116,"0")+IFERROR(X117/H117,"0")+IFERROR(X118/H118,"0")</f>
        <v>7.916666666666667</v>
      </c>
      <c r="Y119" s="645">
        <f>IFERROR(Y116/H116,"0")+IFERROR(Y117/H117,"0")+IFERROR(Y118/H118,"0")</f>
        <v>8</v>
      </c>
      <c r="Z119" s="645">
        <f>IFERROR(IF(Z116="",0,Z116),"0")+IFERROR(IF(Z117="",0,Z117),"0")+IFERROR(IF(Z118="",0,Z118),"0")</f>
        <v>5.2080000000000001E-2</v>
      </c>
      <c r="AA119" s="646"/>
      <c r="AB119" s="646"/>
      <c r="AC119" s="646"/>
    </row>
    <row r="120" spans="1:68" x14ac:dyDescent="0.2">
      <c r="A120" s="658"/>
      <c r="B120" s="658"/>
      <c r="C120" s="658"/>
      <c r="D120" s="658"/>
      <c r="E120" s="658"/>
      <c r="F120" s="658"/>
      <c r="G120" s="658"/>
      <c r="H120" s="658"/>
      <c r="I120" s="658"/>
      <c r="J120" s="658"/>
      <c r="K120" s="658"/>
      <c r="L120" s="658"/>
      <c r="M120" s="658"/>
      <c r="N120" s="658"/>
      <c r="O120" s="659"/>
      <c r="P120" s="649" t="s">
        <v>72</v>
      </c>
      <c r="Q120" s="650"/>
      <c r="R120" s="650"/>
      <c r="S120" s="650"/>
      <c r="T120" s="650"/>
      <c r="U120" s="650"/>
      <c r="V120" s="651"/>
      <c r="W120" s="37" t="s">
        <v>67</v>
      </c>
      <c r="X120" s="645">
        <f>IFERROR(SUM(X116:X118),"0")</f>
        <v>19</v>
      </c>
      <c r="Y120" s="645">
        <f>IFERROR(SUM(Y116:Y118),"0")</f>
        <v>19.2</v>
      </c>
      <c r="Z120" s="37"/>
      <c r="AA120" s="646"/>
      <c r="AB120" s="646"/>
      <c r="AC120" s="646"/>
    </row>
    <row r="121" spans="1:68" ht="14.25" hidden="1" customHeight="1" x14ac:dyDescent="0.25">
      <c r="A121" s="663" t="s">
        <v>74</v>
      </c>
      <c r="B121" s="658"/>
      <c r="C121" s="658"/>
      <c r="D121" s="658"/>
      <c r="E121" s="658"/>
      <c r="F121" s="658"/>
      <c r="G121" s="658"/>
      <c r="H121" s="658"/>
      <c r="I121" s="658"/>
      <c r="J121" s="658"/>
      <c r="K121" s="658"/>
      <c r="L121" s="658"/>
      <c r="M121" s="658"/>
      <c r="N121" s="658"/>
      <c r="O121" s="658"/>
      <c r="P121" s="658"/>
      <c r="Q121" s="658"/>
      <c r="R121" s="658"/>
      <c r="S121" s="658"/>
      <c r="T121" s="658"/>
      <c r="U121" s="658"/>
      <c r="V121" s="658"/>
      <c r="W121" s="658"/>
      <c r="X121" s="658"/>
      <c r="Y121" s="658"/>
      <c r="Z121" s="658"/>
      <c r="AA121" s="639"/>
      <c r="AB121" s="639"/>
      <c r="AC121" s="639"/>
    </row>
    <row r="122" spans="1:68" ht="27" customHeight="1" x14ac:dyDescent="0.25">
      <c r="A122" s="54" t="s">
        <v>226</v>
      </c>
      <c r="B122" s="54" t="s">
        <v>227</v>
      </c>
      <c r="C122" s="31">
        <v>4301052088</v>
      </c>
      <c r="D122" s="647">
        <v>4607091385168</v>
      </c>
      <c r="E122" s="648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78</v>
      </c>
      <c r="N122" s="33"/>
      <c r="O122" s="32">
        <v>45</v>
      </c>
      <c r="P122" s="750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53"/>
      <c r="R122" s="653"/>
      <c r="S122" s="653"/>
      <c r="T122" s="654"/>
      <c r="U122" s="34"/>
      <c r="V122" s="34"/>
      <c r="W122" s="35" t="s">
        <v>67</v>
      </c>
      <c r="X122" s="643">
        <v>70</v>
      </c>
      <c r="Y122" s="644">
        <f>IFERROR(IF(X122="",0,CEILING((X122/$H122),1)*$H122),"")</f>
        <v>72.899999999999991</v>
      </c>
      <c r="Z122" s="36">
        <f>IFERROR(IF(Y122=0,"",ROUNDUP(Y122/H122,0)*0.01898),"")</f>
        <v>0.17082</v>
      </c>
      <c r="AA122" s="56"/>
      <c r="AB122" s="57"/>
      <c r="AC122" s="183" t="s">
        <v>228</v>
      </c>
      <c r="AG122" s="64"/>
      <c r="AJ122" s="68"/>
      <c r="AK122" s="68">
        <v>0</v>
      </c>
      <c r="BB122" s="184" t="s">
        <v>1</v>
      </c>
      <c r="BM122" s="64">
        <f>IFERROR(X122*I122/H122,"0")</f>
        <v>74.217283950617286</v>
      </c>
      <c r="BN122" s="64">
        <f>IFERROR(Y122*I122/H122,"0")</f>
        <v>77.291999999999987</v>
      </c>
      <c r="BO122" s="64">
        <f>IFERROR(1/J122*(X122/H122),"0")</f>
        <v>0.13503086419753088</v>
      </c>
      <c r="BP122" s="64">
        <f>IFERROR(1/J122*(Y122/H122),"0")</f>
        <v>0.140625</v>
      </c>
    </row>
    <row r="123" spans="1:68" ht="27" hidden="1" customHeight="1" x14ac:dyDescent="0.25">
      <c r="A123" s="54" t="s">
        <v>229</v>
      </c>
      <c r="B123" s="54" t="s">
        <v>230</v>
      </c>
      <c r="C123" s="31">
        <v>4301052087</v>
      </c>
      <c r="D123" s="647">
        <v>4607091383256</v>
      </c>
      <c r="E123" s="648"/>
      <c r="F123" s="642">
        <v>0.33</v>
      </c>
      <c r="G123" s="32">
        <v>6</v>
      </c>
      <c r="H123" s="642">
        <v>1.98</v>
      </c>
      <c r="I123" s="642">
        <v>2.226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53"/>
      <c r="R123" s="653"/>
      <c r="S123" s="653"/>
      <c r="T123" s="654"/>
      <c r="U123" s="34"/>
      <c r="V123" s="34"/>
      <c r="W123" s="35" t="s">
        <v>67</v>
      </c>
      <c r="X123" s="643">
        <v>0</v>
      </c>
      <c r="Y123" s="644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228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231</v>
      </c>
      <c r="B124" s="54" t="s">
        <v>232</v>
      </c>
      <c r="C124" s="31">
        <v>4301052086</v>
      </c>
      <c r="D124" s="647">
        <v>4607091385748</v>
      </c>
      <c r="E124" s="648"/>
      <c r="F124" s="642">
        <v>0.45</v>
      </c>
      <c r="G124" s="32">
        <v>6</v>
      </c>
      <c r="H124" s="642">
        <v>2.7</v>
      </c>
      <c r="I124" s="642">
        <v>2.952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45</v>
      </c>
      <c r="P124" s="102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53"/>
      <c r="R124" s="653"/>
      <c r="S124" s="653"/>
      <c r="T124" s="654"/>
      <c r="U124" s="34"/>
      <c r="V124" s="34"/>
      <c r="W124" s="35" t="s">
        <v>67</v>
      </c>
      <c r="X124" s="643">
        <v>52</v>
      </c>
      <c r="Y124" s="644">
        <f>IFERROR(IF(X124="",0,CEILING((X124/$H124),1)*$H124),"")</f>
        <v>54</v>
      </c>
      <c r="Z124" s="36">
        <f>IFERROR(IF(Y124=0,"",ROUNDUP(Y124/H124,0)*0.00651),"")</f>
        <v>0.13020000000000001</v>
      </c>
      <c r="AA124" s="56"/>
      <c r="AB124" s="57"/>
      <c r="AC124" s="187" t="s">
        <v>228</v>
      </c>
      <c r="AG124" s="64"/>
      <c r="AJ124" s="68"/>
      <c r="AK124" s="68">
        <v>0</v>
      </c>
      <c r="BB124" s="188" t="s">
        <v>1</v>
      </c>
      <c r="BM124" s="64">
        <f>IFERROR(X124*I124/H124,"0")</f>
        <v>56.853333333333325</v>
      </c>
      <c r="BN124" s="64">
        <f>IFERROR(Y124*I124/H124,"0")</f>
        <v>59.039999999999992</v>
      </c>
      <c r="BO124" s="64">
        <f>IFERROR(1/J124*(X124/H124),"0")</f>
        <v>0.10582010582010583</v>
      </c>
      <c r="BP124" s="64">
        <f>IFERROR(1/J124*(Y124/H124),"0")</f>
        <v>0.1098901098901099</v>
      </c>
    </row>
    <row r="125" spans="1:68" ht="16.5" hidden="1" customHeight="1" x14ac:dyDescent="0.25">
      <c r="A125" s="54" t="s">
        <v>233</v>
      </c>
      <c r="B125" s="54" t="s">
        <v>234</v>
      </c>
      <c r="C125" s="31">
        <v>4301052085</v>
      </c>
      <c r="D125" s="647">
        <v>4680115884533</v>
      </c>
      <c r="E125" s="648"/>
      <c r="F125" s="642">
        <v>0.3</v>
      </c>
      <c r="G125" s="32">
        <v>6</v>
      </c>
      <c r="H125" s="642">
        <v>1.8</v>
      </c>
      <c r="I125" s="642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93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53"/>
      <c r="R125" s="653"/>
      <c r="S125" s="653"/>
      <c r="T125" s="654"/>
      <c r="U125" s="34"/>
      <c r="V125" s="34"/>
      <c r="W125" s="35" t="s">
        <v>67</v>
      </c>
      <c r="X125" s="643">
        <v>0</v>
      </c>
      <c r="Y125" s="6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235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57"/>
      <c r="B126" s="658"/>
      <c r="C126" s="658"/>
      <c r="D126" s="658"/>
      <c r="E126" s="658"/>
      <c r="F126" s="658"/>
      <c r="G126" s="658"/>
      <c r="H126" s="658"/>
      <c r="I126" s="658"/>
      <c r="J126" s="658"/>
      <c r="K126" s="658"/>
      <c r="L126" s="658"/>
      <c r="M126" s="658"/>
      <c r="N126" s="658"/>
      <c r="O126" s="659"/>
      <c r="P126" s="649" t="s">
        <v>72</v>
      </c>
      <c r="Q126" s="650"/>
      <c r="R126" s="650"/>
      <c r="S126" s="650"/>
      <c r="T126" s="650"/>
      <c r="U126" s="650"/>
      <c r="V126" s="651"/>
      <c r="W126" s="37" t="s">
        <v>73</v>
      </c>
      <c r="X126" s="645">
        <f>IFERROR(X122/H122,"0")+IFERROR(X123/H123,"0")+IFERROR(X124/H124,"0")+IFERROR(X125/H125,"0")</f>
        <v>27.901234567901234</v>
      </c>
      <c r="Y126" s="645">
        <f>IFERROR(Y122/H122,"0")+IFERROR(Y123/H123,"0")+IFERROR(Y124/H124,"0")+IFERROR(Y125/H125,"0")</f>
        <v>29</v>
      </c>
      <c r="Z126" s="645">
        <f>IFERROR(IF(Z122="",0,Z122),"0")+IFERROR(IF(Z123="",0,Z123),"0")+IFERROR(IF(Z124="",0,Z124),"0")+IFERROR(IF(Z125="",0,Z125),"0")</f>
        <v>0.30102000000000001</v>
      </c>
      <c r="AA126" s="646"/>
      <c r="AB126" s="646"/>
      <c r="AC126" s="646"/>
    </row>
    <row r="127" spans="1:68" x14ac:dyDescent="0.2">
      <c r="A127" s="658"/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9"/>
      <c r="P127" s="649" t="s">
        <v>72</v>
      </c>
      <c r="Q127" s="650"/>
      <c r="R127" s="650"/>
      <c r="S127" s="650"/>
      <c r="T127" s="650"/>
      <c r="U127" s="650"/>
      <c r="V127" s="651"/>
      <c r="W127" s="37" t="s">
        <v>67</v>
      </c>
      <c r="X127" s="645">
        <f>IFERROR(SUM(X122:X125),"0")</f>
        <v>122</v>
      </c>
      <c r="Y127" s="645">
        <f>IFERROR(SUM(Y122:Y125),"0")</f>
        <v>126.89999999999999</v>
      </c>
      <c r="Z127" s="37"/>
      <c r="AA127" s="646"/>
      <c r="AB127" s="646"/>
      <c r="AC127" s="646"/>
    </row>
    <row r="128" spans="1:68" ht="14.25" hidden="1" customHeight="1" x14ac:dyDescent="0.25">
      <c r="A128" s="663" t="s">
        <v>168</v>
      </c>
      <c r="B128" s="658"/>
      <c r="C128" s="658"/>
      <c r="D128" s="658"/>
      <c r="E128" s="658"/>
      <c r="F128" s="658"/>
      <c r="G128" s="658"/>
      <c r="H128" s="658"/>
      <c r="I128" s="658"/>
      <c r="J128" s="658"/>
      <c r="K128" s="658"/>
      <c r="L128" s="658"/>
      <c r="M128" s="658"/>
      <c r="N128" s="658"/>
      <c r="O128" s="658"/>
      <c r="P128" s="658"/>
      <c r="Q128" s="658"/>
      <c r="R128" s="658"/>
      <c r="S128" s="658"/>
      <c r="T128" s="658"/>
      <c r="U128" s="658"/>
      <c r="V128" s="658"/>
      <c r="W128" s="658"/>
      <c r="X128" s="658"/>
      <c r="Y128" s="658"/>
      <c r="Z128" s="658"/>
      <c r="AA128" s="639"/>
      <c r="AB128" s="639"/>
      <c r="AC128" s="639"/>
    </row>
    <row r="129" spans="1:68" ht="16.5" customHeight="1" x14ac:dyDescent="0.25">
      <c r="A129" s="54" t="s">
        <v>236</v>
      </c>
      <c r="B129" s="54" t="s">
        <v>237</v>
      </c>
      <c r="C129" s="31">
        <v>4301060525</v>
      </c>
      <c r="D129" s="647">
        <v>4680115880238</v>
      </c>
      <c r="E129" s="648"/>
      <c r="F129" s="642">
        <v>0.33</v>
      </c>
      <c r="G129" s="32">
        <v>6</v>
      </c>
      <c r="H129" s="642">
        <v>1.98</v>
      </c>
      <c r="I129" s="642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7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53"/>
      <c r="R129" s="653"/>
      <c r="S129" s="653"/>
      <c r="T129" s="654"/>
      <c r="U129" s="34"/>
      <c r="V129" s="34"/>
      <c r="W129" s="35" t="s">
        <v>67</v>
      </c>
      <c r="X129" s="643">
        <v>9</v>
      </c>
      <c r="Y129" s="644">
        <f>IFERROR(IF(X129="",0,CEILING((X129/$H129),1)*$H129),"")</f>
        <v>9.9</v>
      </c>
      <c r="Z129" s="36">
        <f>IFERROR(IF(Y129=0,"",ROUNDUP(Y129/H129,0)*0.00651),"")</f>
        <v>3.2550000000000003E-2</v>
      </c>
      <c r="AA129" s="56"/>
      <c r="AB129" s="57"/>
      <c r="AC129" s="191" t="s">
        <v>238</v>
      </c>
      <c r="AG129" s="64"/>
      <c r="AJ129" s="68"/>
      <c r="AK129" s="68">
        <v>0</v>
      </c>
      <c r="BB129" s="192" t="s">
        <v>1</v>
      </c>
      <c r="BM129" s="64">
        <f>IFERROR(X129*I129/H129,"0")</f>
        <v>10.172727272727272</v>
      </c>
      <c r="BN129" s="64">
        <f>IFERROR(Y129*I129/H129,"0")</f>
        <v>11.190000000000001</v>
      </c>
      <c r="BO129" s="64">
        <f>IFERROR(1/J129*(X129/H129),"0")</f>
        <v>2.4975024975024979E-2</v>
      </c>
      <c r="BP129" s="64">
        <f>IFERROR(1/J129*(Y129/H129),"0")</f>
        <v>2.7472527472527476E-2</v>
      </c>
    </row>
    <row r="130" spans="1:68" x14ac:dyDescent="0.2">
      <c r="A130" s="657"/>
      <c r="B130" s="658"/>
      <c r="C130" s="658"/>
      <c r="D130" s="658"/>
      <c r="E130" s="658"/>
      <c r="F130" s="658"/>
      <c r="G130" s="658"/>
      <c r="H130" s="658"/>
      <c r="I130" s="658"/>
      <c r="J130" s="658"/>
      <c r="K130" s="658"/>
      <c r="L130" s="658"/>
      <c r="M130" s="658"/>
      <c r="N130" s="658"/>
      <c r="O130" s="659"/>
      <c r="P130" s="649" t="s">
        <v>72</v>
      </c>
      <c r="Q130" s="650"/>
      <c r="R130" s="650"/>
      <c r="S130" s="650"/>
      <c r="T130" s="650"/>
      <c r="U130" s="650"/>
      <c r="V130" s="651"/>
      <c r="W130" s="37" t="s">
        <v>73</v>
      </c>
      <c r="X130" s="645">
        <f>IFERROR(X129/H129,"0")</f>
        <v>4.5454545454545459</v>
      </c>
      <c r="Y130" s="645">
        <f>IFERROR(Y129/H129,"0")</f>
        <v>5</v>
      </c>
      <c r="Z130" s="645">
        <f>IFERROR(IF(Z129="",0,Z129),"0")</f>
        <v>3.2550000000000003E-2</v>
      </c>
      <c r="AA130" s="646"/>
      <c r="AB130" s="646"/>
      <c r="AC130" s="646"/>
    </row>
    <row r="131" spans="1:68" x14ac:dyDescent="0.2">
      <c r="A131" s="658"/>
      <c r="B131" s="658"/>
      <c r="C131" s="658"/>
      <c r="D131" s="658"/>
      <c r="E131" s="658"/>
      <c r="F131" s="658"/>
      <c r="G131" s="658"/>
      <c r="H131" s="658"/>
      <c r="I131" s="658"/>
      <c r="J131" s="658"/>
      <c r="K131" s="658"/>
      <c r="L131" s="658"/>
      <c r="M131" s="658"/>
      <c r="N131" s="658"/>
      <c r="O131" s="659"/>
      <c r="P131" s="649" t="s">
        <v>72</v>
      </c>
      <c r="Q131" s="650"/>
      <c r="R131" s="650"/>
      <c r="S131" s="650"/>
      <c r="T131" s="650"/>
      <c r="U131" s="650"/>
      <c r="V131" s="651"/>
      <c r="W131" s="37" t="s">
        <v>67</v>
      </c>
      <c r="X131" s="645">
        <f>IFERROR(SUM(X129:X129),"0")</f>
        <v>9</v>
      </c>
      <c r="Y131" s="645">
        <f>IFERROR(SUM(Y129:Y129),"0")</f>
        <v>9.9</v>
      </c>
      <c r="Z131" s="37"/>
      <c r="AA131" s="646"/>
      <c r="AB131" s="646"/>
      <c r="AC131" s="646"/>
    </row>
    <row r="132" spans="1:68" ht="16.5" hidden="1" customHeight="1" x14ac:dyDescent="0.25">
      <c r="A132" s="676" t="s">
        <v>239</v>
      </c>
      <c r="B132" s="658"/>
      <c r="C132" s="658"/>
      <c r="D132" s="658"/>
      <c r="E132" s="658"/>
      <c r="F132" s="658"/>
      <c r="G132" s="658"/>
      <c r="H132" s="658"/>
      <c r="I132" s="658"/>
      <c r="J132" s="658"/>
      <c r="K132" s="658"/>
      <c r="L132" s="658"/>
      <c r="M132" s="658"/>
      <c r="N132" s="658"/>
      <c r="O132" s="658"/>
      <c r="P132" s="658"/>
      <c r="Q132" s="658"/>
      <c r="R132" s="658"/>
      <c r="S132" s="658"/>
      <c r="T132" s="658"/>
      <c r="U132" s="658"/>
      <c r="V132" s="658"/>
      <c r="W132" s="658"/>
      <c r="X132" s="658"/>
      <c r="Y132" s="658"/>
      <c r="Z132" s="658"/>
      <c r="AA132" s="638"/>
      <c r="AB132" s="638"/>
      <c r="AC132" s="638"/>
    </row>
    <row r="133" spans="1:68" ht="14.25" hidden="1" customHeight="1" x14ac:dyDescent="0.25">
      <c r="A133" s="663" t="s">
        <v>111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39"/>
      <c r="AB133" s="639"/>
      <c r="AC133" s="639"/>
    </row>
    <row r="134" spans="1:68" ht="27" customHeight="1" x14ac:dyDescent="0.25">
      <c r="A134" s="54" t="s">
        <v>240</v>
      </c>
      <c r="B134" s="54" t="s">
        <v>241</v>
      </c>
      <c r="C134" s="31">
        <v>4301011562</v>
      </c>
      <c r="D134" s="647">
        <v>4680115882577</v>
      </c>
      <c r="E134" s="648"/>
      <c r="F134" s="642">
        <v>0.4</v>
      </c>
      <c r="G134" s="32">
        <v>8</v>
      </c>
      <c r="H134" s="642">
        <v>3.2</v>
      </c>
      <c r="I134" s="642">
        <v>3.38</v>
      </c>
      <c r="J134" s="32">
        <v>182</v>
      </c>
      <c r="K134" s="32" t="s">
        <v>77</v>
      </c>
      <c r="L134" s="32"/>
      <c r="M134" s="33" t="s">
        <v>242</v>
      </c>
      <c r="N134" s="33"/>
      <c r="O134" s="32">
        <v>90</v>
      </c>
      <c r="P134" s="99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4"/>
      <c r="V134" s="34"/>
      <c r="W134" s="35" t="s">
        <v>67</v>
      </c>
      <c r="X134" s="643">
        <v>23</v>
      </c>
      <c r="Y134" s="644">
        <f>IFERROR(IF(X134="",0,CEILING((X134/$H134),1)*$H134),"")</f>
        <v>25.6</v>
      </c>
      <c r="Z134" s="36">
        <f>IFERROR(IF(Y134=0,"",ROUNDUP(Y134/H134,0)*0.00651),"")</f>
        <v>5.2080000000000001E-2</v>
      </c>
      <c r="AA134" s="56"/>
      <c r="AB134" s="57"/>
      <c r="AC134" s="193" t="s">
        <v>243</v>
      </c>
      <c r="AG134" s="64"/>
      <c r="AJ134" s="68"/>
      <c r="AK134" s="68">
        <v>0</v>
      </c>
      <c r="BB134" s="194" t="s">
        <v>1</v>
      </c>
      <c r="BM134" s="64">
        <f>IFERROR(X134*I134/H134,"0")</f>
        <v>24.293749999999996</v>
      </c>
      <c r="BN134" s="64">
        <f>IFERROR(Y134*I134/H134,"0")</f>
        <v>27.04</v>
      </c>
      <c r="BO134" s="64">
        <f>IFERROR(1/J134*(X134/H134),"0")</f>
        <v>3.9491758241758247E-2</v>
      </c>
      <c r="BP134" s="64">
        <f>IFERROR(1/J134*(Y134/H134),"0")</f>
        <v>4.3956043956043959E-2</v>
      </c>
    </row>
    <row r="135" spans="1:68" ht="27" hidden="1" customHeight="1" x14ac:dyDescent="0.25">
      <c r="A135" s="54" t="s">
        <v>240</v>
      </c>
      <c r="B135" s="54" t="s">
        <v>244</v>
      </c>
      <c r="C135" s="31">
        <v>4301011564</v>
      </c>
      <c r="D135" s="647">
        <v>4680115882577</v>
      </c>
      <c r="E135" s="648"/>
      <c r="F135" s="642">
        <v>0.4</v>
      </c>
      <c r="G135" s="32">
        <v>8</v>
      </c>
      <c r="H135" s="642">
        <v>3.2</v>
      </c>
      <c r="I135" s="642">
        <v>3.38</v>
      </c>
      <c r="J135" s="32">
        <v>182</v>
      </c>
      <c r="K135" s="32" t="s">
        <v>77</v>
      </c>
      <c r="L135" s="32"/>
      <c r="M135" s="33" t="s">
        <v>242</v>
      </c>
      <c r="N135" s="33"/>
      <c r="O135" s="32">
        <v>90</v>
      </c>
      <c r="P135" s="9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4"/>
      <c r="V135" s="34"/>
      <c r="W135" s="35" t="s">
        <v>67</v>
      </c>
      <c r="X135" s="643">
        <v>0</v>
      </c>
      <c r="Y135" s="6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243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7"/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59"/>
      <c r="P136" s="649" t="s">
        <v>72</v>
      </c>
      <c r="Q136" s="650"/>
      <c r="R136" s="650"/>
      <c r="S136" s="650"/>
      <c r="T136" s="650"/>
      <c r="U136" s="650"/>
      <c r="V136" s="651"/>
      <c r="W136" s="37" t="s">
        <v>73</v>
      </c>
      <c r="X136" s="645">
        <f>IFERROR(X134/H134,"0")+IFERROR(X135/H135,"0")</f>
        <v>7.1875</v>
      </c>
      <c r="Y136" s="645">
        <f>IFERROR(Y134/H134,"0")+IFERROR(Y135/H135,"0")</f>
        <v>8</v>
      </c>
      <c r="Z136" s="645">
        <f>IFERROR(IF(Z134="",0,Z134),"0")+IFERROR(IF(Z135="",0,Z135),"0")</f>
        <v>5.2080000000000001E-2</v>
      </c>
      <c r="AA136" s="646"/>
      <c r="AB136" s="646"/>
      <c r="AC136" s="646"/>
    </row>
    <row r="137" spans="1:68" x14ac:dyDescent="0.2">
      <c r="A137" s="658"/>
      <c r="B137" s="658"/>
      <c r="C137" s="658"/>
      <c r="D137" s="658"/>
      <c r="E137" s="658"/>
      <c r="F137" s="658"/>
      <c r="G137" s="658"/>
      <c r="H137" s="658"/>
      <c r="I137" s="658"/>
      <c r="J137" s="658"/>
      <c r="K137" s="658"/>
      <c r="L137" s="658"/>
      <c r="M137" s="658"/>
      <c r="N137" s="658"/>
      <c r="O137" s="659"/>
      <c r="P137" s="649" t="s">
        <v>72</v>
      </c>
      <c r="Q137" s="650"/>
      <c r="R137" s="650"/>
      <c r="S137" s="650"/>
      <c r="T137" s="650"/>
      <c r="U137" s="650"/>
      <c r="V137" s="651"/>
      <c r="W137" s="37" t="s">
        <v>67</v>
      </c>
      <c r="X137" s="645">
        <f>IFERROR(SUM(X134:X135),"0")</f>
        <v>23</v>
      </c>
      <c r="Y137" s="645">
        <f>IFERROR(SUM(Y134:Y135),"0")</f>
        <v>25.6</v>
      </c>
      <c r="Z137" s="37"/>
      <c r="AA137" s="646"/>
      <c r="AB137" s="646"/>
      <c r="AC137" s="646"/>
    </row>
    <row r="138" spans="1:68" ht="14.25" hidden="1" customHeight="1" x14ac:dyDescent="0.25">
      <c r="A138" s="663" t="s">
        <v>62</v>
      </c>
      <c r="B138" s="658"/>
      <c r="C138" s="658"/>
      <c r="D138" s="658"/>
      <c r="E138" s="658"/>
      <c r="F138" s="658"/>
      <c r="G138" s="658"/>
      <c r="H138" s="658"/>
      <c r="I138" s="658"/>
      <c r="J138" s="658"/>
      <c r="K138" s="658"/>
      <c r="L138" s="658"/>
      <c r="M138" s="658"/>
      <c r="N138" s="658"/>
      <c r="O138" s="658"/>
      <c r="P138" s="658"/>
      <c r="Q138" s="658"/>
      <c r="R138" s="658"/>
      <c r="S138" s="658"/>
      <c r="T138" s="658"/>
      <c r="U138" s="658"/>
      <c r="V138" s="658"/>
      <c r="W138" s="658"/>
      <c r="X138" s="658"/>
      <c r="Y138" s="658"/>
      <c r="Z138" s="658"/>
      <c r="AA138" s="639"/>
      <c r="AB138" s="639"/>
      <c r="AC138" s="639"/>
    </row>
    <row r="139" spans="1:68" ht="27" hidden="1" customHeight="1" x14ac:dyDescent="0.25">
      <c r="A139" s="54" t="s">
        <v>245</v>
      </c>
      <c r="B139" s="54" t="s">
        <v>246</v>
      </c>
      <c r="C139" s="31">
        <v>4301031234</v>
      </c>
      <c r="D139" s="647">
        <v>4680115883444</v>
      </c>
      <c r="E139" s="648"/>
      <c r="F139" s="642">
        <v>0.35</v>
      </c>
      <c r="G139" s="32">
        <v>8</v>
      </c>
      <c r="H139" s="642">
        <v>2.8</v>
      </c>
      <c r="I139" s="642">
        <v>3.0680000000000001</v>
      </c>
      <c r="J139" s="32">
        <v>182</v>
      </c>
      <c r="K139" s="32" t="s">
        <v>77</v>
      </c>
      <c r="L139" s="32"/>
      <c r="M139" s="33" t="s">
        <v>242</v>
      </c>
      <c r="N139" s="33"/>
      <c r="O139" s="32">
        <v>90</v>
      </c>
      <c r="P139" s="93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53"/>
      <c r="R139" s="653"/>
      <c r="S139" s="653"/>
      <c r="T139" s="654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7" t="s">
        <v>247</v>
      </c>
      <c r="AG139" s="64"/>
      <c r="AJ139" s="68"/>
      <c r="AK139" s="68">
        <v>0</v>
      </c>
      <c r="BB139" s="198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hidden="1" customHeight="1" x14ac:dyDescent="0.25">
      <c r="A140" s="54" t="s">
        <v>245</v>
      </c>
      <c r="B140" s="54" t="s">
        <v>248</v>
      </c>
      <c r="C140" s="31">
        <v>4301031235</v>
      </c>
      <c r="D140" s="647">
        <v>4680115883444</v>
      </c>
      <c r="E140" s="648"/>
      <c r="F140" s="642">
        <v>0.35</v>
      </c>
      <c r="G140" s="32">
        <v>8</v>
      </c>
      <c r="H140" s="642">
        <v>2.8</v>
      </c>
      <c r="I140" s="642">
        <v>3.0680000000000001</v>
      </c>
      <c r="J140" s="32">
        <v>182</v>
      </c>
      <c r="K140" s="32" t="s">
        <v>77</v>
      </c>
      <c r="L140" s="32"/>
      <c r="M140" s="33" t="s">
        <v>242</v>
      </c>
      <c r="N140" s="33"/>
      <c r="O140" s="32">
        <v>90</v>
      </c>
      <c r="P140" s="82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53"/>
      <c r="R140" s="653"/>
      <c r="S140" s="653"/>
      <c r="T140" s="654"/>
      <c r="U140" s="34"/>
      <c r="V140" s="34"/>
      <c r="W140" s="35" t="s">
        <v>67</v>
      </c>
      <c r="X140" s="643">
        <v>0</v>
      </c>
      <c r="Y140" s="644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247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idden="1" x14ac:dyDescent="0.2">
      <c r="A141" s="657"/>
      <c r="B141" s="658"/>
      <c r="C141" s="658"/>
      <c r="D141" s="658"/>
      <c r="E141" s="658"/>
      <c r="F141" s="658"/>
      <c r="G141" s="658"/>
      <c r="H141" s="658"/>
      <c r="I141" s="658"/>
      <c r="J141" s="658"/>
      <c r="K141" s="658"/>
      <c r="L141" s="658"/>
      <c r="M141" s="658"/>
      <c r="N141" s="658"/>
      <c r="O141" s="659"/>
      <c r="P141" s="649" t="s">
        <v>72</v>
      </c>
      <c r="Q141" s="650"/>
      <c r="R141" s="650"/>
      <c r="S141" s="650"/>
      <c r="T141" s="650"/>
      <c r="U141" s="650"/>
      <c r="V141" s="651"/>
      <c r="W141" s="37" t="s">
        <v>73</v>
      </c>
      <c r="X141" s="645">
        <f>IFERROR(X139/H139,"0")+IFERROR(X140/H140,"0")</f>
        <v>0</v>
      </c>
      <c r="Y141" s="645">
        <f>IFERROR(Y139/H139,"0")+IFERROR(Y140/H140,"0")</f>
        <v>0</v>
      </c>
      <c r="Z141" s="645">
        <f>IFERROR(IF(Z139="",0,Z139),"0")+IFERROR(IF(Z140="",0,Z140),"0")</f>
        <v>0</v>
      </c>
      <c r="AA141" s="646"/>
      <c r="AB141" s="646"/>
      <c r="AC141" s="646"/>
    </row>
    <row r="142" spans="1:68" hidden="1" x14ac:dyDescent="0.2">
      <c r="A142" s="658"/>
      <c r="B142" s="658"/>
      <c r="C142" s="658"/>
      <c r="D142" s="658"/>
      <c r="E142" s="658"/>
      <c r="F142" s="658"/>
      <c r="G142" s="658"/>
      <c r="H142" s="658"/>
      <c r="I142" s="658"/>
      <c r="J142" s="658"/>
      <c r="K142" s="658"/>
      <c r="L142" s="658"/>
      <c r="M142" s="658"/>
      <c r="N142" s="658"/>
      <c r="O142" s="659"/>
      <c r="P142" s="649" t="s">
        <v>72</v>
      </c>
      <c r="Q142" s="650"/>
      <c r="R142" s="650"/>
      <c r="S142" s="650"/>
      <c r="T142" s="650"/>
      <c r="U142" s="650"/>
      <c r="V142" s="651"/>
      <c r="W142" s="37" t="s">
        <v>67</v>
      </c>
      <c r="X142" s="645">
        <f>IFERROR(SUM(X139:X140),"0")</f>
        <v>0</v>
      </c>
      <c r="Y142" s="645">
        <f>IFERROR(SUM(Y139:Y140),"0")</f>
        <v>0</v>
      </c>
      <c r="Z142" s="37"/>
      <c r="AA142" s="646"/>
      <c r="AB142" s="646"/>
      <c r="AC142" s="646"/>
    </row>
    <row r="143" spans="1:68" ht="14.25" hidden="1" customHeight="1" x14ac:dyDescent="0.25">
      <c r="A143" s="663" t="s">
        <v>74</v>
      </c>
      <c r="B143" s="658"/>
      <c r="C143" s="658"/>
      <c r="D143" s="658"/>
      <c r="E143" s="658"/>
      <c r="F143" s="658"/>
      <c r="G143" s="658"/>
      <c r="H143" s="658"/>
      <c r="I143" s="658"/>
      <c r="J143" s="658"/>
      <c r="K143" s="658"/>
      <c r="L143" s="658"/>
      <c r="M143" s="658"/>
      <c r="N143" s="658"/>
      <c r="O143" s="658"/>
      <c r="P143" s="658"/>
      <c r="Q143" s="658"/>
      <c r="R143" s="658"/>
      <c r="S143" s="658"/>
      <c r="T143" s="658"/>
      <c r="U143" s="658"/>
      <c r="V143" s="658"/>
      <c r="W143" s="658"/>
      <c r="X143" s="658"/>
      <c r="Y143" s="658"/>
      <c r="Z143" s="658"/>
      <c r="AA143" s="639"/>
      <c r="AB143" s="639"/>
      <c r="AC143" s="639"/>
    </row>
    <row r="144" spans="1:68" ht="16.5" customHeight="1" x14ac:dyDescent="0.25">
      <c r="A144" s="54" t="s">
        <v>249</v>
      </c>
      <c r="B144" s="54" t="s">
        <v>250</v>
      </c>
      <c r="C144" s="31">
        <v>4301051476</v>
      </c>
      <c r="D144" s="647">
        <v>4680115882584</v>
      </c>
      <c r="E144" s="648"/>
      <c r="F144" s="642">
        <v>0.33</v>
      </c>
      <c r="G144" s="32">
        <v>8</v>
      </c>
      <c r="H144" s="642">
        <v>2.64</v>
      </c>
      <c r="I144" s="642">
        <v>2.9079999999999999</v>
      </c>
      <c r="J144" s="32">
        <v>182</v>
      </c>
      <c r="K144" s="32" t="s">
        <v>77</v>
      </c>
      <c r="L144" s="32"/>
      <c r="M144" s="33" t="s">
        <v>242</v>
      </c>
      <c r="N144" s="33"/>
      <c r="O144" s="32">
        <v>60</v>
      </c>
      <c r="P144" s="6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53"/>
      <c r="R144" s="653"/>
      <c r="S144" s="653"/>
      <c r="T144" s="654"/>
      <c r="U144" s="34"/>
      <c r="V144" s="34"/>
      <c r="W144" s="35" t="s">
        <v>67</v>
      </c>
      <c r="X144" s="643">
        <v>31</v>
      </c>
      <c r="Y144" s="644">
        <f>IFERROR(IF(X144="",0,CEILING((X144/$H144),1)*$H144),"")</f>
        <v>31.68</v>
      </c>
      <c r="Z144" s="36">
        <f>IFERROR(IF(Y144=0,"",ROUNDUP(Y144/H144,0)*0.00651),"")</f>
        <v>7.8119999999999995E-2</v>
      </c>
      <c r="AA144" s="56"/>
      <c r="AB144" s="57"/>
      <c r="AC144" s="201" t="s">
        <v>243</v>
      </c>
      <c r="AG144" s="64"/>
      <c r="AJ144" s="68"/>
      <c r="AK144" s="68">
        <v>0</v>
      </c>
      <c r="BB144" s="202" t="s">
        <v>1</v>
      </c>
      <c r="BM144" s="64">
        <f>IFERROR(X144*I144/H144,"0")</f>
        <v>34.146969696969691</v>
      </c>
      <c r="BN144" s="64">
        <f>IFERROR(Y144*I144/H144,"0")</f>
        <v>34.896000000000001</v>
      </c>
      <c r="BO144" s="64">
        <f>IFERROR(1/J144*(X144/H144),"0")</f>
        <v>6.4518814518814527E-2</v>
      </c>
      <c r="BP144" s="64">
        <f>IFERROR(1/J144*(Y144/H144),"0")</f>
        <v>6.5934065934065936E-2</v>
      </c>
    </row>
    <row r="145" spans="1:68" ht="16.5" hidden="1" customHeight="1" x14ac:dyDescent="0.25">
      <c r="A145" s="54" t="s">
        <v>249</v>
      </c>
      <c r="B145" s="54" t="s">
        <v>251</v>
      </c>
      <c r="C145" s="31">
        <v>4301051477</v>
      </c>
      <c r="D145" s="647">
        <v>4680115882584</v>
      </c>
      <c r="E145" s="648"/>
      <c r="F145" s="642">
        <v>0.33</v>
      </c>
      <c r="G145" s="32">
        <v>8</v>
      </c>
      <c r="H145" s="642">
        <v>2.64</v>
      </c>
      <c r="I145" s="642">
        <v>2.9079999999999999</v>
      </c>
      <c r="J145" s="32">
        <v>182</v>
      </c>
      <c r="K145" s="32" t="s">
        <v>77</v>
      </c>
      <c r="L145" s="32"/>
      <c r="M145" s="33" t="s">
        <v>242</v>
      </c>
      <c r="N145" s="33"/>
      <c r="O145" s="32">
        <v>60</v>
      </c>
      <c r="P145" s="69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53"/>
      <c r="R145" s="653"/>
      <c r="S145" s="653"/>
      <c r="T145" s="654"/>
      <c r="U145" s="34"/>
      <c r="V145" s="34"/>
      <c r="W145" s="35" t="s">
        <v>67</v>
      </c>
      <c r="X145" s="643">
        <v>0</v>
      </c>
      <c r="Y145" s="64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243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57"/>
      <c r="B146" s="658"/>
      <c r="C146" s="658"/>
      <c r="D146" s="658"/>
      <c r="E146" s="658"/>
      <c r="F146" s="658"/>
      <c r="G146" s="658"/>
      <c r="H146" s="658"/>
      <c r="I146" s="658"/>
      <c r="J146" s="658"/>
      <c r="K146" s="658"/>
      <c r="L146" s="658"/>
      <c r="M146" s="658"/>
      <c r="N146" s="658"/>
      <c r="O146" s="659"/>
      <c r="P146" s="649" t="s">
        <v>72</v>
      </c>
      <c r="Q146" s="650"/>
      <c r="R146" s="650"/>
      <c r="S146" s="650"/>
      <c r="T146" s="650"/>
      <c r="U146" s="650"/>
      <c r="V146" s="651"/>
      <c r="W146" s="37" t="s">
        <v>73</v>
      </c>
      <c r="X146" s="645">
        <f>IFERROR(X144/H144,"0")+IFERROR(X145/H145,"0")</f>
        <v>11.742424242424242</v>
      </c>
      <c r="Y146" s="645">
        <f>IFERROR(Y144/H144,"0")+IFERROR(Y145/H145,"0")</f>
        <v>12</v>
      </c>
      <c r="Z146" s="645">
        <f>IFERROR(IF(Z144="",0,Z144),"0")+IFERROR(IF(Z145="",0,Z145),"0")</f>
        <v>7.8119999999999995E-2</v>
      </c>
      <c r="AA146" s="646"/>
      <c r="AB146" s="646"/>
      <c r="AC146" s="646"/>
    </row>
    <row r="147" spans="1:68" x14ac:dyDescent="0.2">
      <c r="A147" s="658"/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9"/>
      <c r="P147" s="649" t="s">
        <v>72</v>
      </c>
      <c r="Q147" s="650"/>
      <c r="R147" s="650"/>
      <c r="S147" s="650"/>
      <c r="T147" s="650"/>
      <c r="U147" s="650"/>
      <c r="V147" s="651"/>
      <c r="W147" s="37" t="s">
        <v>67</v>
      </c>
      <c r="X147" s="645">
        <f>IFERROR(SUM(X144:X145),"0")</f>
        <v>31</v>
      </c>
      <c r="Y147" s="645">
        <f>IFERROR(SUM(Y144:Y145),"0")</f>
        <v>31.68</v>
      </c>
      <c r="Z147" s="37"/>
      <c r="AA147" s="646"/>
      <c r="AB147" s="646"/>
      <c r="AC147" s="646"/>
    </row>
    <row r="148" spans="1:68" ht="16.5" hidden="1" customHeight="1" x14ac:dyDescent="0.25">
      <c r="A148" s="676" t="s">
        <v>252</v>
      </c>
      <c r="B148" s="658"/>
      <c r="C148" s="658"/>
      <c r="D148" s="658"/>
      <c r="E148" s="658"/>
      <c r="F148" s="658"/>
      <c r="G148" s="658"/>
      <c r="H148" s="658"/>
      <c r="I148" s="658"/>
      <c r="J148" s="658"/>
      <c r="K148" s="658"/>
      <c r="L148" s="658"/>
      <c r="M148" s="658"/>
      <c r="N148" s="658"/>
      <c r="O148" s="658"/>
      <c r="P148" s="658"/>
      <c r="Q148" s="658"/>
      <c r="R148" s="658"/>
      <c r="S148" s="658"/>
      <c r="T148" s="658"/>
      <c r="U148" s="658"/>
      <c r="V148" s="658"/>
      <c r="W148" s="658"/>
      <c r="X148" s="658"/>
      <c r="Y148" s="658"/>
      <c r="Z148" s="658"/>
      <c r="AA148" s="638"/>
      <c r="AB148" s="638"/>
      <c r="AC148" s="638"/>
    </row>
    <row r="149" spans="1:68" ht="14.25" hidden="1" customHeight="1" x14ac:dyDescent="0.25">
      <c r="A149" s="663" t="s">
        <v>74</v>
      </c>
      <c r="B149" s="658"/>
      <c r="C149" s="658"/>
      <c r="D149" s="658"/>
      <c r="E149" s="658"/>
      <c r="F149" s="658"/>
      <c r="G149" s="658"/>
      <c r="H149" s="658"/>
      <c r="I149" s="658"/>
      <c r="J149" s="658"/>
      <c r="K149" s="658"/>
      <c r="L149" s="658"/>
      <c r="M149" s="658"/>
      <c r="N149" s="658"/>
      <c r="O149" s="658"/>
      <c r="P149" s="658"/>
      <c r="Q149" s="658"/>
      <c r="R149" s="658"/>
      <c r="S149" s="658"/>
      <c r="T149" s="658"/>
      <c r="U149" s="658"/>
      <c r="V149" s="658"/>
      <c r="W149" s="658"/>
      <c r="X149" s="658"/>
      <c r="Y149" s="658"/>
      <c r="Z149" s="658"/>
      <c r="AA149" s="639"/>
      <c r="AB149" s="639"/>
      <c r="AC149" s="639"/>
    </row>
    <row r="150" spans="1:68" ht="27" hidden="1" customHeight="1" x14ac:dyDescent="0.25">
      <c r="A150" s="54" t="s">
        <v>253</v>
      </c>
      <c r="B150" s="54" t="s">
        <v>254</v>
      </c>
      <c r="C150" s="31">
        <v>4301052254</v>
      </c>
      <c r="D150" s="647">
        <v>4680115888203</v>
      </c>
      <c r="E150" s="648"/>
      <c r="F150" s="642">
        <v>0.22</v>
      </c>
      <c r="G150" s="32">
        <v>6</v>
      </c>
      <c r="H150" s="642">
        <v>1.32</v>
      </c>
      <c r="I150" s="642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53"/>
      <c r="R150" s="653"/>
      <c r="S150" s="653"/>
      <c r="T150" s="654"/>
      <c r="U150" s="34"/>
      <c r="V150" s="34"/>
      <c r="W150" s="35" t="s">
        <v>67</v>
      </c>
      <c r="X150" s="643">
        <v>0</v>
      </c>
      <c r="Y150" s="644">
        <f t="shared" ref="Y150:Y155" si="15">IFERROR(IF(X150="",0,CEILING((X150/$H150),1)*$H150),"")</f>
        <v>0</v>
      </c>
      <c r="Z150" s="36" t="str">
        <f t="shared" ref="Z150:Z155" si="16">IFERROR(IF(Y150=0,"",ROUNDUP(Y150/H150,0)*0.00651),"")</f>
        <v/>
      </c>
      <c r="AA150" s="56"/>
      <c r="AB150" s="57"/>
      <c r="AC150" s="205" t="s">
        <v>255</v>
      </c>
      <c r="AG150" s="64"/>
      <c r="AJ150" s="68"/>
      <c r="AK150" s="68">
        <v>0</v>
      </c>
      <c r="BB150" s="206" t="s">
        <v>1</v>
      </c>
      <c r="BM150" s="64">
        <f t="shared" ref="BM150:BM155" si="17">IFERROR(X150*I150/H150,"0")</f>
        <v>0</v>
      </c>
      <c r="BN150" s="64">
        <f t="shared" ref="BN150:BN155" si="18">IFERROR(Y150*I150/H150,"0")</f>
        <v>0</v>
      </c>
      <c r="BO150" s="64">
        <f t="shared" ref="BO150:BO155" si="19">IFERROR(1/J150*(X150/H150),"0")</f>
        <v>0</v>
      </c>
      <c r="BP150" s="64">
        <f t="shared" ref="BP150:BP155" si="20">IFERROR(1/J150*(Y150/H150),"0")</f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4301052172</v>
      </c>
      <c r="D151" s="647">
        <v>4680115888180</v>
      </c>
      <c r="E151" s="648"/>
      <c r="F151" s="642">
        <v>0.22</v>
      </c>
      <c r="G151" s="32">
        <v>9</v>
      </c>
      <c r="H151" s="642">
        <v>1.98</v>
      </c>
      <c r="I151" s="642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1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3"/>
      <c r="R151" s="653"/>
      <c r="S151" s="653"/>
      <c r="T151" s="654"/>
      <c r="U151" s="34"/>
      <c r="V151" s="34"/>
      <c r="W151" s="35" t="s">
        <v>67</v>
      </c>
      <c r="X151" s="643">
        <v>0</v>
      </c>
      <c r="Y151" s="644">
        <f t="shared" si="15"/>
        <v>0</v>
      </c>
      <c r="Z151" s="36" t="str">
        <f t="shared" si="16"/>
        <v/>
      </c>
      <c r="AA151" s="56"/>
      <c r="AB151" s="57"/>
      <c r="AC151" s="207" t="s">
        <v>258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256</v>
      </c>
      <c r="B152" s="54" t="s">
        <v>259</v>
      </c>
      <c r="C152" s="31">
        <v>4301052252</v>
      </c>
      <c r="D152" s="647">
        <v>4680115888180</v>
      </c>
      <c r="E152" s="648"/>
      <c r="F152" s="642">
        <v>0.22</v>
      </c>
      <c r="G152" s="32">
        <v>6</v>
      </c>
      <c r="H152" s="642">
        <v>1.32</v>
      </c>
      <c r="I152" s="642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3"/>
      <c r="R152" s="653"/>
      <c r="S152" s="653"/>
      <c r="T152" s="654"/>
      <c r="U152" s="34"/>
      <c r="V152" s="34"/>
      <c r="W152" s="35" t="s">
        <v>67</v>
      </c>
      <c r="X152" s="643">
        <v>0</v>
      </c>
      <c r="Y152" s="644">
        <f t="shared" si="15"/>
        <v>0</v>
      </c>
      <c r="Z152" s="36" t="str">
        <f t="shared" si="16"/>
        <v/>
      </c>
      <c r="AA152" s="56"/>
      <c r="AB152" s="57"/>
      <c r="AC152" s="209" t="s">
        <v>258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t="27" hidden="1" customHeight="1" x14ac:dyDescent="0.25">
      <c r="A153" s="54" t="s">
        <v>260</v>
      </c>
      <c r="B153" s="54" t="s">
        <v>261</v>
      </c>
      <c r="C153" s="31">
        <v>4301052253</v>
      </c>
      <c r="D153" s="647">
        <v>4680115888197</v>
      </c>
      <c r="E153" s="648"/>
      <c r="F153" s="642">
        <v>0.22</v>
      </c>
      <c r="G153" s="32">
        <v>6</v>
      </c>
      <c r="H153" s="642">
        <v>1.32</v>
      </c>
      <c r="I153" s="64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3"/>
      <c r="R153" s="653"/>
      <c r="S153" s="653"/>
      <c r="T153" s="654"/>
      <c r="U153" s="34"/>
      <c r="V153" s="34"/>
      <c r="W153" s="35" t="s">
        <v>67</v>
      </c>
      <c r="X153" s="643">
        <v>0</v>
      </c>
      <c r="Y153" s="644">
        <f t="shared" si="15"/>
        <v>0</v>
      </c>
      <c r="Z153" s="36" t="str">
        <f t="shared" si="16"/>
        <v/>
      </c>
      <c r="AA153" s="56"/>
      <c r="AB153" s="57"/>
      <c r="AC153" s="211" t="s">
        <v>262</v>
      </c>
      <c r="AG153" s="64"/>
      <c r="AJ153" s="68"/>
      <c r="AK153" s="68">
        <v>0</v>
      </c>
      <c r="BB153" s="212" t="s">
        <v>1</v>
      </c>
      <c r="BM153" s="64">
        <f t="shared" si="17"/>
        <v>0</v>
      </c>
      <c r="BN153" s="64">
        <f t="shared" si="18"/>
        <v>0</v>
      </c>
      <c r="BO153" s="64">
        <f t="shared" si="19"/>
        <v>0</v>
      </c>
      <c r="BP153" s="64">
        <f t="shared" si="20"/>
        <v>0</v>
      </c>
    </row>
    <row r="154" spans="1:68" ht="27" hidden="1" customHeight="1" x14ac:dyDescent="0.25">
      <c r="A154" s="54" t="s">
        <v>263</v>
      </c>
      <c r="B154" s="54" t="s">
        <v>264</v>
      </c>
      <c r="C154" s="31">
        <v>4301052175</v>
      </c>
      <c r="D154" s="647">
        <v>4680115888210</v>
      </c>
      <c r="E154" s="648"/>
      <c r="F154" s="642">
        <v>0.22</v>
      </c>
      <c r="G154" s="32">
        <v>9</v>
      </c>
      <c r="H154" s="642">
        <v>1.98</v>
      </c>
      <c r="I154" s="64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3"/>
      <c r="R154" s="653"/>
      <c r="S154" s="653"/>
      <c r="T154" s="654"/>
      <c r="U154" s="34"/>
      <c r="V154" s="34"/>
      <c r="W154" s="35" t="s">
        <v>67</v>
      </c>
      <c r="X154" s="643">
        <v>0</v>
      </c>
      <c r="Y154" s="644">
        <f t="shared" si="15"/>
        <v>0</v>
      </c>
      <c r="Z154" s="36" t="str">
        <f t="shared" si="16"/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si="17"/>
        <v>0</v>
      </c>
      <c r="BN154" s="64">
        <f t="shared" si="18"/>
        <v>0</v>
      </c>
      <c r="BO154" s="64">
        <f t="shared" si="19"/>
        <v>0</v>
      </c>
      <c r="BP154" s="64">
        <f t="shared" si="20"/>
        <v>0</v>
      </c>
    </row>
    <row r="155" spans="1:68" ht="27" hidden="1" customHeight="1" x14ac:dyDescent="0.25">
      <c r="A155" s="54" t="s">
        <v>263</v>
      </c>
      <c r="B155" s="54" t="s">
        <v>266</v>
      </c>
      <c r="C155" s="31">
        <v>4301052255</v>
      </c>
      <c r="D155" s="647">
        <v>4680115888210</v>
      </c>
      <c r="E155" s="648"/>
      <c r="F155" s="642">
        <v>0.22</v>
      </c>
      <c r="G155" s="32">
        <v>6</v>
      </c>
      <c r="H155" s="642">
        <v>1.32</v>
      </c>
      <c r="I155" s="64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7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3"/>
      <c r="R155" s="653"/>
      <c r="S155" s="653"/>
      <c r="T155" s="654"/>
      <c r="U155" s="34"/>
      <c r="V155" s="34"/>
      <c r="W155" s="35" t="s">
        <v>67</v>
      </c>
      <c r="X155" s="643">
        <v>0</v>
      </c>
      <c r="Y155" s="644">
        <f t="shared" si="15"/>
        <v>0</v>
      </c>
      <c r="Z155" s="36" t="str">
        <f t="shared" si="16"/>
        <v/>
      </c>
      <c r="AA155" s="56"/>
      <c r="AB155" s="57"/>
      <c r="AC155" s="215" t="s">
        <v>265</v>
      </c>
      <c r="AG155" s="64"/>
      <c r="AJ155" s="68"/>
      <c r="AK155" s="68">
        <v>0</v>
      </c>
      <c r="BB155" s="216" t="s">
        <v>1</v>
      </c>
      <c r="BM155" s="64">
        <f t="shared" si="17"/>
        <v>0</v>
      </c>
      <c r="BN155" s="64">
        <f t="shared" si="18"/>
        <v>0</v>
      </c>
      <c r="BO155" s="64">
        <f t="shared" si="19"/>
        <v>0</v>
      </c>
      <c r="BP155" s="64">
        <f t="shared" si="20"/>
        <v>0</v>
      </c>
    </row>
    <row r="156" spans="1:68" hidden="1" x14ac:dyDescent="0.2">
      <c r="A156" s="657"/>
      <c r="B156" s="658"/>
      <c r="C156" s="658"/>
      <c r="D156" s="658"/>
      <c r="E156" s="658"/>
      <c r="F156" s="658"/>
      <c r="G156" s="658"/>
      <c r="H156" s="658"/>
      <c r="I156" s="658"/>
      <c r="J156" s="658"/>
      <c r="K156" s="658"/>
      <c r="L156" s="658"/>
      <c r="M156" s="658"/>
      <c r="N156" s="658"/>
      <c r="O156" s="659"/>
      <c r="P156" s="649" t="s">
        <v>72</v>
      </c>
      <c r="Q156" s="650"/>
      <c r="R156" s="650"/>
      <c r="S156" s="650"/>
      <c r="T156" s="650"/>
      <c r="U156" s="650"/>
      <c r="V156" s="651"/>
      <c r="W156" s="37" t="s">
        <v>73</v>
      </c>
      <c r="X156" s="645">
        <f>IFERROR(X150/H150,"0")+IFERROR(X151/H151,"0")+IFERROR(X152/H152,"0")+IFERROR(X153/H153,"0")+IFERROR(X154/H154,"0")+IFERROR(X155/H155,"0")</f>
        <v>0</v>
      </c>
      <c r="Y156" s="645">
        <f>IFERROR(Y150/H150,"0")+IFERROR(Y151/H151,"0")+IFERROR(Y152/H152,"0")+IFERROR(Y153/H153,"0")+IFERROR(Y154/H154,"0")+IFERROR(Y155/H155,"0")</f>
        <v>0</v>
      </c>
      <c r="Z156" s="645">
        <f>IFERROR(IF(Z150="",0,Z150),"0")+IFERROR(IF(Z151="",0,Z151),"0")+IFERROR(IF(Z152="",0,Z152),"0")+IFERROR(IF(Z153="",0,Z153),"0")+IFERROR(IF(Z154="",0,Z154),"0")+IFERROR(IF(Z155="",0,Z155),"0")</f>
        <v>0</v>
      </c>
      <c r="AA156" s="646"/>
      <c r="AB156" s="646"/>
      <c r="AC156" s="646"/>
    </row>
    <row r="157" spans="1:68" hidden="1" x14ac:dyDescent="0.2">
      <c r="A157" s="658"/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9"/>
      <c r="P157" s="649" t="s">
        <v>72</v>
      </c>
      <c r="Q157" s="650"/>
      <c r="R157" s="650"/>
      <c r="S157" s="650"/>
      <c r="T157" s="650"/>
      <c r="U157" s="650"/>
      <c r="V157" s="651"/>
      <c r="W157" s="37" t="s">
        <v>67</v>
      </c>
      <c r="X157" s="645">
        <f>IFERROR(SUM(X150:X155),"0")</f>
        <v>0</v>
      </c>
      <c r="Y157" s="645">
        <f>IFERROR(SUM(Y150:Y155),"0")</f>
        <v>0</v>
      </c>
      <c r="Z157" s="37"/>
      <c r="AA157" s="646"/>
      <c r="AB157" s="646"/>
      <c r="AC157" s="646"/>
    </row>
    <row r="158" spans="1:68" ht="14.25" hidden="1" customHeight="1" x14ac:dyDescent="0.25">
      <c r="A158" s="663" t="s">
        <v>267</v>
      </c>
      <c r="B158" s="658"/>
      <c r="C158" s="658"/>
      <c r="D158" s="658"/>
      <c r="E158" s="658"/>
      <c r="F158" s="658"/>
      <c r="G158" s="658"/>
      <c r="H158" s="658"/>
      <c r="I158" s="658"/>
      <c r="J158" s="658"/>
      <c r="K158" s="658"/>
      <c r="L158" s="658"/>
      <c r="M158" s="658"/>
      <c r="N158" s="658"/>
      <c r="O158" s="658"/>
      <c r="P158" s="658"/>
      <c r="Q158" s="658"/>
      <c r="R158" s="658"/>
      <c r="S158" s="658"/>
      <c r="T158" s="658"/>
      <c r="U158" s="658"/>
      <c r="V158" s="658"/>
      <c r="W158" s="658"/>
      <c r="X158" s="658"/>
      <c r="Y158" s="658"/>
      <c r="Z158" s="658"/>
      <c r="AA158" s="639"/>
      <c r="AB158" s="639"/>
      <c r="AC158" s="639"/>
    </row>
    <row r="159" spans="1:68" ht="27" hidden="1" customHeight="1" x14ac:dyDescent="0.25">
      <c r="A159" s="54" t="s">
        <v>268</v>
      </c>
      <c r="B159" s="54" t="s">
        <v>269</v>
      </c>
      <c r="C159" s="31">
        <v>4301032067</v>
      </c>
      <c r="D159" s="647">
        <v>4680115889132</v>
      </c>
      <c r="E159" s="648"/>
      <c r="F159" s="642">
        <v>0.04</v>
      </c>
      <c r="G159" s="32">
        <v>8</v>
      </c>
      <c r="H159" s="642">
        <v>0.32</v>
      </c>
      <c r="I159" s="642">
        <v>0.5</v>
      </c>
      <c r="J159" s="32">
        <v>330</v>
      </c>
      <c r="K159" s="32" t="s">
        <v>270</v>
      </c>
      <c r="L159" s="32"/>
      <c r="M159" s="33" t="s">
        <v>271</v>
      </c>
      <c r="N159" s="33"/>
      <c r="O159" s="32">
        <v>120</v>
      </c>
      <c r="P159" s="100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3"/>
      <c r="R159" s="653"/>
      <c r="S159" s="653"/>
      <c r="T159" s="654"/>
      <c r="U159" s="34"/>
      <c r="V159" s="34"/>
      <c r="W159" s="35" t="s">
        <v>67</v>
      </c>
      <c r="X159" s="643">
        <v>0</v>
      </c>
      <c r="Y159" s="64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272</v>
      </c>
      <c r="AG159" s="64"/>
      <c r="AJ159" s="68"/>
      <c r="AK159" s="68">
        <v>0</v>
      </c>
      <c r="BB159" s="218" t="s">
        <v>273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7"/>
      <c r="B160" s="658"/>
      <c r="C160" s="658"/>
      <c r="D160" s="658"/>
      <c r="E160" s="658"/>
      <c r="F160" s="658"/>
      <c r="G160" s="658"/>
      <c r="H160" s="658"/>
      <c r="I160" s="658"/>
      <c r="J160" s="658"/>
      <c r="K160" s="658"/>
      <c r="L160" s="658"/>
      <c r="M160" s="658"/>
      <c r="N160" s="658"/>
      <c r="O160" s="659"/>
      <c r="P160" s="649" t="s">
        <v>72</v>
      </c>
      <c r="Q160" s="650"/>
      <c r="R160" s="650"/>
      <c r="S160" s="650"/>
      <c r="T160" s="650"/>
      <c r="U160" s="650"/>
      <c r="V160" s="651"/>
      <c r="W160" s="37" t="s">
        <v>73</v>
      </c>
      <c r="X160" s="645">
        <f>IFERROR(X159/H159,"0")</f>
        <v>0</v>
      </c>
      <c r="Y160" s="645">
        <f>IFERROR(Y159/H159,"0")</f>
        <v>0</v>
      </c>
      <c r="Z160" s="645">
        <f>IFERROR(IF(Z159="",0,Z159),"0")</f>
        <v>0</v>
      </c>
      <c r="AA160" s="646"/>
      <c r="AB160" s="646"/>
      <c r="AC160" s="646"/>
    </row>
    <row r="161" spans="1:68" hidden="1" x14ac:dyDescent="0.2">
      <c r="A161" s="658"/>
      <c r="B161" s="658"/>
      <c r="C161" s="658"/>
      <c r="D161" s="658"/>
      <c r="E161" s="658"/>
      <c r="F161" s="658"/>
      <c r="G161" s="658"/>
      <c r="H161" s="658"/>
      <c r="I161" s="658"/>
      <c r="J161" s="658"/>
      <c r="K161" s="658"/>
      <c r="L161" s="658"/>
      <c r="M161" s="658"/>
      <c r="N161" s="658"/>
      <c r="O161" s="659"/>
      <c r="P161" s="649" t="s">
        <v>72</v>
      </c>
      <c r="Q161" s="650"/>
      <c r="R161" s="650"/>
      <c r="S161" s="650"/>
      <c r="T161" s="650"/>
      <c r="U161" s="650"/>
      <c r="V161" s="651"/>
      <c r="W161" s="37" t="s">
        <v>67</v>
      </c>
      <c r="X161" s="645">
        <f>IFERROR(SUM(X159:X159),"0")</f>
        <v>0</v>
      </c>
      <c r="Y161" s="645">
        <f>IFERROR(SUM(Y159:Y159),"0")</f>
        <v>0</v>
      </c>
      <c r="Z161" s="37"/>
      <c r="AA161" s="646"/>
      <c r="AB161" s="646"/>
      <c r="AC161" s="646"/>
    </row>
    <row r="162" spans="1:68" ht="16.5" hidden="1" customHeight="1" x14ac:dyDescent="0.25">
      <c r="A162" s="676" t="s">
        <v>109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38"/>
      <c r="AB162" s="638"/>
      <c r="AC162" s="638"/>
    </row>
    <row r="163" spans="1:68" ht="14.25" hidden="1" customHeight="1" x14ac:dyDescent="0.25">
      <c r="A163" s="663" t="s">
        <v>111</v>
      </c>
      <c r="B163" s="658"/>
      <c r="C163" s="658"/>
      <c r="D163" s="658"/>
      <c r="E163" s="658"/>
      <c r="F163" s="658"/>
      <c r="G163" s="658"/>
      <c r="H163" s="658"/>
      <c r="I163" s="658"/>
      <c r="J163" s="658"/>
      <c r="K163" s="658"/>
      <c r="L163" s="658"/>
      <c r="M163" s="658"/>
      <c r="N163" s="658"/>
      <c r="O163" s="658"/>
      <c r="P163" s="658"/>
      <c r="Q163" s="658"/>
      <c r="R163" s="658"/>
      <c r="S163" s="658"/>
      <c r="T163" s="658"/>
      <c r="U163" s="658"/>
      <c r="V163" s="658"/>
      <c r="W163" s="658"/>
      <c r="X163" s="658"/>
      <c r="Y163" s="658"/>
      <c r="Z163" s="658"/>
      <c r="AA163" s="639"/>
      <c r="AB163" s="639"/>
      <c r="AC163" s="639"/>
    </row>
    <row r="164" spans="1:68" ht="27" customHeight="1" x14ac:dyDescent="0.25">
      <c r="A164" s="54" t="s">
        <v>274</v>
      </c>
      <c r="B164" s="54" t="s">
        <v>275</v>
      </c>
      <c r="C164" s="31">
        <v>4301012338</v>
      </c>
      <c r="D164" s="647">
        <v>4680115887374</v>
      </c>
      <c r="E164" s="648"/>
      <c r="F164" s="642">
        <v>1</v>
      </c>
      <c r="G164" s="32">
        <v>6</v>
      </c>
      <c r="H164" s="642">
        <v>6</v>
      </c>
      <c r="I164" s="64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2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3"/>
      <c r="R164" s="653"/>
      <c r="S164" s="653"/>
      <c r="T164" s="654"/>
      <c r="U164" s="34"/>
      <c r="V164" s="34"/>
      <c r="W164" s="35" t="s">
        <v>67</v>
      </c>
      <c r="X164" s="643">
        <v>27</v>
      </c>
      <c r="Y164" s="644">
        <f>IFERROR(IF(X164="",0,CEILING((X164/$H164),1)*$H164),"")</f>
        <v>30</v>
      </c>
      <c r="Z164" s="36">
        <f>IFERROR(IF(Y164=0,"",ROUNDUP(Y164/H164,0)*0.01196),"")</f>
        <v>5.9799999999999999E-2</v>
      </c>
      <c r="AA164" s="56"/>
      <c r="AB164" s="57"/>
      <c r="AC164" s="219" t="s">
        <v>276</v>
      </c>
      <c r="AG164" s="64"/>
      <c r="AJ164" s="68"/>
      <c r="AK164" s="68">
        <v>0</v>
      </c>
      <c r="BB164" s="220" t="s">
        <v>1</v>
      </c>
      <c r="BM164" s="64">
        <f>IFERROR(X164*I164/H164,"0")</f>
        <v>28.574999999999999</v>
      </c>
      <c r="BN164" s="64">
        <f>IFERROR(Y164*I164/H164,"0")</f>
        <v>31.75</v>
      </c>
      <c r="BO164" s="64">
        <f>IFERROR(1/J164*(X164/H164),"0")</f>
        <v>4.3269230769230768E-2</v>
      </c>
      <c r="BP164" s="64">
        <f>IFERROR(1/J164*(Y164/H164),"0")</f>
        <v>4.807692307692308E-2</v>
      </c>
    </row>
    <row r="165" spans="1:68" ht="27" hidden="1" customHeight="1" x14ac:dyDescent="0.25">
      <c r="A165" s="54" t="s">
        <v>277</v>
      </c>
      <c r="B165" s="54" t="s">
        <v>278</v>
      </c>
      <c r="C165" s="31">
        <v>4301011705</v>
      </c>
      <c r="D165" s="647">
        <v>4607091384604</v>
      </c>
      <c r="E165" s="648"/>
      <c r="F165" s="642">
        <v>0.4</v>
      </c>
      <c r="G165" s="32">
        <v>10</v>
      </c>
      <c r="H165" s="642">
        <v>4</v>
      </c>
      <c r="I165" s="64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3"/>
      <c r="R165" s="653"/>
      <c r="S165" s="653"/>
      <c r="T165" s="654"/>
      <c r="U165" s="34"/>
      <c r="V165" s="34"/>
      <c r="W165" s="35" t="s">
        <v>67</v>
      </c>
      <c r="X165" s="643">
        <v>0</v>
      </c>
      <c r="Y165" s="64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279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277</v>
      </c>
      <c r="B166" s="54" t="s">
        <v>280</v>
      </c>
      <c r="C166" s="31">
        <v>4301012258</v>
      </c>
      <c r="D166" s="647">
        <v>4607091384604</v>
      </c>
      <c r="E166" s="648"/>
      <c r="F166" s="642">
        <v>0.4</v>
      </c>
      <c r="G166" s="32">
        <v>10</v>
      </c>
      <c r="H166" s="642">
        <v>4</v>
      </c>
      <c r="I166" s="642">
        <v>4.1900000000000004</v>
      </c>
      <c r="J166" s="32">
        <v>132</v>
      </c>
      <c r="K166" s="32" t="s">
        <v>123</v>
      </c>
      <c r="L166" s="32"/>
      <c r="M166" s="33" t="s">
        <v>115</v>
      </c>
      <c r="N166" s="33"/>
      <c r="O166" s="32">
        <v>50</v>
      </c>
      <c r="P166" s="965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3"/>
      <c r="R166" s="653"/>
      <c r="S166" s="653"/>
      <c r="T166" s="654"/>
      <c r="U166" s="34"/>
      <c r="V166" s="34"/>
      <c r="W166" s="35" t="s">
        <v>67</v>
      </c>
      <c r="X166" s="643">
        <v>0</v>
      </c>
      <c r="Y166" s="644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279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281</v>
      </c>
      <c r="B167" s="54" t="s">
        <v>282</v>
      </c>
      <c r="C167" s="31">
        <v>4301012344</v>
      </c>
      <c r="D167" s="647">
        <v>4680115888876</v>
      </c>
      <c r="E167" s="648"/>
      <c r="F167" s="642">
        <v>0.43</v>
      </c>
      <c r="G167" s="32">
        <v>6</v>
      </c>
      <c r="H167" s="642">
        <v>2.58</v>
      </c>
      <c r="I167" s="642">
        <v>2.76</v>
      </c>
      <c r="J167" s="32">
        <v>182</v>
      </c>
      <c r="K167" s="32" t="s">
        <v>77</v>
      </c>
      <c r="L167" s="32"/>
      <c r="M167" s="33" t="s">
        <v>78</v>
      </c>
      <c r="N167" s="33"/>
      <c r="O167" s="32">
        <v>55</v>
      </c>
      <c r="P167" s="79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3"/>
      <c r="R167" s="653"/>
      <c r="S167" s="653"/>
      <c r="T167" s="654"/>
      <c r="U167" s="34"/>
      <c r="V167" s="34"/>
      <c r="W167" s="35" t="s">
        <v>67</v>
      </c>
      <c r="X167" s="643">
        <v>0</v>
      </c>
      <c r="Y167" s="644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25" t="s">
        <v>283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57"/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9"/>
      <c r="P168" s="649" t="s">
        <v>72</v>
      </c>
      <c r="Q168" s="650"/>
      <c r="R168" s="650"/>
      <c r="S168" s="650"/>
      <c r="T168" s="650"/>
      <c r="U168" s="650"/>
      <c r="V168" s="651"/>
      <c r="W168" s="37" t="s">
        <v>73</v>
      </c>
      <c r="X168" s="645">
        <f>IFERROR(X164/H164,"0")+IFERROR(X165/H165,"0")+IFERROR(X166/H166,"0")+IFERROR(X167/H167,"0")</f>
        <v>4.5</v>
      </c>
      <c r="Y168" s="645">
        <f>IFERROR(Y164/H164,"0")+IFERROR(Y165/H165,"0")+IFERROR(Y166/H166,"0")+IFERROR(Y167/H167,"0")</f>
        <v>5</v>
      </c>
      <c r="Z168" s="645">
        <f>IFERROR(IF(Z164="",0,Z164),"0")+IFERROR(IF(Z165="",0,Z165),"0")+IFERROR(IF(Z166="",0,Z166),"0")+IFERROR(IF(Z167="",0,Z167),"0")</f>
        <v>5.9799999999999999E-2</v>
      </c>
      <c r="AA168" s="646"/>
      <c r="AB168" s="646"/>
      <c r="AC168" s="646"/>
    </row>
    <row r="169" spans="1:68" x14ac:dyDescent="0.2">
      <c r="A169" s="658"/>
      <c r="B169" s="658"/>
      <c r="C169" s="658"/>
      <c r="D169" s="658"/>
      <c r="E169" s="658"/>
      <c r="F169" s="658"/>
      <c r="G169" s="658"/>
      <c r="H169" s="658"/>
      <c r="I169" s="658"/>
      <c r="J169" s="658"/>
      <c r="K169" s="658"/>
      <c r="L169" s="658"/>
      <c r="M169" s="658"/>
      <c r="N169" s="658"/>
      <c r="O169" s="659"/>
      <c r="P169" s="649" t="s">
        <v>72</v>
      </c>
      <c r="Q169" s="650"/>
      <c r="R169" s="650"/>
      <c r="S169" s="650"/>
      <c r="T169" s="650"/>
      <c r="U169" s="650"/>
      <c r="V169" s="651"/>
      <c r="W169" s="37" t="s">
        <v>67</v>
      </c>
      <c r="X169" s="645">
        <f>IFERROR(SUM(X164:X167),"0")</f>
        <v>27</v>
      </c>
      <c r="Y169" s="645">
        <f>IFERROR(SUM(Y164:Y167),"0")</f>
        <v>30</v>
      </c>
      <c r="Z169" s="37"/>
      <c r="AA169" s="646"/>
      <c r="AB169" s="646"/>
      <c r="AC169" s="646"/>
    </row>
    <row r="170" spans="1:68" ht="14.25" hidden="1" customHeight="1" x14ac:dyDescent="0.25">
      <c r="A170" s="663" t="s">
        <v>148</v>
      </c>
      <c r="B170" s="658"/>
      <c r="C170" s="658"/>
      <c r="D170" s="658"/>
      <c r="E170" s="658"/>
      <c r="F170" s="658"/>
      <c r="G170" s="658"/>
      <c r="H170" s="658"/>
      <c r="I170" s="658"/>
      <c r="J170" s="658"/>
      <c r="K170" s="658"/>
      <c r="L170" s="658"/>
      <c r="M170" s="658"/>
      <c r="N170" s="658"/>
      <c r="O170" s="658"/>
      <c r="P170" s="658"/>
      <c r="Q170" s="658"/>
      <c r="R170" s="658"/>
      <c r="S170" s="658"/>
      <c r="T170" s="658"/>
      <c r="U170" s="658"/>
      <c r="V170" s="658"/>
      <c r="W170" s="658"/>
      <c r="X170" s="658"/>
      <c r="Y170" s="658"/>
      <c r="Z170" s="658"/>
      <c r="AA170" s="639"/>
      <c r="AB170" s="639"/>
      <c r="AC170" s="639"/>
    </row>
    <row r="171" spans="1:68" ht="16.5" hidden="1" customHeight="1" x14ac:dyDescent="0.25">
      <c r="A171" s="54" t="s">
        <v>284</v>
      </c>
      <c r="B171" s="54" t="s">
        <v>285</v>
      </c>
      <c r="C171" s="31">
        <v>4301020410</v>
      </c>
      <c r="D171" s="647">
        <v>4680115887695</v>
      </c>
      <c r="E171" s="648"/>
      <c r="F171" s="642">
        <v>0.12</v>
      </c>
      <c r="G171" s="32">
        <v>6</v>
      </c>
      <c r="H171" s="642">
        <v>0.72</v>
      </c>
      <c r="I171" s="642">
        <v>0.85</v>
      </c>
      <c r="J171" s="32">
        <v>252</v>
      </c>
      <c r="K171" s="32" t="s">
        <v>65</v>
      </c>
      <c r="L171" s="32"/>
      <c r="M171" s="33" t="s">
        <v>66</v>
      </c>
      <c r="N171" s="33"/>
      <c r="O171" s="32">
        <v>30</v>
      </c>
      <c r="P171" s="73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3"/>
      <c r="R171" s="653"/>
      <c r="S171" s="653"/>
      <c r="T171" s="654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7" t="s">
        <v>286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287</v>
      </c>
      <c r="B172" s="54" t="s">
        <v>288</v>
      </c>
      <c r="C172" s="31">
        <v>4301020439</v>
      </c>
      <c r="D172" s="647">
        <v>4680115889491</v>
      </c>
      <c r="E172" s="648"/>
      <c r="F172" s="642">
        <v>0.3</v>
      </c>
      <c r="G172" s="32">
        <v>8</v>
      </c>
      <c r="H172" s="642">
        <v>2.4</v>
      </c>
      <c r="I172" s="642">
        <v>2.5</v>
      </c>
      <c r="J172" s="32">
        <v>234</v>
      </c>
      <c r="K172" s="32" t="s">
        <v>65</v>
      </c>
      <c r="L172" s="32"/>
      <c r="M172" s="33" t="s">
        <v>115</v>
      </c>
      <c r="N172" s="33"/>
      <c r="O172" s="32">
        <v>55</v>
      </c>
      <c r="P172" s="66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3"/>
      <c r="R172" s="653"/>
      <c r="S172" s="653"/>
      <c r="T172" s="654"/>
      <c r="U172" s="34"/>
      <c r="V172" s="34"/>
      <c r="W172" s="35" t="s">
        <v>67</v>
      </c>
      <c r="X172" s="643">
        <v>0</v>
      </c>
      <c r="Y172" s="644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9" t="s">
        <v>289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7"/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9"/>
      <c r="P173" s="649" t="s">
        <v>72</v>
      </c>
      <c r="Q173" s="650"/>
      <c r="R173" s="650"/>
      <c r="S173" s="650"/>
      <c r="T173" s="650"/>
      <c r="U173" s="650"/>
      <c r="V173" s="651"/>
      <c r="W173" s="37" t="s">
        <v>73</v>
      </c>
      <c r="X173" s="645">
        <f>IFERROR(X171/H171,"0")+IFERROR(X172/H172,"0")</f>
        <v>0</v>
      </c>
      <c r="Y173" s="645">
        <f>IFERROR(Y171/H171,"0")+IFERROR(Y172/H172,"0")</f>
        <v>0</v>
      </c>
      <c r="Z173" s="645">
        <f>IFERROR(IF(Z171="",0,Z171),"0")+IFERROR(IF(Z172="",0,Z172),"0")</f>
        <v>0</v>
      </c>
      <c r="AA173" s="646"/>
      <c r="AB173" s="646"/>
      <c r="AC173" s="646"/>
    </row>
    <row r="174" spans="1:68" hidden="1" x14ac:dyDescent="0.2">
      <c r="A174" s="658"/>
      <c r="B174" s="658"/>
      <c r="C174" s="658"/>
      <c r="D174" s="658"/>
      <c r="E174" s="658"/>
      <c r="F174" s="658"/>
      <c r="G174" s="658"/>
      <c r="H174" s="658"/>
      <c r="I174" s="658"/>
      <c r="J174" s="658"/>
      <c r="K174" s="658"/>
      <c r="L174" s="658"/>
      <c r="M174" s="658"/>
      <c r="N174" s="658"/>
      <c r="O174" s="659"/>
      <c r="P174" s="649" t="s">
        <v>72</v>
      </c>
      <c r="Q174" s="650"/>
      <c r="R174" s="650"/>
      <c r="S174" s="650"/>
      <c r="T174" s="650"/>
      <c r="U174" s="650"/>
      <c r="V174" s="651"/>
      <c r="W174" s="37" t="s">
        <v>67</v>
      </c>
      <c r="X174" s="645">
        <f>IFERROR(SUM(X171:X172),"0")</f>
        <v>0</v>
      </c>
      <c r="Y174" s="645">
        <f>IFERROR(SUM(Y171:Y172),"0")</f>
        <v>0</v>
      </c>
      <c r="Z174" s="37"/>
      <c r="AA174" s="646"/>
      <c r="AB174" s="646"/>
      <c r="AC174" s="646"/>
    </row>
    <row r="175" spans="1:68" ht="14.25" hidden="1" customHeight="1" x14ac:dyDescent="0.25">
      <c r="A175" s="663" t="s">
        <v>62</v>
      </c>
      <c r="B175" s="658"/>
      <c r="C175" s="658"/>
      <c r="D175" s="658"/>
      <c r="E175" s="658"/>
      <c r="F175" s="658"/>
      <c r="G175" s="658"/>
      <c r="H175" s="658"/>
      <c r="I175" s="658"/>
      <c r="J175" s="658"/>
      <c r="K175" s="658"/>
      <c r="L175" s="658"/>
      <c r="M175" s="658"/>
      <c r="N175" s="658"/>
      <c r="O175" s="658"/>
      <c r="P175" s="658"/>
      <c r="Q175" s="658"/>
      <c r="R175" s="658"/>
      <c r="S175" s="658"/>
      <c r="T175" s="658"/>
      <c r="U175" s="658"/>
      <c r="V175" s="658"/>
      <c r="W175" s="658"/>
      <c r="X175" s="658"/>
      <c r="Y175" s="658"/>
      <c r="Z175" s="658"/>
      <c r="AA175" s="639"/>
      <c r="AB175" s="639"/>
      <c r="AC175" s="639"/>
    </row>
    <row r="176" spans="1:68" ht="27" customHeight="1" x14ac:dyDescent="0.25">
      <c r="A176" s="54" t="s">
        <v>290</v>
      </c>
      <c r="B176" s="54" t="s">
        <v>291</v>
      </c>
      <c r="C176" s="31">
        <v>4301031496</v>
      </c>
      <c r="D176" s="647">
        <v>4680115887428</v>
      </c>
      <c r="E176" s="648"/>
      <c r="F176" s="642">
        <v>0.7</v>
      </c>
      <c r="G176" s="32">
        <v>5</v>
      </c>
      <c r="H176" s="642">
        <v>3.5</v>
      </c>
      <c r="I176" s="642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40</v>
      </c>
      <c r="P176" s="93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53"/>
      <c r="R176" s="653"/>
      <c r="S176" s="653"/>
      <c r="T176" s="654"/>
      <c r="U176" s="34"/>
      <c r="V176" s="34"/>
      <c r="W176" s="35" t="s">
        <v>67</v>
      </c>
      <c r="X176" s="643">
        <v>160</v>
      </c>
      <c r="Y176" s="644">
        <f t="shared" ref="Y176:Y186" si="21">IFERROR(IF(X176="",0,CEILING((X176/$H176),1)*$H176),"")</f>
        <v>161</v>
      </c>
      <c r="Z176" s="36">
        <f>IFERROR(IF(Y176=0,"",ROUNDUP(Y176/H176,0)*0.00902),"")</f>
        <v>0.41492000000000001</v>
      </c>
      <c r="AA176" s="56"/>
      <c r="AB176" s="57"/>
      <c r="AC176" s="231" t="s">
        <v>292</v>
      </c>
      <c r="AG176" s="64"/>
      <c r="AJ176" s="68"/>
      <c r="AK176" s="68">
        <v>0</v>
      </c>
      <c r="BB176" s="232" t="s">
        <v>1</v>
      </c>
      <c r="BM176" s="64">
        <f t="shared" ref="BM176:BM186" si="22">IFERROR(X176*I176/H176,"0")</f>
        <v>168.68571428571428</v>
      </c>
      <c r="BN176" s="64">
        <f t="shared" ref="BN176:BN186" si="23">IFERROR(Y176*I176/H176,"0")</f>
        <v>169.74</v>
      </c>
      <c r="BO176" s="64">
        <f t="shared" ref="BO176:BO186" si="24">IFERROR(1/J176*(X176/H176),"0")</f>
        <v>0.34632034632034636</v>
      </c>
      <c r="BP176" s="64">
        <f t="shared" ref="BP176:BP186" si="25">IFERROR(1/J176*(Y176/H176),"0")</f>
        <v>0.34848484848484851</v>
      </c>
    </row>
    <row r="177" spans="1:68" ht="27" hidden="1" customHeight="1" x14ac:dyDescent="0.25">
      <c r="A177" s="54" t="s">
        <v>293</v>
      </c>
      <c r="B177" s="54" t="s">
        <v>294</v>
      </c>
      <c r="C177" s="31">
        <v>4301031509</v>
      </c>
      <c r="D177" s="647">
        <v>4680115889170</v>
      </c>
      <c r="E177" s="648"/>
      <c r="F177" s="642">
        <v>0.7</v>
      </c>
      <c r="G177" s="32">
        <v>5</v>
      </c>
      <c r="H177" s="642">
        <v>3.5</v>
      </c>
      <c r="I177" s="642">
        <v>3.7650000000000001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92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53"/>
      <c r="R177" s="653"/>
      <c r="S177" s="653"/>
      <c r="T177" s="654"/>
      <c r="U177" s="34"/>
      <c r="V177" s="34"/>
      <c r="W177" s="35" t="s">
        <v>67</v>
      </c>
      <c r="X177" s="643">
        <v>0</v>
      </c>
      <c r="Y177" s="644">
        <f t="shared" si="21"/>
        <v>0</v>
      </c>
      <c r="Z177" s="36" t="str">
        <f>IFERROR(IF(Y177=0,"",ROUNDUP(Y177/H177,0)*0.00902),"")</f>
        <v/>
      </c>
      <c r="AA177" s="56"/>
      <c r="AB177" s="57"/>
      <c r="AC177" s="233" t="s">
        <v>295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296</v>
      </c>
      <c r="B178" s="54" t="s">
        <v>297</v>
      </c>
      <c r="C178" s="31">
        <v>4301031522</v>
      </c>
      <c r="D178" s="647">
        <v>4680115887398</v>
      </c>
      <c r="E178" s="648"/>
      <c r="F178" s="642">
        <v>0.7</v>
      </c>
      <c r="G178" s="32">
        <v>5</v>
      </c>
      <c r="H178" s="642">
        <v>3.5</v>
      </c>
      <c r="I178" s="64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45</v>
      </c>
      <c r="P178" s="94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53"/>
      <c r="R178" s="653"/>
      <c r="S178" s="653"/>
      <c r="T178" s="654"/>
      <c r="U178" s="34"/>
      <c r="V178" s="34"/>
      <c r="W178" s="35" t="s">
        <v>67</v>
      </c>
      <c r="X178" s="643">
        <v>112</v>
      </c>
      <c r="Y178" s="644">
        <f t="shared" si="21"/>
        <v>112</v>
      </c>
      <c r="Z178" s="36">
        <f>IFERROR(IF(Y178=0,"",ROUNDUP(Y178/H178,0)*0.00902),"")</f>
        <v>0.28864000000000001</v>
      </c>
      <c r="AA178" s="56"/>
      <c r="AB178" s="57"/>
      <c r="AC178" s="235" t="s">
        <v>298</v>
      </c>
      <c r="AG178" s="64"/>
      <c r="AJ178" s="68"/>
      <c r="AK178" s="68">
        <v>0</v>
      </c>
      <c r="BB178" s="236" t="s">
        <v>1</v>
      </c>
      <c r="BM178" s="64">
        <f t="shared" si="22"/>
        <v>118.08</v>
      </c>
      <c r="BN178" s="64">
        <f t="shared" si="23"/>
        <v>118.08</v>
      </c>
      <c r="BO178" s="64">
        <f t="shared" si="24"/>
        <v>0.24242424242424243</v>
      </c>
      <c r="BP178" s="64">
        <f t="shared" si="25"/>
        <v>0.24242424242424243</v>
      </c>
    </row>
    <row r="179" spans="1:68" ht="27" customHeight="1" x14ac:dyDescent="0.25">
      <c r="A179" s="54" t="s">
        <v>299</v>
      </c>
      <c r="B179" s="54" t="s">
        <v>300</v>
      </c>
      <c r="C179" s="31">
        <v>4301031520</v>
      </c>
      <c r="D179" s="647">
        <v>4680115887336</v>
      </c>
      <c r="E179" s="648"/>
      <c r="F179" s="642">
        <v>0.7</v>
      </c>
      <c r="G179" s="32">
        <v>5</v>
      </c>
      <c r="H179" s="642">
        <v>3.5</v>
      </c>
      <c r="I179" s="642">
        <v>3.69</v>
      </c>
      <c r="J179" s="32">
        <v>132</v>
      </c>
      <c r="K179" s="32" t="s">
        <v>123</v>
      </c>
      <c r="L179" s="32"/>
      <c r="M179" s="33" t="s">
        <v>66</v>
      </c>
      <c r="N179" s="33"/>
      <c r="O179" s="32">
        <v>45</v>
      </c>
      <c r="P179" s="83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53"/>
      <c r="R179" s="653"/>
      <c r="S179" s="653"/>
      <c r="T179" s="654"/>
      <c r="U179" s="34"/>
      <c r="V179" s="34"/>
      <c r="W179" s="35" t="s">
        <v>67</v>
      </c>
      <c r="X179" s="643">
        <v>200</v>
      </c>
      <c r="Y179" s="644">
        <f t="shared" si="21"/>
        <v>203</v>
      </c>
      <c r="Z179" s="36">
        <f>IFERROR(IF(Y179=0,"",ROUNDUP(Y179/H179,0)*0.00902),"")</f>
        <v>0.52316000000000007</v>
      </c>
      <c r="AA179" s="56"/>
      <c r="AB179" s="57"/>
      <c r="AC179" s="237" t="s">
        <v>301</v>
      </c>
      <c r="AG179" s="64"/>
      <c r="AJ179" s="68"/>
      <c r="AK179" s="68">
        <v>0</v>
      </c>
      <c r="BB179" s="238" t="s">
        <v>1</v>
      </c>
      <c r="BM179" s="64">
        <f t="shared" si="22"/>
        <v>210.85714285714286</v>
      </c>
      <c r="BN179" s="64">
        <f t="shared" si="23"/>
        <v>214.01999999999998</v>
      </c>
      <c r="BO179" s="64">
        <f t="shared" si="24"/>
        <v>0.43290043290043295</v>
      </c>
      <c r="BP179" s="64">
        <f t="shared" si="25"/>
        <v>0.43939393939393939</v>
      </c>
    </row>
    <row r="180" spans="1:68" ht="16.5" hidden="1" customHeight="1" x14ac:dyDescent="0.25">
      <c r="A180" s="54" t="s">
        <v>302</v>
      </c>
      <c r="B180" s="54" t="s">
        <v>303</v>
      </c>
      <c r="C180" s="31">
        <v>4301032049</v>
      </c>
      <c r="D180" s="647">
        <v>4680115887787</v>
      </c>
      <c r="E180" s="648"/>
      <c r="F180" s="642">
        <v>0.09</v>
      </c>
      <c r="G180" s="32">
        <v>10</v>
      </c>
      <c r="H180" s="642">
        <v>0.9</v>
      </c>
      <c r="I180" s="642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9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3"/>
      <c r="R180" s="653"/>
      <c r="S180" s="653"/>
      <c r="T180" s="654"/>
      <c r="U180" s="34"/>
      <c r="V180" s="34"/>
      <c r="W180" s="35" t="s">
        <v>67</v>
      </c>
      <c r="X180" s="643">
        <v>0</v>
      </c>
      <c r="Y180" s="644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304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16.5" hidden="1" customHeight="1" x14ac:dyDescent="0.25">
      <c r="A181" s="54" t="s">
        <v>302</v>
      </c>
      <c r="B181" s="54" t="s">
        <v>305</v>
      </c>
      <c r="C181" s="31">
        <v>4301031528</v>
      </c>
      <c r="D181" s="647">
        <v>4680115887787</v>
      </c>
      <c r="E181" s="648"/>
      <c r="F181" s="642">
        <v>0.09</v>
      </c>
      <c r="G181" s="32">
        <v>10</v>
      </c>
      <c r="H181" s="642">
        <v>0.9</v>
      </c>
      <c r="I181" s="642">
        <v>1.1100000000000001</v>
      </c>
      <c r="J181" s="32">
        <v>192</v>
      </c>
      <c r="K181" s="32" t="s">
        <v>119</v>
      </c>
      <c r="L181" s="32"/>
      <c r="M181" s="33" t="s">
        <v>66</v>
      </c>
      <c r="N181" s="33"/>
      <c r="O181" s="32">
        <v>45</v>
      </c>
      <c r="P181" s="97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4"/>
      <c r="V181" s="34"/>
      <c r="W181" s="35" t="s">
        <v>67</v>
      </c>
      <c r="X181" s="643">
        <v>0</v>
      </c>
      <c r="Y181" s="644">
        <f t="shared" si="21"/>
        <v>0</v>
      </c>
      <c r="Z181" s="36" t="str">
        <f>IFERROR(IF(Y181=0,"",ROUNDUP(Y181/H181,0)*0.00726),"")</f>
        <v/>
      </c>
      <c r="AA181" s="56"/>
      <c r="AB181" s="57"/>
      <c r="AC181" s="241" t="s">
        <v>304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4301031448</v>
      </c>
      <c r="D182" s="647">
        <v>4680115887503</v>
      </c>
      <c r="E182" s="648"/>
      <c r="F182" s="642">
        <v>0.28000000000000003</v>
      </c>
      <c r="G182" s="32">
        <v>6</v>
      </c>
      <c r="H182" s="642">
        <v>1.68</v>
      </c>
      <c r="I182" s="64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4"/>
      <c r="V182" s="34"/>
      <c r="W182" s="35" t="s">
        <v>67</v>
      </c>
      <c r="X182" s="643">
        <v>34</v>
      </c>
      <c r="Y182" s="644">
        <f t="shared" si="21"/>
        <v>35.28</v>
      </c>
      <c r="Z182" s="36">
        <f>IFERROR(IF(Y182=0,"",ROUNDUP(Y182/H182,0)*0.00502),"")</f>
        <v>0.10542</v>
      </c>
      <c r="AA182" s="56"/>
      <c r="AB182" s="57"/>
      <c r="AC182" s="243" t="s">
        <v>292</v>
      </c>
      <c r="AG182" s="64"/>
      <c r="AJ182" s="68"/>
      <c r="AK182" s="68">
        <v>0</v>
      </c>
      <c r="BB182" s="244" t="s">
        <v>1</v>
      </c>
      <c r="BM182" s="64">
        <f t="shared" si="22"/>
        <v>36.023809523809526</v>
      </c>
      <c r="BN182" s="64">
        <f t="shared" si="23"/>
        <v>37.380000000000003</v>
      </c>
      <c r="BO182" s="64">
        <f t="shared" si="24"/>
        <v>8.648758648758649E-2</v>
      </c>
      <c r="BP182" s="64">
        <f t="shared" si="25"/>
        <v>8.9743589743589758E-2</v>
      </c>
    </row>
    <row r="183" spans="1:68" ht="27" customHeight="1" x14ac:dyDescent="0.25">
      <c r="A183" s="54" t="s">
        <v>308</v>
      </c>
      <c r="B183" s="54" t="s">
        <v>309</v>
      </c>
      <c r="C183" s="31">
        <v>4301031389</v>
      </c>
      <c r="D183" s="647">
        <v>4680115887763</v>
      </c>
      <c r="E183" s="648"/>
      <c r="F183" s="642">
        <v>0.09</v>
      </c>
      <c r="G183" s="32">
        <v>10</v>
      </c>
      <c r="H183" s="642">
        <v>0.9</v>
      </c>
      <c r="I183" s="642">
        <v>1.1100000000000001</v>
      </c>
      <c r="J183" s="32">
        <v>336</v>
      </c>
      <c r="K183" s="32" t="s">
        <v>119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4"/>
      <c r="V183" s="34"/>
      <c r="W183" s="35" t="s">
        <v>67</v>
      </c>
      <c r="X183" s="643">
        <v>3</v>
      </c>
      <c r="Y183" s="644">
        <f t="shared" si="21"/>
        <v>3.6</v>
      </c>
      <c r="Z183" s="36">
        <f>IFERROR(IF(Y183=0,"",ROUNDUP(Y183/H183,0)*0.00417),"")</f>
        <v>1.668E-2</v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2"/>
        <v>3.7</v>
      </c>
      <c r="BN183" s="64">
        <f t="shared" si="23"/>
        <v>4.4400000000000004</v>
      </c>
      <c r="BO183" s="64">
        <f t="shared" si="24"/>
        <v>9.9206349206349183E-3</v>
      </c>
      <c r="BP183" s="64">
        <f t="shared" si="25"/>
        <v>1.1904761904761904E-2</v>
      </c>
    </row>
    <row r="184" spans="1:68" ht="27" hidden="1" customHeight="1" x14ac:dyDescent="0.25">
      <c r="A184" s="54" t="s">
        <v>311</v>
      </c>
      <c r="B184" s="54" t="s">
        <v>312</v>
      </c>
      <c r="C184" s="31">
        <v>4301031521</v>
      </c>
      <c r="D184" s="647">
        <v>4680115887480</v>
      </c>
      <c r="E184" s="648"/>
      <c r="F184" s="642">
        <v>0.28000000000000003</v>
      </c>
      <c r="G184" s="32">
        <v>6</v>
      </c>
      <c r="H184" s="642">
        <v>1.68</v>
      </c>
      <c r="I184" s="64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32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3"/>
      <c r="R184" s="653"/>
      <c r="S184" s="653"/>
      <c r="T184" s="654"/>
      <c r="U184" s="34"/>
      <c r="V184" s="34"/>
      <c r="W184" s="35" t="s">
        <v>67</v>
      </c>
      <c r="X184" s="643">
        <v>0</v>
      </c>
      <c r="Y184" s="644">
        <f t="shared" si="21"/>
        <v>0</v>
      </c>
      <c r="Z184" s="36" t="str">
        <f>IFERROR(IF(Y184=0,"",ROUNDUP(Y184/H184,0)*0.00502),"")</f>
        <v/>
      </c>
      <c r="AA184" s="56"/>
      <c r="AB184" s="57"/>
      <c r="AC184" s="247" t="s">
        <v>298</v>
      </c>
      <c r="AG184" s="64"/>
      <c r="AJ184" s="68"/>
      <c r="AK184" s="68">
        <v>0</v>
      </c>
      <c r="BB184" s="248" t="s">
        <v>1</v>
      </c>
      <c r="BM184" s="64">
        <f t="shared" si="22"/>
        <v>0</v>
      </c>
      <c r="BN184" s="64">
        <f t="shared" si="23"/>
        <v>0</v>
      </c>
      <c r="BO184" s="64">
        <f t="shared" si="24"/>
        <v>0</v>
      </c>
      <c r="BP184" s="64">
        <f t="shared" si="25"/>
        <v>0</v>
      </c>
    </row>
    <row r="185" spans="1:68" ht="27" hidden="1" customHeight="1" x14ac:dyDescent="0.25">
      <c r="A185" s="54" t="s">
        <v>313</v>
      </c>
      <c r="B185" s="54" t="s">
        <v>314</v>
      </c>
      <c r="C185" s="31">
        <v>4301031434</v>
      </c>
      <c r="D185" s="647">
        <v>4680115888067</v>
      </c>
      <c r="E185" s="648"/>
      <c r="F185" s="642">
        <v>0.09</v>
      </c>
      <c r="G185" s="32">
        <v>10</v>
      </c>
      <c r="H185" s="642">
        <v>0.9</v>
      </c>
      <c r="I185" s="642">
        <v>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75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3"/>
      <c r="R185" s="653"/>
      <c r="S185" s="653"/>
      <c r="T185" s="654"/>
      <c r="U185" s="34"/>
      <c r="V185" s="34"/>
      <c r="W185" s="35" t="s">
        <v>67</v>
      </c>
      <c r="X185" s="643">
        <v>0</v>
      </c>
      <c r="Y185" s="644">
        <f t="shared" si="21"/>
        <v>0</v>
      </c>
      <c r="Z185" s="36" t="str">
        <f>IFERROR(IF(Y185=0,"",ROUNDUP(Y185/H185,0)*0.00417),"")</f>
        <v/>
      </c>
      <c r="AA185" s="56"/>
      <c r="AB185" s="57"/>
      <c r="AC185" s="249" t="s">
        <v>315</v>
      </c>
      <c r="AG185" s="64"/>
      <c r="AJ185" s="68"/>
      <c r="AK185" s="68">
        <v>0</v>
      </c>
      <c r="BB185" s="250" t="s">
        <v>1</v>
      </c>
      <c r="BM185" s="64">
        <f t="shared" si="22"/>
        <v>0</v>
      </c>
      <c r="BN185" s="64">
        <f t="shared" si="23"/>
        <v>0</v>
      </c>
      <c r="BO185" s="64">
        <f t="shared" si="24"/>
        <v>0</v>
      </c>
      <c r="BP185" s="64">
        <f t="shared" si="25"/>
        <v>0</v>
      </c>
    </row>
    <row r="186" spans="1:68" ht="27" customHeight="1" x14ac:dyDescent="0.25">
      <c r="A186" s="54" t="s">
        <v>316</v>
      </c>
      <c r="B186" s="54" t="s">
        <v>317</v>
      </c>
      <c r="C186" s="31">
        <v>4301031519</v>
      </c>
      <c r="D186" s="647">
        <v>4680115887435</v>
      </c>
      <c r="E186" s="648"/>
      <c r="F186" s="642">
        <v>0.28000000000000003</v>
      </c>
      <c r="G186" s="32">
        <v>6</v>
      </c>
      <c r="H186" s="642">
        <v>1.68</v>
      </c>
      <c r="I186" s="642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7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3"/>
      <c r="R186" s="653"/>
      <c r="S186" s="653"/>
      <c r="T186" s="654"/>
      <c r="U186" s="34"/>
      <c r="V186" s="34"/>
      <c r="W186" s="35" t="s">
        <v>67</v>
      </c>
      <c r="X186" s="643">
        <v>22</v>
      </c>
      <c r="Y186" s="644">
        <f t="shared" si="21"/>
        <v>23.52</v>
      </c>
      <c r="Z186" s="36">
        <f>IFERROR(IF(Y186=0,"",ROUNDUP(Y186/H186,0)*0.00502),"")</f>
        <v>7.0280000000000009E-2</v>
      </c>
      <c r="AA186" s="56"/>
      <c r="AB186" s="57"/>
      <c r="AC186" s="251" t="s">
        <v>301</v>
      </c>
      <c r="AG186" s="64"/>
      <c r="AJ186" s="68"/>
      <c r="AK186" s="68">
        <v>0</v>
      </c>
      <c r="BB186" s="252" t="s">
        <v>1</v>
      </c>
      <c r="BM186" s="64">
        <f t="shared" si="22"/>
        <v>23.309523809523814</v>
      </c>
      <c r="BN186" s="64">
        <f t="shared" si="23"/>
        <v>24.92</v>
      </c>
      <c r="BO186" s="64">
        <f t="shared" si="24"/>
        <v>5.596255596255597E-2</v>
      </c>
      <c r="BP186" s="64">
        <f t="shared" si="25"/>
        <v>5.9829059829059839E-2</v>
      </c>
    </row>
    <row r="187" spans="1:68" x14ac:dyDescent="0.2">
      <c r="A187" s="657"/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9"/>
      <c r="P187" s="649" t="s">
        <v>72</v>
      </c>
      <c r="Q187" s="650"/>
      <c r="R187" s="650"/>
      <c r="S187" s="650"/>
      <c r="T187" s="650"/>
      <c r="U187" s="650"/>
      <c r="V187" s="651"/>
      <c r="W187" s="37" t="s">
        <v>73</v>
      </c>
      <c r="X187" s="645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171.52380952380955</v>
      </c>
      <c r="Y187" s="645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175</v>
      </c>
      <c r="Z187" s="645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1.4191000000000003</v>
      </c>
      <c r="AA187" s="646"/>
      <c r="AB187" s="646"/>
      <c r="AC187" s="646"/>
    </row>
    <row r="188" spans="1:68" x14ac:dyDescent="0.2">
      <c r="A188" s="658"/>
      <c r="B188" s="658"/>
      <c r="C188" s="658"/>
      <c r="D188" s="658"/>
      <c r="E188" s="658"/>
      <c r="F188" s="658"/>
      <c r="G188" s="658"/>
      <c r="H188" s="658"/>
      <c r="I188" s="658"/>
      <c r="J188" s="658"/>
      <c r="K188" s="658"/>
      <c r="L188" s="658"/>
      <c r="M188" s="658"/>
      <c r="N188" s="658"/>
      <c r="O188" s="659"/>
      <c r="P188" s="649" t="s">
        <v>72</v>
      </c>
      <c r="Q188" s="650"/>
      <c r="R188" s="650"/>
      <c r="S188" s="650"/>
      <c r="T188" s="650"/>
      <c r="U188" s="650"/>
      <c r="V188" s="651"/>
      <c r="W188" s="37" t="s">
        <v>67</v>
      </c>
      <c r="X188" s="645">
        <f>IFERROR(SUM(X176:X186),"0")</f>
        <v>531</v>
      </c>
      <c r="Y188" s="645">
        <f>IFERROR(SUM(Y176:Y186),"0")</f>
        <v>538.4</v>
      </c>
      <c r="Z188" s="37"/>
      <c r="AA188" s="646"/>
      <c r="AB188" s="646"/>
      <c r="AC188" s="646"/>
    </row>
    <row r="189" spans="1:68" ht="14.25" hidden="1" customHeight="1" x14ac:dyDescent="0.25">
      <c r="A189" s="663" t="s">
        <v>74</v>
      </c>
      <c r="B189" s="658"/>
      <c r="C189" s="658"/>
      <c r="D189" s="658"/>
      <c r="E189" s="658"/>
      <c r="F189" s="658"/>
      <c r="G189" s="658"/>
      <c r="H189" s="658"/>
      <c r="I189" s="658"/>
      <c r="J189" s="658"/>
      <c r="K189" s="658"/>
      <c r="L189" s="658"/>
      <c r="M189" s="658"/>
      <c r="N189" s="658"/>
      <c r="O189" s="658"/>
      <c r="P189" s="658"/>
      <c r="Q189" s="658"/>
      <c r="R189" s="658"/>
      <c r="S189" s="658"/>
      <c r="T189" s="658"/>
      <c r="U189" s="658"/>
      <c r="V189" s="658"/>
      <c r="W189" s="658"/>
      <c r="X189" s="658"/>
      <c r="Y189" s="658"/>
      <c r="Z189" s="658"/>
      <c r="AA189" s="639"/>
      <c r="AB189" s="639"/>
      <c r="AC189" s="639"/>
    </row>
    <row r="190" spans="1:68" ht="16.5" hidden="1" customHeight="1" x14ac:dyDescent="0.25">
      <c r="A190" s="54" t="s">
        <v>318</v>
      </c>
      <c r="B190" s="54" t="s">
        <v>319</v>
      </c>
      <c r="C190" s="31">
        <v>4301052193</v>
      </c>
      <c r="D190" s="647">
        <v>4680115888395</v>
      </c>
      <c r="E190" s="648"/>
      <c r="F190" s="642">
        <v>0.42</v>
      </c>
      <c r="G190" s="32">
        <v>6</v>
      </c>
      <c r="H190" s="642">
        <v>2.52</v>
      </c>
      <c r="I190" s="64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87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3"/>
      <c r="R190" s="653"/>
      <c r="S190" s="653"/>
      <c r="T190" s="654"/>
      <c r="U190" s="34"/>
      <c r="V190" s="34"/>
      <c r="W190" s="35" t="s">
        <v>67</v>
      </c>
      <c r="X190" s="643">
        <v>0</v>
      </c>
      <c r="Y190" s="64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320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321</v>
      </c>
      <c r="B191" s="54" t="s">
        <v>322</v>
      </c>
      <c r="C191" s="31">
        <v>4301052191</v>
      </c>
      <c r="D191" s="647">
        <v>4680115888371</v>
      </c>
      <c r="E191" s="648"/>
      <c r="F191" s="642">
        <v>0.42</v>
      </c>
      <c r="G191" s="32">
        <v>6</v>
      </c>
      <c r="H191" s="642">
        <v>2.52</v>
      </c>
      <c r="I191" s="642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3"/>
      <c r="R191" s="653"/>
      <c r="S191" s="653"/>
      <c r="T191" s="654"/>
      <c r="U191" s="34"/>
      <c r="V191" s="34"/>
      <c r="W191" s="35" t="s">
        <v>67</v>
      </c>
      <c r="X191" s="643">
        <v>0</v>
      </c>
      <c r="Y191" s="6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323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324</v>
      </c>
      <c r="B192" s="54" t="s">
        <v>325</v>
      </c>
      <c r="C192" s="31">
        <v>4301052064</v>
      </c>
      <c r="D192" s="647">
        <v>4680115887459</v>
      </c>
      <c r="E192" s="648"/>
      <c r="F192" s="642">
        <v>0.3</v>
      </c>
      <c r="G192" s="32">
        <v>6</v>
      </c>
      <c r="H192" s="642">
        <v>1.8</v>
      </c>
      <c r="I192" s="642">
        <v>2.0579999999999998</v>
      </c>
      <c r="J192" s="32">
        <v>182</v>
      </c>
      <c r="K192" s="32" t="s">
        <v>77</v>
      </c>
      <c r="L192" s="32"/>
      <c r="M192" s="33" t="s">
        <v>78</v>
      </c>
      <c r="N192" s="33"/>
      <c r="O192" s="32">
        <v>45</v>
      </c>
      <c r="P192" s="7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53"/>
      <c r="R192" s="653"/>
      <c r="S192" s="653"/>
      <c r="T192" s="654"/>
      <c r="U192" s="34"/>
      <c r="V192" s="34"/>
      <c r="W192" s="35" t="s">
        <v>67</v>
      </c>
      <c r="X192" s="643">
        <v>0</v>
      </c>
      <c r="Y192" s="6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326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57"/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9"/>
      <c r="P193" s="649" t="s">
        <v>72</v>
      </c>
      <c r="Q193" s="650"/>
      <c r="R193" s="650"/>
      <c r="S193" s="650"/>
      <c r="T193" s="650"/>
      <c r="U193" s="650"/>
      <c r="V193" s="651"/>
      <c r="W193" s="37" t="s">
        <v>73</v>
      </c>
      <c r="X193" s="645">
        <f>IFERROR(X190/H190,"0")+IFERROR(X191/H191,"0")+IFERROR(X192/H192,"0")</f>
        <v>0</v>
      </c>
      <c r="Y193" s="645">
        <f>IFERROR(Y190/H190,"0")+IFERROR(Y191/H191,"0")+IFERROR(Y192/H192,"0")</f>
        <v>0</v>
      </c>
      <c r="Z193" s="645">
        <f>IFERROR(IF(Z190="",0,Z190),"0")+IFERROR(IF(Z191="",0,Z191),"0")+IFERROR(IF(Z192="",0,Z192),"0")</f>
        <v>0</v>
      </c>
      <c r="AA193" s="646"/>
      <c r="AB193" s="646"/>
      <c r="AC193" s="646"/>
    </row>
    <row r="194" spans="1:68" hidden="1" x14ac:dyDescent="0.2">
      <c r="A194" s="658"/>
      <c r="B194" s="658"/>
      <c r="C194" s="658"/>
      <c r="D194" s="658"/>
      <c r="E194" s="658"/>
      <c r="F194" s="658"/>
      <c r="G194" s="658"/>
      <c r="H194" s="658"/>
      <c r="I194" s="658"/>
      <c r="J194" s="658"/>
      <c r="K194" s="658"/>
      <c r="L194" s="658"/>
      <c r="M194" s="658"/>
      <c r="N194" s="658"/>
      <c r="O194" s="659"/>
      <c r="P194" s="649" t="s">
        <v>72</v>
      </c>
      <c r="Q194" s="650"/>
      <c r="R194" s="650"/>
      <c r="S194" s="650"/>
      <c r="T194" s="650"/>
      <c r="U194" s="650"/>
      <c r="V194" s="651"/>
      <c r="W194" s="37" t="s">
        <v>67</v>
      </c>
      <c r="X194" s="645">
        <f>IFERROR(SUM(X190:X192),"0")</f>
        <v>0</v>
      </c>
      <c r="Y194" s="645">
        <f>IFERROR(SUM(Y190:Y192),"0")</f>
        <v>0</v>
      </c>
      <c r="Z194" s="37"/>
      <c r="AA194" s="646"/>
      <c r="AB194" s="646"/>
      <c r="AC194" s="646"/>
    </row>
    <row r="195" spans="1:68" ht="14.25" hidden="1" customHeight="1" x14ac:dyDescent="0.25">
      <c r="A195" s="663" t="s">
        <v>267</v>
      </c>
      <c r="B195" s="658"/>
      <c r="C195" s="658"/>
      <c r="D195" s="658"/>
      <c r="E195" s="658"/>
      <c r="F195" s="658"/>
      <c r="G195" s="658"/>
      <c r="H195" s="658"/>
      <c r="I195" s="658"/>
      <c r="J195" s="658"/>
      <c r="K195" s="658"/>
      <c r="L195" s="658"/>
      <c r="M195" s="658"/>
      <c r="N195" s="658"/>
      <c r="O195" s="658"/>
      <c r="P195" s="658"/>
      <c r="Q195" s="658"/>
      <c r="R195" s="658"/>
      <c r="S195" s="658"/>
      <c r="T195" s="658"/>
      <c r="U195" s="658"/>
      <c r="V195" s="658"/>
      <c r="W195" s="658"/>
      <c r="X195" s="658"/>
      <c r="Y195" s="658"/>
      <c r="Z195" s="658"/>
      <c r="AA195" s="639"/>
      <c r="AB195" s="639"/>
      <c r="AC195" s="639"/>
    </row>
    <row r="196" spans="1:68" ht="16.5" hidden="1" customHeight="1" x14ac:dyDescent="0.25">
      <c r="A196" s="54" t="s">
        <v>327</v>
      </c>
      <c r="B196" s="54" t="s">
        <v>328</v>
      </c>
      <c r="C196" s="31">
        <v>4301032058</v>
      </c>
      <c r="D196" s="647">
        <v>4680115889026</v>
      </c>
      <c r="E196" s="648"/>
      <c r="F196" s="642">
        <v>0.06</v>
      </c>
      <c r="G196" s="32">
        <v>18</v>
      </c>
      <c r="H196" s="642">
        <v>1.08</v>
      </c>
      <c r="I196" s="642">
        <v>1.36</v>
      </c>
      <c r="J196" s="32">
        <v>216</v>
      </c>
      <c r="K196" s="32" t="s">
        <v>329</v>
      </c>
      <c r="L196" s="32"/>
      <c r="M196" s="33" t="s">
        <v>271</v>
      </c>
      <c r="N196" s="33"/>
      <c r="O196" s="32">
        <v>60</v>
      </c>
      <c r="P196" s="94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53"/>
      <c r="R196" s="653"/>
      <c r="S196" s="653"/>
      <c r="T196" s="654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330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57"/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9"/>
      <c r="P197" s="649" t="s">
        <v>72</v>
      </c>
      <c r="Q197" s="650"/>
      <c r="R197" s="650"/>
      <c r="S197" s="650"/>
      <c r="T197" s="650"/>
      <c r="U197" s="650"/>
      <c r="V197" s="651"/>
      <c r="W197" s="37" t="s">
        <v>73</v>
      </c>
      <c r="X197" s="645">
        <f>IFERROR(X196/H196,"0")</f>
        <v>0</v>
      </c>
      <c r="Y197" s="645">
        <f>IFERROR(Y196/H196,"0")</f>
        <v>0</v>
      </c>
      <c r="Z197" s="645">
        <f>IFERROR(IF(Z196="",0,Z196),"0")</f>
        <v>0</v>
      </c>
      <c r="AA197" s="646"/>
      <c r="AB197" s="646"/>
      <c r="AC197" s="646"/>
    </row>
    <row r="198" spans="1:68" hidden="1" x14ac:dyDescent="0.2">
      <c r="A198" s="658"/>
      <c r="B198" s="658"/>
      <c r="C198" s="658"/>
      <c r="D198" s="658"/>
      <c r="E198" s="658"/>
      <c r="F198" s="658"/>
      <c r="G198" s="658"/>
      <c r="H198" s="658"/>
      <c r="I198" s="658"/>
      <c r="J198" s="658"/>
      <c r="K198" s="658"/>
      <c r="L198" s="658"/>
      <c r="M198" s="658"/>
      <c r="N198" s="658"/>
      <c r="O198" s="659"/>
      <c r="P198" s="649" t="s">
        <v>72</v>
      </c>
      <c r="Q198" s="650"/>
      <c r="R198" s="650"/>
      <c r="S198" s="650"/>
      <c r="T198" s="650"/>
      <c r="U198" s="650"/>
      <c r="V198" s="651"/>
      <c r="W198" s="37" t="s">
        <v>67</v>
      </c>
      <c r="X198" s="645">
        <f>IFERROR(SUM(X196:X196),"0")</f>
        <v>0</v>
      </c>
      <c r="Y198" s="645">
        <f>IFERROR(SUM(Y196:Y196),"0")</f>
        <v>0</v>
      </c>
      <c r="Z198" s="37"/>
      <c r="AA198" s="646"/>
      <c r="AB198" s="646"/>
      <c r="AC198" s="646"/>
    </row>
    <row r="199" spans="1:68" ht="14.25" hidden="1" customHeight="1" x14ac:dyDescent="0.25">
      <c r="A199" s="663" t="s">
        <v>331</v>
      </c>
      <c r="B199" s="658"/>
      <c r="C199" s="658"/>
      <c r="D199" s="658"/>
      <c r="E199" s="658"/>
      <c r="F199" s="658"/>
      <c r="G199" s="658"/>
      <c r="H199" s="658"/>
      <c r="I199" s="658"/>
      <c r="J199" s="658"/>
      <c r="K199" s="658"/>
      <c r="L199" s="658"/>
      <c r="M199" s="658"/>
      <c r="N199" s="658"/>
      <c r="O199" s="658"/>
      <c r="P199" s="658"/>
      <c r="Q199" s="658"/>
      <c r="R199" s="658"/>
      <c r="S199" s="658"/>
      <c r="T199" s="658"/>
      <c r="U199" s="658"/>
      <c r="V199" s="658"/>
      <c r="W199" s="658"/>
      <c r="X199" s="658"/>
      <c r="Y199" s="658"/>
      <c r="Z199" s="658"/>
      <c r="AA199" s="639"/>
      <c r="AB199" s="639"/>
      <c r="AC199" s="639"/>
    </row>
    <row r="200" spans="1:68" ht="27" hidden="1" customHeight="1" x14ac:dyDescent="0.25">
      <c r="A200" s="54" t="s">
        <v>332</v>
      </c>
      <c r="B200" s="54" t="s">
        <v>333</v>
      </c>
      <c r="C200" s="31">
        <v>4301041009</v>
      </c>
      <c r="D200" s="647">
        <v>4680115889033</v>
      </c>
      <c r="E200" s="648"/>
      <c r="F200" s="642">
        <v>0.11</v>
      </c>
      <c r="G200" s="32">
        <v>15</v>
      </c>
      <c r="H200" s="642">
        <v>1.65</v>
      </c>
      <c r="I200" s="642">
        <v>1.9</v>
      </c>
      <c r="J200" s="32">
        <v>216</v>
      </c>
      <c r="K200" s="32" t="s">
        <v>329</v>
      </c>
      <c r="L200" s="32"/>
      <c r="M200" s="33" t="s">
        <v>271</v>
      </c>
      <c r="N200" s="33"/>
      <c r="O200" s="32">
        <v>60</v>
      </c>
      <c r="P200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3"/>
      <c r="R200" s="653"/>
      <c r="S200" s="653"/>
      <c r="T200" s="654"/>
      <c r="U200" s="34"/>
      <c r="V200" s="34"/>
      <c r="W200" s="35" t="s">
        <v>67</v>
      </c>
      <c r="X200" s="643">
        <v>0</v>
      </c>
      <c r="Y200" s="64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334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57"/>
      <c r="B201" s="658"/>
      <c r="C201" s="658"/>
      <c r="D201" s="658"/>
      <c r="E201" s="658"/>
      <c r="F201" s="658"/>
      <c r="G201" s="658"/>
      <c r="H201" s="658"/>
      <c r="I201" s="658"/>
      <c r="J201" s="658"/>
      <c r="K201" s="658"/>
      <c r="L201" s="658"/>
      <c r="M201" s="658"/>
      <c r="N201" s="658"/>
      <c r="O201" s="659"/>
      <c r="P201" s="649" t="s">
        <v>72</v>
      </c>
      <c r="Q201" s="650"/>
      <c r="R201" s="650"/>
      <c r="S201" s="650"/>
      <c r="T201" s="650"/>
      <c r="U201" s="650"/>
      <c r="V201" s="651"/>
      <c r="W201" s="37" t="s">
        <v>73</v>
      </c>
      <c r="X201" s="645">
        <f>IFERROR(X200/H200,"0")</f>
        <v>0</v>
      </c>
      <c r="Y201" s="645">
        <f>IFERROR(Y200/H200,"0")</f>
        <v>0</v>
      </c>
      <c r="Z201" s="645">
        <f>IFERROR(IF(Z200="",0,Z200),"0")</f>
        <v>0</v>
      </c>
      <c r="AA201" s="646"/>
      <c r="AB201" s="646"/>
      <c r="AC201" s="646"/>
    </row>
    <row r="202" spans="1:68" hidden="1" x14ac:dyDescent="0.2">
      <c r="A202" s="658"/>
      <c r="B202" s="658"/>
      <c r="C202" s="658"/>
      <c r="D202" s="658"/>
      <c r="E202" s="658"/>
      <c r="F202" s="658"/>
      <c r="G202" s="658"/>
      <c r="H202" s="658"/>
      <c r="I202" s="658"/>
      <c r="J202" s="658"/>
      <c r="K202" s="658"/>
      <c r="L202" s="658"/>
      <c r="M202" s="658"/>
      <c r="N202" s="658"/>
      <c r="O202" s="659"/>
      <c r="P202" s="649" t="s">
        <v>72</v>
      </c>
      <c r="Q202" s="650"/>
      <c r="R202" s="650"/>
      <c r="S202" s="650"/>
      <c r="T202" s="650"/>
      <c r="U202" s="650"/>
      <c r="V202" s="651"/>
      <c r="W202" s="37" t="s">
        <v>67</v>
      </c>
      <c r="X202" s="645">
        <f>IFERROR(SUM(X200:X200),"0")</f>
        <v>0</v>
      </c>
      <c r="Y202" s="645">
        <f>IFERROR(SUM(Y200:Y200),"0")</f>
        <v>0</v>
      </c>
      <c r="Z202" s="37"/>
      <c r="AA202" s="646"/>
      <c r="AB202" s="646"/>
      <c r="AC202" s="646"/>
    </row>
    <row r="203" spans="1:68" ht="27.75" hidden="1" customHeight="1" x14ac:dyDescent="0.2">
      <c r="A203" s="664" t="s">
        <v>335</v>
      </c>
      <c r="B203" s="665"/>
      <c r="C203" s="665"/>
      <c r="D203" s="665"/>
      <c r="E203" s="665"/>
      <c r="F203" s="665"/>
      <c r="G203" s="665"/>
      <c r="H203" s="665"/>
      <c r="I203" s="665"/>
      <c r="J203" s="665"/>
      <c r="K203" s="665"/>
      <c r="L203" s="665"/>
      <c r="M203" s="665"/>
      <c r="N203" s="665"/>
      <c r="O203" s="665"/>
      <c r="P203" s="665"/>
      <c r="Q203" s="665"/>
      <c r="R203" s="665"/>
      <c r="S203" s="665"/>
      <c r="T203" s="665"/>
      <c r="U203" s="665"/>
      <c r="V203" s="665"/>
      <c r="W203" s="665"/>
      <c r="X203" s="665"/>
      <c r="Y203" s="665"/>
      <c r="Z203" s="665"/>
      <c r="AA203" s="48"/>
      <c r="AB203" s="48"/>
      <c r="AC203" s="48"/>
    </row>
    <row r="204" spans="1:68" ht="16.5" hidden="1" customHeight="1" x14ac:dyDescent="0.25">
      <c r="A204" s="676" t="s">
        <v>336</v>
      </c>
      <c r="B204" s="658"/>
      <c r="C204" s="658"/>
      <c r="D204" s="658"/>
      <c r="E204" s="658"/>
      <c r="F204" s="658"/>
      <c r="G204" s="658"/>
      <c r="H204" s="658"/>
      <c r="I204" s="658"/>
      <c r="J204" s="658"/>
      <c r="K204" s="658"/>
      <c r="L204" s="658"/>
      <c r="M204" s="658"/>
      <c r="N204" s="658"/>
      <c r="O204" s="658"/>
      <c r="P204" s="658"/>
      <c r="Q204" s="658"/>
      <c r="R204" s="658"/>
      <c r="S204" s="658"/>
      <c r="T204" s="658"/>
      <c r="U204" s="658"/>
      <c r="V204" s="658"/>
      <c r="W204" s="658"/>
      <c r="X204" s="658"/>
      <c r="Y204" s="658"/>
      <c r="Z204" s="658"/>
      <c r="AA204" s="638"/>
      <c r="AB204" s="638"/>
      <c r="AC204" s="638"/>
    </row>
    <row r="205" spans="1:68" ht="14.25" hidden="1" customHeight="1" x14ac:dyDescent="0.25">
      <c r="A205" s="663" t="s">
        <v>111</v>
      </c>
      <c r="B205" s="658"/>
      <c r="C205" s="658"/>
      <c r="D205" s="658"/>
      <c r="E205" s="658"/>
      <c r="F205" s="658"/>
      <c r="G205" s="658"/>
      <c r="H205" s="658"/>
      <c r="I205" s="658"/>
      <c r="J205" s="658"/>
      <c r="K205" s="658"/>
      <c r="L205" s="658"/>
      <c r="M205" s="658"/>
      <c r="N205" s="658"/>
      <c r="O205" s="658"/>
      <c r="P205" s="658"/>
      <c r="Q205" s="658"/>
      <c r="R205" s="658"/>
      <c r="S205" s="658"/>
      <c r="T205" s="658"/>
      <c r="U205" s="658"/>
      <c r="V205" s="658"/>
      <c r="W205" s="658"/>
      <c r="X205" s="658"/>
      <c r="Y205" s="658"/>
      <c r="Z205" s="658"/>
      <c r="AA205" s="639"/>
      <c r="AB205" s="639"/>
      <c r="AC205" s="639"/>
    </row>
    <row r="206" spans="1:68" ht="27" hidden="1" customHeight="1" x14ac:dyDescent="0.25">
      <c r="A206" s="54" t="s">
        <v>337</v>
      </c>
      <c r="B206" s="54" t="s">
        <v>338</v>
      </c>
      <c r="C206" s="31">
        <v>4301011223</v>
      </c>
      <c r="D206" s="647">
        <v>4607091383423</v>
      </c>
      <c r="E206" s="648"/>
      <c r="F206" s="642">
        <v>1.35</v>
      </c>
      <c r="G206" s="32">
        <v>8</v>
      </c>
      <c r="H206" s="642">
        <v>10.8</v>
      </c>
      <c r="I206" s="64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70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3"/>
      <c r="R206" s="653"/>
      <c r="S206" s="653"/>
      <c r="T206" s="654"/>
      <c r="U206" s="34"/>
      <c r="V206" s="34"/>
      <c r="W206" s="35" t="s">
        <v>67</v>
      </c>
      <c r="X206" s="643">
        <v>0</v>
      </c>
      <c r="Y206" s="644">
        <f t="shared" ref="Y206:Y212" si="26">IFERROR(IF(X206="",0,CEILING((X206/$H206),1)*$H206),"")</f>
        <v>0</v>
      </c>
      <c r="Z206" s="36" t="str">
        <f t="shared" ref="Z206:Z212" si="27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8">IFERROR(X206*I206/H206,"0")</f>
        <v>0</v>
      </c>
      <c r="BN206" s="64">
        <f t="shared" ref="BN206:BN212" si="29">IFERROR(Y206*I206/H206,"0")</f>
        <v>0</v>
      </c>
      <c r="BO206" s="64">
        <f t="shared" ref="BO206:BO212" si="30">IFERROR(1/J206*(X206/H206),"0")</f>
        <v>0</v>
      </c>
      <c r="BP206" s="64">
        <f t="shared" ref="BP206:BP212" si="31">IFERROR(1/J206*(Y206/H206),"0")</f>
        <v>0</v>
      </c>
    </row>
    <row r="207" spans="1:68" ht="27" hidden="1" customHeight="1" x14ac:dyDescent="0.25">
      <c r="A207" s="54" t="s">
        <v>339</v>
      </c>
      <c r="B207" s="54" t="s">
        <v>340</v>
      </c>
      <c r="C207" s="31">
        <v>4301012340</v>
      </c>
      <c r="D207" s="647">
        <v>4680115888760</v>
      </c>
      <c r="E207" s="648"/>
      <c r="F207" s="642">
        <v>1.4</v>
      </c>
      <c r="G207" s="32">
        <v>6</v>
      </c>
      <c r="H207" s="642">
        <v>8.4</v>
      </c>
      <c r="I207" s="64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5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3"/>
      <c r="R207" s="653"/>
      <c r="S207" s="653"/>
      <c r="T207" s="654"/>
      <c r="U207" s="34"/>
      <c r="V207" s="34"/>
      <c r="W207" s="35" t="s">
        <v>67</v>
      </c>
      <c r="X207" s="643">
        <v>0</v>
      </c>
      <c r="Y207" s="644">
        <f t="shared" si="26"/>
        <v>0</v>
      </c>
      <c r="Z207" s="36" t="str">
        <f t="shared" si="27"/>
        <v/>
      </c>
      <c r="AA207" s="56"/>
      <c r="AB207" s="57"/>
      <c r="AC207" s="265" t="s">
        <v>341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342</v>
      </c>
      <c r="B208" s="54" t="s">
        <v>343</v>
      </c>
      <c r="C208" s="31">
        <v>4301012341</v>
      </c>
      <c r="D208" s="647">
        <v>4680115888807</v>
      </c>
      <c r="E208" s="648"/>
      <c r="F208" s="642">
        <v>1.4</v>
      </c>
      <c r="G208" s="32">
        <v>6</v>
      </c>
      <c r="H208" s="642">
        <v>8.4</v>
      </c>
      <c r="I208" s="64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3"/>
      <c r="R208" s="653"/>
      <c r="S208" s="653"/>
      <c r="T208" s="654"/>
      <c r="U208" s="34"/>
      <c r="V208" s="34"/>
      <c r="W208" s="35" t="s">
        <v>67</v>
      </c>
      <c r="X208" s="643">
        <v>0</v>
      </c>
      <c r="Y208" s="644">
        <f t="shared" si="26"/>
        <v>0</v>
      </c>
      <c r="Z208" s="36" t="str">
        <f t="shared" si="27"/>
        <v/>
      </c>
      <c r="AA208" s="56"/>
      <c r="AB208" s="57"/>
      <c r="AC208" s="267" t="s">
        <v>344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345</v>
      </c>
      <c r="B209" s="54" t="s">
        <v>346</v>
      </c>
      <c r="C209" s="31">
        <v>4301012342</v>
      </c>
      <c r="D209" s="647">
        <v>4680115888852</v>
      </c>
      <c r="E209" s="648"/>
      <c r="F209" s="642">
        <v>0.9</v>
      </c>
      <c r="G209" s="32">
        <v>6</v>
      </c>
      <c r="H209" s="642">
        <v>5.4</v>
      </c>
      <c r="I209" s="64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3"/>
      <c r="R209" s="653"/>
      <c r="S209" s="653"/>
      <c r="T209" s="654"/>
      <c r="U209" s="34"/>
      <c r="V209" s="34"/>
      <c r="W209" s="35" t="s">
        <v>67</v>
      </c>
      <c r="X209" s="643">
        <v>0</v>
      </c>
      <c r="Y209" s="644">
        <f t="shared" si="26"/>
        <v>0</v>
      </c>
      <c r="Z209" s="36" t="str">
        <f t="shared" si="27"/>
        <v/>
      </c>
      <c r="AA209" s="56"/>
      <c r="AB209" s="57"/>
      <c r="AC209" s="269" t="s">
        <v>347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t="37.5" hidden="1" customHeight="1" x14ac:dyDescent="0.25">
      <c r="A210" s="54" t="s">
        <v>348</v>
      </c>
      <c r="B210" s="54" t="s">
        <v>349</v>
      </c>
      <c r="C210" s="31">
        <v>4301012370</v>
      </c>
      <c r="D210" s="647">
        <v>4680115886957</v>
      </c>
      <c r="E210" s="648"/>
      <c r="F210" s="642">
        <v>1.35</v>
      </c>
      <c r="G210" s="32">
        <v>8</v>
      </c>
      <c r="H210" s="642">
        <v>10.8</v>
      </c>
      <c r="I210" s="64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75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3"/>
      <c r="R210" s="653"/>
      <c r="S210" s="653"/>
      <c r="T210" s="654"/>
      <c r="U210" s="34"/>
      <c r="V210" s="34"/>
      <c r="W210" s="35" t="s">
        <v>67</v>
      </c>
      <c r="X210" s="643">
        <v>0</v>
      </c>
      <c r="Y210" s="644">
        <f t="shared" si="26"/>
        <v>0</v>
      </c>
      <c r="Z210" s="36" t="str">
        <f t="shared" si="27"/>
        <v/>
      </c>
      <c r="AA210" s="56"/>
      <c r="AB210" s="57"/>
      <c r="AC210" s="271" t="s">
        <v>350</v>
      </c>
      <c r="AG210" s="64"/>
      <c r="AJ210" s="68"/>
      <c r="AK210" s="68">
        <v>0</v>
      </c>
      <c r="BB210" s="272" t="s">
        <v>1</v>
      </c>
      <c r="BM210" s="64">
        <f t="shared" si="28"/>
        <v>0</v>
      </c>
      <c r="BN210" s="64">
        <f t="shared" si="29"/>
        <v>0</v>
      </c>
      <c r="BO210" s="64">
        <f t="shared" si="30"/>
        <v>0</v>
      </c>
      <c r="BP210" s="64">
        <f t="shared" si="31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4301012098</v>
      </c>
      <c r="D211" s="647">
        <v>4680115885660</v>
      </c>
      <c r="E211" s="648"/>
      <c r="F211" s="642">
        <v>1.35</v>
      </c>
      <c r="G211" s="32">
        <v>8</v>
      </c>
      <c r="H211" s="642">
        <v>10.8</v>
      </c>
      <c r="I211" s="64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3"/>
      <c r="R211" s="653"/>
      <c r="S211" s="653"/>
      <c r="T211" s="654"/>
      <c r="U211" s="34"/>
      <c r="V211" s="34"/>
      <c r="W211" s="35" t="s">
        <v>67</v>
      </c>
      <c r="X211" s="643">
        <v>0</v>
      </c>
      <c r="Y211" s="644">
        <f t="shared" si="26"/>
        <v>0</v>
      </c>
      <c r="Z211" s="36" t="str">
        <f t="shared" si="27"/>
        <v/>
      </c>
      <c r="AA211" s="56"/>
      <c r="AB211" s="57"/>
      <c r="AC211" s="273" t="s">
        <v>353</v>
      </c>
      <c r="AG211" s="64"/>
      <c r="AJ211" s="68"/>
      <c r="AK211" s="68">
        <v>0</v>
      </c>
      <c r="BB211" s="274" t="s">
        <v>1</v>
      </c>
      <c r="BM211" s="64">
        <f t="shared" si="28"/>
        <v>0</v>
      </c>
      <c r="BN211" s="64">
        <f t="shared" si="29"/>
        <v>0</v>
      </c>
      <c r="BO211" s="64">
        <f t="shared" si="30"/>
        <v>0</v>
      </c>
      <c r="BP211" s="64">
        <f t="shared" si="31"/>
        <v>0</v>
      </c>
    </row>
    <row r="212" spans="1:68" ht="27" hidden="1" customHeight="1" x14ac:dyDescent="0.25">
      <c r="A212" s="54" t="s">
        <v>354</v>
      </c>
      <c r="B212" s="54" t="s">
        <v>355</v>
      </c>
      <c r="C212" s="31">
        <v>4301012369</v>
      </c>
      <c r="D212" s="647">
        <v>4680115886773</v>
      </c>
      <c r="E212" s="648"/>
      <c r="F212" s="642">
        <v>0.9</v>
      </c>
      <c r="G212" s="32">
        <v>10</v>
      </c>
      <c r="H212" s="642">
        <v>9</v>
      </c>
      <c r="I212" s="64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8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3"/>
      <c r="R212" s="653"/>
      <c r="S212" s="653"/>
      <c r="T212" s="654"/>
      <c r="U212" s="34"/>
      <c r="V212" s="34"/>
      <c r="W212" s="35" t="s">
        <v>67</v>
      </c>
      <c r="X212" s="643">
        <v>0</v>
      </c>
      <c r="Y212" s="644">
        <f t="shared" si="26"/>
        <v>0</v>
      </c>
      <c r="Z212" s="36" t="str">
        <f t="shared" si="27"/>
        <v/>
      </c>
      <c r="AA212" s="56"/>
      <c r="AB212" s="57"/>
      <c r="AC212" s="275" t="s">
        <v>356</v>
      </c>
      <c r="AG212" s="64"/>
      <c r="AJ212" s="68"/>
      <c r="AK212" s="68">
        <v>0</v>
      </c>
      <c r="BB212" s="276" t="s">
        <v>1</v>
      </c>
      <c r="BM212" s="64">
        <f t="shared" si="28"/>
        <v>0</v>
      </c>
      <c r="BN212" s="64">
        <f t="shared" si="29"/>
        <v>0</v>
      </c>
      <c r="BO212" s="64">
        <f t="shared" si="30"/>
        <v>0</v>
      </c>
      <c r="BP212" s="64">
        <f t="shared" si="31"/>
        <v>0</v>
      </c>
    </row>
    <row r="213" spans="1:68" hidden="1" x14ac:dyDescent="0.2">
      <c r="A213" s="657"/>
      <c r="B213" s="658"/>
      <c r="C213" s="658"/>
      <c r="D213" s="658"/>
      <c r="E213" s="658"/>
      <c r="F213" s="658"/>
      <c r="G213" s="658"/>
      <c r="H213" s="658"/>
      <c r="I213" s="658"/>
      <c r="J213" s="658"/>
      <c r="K213" s="658"/>
      <c r="L213" s="658"/>
      <c r="M213" s="658"/>
      <c r="N213" s="658"/>
      <c r="O213" s="659"/>
      <c r="P213" s="649" t="s">
        <v>72</v>
      </c>
      <c r="Q213" s="650"/>
      <c r="R213" s="650"/>
      <c r="S213" s="650"/>
      <c r="T213" s="650"/>
      <c r="U213" s="650"/>
      <c r="V213" s="651"/>
      <c r="W213" s="37" t="s">
        <v>73</v>
      </c>
      <c r="X213" s="645">
        <f>IFERROR(X206/H206,"0")+IFERROR(X207/H207,"0")+IFERROR(X208/H208,"0")+IFERROR(X209/H209,"0")+IFERROR(X210/H210,"0")+IFERROR(X211/H211,"0")+IFERROR(X212/H212,"0")</f>
        <v>0</v>
      </c>
      <c r="Y213" s="645">
        <f>IFERROR(Y206/H206,"0")+IFERROR(Y207/H207,"0")+IFERROR(Y208/H208,"0")+IFERROR(Y209/H209,"0")+IFERROR(Y210/H210,"0")+IFERROR(Y211/H211,"0")+IFERROR(Y212/H212,"0")</f>
        <v>0</v>
      </c>
      <c r="Z213" s="64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6"/>
      <c r="AB213" s="646"/>
      <c r="AC213" s="646"/>
    </row>
    <row r="214" spans="1:68" hidden="1" x14ac:dyDescent="0.2">
      <c r="A214" s="658"/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9"/>
      <c r="P214" s="649" t="s">
        <v>72</v>
      </c>
      <c r="Q214" s="650"/>
      <c r="R214" s="650"/>
      <c r="S214" s="650"/>
      <c r="T214" s="650"/>
      <c r="U214" s="650"/>
      <c r="V214" s="651"/>
      <c r="W214" s="37" t="s">
        <v>67</v>
      </c>
      <c r="X214" s="645">
        <f>IFERROR(SUM(X206:X212),"0")</f>
        <v>0</v>
      </c>
      <c r="Y214" s="645">
        <f>IFERROR(SUM(Y206:Y212),"0")</f>
        <v>0</v>
      </c>
      <c r="Z214" s="37"/>
      <c r="AA214" s="646"/>
      <c r="AB214" s="646"/>
      <c r="AC214" s="646"/>
    </row>
    <row r="215" spans="1:68" ht="16.5" hidden="1" customHeight="1" x14ac:dyDescent="0.25">
      <c r="A215" s="676" t="s">
        <v>357</v>
      </c>
      <c r="B215" s="658"/>
      <c r="C215" s="658"/>
      <c r="D215" s="658"/>
      <c r="E215" s="658"/>
      <c r="F215" s="658"/>
      <c r="G215" s="658"/>
      <c r="H215" s="658"/>
      <c r="I215" s="658"/>
      <c r="J215" s="658"/>
      <c r="K215" s="658"/>
      <c r="L215" s="658"/>
      <c r="M215" s="658"/>
      <c r="N215" s="658"/>
      <c r="O215" s="658"/>
      <c r="P215" s="658"/>
      <c r="Q215" s="658"/>
      <c r="R215" s="658"/>
      <c r="S215" s="658"/>
      <c r="T215" s="658"/>
      <c r="U215" s="658"/>
      <c r="V215" s="658"/>
      <c r="W215" s="658"/>
      <c r="X215" s="658"/>
      <c r="Y215" s="658"/>
      <c r="Z215" s="658"/>
      <c r="AA215" s="638"/>
      <c r="AB215" s="638"/>
      <c r="AC215" s="638"/>
    </row>
    <row r="216" spans="1:68" ht="14.25" hidden="1" customHeight="1" x14ac:dyDescent="0.25">
      <c r="A216" s="663" t="s">
        <v>148</v>
      </c>
      <c r="B216" s="658"/>
      <c r="C216" s="658"/>
      <c r="D216" s="658"/>
      <c r="E216" s="658"/>
      <c r="F216" s="658"/>
      <c r="G216" s="658"/>
      <c r="H216" s="658"/>
      <c r="I216" s="658"/>
      <c r="J216" s="658"/>
      <c r="K216" s="658"/>
      <c r="L216" s="658"/>
      <c r="M216" s="658"/>
      <c r="N216" s="658"/>
      <c r="O216" s="658"/>
      <c r="P216" s="658"/>
      <c r="Q216" s="658"/>
      <c r="R216" s="658"/>
      <c r="S216" s="658"/>
      <c r="T216" s="658"/>
      <c r="U216" s="658"/>
      <c r="V216" s="658"/>
      <c r="W216" s="658"/>
      <c r="X216" s="658"/>
      <c r="Y216" s="658"/>
      <c r="Z216" s="658"/>
      <c r="AA216" s="639"/>
      <c r="AB216" s="639"/>
      <c r="AC216" s="639"/>
    </row>
    <row r="217" spans="1:68" ht="27" hidden="1" customHeight="1" x14ac:dyDescent="0.25">
      <c r="A217" s="54" t="s">
        <v>358</v>
      </c>
      <c r="B217" s="54" t="s">
        <v>359</v>
      </c>
      <c r="C217" s="31">
        <v>4301020323</v>
      </c>
      <c r="D217" s="647">
        <v>4680115886223</v>
      </c>
      <c r="E217" s="648"/>
      <c r="F217" s="642">
        <v>0.33</v>
      </c>
      <c r="G217" s="32">
        <v>6</v>
      </c>
      <c r="H217" s="642">
        <v>1.98</v>
      </c>
      <c r="I217" s="64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6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3"/>
      <c r="R217" s="653"/>
      <c r="S217" s="653"/>
      <c r="T217" s="654"/>
      <c r="U217" s="34"/>
      <c r="V217" s="34"/>
      <c r="W217" s="35" t="s">
        <v>67</v>
      </c>
      <c r="X217" s="643">
        <v>0</v>
      </c>
      <c r="Y217" s="64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360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57"/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9"/>
      <c r="P218" s="649" t="s">
        <v>72</v>
      </c>
      <c r="Q218" s="650"/>
      <c r="R218" s="650"/>
      <c r="S218" s="650"/>
      <c r="T218" s="650"/>
      <c r="U218" s="650"/>
      <c r="V218" s="651"/>
      <c r="W218" s="37" t="s">
        <v>73</v>
      </c>
      <c r="X218" s="645">
        <f>IFERROR(X217/H217,"0")</f>
        <v>0</v>
      </c>
      <c r="Y218" s="645">
        <f>IFERROR(Y217/H217,"0")</f>
        <v>0</v>
      </c>
      <c r="Z218" s="645">
        <f>IFERROR(IF(Z217="",0,Z217),"0")</f>
        <v>0</v>
      </c>
      <c r="AA218" s="646"/>
      <c r="AB218" s="646"/>
      <c r="AC218" s="646"/>
    </row>
    <row r="219" spans="1:68" hidden="1" x14ac:dyDescent="0.2">
      <c r="A219" s="658"/>
      <c r="B219" s="658"/>
      <c r="C219" s="658"/>
      <c r="D219" s="658"/>
      <c r="E219" s="658"/>
      <c r="F219" s="658"/>
      <c r="G219" s="658"/>
      <c r="H219" s="658"/>
      <c r="I219" s="658"/>
      <c r="J219" s="658"/>
      <c r="K219" s="658"/>
      <c r="L219" s="658"/>
      <c r="M219" s="658"/>
      <c r="N219" s="658"/>
      <c r="O219" s="659"/>
      <c r="P219" s="649" t="s">
        <v>72</v>
      </c>
      <c r="Q219" s="650"/>
      <c r="R219" s="650"/>
      <c r="S219" s="650"/>
      <c r="T219" s="650"/>
      <c r="U219" s="650"/>
      <c r="V219" s="651"/>
      <c r="W219" s="37" t="s">
        <v>67</v>
      </c>
      <c r="X219" s="645">
        <f>IFERROR(SUM(X217:X217),"0")</f>
        <v>0</v>
      </c>
      <c r="Y219" s="645">
        <f>IFERROR(SUM(Y217:Y217),"0")</f>
        <v>0</v>
      </c>
      <c r="Z219" s="37"/>
      <c r="AA219" s="646"/>
      <c r="AB219" s="646"/>
      <c r="AC219" s="646"/>
    </row>
    <row r="220" spans="1:68" ht="14.25" hidden="1" customHeight="1" x14ac:dyDescent="0.25">
      <c r="A220" s="663" t="s">
        <v>62</v>
      </c>
      <c r="B220" s="658"/>
      <c r="C220" s="658"/>
      <c r="D220" s="658"/>
      <c r="E220" s="658"/>
      <c r="F220" s="658"/>
      <c r="G220" s="658"/>
      <c r="H220" s="658"/>
      <c r="I220" s="658"/>
      <c r="J220" s="658"/>
      <c r="K220" s="658"/>
      <c r="L220" s="658"/>
      <c r="M220" s="658"/>
      <c r="N220" s="658"/>
      <c r="O220" s="658"/>
      <c r="P220" s="658"/>
      <c r="Q220" s="658"/>
      <c r="R220" s="658"/>
      <c r="S220" s="658"/>
      <c r="T220" s="658"/>
      <c r="U220" s="658"/>
      <c r="V220" s="658"/>
      <c r="W220" s="658"/>
      <c r="X220" s="658"/>
      <c r="Y220" s="658"/>
      <c r="Z220" s="658"/>
      <c r="AA220" s="639"/>
      <c r="AB220" s="639"/>
      <c r="AC220" s="639"/>
    </row>
    <row r="221" spans="1:68" ht="27" customHeight="1" x14ac:dyDescent="0.25">
      <c r="A221" s="54" t="s">
        <v>361</v>
      </c>
      <c r="B221" s="54" t="s">
        <v>362</v>
      </c>
      <c r="C221" s="31">
        <v>4301031191</v>
      </c>
      <c r="D221" s="647">
        <v>4680115880993</v>
      </c>
      <c r="E221" s="648"/>
      <c r="F221" s="642">
        <v>0.7</v>
      </c>
      <c r="G221" s="32">
        <v>6</v>
      </c>
      <c r="H221" s="642">
        <v>4.2</v>
      </c>
      <c r="I221" s="64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3"/>
      <c r="R221" s="653"/>
      <c r="S221" s="653"/>
      <c r="T221" s="654"/>
      <c r="U221" s="34"/>
      <c r="V221" s="34"/>
      <c r="W221" s="35" t="s">
        <v>67</v>
      </c>
      <c r="X221" s="643">
        <v>80</v>
      </c>
      <c r="Y221" s="644">
        <f t="shared" ref="Y221:Y235" si="32">IFERROR(IF(X221="",0,CEILING((X221/$H221),1)*$H221),"")</f>
        <v>84</v>
      </c>
      <c r="Z221" s="36">
        <f>IFERROR(IF(Y221=0,"",ROUNDUP(Y221/H221,0)*0.00902),"")</f>
        <v>0.1804</v>
      </c>
      <c r="AA221" s="56"/>
      <c r="AB221" s="57"/>
      <c r="AC221" s="279" t="s">
        <v>363</v>
      </c>
      <c r="AG221" s="64"/>
      <c r="AJ221" s="68"/>
      <c r="AK221" s="68">
        <v>0</v>
      </c>
      <c r="BB221" s="280" t="s">
        <v>1</v>
      </c>
      <c r="BM221" s="64">
        <f t="shared" ref="BM221:BM235" si="33">IFERROR(X221*I221/H221,"0")</f>
        <v>84.761904761904759</v>
      </c>
      <c r="BN221" s="64">
        <f t="shared" ref="BN221:BN235" si="34">IFERROR(Y221*I221/H221,"0")</f>
        <v>89</v>
      </c>
      <c r="BO221" s="64">
        <f t="shared" ref="BO221:BO235" si="35">IFERROR(1/J221*(X221/H221),"0")</f>
        <v>0.14430014430014429</v>
      </c>
      <c r="BP221" s="64">
        <f t="shared" ref="BP221:BP235" si="36">IFERROR(1/J221*(Y221/H221),"0")</f>
        <v>0.15151515151515152</v>
      </c>
    </row>
    <row r="222" spans="1:68" ht="27" hidden="1" customHeight="1" x14ac:dyDescent="0.25">
      <c r="A222" s="54" t="s">
        <v>364</v>
      </c>
      <c r="B222" s="54" t="s">
        <v>365</v>
      </c>
      <c r="C222" s="31">
        <v>4301031204</v>
      </c>
      <c r="D222" s="647">
        <v>4680115881761</v>
      </c>
      <c r="E222" s="648"/>
      <c r="F222" s="642">
        <v>0.7</v>
      </c>
      <c r="G222" s="32">
        <v>6</v>
      </c>
      <c r="H222" s="642">
        <v>4.2</v>
      </c>
      <c r="I222" s="64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9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3"/>
      <c r="R222" s="653"/>
      <c r="S222" s="653"/>
      <c r="T222" s="654"/>
      <c r="U222" s="34"/>
      <c r="V222" s="34"/>
      <c r="W222" s="35" t="s">
        <v>67</v>
      </c>
      <c r="X222" s="643">
        <v>0</v>
      </c>
      <c r="Y222" s="644">
        <f t="shared" si="32"/>
        <v>0</v>
      </c>
      <c r="Z222" s="36" t="str">
        <f>IFERROR(IF(Y222=0,"",ROUNDUP(Y222/H222,0)*0.00902),"")</f>
        <v/>
      </c>
      <c r="AA222" s="56"/>
      <c r="AB222" s="57"/>
      <c r="AC222" s="281" t="s">
        <v>366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customHeight="1" x14ac:dyDescent="0.25">
      <c r="A223" s="54" t="s">
        <v>367</v>
      </c>
      <c r="B223" s="54" t="s">
        <v>368</v>
      </c>
      <c r="C223" s="31">
        <v>4301031201</v>
      </c>
      <c r="D223" s="647">
        <v>4680115881563</v>
      </c>
      <c r="E223" s="648"/>
      <c r="F223" s="642">
        <v>0.7</v>
      </c>
      <c r="G223" s="32">
        <v>6</v>
      </c>
      <c r="H223" s="642">
        <v>4.2</v>
      </c>
      <c r="I223" s="64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3"/>
      <c r="R223" s="653"/>
      <c r="S223" s="653"/>
      <c r="T223" s="654"/>
      <c r="U223" s="34"/>
      <c r="V223" s="34"/>
      <c r="W223" s="35" t="s">
        <v>67</v>
      </c>
      <c r="X223" s="643">
        <v>200</v>
      </c>
      <c r="Y223" s="644">
        <f t="shared" si="32"/>
        <v>201.60000000000002</v>
      </c>
      <c r="Z223" s="36">
        <f>IFERROR(IF(Y223=0,"",ROUNDUP(Y223/H223,0)*0.00902),"")</f>
        <v>0.43296000000000001</v>
      </c>
      <c r="AA223" s="56"/>
      <c r="AB223" s="57"/>
      <c r="AC223" s="283" t="s">
        <v>369</v>
      </c>
      <c r="AG223" s="64"/>
      <c r="AJ223" s="68"/>
      <c r="AK223" s="68">
        <v>0</v>
      </c>
      <c r="BB223" s="284" t="s">
        <v>1</v>
      </c>
      <c r="BM223" s="64">
        <f t="shared" si="33"/>
        <v>209.04761904761901</v>
      </c>
      <c r="BN223" s="64">
        <f t="shared" si="34"/>
        <v>210.72</v>
      </c>
      <c r="BO223" s="64">
        <f t="shared" si="35"/>
        <v>0.36075036075036077</v>
      </c>
      <c r="BP223" s="64">
        <f t="shared" si="36"/>
        <v>0.36363636363636365</v>
      </c>
    </row>
    <row r="224" spans="1:68" ht="37.5" customHeight="1" x14ac:dyDescent="0.25">
      <c r="A224" s="54" t="s">
        <v>370</v>
      </c>
      <c r="B224" s="54" t="s">
        <v>371</v>
      </c>
      <c r="C224" s="31">
        <v>4301031447</v>
      </c>
      <c r="D224" s="647">
        <v>4680115887565</v>
      </c>
      <c r="E224" s="648"/>
      <c r="F224" s="642">
        <v>0.08</v>
      </c>
      <c r="G224" s="32">
        <v>10</v>
      </c>
      <c r="H224" s="642">
        <v>0.8</v>
      </c>
      <c r="I224" s="64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3"/>
      <c r="R224" s="653"/>
      <c r="S224" s="653"/>
      <c r="T224" s="654"/>
      <c r="U224" s="34"/>
      <c r="V224" s="34"/>
      <c r="W224" s="35" t="s">
        <v>67</v>
      </c>
      <c r="X224" s="643">
        <v>3</v>
      </c>
      <c r="Y224" s="644">
        <f t="shared" si="32"/>
        <v>3.2</v>
      </c>
      <c r="Z224" s="36">
        <f>IFERROR(IF(Y224=0,"",ROUNDUP(Y224/H224,0)*0.00556),"")</f>
        <v>2.2239999999999999E-2</v>
      </c>
      <c r="AA224" s="56"/>
      <c r="AB224" s="57"/>
      <c r="AC224" s="285" t="s">
        <v>372</v>
      </c>
      <c r="AG224" s="64"/>
      <c r="AJ224" s="68"/>
      <c r="AK224" s="68">
        <v>0</v>
      </c>
      <c r="BB224" s="286" t="s">
        <v>1</v>
      </c>
      <c r="BM224" s="64">
        <f t="shared" si="33"/>
        <v>3.4874999999999998</v>
      </c>
      <c r="BN224" s="64">
        <f t="shared" si="34"/>
        <v>3.72</v>
      </c>
      <c r="BO224" s="64">
        <f t="shared" si="35"/>
        <v>1.488095238095238E-2</v>
      </c>
      <c r="BP224" s="64">
        <f t="shared" si="36"/>
        <v>1.5873015873015872E-2</v>
      </c>
    </row>
    <row r="225" spans="1:68" ht="27" customHeight="1" x14ac:dyDescent="0.25">
      <c r="A225" s="54" t="s">
        <v>373</v>
      </c>
      <c r="B225" s="54" t="s">
        <v>374</v>
      </c>
      <c r="C225" s="31">
        <v>4301031199</v>
      </c>
      <c r="D225" s="647">
        <v>4680115880986</v>
      </c>
      <c r="E225" s="648"/>
      <c r="F225" s="642">
        <v>0.35</v>
      </c>
      <c r="G225" s="32">
        <v>6</v>
      </c>
      <c r="H225" s="642">
        <v>2.1</v>
      </c>
      <c r="I225" s="64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3"/>
      <c r="R225" s="653"/>
      <c r="S225" s="653"/>
      <c r="T225" s="654"/>
      <c r="U225" s="34"/>
      <c r="V225" s="34"/>
      <c r="W225" s="35" t="s">
        <v>67</v>
      </c>
      <c r="X225" s="643">
        <v>21</v>
      </c>
      <c r="Y225" s="644">
        <f t="shared" si="32"/>
        <v>21</v>
      </c>
      <c r="Z225" s="36">
        <f t="shared" ref="Z225:Z230" si="37">IFERROR(IF(Y225=0,"",ROUNDUP(Y225/H225,0)*0.00502),"")</f>
        <v>5.0200000000000002E-2</v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33"/>
        <v>22.299999999999997</v>
      </c>
      <c r="BN225" s="64">
        <f t="shared" si="34"/>
        <v>22.299999999999997</v>
      </c>
      <c r="BO225" s="64">
        <f t="shared" si="35"/>
        <v>4.2735042735042736E-2</v>
      </c>
      <c r="BP225" s="64">
        <f t="shared" si="36"/>
        <v>4.2735042735042736E-2</v>
      </c>
    </row>
    <row r="226" spans="1:68" ht="27" hidden="1" customHeight="1" x14ac:dyDescent="0.25">
      <c r="A226" s="54" t="s">
        <v>375</v>
      </c>
      <c r="B226" s="54" t="s">
        <v>376</v>
      </c>
      <c r="C226" s="31">
        <v>4301031443</v>
      </c>
      <c r="D226" s="647">
        <v>4680115887213</v>
      </c>
      <c r="E226" s="648"/>
      <c r="F226" s="642">
        <v>0.3</v>
      </c>
      <c r="G226" s="32">
        <v>6</v>
      </c>
      <c r="H226" s="642">
        <v>1.8</v>
      </c>
      <c r="I226" s="64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2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3"/>
      <c r="R226" s="653"/>
      <c r="S226" s="653"/>
      <c r="T226" s="654"/>
      <c r="U226" s="34"/>
      <c r="V226" s="34"/>
      <c r="W226" s="35" t="s">
        <v>67</v>
      </c>
      <c r="X226" s="643">
        <v>0</v>
      </c>
      <c r="Y226" s="644">
        <f t="shared" si="32"/>
        <v>0</v>
      </c>
      <c r="Z226" s="36" t="str">
        <f t="shared" si="37"/>
        <v/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378</v>
      </c>
      <c r="B227" s="54" t="s">
        <v>379</v>
      </c>
      <c r="C227" s="31">
        <v>4301031205</v>
      </c>
      <c r="D227" s="647">
        <v>4680115881785</v>
      </c>
      <c r="E227" s="648"/>
      <c r="F227" s="642">
        <v>0.35</v>
      </c>
      <c r="G227" s="32">
        <v>6</v>
      </c>
      <c r="H227" s="642">
        <v>2.1</v>
      </c>
      <c r="I227" s="64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3"/>
      <c r="R227" s="653"/>
      <c r="S227" s="653"/>
      <c r="T227" s="654"/>
      <c r="U227" s="34"/>
      <c r="V227" s="34"/>
      <c r="W227" s="35" t="s">
        <v>67</v>
      </c>
      <c r="X227" s="643">
        <v>0</v>
      </c>
      <c r="Y227" s="644">
        <f t="shared" si="32"/>
        <v>0</v>
      </c>
      <c r="Z227" s="36" t="str">
        <f t="shared" si="37"/>
        <v/>
      </c>
      <c r="AA227" s="56"/>
      <c r="AB227" s="57"/>
      <c r="AC227" s="291" t="s">
        <v>366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380</v>
      </c>
      <c r="B228" s="54" t="s">
        <v>381</v>
      </c>
      <c r="C228" s="31">
        <v>4301031499</v>
      </c>
      <c r="D228" s="647">
        <v>4680115888432</v>
      </c>
      <c r="E228" s="648"/>
      <c r="F228" s="642">
        <v>0.3</v>
      </c>
      <c r="G228" s="32">
        <v>6</v>
      </c>
      <c r="H228" s="642">
        <v>1.8</v>
      </c>
      <c r="I228" s="64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9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3"/>
      <c r="R228" s="653"/>
      <c r="S228" s="653"/>
      <c r="T228" s="654"/>
      <c r="U228" s="34"/>
      <c r="V228" s="34"/>
      <c r="W228" s="35" t="s">
        <v>67</v>
      </c>
      <c r="X228" s="643">
        <v>0</v>
      </c>
      <c r="Y228" s="644">
        <f t="shared" si="32"/>
        <v>0</v>
      </c>
      <c r="Z228" s="36" t="str">
        <f t="shared" si="37"/>
        <v/>
      </c>
      <c r="AA228" s="56"/>
      <c r="AB228" s="57"/>
      <c r="AC228" s="293" t="s">
        <v>382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27" hidden="1" customHeight="1" x14ac:dyDescent="0.25">
      <c r="A229" s="54" t="s">
        <v>383</v>
      </c>
      <c r="B229" s="54" t="s">
        <v>384</v>
      </c>
      <c r="C229" s="31">
        <v>4301031427</v>
      </c>
      <c r="D229" s="647">
        <v>4680115888104</v>
      </c>
      <c r="E229" s="648"/>
      <c r="F229" s="642">
        <v>0.35</v>
      </c>
      <c r="G229" s="32">
        <v>6</v>
      </c>
      <c r="H229" s="642">
        <v>2.1</v>
      </c>
      <c r="I229" s="64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5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3"/>
      <c r="R229" s="653"/>
      <c r="S229" s="653"/>
      <c r="T229" s="654"/>
      <c r="U229" s="34"/>
      <c r="V229" s="34"/>
      <c r="W229" s="35" t="s">
        <v>67</v>
      </c>
      <c r="X229" s="643">
        <v>0</v>
      </c>
      <c r="Y229" s="644">
        <f t="shared" si="32"/>
        <v>0</v>
      </c>
      <c r="Z229" s="36" t="str">
        <f t="shared" si="37"/>
        <v/>
      </c>
      <c r="AA229" s="56"/>
      <c r="AB229" s="57"/>
      <c r="AC229" s="295" t="s">
        <v>385</v>
      </c>
      <c r="AG229" s="64"/>
      <c r="AJ229" s="68"/>
      <c r="AK229" s="68">
        <v>0</v>
      </c>
      <c r="BB229" s="296" t="s">
        <v>1</v>
      </c>
      <c r="BM229" s="64">
        <f t="shared" si="33"/>
        <v>0</v>
      </c>
      <c r="BN229" s="64">
        <f t="shared" si="34"/>
        <v>0</v>
      </c>
      <c r="BO229" s="64">
        <f t="shared" si="35"/>
        <v>0</v>
      </c>
      <c r="BP229" s="64">
        <f t="shared" si="36"/>
        <v>0</v>
      </c>
    </row>
    <row r="230" spans="1:68" ht="27" customHeight="1" x14ac:dyDescent="0.25">
      <c r="A230" s="54" t="s">
        <v>386</v>
      </c>
      <c r="B230" s="54" t="s">
        <v>387</v>
      </c>
      <c r="C230" s="31">
        <v>4301031503</v>
      </c>
      <c r="D230" s="647">
        <v>4680115886537</v>
      </c>
      <c r="E230" s="648"/>
      <c r="F230" s="642">
        <v>0.3</v>
      </c>
      <c r="G230" s="32">
        <v>6</v>
      </c>
      <c r="H230" s="642">
        <v>1.8</v>
      </c>
      <c r="I230" s="64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82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3"/>
      <c r="R230" s="653"/>
      <c r="S230" s="653"/>
      <c r="T230" s="654"/>
      <c r="U230" s="34"/>
      <c r="V230" s="34"/>
      <c r="W230" s="35" t="s">
        <v>67</v>
      </c>
      <c r="X230" s="643">
        <v>15</v>
      </c>
      <c r="Y230" s="644">
        <f t="shared" si="32"/>
        <v>16.2</v>
      </c>
      <c r="Z230" s="36">
        <f t="shared" si="37"/>
        <v>4.5179999999999998E-2</v>
      </c>
      <c r="AA230" s="56"/>
      <c r="AB230" s="57"/>
      <c r="AC230" s="297" t="s">
        <v>388</v>
      </c>
      <c r="AG230" s="64"/>
      <c r="AJ230" s="68"/>
      <c r="AK230" s="68">
        <v>0</v>
      </c>
      <c r="BB230" s="298" t="s">
        <v>1</v>
      </c>
      <c r="BM230" s="64">
        <f t="shared" si="33"/>
        <v>16.083333333333332</v>
      </c>
      <c r="BN230" s="64">
        <f t="shared" si="34"/>
        <v>17.369999999999997</v>
      </c>
      <c r="BO230" s="64">
        <f t="shared" si="35"/>
        <v>3.561253561253562E-2</v>
      </c>
      <c r="BP230" s="64">
        <f t="shared" si="36"/>
        <v>3.8461538461538464E-2</v>
      </c>
    </row>
    <row r="231" spans="1:68" ht="27" customHeight="1" x14ac:dyDescent="0.25">
      <c r="A231" s="54" t="s">
        <v>389</v>
      </c>
      <c r="B231" s="54" t="s">
        <v>390</v>
      </c>
      <c r="C231" s="31">
        <v>4301031279</v>
      </c>
      <c r="D231" s="647">
        <v>4680115887596</v>
      </c>
      <c r="E231" s="648"/>
      <c r="F231" s="642">
        <v>0.08</v>
      </c>
      <c r="G231" s="32">
        <v>10</v>
      </c>
      <c r="H231" s="642">
        <v>0.8</v>
      </c>
      <c r="I231" s="64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6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3"/>
      <c r="R231" s="653"/>
      <c r="S231" s="653"/>
      <c r="T231" s="654"/>
      <c r="U231" s="34"/>
      <c r="V231" s="34"/>
      <c r="W231" s="35" t="s">
        <v>67</v>
      </c>
      <c r="X231" s="643">
        <v>3</v>
      </c>
      <c r="Y231" s="644">
        <f t="shared" si="32"/>
        <v>3.2</v>
      </c>
      <c r="Z231" s="36">
        <f>IFERROR(IF(Y231=0,"",ROUNDUP(Y231/H231,0)*0.00417),"")</f>
        <v>1.668E-2</v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3"/>
        <v>3.7875000000000001</v>
      </c>
      <c r="BN231" s="64">
        <f t="shared" si="34"/>
        <v>4.04</v>
      </c>
      <c r="BO231" s="64">
        <f t="shared" si="35"/>
        <v>1.1160714285714284E-2</v>
      </c>
      <c r="BP231" s="64">
        <f t="shared" si="36"/>
        <v>1.1904761904761904E-2</v>
      </c>
    </row>
    <row r="232" spans="1:68" ht="37.5" customHeight="1" x14ac:dyDescent="0.25">
      <c r="A232" s="54" t="s">
        <v>392</v>
      </c>
      <c r="B232" s="54" t="s">
        <v>393</v>
      </c>
      <c r="C232" s="31">
        <v>4301031530</v>
      </c>
      <c r="D232" s="647">
        <v>4680115881679</v>
      </c>
      <c r="E232" s="648"/>
      <c r="F232" s="642">
        <v>0.35</v>
      </c>
      <c r="G232" s="32">
        <v>6</v>
      </c>
      <c r="H232" s="642">
        <v>2.1</v>
      </c>
      <c r="I232" s="64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45</v>
      </c>
      <c r="P232" s="86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53"/>
      <c r="R232" s="653"/>
      <c r="S232" s="653"/>
      <c r="T232" s="654"/>
      <c r="U232" s="34"/>
      <c r="V232" s="34"/>
      <c r="W232" s="35" t="s">
        <v>67</v>
      </c>
      <c r="X232" s="643">
        <v>98</v>
      </c>
      <c r="Y232" s="644">
        <f t="shared" si="32"/>
        <v>98.7</v>
      </c>
      <c r="Z232" s="36">
        <f>IFERROR(IF(Y232=0,"",ROUNDUP(Y232/H232,0)*0.00502),"")</f>
        <v>0.23594000000000001</v>
      </c>
      <c r="AA232" s="56"/>
      <c r="AB232" s="57"/>
      <c r="AC232" s="301" t="s">
        <v>369</v>
      </c>
      <c r="AG232" s="64"/>
      <c r="AJ232" s="68"/>
      <c r="AK232" s="68">
        <v>0</v>
      </c>
      <c r="BB232" s="302" t="s">
        <v>1</v>
      </c>
      <c r="BM232" s="64">
        <f t="shared" si="33"/>
        <v>102.66666666666667</v>
      </c>
      <c r="BN232" s="64">
        <f t="shared" si="34"/>
        <v>103.4</v>
      </c>
      <c r="BO232" s="64">
        <f t="shared" si="35"/>
        <v>0.19943019943019943</v>
      </c>
      <c r="BP232" s="64">
        <f t="shared" si="36"/>
        <v>0.20085470085470086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4301031158</v>
      </c>
      <c r="D233" s="647">
        <v>4680115880191</v>
      </c>
      <c r="E233" s="648"/>
      <c r="F233" s="642">
        <v>0.4</v>
      </c>
      <c r="G233" s="32">
        <v>6</v>
      </c>
      <c r="H233" s="642">
        <v>2.4</v>
      </c>
      <c r="I233" s="64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7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3"/>
      <c r="R233" s="653"/>
      <c r="S233" s="653"/>
      <c r="T233" s="654"/>
      <c r="U233" s="34"/>
      <c r="V233" s="34"/>
      <c r="W233" s="35" t="s">
        <v>67</v>
      </c>
      <c r="X233" s="643">
        <v>0</v>
      </c>
      <c r="Y233" s="644">
        <f t="shared" si="32"/>
        <v>0</v>
      </c>
      <c r="Z233" s="36" t="str">
        <f>IFERROR(IF(Y233=0,"",ROUNDUP(Y233/H233,0)*0.00651),"")</f>
        <v/>
      </c>
      <c r="AA233" s="56"/>
      <c r="AB233" s="57"/>
      <c r="AC233" s="303" t="s">
        <v>369</v>
      </c>
      <c r="AG233" s="64"/>
      <c r="AJ233" s="68"/>
      <c r="AK233" s="68">
        <v>0</v>
      </c>
      <c r="BB233" s="304" t="s">
        <v>1</v>
      </c>
      <c r="BM233" s="64">
        <f t="shared" si="33"/>
        <v>0</v>
      </c>
      <c r="BN233" s="64">
        <f t="shared" si="34"/>
        <v>0</v>
      </c>
      <c r="BO233" s="64">
        <f t="shared" si="35"/>
        <v>0</v>
      </c>
      <c r="BP233" s="64">
        <f t="shared" si="36"/>
        <v>0</v>
      </c>
    </row>
    <row r="234" spans="1:68" ht="27" hidden="1" customHeight="1" x14ac:dyDescent="0.25">
      <c r="A234" s="54" t="s">
        <v>394</v>
      </c>
      <c r="B234" s="54" t="s">
        <v>396</v>
      </c>
      <c r="C234" s="31">
        <v>4301031531</v>
      </c>
      <c r="D234" s="647">
        <v>4680115880191</v>
      </c>
      <c r="E234" s="648"/>
      <c r="F234" s="642">
        <v>0.4</v>
      </c>
      <c r="G234" s="32">
        <v>6</v>
      </c>
      <c r="H234" s="642">
        <v>2.4</v>
      </c>
      <c r="I234" s="642">
        <v>2.58</v>
      </c>
      <c r="J234" s="32">
        <v>182</v>
      </c>
      <c r="K234" s="32" t="s">
        <v>77</v>
      </c>
      <c r="L234" s="32"/>
      <c r="M234" s="33" t="s">
        <v>66</v>
      </c>
      <c r="N234" s="33"/>
      <c r="O234" s="32">
        <v>45</v>
      </c>
      <c r="P234" s="71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53"/>
      <c r="R234" s="653"/>
      <c r="S234" s="653"/>
      <c r="T234" s="654"/>
      <c r="U234" s="34"/>
      <c r="V234" s="34"/>
      <c r="W234" s="35" t="s">
        <v>67</v>
      </c>
      <c r="X234" s="643">
        <v>0</v>
      </c>
      <c r="Y234" s="644">
        <f t="shared" si="32"/>
        <v>0</v>
      </c>
      <c r="Z234" s="36" t="str">
        <f>IFERROR(IF(Y234=0,"",ROUNDUP(Y234/H234,0)*0.00651),"")</f>
        <v/>
      </c>
      <c r="AA234" s="56"/>
      <c r="AB234" s="57"/>
      <c r="AC234" s="305" t="s">
        <v>369</v>
      </c>
      <c r="AG234" s="64"/>
      <c r="AJ234" s="68"/>
      <c r="AK234" s="68">
        <v>0</v>
      </c>
      <c r="BB234" s="306" t="s">
        <v>1</v>
      </c>
      <c r="BM234" s="64">
        <f t="shared" si="33"/>
        <v>0</v>
      </c>
      <c r="BN234" s="64">
        <f t="shared" si="34"/>
        <v>0</v>
      </c>
      <c r="BO234" s="64">
        <f t="shared" si="35"/>
        <v>0</v>
      </c>
      <c r="BP234" s="64">
        <f t="shared" si="36"/>
        <v>0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4301031245</v>
      </c>
      <c r="D235" s="647">
        <v>4680115883963</v>
      </c>
      <c r="E235" s="648"/>
      <c r="F235" s="642">
        <v>0.28000000000000003</v>
      </c>
      <c r="G235" s="32">
        <v>6</v>
      </c>
      <c r="H235" s="642">
        <v>1.68</v>
      </c>
      <c r="I235" s="642">
        <v>1.78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5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53"/>
      <c r="R235" s="653"/>
      <c r="S235" s="653"/>
      <c r="T235" s="654"/>
      <c r="U235" s="34"/>
      <c r="V235" s="34"/>
      <c r="W235" s="35" t="s">
        <v>67</v>
      </c>
      <c r="X235" s="643">
        <v>0</v>
      </c>
      <c r="Y235" s="644">
        <f t="shared" si="32"/>
        <v>0</v>
      </c>
      <c r="Z235" s="36" t="str">
        <f>IFERROR(IF(Y235=0,"",ROUNDUP(Y235/H235,0)*0.00502),"")</f>
        <v/>
      </c>
      <c r="AA235" s="56"/>
      <c r="AB235" s="57"/>
      <c r="AC235" s="307" t="s">
        <v>399</v>
      </c>
      <c r="AG235" s="64"/>
      <c r="AJ235" s="68"/>
      <c r="AK235" s="68">
        <v>0</v>
      </c>
      <c r="BB235" s="308" t="s">
        <v>1</v>
      </c>
      <c r="BM235" s="64">
        <f t="shared" si="33"/>
        <v>0</v>
      </c>
      <c r="BN235" s="64">
        <f t="shared" si="34"/>
        <v>0</v>
      </c>
      <c r="BO235" s="64">
        <f t="shared" si="35"/>
        <v>0</v>
      </c>
      <c r="BP235" s="64">
        <f t="shared" si="36"/>
        <v>0</v>
      </c>
    </row>
    <row r="236" spans="1:68" x14ac:dyDescent="0.2">
      <c r="A236" s="657"/>
      <c r="B236" s="658"/>
      <c r="C236" s="658"/>
      <c r="D236" s="658"/>
      <c r="E236" s="658"/>
      <c r="F236" s="658"/>
      <c r="G236" s="658"/>
      <c r="H236" s="658"/>
      <c r="I236" s="658"/>
      <c r="J236" s="658"/>
      <c r="K236" s="658"/>
      <c r="L236" s="658"/>
      <c r="M236" s="658"/>
      <c r="N236" s="658"/>
      <c r="O236" s="659"/>
      <c r="P236" s="649" t="s">
        <v>72</v>
      </c>
      <c r="Q236" s="650"/>
      <c r="R236" s="650"/>
      <c r="S236" s="650"/>
      <c r="T236" s="650"/>
      <c r="U236" s="650"/>
      <c r="V236" s="651"/>
      <c r="W236" s="37" t="s">
        <v>73</v>
      </c>
      <c r="X236" s="64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139.16666666666666</v>
      </c>
      <c r="Y236" s="64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142</v>
      </c>
      <c r="Z236" s="64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0.98360000000000014</v>
      </c>
      <c r="AA236" s="646"/>
      <c r="AB236" s="646"/>
      <c r="AC236" s="646"/>
    </row>
    <row r="237" spans="1:68" x14ac:dyDescent="0.2">
      <c r="A237" s="658"/>
      <c r="B237" s="658"/>
      <c r="C237" s="658"/>
      <c r="D237" s="658"/>
      <c r="E237" s="658"/>
      <c r="F237" s="658"/>
      <c r="G237" s="658"/>
      <c r="H237" s="658"/>
      <c r="I237" s="658"/>
      <c r="J237" s="658"/>
      <c r="K237" s="658"/>
      <c r="L237" s="658"/>
      <c r="M237" s="658"/>
      <c r="N237" s="658"/>
      <c r="O237" s="659"/>
      <c r="P237" s="649" t="s">
        <v>72</v>
      </c>
      <c r="Q237" s="650"/>
      <c r="R237" s="650"/>
      <c r="S237" s="650"/>
      <c r="T237" s="650"/>
      <c r="U237" s="650"/>
      <c r="V237" s="651"/>
      <c r="W237" s="37" t="s">
        <v>67</v>
      </c>
      <c r="X237" s="645">
        <f>IFERROR(SUM(X221:X235),"0")</f>
        <v>420</v>
      </c>
      <c r="Y237" s="645">
        <f>IFERROR(SUM(Y221:Y235),"0")</f>
        <v>427.9</v>
      </c>
      <c r="Z237" s="37"/>
      <c r="AA237" s="646"/>
      <c r="AB237" s="646"/>
      <c r="AC237" s="646"/>
    </row>
    <row r="238" spans="1:68" ht="14.25" hidden="1" customHeight="1" x14ac:dyDescent="0.25">
      <c r="A238" s="663" t="s">
        <v>74</v>
      </c>
      <c r="B238" s="658"/>
      <c r="C238" s="658"/>
      <c r="D238" s="658"/>
      <c r="E238" s="658"/>
      <c r="F238" s="658"/>
      <c r="G238" s="658"/>
      <c r="H238" s="658"/>
      <c r="I238" s="658"/>
      <c r="J238" s="658"/>
      <c r="K238" s="658"/>
      <c r="L238" s="658"/>
      <c r="M238" s="658"/>
      <c r="N238" s="658"/>
      <c r="O238" s="658"/>
      <c r="P238" s="658"/>
      <c r="Q238" s="658"/>
      <c r="R238" s="658"/>
      <c r="S238" s="658"/>
      <c r="T238" s="658"/>
      <c r="U238" s="658"/>
      <c r="V238" s="658"/>
      <c r="W238" s="658"/>
      <c r="X238" s="658"/>
      <c r="Y238" s="658"/>
      <c r="Z238" s="658"/>
      <c r="AA238" s="639"/>
      <c r="AB238" s="639"/>
      <c r="AC238" s="639"/>
    </row>
    <row r="239" spans="1:68" ht="16.5" hidden="1" customHeight="1" x14ac:dyDescent="0.25">
      <c r="A239" s="54" t="s">
        <v>400</v>
      </c>
      <c r="B239" s="54" t="s">
        <v>401</v>
      </c>
      <c r="C239" s="31">
        <v>4301052209</v>
      </c>
      <c r="D239" s="647">
        <v>4680115888692</v>
      </c>
      <c r="E239" s="648"/>
      <c r="F239" s="642">
        <v>0.8</v>
      </c>
      <c r="G239" s="32">
        <v>6</v>
      </c>
      <c r="H239" s="642">
        <v>4.8</v>
      </c>
      <c r="I239" s="64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53"/>
      <c r="R239" s="653"/>
      <c r="S239" s="653"/>
      <c r="T239" s="654"/>
      <c r="U239" s="34"/>
      <c r="V239" s="34"/>
      <c r="W239" s="35" t="s">
        <v>67</v>
      </c>
      <c r="X239" s="643">
        <v>0</v>
      </c>
      <c r="Y239" s="644">
        <f t="shared" ref="Y239:Y247" si="38"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402</v>
      </c>
      <c r="AG239" s="64"/>
      <c r="AJ239" s="68"/>
      <c r="AK239" s="68">
        <v>0</v>
      </c>
      <c r="BB239" s="310" t="s">
        <v>1</v>
      </c>
      <c r="BM239" s="64">
        <f t="shared" ref="BM239:BM247" si="39">IFERROR(X239*I239/H239,"0")</f>
        <v>0</v>
      </c>
      <c r="BN239" s="64">
        <f t="shared" ref="BN239:BN247" si="40">IFERROR(Y239*I239/H239,"0")</f>
        <v>0</v>
      </c>
      <c r="BO239" s="64">
        <f t="shared" ref="BO239:BO247" si="41">IFERROR(1/J239*(X239/H239),"0")</f>
        <v>0</v>
      </c>
      <c r="BP239" s="64">
        <f t="shared" ref="BP239:BP247" si="42">IFERROR(1/J239*(Y239/H239),"0")</f>
        <v>0</v>
      </c>
    </row>
    <row r="240" spans="1:68" ht="16.5" hidden="1" customHeight="1" x14ac:dyDescent="0.25">
      <c r="A240" s="54" t="s">
        <v>400</v>
      </c>
      <c r="B240" s="54" t="s">
        <v>403</v>
      </c>
      <c r="C240" s="31">
        <v>4301052279</v>
      </c>
      <c r="D240" s="647">
        <v>4680115888692</v>
      </c>
      <c r="E240" s="648"/>
      <c r="F240" s="642">
        <v>0.8</v>
      </c>
      <c r="G240" s="32">
        <v>6</v>
      </c>
      <c r="H240" s="642">
        <v>4.8</v>
      </c>
      <c r="I240" s="642">
        <v>5.2220000000000004</v>
      </c>
      <c r="J240" s="32">
        <v>104</v>
      </c>
      <c r="K240" s="32" t="s">
        <v>114</v>
      </c>
      <c r="L240" s="32"/>
      <c r="M240" s="33" t="s">
        <v>84</v>
      </c>
      <c r="N240" s="33"/>
      <c r="O240" s="32">
        <v>40</v>
      </c>
      <c r="P240" s="74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4"/>
      <c r="V240" s="34"/>
      <c r="W240" s="35" t="s">
        <v>67</v>
      </c>
      <c r="X240" s="643">
        <v>0</v>
      </c>
      <c r="Y240" s="644">
        <f t="shared" si="38"/>
        <v>0</v>
      </c>
      <c r="Z240" s="36" t="str">
        <f>IFERROR(IF(Y240=0,"",ROUNDUP(Y240/H240,0)*0.01196),"")</f>
        <v/>
      </c>
      <c r="AA240" s="56"/>
      <c r="AB240" s="57"/>
      <c r="AC240" s="311" t="s">
        <v>404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405</v>
      </c>
      <c r="B241" s="54" t="s">
        <v>406</v>
      </c>
      <c r="C241" s="31">
        <v>4301052213</v>
      </c>
      <c r="D241" s="647">
        <v>4680115888722</v>
      </c>
      <c r="E241" s="648"/>
      <c r="F241" s="642">
        <v>0.8</v>
      </c>
      <c r="G241" s="32">
        <v>6</v>
      </c>
      <c r="H241" s="642">
        <v>4.8</v>
      </c>
      <c r="I241" s="642">
        <v>5.2220000000000004</v>
      </c>
      <c r="J241" s="32">
        <v>104</v>
      </c>
      <c r="K241" s="32" t="s">
        <v>114</v>
      </c>
      <c r="L241" s="32"/>
      <c r="M241" s="33" t="s">
        <v>84</v>
      </c>
      <c r="N241" s="33"/>
      <c r="O241" s="32">
        <v>35</v>
      </c>
      <c r="P241" s="93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4"/>
      <c r="V241" s="34"/>
      <c r="W241" s="35" t="s">
        <v>67</v>
      </c>
      <c r="X241" s="643">
        <v>0</v>
      </c>
      <c r="Y241" s="644">
        <f t="shared" si="38"/>
        <v>0</v>
      </c>
      <c r="Z241" s="36" t="str">
        <f>IFERROR(IF(Y241=0,"",ROUNDUP(Y241/H241,0)*0.01196),"")</f>
        <v/>
      </c>
      <c r="AA241" s="56"/>
      <c r="AB241" s="57"/>
      <c r="AC241" s="313" t="s">
        <v>407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405</v>
      </c>
      <c r="B242" s="54" t="s">
        <v>408</v>
      </c>
      <c r="C242" s="31">
        <v>4301052280</v>
      </c>
      <c r="D242" s="647">
        <v>4680115888722</v>
      </c>
      <c r="E242" s="648"/>
      <c r="F242" s="642">
        <v>0.8</v>
      </c>
      <c r="G242" s="32">
        <v>6</v>
      </c>
      <c r="H242" s="642">
        <v>4.8</v>
      </c>
      <c r="I242" s="642">
        <v>5.2220000000000004</v>
      </c>
      <c r="J242" s="32">
        <v>104</v>
      </c>
      <c r="K242" s="32" t="s">
        <v>114</v>
      </c>
      <c r="L242" s="32"/>
      <c r="M242" s="33" t="s">
        <v>84</v>
      </c>
      <c r="N242" s="33"/>
      <c r="O242" s="32">
        <v>40</v>
      </c>
      <c r="P242" s="7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53"/>
      <c r="R242" s="653"/>
      <c r="S242" s="653"/>
      <c r="T242" s="654"/>
      <c r="U242" s="34"/>
      <c r="V242" s="34"/>
      <c r="W242" s="35" t="s">
        <v>67</v>
      </c>
      <c r="X242" s="643">
        <v>0</v>
      </c>
      <c r="Y242" s="644">
        <f t="shared" si="38"/>
        <v>0</v>
      </c>
      <c r="Z242" s="36" t="str">
        <f>IFERROR(IF(Y242=0,"",ROUNDUP(Y242/H242,0)*0.01196),"")</f>
        <v/>
      </c>
      <c r="AA242" s="56"/>
      <c r="AB242" s="57"/>
      <c r="AC242" s="315" t="s">
        <v>409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410</v>
      </c>
      <c r="B243" s="54" t="s">
        <v>411</v>
      </c>
      <c r="C243" s="31">
        <v>4301052177</v>
      </c>
      <c r="D243" s="647">
        <v>4680115888951</v>
      </c>
      <c r="E243" s="648"/>
      <c r="F243" s="642">
        <v>0.36</v>
      </c>
      <c r="G243" s="32">
        <v>6</v>
      </c>
      <c r="H243" s="642">
        <v>2.16</v>
      </c>
      <c r="I243" s="642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9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53"/>
      <c r="R243" s="653"/>
      <c r="S243" s="653"/>
      <c r="T243" s="654"/>
      <c r="U243" s="34"/>
      <c r="V243" s="34"/>
      <c r="W243" s="35" t="s">
        <v>67</v>
      </c>
      <c r="X243" s="643">
        <v>0</v>
      </c>
      <c r="Y243" s="644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412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410</v>
      </c>
      <c r="B244" s="54" t="s">
        <v>413</v>
      </c>
      <c r="C244" s="31">
        <v>4301052276</v>
      </c>
      <c r="D244" s="647">
        <v>4680115888951</v>
      </c>
      <c r="E244" s="648"/>
      <c r="F244" s="642">
        <v>0.36</v>
      </c>
      <c r="G244" s="32">
        <v>6</v>
      </c>
      <c r="H244" s="642">
        <v>2.16</v>
      </c>
      <c r="I244" s="642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53"/>
      <c r="R244" s="653"/>
      <c r="S244" s="653"/>
      <c r="T244" s="654"/>
      <c r="U244" s="34"/>
      <c r="V244" s="34"/>
      <c r="W244" s="35" t="s">
        <v>67</v>
      </c>
      <c r="X244" s="643">
        <v>0</v>
      </c>
      <c r="Y244" s="644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404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4301052178</v>
      </c>
      <c r="D245" s="647">
        <v>4680115888975</v>
      </c>
      <c r="E245" s="648"/>
      <c r="F245" s="642">
        <v>0.32</v>
      </c>
      <c r="G245" s="32">
        <v>6</v>
      </c>
      <c r="H245" s="642">
        <v>1.92</v>
      </c>
      <c r="I245" s="642">
        <v>2.1819999999999999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53"/>
      <c r="R245" s="653"/>
      <c r="S245" s="653"/>
      <c r="T245" s="654"/>
      <c r="U245" s="34"/>
      <c r="V245" s="34"/>
      <c r="W245" s="35" t="s">
        <v>67</v>
      </c>
      <c r="X245" s="643">
        <v>0</v>
      </c>
      <c r="Y245" s="644">
        <f t="shared" si="38"/>
        <v>0</v>
      </c>
      <c r="Z245" s="36" t="str">
        <f>IFERROR(IF(Y245=0,"",ROUNDUP(Y245/H245,0)*0.00902),"")</f>
        <v/>
      </c>
      <c r="AA245" s="56"/>
      <c r="AB245" s="57"/>
      <c r="AC245" s="321" t="s">
        <v>416</v>
      </c>
      <c r="AG245" s="64"/>
      <c r="AJ245" s="68"/>
      <c r="AK245" s="68">
        <v>0</v>
      </c>
      <c r="BB245" s="322" t="s">
        <v>1</v>
      </c>
      <c r="BM245" s="64">
        <f t="shared" si="39"/>
        <v>0</v>
      </c>
      <c r="BN245" s="64">
        <f t="shared" si="40"/>
        <v>0</v>
      </c>
      <c r="BO245" s="64">
        <f t="shared" si="41"/>
        <v>0</v>
      </c>
      <c r="BP245" s="64">
        <f t="shared" si="42"/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4301052176</v>
      </c>
      <c r="D246" s="647">
        <v>4680115888982</v>
      </c>
      <c r="E246" s="648"/>
      <c r="F246" s="642">
        <v>0.36</v>
      </c>
      <c r="G246" s="32">
        <v>6</v>
      </c>
      <c r="H246" s="642">
        <v>2.16</v>
      </c>
      <c r="I246" s="642">
        <v>2.4220000000000002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7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3"/>
      <c r="R246" s="653"/>
      <c r="S246" s="653"/>
      <c r="T246" s="654"/>
      <c r="U246" s="34"/>
      <c r="V246" s="34"/>
      <c r="W246" s="35" t="s">
        <v>67</v>
      </c>
      <c r="X246" s="643">
        <v>0</v>
      </c>
      <c r="Y246" s="644">
        <f t="shared" si="38"/>
        <v>0</v>
      </c>
      <c r="Z246" s="36" t="str">
        <f>IFERROR(IF(Y246=0,"",ROUNDUP(Y246/H246,0)*0.00902),"")</f>
        <v/>
      </c>
      <c r="AA246" s="56"/>
      <c r="AB246" s="57"/>
      <c r="AC246" s="323" t="s">
        <v>407</v>
      </c>
      <c r="AG246" s="64"/>
      <c r="AJ246" s="68"/>
      <c r="AK246" s="68">
        <v>0</v>
      </c>
      <c r="BB246" s="324" t="s">
        <v>1</v>
      </c>
      <c r="BM246" s="64">
        <f t="shared" si="39"/>
        <v>0</v>
      </c>
      <c r="BN246" s="64">
        <f t="shared" si="40"/>
        <v>0</v>
      </c>
      <c r="BO246" s="64">
        <f t="shared" si="41"/>
        <v>0</v>
      </c>
      <c r="BP246" s="64">
        <f t="shared" si="42"/>
        <v>0</v>
      </c>
    </row>
    <row r="247" spans="1:68" ht="27" hidden="1" customHeight="1" x14ac:dyDescent="0.25">
      <c r="A247" s="54" t="s">
        <v>417</v>
      </c>
      <c r="B247" s="54" t="s">
        <v>419</v>
      </c>
      <c r="C247" s="31">
        <v>4301052277</v>
      </c>
      <c r="D247" s="647">
        <v>4680115888982</v>
      </c>
      <c r="E247" s="648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40</v>
      </c>
      <c r="P247" s="93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53"/>
      <c r="R247" s="653"/>
      <c r="S247" s="653"/>
      <c r="T247" s="654"/>
      <c r="U247" s="34"/>
      <c r="V247" s="34"/>
      <c r="W247" s="35" t="s">
        <v>67</v>
      </c>
      <c r="X247" s="643">
        <v>0</v>
      </c>
      <c r="Y247" s="644">
        <f t="shared" si="38"/>
        <v>0</v>
      </c>
      <c r="Z247" s="36" t="str">
        <f>IFERROR(IF(Y247=0,"",ROUNDUP(Y247/H247,0)*0.00902),"")</f>
        <v/>
      </c>
      <c r="AA247" s="56"/>
      <c r="AB247" s="57"/>
      <c r="AC247" s="325" t="s">
        <v>409</v>
      </c>
      <c r="AG247" s="64"/>
      <c r="AJ247" s="68"/>
      <c r="AK247" s="68">
        <v>0</v>
      </c>
      <c r="BB247" s="326" t="s">
        <v>1</v>
      </c>
      <c r="BM247" s="64">
        <f t="shared" si="39"/>
        <v>0</v>
      </c>
      <c r="BN247" s="64">
        <f t="shared" si="40"/>
        <v>0</v>
      </c>
      <c r="BO247" s="64">
        <f t="shared" si="41"/>
        <v>0</v>
      </c>
      <c r="BP247" s="64">
        <f t="shared" si="42"/>
        <v>0</v>
      </c>
    </row>
    <row r="248" spans="1:68" hidden="1" x14ac:dyDescent="0.2">
      <c r="A248" s="657"/>
      <c r="B248" s="658"/>
      <c r="C248" s="658"/>
      <c r="D248" s="658"/>
      <c r="E248" s="658"/>
      <c r="F248" s="658"/>
      <c r="G248" s="658"/>
      <c r="H248" s="658"/>
      <c r="I248" s="658"/>
      <c r="J248" s="658"/>
      <c r="K248" s="658"/>
      <c r="L248" s="658"/>
      <c r="M248" s="658"/>
      <c r="N248" s="658"/>
      <c r="O248" s="659"/>
      <c r="P248" s="649" t="s">
        <v>72</v>
      </c>
      <c r="Q248" s="650"/>
      <c r="R248" s="650"/>
      <c r="S248" s="650"/>
      <c r="T248" s="650"/>
      <c r="U248" s="650"/>
      <c r="V248" s="651"/>
      <c r="W248" s="37" t="s">
        <v>73</v>
      </c>
      <c r="X248" s="645">
        <f>IFERROR(X239/H239,"0")+IFERROR(X240/H240,"0")+IFERROR(X241/H241,"0")+IFERROR(X242/H242,"0")+IFERROR(X243/H243,"0")+IFERROR(X244/H244,"0")+IFERROR(X245/H245,"0")+IFERROR(X246/H246,"0")+IFERROR(X247/H247,"0")</f>
        <v>0</v>
      </c>
      <c r="Y248" s="645">
        <f>IFERROR(Y239/H239,"0")+IFERROR(Y240/H240,"0")+IFERROR(Y241/H241,"0")+IFERROR(Y242/H242,"0")+IFERROR(Y243/H243,"0")+IFERROR(Y244/H244,"0")+IFERROR(Y245/H245,"0")+IFERROR(Y246/H246,"0")+IFERROR(Y247/H247,"0")</f>
        <v>0</v>
      </c>
      <c r="Z248" s="645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hidden="1" x14ac:dyDescent="0.2">
      <c r="A249" s="658"/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9"/>
      <c r="P249" s="649" t="s">
        <v>72</v>
      </c>
      <c r="Q249" s="650"/>
      <c r="R249" s="650"/>
      <c r="S249" s="650"/>
      <c r="T249" s="650"/>
      <c r="U249" s="650"/>
      <c r="V249" s="651"/>
      <c r="W249" s="37" t="s">
        <v>67</v>
      </c>
      <c r="X249" s="645">
        <f>IFERROR(SUM(X239:X247),"0")</f>
        <v>0</v>
      </c>
      <c r="Y249" s="645">
        <f>IFERROR(SUM(Y239:Y247),"0")</f>
        <v>0</v>
      </c>
      <c r="Z249" s="37"/>
      <c r="AA249" s="646"/>
      <c r="AB249" s="646"/>
      <c r="AC249" s="646"/>
    </row>
    <row r="250" spans="1:68" ht="14.25" hidden="1" customHeight="1" x14ac:dyDescent="0.25">
      <c r="A250" s="663" t="s">
        <v>267</v>
      </c>
      <c r="B250" s="658"/>
      <c r="C250" s="658"/>
      <c r="D250" s="658"/>
      <c r="E250" s="658"/>
      <c r="F250" s="658"/>
      <c r="G250" s="658"/>
      <c r="H250" s="658"/>
      <c r="I250" s="658"/>
      <c r="J250" s="658"/>
      <c r="K250" s="658"/>
      <c r="L250" s="658"/>
      <c r="M250" s="658"/>
      <c r="N250" s="658"/>
      <c r="O250" s="658"/>
      <c r="P250" s="658"/>
      <c r="Q250" s="658"/>
      <c r="R250" s="658"/>
      <c r="S250" s="658"/>
      <c r="T250" s="658"/>
      <c r="U250" s="658"/>
      <c r="V250" s="658"/>
      <c r="W250" s="658"/>
      <c r="X250" s="658"/>
      <c r="Y250" s="658"/>
      <c r="Z250" s="658"/>
      <c r="AA250" s="639"/>
      <c r="AB250" s="639"/>
      <c r="AC250" s="639"/>
    </row>
    <row r="251" spans="1:68" ht="27" hidden="1" customHeight="1" x14ac:dyDescent="0.25">
      <c r="A251" s="54" t="s">
        <v>420</v>
      </c>
      <c r="B251" s="54" t="s">
        <v>421</v>
      </c>
      <c r="C251" s="31">
        <v>4301032053</v>
      </c>
      <c r="D251" s="647">
        <v>4680115886780</v>
      </c>
      <c r="E251" s="648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329</v>
      </c>
      <c r="L251" s="32"/>
      <c r="M251" s="33" t="s">
        <v>271</v>
      </c>
      <c r="N251" s="33"/>
      <c r="O251" s="32">
        <v>60</v>
      </c>
      <c r="P251" s="89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53"/>
      <c r="R251" s="653"/>
      <c r="S251" s="653"/>
      <c r="T251" s="654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422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423</v>
      </c>
      <c r="B252" s="54" t="s">
        <v>424</v>
      </c>
      <c r="C252" s="31">
        <v>4301032051</v>
      </c>
      <c r="D252" s="647">
        <v>4680115886742</v>
      </c>
      <c r="E252" s="648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329</v>
      </c>
      <c r="L252" s="32"/>
      <c r="M252" s="33" t="s">
        <v>271</v>
      </c>
      <c r="N252" s="33"/>
      <c r="O252" s="32">
        <v>90</v>
      </c>
      <c r="P252" s="7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53"/>
      <c r="R252" s="653"/>
      <c r="S252" s="653"/>
      <c r="T252" s="654"/>
      <c r="U252" s="34"/>
      <c r="V252" s="34"/>
      <c r="W252" s="35" t="s">
        <v>67</v>
      </c>
      <c r="X252" s="643">
        <v>0</v>
      </c>
      <c r="Y252" s="64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425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426</v>
      </c>
      <c r="B253" s="54" t="s">
        <v>427</v>
      </c>
      <c r="C253" s="31">
        <v>4301032052</v>
      </c>
      <c r="D253" s="647">
        <v>4680115886766</v>
      </c>
      <c r="E253" s="648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329</v>
      </c>
      <c r="L253" s="32"/>
      <c r="M253" s="33" t="s">
        <v>271</v>
      </c>
      <c r="N253" s="33"/>
      <c r="O253" s="32">
        <v>90</v>
      </c>
      <c r="P253" s="97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53"/>
      <c r="R253" s="653"/>
      <c r="S253" s="653"/>
      <c r="T253" s="654"/>
      <c r="U253" s="34"/>
      <c r="V253" s="34"/>
      <c r="W253" s="35" t="s">
        <v>67</v>
      </c>
      <c r="X253" s="643">
        <v>4</v>
      </c>
      <c r="Y253" s="644">
        <f>IFERROR(IF(X253="",0,CEILING((X253/$H253),1)*$H253),"")</f>
        <v>5.04</v>
      </c>
      <c r="Z253" s="36">
        <f>IFERROR(IF(Y253=0,"",ROUNDUP(Y253/H253,0)*0.0059),"")</f>
        <v>2.3599999999999999E-2</v>
      </c>
      <c r="AA253" s="56"/>
      <c r="AB253" s="57"/>
      <c r="AC253" s="331" t="s">
        <v>425</v>
      </c>
      <c r="AG253" s="64"/>
      <c r="AJ253" s="68"/>
      <c r="AK253" s="68">
        <v>0</v>
      </c>
      <c r="BB253" s="332" t="s">
        <v>1</v>
      </c>
      <c r="BM253" s="64">
        <f>IFERROR(X253*I253/H253,"0")</f>
        <v>4.6031746031746028</v>
      </c>
      <c r="BN253" s="64">
        <f>IFERROR(Y253*I253/H253,"0")</f>
        <v>5.8</v>
      </c>
      <c r="BO253" s="64">
        <f>IFERROR(1/J253*(X253/H253),"0")</f>
        <v>1.469723691945914E-2</v>
      </c>
      <c r="BP253" s="64">
        <f>IFERROR(1/J253*(Y253/H253),"0")</f>
        <v>1.8518518518518517E-2</v>
      </c>
    </row>
    <row r="254" spans="1:68" x14ac:dyDescent="0.2">
      <c r="A254" s="657"/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9"/>
      <c r="P254" s="649" t="s">
        <v>72</v>
      </c>
      <c r="Q254" s="650"/>
      <c r="R254" s="650"/>
      <c r="S254" s="650"/>
      <c r="T254" s="650"/>
      <c r="U254" s="650"/>
      <c r="V254" s="651"/>
      <c r="W254" s="37" t="s">
        <v>73</v>
      </c>
      <c r="X254" s="645">
        <f>IFERROR(X251/H251,"0")+IFERROR(X252/H252,"0")+IFERROR(X253/H253,"0")</f>
        <v>3.1746031746031744</v>
      </c>
      <c r="Y254" s="645">
        <f>IFERROR(Y251/H251,"0")+IFERROR(Y252/H252,"0")+IFERROR(Y253/H253,"0")</f>
        <v>4</v>
      </c>
      <c r="Z254" s="645">
        <f>IFERROR(IF(Z251="",0,Z251),"0")+IFERROR(IF(Z252="",0,Z252),"0")+IFERROR(IF(Z253="",0,Z253),"0")</f>
        <v>2.3599999999999999E-2</v>
      </c>
      <c r="AA254" s="646"/>
      <c r="AB254" s="646"/>
      <c r="AC254" s="646"/>
    </row>
    <row r="255" spans="1:68" x14ac:dyDescent="0.2">
      <c r="A255" s="658"/>
      <c r="B255" s="658"/>
      <c r="C255" s="658"/>
      <c r="D255" s="658"/>
      <c r="E255" s="658"/>
      <c r="F255" s="658"/>
      <c r="G255" s="658"/>
      <c r="H255" s="658"/>
      <c r="I255" s="658"/>
      <c r="J255" s="658"/>
      <c r="K255" s="658"/>
      <c r="L255" s="658"/>
      <c r="M255" s="658"/>
      <c r="N255" s="658"/>
      <c r="O255" s="659"/>
      <c r="P255" s="649" t="s">
        <v>72</v>
      </c>
      <c r="Q255" s="650"/>
      <c r="R255" s="650"/>
      <c r="S255" s="650"/>
      <c r="T255" s="650"/>
      <c r="U255" s="650"/>
      <c r="V255" s="651"/>
      <c r="W255" s="37" t="s">
        <v>67</v>
      </c>
      <c r="X255" s="645">
        <f>IFERROR(SUM(X251:X253),"0")</f>
        <v>4</v>
      </c>
      <c r="Y255" s="645">
        <f>IFERROR(SUM(Y251:Y253),"0")</f>
        <v>5.04</v>
      </c>
      <c r="Z255" s="37"/>
      <c r="AA255" s="646"/>
      <c r="AB255" s="646"/>
      <c r="AC255" s="646"/>
    </row>
    <row r="256" spans="1:68" ht="14.25" hidden="1" customHeight="1" x14ac:dyDescent="0.25">
      <c r="A256" s="663" t="s">
        <v>428</v>
      </c>
      <c r="B256" s="658"/>
      <c r="C256" s="658"/>
      <c r="D256" s="658"/>
      <c r="E256" s="658"/>
      <c r="F256" s="658"/>
      <c r="G256" s="658"/>
      <c r="H256" s="658"/>
      <c r="I256" s="658"/>
      <c r="J256" s="658"/>
      <c r="K256" s="658"/>
      <c r="L256" s="658"/>
      <c r="M256" s="658"/>
      <c r="N256" s="658"/>
      <c r="O256" s="658"/>
      <c r="P256" s="658"/>
      <c r="Q256" s="658"/>
      <c r="R256" s="658"/>
      <c r="S256" s="658"/>
      <c r="T256" s="658"/>
      <c r="U256" s="658"/>
      <c r="V256" s="658"/>
      <c r="W256" s="658"/>
      <c r="X256" s="658"/>
      <c r="Y256" s="658"/>
      <c r="Z256" s="658"/>
      <c r="AA256" s="639"/>
      <c r="AB256" s="639"/>
      <c r="AC256" s="639"/>
    </row>
    <row r="257" spans="1:68" ht="27" customHeight="1" x14ac:dyDescent="0.25">
      <c r="A257" s="54" t="s">
        <v>429</v>
      </c>
      <c r="B257" s="54" t="s">
        <v>430</v>
      </c>
      <c r="C257" s="31">
        <v>4301170013</v>
      </c>
      <c r="D257" s="647">
        <v>4680115886797</v>
      </c>
      <c r="E257" s="648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329</v>
      </c>
      <c r="L257" s="32"/>
      <c r="M257" s="33" t="s">
        <v>271</v>
      </c>
      <c r="N257" s="33"/>
      <c r="O257" s="32">
        <v>90</v>
      </c>
      <c r="P257" s="9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53"/>
      <c r="R257" s="653"/>
      <c r="S257" s="653"/>
      <c r="T257" s="654"/>
      <c r="U257" s="34"/>
      <c r="V257" s="34"/>
      <c r="W257" s="35" t="s">
        <v>67</v>
      </c>
      <c r="X257" s="643">
        <v>3</v>
      </c>
      <c r="Y257" s="644">
        <f>IFERROR(IF(X257="",0,CEILING((X257/$H257),1)*$H257),"")</f>
        <v>3.7800000000000002</v>
      </c>
      <c r="Z257" s="36">
        <f>IFERROR(IF(Y257=0,"",ROUNDUP(Y257/H257,0)*0.0059),"")</f>
        <v>1.77E-2</v>
      </c>
      <c r="AA257" s="56"/>
      <c r="AB257" s="57"/>
      <c r="AC257" s="333" t="s">
        <v>425</v>
      </c>
      <c r="AG257" s="64"/>
      <c r="AJ257" s="68"/>
      <c r="AK257" s="68">
        <v>0</v>
      </c>
      <c r="BB257" s="334" t="s">
        <v>1</v>
      </c>
      <c r="BM257" s="64">
        <f>IFERROR(X257*I257/H257,"0")</f>
        <v>3.4523809523809521</v>
      </c>
      <c r="BN257" s="64">
        <f>IFERROR(Y257*I257/H257,"0")</f>
        <v>4.3499999999999996</v>
      </c>
      <c r="BO257" s="64">
        <f>IFERROR(1/J257*(X257/H257),"0")</f>
        <v>1.1022927689594356E-2</v>
      </c>
      <c r="BP257" s="64">
        <f>IFERROR(1/J257*(Y257/H257),"0")</f>
        <v>1.3888888888888888E-2</v>
      </c>
    </row>
    <row r="258" spans="1:68" x14ac:dyDescent="0.2">
      <c r="A258" s="657"/>
      <c r="B258" s="658"/>
      <c r="C258" s="658"/>
      <c r="D258" s="658"/>
      <c r="E258" s="658"/>
      <c r="F258" s="658"/>
      <c r="G258" s="658"/>
      <c r="H258" s="658"/>
      <c r="I258" s="658"/>
      <c r="J258" s="658"/>
      <c r="K258" s="658"/>
      <c r="L258" s="658"/>
      <c r="M258" s="658"/>
      <c r="N258" s="658"/>
      <c r="O258" s="659"/>
      <c r="P258" s="649" t="s">
        <v>72</v>
      </c>
      <c r="Q258" s="650"/>
      <c r="R258" s="650"/>
      <c r="S258" s="650"/>
      <c r="T258" s="650"/>
      <c r="U258" s="650"/>
      <c r="V258" s="651"/>
      <c r="W258" s="37" t="s">
        <v>73</v>
      </c>
      <c r="X258" s="645">
        <f>IFERROR(X257/H257,"0")</f>
        <v>2.3809523809523809</v>
      </c>
      <c r="Y258" s="645">
        <f>IFERROR(Y257/H257,"0")</f>
        <v>3</v>
      </c>
      <c r="Z258" s="645">
        <f>IFERROR(IF(Z257="",0,Z257),"0")</f>
        <v>1.77E-2</v>
      </c>
      <c r="AA258" s="646"/>
      <c r="AB258" s="646"/>
      <c r="AC258" s="646"/>
    </row>
    <row r="259" spans="1:68" x14ac:dyDescent="0.2">
      <c r="A259" s="658"/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9"/>
      <c r="P259" s="649" t="s">
        <v>72</v>
      </c>
      <c r="Q259" s="650"/>
      <c r="R259" s="650"/>
      <c r="S259" s="650"/>
      <c r="T259" s="650"/>
      <c r="U259" s="650"/>
      <c r="V259" s="651"/>
      <c r="W259" s="37" t="s">
        <v>67</v>
      </c>
      <c r="X259" s="645">
        <f>IFERROR(SUM(X257:X257),"0")</f>
        <v>3</v>
      </c>
      <c r="Y259" s="645">
        <f>IFERROR(SUM(Y257:Y257),"0")</f>
        <v>3.7800000000000002</v>
      </c>
      <c r="Z259" s="37"/>
      <c r="AA259" s="646"/>
      <c r="AB259" s="646"/>
      <c r="AC259" s="646"/>
    </row>
    <row r="260" spans="1:68" ht="16.5" hidden="1" customHeight="1" x14ac:dyDescent="0.25">
      <c r="A260" s="676" t="s">
        <v>431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38"/>
      <c r="AB260" s="638"/>
      <c r="AC260" s="638"/>
    </row>
    <row r="261" spans="1:68" ht="14.25" hidden="1" customHeight="1" x14ac:dyDescent="0.25">
      <c r="A261" s="663" t="s">
        <v>111</v>
      </c>
      <c r="B261" s="658"/>
      <c r="C261" s="658"/>
      <c r="D261" s="658"/>
      <c r="E261" s="658"/>
      <c r="F261" s="658"/>
      <c r="G261" s="658"/>
      <c r="H261" s="658"/>
      <c r="I261" s="658"/>
      <c r="J261" s="658"/>
      <c r="K261" s="658"/>
      <c r="L261" s="658"/>
      <c r="M261" s="658"/>
      <c r="N261" s="658"/>
      <c r="O261" s="658"/>
      <c r="P261" s="658"/>
      <c r="Q261" s="658"/>
      <c r="R261" s="658"/>
      <c r="S261" s="658"/>
      <c r="T261" s="658"/>
      <c r="U261" s="658"/>
      <c r="V261" s="658"/>
      <c r="W261" s="658"/>
      <c r="X261" s="658"/>
      <c r="Y261" s="658"/>
      <c r="Z261" s="658"/>
      <c r="AA261" s="639"/>
      <c r="AB261" s="639"/>
      <c r="AC261" s="639"/>
    </row>
    <row r="262" spans="1:68" ht="27" hidden="1" customHeight="1" x14ac:dyDescent="0.25">
      <c r="A262" s="54" t="s">
        <v>432</v>
      </c>
      <c r="B262" s="54" t="s">
        <v>433</v>
      </c>
      <c r="C262" s="31">
        <v>4301011450</v>
      </c>
      <c r="D262" s="647">
        <v>4680115881402</v>
      </c>
      <c r="E262" s="648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53"/>
      <c r="R262" s="653"/>
      <c r="S262" s="653"/>
      <c r="T262" s="654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434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4301011768</v>
      </c>
      <c r="D263" s="647">
        <v>4680115881396</v>
      </c>
      <c r="E263" s="648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9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53"/>
      <c r="R263" s="653"/>
      <c r="S263" s="653"/>
      <c r="T263" s="654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434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7"/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9"/>
      <c r="P264" s="649" t="s">
        <v>72</v>
      </c>
      <c r="Q264" s="650"/>
      <c r="R264" s="650"/>
      <c r="S264" s="650"/>
      <c r="T264" s="650"/>
      <c r="U264" s="650"/>
      <c r="V264" s="651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hidden="1" x14ac:dyDescent="0.2">
      <c r="A265" s="658"/>
      <c r="B265" s="658"/>
      <c r="C265" s="658"/>
      <c r="D265" s="658"/>
      <c r="E265" s="658"/>
      <c r="F265" s="658"/>
      <c r="G265" s="658"/>
      <c r="H265" s="658"/>
      <c r="I265" s="658"/>
      <c r="J265" s="658"/>
      <c r="K265" s="658"/>
      <c r="L265" s="658"/>
      <c r="M265" s="658"/>
      <c r="N265" s="658"/>
      <c r="O265" s="659"/>
      <c r="P265" s="649" t="s">
        <v>72</v>
      </c>
      <c r="Q265" s="650"/>
      <c r="R265" s="650"/>
      <c r="S265" s="650"/>
      <c r="T265" s="650"/>
      <c r="U265" s="650"/>
      <c r="V265" s="651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hidden="1" customHeight="1" x14ac:dyDescent="0.25">
      <c r="A266" s="663" t="s">
        <v>148</v>
      </c>
      <c r="B266" s="658"/>
      <c r="C266" s="658"/>
      <c r="D266" s="658"/>
      <c r="E266" s="658"/>
      <c r="F266" s="658"/>
      <c r="G266" s="658"/>
      <c r="H266" s="658"/>
      <c r="I266" s="658"/>
      <c r="J266" s="658"/>
      <c r="K266" s="658"/>
      <c r="L266" s="658"/>
      <c r="M266" s="658"/>
      <c r="N266" s="658"/>
      <c r="O266" s="658"/>
      <c r="P266" s="658"/>
      <c r="Q266" s="658"/>
      <c r="R266" s="658"/>
      <c r="S266" s="658"/>
      <c r="T266" s="658"/>
      <c r="U266" s="658"/>
      <c r="V266" s="658"/>
      <c r="W266" s="658"/>
      <c r="X266" s="658"/>
      <c r="Y266" s="658"/>
      <c r="Z266" s="658"/>
      <c r="AA266" s="639"/>
      <c r="AB266" s="639"/>
      <c r="AC266" s="639"/>
    </row>
    <row r="267" spans="1:68" ht="16.5" hidden="1" customHeight="1" x14ac:dyDescent="0.25">
      <c r="A267" s="54" t="s">
        <v>437</v>
      </c>
      <c r="B267" s="54" t="s">
        <v>438</v>
      </c>
      <c r="C267" s="31">
        <v>4301020261</v>
      </c>
      <c r="D267" s="647">
        <v>4680115882935</v>
      </c>
      <c r="E267" s="648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53"/>
      <c r="R267" s="653"/>
      <c r="S267" s="653"/>
      <c r="T267" s="654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439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hidden="1" customHeight="1" x14ac:dyDescent="0.25">
      <c r="A268" s="54" t="s">
        <v>440</v>
      </c>
      <c r="B268" s="54" t="s">
        <v>441</v>
      </c>
      <c r="C268" s="31">
        <v>4301020220</v>
      </c>
      <c r="D268" s="647">
        <v>4680115880764</v>
      </c>
      <c r="E268" s="648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8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53"/>
      <c r="R268" s="653"/>
      <c r="S268" s="653"/>
      <c r="T268" s="654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439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idden="1" x14ac:dyDescent="0.2">
      <c r="A269" s="657"/>
      <c r="B269" s="658"/>
      <c r="C269" s="658"/>
      <c r="D269" s="658"/>
      <c r="E269" s="658"/>
      <c r="F269" s="658"/>
      <c r="G269" s="658"/>
      <c r="H269" s="658"/>
      <c r="I269" s="658"/>
      <c r="J269" s="658"/>
      <c r="K269" s="658"/>
      <c r="L269" s="658"/>
      <c r="M269" s="658"/>
      <c r="N269" s="658"/>
      <c r="O269" s="659"/>
      <c r="P269" s="649" t="s">
        <v>72</v>
      </c>
      <c r="Q269" s="650"/>
      <c r="R269" s="650"/>
      <c r="S269" s="650"/>
      <c r="T269" s="650"/>
      <c r="U269" s="650"/>
      <c r="V269" s="651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hidden="1" x14ac:dyDescent="0.2">
      <c r="A270" s="658"/>
      <c r="B270" s="658"/>
      <c r="C270" s="658"/>
      <c r="D270" s="658"/>
      <c r="E270" s="658"/>
      <c r="F270" s="658"/>
      <c r="G270" s="658"/>
      <c r="H270" s="658"/>
      <c r="I270" s="658"/>
      <c r="J270" s="658"/>
      <c r="K270" s="658"/>
      <c r="L270" s="658"/>
      <c r="M270" s="658"/>
      <c r="N270" s="658"/>
      <c r="O270" s="659"/>
      <c r="P270" s="649" t="s">
        <v>72</v>
      </c>
      <c r="Q270" s="650"/>
      <c r="R270" s="650"/>
      <c r="S270" s="650"/>
      <c r="T270" s="650"/>
      <c r="U270" s="650"/>
      <c r="V270" s="651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hidden="1" customHeight="1" x14ac:dyDescent="0.25">
      <c r="A271" s="663" t="s">
        <v>62</v>
      </c>
      <c r="B271" s="658"/>
      <c r="C271" s="658"/>
      <c r="D271" s="658"/>
      <c r="E271" s="658"/>
      <c r="F271" s="658"/>
      <c r="G271" s="658"/>
      <c r="H271" s="658"/>
      <c r="I271" s="658"/>
      <c r="J271" s="658"/>
      <c r="K271" s="658"/>
      <c r="L271" s="658"/>
      <c r="M271" s="658"/>
      <c r="N271" s="658"/>
      <c r="O271" s="658"/>
      <c r="P271" s="658"/>
      <c r="Q271" s="658"/>
      <c r="R271" s="658"/>
      <c r="S271" s="658"/>
      <c r="T271" s="658"/>
      <c r="U271" s="658"/>
      <c r="V271" s="658"/>
      <c r="W271" s="658"/>
      <c r="X271" s="658"/>
      <c r="Y271" s="658"/>
      <c r="Z271" s="658"/>
      <c r="AA271" s="639"/>
      <c r="AB271" s="639"/>
      <c r="AC271" s="639"/>
    </row>
    <row r="272" spans="1:68" ht="27" hidden="1" customHeight="1" x14ac:dyDescent="0.25">
      <c r="A272" s="54" t="s">
        <v>442</v>
      </c>
      <c r="B272" s="54" t="s">
        <v>443</v>
      </c>
      <c r="C272" s="31">
        <v>4301031224</v>
      </c>
      <c r="D272" s="647">
        <v>4680115882683</v>
      </c>
      <c r="E272" s="648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53"/>
      <c r="R272" s="653"/>
      <c r="S272" s="653"/>
      <c r="T272" s="654"/>
      <c r="U272" s="34"/>
      <c r="V272" s="34"/>
      <c r="W272" s="35" t="s">
        <v>67</v>
      </c>
      <c r="X272" s="643">
        <v>0</v>
      </c>
      <c r="Y272" s="644">
        <f t="shared" ref="Y272:Y279" si="43">IFERROR(IF(X272="",0,CEILING((X272/$H272),1)*$H272),"")</f>
        <v>0</v>
      </c>
      <c r="Z272" s="36" t="str">
        <f>IFERROR(IF(Y272=0,"",ROUNDUP(Y272/H272,0)*0.00902),"")</f>
        <v/>
      </c>
      <c r="AA272" s="56"/>
      <c r="AB272" s="57"/>
      <c r="AC272" s="343" t="s">
        <v>444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0</v>
      </c>
      <c r="BN272" s="64">
        <f t="shared" ref="BN272:BN279" si="45">IFERROR(Y272*I272/H272,"0")</f>
        <v>0</v>
      </c>
      <c r="BO272" s="64">
        <f t="shared" ref="BO272:BO279" si="46">IFERROR(1/J272*(X272/H272),"0")</f>
        <v>0</v>
      </c>
      <c r="BP272" s="64">
        <f t="shared" ref="BP272:BP279" si="47"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4301031230</v>
      </c>
      <c r="D273" s="647">
        <v>4680115882690</v>
      </c>
      <c r="E273" s="648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53"/>
      <c r="R273" s="653"/>
      <c r="S273" s="653"/>
      <c r="T273" s="654"/>
      <c r="U273" s="34"/>
      <c r="V273" s="34"/>
      <c r="W273" s="35" t="s">
        <v>67</v>
      </c>
      <c r="X273" s="643">
        <v>0</v>
      </c>
      <c r="Y273" s="644">
        <f t="shared" si="43"/>
        <v>0</v>
      </c>
      <c r="Z273" s="36" t="str">
        <f>IFERROR(IF(Y273=0,"",ROUNDUP(Y273/H273,0)*0.00902),"")</f>
        <v/>
      </c>
      <c r="AA273" s="56"/>
      <c r="AB273" s="57"/>
      <c r="AC273" s="345" t="s">
        <v>447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customHeight="1" x14ac:dyDescent="0.25">
      <c r="A274" s="54" t="s">
        <v>448</v>
      </c>
      <c r="B274" s="54" t="s">
        <v>449</v>
      </c>
      <c r="C274" s="31">
        <v>4301031220</v>
      </c>
      <c r="D274" s="647">
        <v>4680115882669</v>
      </c>
      <c r="E274" s="648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90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53"/>
      <c r="R274" s="653"/>
      <c r="S274" s="653"/>
      <c r="T274" s="654"/>
      <c r="U274" s="34"/>
      <c r="V274" s="34"/>
      <c r="W274" s="35" t="s">
        <v>67</v>
      </c>
      <c r="X274" s="643">
        <v>240</v>
      </c>
      <c r="Y274" s="644">
        <f t="shared" si="43"/>
        <v>243.00000000000003</v>
      </c>
      <c r="Z274" s="36">
        <f>IFERROR(IF(Y274=0,"",ROUNDUP(Y274/H274,0)*0.00902),"")</f>
        <v>0.40590000000000004</v>
      </c>
      <c r="AA274" s="56"/>
      <c r="AB274" s="57"/>
      <c r="AC274" s="347" t="s">
        <v>450</v>
      </c>
      <c r="AG274" s="64"/>
      <c r="AJ274" s="68"/>
      <c r="AK274" s="68">
        <v>0</v>
      </c>
      <c r="BB274" s="348" t="s">
        <v>1</v>
      </c>
      <c r="BM274" s="64">
        <f t="shared" si="44"/>
        <v>248.4444444444444</v>
      </c>
      <c r="BN274" s="64">
        <f t="shared" si="45"/>
        <v>251.55</v>
      </c>
      <c r="BO274" s="64">
        <f t="shared" si="46"/>
        <v>0.33670033670033672</v>
      </c>
      <c r="BP274" s="64">
        <f t="shared" si="47"/>
        <v>0.34090909090909094</v>
      </c>
    </row>
    <row r="275" spans="1:68" ht="27" customHeight="1" x14ac:dyDescent="0.25">
      <c r="A275" s="54" t="s">
        <v>451</v>
      </c>
      <c r="B275" s="54" t="s">
        <v>452</v>
      </c>
      <c r="C275" s="31">
        <v>4301031221</v>
      </c>
      <c r="D275" s="647">
        <v>4680115882676</v>
      </c>
      <c r="E275" s="648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9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53"/>
      <c r="R275" s="653"/>
      <c r="S275" s="653"/>
      <c r="T275" s="654"/>
      <c r="U275" s="34"/>
      <c r="V275" s="34"/>
      <c r="W275" s="35" t="s">
        <v>67</v>
      </c>
      <c r="X275" s="643">
        <v>50</v>
      </c>
      <c r="Y275" s="644">
        <f t="shared" si="43"/>
        <v>54</v>
      </c>
      <c r="Z275" s="36">
        <f>IFERROR(IF(Y275=0,"",ROUNDUP(Y275/H275,0)*0.00902),"")</f>
        <v>9.0200000000000002E-2</v>
      </c>
      <c r="AA275" s="56"/>
      <c r="AB275" s="57"/>
      <c r="AC275" s="349" t="s">
        <v>453</v>
      </c>
      <c r="AG275" s="64"/>
      <c r="AJ275" s="68"/>
      <c r="AK275" s="68">
        <v>0</v>
      </c>
      <c r="BB275" s="350" t="s">
        <v>1</v>
      </c>
      <c r="BM275" s="64">
        <f t="shared" si="44"/>
        <v>51.759259259259252</v>
      </c>
      <c r="BN275" s="64">
        <f t="shared" si="45"/>
        <v>55.9</v>
      </c>
      <c r="BO275" s="64">
        <f t="shared" si="46"/>
        <v>7.0145903479236812E-2</v>
      </c>
      <c r="BP275" s="64">
        <f t="shared" si="47"/>
        <v>7.575757575757576E-2</v>
      </c>
    </row>
    <row r="276" spans="1:68" ht="27" customHeight="1" x14ac:dyDescent="0.25">
      <c r="A276" s="54" t="s">
        <v>454</v>
      </c>
      <c r="B276" s="54" t="s">
        <v>455</v>
      </c>
      <c r="C276" s="31">
        <v>4301031223</v>
      </c>
      <c r="D276" s="647">
        <v>4680115884014</v>
      </c>
      <c r="E276" s="648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53"/>
      <c r="R276" s="653"/>
      <c r="S276" s="653"/>
      <c r="T276" s="654"/>
      <c r="U276" s="34"/>
      <c r="V276" s="34"/>
      <c r="W276" s="35" t="s">
        <v>67</v>
      </c>
      <c r="X276" s="643">
        <v>30</v>
      </c>
      <c r="Y276" s="644">
        <f t="shared" si="43"/>
        <v>30.6</v>
      </c>
      <c r="Z276" s="36">
        <f>IFERROR(IF(Y276=0,"",ROUNDUP(Y276/H276,0)*0.00502),"")</f>
        <v>8.5339999999999999E-2</v>
      </c>
      <c r="AA276" s="56"/>
      <c r="AB276" s="57"/>
      <c r="AC276" s="351" t="s">
        <v>444</v>
      </c>
      <c r="AG276" s="64"/>
      <c r="AJ276" s="68"/>
      <c r="AK276" s="68">
        <v>0</v>
      </c>
      <c r="BB276" s="352" t="s">
        <v>1</v>
      </c>
      <c r="BM276" s="64">
        <f t="shared" si="44"/>
        <v>32.166666666666664</v>
      </c>
      <c r="BN276" s="64">
        <f t="shared" si="45"/>
        <v>32.81</v>
      </c>
      <c r="BO276" s="64">
        <f t="shared" si="46"/>
        <v>7.122507122507124E-2</v>
      </c>
      <c r="BP276" s="64">
        <f t="shared" si="47"/>
        <v>7.2649572649572655E-2</v>
      </c>
    </row>
    <row r="277" spans="1:68" ht="27" customHeight="1" x14ac:dyDescent="0.25">
      <c r="A277" s="54" t="s">
        <v>456</v>
      </c>
      <c r="B277" s="54" t="s">
        <v>457</v>
      </c>
      <c r="C277" s="31">
        <v>4301031222</v>
      </c>
      <c r="D277" s="647">
        <v>4680115884007</v>
      </c>
      <c r="E277" s="648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7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53"/>
      <c r="R277" s="653"/>
      <c r="S277" s="653"/>
      <c r="T277" s="654"/>
      <c r="U277" s="34"/>
      <c r="V277" s="34"/>
      <c r="W277" s="35" t="s">
        <v>67</v>
      </c>
      <c r="X277" s="643">
        <v>3</v>
      </c>
      <c r="Y277" s="644">
        <f t="shared" si="43"/>
        <v>3.6</v>
      </c>
      <c r="Z277" s="36">
        <f>IFERROR(IF(Y277=0,"",ROUNDUP(Y277/H277,0)*0.00502),"")</f>
        <v>1.004E-2</v>
      </c>
      <c r="AA277" s="56"/>
      <c r="AB277" s="57"/>
      <c r="AC277" s="353" t="s">
        <v>447</v>
      </c>
      <c r="AG277" s="64"/>
      <c r="AJ277" s="68"/>
      <c r="AK277" s="68">
        <v>0</v>
      </c>
      <c r="BB277" s="354" t="s">
        <v>1</v>
      </c>
      <c r="BM277" s="64">
        <f t="shared" si="44"/>
        <v>3.1666666666666661</v>
      </c>
      <c r="BN277" s="64">
        <f t="shared" si="45"/>
        <v>3.8</v>
      </c>
      <c r="BO277" s="64">
        <f t="shared" si="46"/>
        <v>7.1225071225071226E-3</v>
      </c>
      <c r="BP277" s="64">
        <f t="shared" si="47"/>
        <v>8.5470085470085479E-3</v>
      </c>
    </row>
    <row r="278" spans="1:68" ht="27" hidden="1" customHeight="1" x14ac:dyDescent="0.25">
      <c r="A278" s="54" t="s">
        <v>458</v>
      </c>
      <c r="B278" s="54" t="s">
        <v>459</v>
      </c>
      <c r="C278" s="31">
        <v>4301031229</v>
      </c>
      <c r="D278" s="647">
        <v>4680115884038</v>
      </c>
      <c r="E278" s="648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53"/>
      <c r="R278" s="653"/>
      <c r="S278" s="653"/>
      <c r="T278" s="654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450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460</v>
      </c>
      <c r="B279" s="54" t="s">
        <v>461</v>
      </c>
      <c r="C279" s="31">
        <v>4301031225</v>
      </c>
      <c r="D279" s="647">
        <v>4680115884021</v>
      </c>
      <c r="E279" s="648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53"/>
      <c r="R279" s="653"/>
      <c r="S279" s="653"/>
      <c r="T279" s="654"/>
      <c r="U279" s="34"/>
      <c r="V279" s="34"/>
      <c r="W279" s="35" t="s">
        <v>67</v>
      </c>
      <c r="X279" s="643">
        <v>3</v>
      </c>
      <c r="Y279" s="644">
        <f t="shared" si="43"/>
        <v>3.6</v>
      </c>
      <c r="Z279" s="36">
        <f>IFERROR(IF(Y279=0,"",ROUNDUP(Y279/H279,0)*0.00502),"")</f>
        <v>1.004E-2</v>
      </c>
      <c r="AA279" s="56"/>
      <c r="AB279" s="57"/>
      <c r="AC279" s="357" t="s">
        <v>453</v>
      </c>
      <c r="AG279" s="64"/>
      <c r="AJ279" s="68"/>
      <c r="AK279" s="68">
        <v>0</v>
      </c>
      <c r="BB279" s="358" t="s">
        <v>1</v>
      </c>
      <c r="BM279" s="64">
        <f t="shared" si="44"/>
        <v>3.1666666666666661</v>
      </c>
      <c r="BN279" s="64">
        <f t="shared" si="45"/>
        <v>3.8</v>
      </c>
      <c r="BO279" s="64">
        <f t="shared" si="46"/>
        <v>7.1225071225071226E-3</v>
      </c>
      <c r="BP279" s="64">
        <f t="shared" si="47"/>
        <v>8.5470085470085479E-3</v>
      </c>
    </row>
    <row r="280" spans="1:68" x14ac:dyDescent="0.2">
      <c r="A280" s="657"/>
      <c r="B280" s="658"/>
      <c r="C280" s="658"/>
      <c r="D280" s="658"/>
      <c r="E280" s="658"/>
      <c r="F280" s="658"/>
      <c r="G280" s="658"/>
      <c r="H280" s="658"/>
      <c r="I280" s="658"/>
      <c r="J280" s="658"/>
      <c r="K280" s="658"/>
      <c r="L280" s="658"/>
      <c r="M280" s="658"/>
      <c r="N280" s="658"/>
      <c r="O280" s="659"/>
      <c r="P280" s="649" t="s">
        <v>72</v>
      </c>
      <c r="Q280" s="650"/>
      <c r="R280" s="650"/>
      <c r="S280" s="650"/>
      <c r="T280" s="650"/>
      <c r="U280" s="650"/>
      <c r="V280" s="651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73.703703703703709</v>
      </c>
      <c r="Y280" s="645">
        <f>IFERROR(Y272/H272,"0")+IFERROR(Y273/H273,"0")+IFERROR(Y274/H274,"0")+IFERROR(Y275/H275,"0")+IFERROR(Y276/H276,"0")+IFERROR(Y277/H277,"0")+IFERROR(Y278/H278,"0")+IFERROR(Y279/H279,"0")</f>
        <v>76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0.60152000000000017</v>
      </c>
      <c r="AA280" s="646"/>
      <c r="AB280" s="646"/>
      <c r="AC280" s="646"/>
    </row>
    <row r="281" spans="1:68" x14ac:dyDescent="0.2">
      <c r="A281" s="658"/>
      <c r="B281" s="658"/>
      <c r="C281" s="658"/>
      <c r="D281" s="658"/>
      <c r="E281" s="658"/>
      <c r="F281" s="658"/>
      <c r="G281" s="658"/>
      <c r="H281" s="658"/>
      <c r="I281" s="658"/>
      <c r="J281" s="658"/>
      <c r="K281" s="658"/>
      <c r="L281" s="658"/>
      <c r="M281" s="658"/>
      <c r="N281" s="658"/>
      <c r="O281" s="659"/>
      <c r="P281" s="649" t="s">
        <v>72</v>
      </c>
      <c r="Q281" s="650"/>
      <c r="R281" s="650"/>
      <c r="S281" s="650"/>
      <c r="T281" s="650"/>
      <c r="U281" s="650"/>
      <c r="V281" s="651"/>
      <c r="W281" s="37" t="s">
        <v>67</v>
      </c>
      <c r="X281" s="645">
        <f>IFERROR(SUM(X272:X279),"0")</f>
        <v>326</v>
      </c>
      <c r="Y281" s="645">
        <f>IFERROR(SUM(Y272:Y279),"0")</f>
        <v>334.80000000000007</v>
      </c>
      <c r="Z281" s="37"/>
      <c r="AA281" s="646"/>
      <c r="AB281" s="646"/>
      <c r="AC281" s="646"/>
    </row>
    <row r="282" spans="1:68" ht="14.25" hidden="1" customHeight="1" x14ac:dyDescent="0.25">
      <c r="A282" s="663" t="s">
        <v>74</v>
      </c>
      <c r="B282" s="658"/>
      <c r="C282" s="658"/>
      <c r="D282" s="658"/>
      <c r="E282" s="658"/>
      <c r="F282" s="658"/>
      <c r="G282" s="658"/>
      <c r="H282" s="658"/>
      <c r="I282" s="658"/>
      <c r="J282" s="658"/>
      <c r="K282" s="658"/>
      <c r="L282" s="658"/>
      <c r="M282" s="658"/>
      <c r="N282" s="658"/>
      <c r="O282" s="658"/>
      <c r="P282" s="658"/>
      <c r="Q282" s="658"/>
      <c r="R282" s="658"/>
      <c r="S282" s="658"/>
      <c r="T282" s="658"/>
      <c r="U282" s="658"/>
      <c r="V282" s="658"/>
      <c r="W282" s="658"/>
      <c r="X282" s="658"/>
      <c r="Y282" s="658"/>
      <c r="Z282" s="658"/>
      <c r="AA282" s="639"/>
      <c r="AB282" s="639"/>
      <c r="AC282" s="639"/>
    </row>
    <row r="283" spans="1:68" ht="27" customHeight="1" x14ac:dyDescent="0.25">
      <c r="A283" s="54" t="s">
        <v>462</v>
      </c>
      <c r="B283" s="54" t="s">
        <v>463</v>
      </c>
      <c r="C283" s="31">
        <v>4301051408</v>
      </c>
      <c r="D283" s="647">
        <v>4680115881594</v>
      </c>
      <c r="E283" s="648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74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53"/>
      <c r="R283" s="653"/>
      <c r="S283" s="653"/>
      <c r="T283" s="654"/>
      <c r="U283" s="34"/>
      <c r="V283" s="34"/>
      <c r="W283" s="35" t="s">
        <v>67</v>
      </c>
      <c r="X283" s="643">
        <v>158</v>
      </c>
      <c r="Y283" s="644">
        <f t="shared" ref="Y283:Y294" si="48">IFERROR(IF(X283="",0,CEILING((X283/$H283),1)*$H283),"")</f>
        <v>162</v>
      </c>
      <c r="Z283" s="36">
        <f>IFERROR(IF(Y283=0,"",ROUNDUP(Y283/H283,0)*0.01898),"")</f>
        <v>0.37959999999999999</v>
      </c>
      <c r="AA283" s="56"/>
      <c r="AB283" s="57"/>
      <c r="AC283" s="359" t="s">
        <v>464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167.63604938271604</v>
      </c>
      <c r="BN283" s="64">
        <f t="shared" ref="BN283:BN294" si="50">IFERROR(Y283*I283/H283,"0")</f>
        <v>171.88</v>
      </c>
      <c r="BO283" s="64">
        <f t="shared" ref="BO283:BO294" si="51">IFERROR(1/J283*(X283/H283),"0")</f>
        <v>0.30478395061728397</v>
      </c>
      <c r="BP283" s="64">
        <f t="shared" ref="BP283:BP294" si="52">IFERROR(1/J283*(Y283/H283),"0")</f>
        <v>0.3125</v>
      </c>
    </row>
    <row r="284" spans="1:68" ht="27" customHeight="1" x14ac:dyDescent="0.25">
      <c r="A284" s="54" t="s">
        <v>465</v>
      </c>
      <c r="B284" s="54" t="s">
        <v>466</v>
      </c>
      <c r="C284" s="31">
        <v>4301051411</v>
      </c>
      <c r="D284" s="647">
        <v>4680115881617</v>
      </c>
      <c r="E284" s="648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53"/>
      <c r="R284" s="653"/>
      <c r="S284" s="653"/>
      <c r="T284" s="654"/>
      <c r="U284" s="34"/>
      <c r="V284" s="34"/>
      <c r="W284" s="35" t="s">
        <v>67</v>
      </c>
      <c r="X284" s="643">
        <v>120</v>
      </c>
      <c r="Y284" s="644">
        <f t="shared" si="48"/>
        <v>121.5</v>
      </c>
      <c r="Z284" s="36">
        <f>IFERROR(IF(Y284=0,"",ROUNDUP(Y284/H284,0)*0.01898),"")</f>
        <v>0.28470000000000001</v>
      </c>
      <c r="AA284" s="56"/>
      <c r="AB284" s="57"/>
      <c r="AC284" s="361" t="s">
        <v>467</v>
      </c>
      <c r="AG284" s="64"/>
      <c r="AJ284" s="68"/>
      <c r="AK284" s="68">
        <v>0</v>
      </c>
      <c r="BB284" s="362" t="s">
        <v>1</v>
      </c>
      <c r="BM284" s="64">
        <f t="shared" si="49"/>
        <v>127.05185185185188</v>
      </c>
      <c r="BN284" s="64">
        <f t="shared" si="50"/>
        <v>128.64000000000001</v>
      </c>
      <c r="BO284" s="64">
        <f t="shared" si="51"/>
        <v>0.23148148148148148</v>
      </c>
      <c r="BP284" s="64">
        <f t="shared" si="52"/>
        <v>0.234375</v>
      </c>
    </row>
    <row r="285" spans="1:68" ht="27" customHeight="1" x14ac:dyDescent="0.25">
      <c r="A285" s="54" t="s">
        <v>468</v>
      </c>
      <c r="B285" s="54" t="s">
        <v>469</v>
      </c>
      <c r="C285" s="31">
        <v>4301051656</v>
      </c>
      <c r="D285" s="647">
        <v>4680115880573</v>
      </c>
      <c r="E285" s="648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75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53"/>
      <c r="R285" s="653"/>
      <c r="S285" s="653"/>
      <c r="T285" s="654"/>
      <c r="U285" s="34"/>
      <c r="V285" s="34"/>
      <c r="W285" s="35" t="s">
        <v>67</v>
      </c>
      <c r="X285" s="643">
        <v>22</v>
      </c>
      <c r="Y285" s="644">
        <f t="shared" si="48"/>
        <v>26.099999999999998</v>
      </c>
      <c r="Z285" s="36">
        <f>IFERROR(IF(Y285=0,"",ROUNDUP(Y285/H285,0)*0.01898),"")</f>
        <v>5.6940000000000004E-2</v>
      </c>
      <c r="AA285" s="56"/>
      <c r="AB285" s="57"/>
      <c r="AC285" s="363" t="s">
        <v>470</v>
      </c>
      <c r="AG285" s="64"/>
      <c r="AJ285" s="68"/>
      <c r="AK285" s="68">
        <v>0</v>
      </c>
      <c r="BB285" s="364" t="s">
        <v>1</v>
      </c>
      <c r="BM285" s="64">
        <f t="shared" si="49"/>
        <v>23.249195402298856</v>
      </c>
      <c r="BN285" s="64">
        <f t="shared" si="50"/>
        <v>27.582000000000004</v>
      </c>
      <c r="BO285" s="64">
        <f t="shared" si="51"/>
        <v>3.9511494252873564E-2</v>
      </c>
      <c r="BP285" s="64">
        <f t="shared" si="52"/>
        <v>4.6875E-2</v>
      </c>
    </row>
    <row r="286" spans="1:68" ht="27" customHeight="1" x14ac:dyDescent="0.25">
      <c r="A286" s="54" t="s">
        <v>471</v>
      </c>
      <c r="B286" s="54" t="s">
        <v>472</v>
      </c>
      <c r="C286" s="31">
        <v>4301051407</v>
      </c>
      <c r="D286" s="647">
        <v>4680115882195</v>
      </c>
      <c r="E286" s="648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53"/>
      <c r="R286" s="653"/>
      <c r="S286" s="653"/>
      <c r="T286" s="654"/>
      <c r="U286" s="34"/>
      <c r="V286" s="34"/>
      <c r="W286" s="35" t="s">
        <v>67</v>
      </c>
      <c r="X286" s="643">
        <v>57</v>
      </c>
      <c r="Y286" s="644">
        <f t="shared" si="48"/>
        <v>57.599999999999994</v>
      </c>
      <c r="Z286" s="36">
        <f>IFERROR(IF(Y286=0,"",ROUNDUP(Y286/H286,0)*0.00651),"")</f>
        <v>0.15623999999999999</v>
      </c>
      <c r="AA286" s="56"/>
      <c r="AB286" s="57"/>
      <c r="AC286" s="365" t="s">
        <v>464</v>
      </c>
      <c r="AG286" s="64"/>
      <c r="AJ286" s="68"/>
      <c r="AK286" s="68">
        <v>0</v>
      </c>
      <c r="BB286" s="366" t="s">
        <v>1</v>
      </c>
      <c r="BM286" s="64">
        <f t="shared" si="49"/>
        <v>63.412500000000001</v>
      </c>
      <c r="BN286" s="64">
        <f t="shared" si="50"/>
        <v>64.079999999999984</v>
      </c>
      <c r="BO286" s="64">
        <f t="shared" si="51"/>
        <v>0.1304945054945055</v>
      </c>
      <c r="BP286" s="64">
        <f t="shared" si="52"/>
        <v>0.13186813186813187</v>
      </c>
    </row>
    <row r="287" spans="1:68" ht="27" hidden="1" customHeight="1" x14ac:dyDescent="0.25">
      <c r="A287" s="54" t="s">
        <v>473</v>
      </c>
      <c r="B287" s="54" t="s">
        <v>474</v>
      </c>
      <c r="C287" s="31">
        <v>4301051752</v>
      </c>
      <c r="D287" s="647">
        <v>4680115882607</v>
      </c>
      <c r="E287" s="648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7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53"/>
      <c r="R287" s="653"/>
      <c r="S287" s="653"/>
      <c r="T287" s="654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470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475</v>
      </c>
      <c r="B288" s="54" t="s">
        <v>476</v>
      </c>
      <c r="C288" s="31">
        <v>4301052143</v>
      </c>
      <c r="D288" s="647">
        <v>4680115882607</v>
      </c>
      <c r="E288" s="648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53"/>
      <c r="R288" s="653"/>
      <c r="S288" s="653"/>
      <c r="T288" s="654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477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478</v>
      </c>
      <c r="B289" s="54" t="s">
        <v>479</v>
      </c>
      <c r="C289" s="31">
        <v>4301051666</v>
      </c>
      <c r="D289" s="647">
        <v>4680115880092</v>
      </c>
      <c r="E289" s="648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53"/>
      <c r="R289" s="653"/>
      <c r="S289" s="653"/>
      <c r="T289" s="654"/>
      <c r="U289" s="34"/>
      <c r="V289" s="34"/>
      <c r="W289" s="35" t="s">
        <v>67</v>
      </c>
      <c r="X289" s="643">
        <v>352</v>
      </c>
      <c r="Y289" s="644">
        <f t="shared" si="48"/>
        <v>352.8</v>
      </c>
      <c r="Z289" s="36">
        <f>IFERROR(IF(Y289=0,"",ROUNDUP(Y289/H289,0)*0.00651),"")</f>
        <v>0.95696999999999999</v>
      </c>
      <c r="AA289" s="56"/>
      <c r="AB289" s="57"/>
      <c r="AC289" s="371" t="s">
        <v>470</v>
      </c>
      <c r="AG289" s="64"/>
      <c r="AJ289" s="68"/>
      <c r="AK289" s="68">
        <v>0</v>
      </c>
      <c r="BB289" s="372" t="s">
        <v>1</v>
      </c>
      <c r="BM289" s="64">
        <f t="shared" si="49"/>
        <v>388.96000000000004</v>
      </c>
      <c r="BN289" s="64">
        <f t="shared" si="50"/>
        <v>389.84400000000005</v>
      </c>
      <c r="BO289" s="64">
        <f t="shared" si="51"/>
        <v>0.805860805860806</v>
      </c>
      <c r="BP289" s="64">
        <f t="shared" si="52"/>
        <v>0.80769230769230771</v>
      </c>
    </row>
    <row r="290" spans="1:68" ht="27" hidden="1" customHeight="1" x14ac:dyDescent="0.25">
      <c r="A290" s="54" t="s">
        <v>480</v>
      </c>
      <c r="B290" s="54" t="s">
        <v>481</v>
      </c>
      <c r="C290" s="31">
        <v>4301052214</v>
      </c>
      <c r="D290" s="647">
        <v>4680115889064</v>
      </c>
      <c r="E290" s="648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53"/>
      <c r="R290" s="653"/>
      <c r="S290" s="653"/>
      <c r="T290" s="654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477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482</v>
      </c>
      <c r="B291" s="54" t="s">
        <v>483</v>
      </c>
      <c r="C291" s="31">
        <v>4301051668</v>
      </c>
      <c r="D291" s="647">
        <v>4680115880221</v>
      </c>
      <c r="E291" s="648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53"/>
      <c r="R291" s="653"/>
      <c r="S291" s="653"/>
      <c r="T291" s="654"/>
      <c r="U291" s="34"/>
      <c r="V291" s="34"/>
      <c r="W291" s="35" t="s">
        <v>67</v>
      </c>
      <c r="X291" s="643">
        <v>29</v>
      </c>
      <c r="Y291" s="644">
        <f t="shared" si="48"/>
        <v>31.2</v>
      </c>
      <c r="Z291" s="36">
        <f>IFERROR(IF(Y291=0,"",ROUNDUP(Y291/H291,0)*0.00651),"")</f>
        <v>8.4629999999999997E-2</v>
      </c>
      <c r="AA291" s="56"/>
      <c r="AB291" s="57"/>
      <c r="AC291" s="375" t="s">
        <v>470</v>
      </c>
      <c r="AG291" s="64"/>
      <c r="AJ291" s="68"/>
      <c r="AK291" s="68">
        <v>0</v>
      </c>
      <c r="BB291" s="376" t="s">
        <v>1</v>
      </c>
      <c r="BM291" s="64">
        <f t="shared" si="49"/>
        <v>32.045000000000002</v>
      </c>
      <c r="BN291" s="64">
        <f t="shared" si="50"/>
        <v>34.476000000000006</v>
      </c>
      <c r="BO291" s="64">
        <f t="shared" si="51"/>
        <v>6.6391941391941406E-2</v>
      </c>
      <c r="BP291" s="64">
        <f t="shared" si="52"/>
        <v>7.1428571428571438E-2</v>
      </c>
    </row>
    <row r="292" spans="1:68" ht="27" customHeight="1" x14ac:dyDescent="0.25">
      <c r="A292" s="54" t="s">
        <v>484</v>
      </c>
      <c r="B292" s="54" t="s">
        <v>485</v>
      </c>
      <c r="C292" s="31">
        <v>4301051945</v>
      </c>
      <c r="D292" s="647">
        <v>4680115880504</v>
      </c>
      <c r="E292" s="648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53"/>
      <c r="R292" s="653"/>
      <c r="S292" s="653"/>
      <c r="T292" s="654"/>
      <c r="U292" s="34"/>
      <c r="V292" s="34"/>
      <c r="W292" s="35" t="s">
        <v>67</v>
      </c>
      <c r="X292" s="643">
        <v>112</v>
      </c>
      <c r="Y292" s="644">
        <f t="shared" si="48"/>
        <v>112.8</v>
      </c>
      <c r="Z292" s="36">
        <f>IFERROR(IF(Y292=0,"",ROUNDUP(Y292/H292,0)*0.00651),"")</f>
        <v>0.30597000000000002</v>
      </c>
      <c r="AA292" s="56"/>
      <c r="AB292" s="57"/>
      <c r="AC292" s="377" t="s">
        <v>486</v>
      </c>
      <c r="AG292" s="64"/>
      <c r="AJ292" s="68"/>
      <c r="AK292" s="68">
        <v>0</v>
      </c>
      <c r="BB292" s="378" t="s">
        <v>1</v>
      </c>
      <c r="BM292" s="64">
        <f t="shared" si="49"/>
        <v>123.76</v>
      </c>
      <c r="BN292" s="64">
        <f t="shared" si="50"/>
        <v>124.64400000000001</v>
      </c>
      <c r="BO292" s="64">
        <f t="shared" si="51"/>
        <v>0.25641025641025644</v>
      </c>
      <c r="BP292" s="64">
        <f t="shared" si="52"/>
        <v>0.25824175824175827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4301051410</v>
      </c>
      <c r="D293" s="647">
        <v>4680115882164</v>
      </c>
      <c r="E293" s="648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53"/>
      <c r="R293" s="653"/>
      <c r="S293" s="653"/>
      <c r="T293" s="654"/>
      <c r="U293" s="34"/>
      <c r="V293" s="34"/>
      <c r="W293" s="35" t="s">
        <v>67</v>
      </c>
      <c r="X293" s="643">
        <v>0</v>
      </c>
      <c r="Y293" s="644">
        <f t="shared" si="48"/>
        <v>0</v>
      </c>
      <c r="Z293" s="36" t="str">
        <f>IFERROR(IF(Y293=0,"",ROUNDUP(Y293/H293,0)*0.00651),"")</f>
        <v/>
      </c>
      <c r="AA293" s="56"/>
      <c r="AB293" s="57"/>
      <c r="AC293" s="379" t="s">
        <v>489</v>
      </c>
      <c r="AG293" s="64"/>
      <c r="AJ293" s="68"/>
      <c r="AK293" s="68">
        <v>0</v>
      </c>
      <c r="BB293" s="380" t="s">
        <v>1</v>
      </c>
      <c r="BM293" s="64">
        <f t="shared" si="49"/>
        <v>0</v>
      </c>
      <c r="BN293" s="64">
        <f t="shared" si="50"/>
        <v>0</v>
      </c>
      <c r="BO293" s="64">
        <f t="shared" si="51"/>
        <v>0</v>
      </c>
      <c r="BP293" s="64">
        <f t="shared" si="52"/>
        <v>0</v>
      </c>
    </row>
    <row r="294" spans="1:68" ht="27" hidden="1" customHeight="1" x14ac:dyDescent="0.25">
      <c r="A294" s="54" t="s">
        <v>490</v>
      </c>
      <c r="B294" s="54" t="s">
        <v>491</v>
      </c>
      <c r="C294" s="31">
        <v>4301052180</v>
      </c>
      <c r="D294" s="647">
        <v>4680115888340</v>
      </c>
      <c r="E294" s="648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9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53"/>
      <c r="R294" s="653"/>
      <c r="S294" s="653"/>
      <c r="T294" s="654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492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7"/>
      <c r="B295" s="658"/>
      <c r="C295" s="658"/>
      <c r="D295" s="658"/>
      <c r="E295" s="658"/>
      <c r="F295" s="658"/>
      <c r="G295" s="658"/>
      <c r="H295" s="658"/>
      <c r="I295" s="658"/>
      <c r="J295" s="658"/>
      <c r="K295" s="658"/>
      <c r="L295" s="658"/>
      <c r="M295" s="658"/>
      <c r="N295" s="658"/>
      <c r="O295" s="659"/>
      <c r="P295" s="649" t="s">
        <v>72</v>
      </c>
      <c r="Q295" s="650"/>
      <c r="R295" s="650"/>
      <c r="S295" s="650"/>
      <c r="T295" s="650"/>
      <c r="U295" s="650"/>
      <c r="V295" s="651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266.0163899531716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269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2.22505</v>
      </c>
      <c r="AA295" s="646"/>
      <c r="AB295" s="646"/>
      <c r="AC295" s="646"/>
    </row>
    <row r="296" spans="1:68" x14ac:dyDescent="0.2">
      <c r="A296" s="658"/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9"/>
      <c r="P296" s="649" t="s">
        <v>72</v>
      </c>
      <c r="Q296" s="650"/>
      <c r="R296" s="650"/>
      <c r="S296" s="650"/>
      <c r="T296" s="650"/>
      <c r="U296" s="650"/>
      <c r="V296" s="651"/>
      <c r="W296" s="37" t="s">
        <v>67</v>
      </c>
      <c r="X296" s="645">
        <f>IFERROR(SUM(X283:X294),"0")</f>
        <v>850</v>
      </c>
      <c r="Y296" s="645">
        <f>IFERROR(SUM(Y283:Y294),"0")</f>
        <v>864</v>
      </c>
      <c r="Z296" s="37"/>
      <c r="AA296" s="646"/>
      <c r="AB296" s="646"/>
      <c r="AC296" s="646"/>
    </row>
    <row r="297" spans="1:68" ht="14.25" hidden="1" customHeight="1" x14ac:dyDescent="0.25">
      <c r="A297" s="663" t="s">
        <v>168</v>
      </c>
      <c r="B297" s="658"/>
      <c r="C297" s="658"/>
      <c r="D297" s="658"/>
      <c r="E297" s="658"/>
      <c r="F297" s="658"/>
      <c r="G297" s="658"/>
      <c r="H297" s="658"/>
      <c r="I297" s="658"/>
      <c r="J297" s="658"/>
      <c r="K297" s="658"/>
      <c r="L297" s="658"/>
      <c r="M297" s="658"/>
      <c r="N297" s="658"/>
      <c r="O297" s="658"/>
      <c r="P297" s="658"/>
      <c r="Q297" s="658"/>
      <c r="R297" s="658"/>
      <c r="S297" s="658"/>
      <c r="T297" s="658"/>
      <c r="U297" s="658"/>
      <c r="V297" s="658"/>
      <c r="W297" s="658"/>
      <c r="X297" s="658"/>
      <c r="Y297" s="658"/>
      <c r="Z297" s="658"/>
      <c r="AA297" s="639"/>
      <c r="AB297" s="639"/>
      <c r="AC297" s="639"/>
    </row>
    <row r="298" spans="1:68" ht="27" customHeight="1" x14ac:dyDescent="0.25">
      <c r="A298" s="54" t="s">
        <v>493</v>
      </c>
      <c r="B298" s="54" t="s">
        <v>494</v>
      </c>
      <c r="C298" s="31">
        <v>4301060463</v>
      </c>
      <c r="D298" s="647">
        <v>4680115880818</v>
      </c>
      <c r="E298" s="648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5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53"/>
      <c r="R298" s="653"/>
      <c r="S298" s="653"/>
      <c r="T298" s="654"/>
      <c r="U298" s="34"/>
      <c r="V298" s="34"/>
      <c r="W298" s="35" t="s">
        <v>67</v>
      </c>
      <c r="X298" s="643">
        <v>19</v>
      </c>
      <c r="Y298" s="644">
        <f>IFERROR(IF(X298="",0,CEILING((X298/$H298),1)*$H298),"")</f>
        <v>19.2</v>
      </c>
      <c r="Z298" s="36">
        <f>IFERROR(IF(Y298=0,"",ROUNDUP(Y298/H298,0)*0.00651),"")</f>
        <v>5.2080000000000001E-2</v>
      </c>
      <c r="AA298" s="56"/>
      <c r="AB298" s="57"/>
      <c r="AC298" s="383" t="s">
        <v>495</v>
      </c>
      <c r="AG298" s="64"/>
      <c r="AJ298" s="68"/>
      <c r="AK298" s="68">
        <v>0</v>
      </c>
      <c r="BB298" s="384" t="s">
        <v>1</v>
      </c>
      <c r="BM298" s="64">
        <f>IFERROR(X298*I298/H298,"0")</f>
        <v>20.995000000000005</v>
      </c>
      <c r="BN298" s="64">
        <f>IFERROR(Y298*I298/H298,"0")</f>
        <v>21.216000000000001</v>
      </c>
      <c r="BO298" s="64">
        <f>IFERROR(1/J298*(X298/H298),"0")</f>
        <v>4.3498168498168503E-2</v>
      </c>
      <c r="BP298" s="64">
        <f>IFERROR(1/J298*(Y298/H298),"0")</f>
        <v>4.3956043956043959E-2</v>
      </c>
    </row>
    <row r="299" spans="1:68" ht="27" hidden="1" customHeight="1" x14ac:dyDescent="0.25">
      <c r="A299" s="54" t="s">
        <v>496</v>
      </c>
      <c r="B299" s="54" t="s">
        <v>497</v>
      </c>
      <c r="C299" s="31">
        <v>4301060389</v>
      </c>
      <c r="D299" s="647">
        <v>4680115880801</v>
      </c>
      <c r="E299" s="648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8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53"/>
      <c r="R299" s="653"/>
      <c r="S299" s="653"/>
      <c r="T299" s="654"/>
      <c r="U299" s="34"/>
      <c r="V299" s="34"/>
      <c r="W299" s="35" t="s">
        <v>67</v>
      </c>
      <c r="X299" s="643">
        <v>0</v>
      </c>
      <c r="Y299" s="64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498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57"/>
      <c r="B300" s="658"/>
      <c r="C300" s="658"/>
      <c r="D300" s="658"/>
      <c r="E300" s="658"/>
      <c r="F300" s="658"/>
      <c r="G300" s="658"/>
      <c r="H300" s="658"/>
      <c r="I300" s="658"/>
      <c r="J300" s="658"/>
      <c r="K300" s="658"/>
      <c r="L300" s="658"/>
      <c r="M300" s="658"/>
      <c r="N300" s="658"/>
      <c r="O300" s="659"/>
      <c r="P300" s="649" t="s">
        <v>72</v>
      </c>
      <c r="Q300" s="650"/>
      <c r="R300" s="650"/>
      <c r="S300" s="650"/>
      <c r="T300" s="650"/>
      <c r="U300" s="650"/>
      <c r="V300" s="651"/>
      <c r="W300" s="37" t="s">
        <v>73</v>
      </c>
      <c r="X300" s="645">
        <f>IFERROR(X298/H298,"0")+IFERROR(X299/H299,"0")</f>
        <v>7.916666666666667</v>
      </c>
      <c r="Y300" s="645">
        <f>IFERROR(Y298/H298,"0")+IFERROR(Y299/H299,"0")</f>
        <v>8</v>
      </c>
      <c r="Z300" s="645">
        <f>IFERROR(IF(Z298="",0,Z298),"0")+IFERROR(IF(Z299="",0,Z299),"0")</f>
        <v>5.2080000000000001E-2</v>
      </c>
      <c r="AA300" s="646"/>
      <c r="AB300" s="646"/>
      <c r="AC300" s="646"/>
    </row>
    <row r="301" spans="1:68" x14ac:dyDescent="0.2">
      <c r="A301" s="658"/>
      <c r="B301" s="658"/>
      <c r="C301" s="658"/>
      <c r="D301" s="658"/>
      <c r="E301" s="658"/>
      <c r="F301" s="658"/>
      <c r="G301" s="658"/>
      <c r="H301" s="658"/>
      <c r="I301" s="658"/>
      <c r="J301" s="658"/>
      <c r="K301" s="658"/>
      <c r="L301" s="658"/>
      <c r="M301" s="658"/>
      <c r="N301" s="658"/>
      <c r="O301" s="659"/>
      <c r="P301" s="649" t="s">
        <v>72</v>
      </c>
      <c r="Q301" s="650"/>
      <c r="R301" s="650"/>
      <c r="S301" s="650"/>
      <c r="T301" s="650"/>
      <c r="U301" s="650"/>
      <c r="V301" s="651"/>
      <c r="W301" s="37" t="s">
        <v>67</v>
      </c>
      <c r="X301" s="645">
        <f>IFERROR(SUM(X298:X299),"0")</f>
        <v>19</v>
      </c>
      <c r="Y301" s="645">
        <f>IFERROR(SUM(Y298:Y299),"0")</f>
        <v>19.2</v>
      </c>
      <c r="Z301" s="37"/>
      <c r="AA301" s="646"/>
      <c r="AB301" s="646"/>
      <c r="AC301" s="646"/>
    </row>
    <row r="302" spans="1:68" ht="16.5" hidden="1" customHeight="1" x14ac:dyDescent="0.25">
      <c r="A302" s="676" t="s">
        <v>499</v>
      </c>
      <c r="B302" s="658"/>
      <c r="C302" s="658"/>
      <c r="D302" s="658"/>
      <c r="E302" s="658"/>
      <c r="F302" s="658"/>
      <c r="G302" s="658"/>
      <c r="H302" s="658"/>
      <c r="I302" s="658"/>
      <c r="J302" s="658"/>
      <c r="K302" s="658"/>
      <c r="L302" s="658"/>
      <c r="M302" s="658"/>
      <c r="N302" s="658"/>
      <c r="O302" s="658"/>
      <c r="P302" s="658"/>
      <c r="Q302" s="658"/>
      <c r="R302" s="658"/>
      <c r="S302" s="658"/>
      <c r="T302" s="658"/>
      <c r="U302" s="658"/>
      <c r="V302" s="658"/>
      <c r="W302" s="658"/>
      <c r="X302" s="658"/>
      <c r="Y302" s="658"/>
      <c r="Z302" s="658"/>
      <c r="AA302" s="638"/>
      <c r="AB302" s="638"/>
      <c r="AC302" s="638"/>
    </row>
    <row r="303" spans="1:68" ht="14.25" hidden="1" customHeight="1" x14ac:dyDescent="0.25">
      <c r="A303" s="663" t="s">
        <v>111</v>
      </c>
      <c r="B303" s="658"/>
      <c r="C303" s="658"/>
      <c r="D303" s="658"/>
      <c r="E303" s="658"/>
      <c r="F303" s="658"/>
      <c r="G303" s="658"/>
      <c r="H303" s="658"/>
      <c r="I303" s="658"/>
      <c r="J303" s="658"/>
      <c r="K303" s="658"/>
      <c r="L303" s="658"/>
      <c r="M303" s="658"/>
      <c r="N303" s="658"/>
      <c r="O303" s="658"/>
      <c r="P303" s="658"/>
      <c r="Q303" s="658"/>
      <c r="R303" s="658"/>
      <c r="S303" s="658"/>
      <c r="T303" s="658"/>
      <c r="U303" s="658"/>
      <c r="V303" s="658"/>
      <c r="W303" s="658"/>
      <c r="X303" s="658"/>
      <c r="Y303" s="658"/>
      <c r="Z303" s="658"/>
      <c r="AA303" s="639"/>
      <c r="AB303" s="639"/>
      <c r="AC303" s="639"/>
    </row>
    <row r="304" spans="1:68" ht="27" customHeight="1" x14ac:dyDescent="0.25">
      <c r="A304" s="54" t="s">
        <v>500</v>
      </c>
      <c r="B304" s="54" t="s">
        <v>501</v>
      </c>
      <c r="C304" s="31">
        <v>4301011826</v>
      </c>
      <c r="D304" s="647">
        <v>4680115884137</v>
      </c>
      <c r="E304" s="648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53"/>
      <c r="R304" s="653"/>
      <c r="S304" s="653"/>
      <c r="T304" s="654"/>
      <c r="U304" s="34"/>
      <c r="V304" s="34"/>
      <c r="W304" s="35" t="s">
        <v>67</v>
      </c>
      <c r="X304" s="643">
        <v>27</v>
      </c>
      <c r="Y304" s="644">
        <f t="shared" ref="Y304:Y310" si="53">IFERROR(IF(X304="",0,CEILING((X304/$H304),1)*$H304),"")</f>
        <v>34.799999999999997</v>
      </c>
      <c r="Z304" s="36">
        <f>IFERROR(IF(Y304=0,"",ROUNDUP(Y304/H304,0)*0.01898),"")</f>
        <v>5.6940000000000004E-2</v>
      </c>
      <c r="AA304" s="56"/>
      <c r="AB304" s="57"/>
      <c r="AC304" s="387" t="s">
        <v>502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27.954310344827586</v>
      </c>
      <c r="BN304" s="64">
        <f t="shared" ref="BN304:BN310" si="55">IFERROR(Y304*I304/H304,"0")</f>
        <v>36.03</v>
      </c>
      <c r="BO304" s="64">
        <f t="shared" ref="BO304:BO310" si="56">IFERROR(1/J304*(X304/H304),"0")</f>
        <v>3.6368534482758619E-2</v>
      </c>
      <c r="BP304" s="64">
        <f t="shared" ref="BP304:BP310" si="57">IFERROR(1/J304*(Y304/H304),"0")</f>
        <v>4.6875E-2</v>
      </c>
    </row>
    <row r="305" spans="1:68" ht="27" customHeight="1" x14ac:dyDescent="0.25">
      <c r="A305" s="54" t="s">
        <v>503</v>
      </c>
      <c r="B305" s="54" t="s">
        <v>504</v>
      </c>
      <c r="C305" s="31">
        <v>4301011724</v>
      </c>
      <c r="D305" s="647">
        <v>4680115884236</v>
      </c>
      <c r="E305" s="648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1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53"/>
      <c r="R305" s="653"/>
      <c r="S305" s="653"/>
      <c r="T305" s="654"/>
      <c r="U305" s="34"/>
      <c r="V305" s="34"/>
      <c r="W305" s="35" t="s">
        <v>67</v>
      </c>
      <c r="X305" s="643">
        <v>5</v>
      </c>
      <c r="Y305" s="644">
        <f t="shared" si="53"/>
        <v>11.6</v>
      </c>
      <c r="Z305" s="36">
        <f>IFERROR(IF(Y305=0,"",ROUNDUP(Y305/H305,0)*0.01898),"")</f>
        <v>1.898E-2</v>
      </c>
      <c r="AA305" s="56"/>
      <c r="AB305" s="57"/>
      <c r="AC305" s="389" t="s">
        <v>505</v>
      </c>
      <c r="AG305" s="64"/>
      <c r="AJ305" s="68"/>
      <c r="AK305" s="68">
        <v>0</v>
      </c>
      <c r="BB305" s="390" t="s">
        <v>1</v>
      </c>
      <c r="BM305" s="64">
        <f t="shared" si="54"/>
        <v>5.1767241379310347</v>
      </c>
      <c r="BN305" s="64">
        <f t="shared" si="55"/>
        <v>12.01</v>
      </c>
      <c r="BO305" s="64">
        <f t="shared" si="56"/>
        <v>6.7349137931034487E-3</v>
      </c>
      <c r="BP305" s="64">
        <f t="shared" si="57"/>
        <v>1.5625E-2</v>
      </c>
    </row>
    <row r="306" spans="1:68" ht="27" hidden="1" customHeight="1" x14ac:dyDescent="0.25">
      <c r="A306" s="54" t="s">
        <v>506</v>
      </c>
      <c r="B306" s="54" t="s">
        <v>507</v>
      </c>
      <c r="C306" s="31">
        <v>4301011721</v>
      </c>
      <c r="D306" s="647">
        <v>4680115884175</v>
      </c>
      <c r="E306" s="648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8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53"/>
      <c r="R306" s="653"/>
      <c r="S306" s="653"/>
      <c r="T306" s="654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353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508</v>
      </c>
      <c r="B307" s="54" t="s">
        <v>509</v>
      </c>
      <c r="C307" s="31">
        <v>4301011824</v>
      </c>
      <c r="D307" s="647">
        <v>4680115884144</v>
      </c>
      <c r="E307" s="648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53"/>
      <c r="R307" s="653"/>
      <c r="S307" s="653"/>
      <c r="T307" s="654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502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hidden="1" customHeight="1" x14ac:dyDescent="0.25">
      <c r="A308" s="54" t="s">
        <v>510</v>
      </c>
      <c r="B308" s="54" t="s">
        <v>511</v>
      </c>
      <c r="C308" s="31">
        <v>4301012149</v>
      </c>
      <c r="D308" s="647">
        <v>4680115886551</v>
      </c>
      <c r="E308" s="648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75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53"/>
      <c r="R308" s="653"/>
      <c r="S308" s="653"/>
      <c r="T308" s="654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512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hidden="1" customHeight="1" x14ac:dyDescent="0.25">
      <c r="A309" s="54" t="s">
        <v>513</v>
      </c>
      <c r="B309" s="54" t="s">
        <v>514</v>
      </c>
      <c r="C309" s="31">
        <v>4301012228</v>
      </c>
      <c r="D309" s="647">
        <v>4680115887282</v>
      </c>
      <c r="E309" s="648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53"/>
      <c r="R309" s="653"/>
      <c r="S309" s="653"/>
      <c r="T309" s="654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515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customHeight="1" x14ac:dyDescent="0.25">
      <c r="A310" s="54" t="s">
        <v>516</v>
      </c>
      <c r="B310" s="54" t="s">
        <v>517</v>
      </c>
      <c r="C310" s="31">
        <v>4301011722</v>
      </c>
      <c r="D310" s="647">
        <v>4680115884205</v>
      </c>
      <c r="E310" s="648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53"/>
      <c r="R310" s="653"/>
      <c r="S310" s="653"/>
      <c r="T310" s="654"/>
      <c r="U310" s="34"/>
      <c r="V310" s="34"/>
      <c r="W310" s="35" t="s">
        <v>67</v>
      </c>
      <c r="X310" s="643">
        <v>23</v>
      </c>
      <c r="Y310" s="644">
        <f t="shared" si="53"/>
        <v>24</v>
      </c>
      <c r="Z310" s="36">
        <f>IFERROR(IF(Y310=0,"",ROUNDUP(Y310/H310,0)*0.00902),"")</f>
        <v>5.4120000000000001E-2</v>
      </c>
      <c r="AA310" s="56"/>
      <c r="AB310" s="57"/>
      <c r="AC310" s="399" t="s">
        <v>353</v>
      </c>
      <c r="AG310" s="64"/>
      <c r="AJ310" s="68"/>
      <c r="AK310" s="68">
        <v>0</v>
      </c>
      <c r="BB310" s="400" t="s">
        <v>1</v>
      </c>
      <c r="BM310" s="64">
        <f t="shared" si="54"/>
        <v>24.092500000000001</v>
      </c>
      <c r="BN310" s="64">
        <f t="shared" si="55"/>
        <v>25.14</v>
      </c>
      <c r="BO310" s="64">
        <f t="shared" si="56"/>
        <v>4.3560606060606064E-2</v>
      </c>
      <c r="BP310" s="64">
        <f t="shared" si="57"/>
        <v>4.5454545454545456E-2</v>
      </c>
    </row>
    <row r="311" spans="1:68" x14ac:dyDescent="0.2">
      <c r="A311" s="657"/>
      <c r="B311" s="658"/>
      <c r="C311" s="658"/>
      <c r="D311" s="658"/>
      <c r="E311" s="658"/>
      <c r="F311" s="658"/>
      <c r="G311" s="658"/>
      <c r="H311" s="658"/>
      <c r="I311" s="658"/>
      <c r="J311" s="658"/>
      <c r="K311" s="658"/>
      <c r="L311" s="658"/>
      <c r="M311" s="658"/>
      <c r="N311" s="658"/>
      <c r="O311" s="659"/>
      <c r="P311" s="649" t="s">
        <v>72</v>
      </c>
      <c r="Q311" s="650"/>
      <c r="R311" s="650"/>
      <c r="S311" s="650"/>
      <c r="T311" s="650"/>
      <c r="U311" s="650"/>
      <c r="V311" s="651"/>
      <c r="W311" s="37" t="s">
        <v>73</v>
      </c>
      <c r="X311" s="645">
        <f>IFERROR(X304/H304,"0")+IFERROR(X305/H305,"0")+IFERROR(X306/H306,"0")+IFERROR(X307/H307,"0")+IFERROR(X308/H308,"0")+IFERROR(X309/H309,"0")+IFERROR(X310/H310,"0")</f>
        <v>8.5086206896551726</v>
      </c>
      <c r="Y311" s="645">
        <f>IFERROR(Y304/H304,"0")+IFERROR(Y305/H305,"0")+IFERROR(Y306/H306,"0")+IFERROR(Y307/H307,"0")+IFERROR(Y308/H308,"0")+IFERROR(Y309/H309,"0")+IFERROR(Y310/H310,"0")</f>
        <v>10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0.13003999999999999</v>
      </c>
      <c r="AA311" s="646"/>
      <c r="AB311" s="646"/>
      <c r="AC311" s="646"/>
    </row>
    <row r="312" spans="1:68" x14ac:dyDescent="0.2">
      <c r="A312" s="658"/>
      <c r="B312" s="658"/>
      <c r="C312" s="658"/>
      <c r="D312" s="658"/>
      <c r="E312" s="658"/>
      <c r="F312" s="658"/>
      <c r="G312" s="658"/>
      <c r="H312" s="658"/>
      <c r="I312" s="658"/>
      <c r="J312" s="658"/>
      <c r="K312" s="658"/>
      <c r="L312" s="658"/>
      <c r="M312" s="658"/>
      <c r="N312" s="658"/>
      <c r="O312" s="659"/>
      <c r="P312" s="649" t="s">
        <v>72</v>
      </c>
      <c r="Q312" s="650"/>
      <c r="R312" s="650"/>
      <c r="S312" s="650"/>
      <c r="T312" s="650"/>
      <c r="U312" s="650"/>
      <c r="V312" s="651"/>
      <c r="W312" s="37" t="s">
        <v>67</v>
      </c>
      <c r="X312" s="645">
        <f>IFERROR(SUM(X304:X310),"0")</f>
        <v>55</v>
      </c>
      <c r="Y312" s="645">
        <f>IFERROR(SUM(Y304:Y310),"0")</f>
        <v>70.400000000000006</v>
      </c>
      <c r="Z312" s="37"/>
      <c r="AA312" s="646"/>
      <c r="AB312" s="646"/>
      <c r="AC312" s="646"/>
    </row>
    <row r="313" spans="1:68" ht="14.25" hidden="1" customHeight="1" x14ac:dyDescent="0.25">
      <c r="A313" s="663" t="s">
        <v>148</v>
      </c>
      <c r="B313" s="658"/>
      <c r="C313" s="658"/>
      <c r="D313" s="658"/>
      <c r="E313" s="658"/>
      <c r="F313" s="658"/>
      <c r="G313" s="658"/>
      <c r="H313" s="658"/>
      <c r="I313" s="658"/>
      <c r="J313" s="658"/>
      <c r="K313" s="658"/>
      <c r="L313" s="658"/>
      <c r="M313" s="658"/>
      <c r="N313" s="658"/>
      <c r="O313" s="658"/>
      <c r="P313" s="658"/>
      <c r="Q313" s="658"/>
      <c r="R313" s="658"/>
      <c r="S313" s="658"/>
      <c r="T313" s="658"/>
      <c r="U313" s="658"/>
      <c r="V313" s="658"/>
      <c r="W313" s="658"/>
      <c r="X313" s="658"/>
      <c r="Y313" s="658"/>
      <c r="Z313" s="658"/>
      <c r="AA313" s="639"/>
      <c r="AB313" s="639"/>
      <c r="AC313" s="639"/>
    </row>
    <row r="314" spans="1:68" ht="27" hidden="1" customHeight="1" x14ac:dyDescent="0.25">
      <c r="A314" s="54" t="s">
        <v>518</v>
      </c>
      <c r="B314" s="54" t="s">
        <v>519</v>
      </c>
      <c r="C314" s="31">
        <v>4301020377</v>
      </c>
      <c r="D314" s="647">
        <v>4680115885981</v>
      </c>
      <c r="E314" s="648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90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53"/>
      <c r="R314" s="653"/>
      <c r="S314" s="653"/>
      <c r="T314" s="654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520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57"/>
      <c r="B315" s="658"/>
      <c r="C315" s="658"/>
      <c r="D315" s="658"/>
      <c r="E315" s="658"/>
      <c r="F315" s="658"/>
      <c r="G315" s="658"/>
      <c r="H315" s="658"/>
      <c r="I315" s="658"/>
      <c r="J315" s="658"/>
      <c r="K315" s="658"/>
      <c r="L315" s="658"/>
      <c r="M315" s="658"/>
      <c r="N315" s="658"/>
      <c r="O315" s="659"/>
      <c r="P315" s="649" t="s">
        <v>72</v>
      </c>
      <c r="Q315" s="650"/>
      <c r="R315" s="650"/>
      <c r="S315" s="650"/>
      <c r="T315" s="650"/>
      <c r="U315" s="650"/>
      <c r="V315" s="651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hidden="1" x14ac:dyDescent="0.2">
      <c r="A316" s="658"/>
      <c r="B316" s="658"/>
      <c r="C316" s="658"/>
      <c r="D316" s="658"/>
      <c r="E316" s="658"/>
      <c r="F316" s="658"/>
      <c r="G316" s="658"/>
      <c r="H316" s="658"/>
      <c r="I316" s="658"/>
      <c r="J316" s="658"/>
      <c r="K316" s="658"/>
      <c r="L316" s="658"/>
      <c r="M316" s="658"/>
      <c r="N316" s="658"/>
      <c r="O316" s="659"/>
      <c r="P316" s="649" t="s">
        <v>72</v>
      </c>
      <c r="Q316" s="650"/>
      <c r="R316" s="650"/>
      <c r="S316" s="650"/>
      <c r="T316" s="650"/>
      <c r="U316" s="650"/>
      <c r="V316" s="651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hidden="1" customHeight="1" x14ac:dyDescent="0.25">
      <c r="A317" s="663" t="s">
        <v>521</v>
      </c>
      <c r="B317" s="658"/>
      <c r="C317" s="658"/>
      <c r="D317" s="658"/>
      <c r="E317" s="658"/>
      <c r="F317" s="658"/>
      <c r="G317" s="658"/>
      <c r="H317" s="658"/>
      <c r="I317" s="658"/>
      <c r="J317" s="658"/>
      <c r="K317" s="658"/>
      <c r="L317" s="658"/>
      <c r="M317" s="658"/>
      <c r="N317" s="658"/>
      <c r="O317" s="658"/>
      <c r="P317" s="658"/>
      <c r="Q317" s="658"/>
      <c r="R317" s="658"/>
      <c r="S317" s="658"/>
      <c r="T317" s="658"/>
      <c r="U317" s="658"/>
      <c r="V317" s="658"/>
      <c r="W317" s="658"/>
      <c r="X317" s="658"/>
      <c r="Y317" s="658"/>
      <c r="Z317" s="658"/>
      <c r="AA317" s="639"/>
      <c r="AB317" s="639"/>
      <c r="AC317" s="639"/>
    </row>
    <row r="318" spans="1:68" ht="27" customHeight="1" x14ac:dyDescent="0.25">
      <c r="A318" s="54" t="s">
        <v>522</v>
      </c>
      <c r="B318" s="54" t="s">
        <v>523</v>
      </c>
      <c r="C318" s="31">
        <v>4301040362</v>
      </c>
      <c r="D318" s="647">
        <v>4680115886803</v>
      </c>
      <c r="E318" s="648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329</v>
      </c>
      <c r="L318" s="32"/>
      <c r="M318" s="33" t="s">
        <v>271</v>
      </c>
      <c r="N318" s="33"/>
      <c r="O318" s="32">
        <v>45</v>
      </c>
      <c r="P318" s="8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53"/>
      <c r="R318" s="653"/>
      <c r="S318" s="653"/>
      <c r="T318" s="654"/>
      <c r="U318" s="34"/>
      <c r="V318" s="34"/>
      <c r="W318" s="35" t="s">
        <v>67</v>
      </c>
      <c r="X318" s="643">
        <v>6</v>
      </c>
      <c r="Y318" s="644">
        <f>IFERROR(IF(X318="",0,CEILING((X318/$H318),1)*$H318),"")</f>
        <v>7.2</v>
      </c>
      <c r="Z318" s="36">
        <f>IFERROR(IF(Y318=0,"",ROUNDUP(Y318/H318,0)*0.0059),"")</f>
        <v>2.3599999999999999E-2</v>
      </c>
      <c r="AA318" s="56"/>
      <c r="AB318" s="57"/>
      <c r="AC318" s="403" t="s">
        <v>524</v>
      </c>
      <c r="AG318" s="64"/>
      <c r="AJ318" s="68"/>
      <c r="AK318" s="68">
        <v>0</v>
      </c>
      <c r="BB318" s="404" t="s">
        <v>1</v>
      </c>
      <c r="BM318" s="64">
        <f>IFERROR(X318*I318/H318,"0")</f>
        <v>6.5833333333333339</v>
      </c>
      <c r="BN318" s="64">
        <f>IFERROR(Y318*I318/H318,"0")</f>
        <v>7.9</v>
      </c>
      <c r="BO318" s="64">
        <f>IFERROR(1/J318*(X318/H318),"0")</f>
        <v>1.5432098765432096E-2</v>
      </c>
      <c r="BP318" s="64">
        <f>IFERROR(1/J318*(Y318/H318),"0")</f>
        <v>1.8518518518518517E-2</v>
      </c>
    </row>
    <row r="319" spans="1:68" x14ac:dyDescent="0.2">
      <c r="A319" s="657"/>
      <c r="B319" s="658"/>
      <c r="C319" s="658"/>
      <c r="D319" s="658"/>
      <c r="E319" s="658"/>
      <c r="F319" s="658"/>
      <c r="G319" s="658"/>
      <c r="H319" s="658"/>
      <c r="I319" s="658"/>
      <c r="J319" s="658"/>
      <c r="K319" s="658"/>
      <c r="L319" s="658"/>
      <c r="M319" s="658"/>
      <c r="N319" s="658"/>
      <c r="O319" s="659"/>
      <c r="P319" s="649" t="s">
        <v>72</v>
      </c>
      <c r="Q319" s="650"/>
      <c r="R319" s="650"/>
      <c r="S319" s="650"/>
      <c r="T319" s="650"/>
      <c r="U319" s="650"/>
      <c r="V319" s="651"/>
      <c r="W319" s="37" t="s">
        <v>73</v>
      </c>
      <c r="X319" s="645">
        <f>IFERROR(X318/H318,"0")</f>
        <v>3.333333333333333</v>
      </c>
      <c r="Y319" s="645">
        <f>IFERROR(Y318/H318,"0")</f>
        <v>4</v>
      </c>
      <c r="Z319" s="645">
        <f>IFERROR(IF(Z318="",0,Z318),"0")</f>
        <v>2.3599999999999999E-2</v>
      </c>
      <c r="AA319" s="646"/>
      <c r="AB319" s="646"/>
      <c r="AC319" s="646"/>
    </row>
    <row r="320" spans="1:68" x14ac:dyDescent="0.2">
      <c r="A320" s="658"/>
      <c r="B320" s="658"/>
      <c r="C320" s="658"/>
      <c r="D320" s="658"/>
      <c r="E320" s="658"/>
      <c r="F320" s="658"/>
      <c r="G320" s="658"/>
      <c r="H320" s="658"/>
      <c r="I320" s="658"/>
      <c r="J320" s="658"/>
      <c r="K320" s="658"/>
      <c r="L320" s="658"/>
      <c r="M320" s="658"/>
      <c r="N320" s="658"/>
      <c r="O320" s="659"/>
      <c r="P320" s="649" t="s">
        <v>72</v>
      </c>
      <c r="Q320" s="650"/>
      <c r="R320" s="650"/>
      <c r="S320" s="650"/>
      <c r="T320" s="650"/>
      <c r="U320" s="650"/>
      <c r="V320" s="651"/>
      <c r="W320" s="37" t="s">
        <v>67</v>
      </c>
      <c r="X320" s="645">
        <f>IFERROR(SUM(X318:X318),"0")</f>
        <v>6</v>
      </c>
      <c r="Y320" s="645">
        <f>IFERROR(SUM(Y318:Y318),"0")</f>
        <v>7.2</v>
      </c>
      <c r="Z320" s="37"/>
      <c r="AA320" s="646"/>
      <c r="AB320" s="646"/>
      <c r="AC320" s="646"/>
    </row>
    <row r="321" spans="1:68" ht="14.25" hidden="1" customHeight="1" x14ac:dyDescent="0.25">
      <c r="A321" s="663" t="s">
        <v>331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39"/>
      <c r="AB321" s="639"/>
      <c r="AC321" s="639"/>
    </row>
    <row r="322" spans="1:68" ht="27" hidden="1" customHeight="1" x14ac:dyDescent="0.25">
      <c r="A322" s="54" t="s">
        <v>525</v>
      </c>
      <c r="B322" s="54" t="s">
        <v>526</v>
      </c>
      <c r="C322" s="31">
        <v>4301041008</v>
      </c>
      <c r="D322" s="647">
        <v>4680115886681</v>
      </c>
      <c r="E322" s="648"/>
      <c r="F322" s="642">
        <v>0.12</v>
      </c>
      <c r="G322" s="32">
        <v>15</v>
      </c>
      <c r="H322" s="642">
        <v>1.8</v>
      </c>
      <c r="I322" s="642">
        <v>1.9750000000000001</v>
      </c>
      <c r="J322" s="32">
        <v>216</v>
      </c>
      <c r="K322" s="32" t="s">
        <v>329</v>
      </c>
      <c r="L322" s="32"/>
      <c r="M322" s="33" t="s">
        <v>271</v>
      </c>
      <c r="N322" s="33"/>
      <c r="O322" s="32">
        <v>90</v>
      </c>
      <c r="P322" s="84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53"/>
      <c r="R322" s="653"/>
      <c r="S322" s="653"/>
      <c r="T322" s="654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527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57"/>
      <c r="B323" s="658"/>
      <c r="C323" s="658"/>
      <c r="D323" s="658"/>
      <c r="E323" s="658"/>
      <c r="F323" s="658"/>
      <c r="G323" s="658"/>
      <c r="H323" s="658"/>
      <c r="I323" s="658"/>
      <c r="J323" s="658"/>
      <c r="K323" s="658"/>
      <c r="L323" s="658"/>
      <c r="M323" s="658"/>
      <c r="N323" s="658"/>
      <c r="O323" s="659"/>
      <c r="P323" s="649" t="s">
        <v>72</v>
      </c>
      <c r="Q323" s="650"/>
      <c r="R323" s="650"/>
      <c r="S323" s="650"/>
      <c r="T323" s="650"/>
      <c r="U323" s="650"/>
      <c r="V323" s="651"/>
      <c r="W323" s="37" t="s">
        <v>73</v>
      </c>
      <c r="X323" s="645">
        <f>IFERROR(X322/H322,"0")</f>
        <v>0</v>
      </c>
      <c r="Y323" s="645">
        <f>IFERROR(Y322/H322,"0")</f>
        <v>0</v>
      </c>
      <c r="Z323" s="645">
        <f>IFERROR(IF(Z322="",0,Z322),"0")</f>
        <v>0</v>
      </c>
      <c r="AA323" s="646"/>
      <c r="AB323" s="646"/>
      <c r="AC323" s="646"/>
    </row>
    <row r="324" spans="1:68" hidden="1" x14ac:dyDescent="0.2">
      <c r="A324" s="658"/>
      <c r="B324" s="658"/>
      <c r="C324" s="658"/>
      <c r="D324" s="658"/>
      <c r="E324" s="658"/>
      <c r="F324" s="658"/>
      <c r="G324" s="658"/>
      <c r="H324" s="658"/>
      <c r="I324" s="658"/>
      <c r="J324" s="658"/>
      <c r="K324" s="658"/>
      <c r="L324" s="658"/>
      <c r="M324" s="658"/>
      <c r="N324" s="658"/>
      <c r="O324" s="659"/>
      <c r="P324" s="649" t="s">
        <v>72</v>
      </c>
      <c r="Q324" s="650"/>
      <c r="R324" s="650"/>
      <c r="S324" s="650"/>
      <c r="T324" s="650"/>
      <c r="U324" s="650"/>
      <c r="V324" s="651"/>
      <c r="W324" s="37" t="s">
        <v>67</v>
      </c>
      <c r="X324" s="645">
        <f>IFERROR(SUM(X322:X322),"0")</f>
        <v>0</v>
      </c>
      <c r="Y324" s="645">
        <f>IFERROR(SUM(Y322:Y322),"0")</f>
        <v>0</v>
      </c>
      <c r="Z324" s="37"/>
      <c r="AA324" s="646"/>
      <c r="AB324" s="646"/>
      <c r="AC324" s="646"/>
    </row>
    <row r="325" spans="1:68" ht="16.5" hidden="1" customHeight="1" x14ac:dyDescent="0.25">
      <c r="A325" s="676" t="s">
        <v>528</v>
      </c>
      <c r="B325" s="658"/>
      <c r="C325" s="658"/>
      <c r="D325" s="658"/>
      <c r="E325" s="658"/>
      <c r="F325" s="658"/>
      <c r="G325" s="658"/>
      <c r="H325" s="658"/>
      <c r="I325" s="658"/>
      <c r="J325" s="658"/>
      <c r="K325" s="658"/>
      <c r="L325" s="658"/>
      <c r="M325" s="658"/>
      <c r="N325" s="658"/>
      <c r="O325" s="658"/>
      <c r="P325" s="658"/>
      <c r="Q325" s="658"/>
      <c r="R325" s="658"/>
      <c r="S325" s="658"/>
      <c r="T325" s="658"/>
      <c r="U325" s="658"/>
      <c r="V325" s="658"/>
      <c r="W325" s="658"/>
      <c r="X325" s="658"/>
      <c r="Y325" s="658"/>
      <c r="Z325" s="658"/>
      <c r="AA325" s="638"/>
      <c r="AB325" s="638"/>
      <c r="AC325" s="638"/>
    </row>
    <row r="326" spans="1:68" ht="14.25" hidden="1" customHeight="1" x14ac:dyDescent="0.25">
      <c r="A326" s="663" t="s">
        <v>111</v>
      </c>
      <c r="B326" s="658"/>
      <c r="C326" s="658"/>
      <c r="D326" s="658"/>
      <c r="E326" s="658"/>
      <c r="F326" s="658"/>
      <c r="G326" s="658"/>
      <c r="H326" s="658"/>
      <c r="I326" s="658"/>
      <c r="J326" s="658"/>
      <c r="K326" s="658"/>
      <c r="L326" s="658"/>
      <c r="M326" s="658"/>
      <c r="N326" s="658"/>
      <c r="O326" s="658"/>
      <c r="P326" s="658"/>
      <c r="Q326" s="658"/>
      <c r="R326" s="658"/>
      <c r="S326" s="658"/>
      <c r="T326" s="658"/>
      <c r="U326" s="658"/>
      <c r="V326" s="658"/>
      <c r="W326" s="658"/>
      <c r="X326" s="658"/>
      <c r="Y326" s="658"/>
      <c r="Z326" s="658"/>
      <c r="AA326" s="639"/>
      <c r="AB326" s="639"/>
      <c r="AC326" s="639"/>
    </row>
    <row r="327" spans="1:68" ht="27" hidden="1" customHeight="1" x14ac:dyDescent="0.25">
      <c r="A327" s="54" t="s">
        <v>529</v>
      </c>
      <c r="B327" s="54" t="s">
        <v>530</v>
      </c>
      <c r="C327" s="31">
        <v>4301012390</v>
      </c>
      <c r="D327" s="647">
        <v>4680115889637</v>
      </c>
      <c r="E327" s="648"/>
      <c r="F327" s="642">
        <v>1.35</v>
      </c>
      <c r="G327" s="32">
        <v>8</v>
      </c>
      <c r="H327" s="642">
        <v>10.8</v>
      </c>
      <c r="I327" s="642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7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53"/>
      <c r="R327" s="653"/>
      <c r="S327" s="653"/>
      <c r="T327" s="654"/>
      <c r="U327" s="34"/>
      <c r="V327" s="34"/>
      <c r="W327" s="35" t="s">
        <v>67</v>
      </c>
      <c r="X327" s="643">
        <v>0</v>
      </c>
      <c r="Y327" s="644">
        <f t="shared" ref="Y327:Y332" si="58">IFERROR(IF(X327="",0,CEILING((X327/$H327),1)*$H327),"")</f>
        <v>0</v>
      </c>
      <c r="Z327" s="36" t="str">
        <f>IFERROR(IF(Y327=0,"",ROUNDUP(Y327/H327,0)*0.01898),"")</f>
        <v/>
      </c>
      <c r="AA327" s="56"/>
      <c r="AB327" s="57" t="s">
        <v>531</v>
      </c>
      <c r="AC327" s="407" t="s">
        <v>532</v>
      </c>
      <c r="AG327" s="64"/>
      <c r="AJ327" s="68"/>
      <c r="AK327" s="68">
        <v>0</v>
      </c>
      <c r="BB327" s="408" t="s">
        <v>1</v>
      </c>
      <c r="BM327" s="64">
        <f t="shared" ref="BM327:BM332" si="59">IFERROR(X327*I327/H327,"0")</f>
        <v>0</v>
      </c>
      <c r="BN327" s="64">
        <f t="shared" ref="BN327:BN332" si="60">IFERROR(Y327*I327/H327,"0")</f>
        <v>0</v>
      </c>
      <c r="BO327" s="64">
        <f t="shared" ref="BO327:BO332" si="61">IFERROR(1/J327*(X327/H327),"0")</f>
        <v>0</v>
      </c>
      <c r="BP327" s="64">
        <f t="shared" ref="BP327:BP332" si="62">IFERROR(1/J327*(Y327/H327),"0")</f>
        <v>0</v>
      </c>
    </row>
    <row r="328" spans="1:68" ht="27" hidden="1" customHeight="1" x14ac:dyDescent="0.25">
      <c r="A328" s="54" t="s">
        <v>533</v>
      </c>
      <c r="B328" s="54" t="s">
        <v>534</v>
      </c>
      <c r="C328" s="31">
        <v>4301011855</v>
      </c>
      <c r="D328" s="647">
        <v>4680115885837</v>
      </c>
      <c r="E328" s="648"/>
      <c r="F328" s="642">
        <v>1.35</v>
      </c>
      <c r="G328" s="32">
        <v>8</v>
      </c>
      <c r="H328" s="642">
        <v>10.8</v>
      </c>
      <c r="I328" s="642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653"/>
      <c r="R328" s="653"/>
      <c r="S328" s="653"/>
      <c r="T328" s="654"/>
      <c r="U328" s="34"/>
      <c r="V328" s="34"/>
      <c r="W328" s="35" t="s">
        <v>67</v>
      </c>
      <c r="X328" s="643">
        <v>0</v>
      </c>
      <c r="Y328" s="644">
        <f t="shared" si="58"/>
        <v>0</v>
      </c>
      <c r="Z328" s="36" t="str">
        <f>IFERROR(IF(Y328=0,"",ROUNDUP(Y328/H328,0)*0.01898),"")</f>
        <v/>
      </c>
      <c r="AA328" s="56"/>
      <c r="AB328" s="57"/>
      <c r="AC328" s="409" t="s">
        <v>535</v>
      </c>
      <c r="AG328" s="64"/>
      <c r="AJ328" s="68"/>
      <c r="AK328" s="68">
        <v>0</v>
      </c>
      <c r="BB328" s="410" t="s">
        <v>1</v>
      </c>
      <c r="BM328" s="64">
        <f t="shared" si="59"/>
        <v>0</v>
      </c>
      <c r="BN328" s="64">
        <f t="shared" si="60"/>
        <v>0</v>
      </c>
      <c r="BO328" s="64">
        <f t="shared" si="61"/>
        <v>0</v>
      </c>
      <c r="BP328" s="64">
        <f t="shared" si="62"/>
        <v>0</v>
      </c>
    </row>
    <row r="329" spans="1:68" ht="37.5" hidden="1" customHeight="1" x14ac:dyDescent="0.25">
      <c r="A329" s="54" t="s">
        <v>536</v>
      </c>
      <c r="B329" s="54" t="s">
        <v>537</v>
      </c>
      <c r="C329" s="31">
        <v>4301012234</v>
      </c>
      <c r="D329" s="647">
        <v>4680115887237</v>
      </c>
      <c r="E329" s="648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2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653"/>
      <c r="R329" s="653"/>
      <c r="S329" s="653"/>
      <c r="T329" s="654"/>
      <c r="U329" s="34"/>
      <c r="V329" s="34"/>
      <c r="W329" s="35" t="s">
        <v>67</v>
      </c>
      <c r="X329" s="643">
        <v>0</v>
      </c>
      <c r="Y329" s="644">
        <f t="shared" si="58"/>
        <v>0</v>
      </c>
      <c r="Z329" s="36" t="str">
        <f>IFERROR(IF(Y329=0,"",ROUNDUP(Y329/H329,0)*0.01898),"")</f>
        <v/>
      </c>
      <c r="AA329" s="56"/>
      <c r="AB329" s="57"/>
      <c r="AC329" s="411" t="s">
        <v>538</v>
      </c>
      <c r="AG329" s="64"/>
      <c r="AJ329" s="68"/>
      <c r="AK329" s="68">
        <v>0</v>
      </c>
      <c r="BB329" s="412" t="s">
        <v>1</v>
      </c>
      <c r="BM329" s="64">
        <f t="shared" si="59"/>
        <v>0</v>
      </c>
      <c r="BN329" s="64">
        <f t="shared" si="60"/>
        <v>0</v>
      </c>
      <c r="BO329" s="64">
        <f t="shared" si="61"/>
        <v>0</v>
      </c>
      <c r="BP329" s="64">
        <f t="shared" si="62"/>
        <v>0</v>
      </c>
    </row>
    <row r="330" spans="1:68" ht="27" hidden="1" customHeight="1" x14ac:dyDescent="0.25">
      <c r="A330" s="54" t="s">
        <v>539</v>
      </c>
      <c r="B330" s="54" t="s">
        <v>540</v>
      </c>
      <c r="C330" s="31">
        <v>4301011850</v>
      </c>
      <c r="D330" s="647">
        <v>4680115885806</v>
      </c>
      <c r="E330" s="648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653"/>
      <c r="R330" s="653"/>
      <c r="S330" s="653"/>
      <c r="T330" s="654"/>
      <c r="U330" s="34"/>
      <c r="V330" s="34"/>
      <c r="W330" s="35" t="s">
        <v>67</v>
      </c>
      <c r="X330" s="643">
        <v>0</v>
      </c>
      <c r="Y330" s="644">
        <f t="shared" si="58"/>
        <v>0</v>
      </c>
      <c r="Z330" s="36" t="str">
        <f>IFERROR(IF(Y330=0,"",ROUNDUP(Y330/H330,0)*0.01898),"")</f>
        <v/>
      </c>
      <c r="AA330" s="56"/>
      <c r="AB330" s="57"/>
      <c r="AC330" s="413" t="s">
        <v>541</v>
      </c>
      <c r="AG330" s="64"/>
      <c r="AJ330" s="68"/>
      <c r="AK330" s="68">
        <v>0</v>
      </c>
      <c r="BB330" s="414" t="s">
        <v>1</v>
      </c>
      <c r="BM330" s="64">
        <f t="shared" si="59"/>
        <v>0</v>
      </c>
      <c r="BN330" s="64">
        <f t="shared" si="60"/>
        <v>0</v>
      </c>
      <c r="BO330" s="64">
        <f t="shared" si="61"/>
        <v>0</v>
      </c>
      <c r="BP330" s="64">
        <f t="shared" si="62"/>
        <v>0</v>
      </c>
    </row>
    <row r="331" spans="1:68" ht="27" hidden="1" customHeight="1" x14ac:dyDescent="0.25">
      <c r="A331" s="54" t="s">
        <v>542</v>
      </c>
      <c r="B331" s="54" t="s">
        <v>543</v>
      </c>
      <c r="C331" s="31">
        <v>4301011852</v>
      </c>
      <c r="D331" s="647">
        <v>4680115885844</v>
      </c>
      <c r="E331" s="648"/>
      <c r="F331" s="642">
        <v>0.4</v>
      </c>
      <c r="G331" s="32">
        <v>10</v>
      </c>
      <c r="H331" s="642">
        <v>4</v>
      </c>
      <c r="I331" s="642">
        <v>4.1900000000000004</v>
      </c>
      <c r="J331" s="32">
        <v>132</v>
      </c>
      <c r="K331" s="32" t="s">
        <v>123</v>
      </c>
      <c r="L331" s="32"/>
      <c r="M331" s="33" t="s">
        <v>115</v>
      </c>
      <c r="N331" s="33"/>
      <c r="O331" s="32">
        <v>55</v>
      </c>
      <c r="P331" s="72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653"/>
      <c r="R331" s="653"/>
      <c r="S331" s="653"/>
      <c r="T331" s="654"/>
      <c r="U331" s="34"/>
      <c r="V331" s="34"/>
      <c r="W331" s="35" t="s">
        <v>67</v>
      </c>
      <c r="X331" s="643">
        <v>0</v>
      </c>
      <c r="Y331" s="644">
        <f t="shared" si="58"/>
        <v>0</v>
      </c>
      <c r="Z331" s="36" t="str">
        <f>IFERROR(IF(Y331=0,"",ROUNDUP(Y331/H331,0)*0.00902),"")</f>
        <v/>
      </c>
      <c r="AA331" s="56"/>
      <c r="AB331" s="57"/>
      <c r="AC331" s="415" t="s">
        <v>544</v>
      </c>
      <c r="AG331" s="64"/>
      <c r="AJ331" s="68"/>
      <c r="AK331" s="68">
        <v>0</v>
      </c>
      <c r="BB331" s="416" t="s">
        <v>1</v>
      </c>
      <c r="BM331" s="64">
        <f t="shared" si="59"/>
        <v>0</v>
      </c>
      <c r="BN331" s="64">
        <f t="shared" si="60"/>
        <v>0</v>
      </c>
      <c r="BO331" s="64">
        <f t="shared" si="61"/>
        <v>0</v>
      </c>
      <c r="BP331" s="64">
        <f t="shared" si="62"/>
        <v>0</v>
      </c>
    </row>
    <row r="332" spans="1:68" ht="37.5" hidden="1" customHeight="1" x14ac:dyDescent="0.25">
      <c r="A332" s="54" t="s">
        <v>545</v>
      </c>
      <c r="B332" s="54" t="s">
        <v>546</v>
      </c>
      <c r="C332" s="31">
        <v>4301011851</v>
      </c>
      <c r="D332" s="647">
        <v>4680115885820</v>
      </c>
      <c r="E332" s="648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653"/>
      <c r="R332" s="653"/>
      <c r="S332" s="653"/>
      <c r="T332" s="654"/>
      <c r="U332" s="34"/>
      <c r="V332" s="34"/>
      <c r="W332" s="35" t="s">
        <v>67</v>
      </c>
      <c r="X332" s="643">
        <v>0</v>
      </c>
      <c r="Y332" s="644">
        <f t="shared" si="58"/>
        <v>0</v>
      </c>
      <c r="Z332" s="36" t="str">
        <f>IFERROR(IF(Y332=0,"",ROUNDUP(Y332/H332,0)*0.00902),"")</f>
        <v/>
      </c>
      <c r="AA332" s="56"/>
      <c r="AB332" s="57"/>
      <c r="AC332" s="417" t="s">
        <v>547</v>
      </c>
      <c r="AG332" s="64"/>
      <c r="AJ332" s="68"/>
      <c r="AK332" s="68">
        <v>0</v>
      </c>
      <c r="BB332" s="418" t="s">
        <v>1</v>
      </c>
      <c r="BM332" s="64">
        <f t="shared" si="59"/>
        <v>0</v>
      </c>
      <c r="BN332" s="64">
        <f t="shared" si="60"/>
        <v>0</v>
      </c>
      <c r="BO332" s="64">
        <f t="shared" si="61"/>
        <v>0</v>
      </c>
      <c r="BP332" s="64">
        <f t="shared" si="62"/>
        <v>0</v>
      </c>
    </row>
    <row r="333" spans="1:68" hidden="1" x14ac:dyDescent="0.2">
      <c r="A333" s="657"/>
      <c r="B333" s="658"/>
      <c r="C333" s="658"/>
      <c r="D333" s="658"/>
      <c r="E333" s="658"/>
      <c r="F333" s="658"/>
      <c r="G333" s="658"/>
      <c r="H333" s="658"/>
      <c r="I333" s="658"/>
      <c r="J333" s="658"/>
      <c r="K333" s="658"/>
      <c r="L333" s="658"/>
      <c r="M333" s="658"/>
      <c r="N333" s="658"/>
      <c r="O333" s="659"/>
      <c r="P333" s="649" t="s">
        <v>72</v>
      </c>
      <c r="Q333" s="650"/>
      <c r="R333" s="650"/>
      <c r="S333" s="650"/>
      <c r="T333" s="650"/>
      <c r="U333" s="650"/>
      <c r="V333" s="651"/>
      <c r="W333" s="37" t="s">
        <v>73</v>
      </c>
      <c r="X333" s="645">
        <f>IFERROR(X327/H327,"0")+IFERROR(X328/H328,"0")+IFERROR(X329/H329,"0")+IFERROR(X330/H330,"0")+IFERROR(X331/H331,"0")+IFERROR(X332/H332,"0")</f>
        <v>0</v>
      </c>
      <c r="Y333" s="645">
        <f>IFERROR(Y327/H327,"0")+IFERROR(Y328/H328,"0")+IFERROR(Y329/H329,"0")+IFERROR(Y330/H330,"0")+IFERROR(Y331/H331,"0")+IFERROR(Y332/H332,"0")</f>
        <v>0</v>
      </c>
      <c r="Z333" s="645">
        <f>IFERROR(IF(Z327="",0,Z327),"0")+IFERROR(IF(Z328="",0,Z328),"0")+IFERROR(IF(Z329="",0,Z329),"0")+IFERROR(IF(Z330="",0,Z330),"0")+IFERROR(IF(Z331="",0,Z331),"0")+IFERROR(IF(Z332="",0,Z332),"0")</f>
        <v>0</v>
      </c>
      <c r="AA333" s="646"/>
      <c r="AB333" s="646"/>
      <c r="AC333" s="646"/>
    </row>
    <row r="334" spans="1:68" hidden="1" x14ac:dyDescent="0.2">
      <c r="A334" s="658"/>
      <c r="B334" s="658"/>
      <c r="C334" s="658"/>
      <c r="D334" s="658"/>
      <c r="E334" s="658"/>
      <c r="F334" s="658"/>
      <c r="G334" s="658"/>
      <c r="H334" s="658"/>
      <c r="I334" s="658"/>
      <c r="J334" s="658"/>
      <c r="K334" s="658"/>
      <c r="L334" s="658"/>
      <c r="M334" s="658"/>
      <c r="N334" s="658"/>
      <c r="O334" s="659"/>
      <c r="P334" s="649" t="s">
        <v>72</v>
      </c>
      <c r="Q334" s="650"/>
      <c r="R334" s="650"/>
      <c r="S334" s="650"/>
      <c r="T334" s="650"/>
      <c r="U334" s="650"/>
      <c r="V334" s="651"/>
      <c r="W334" s="37" t="s">
        <v>67</v>
      </c>
      <c r="X334" s="645">
        <f>IFERROR(SUM(X327:X332),"0")</f>
        <v>0</v>
      </c>
      <c r="Y334" s="645">
        <f>IFERROR(SUM(Y327:Y332),"0")</f>
        <v>0</v>
      </c>
      <c r="Z334" s="37"/>
      <c r="AA334" s="646"/>
      <c r="AB334" s="646"/>
      <c r="AC334" s="646"/>
    </row>
    <row r="335" spans="1:68" ht="16.5" hidden="1" customHeight="1" x14ac:dyDescent="0.25">
      <c r="A335" s="676" t="s">
        <v>548</v>
      </c>
      <c r="B335" s="658"/>
      <c r="C335" s="658"/>
      <c r="D335" s="658"/>
      <c r="E335" s="658"/>
      <c r="F335" s="658"/>
      <c r="G335" s="658"/>
      <c r="H335" s="658"/>
      <c r="I335" s="658"/>
      <c r="J335" s="658"/>
      <c r="K335" s="658"/>
      <c r="L335" s="658"/>
      <c r="M335" s="658"/>
      <c r="N335" s="658"/>
      <c r="O335" s="658"/>
      <c r="P335" s="658"/>
      <c r="Q335" s="658"/>
      <c r="R335" s="658"/>
      <c r="S335" s="658"/>
      <c r="T335" s="658"/>
      <c r="U335" s="658"/>
      <c r="V335" s="658"/>
      <c r="W335" s="658"/>
      <c r="X335" s="658"/>
      <c r="Y335" s="658"/>
      <c r="Z335" s="658"/>
      <c r="AA335" s="638"/>
      <c r="AB335" s="638"/>
      <c r="AC335" s="638"/>
    </row>
    <row r="336" spans="1:68" ht="14.25" hidden="1" customHeight="1" x14ac:dyDescent="0.25">
      <c r="A336" s="663" t="s">
        <v>74</v>
      </c>
      <c r="B336" s="658"/>
      <c r="C336" s="658"/>
      <c r="D336" s="658"/>
      <c r="E336" s="658"/>
      <c r="F336" s="658"/>
      <c r="G336" s="658"/>
      <c r="H336" s="658"/>
      <c r="I336" s="658"/>
      <c r="J336" s="658"/>
      <c r="K336" s="658"/>
      <c r="L336" s="658"/>
      <c r="M336" s="658"/>
      <c r="N336" s="658"/>
      <c r="O336" s="658"/>
      <c r="P336" s="658"/>
      <c r="Q336" s="658"/>
      <c r="R336" s="658"/>
      <c r="S336" s="658"/>
      <c r="T336" s="658"/>
      <c r="U336" s="658"/>
      <c r="V336" s="658"/>
      <c r="W336" s="658"/>
      <c r="X336" s="658"/>
      <c r="Y336" s="658"/>
      <c r="Z336" s="658"/>
      <c r="AA336" s="639"/>
      <c r="AB336" s="639"/>
      <c r="AC336" s="639"/>
    </row>
    <row r="337" spans="1:68" ht="27" hidden="1" customHeight="1" x14ac:dyDescent="0.25">
      <c r="A337" s="54" t="s">
        <v>549</v>
      </c>
      <c r="B337" s="54" t="s">
        <v>550</v>
      </c>
      <c r="C337" s="31">
        <v>4301051893</v>
      </c>
      <c r="D337" s="647">
        <v>4680115886186</v>
      </c>
      <c r="E337" s="648"/>
      <c r="F337" s="642">
        <v>0.3</v>
      </c>
      <c r="G337" s="32">
        <v>6</v>
      </c>
      <c r="H337" s="642">
        <v>1.8</v>
      </c>
      <c r="I337" s="642">
        <v>1.98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4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653"/>
      <c r="R337" s="653"/>
      <c r="S337" s="653"/>
      <c r="T337" s="654"/>
      <c r="U337" s="34"/>
      <c r="V337" s="34"/>
      <c r="W337" s="35" t="s">
        <v>67</v>
      </c>
      <c r="X337" s="643">
        <v>0</v>
      </c>
      <c r="Y337" s="6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9" t="s">
        <v>551</v>
      </c>
      <c r="AG337" s="64"/>
      <c r="AJ337" s="68"/>
      <c r="AK337" s="68">
        <v>0</v>
      </c>
      <c r="BB337" s="42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552</v>
      </c>
      <c r="B338" s="54" t="s">
        <v>553</v>
      </c>
      <c r="C338" s="31">
        <v>4301051795</v>
      </c>
      <c r="D338" s="647">
        <v>4680115881228</v>
      </c>
      <c r="E338" s="648"/>
      <c r="F338" s="642">
        <v>0.4</v>
      </c>
      <c r="G338" s="32">
        <v>6</v>
      </c>
      <c r="H338" s="642">
        <v>2.4</v>
      </c>
      <c r="I338" s="642">
        <v>2.6520000000000001</v>
      </c>
      <c r="J338" s="32">
        <v>182</v>
      </c>
      <c r="K338" s="32" t="s">
        <v>77</v>
      </c>
      <c r="L338" s="32"/>
      <c r="M338" s="33" t="s">
        <v>84</v>
      </c>
      <c r="N338" s="33"/>
      <c r="O338" s="32">
        <v>40</v>
      </c>
      <c r="P338" s="101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653"/>
      <c r="R338" s="653"/>
      <c r="S338" s="653"/>
      <c r="T338" s="654"/>
      <c r="U338" s="34"/>
      <c r="V338" s="34"/>
      <c r="W338" s="35" t="s">
        <v>67</v>
      </c>
      <c r="X338" s="643">
        <v>20</v>
      </c>
      <c r="Y338" s="644">
        <f>IFERROR(IF(X338="",0,CEILING((X338/$H338),1)*$H338),"")</f>
        <v>21.599999999999998</v>
      </c>
      <c r="Z338" s="36">
        <f>IFERROR(IF(Y338=0,"",ROUNDUP(Y338/H338,0)*0.00651),"")</f>
        <v>5.8590000000000003E-2</v>
      </c>
      <c r="AA338" s="56"/>
      <c r="AB338" s="57"/>
      <c r="AC338" s="421" t="s">
        <v>554</v>
      </c>
      <c r="AG338" s="64"/>
      <c r="AJ338" s="68"/>
      <c r="AK338" s="68">
        <v>0</v>
      </c>
      <c r="BB338" s="422" t="s">
        <v>1</v>
      </c>
      <c r="BM338" s="64">
        <f>IFERROR(X338*I338/H338,"0")</f>
        <v>22.100000000000005</v>
      </c>
      <c r="BN338" s="64">
        <f>IFERROR(Y338*I338/H338,"0")</f>
        <v>23.868000000000002</v>
      </c>
      <c r="BO338" s="64">
        <f>IFERROR(1/J338*(X338/H338),"0")</f>
        <v>4.5787545787545791E-2</v>
      </c>
      <c r="BP338" s="64">
        <f>IFERROR(1/J338*(Y338/H338),"0")</f>
        <v>4.9450549450549455E-2</v>
      </c>
    </row>
    <row r="339" spans="1:68" ht="27" customHeight="1" x14ac:dyDescent="0.25">
      <c r="A339" s="54" t="s">
        <v>555</v>
      </c>
      <c r="B339" s="54" t="s">
        <v>556</v>
      </c>
      <c r="C339" s="31">
        <v>4301051388</v>
      </c>
      <c r="D339" s="647">
        <v>4680115881211</v>
      </c>
      <c r="E339" s="648"/>
      <c r="F339" s="642">
        <v>0.4</v>
      </c>
      <c r="G339" s="32">
        <v>6</v>
      </c>
      <c r="H339" s="642">
        <v>2.4</v>
      </c>
      <c r="I339" s="642">
        <v>2.58</v>
      </c>
      <c r="J339" s="32">
        <v>182</v>
      </c>
      <c r="K339" s="32" t="s">
        <v>77</v>
      </c>
      <c r="L339" s="32"/>
      <c r="M339" s="33" t="s">
        <v>78</v>
      </c>
      <c r="N339" s="33"/>
      <c r="O339" s="32">
        <v>45</v>
      </c>
      <c r="P339" s="78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653"/>
      <c r="R339" s="653"/>
      <c r="S339" s="653"/>
      <c r="T339" s="654"/>
      <c r="U339" s="34"/>
      <c r="V339" s="34"/>
      <c r="W339" s="35" t="s">
        <v>67</v>
      </c>
      <c r="X339" s="643">
        <v>40</v>
      </c>
      <c r="Y339" s="644">
        <f>IFERROR(IF(X339="",0,CEILING((X339/$H339),1)*$H339),"")</f>
        <v>40.799999999999997</v>
      </c>
      <c r="Z339" s="36">
        <f>IFERROR(IF(Y339=0,"",ROUNDUP(Y339/H339,0)*0.00651),"")</f>
        <v>0.11067</v>
      </c>
      <c r="AA339" s="56"/>
      <c r="AB339" s="57"/>
      <c r="AC339" s="423" t="s">
        <v>551</v>
      </c>
      <c r="AG339" s="64"/>
      <c r="AJ339" s="68"/>
      <c r="AK339" s="68">
        <v>0</v>
      </c>
      <c r="BB339" s="424" t="s">
        <v>1</v>
      </c>
      <c r="BM339" s="64">
        <f>IFERROR(X339*I339/H339,"0")</f>
        <v>43</v>
      </c>
      <c r="BN339" s="64">
        <f>IFERROR(Y339*I339/H339,"0")</f>
        <v>43.86</v>
      </c>
      <c r="BO339" s="64">
        <f>IFERROR(1/J339*(X339/H339),"0")</f>
        <v>9.1575091575091583E-2</v>
      </c>
      <c r="BP339" s="64">
        <f>IFERROR(1/J339*(Y339/H339),"0")</f>
        <v>9.3406593406593408E-2</v>
      </c>
    </row>
    <row r="340" spans="1:68" x14ac:dyDescent="0.2">
      <c r="A340" s="657"/>
      <c r="B340" s="658"/>
      <c r="C340" s="658"/>
      <c r="D340" s="658"/>
      <c r="E340" s="658"/>
      <c r="F340" s="658"/>
      <c r="G340" s="658"/>
      <c r="H340" s="658"/>
      <c r="I340" s="658"/>
      <c r="J340" s="658"/>
      <c r="K340" s="658"/>
      <c r="L340" s="658"/>
      <c r="M340" s="658"/>
      <c r="N340" s="658"/>
      <c r="O340" s="659"/>
      <c r="P340" s="649" t="s">
        <v>72</v>
      </c>
      <c r="Q340" s="650"/>
      <c r="R340" s="650"/>
      <c r="S340" s="650"/>
      <c r="T340" s="650"/>
      <c r="U340" s="650"/>
      <c r="V340" s="651"/>
      <c r="W340" s="37" t="s">
        <v>73</v>
      </c>
      <c r="X340" s="645">
        <f>IFERROR(X337/H337,"0")+IFERROR(X338/H338,"0")+IFERROR(X339/H339,"0")</f>
        <v>25</v>
      </c>
      <c r="Y340" s="645">
        <f>IFERROR(Y337/H337,"0")+IFERROR(Y338/H338,"0")+IFERROR(Y339/H339,"0")</f>
        <v>26</v>
      </c>
      <c r="Z340" s="645">
        <f>IFERROR(IF(Z337="",0,Z337),"0")+IFERROR(IF(Z338="",0,Z338),"0")+IFERROR(IF(Z339="",0,Z339),"0")</f>
        <v>0.16926000000000002</v>
      </c>
      <c r="AA340" s="646"/>
      <c r="AB340" s="646"/>
      <c r="AC340" s="646"/>
    </row>
    <row r="341" spans="1:68" x14ac:dyDescent="0.2">
      <c r="A341" s="658"/>
      <c r="B341" s="658"/>
      <c r="C341" s="658"/>
      <c r="D341" s="658"/>
      <c r="E341" s="658"/>
      <c r="F341" s="658"/>
      <c r="G341" s="658"/>
      <c r="H341" s="658"/>
      <c r="I341" s="658"/>
      <c r="J341" s="658"/>
      <c r="K341" s="658"/>
      <c r="L341" s="658"/>
      <c r="M341" s="658"/>
      <c r="N341" s="658"/>
      <c r="O341" s="659"/>
      <c r="P341" s="649" t="s">
        <v>72</v>
      </c>
      <c r="Q341" s="650"/>
      <c r="R341" s="650"/>
      <c r="S341" s="650"/>
      <c r="T341" s="650"/>
      <c r="U341" s="650"/>
      <c r="V341" s="651"/>
      <c r="W341" s="37" t="s">
        <v>67</v>
      </c>
      <c r="X341" s="645">
        <f>IFERROR(SUM(X337:X339),"0")</f>
        <v>60</v>
      </c>
      <c r="Y341" s="645">
        <f>IFERROR(SUM(Y337:Y339),"0")</f>
        <v>62.399999999999991</v>
      </c>
      <c r="Z341" s="37"/>
      <c r="AA341" s="646"/>
      <c r="AB341" s="646"/>
      <c r="AC341" s="646"/>
    </row>
    <row r="342" spans="1:68" ht="16.5" hidden="1" customHeight="1" x14ac:dyDescent="0.25">
      <c r="A342" s="676" t="s">
        <v>557</v>
      </c>
      <c r="B342" s="658"/>
      <c r="C342" s="658"/>
      <c r="D342" s="658"/>
      <c r="E342" s="658"/>
      <c r="F342" s="658"/>
      <c r="G342" s="658"/>
      <c r="H342" s="658"/>
      <c r="I342" s="658"/>
      <c r="J342" s="658"/>
      <c r="K342" s="658"/>
      <c r="L342" s="658"/>
      <c r="M342" s="658"/>
      <c r="N342" s="658"/>
      <c r="O342" s="658"/>
      <c r="P342" s="658"/>
      <c r="Q342" s="658"/>
      <c r="R342" s="658"/>
      <c r="S342" s="658"/>
      <c r="T342" s="658"/>
      <c r="U342" s="658"/>
      <c r="V342" s="658"/>
      <c r="W342" s="658"/>
      <c r="X342" s="658"/>
      <c r="Y342" s="658"/>
      <c r="Z342" s="658"/>
      <c r="AA342" s="638"/>
      <c r="AB342" s="638"/>
      <c r="AC342" s="638"/>
    </row>
    <row r="343" spans="1:68" ht="14.25" hidden="1" customHeight="1" x14ac:dyDescent="0.25">
      <c r="A343" s="663" t="s">
        <v>62</v>
      </c>
      <c r="B343" s="658"/>
      <c r="C343" s="658"/>
      <c r="D343" s="658"/>
      <c r="E343" s="658"/>
      <c r="F343" s="658"/>
      <c r="G343" s="658"/>
      <c r="H343" s="658"/>
      <c r="I343" s="658"/>
      <c r="J343" s="658"/>
      <c r="K343" s="658"/>
      <c r="L343" s="658"/>
      <c r="M343" s="658"/>
      <c r="N343" s="658"/>
      <c r="O343" s="658"/>
      <c r="P343" s="658"/>
      <c r="Q343" s="658"/>
      <c r="R343" s="658"/>
      <c r="S343" s="658"/>
      <c r="T343" s="658"/>
      <c r="U343" s="658"/>
      <c r="V343" s="658"/>
      <c r="W343" s="658"/>
      <c r="X343" s="658"/>
      <c r="Y343" s="658"/>
      <c r="Z343" s="658"/>
      <c r="AA343" s="639"/>
      <c r="AB343" s="639"/>
      <c r="AC343" s="639"/>
    </row>
    <row r="344" spans="1:68" ht="27" hidden="1" customHeight="1" x14ac:dyDescent="0.25">
      <c r="A344" s="54" t="s">
        <v>558</v>
      </c>
      <c r="B344" s="54" t="s">
        <v>559</v>
      </c>
      <c r="C344" s="31">
        <v>4301031445</v>
      </c>
      <c r="D344" s="647">
        <v>4680115888319</v>
      </c>
      <c r="E344" s="648"/>
      <c r="F344" s="642">
        <v>0.35</v>
      </c>
      <c r="G344" s="32">
        <v>6</v>
      </c>
      <c r="H344" s="642">
        <v>2.1</v>
      </c>
      <c r="I344" s="642">
        <v>2.23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45</v>
      </c>
      <c r="P344" s="9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653"/>
      <c r="R344" s="653"/>
      <c r="S344" s="653"/>
      <c r="T344" s="654"/>
      <c r="U344" s="34"/>
      <c r="V344" s="34"/>
      <c r="W344" s="35" t="s">
        <v>67</v>
      </c>
      <c r="X344" s="643">
        <v>0</v>
      </c>
      <c r="Y344" s="64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385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560</v>
      </c>
      <c r="B345" s="54" t="s">
        <v>561</v>
      </c>
      <c r="C345" s="31">
        <v>4301031502</v>
      </c>
      <c r="D345" s="647">
        <v>4680115884700</v>
      </c>
      <c r="E345" s="648"/>
      <c r="F345" s="642">
        <v>0.57999999999999996</v>
      </c>
      <c r="G345" s="32">
        <v>4</v>
      </c>
      <c r="H345" s="642">
        <v>2.3199999999999998</v>
      </c>
      <c r="I345" s="642">
        <v>2.42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40</v>
      </c>
      <c r="P345" s="9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653"/>
      <c r="R345" s="653"/>
      <c r="S345" s="653"/>
      <c r="T345" s="654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562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563</v>
      </c>
      <c r="B346" s="54" t="s">
        <v>564</v>
      </c>
      <c r="C346" s="31">
        <v>4301031307</v>
      </c>
      <c r="D346" s="647">
        <v>4680115880344</v>
      </c>
      <c r="E346" s="648"/>
      <c r="F346" s="642">
        <v>0.28000000000000003</v>
      </c>
      <c r="G346" s="32">
        <v>6</v>
      </c>
      <c r="H346" s="642">
        <v>1.68</v>
      </c>
      <c r="I346" s="642">
        <v>1.78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653"/>
      <c r="R346" s="653"/>
      <c r="S346" s="653"/>
      <c r="T346" s="654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565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4301031501</v>
      </c>
      <c r="D347" s="647">
        <v>4680115886919</v>
      </c>
      <c r="E347" s="648"/>
      <c r="F347" s="642">
        <v>0.4</v>
      </c>
      <c r="G347" s="32">
        <v>6</v>
      </c>
      <c r="H347" s="642">
        <v>2.4</v>
      </c>
      <c r="I347" s="642">
        <v>2.58</v>
      </c>
      <c r="J347" s="32">
        <v>182</v>
      </c>
      <c r="K347" s="32" t="s">
        <v>77</v>
      </c>
      <c r="L347" s="32"/>
      <c r="M347" s="33" t="s">
        <v>66</v>
      </c>
      <c r="N347" s="33"/>
      <c r="O347" s="32">
        <v>40</v>
      </c>
      <c r="P347" s="95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653"/>
      <c r="R347" s="653"/>
      <c r="S347" s="653"/>
      <c r="T347" s="654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431" t="s">
        <v>568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4301031246</v>
      </c>
      <c r="D348" s="647">
        <v>4680115883970</v>
      </c>
      <c r="E348" s="648"/>
      <c r="F348" s="642">
        <v>0.28000000000000003</v>
      </c>
      <c r="G348" s="32">
        <v>6</v>
      </c>
      <c r="H348" s="642">
        <v>1.68</v>
      </c>
      <c r="I348" s="642">
        <v>2.5</v>
      </c>
      <c r="J348" s="32">
        <v>234</v>
      </c>
      <c r="K348" s="32" t="s">
        <v>65</v>
      </c>
      <c r="L348" s="32"/>
      <c r="M348" s="33" t="s">
        <v>66</v>
      </c>
      <c r="N348" s="33"/>
      <c r="O348" s="32">
        <v>40</v>
      </c>
      <c r="P348" s="93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653"/>
      <c r="R348" s="653"/>
      <c r="S348" s="653"/>
      <c r="T348" s="654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IFERROR(IF(Y348=0,"",ROUNDUP(Y348/H348,0)*0.00502),"")</f>
        <v/>
      </c>
      <c r="AA348" s="56"/>
      <c r="AB348" s="57"/>
      <c r="AC348" s="433" t="s">
        <v>571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57"/>
      <c r="B349" s="658"/>
      <c r="C349" s="658"/>
      <c r="D349" s="658"/>
      <c r="E349" s="658"/>
      <c r="F349" s="658"/>
      <c r="G349" s="658"/>
      <c r="H349" s="658"/>
      <c r="I349" s="658"/>
      <c r="J349" s="658"/>
      <c r="K349" s="658"/>
      <c r="L349" s="658"/>
      <c r="M349" s="658"/>
      <c r="N349" s="658"/>
      <c r="O349" s="659"/>
      <c r="P349" s="649" t="s">
        <v>72</v>
      </c>
      <c r="Q349" s="650"/>
      <c r="R349" s="650"/>
      <c r="S349" s="650"/>
      <c r="T349" s="650"/>
      <c r="U349" s="650"/>
      <c r="V349" s="651"/>
      <c r="W349" s="37" t="s">
        <v>73</v>
      </c>
      <c r="X349" s="645">
        <f>IFERROR(X344/H344,"0")+IFERROR(X345/H345,"0")+IFERROR(X346/H346,"0")+IFERROR(X347/H347,"0")+IFERROR(X348/H348,"0")</f>
        <v>0</v>
      </c>
      <c r="Y349" s="645">
        <f>IFERROR(Y344/H344,"0")+IFERROR(Y345/H345,"0")+IFERROR(Y346/H346,"0")+IFERROR(Y347/H347,"0")+IFERROR(Y348/H348,"0")</f>
        <v>0</v>
      </c>
      <c r="Z349" s="645">
        <f>IFERROR(IF(Z344="",0,Z344),"0")+IFERROR(IF(Z345="",0,Z345),"0")+IFERROR(IF(Z346="",0,Z346),"0")+IFERROR(IF(Z347="",0,Z347),"0")+IFERROR(IF(Z348="",0,Z348),"0")</f>
        <v>0</v>
      </c>
      <c r="AA349" s="646"/>
      <c r="AB349" s="646"/>
      <c r="AC349" s="646"/>
    </row>
    <row r="350" spans="1:68" hidden="1" x14ac:dyDescent="0.2">
      <c r="A350" s="658"/>
      <c r="B350" s="658"/>
      <c r="C350" s="658"/>
      <c r="D350" s="658"/>
      <c r="E350" s="658"/>
      <c r="F350" s="658"/>
      <c r="G350" s="658"/>
      <c r="H350" s="658"/>
      <c r="I350" s="658"/>
      <c r="J350" s="658"/>
      <c r="K350" s="658"/>
      <c r="L350" s="658"/>
      <c r="M350" s="658"/>
      <c r="N350" s="658"/>
      <c r="O350" s="659"/>
      <c r="P350" s="649" t="s">
        <v>72</v>
      </c>
      <c r="Q350" s="650"/>
      <c r="R350" s="650"/>
      <c r="S350" s="650"/>
      <c r="T350" s="650"/>
      <c r="U350" s="650"/>
      <c r="V350" s="651"/>
      <c r="W350" s="37" t="s">
        <v>67</v>
      </c>
      <c r="X350" s="645">
        <f>IFERROR(SUM(X344:X348),"0")</f>
        <v>0</v>
      </c>
      <c r="Y350" s="645">
        <f>IFERROR(SUM(Y344:Y348),"0")</f>
        <v>0</v>
      </c>
      <c r="Z350" s="37"/>
      <c r="AA350" s="646"/>
      <c r="AB350" s="646"/>
      <c r="AC350" s="646"/>
    </row>
    <row r="351" spans="1:68" ht="14.25" hidden="1" customHeight="1" x14ac:dyDescent="0.25">
      <c r="A351" s="663" t="s">
        <v>74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39"/>
      <c r="AB351" s="639"/>
      <c r="AC351" s="639"/>
    </row>
    <row r="352" spans="1:68" ht="27" hidden="1" customHeight="1" x14ac:dyDescent="0.25">
      <c r="A352" s="54" t="s">
        <v>572</v>
      </c>
      <c r="B352" s="54" t="s">
        <v>573</v>
      </c>
      <c r="C352" s="31">
        <v>4301051782</v>
      </c>
      <c r="D352" s="647">
        <v>4680115884618</v>
      </c>
      <c r="E352" s="648"/>
      <c r="F352" s="642">
        <v>0.6</v>
      </c>
      <c r="G352" s="32">
        <v>6</v>
      </c>
      <c r="H352" s="642">
        <v>3.6</v>
      </c>
      <c r="I352" s="642">
        <v>3.79</v>
      </c>
      <c r="J352" s="32">
        <v>132</v>
      </c>
      <c r="K352" s="32" t="s">
        <v>123</v>
      </c>
      <c r="L352" s="32"/>
      <c r="M352" s="33" t="s">
        <v>78</v>
      </c>
      <c r="N352" s="33"/>
      <c r="O352" s="32">
        <v>45</v>
      </c>
      <c r="P352" s="7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653"/>
      <c r="R352" s="653"/>
      <c r="S352" s="653"/>
      <c r="T352" s="654"/>
      <c r="U352" s="34"/>
      <c r="V352" s="34"/>
      <c r="W352" s="35" t="s">
        <v>67</v>
      </c>
      <c r="X352" s="643">
        <v>0</v>
      </c>
      <c r="Y352" s="644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35" t="s">
        <v>574</v>
      </c>
      <c r="AG352" s="64"/>
      <c r="AJ352" s="68"/>
      <c r="AK352" s="68">
        <v>0</v>
      </c>
      <c r="BB352" s="436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575</v>
      </c>
      <c r="B353" s="54" t="s">
        <v>576</v>
      </c>
      <c r="C353" s="31">
        <v>4301052057</v>
      </c>
      <c r="D353" s="647">
        <v>4680115887114</v>
      </c>
      <c r="E353" s="648"/>
      <c r="F353" s="642">
        <v>0.55000000000000004</v>
      </c>
      <c r="G353" s="32">
        <v>6</v>
      </c>
      <c r="H353" s="642">
        <v>3.3</v>
      </c>
      <c r="I353" s="642">
        <v>3.49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81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653"/>
      <c r="R353" s="653"/>
      <c r="S353" s="653"/>
      <c r="T353" s="654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577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57"/>
      <c r="B354" s="658"/>
      <c r="C354" s="658"/>
      <c r="D354" s="658"/>
      <c r="E354" s="658"/>
      <c r="F354" s="658"/>
      <c r="G354" s="658"/>
      <c r="H354" s="658"/>
      <c r="I354" s="658"/>
      <c r="J354" s="658"/>
      <c r="K354" s="658"/>
      <c r="L354" s="658"/>
      <c r="M354" s="658"/>
      <c r="N354" s="658"/>
      <c r="O354" s="659"/>
      <c r="P354" s="649" t="s">
        <v>72</v>
      </c>
      <c r="Q354" s="650"/>
      <c r="R354" s="650"/>
      <c r="S354" s="650"/>
      <c r="T354" s="650"/>
      <c r="U354" s="650"/>
      <c r="V354" s="651"/>
      <c r="W354" s="37" t="s">
        <v>73</v>
      </c>
      <c r="X354" s="645">
        <f>IFERROR(X352/H352,"0")+IFERROR(X353/H353,"0")</f>
        <v>0</v>
      </c>
      <c r="Y354" s="645">
        <f>IFERROR(Y352/H352,"0")+IFERROR(Y353/H353,"0")</f>
        <v>0</v>
      </c>
      <c r="Z354" s="645">
        <f>IFERROR(IF(Z352="",0,Z352),"0")+IFERROR(IF(Z353="",0,Z353),"0")</f>
        <v>0</v>
      </c>
      <c r="AA354" s="646"/>
      <c r="AB354" s="646"/>
      <c r="AC354" s="646"/>
    </row>
    <row r="355" spans="1:68" hidden="1" x14ac:dyDescent="0.2">
      <c r="A355" s="658"/>
      <c r="B355" s="658"/>
      <c r="C355" s="658"/>
      <c r="D355" s="658"/>
      <c r="E355" s="658"/>
      <c r="F355" s="658"/>
      <c r="G355" s="658"/>
      <c r="H355" s="658"/>
      <c r="I355" s="658"/>
      <c r="J355" s="658"/>
      <c r="K355" s="658"/>
      <c r="L355" s="658"/>
      <c r="M355" s="658"/>
      <c r="N355" s="658"/>
      <c r="O355" s="659"/>
      <c r="P355" s="649" t="s">
        <v>72</v>
      </c>
      <c r="Q355" s="650"/>
      <c r="R355" s="650"/>
      <c r="S355" s="650"/>
      <c r="T355" s="650"/>
      <c r="U355" s="650"/>
      <c r="V355" s="651"/>
      <c r="W355" s="37" t="s">
        <v>67</v>
      </c>
      <c r="X355" s="645">
        <f>IFERROR(SUM(X352:X353),"0")</f>
        <v>0</v>
      </c>
      <c r="Y355" s="645">
        <f>IFERROR(SUM(Y352:Y353),"0")</f>
        <v>0</v>
      </c>
      <c r="Z355" s="37"/>
      <c r="AA355" s="646"/>
      <c r="AB355" s="646"/>
      <c r="AC355" s="646"/>
    </row>
    <row r="356" spans="1:68" ht="16.5" hidden="1" customHeight="1" x14ac:dyDescent="0.25">
      <c r="A356" s="676" t="s">
        <v>578</v>
      </c>
      <c r="B356" s="658"/>
      <c r="C356" s="658"/>
      <c r="D356" s="658"/>
      <c r="E356" s="658"/>
      <c r="F356" s="658"/>
      <c r="G356" s="658"/>
      <c r="H356" s="658"/>
      <c r="I356" s="658"/>
      <c r="J356" s="658"/>
      <c r="K356" s="658"/>
      <c r="L356" s="658"/>
      <c r="M356" s="658"/>
      <c r="N356" s="658"/>
      <c r="O356" s="658"/>
      <c r="P356" s="658"/>
      <c r="Q356" s="658"/>
      <c r="R356" s="658"/>
      <c r="S356" s="658"/>
      <c r="T356" s="658"/>
      <c r="U356" s="658"/>
      <c r="V356" s="658"/>
      <c r="W356" s="658"/>
      <c r="X356" s="658"/>
      <c r="Y356" s="658"/>
      <c r="Z356" s="658"/>
      <c r="AA356" s="638"/>
      <c r="AB356" s="638"/>
      <c r="AC356" s="638"/>
    </row>
    <row r="357" spans="1:68" ht="14.25" hidden="1" customHeight="1" x14ac:dyDescent="0.25">
      <c r="A357" s="663" t="s">
        <v>111</v>
      </c>
      <c r="B357" s="658"/>
      <c r="C357" s="658"/>
      <c r="D357" s="658"/>
      <c r="E357" s="658"/>
      <c r="F357" s="658"/>
      <c r="G357" s="658"/>
      <c r="H357" s="658"/>
      <c r="I357" s="658"/>
      <c r="J357" s="658"/>
      <c r="K357" s="658"/>
      <c r="L357" s="658"/>
      <c r="M357" s="658"/>
      <c r="N357" s="658"/>
      <c r="O357" s="658"/>
      <c r="P357" s="658"/>
      <c r="Q357" s="658"/>
      <c r="R357" s="658"/>
      <c r="S357" s="658"/>
      <c r="T357" s="658"/>
      <c r="U357" s="658"/>
      <c r="V357" s="658"/>
      <c r="W357" s="658"/>
      <c r="X357" s="658"/>
      <c r="Y357" s="658"/>
      <c r="Z357" s="658"/>
      <c r="AA357" s="639"/>
      <c r="AB357" s="639"/>
      <c r="AC357" s="639"/>
    </row>
    <row r="358" spans="1:68" ht="27" hidden="1" customHeight="1" x14ac:dyDescent="0.25">
      <c r="A358" s="54" t="s">
        <v>579</v>
      </c>
      <c r="B358" s="54" t="s">
        <v>580</v>
      </c>
      <c r="C358" s="31">
        <v>4301012324</v>
      </c>
      <c r="D358" s="647">
        <v>4680115887947</v>
      </c>
      <c r="E358" s="648"/>
      <c r="F358" s="642">
        <v>1.3</v>
      </c>
      <c r="G358" s="32">
        <v>6</v>
      </c>
      <c r="H358" s="642">
        <v>7.8</v>
      </c>
      <c r="I358" s="642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653"/>
      <c r="R358" s="653"/>
      <c r="S358" s="653"/>
      <c r="T358" s="654"/>
      <c r="U358" s="34"/>
      <c r="V358" s="34"/>
      <c r="W358" s="35" t="s">
        <v>67</v>
      </c>
      <c r="X358" s="643">
        <v>0</v>
      </c>
      <c r="Y358" s="6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9" t="s">
        <v>344</v>
      </c>
      <c r="AG358" s="64"/>
      <c r="AJ358" s="68"/>
      <c r="AK358" s="68">
        <v>0</v>
      </c>
      <c r="BB358" s="44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581</v>
      </c>
      <c r="B359" s="54" t="s">
        <v>582</v>
      </c>
      <c r="C359" s="31">
        <v>4301012325</v>
      </c>
      <c r="D359" s="647">
        <v>4680115887978</v>
      </c>
      <c r="E359" s="648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2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653"/>
      <c r="R359" s="653"/>
      <c r="S359" s="653"/>
      <c r="T359" s="654"/>
      <c r="U359" s="34"/>
      <c r="V359" s="34"/>
      <c r="W359" s="35" t="s">
        <v>67</v>
      </c>
      <c r="X359" s="643">
        <v>9</v>
      </c>
      <c r="Y359" s="644">
        <f>IFERROR(IF(X359="",0,CEILING((X359/$H359),1)*$H359),"")</f>
        <v>15.6</v>
      </c>
      <c r="Z359" s="36">
        <f>IFERROR(IF(Y359=0,"",ROUNDUP(Y359/H359,0)*0.01898),"")</f>
        <v>3.7960000000000001E-2</v>
      </c>
      <c r="AA359" s="56"/>
      <c r="AB359" s="57"/>
      <c r="AC359" s="441" t="s">
        <v>583</v>
      </c>
      <c r="AG359" s="64"/>
      <c r="AJ359" s="68"/>
      <c r="AK359" s="68">
        <v>0</v>
      </c>
      <c r="BB359" s="442" t="s">
        <v>1</v>
      </c>
      <c r="BM359" s="64">
        <f>IFERROR(X359*I359/H359,"0")</f>
        <v>9.4730769230769258</v>
      </c>
      <c r="BN359" s="64">
        <f>IFERROR(Y359*I359/H359,"0")</f>
        <v>16.420000000000002</v>
      </c>
      <c r="BO359" s="64">
        <f>IFERROR(1/J359*(X359/H359),"0")</f>
        <v>1.8028846153846156E-2</v>
      </c>
      <c r="BP359" s="64">
        <f>IFERROR(1/J359*(Y359/H359),"0")</f>
        <v>3.125E-2</v>
      </c>
    </row>
    <row r="360" spans="1:68" ht="27" hidden="1" customHeight="1" x14ac:dyDescent="0.25">
      <c r="A360" s="54" t="s">
        <v>584</v>
      </c>
      <c r="B360" s="54" t="s">
        <v>585</v>
      </c>
      <c r="C360" s="31">
        <v>4301012327</v>
      </c>
      <c r="D360" s="647">
        <v>4680115887992</v>
      </c>
      <c r="E360" s="648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1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653"/>
      <c r="R360" s="653"/>
      <c r="S360" s="653"/>
      <c r="T360" s="654"/>
      <c r="U360" s="34"/>
      <c r="V360" s="34"/>
      <c r="W360" s="35" t="s">
        <v>67</v>
      </c>
      <c r="X360" s="643">
        <v>0</v>
      </c>
      <c r="Y360" s="6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43" t="s">
        <v>586</v>
      </c>
      <c r="AG360" s="64"/>
      <c r="AJ360" s="68"/>
      <c r="AK360" s="68">
        <v>0</v>
      </c>
      <c r="BB360" s="44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57"/>
      <c r="B361" s="658"/>
      <c r="C361" s="658"/>
      <c r="D361" s="658"/>
      <c r="E361" s="658"/>
      <c r="F361" s="658"/>
      <c r="G361" s="658"/>
      <c r="H361" s="658"/>
      <c r="I361" s="658"/>
      <c r="J361" s="658"/>
      <c r="K361" s="658"/>
      <c r="L361" s="658"/>
      <c r="M361" s="658"/>
      <c r="N361" s="658"/>
      <c r="O361" s="659"/>
      <c r="P361" s="649" t="s">
        <v>72</v>
      </c>
      <c r="Q361" s="650"/>
      <c r="R361" s="650"/>
      <c r="S361" s="650"/>
      <c r="T361" s="650"/>
      <c r="U361" s="650"/>
      <c r="V361" s="651"/>
      <c r="W361" s="37" t="s">
        <v>73</v>
      </c>
      <c r="X361" s="645">
        <f>IFERROR(X358/H358,"0")+IFERROR(X359/H359,"0")+IFERROR(X360/H360,"0")</f>
        <v>1.153846153846154</v>
      </c>
      <c r="Y361" s="645">
        <f>IFERROR(Y358/H358,"0")+IFERROR(Y359/H359,"0")+IFERROR(Y360/H360,"0")</f>
        <v>2</v>
      </c>
      <c r="Z361" s="645">
        <f>IFERROR(IF(Z358="",0,Z358),"0")+IFERROR(IF(Z359="",0,Z359),"0")+IFERROR(IF(Z360="",0,Z360),"0")</f>
        <v>3.7960000000000001E-2</v>
      </c>
      <c r="AA361" s="646"/>
      <c r="AB361" s="646"/>
      <c r="AC361" s="646"/>
    </row>
    <row r="362" spans="1:68" x14ac:dyDescent="0.2">
      <c r="A362" s="658"/>
      <c r="B362" s="658"/>
      <c r="C362" s="658"/>
      <c r="D362" s="658"/>
      <c r="E362" s="658"/>
      <c r="F362" s="658"/>
      <c r="G362" s="658"/>
      <c r="H362" s="658"/>
      <c r="I362" s="658"/>
      <c r="J362" s="658"/>
      <c r="K362" s="658"/>
      <c r="L362" s="658"/>
      <c r="M362" s="658"/>
      <c r="N362" s="658"/>
      <c r="O362" s="659"/>
      <c r="P362" s="649" t="s">
        <v>72</v>
      </c>
      <c r="Q362" s="650"/>
      <c r="R362" s="650"/>
      <c r="S362" s="650"/>
      <c r="T362" s="650"/>
      <c r="U362" s="650"/>
      <c r="V362" s="651"/>
      <c r="W362" s="37" t="s">
        <v>67</v>
      </c>
      <c r="X362" s="645">
        <f>IFERROR(SUM(X358:X360),"0")</f>
        <v>9</v>
      </c>
      <c r="Y362" s="645">
        <f>IFERROR(SUM(Y358:Y360),"0")</f>
        <v>15.6</v>
      </c>
      <c r="Z362" s="37"/>
      <c r="AA362" s="646"/>
      <c r="AB362" s="646"/>
      <c r="AC362" s="646"/>
    </row>
    <row r="363" spans="1:68" ht="16.5" hidden="1" customHeight="1" x14ac:dyDescent="0.25">
      <c r="A363" s="676" t="s">
        <v>587</v>
      </c>
      <c r="B363" s="658"/>
      <c r="C363" s="658"/>
      <c r="D363" s="658"/>
      <c r="E363" s="658"/>
      <c r="F363" s="658"/>
      <c r="G363" s="658"/>
      <c r="H363" s="658"/>
      <c r="I363" s="658"/>
      <c r="J363" s="658"/>
      <c r="K363" s="658"/>
      <c r="L363" s="658"/>
      <c r="M363" s="658"/>
      <c r="N363" s="658"/>
      <c r="O363" s="658"/>
      <c r="P363" s="658"/>
      <c r="Q363" s="658"/>
      <c r="R363" s="658"/>
      <c r="S363" s="658"/>
      <c r="T363" s="658"/>
      <c r="U363" s="658"/>
      <c r="V363" s="658"/>
      <c r="W363" s="658"/>
      <c r="X363" s="658"/>
      <c r="Y363" s="658"/>
      <c r="Z363" s="658"/>
      <c r="AA363" s="638"/>
      <c r="AB363" s="638"/>
      <c r="AC363" s="638"/>
    </row>
    <row r="364" spans="1:68" ht="14.25" hidden="1" customHeight="1" x14ac:dyDescent="0.25">
      <c r="A364" s="663" t="s">
        <v>111</v>
      </c>
      <c r="B364" s="658"/>
      <c r="C364" s="658"/>
      <c r="D364" s="658"/>
      <c r="E364" s="658"/>
      <c r="F364" s="658"/>
      <c r="G364" s="658"/>
      <c r="H364" s="658"/>
      <c r="I364" s="658"/>
      <c r="J364" s="658"/>
      <c r="K364" s="658"/>
      <c r="L364" s="658"/>
      <c r="M364" s="658"/>
      <c r="N364" s="658"/>
      <c r="O364" s="658"/>
      <c r="P364" s="658"/>
      <c r="Q364" s="658"/>
      <c r="R364" s="658"/>
      <c r="S364" s="658"/>
      <c r="T364" s="658"/>
      <c r="U364" s="658"/>
      <c r="V364" s="658"/>
      <c r="W364" s="658"/>
      <c r="X364" s="658"/>
      <c r="Y364" s="658"/>
      <c r="Z364" s="658"/>
      <c r="AA364" s="639"/>
      <c r="AB364" s="639"/>
      <c r="AC364" s="639"/>
    </row>
    <row r="365" spans="1:68" ht="27" hidden="1" customHeight="1" x14ac:dyDescent="0.25">
      <c r="A365" s="54" t="s">
        <v>588</v>
      </c>
      <c r="B365" s="54" t="s">
        <v>589</v>
      </c>
      <c r="C365" s="31">
        <v>4301012400</v>
      </c>
      <c r="D365" s="647">
        <v>4680115889880</v>
      </c>
      <c r="E365" s="648"/>
      <c r="F365" s="642">
        <v>1.35</v>
      </c>
      <c r="G365" s="32">
        <v>8</v>
      </c>
      <c r="H365" s="642">
        <v>10.8</v>
      </c>
      <c r="I365" s="642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2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53"/>
      <c r="R365" s="653"/>
      <c r="S365" s="653"/>
      <c r="T365" s="654"/>
      <c r="U365" s="34"/>
      <c r="V365" s="34"/>
      <c r="W365" s="35" t="s">
        <v>67</v>
      </c>
      <c r="X365" s="643">
        <v>0</v>
      </c>
      <c r="Y365" s="644">
        <f t="shared" ref="Y365:Y371" si="63">IFERROR(IF(X365="",0,CEILING((X365/$H365),1)*$H365),"")</f>
        <v>0</v>
      </c>
      <c r="Z365" s="36" t="str">
        <f>IFERROR(IF(Y365=0,"",ROUNDUP(Y365/H365,0)*0.01898),"")</f>
        <v/>
      </c>
      <c r="AA365" s="56"/>
      <c r="AB365" s="57" t="s">
        <v>531</v>
      </c>
      <c r="AC365" s="445" t="s">
        <v>512</v>
      </c>
      <c r="AG365" s="64"/>
      <c r="AJ365" s="68"/>
      <c r="AK365" s="68">
        <v>0</v>
      </c>
      <c r="BB365" s="446" t="s">
        <v>1</v>
      </c>
      <c r="BM365" s="64">
        <f t="shared" ref="BM365:BM371" si="64">IFERROR(X365*I365/H365,"0")</f>
        <v>0</v>
      </c>
      <c r="BN365" s="64">
        <f t="shared" ref="BN365:BN371" si="65">IFERROR(Y365*I365/H365,"0")</f>
        <v>0</v>
      </c>
      <c r="BO365" s="64">
        <f t="shared" ref="BO365:BO371" si="66">IFERROR(1/J365*(X365/H365),"0")</f>
        <v>0</v>
      </c>
      <c r="BP365" s="64">
        <f t="shared" ref="BP365:BP371" si="67">IFERROR(1/J365*(Y365/H365),"0")</f>
        <v>0</v>
      </c>
    </row>
    <row r="366" spans="1:68" ht="27" hidden="1" customHeight="1" x14ac:dyDescent="0.25">
      <c r="A366" s="54" t="s">
        <v>590</v>
      </c>
      <c r="B366" s="54" t="s">
        <v>591</v>
      </c>
      <c r="C366" s="31">
        <v>4301012360</v>
      </c>
      <c r="D366" s="647">
        <v>4680115889293</v>
      </c>
      <c r="E366" s="648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653"/>
      <c r="R366" s="653"/>
      <c r="S366" s="653"/>
      <c r="T366" s="654"/>
      <c r="U366" s="34"/>
      <c r="V366" s="34"/>
      <c r="W366" s="35" t="s">
        <v>67</v>
      </c>
      <c r="X366" s="643">
        <v>0</v>
      </c>
      <c r="Y366" s="644">
        <f t="shared" si="63"/>
        <v>0</v>
      </c>
      <c r="Z366" s="36" t="str">
        <f>IFERROR(IF(Y366=0,"",ROUNDUP(Y366/H366,0)*0.01898),"")</f>
        <v/>
      </c>
      <c r="AA366" s="56"/>
      <c r="AB366" s="57"/>
      <c r="AC366" s="447" t="s">
        <v>592</v>
      </c>
      <c r="AG366" s="64"/>
      <c r="AJ366" s="68"/>
      <c r="AK366" s="68">
        <v>0</v>
      </c>
      <c r="BB366" s="448" t="s">
        <v>1</v>
      </c>
      <c r="BM366" s="64">
        <f t="shared" si="64"/>
        <v>0</v>
      </c>
      <c r="BN366" s="64">
        <f t="shared" si="65"/>
        <v>0</v>
      </c>
      <c r="BO366" s="64">
        <f t="shared" si="66"/>
        <v>0</v>
      </c>
      <c r="BP366" s="64">
        <f t="shared" si="67"/>
        <v>0</v>
      </c>
    </row>
    <row r="367" spans="1:68" ht="27" hidden="1" customHeight="1" x14ac:dyDescent="0.25">
      <c r="A367" s="54" t="s">
        <v>593</v>
      </c>
      <c r="B367" s="54" t="s">
        <v>594</v>
      </c>
      <c r="C367" s="31">
        <v>4301012235</v>
      </c>
      <c r="D367" s="647">
        <v>4680115887190</v>
      </c>
      <c r="E367" s="648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7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53"/>
      <c r="R367" s="653"/>
      <c r="S367" s="653"/>
      <c r="T367" s="654"/>
      <c r="U367" s="34"/>
      <c r="V367" s="34"/>
      <c r="W367" s="35" t="s">
        <v>67</v>
      </c>
      <c r="X367" s="643">
        <v>0</v>
      </c>
      <c r="Y367" s="644">
        <f t="shared" si="63"/>
        <v>0</v>
      </c>
      <c r="Z367" s="36" t="str">
        <f>IFERROR(IF(Y367=0,"",ROUNDUP(Y367/H367,0)*0.01898),"")</f>
        <v/>
      </c>
      <c r="AA367" s="56"/>
      <c r="AB367" s="57"/>
      <c r="AC367" s="449" t="s">
        <v>595</v>
      </c>
      <c r="AG367" s="64"/>
      <c r="AJ367" s="68"/>
      <c r="AK367" s="68">
        <v>0</v>
      </c>
      <c r="BB367" s="450" t="s">
        <v>1</v>
      </c>
      <c r="BM367" s="64">
        <f t="shared" si="64"/>
        <v>0</v>
      </c>
      <c r="BN367" s="64">
        <f t="shared" si="65"/>
        <v>0</v>
      </c>
      <c r="BO367" s="64">
        <f t="shared" si="66"/>
        <v>0</v>
      </c>
      <c r="BP367" s="64">
        <f t="shared" si="67"/>
        <v>0</v>
      </c>
    </row>
    <row r="368" spans="1:68" ht="37.5" hidden="1" customHeight="1" x14ac:dyDescent="0.25">
      <c r="A368" s="54" t="s">
        <v>596</v>
      </c>
      <c r="B368" s="54" t="s">
        <v>597</v>
      </c>
      <c r="C368" s="31">
        <v>4301012233</v>
      </c>
      <c r="D368" s="647">
        <v>4680115887138</v>
      </c>
      <c r="E368" s="648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115</v>
      </c>
      <c r="N368" s="33"/>
      <c r="O368" s="32">
        <v>55</v>
      </c>
      <c r="P368" s="10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53"/>
      <c r="R368" s="653"/>
      <c r="S368" s="653"/>
      <c r="T368" s="654"/>
      <c r="U368" s="34"/>
      <c r="V368" s="34"/>
      <c r="W368" s="35" t="s">
        <v>67</v>
      </c>
      <c r="X368" s="643">
        <v>0</v>
      </c>
      <c r="Y368" s="644">
        <f t="shared" si="63"/>
        <v>0</v>
      </c>
      <c r="Z368" s="36" t="str">
        <f>IFERROR(IF(Y368=0,"",ROUNDUP(Y368/H368,0)*0.01898),"")</f>
        <v/>
      </c>
      <c r="AA368" s="56"/>
      <c r="AB368" s="57"/>
      <c r="AC368" s="451" t="s">
        <v>598</v>
      </c>
      <c r="AG368" s="64"/>
      <c r="AJ368" s="68"/>
      <c r="AK368" s="68">
        <v>0</v>
      </c>
      <c r="BB368" s="452" t="s">
        <v>1</v>
      </c>
      <c r="BM368" s="64">
        <f t="shared" si="64"/>
        <v>0</v>
      </c>
      <c r="BN368" s="64">
        <f t="shared" si="65"/>
        <v>0</v>
      </c>
      <c r="BO368" s="64">
        <f t="shared" si="66"/>
        <v>0</v>
      </c>
      <c r="BP368" s="64">
        <f t="shared" si="67"/>
        <v>0</v>
      </c>
    </row>
    <row r="369" spans="1:68" ht="27" customHeight="1" x14ac:dyDescent="0.25">
      <c r="A369" s="54" t="s">
        <v>599</v>
      </c>
      <c r="B369" s="54" t="s">
        <v>600</v>
      </c>
      <c r="C369" s="31">
        <v>4301012016</v>
      </c>
      <c r="D369" s="647">
        <v>4680115885554</v>
      </c>
      <c r="E369" s="648"/>
      <c r="F369" s="642">
        <v>1.35</v>
      </c>
      <c r="G369" s="32">
        <v>8</v>
      </c>
      <c r="H369" s="642">
        <v>10.8</v>
      </c>
      <c r="I369" s="642">
        <v>11.21</v>
      </c>
      <c r="J369" s="32">
        <v>64</v>
      </c>
      <c r="K369" s="32" t="s">
        <v>114</v>
      </c>
      <c r="L369" s="32"/>
      <c r="M369" s="33" t="s">
        <v>78</v>
      </c>
      <c r="N369" s="33"/>
      <c r="O369" s="32">
        <v>55</v>
      </c>
      <c r="P369" s="9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53"/>
      <c r="R369" s="653"/>
      <c r="S369" s="653"/>
      <c r="T369" s="654"/>
      <c r="U369" s="34"/>
      <c r="V369" s="34"/>
      <c r="W369" s="35" t="s">
        <v>67</v>
      </c>
      <c r="X369" s="643">
        <v>25</v>
      </c>
      <c r="Y369" s="644">
        <f t="shared" si="63"/>
        <v>32.400000000000006</v>
      </c>
      <c r="Z369" s="36">
        <f>IFERROR(IF(Y369=0,"",ROUNDUP(Y369/H369,0)*0.01898),"")</f>
        <v>5.6940000000000004E-2</v>
      </c>
      <c r="AA369" s="56"/>
      <c r="AB369" s="57"/>
      <c r="AC369" s="453" t="s">
        <v>601</v>
      </c>
      <c r="AG369" s="64"/>
      <c r="AJ369" s="68"/>
      <c r="AK369" s="68">
        <v>0</v>
      </c>
      <c r="BB369" s="454" t="s">
        <v>1</v>
      </c>
      <c r="BM369" s="64">
        <f t="shared" si="64"/>
        <v>25.949074074074073</v>
      </c>
      <c r="BN369" s="64">
        <f t="shared" si="65"/>
        <v>33.630000000000003</v>
      </c>
      <c r="BO369" s="64">
        <f t="shared" si="66"/>
        <v>3.6168981481481483E-2</v>
      </c>
      <c r="BP369" s="64">
        <f t="shared" si="67"/>
        <v>4.6875000000000007E-2</v>
      </c>
    </row>
    <row r="370" spans="1:68" ht="27" hidden="1" customHeight="1" x14ac:dyDescent="0.25">
      <c r="A370" s="54" t="s">
        <v>602</v>
      </c>
      <c r="B370" s="54" t="s">
        <v>603</v>
      </c>
      <c r="C370" s="31">
        <v>4301012236</v>
      </c>
      <c r="D370" s="647">
        <v>4680115887220</v>
      </c>
      <c r="E370" s="648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53"/>
      <c r="R370" s="653"/>
      <c r="S370" s="653"/>
      <c r="T370" s="654"/>
      <c r="U370" s="34"/>
      <c r="V370" s="34"/>
      <c r="W370" s="35" t="s">
        <v>67</v>
      </c>
      <c r="X370" s="643">
        <v>0</v>
      </c>
      <c r="Y370" s="644">
        <f t="shared" si="63"/>
        <v>0</v>
      </c>
      <c r="Z370" s="36" t="str">
        <f>IFERROR(IF(Y370=0,"",ROUNDUP(Y370/H370,0)*0.00902),"")</f>
        <v/>
      </c>
      <c r="AA370" s="56"/>
      <c r="AB370" s="57"/>
      <c r="AC370" s="455" t="s">
        <v>595</v>
      </c>
      <c r="AG370" s="64"/>
      <c r="AJ370" s="68"/>
      <c r="AK370" s="68">
        <v>0</v>
      </c>
      <c r="BB370" s="456" t="s">
        <v>1</v>
      </c>
      <c r="BM370" s="64">
        <f t="shared" si="64"/>
        <v>0</v>
      </c>
      <c r="BN370" s="64">
        <f t="shared" si="65"/>
        <v>0</v>
      </c>
      <c r="BO370" s="64">
        <f t="shared" si="66"/>
        <v>0</v>
      </c>
      <c r="BP370" s="64">
        <f t="shared" si="67"/>
        <v>0</v>
      </c>
    </row>
    <row r="371" spans="1:68" ht="27" hidden="1" customHeight="1" x14ac:dyDescent="0.25">
      <c r="A371" s="54" t="s">
        <v>604</v>
      </c>
      <c r="B371" s="54" t="s">
        <v>605</v>
      </c>
      <c r="C371" s="31">
        <v>4301011859</v>
      </c>
      <c r="D371" s="647">
        <v>4680115885608</v>
      </c>
      <c r="E371" s="648"/>
      <c r="F371" s="642">
        <v>0.4</v>
      </c>
      <c r="G371" s="32">
        <v>10</v>
      </c>
      <c r="H371" s="642">
        <v>4</v>
      </c>
      <c r="I371" s="642">
        <v>4.1900000000000004</v>
      </c>
      <c r="J371" s="32">
        <v>132</v>
      </c>
      <c r="K371" s="32" t="s">
        <v>123</v>
      </c>
      <c r="L371" s="32"/>
      <c r="M371" s="33" t="s">
        <v>115</v>
      </c>
      <c r="N371" s="33"/>
      <c r="O371" s="32">
        <v>55</v>
      </c>
      <c r="P371" s="80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53"/>
      <c r="R371" s="653"/>
      <c r="S371" s="653"/>
      <c r="T371" s="654"/>
      <c r="U371" s="34"/>
      <c r="V371" s="34"/>
      <c r="W371" s="35" t="s">
        <v>67</v>
      </c>
      <c r="X371" s="643">
        <v>0</v>
      </c>
      <c r="Y371" s="644">
        <f t="shared" si="63"/>
        <v>0</v>
      </c>
      <c r="Z371" s="36" t="str">
        <f>IFERROR(IF(Y371=0,"",ROUNDUP(Y371/H371,0)*0.00902),"")</f>
        <v/>
      </c>
      <c r="AA371" s="56"/>
      <c r="AB371" s="57"/>
      <c r="AC371" s="457" t="s">
        <v>606</v>
      </c>
      <c r="AG371" s="64"/>
      <c r="AJ371" s="68"/>
      <c r="AK371" s="68">
        <v>0</v>
      </c>
      <c r="BB371" s="458" t="s">
        <v>1</v>
      </c>
      <c r="BM371" s="64">
        <f t="shared" si="64"/>
        <v>0</v>
      </c>
      <c r="BN371" s="64">
        <f t="shared" si="65"/>
        <v>0</v>
      </c>
      <c r="BO371" s="64">
        <f t="shared" si="66"/>
        <v>0</v>
      </c>
      <c r="BP371" s="64">
        <f t="shared" si="67"/>
        <v>0</v>
      </c>
    </row>
    <row r="372" spans="1:68" x14ac:dyDescent="0.2">
      <c r="A372" s="657"/>
      <c r="B372" s="658"/>
      <c r="C372" s="658"/>
      <c r="D372" s="658"/>
      <c r="E372" s="658"/>
      <c r="F372" s="658"/>
      <c r="G372" s="658"/>
      <c r="H372" s="658"/>
      <c r="I372" s="658"/>
      <c r="J372" s="658"/>
      <c r="K372" s="658"/>
      <c r="L372" s="658"/>
      <c r="M372" s="658"/>
      <c r="N372" s="658"/>
      <c r="O372" s="659"/>
      <c r="P372" s="649" t="s">
        <v>72</v>
      </c>
      <c r="Q372" s="650"/>
      <c r="R372" s="650"/>
      <c r="S372" s="650"/>
      <c r="T372" s="650"/>
      <c r="U372" s="650"/>
      <c r="V372" s="651"/>
      <c r="W372" s="37" t="s">
        <v>73</v>
      </c>
      <c r="X372" s="645">
        <f>IFERROR(X365/H365,"0")+IFERROR(X366/H366,"0")+IFERROR(X367/H367,"0")+IFERROR(X368/H368,"0")+IFERROR(X369/H369,"0")+IFERROR(X370/H370,"0")+IFERROR(X371/H371,"0")</f>
        <v>2.3148148148148149</v>
      </c>
      <c r="Y372" s="645">
        <f>IFERROR(Y365/H365,"0")+IFERROR(Y366/H366,"0")+IFERROR(Y367/H367,"0")+IFERROR(Y368/H368,"0")+IFERROR(Y369/H369,"0")+IFERROR(Y370/H370,"0")+IFERROR(Y371/H371,"0")</f>
        <v>3.0000000000000004</v>
      </c>
      <c r="Z372" s="645">
        <f>IFERROR(IF(Z365="",0,Z365),"0")+IFERROR(IF(Z366="",0,Z366),"0")+IFERROR(IF(Z367="",0,Z367),"0")+IFERROR(IF(Z368="",0,Z368),"0")+IFERROR(IF(Z369="",0,Z369),"0")+IFERROR(IF(Z370="",0,Z370),"0")+IFERROR(IF(Z371="",0,Z371),"0")</f>
        <v>5.6940000000000004E-2</v>
      </c>
      <c r="AA372" s="646"/>
      <c r="AB372" s="646"/>
      <c r="AC372" s="646"/>
    </row>
    <row r="373" spans="1:68" x14ac:dyDescent="0.2">
      <c r="A373" s="658"/>
      <c r="B373" s="658"/>
      <c r="C373" s="658"/>
      <c r="D373" s="658"/>
      <c r="E373" s="658"/>
      <c r="F373" s="658"/>
      <c r="G373" s="658"/>
      <c r="H373" s="658"/>
      <c r="I373" s="658"/>
      <c r="J373" s="658"/>
      <c r="K373" s="658"/>
      <c r="L373" s="658"/>
      <c r="M373" s="658"/>
      <c r="N373" s="658"/>
      <c r="O373" s="659"/>
      <c r="P373" s="649" t="s">
        <v>72</v>
      </c>
      <c r="Q373" s="650"/>
      <c r="R373" s="650"/>
      <c r="S373" s="650"/>
      <c r="T373" s="650"/>
      <c r="U373" s="650"/>
      <c r="V373" s="651"/>
      <c r="W373" s="37" t="s">
        <v>67</v>
      </c>
      <c r="X373" s="645">
        <f>IFERROR(SUM(X365:X371),"0")</f>
        <v>25</v>
      </c>
      <c r="Y373" s="645">
        <f>IFERROR(SUM(Y365:Y371),"0")</f>
        <v>32.400000000000006</v>
      </c>
      <c r="Z373" s="37"/>
      <c r="AA373" s="646"/>
      <c r="AB373" s="646"/>
      <c r="AC373" s="646"/>
    </row>
    <row r="374" spans="1:68" ht="14.25" hidden="1" customHeight="1" x14ac:dyDescent="0.25">
      <c r="A374" s="663" t="s">
        <v>62</v>
      </c>
      <c r="B374" s="658"/>
      <c r="C374" s="658"/>
      <c r="D374" s="658"/>
      <c r="E374" s="658"/>
      <c r="F374" s="658"/>
      <c r="G374" s="658"/>
      <c r="H374" s="658"/>
      <c r="I374" s="658"/>
      <c r="J374" s="658"/>
      <c r="K374" s="658"/>
      <c r="L374" s="658"/>
      <c r="M374" s="658"/>
      <c r="N374" s="658"/>
      <c r="O374" s="658"/>
      <c r="P374" s="658"/>
      <c r="Q374" s="658"/>
      <c r="R374" s="658"/>
      <c r="S374" s="658"/>
      <c r="T374" s="658"/>
      <c r="U374" s="658"/>
      <c r="V374" s="658"/>
      <c r="W374" s="658"/>
      <c r="X374" s="658"/>
      <c r="Y374" s="658"/>
      <c r="Z374" s="658"/>
      <c r="AA374" s="639"/>
      <c r="AB374" s="639"/>
      <c r="AC374" s="639"/>
    </row>
    <row r="375" spans="1:68" ht="27" hidden="1" customHeight="1" x14ac:dyDescent="0.25">
      <c r="A375" s="54" t="s">
        <v>607</v>
      </c>
      <c r="B375" s="54" t="s">
        <v>608</v>
      </c>
      <c r="C375" s="31">
        <v>4301030878</v>
      </c>
      <c r="D375" s="647">
        <v>4607091387193</v>
      </c>
      <c r="E375" s="648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35</v>
      </c>
      <c r="P375" s="8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53"/>
      <c r="R375" s="653"/>
      <c r="S375" s="653"/>
      <c r="T375" s="654"/>
      <c r="U375" s="34"/>
      <c r="V375" s="34"/>
      <c r="W375" s="35" t="s">
        <v>67</v>
      </c>
      <c r="X375" s="643">
        <v>0</v>
      </c>
      <c r="Y375" s="644">
        <f t="shared" ref="Y375:Y381" si="68"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59" t="s">
        <v>609</v>
      </c>
      <c r="AG375" s="64"/>
      <c r="AJ375" s="68"/>
      <c r="AK375" s="68">
        <v>0</v>
      </c>
      <c r="BB375" s="460" t="s">
        <v>1</v>
      </c>
      <c r="BM375" s="64">
        <f t="shared" ref="BM375:BM381" si="69">IFERROR(X375*I375/H375,"0")</f>
        <v>0</v>
      </c>
      <c r="BN375" s="64">
        <f t="shared" ref="BN375:BN381" si="70">IFERROR(Y375*I375/H375,"0")</f>
        <v>0</v>
      </c>
      <c r="BO375" s="64">
        <f t="shared" ref="BO375:BO381" si="71">IFERROR(1/J375*(X375/H375),"0")</f>
        <v>0</v>
      </c>
      <c r="BP375" s="64">
        <f t="shared" ref="BP375:BP381" si="72">IFERROR(1/J375*(Y375/H375),"0")</f>
        <v>0</v>
      </c>
    </row>
    <row r="376" spans="1:68" ht="27" customHeight="1" x14ac:dyDescent="0.25">
      <c r="A376" s="54" t="s">
        <v>610</v>
      </c>
      <c r="B376" s="54" t="s">
        <v>611</v>
      </c>
      <c r="C376" s="31">
        <v>4301031153</v>
      </c>
      <c r="D376" s="647">
        <v>4607091387230</v>
      </c>
      <c r="E376" s="648"/>
      <c r="F376" s="642">
        <v>0.7</v>
      </c>
      <c r="G376" s="32">
        <v>6</v>
      </c>
      <c r="H376" s="642">
        <v>4.2</v>
      </c>
      <c r="I376" s="642">
        <v>4.45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40</v>
      </c>
      <c r="P376" s="7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53"/>
      <c r="R376" s="653"/>
      <c r="S376" s="653"/>
      <c r="T376" s="654"/>
      <c r="U376" s="34"/>
      <c r="V376" s="34"/>
      <c r="W376" s="35" t="s">
        <v>67</v>
      </c>
      <c r="X376" s="643">
        <v>8</v>
      </c>
      <c r="Y376" s="644">
        <f t="shared" si="68"/>
        <v>8.4</v>
      </c>
      <c r="Z376" s="36">
        <f>IFERROR(IF(Y376=0,"",ROUNDUP(Y376/H376,0)*0.00902),"")</f>
        <v>1.804E-2</v>
      </c>
      <c r="AA376" s="56"/>
      <c r="AB376" s="57"/>
      <c r="AC376" s="461" t="s">
        <v>612</v>
      </c>
      <c r="AG376" s="64"/>
      <c r="AJ376" s="68"/>
      <c r="AK376" s="68">
        <v>0</v>
      </c>
      <c r="BB376" s="462" t="s">
        <v>1</v>
      </c>
      <c r="BM376" s="64">
        <f t="shared" si="69"/>
        <v>8.4761904761904763</v>
      </c>
      <c r="BN376" s="64">
        <f t="shared" si="70"/>
        <v>8.9</v>
      </c>
      <c r="BO376" s="64">
        <f t="shared" si="71"/>
        <v>1.443001443001443E-2</v>
      </c>
      <c r="BP376" s="64">
        <f t="shared" si="72"/>
        <v>1.5151515151515152E-2</v>
      </c>
    </row>
    <row r="377" spans="1:68" ht="27" hidden="1" customHeight="1" x14ac:dyDescent="0.25">
      <c r="A377" s="54" t="s">
        <v>613</v>
      </c>
      <c r="B377" s="54" t="s">
        <v>614</v>
      </c>
      <c r="C377" s="31">
        <v>4301031154</v>
      </c>
      <c r="D377" s="647">
        <v>4607091387292</v>
      </c>
      <c r="E377" s="648"/>
      <c r="F377" s="642">
        <v>0.73</v>
      </c>
      <c r="G377" s="32">
        <v>6</v>
      </c>
      <c r="H377" s="642">
        <v>4.38</v>
      </c>
      <c r="I377" s="642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6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53"/>
      <c r="R377" s="653"/>
      <c r="S377" s="653"/>
      <c r="T377" s="654"/>
      <c r="U377" s="34"/>
      <c r="V377" s="34"/>
      <c r="W377" s="35" t="s">
        <v>67</v>
      </c>
      <c r="X377" s="643">
        <v>0</v>
      </c>
      <c r="Y377" s="644">
        <f t="shared" si="68"/>
        <v>0</v>
      </c>
      <c r="Z377" s="36" t="str">
        <f>IFERROR(IF(Y377=0,"",ROUNDUP(Y377/H377,0)*0.00902),"")</f>
        <v/>
      </c>
      <c r="AA377" s="56"/>
      <c r="AB377" s="57"/>
      <c r="AC377" s="463" t="s">
        <v>615</v>
      </c>
      <c r="AG377" s="64"/>
      <c r="AJ377" s="68"/>
      <c r="AK377" s="68">
        <v>0</v>
      </c>
      <c r="BB377" s="464" t="s">
        <v>1</v>
      </c>
      <c r="BM377" s="64">
        <f t="shared" si="69"/>
        <v>0</v>
      </c>
      <c r="BN377" s="64">
        <f t="shared" si="70"/>
        <v>0</v>
      </c>
      <c r="BO377" s="64">
        <f t="shared" si="71"/>
        <v>0</v>
      </c>
      <c r="BP377" s="64">
        <f t="shared" si="72"/>
        <v>0</v>
      </c>
    </row>
    <row r="378" spans="1:68" ht="27" hidden="1" customHeight="1" x14ac:dyDescent="0.25">
      <c r="A378" s="54" t="s">
        <v>616</v>
      </c>
      <c r="B378" s="54" t="s">
        <v>617</v>
      </c>
      <c r="C378" s="31">
        <v>4301031152</v>
      </c>
      <c r="D378" s="647">
        <v>4607091387285</v>
      </c>
      <c r="E378" s="648"/>
      <c r="F378" s="642">
        <v>0.35</v>
      </c>
      <c r="G378" s="32">
        <v>6</v>
      </c>
      <c r="H378" s="642">
        <v>2.1</v>
      </c>
      <c r="I378" s="642">
        <v>2.23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9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53"/>
      <c r="R378" s="653"/>
      <c r="S378" s="653"/>
      <c r="T378" s="654"/>
      <c r="U378" s="34"/>
      <c r="V378" s="34"/>
      <c r="W378" s="35" t="s">
        <v>67</v>
      </c>
      <c r="X378" s="643">
        <v>0</v>
      </c>
      <c r="Y378" s="644">
        <f t="shared" si="68"/>
        <v>0</v>
      </c>
      <c r="Z378" s="36" t="str">
        <f>IFERROR(IF(Y378=0,"",ROUNDUP(Y378/H378,0)*0.00502),"")</f>
        <v/>
      </c>
      <c r="AA378" s="56"/>
      <c r="AB378" s="57"/>
      <c r="AC378" s="465" t="s">
        <v>612</v>
      </c>
      <c r="AG378" s="64"/>
      <c r="AJ378" s="68"/>
      <c r="AK378" s="68">
        <v>0</v>
      </c>
      <c r="BB378" s="466" t="s">
        <v>1</v>
      </c>
      <c r="BM378" s="64">
        <f t="shared" si="69"/>
        <v>0</v>
      </c>
      <c r="BN378" s="64">
        <f t="shared" si="70"/>
        <v>0</v>
      </c>
      <c r="BO378" s="64">
        <f t="shared" si="71"/>
        <v>0</v>
      </c>
      <c r="BP378" s="64">
        <f t="shared" si="72"/>
        <v>0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4301031305</v>
      </c>
      <c r="D379" s="647">
        <v>4607091389845</v>
      </c>
      <c r="E379" s="648"/>
      <c r="F379" s="642">
        <v>0.35</v>
      </c>
      <c r="G379" s="32">
        <v>6</v>
      </c>
      <c r="H379" s="642">
        <v>2.1</v>
      </c>
      <c r="I379" s="642">
        <v>2.2000000000000002</v>
      </c>
      <c r="J379" s="32">
        <v>234</v>
      </c>
      <c r="K379" s="32" t="s">
        <v>65</v>
      </c>
      <c r="L379" s="32"/>
      <c r="M379" s="33" t="s">
        <v>66</v>
      </c>
      <c r="N379" s="33"/>
      <c r="O379" s="32">
        <v>40</v>
      </c>
      <c r="P379" s="70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53"/>
      <c r="R379" s="653"/>
      <c r="S379" s="653"/>
      <c r="T379" s="654"/>
      <c r="U379" s="34"/>
      <c r="V379" s="34"/>
      <c r="W379" s="35" t="s">
        <v>67</v>
      </c>
      <c r="X379" s="643">
        <v>0</v>
      </c>
      <c r="Y379" s="644">
        <f t="shared" si="68"/>
        <v>0</v>
      </c>
      <c r="Z379" s="36" t="str">
        <f>IFERROR(IF(Y379=0,"",ROUNDUP(Y379/H379,0)*0.00502),"")</f>
        <v/>
      </c>
      <c r="AA379" s="56"/>
      <c r="AB379" s="57"/>
      <c r="AC379" s="467" t="s">
        <v>620</v>
      </c>
      <c r="AG379" s="64"/>
      <c r="AJ379" s="68"/>
      <c r="AK379" s="68">
        <v>0</v>
      </c>
      <c r="BB379" s="468" t="s">
        <v>1</v>
      </c>
      <c r="BM379" s="64">
        <f t="shared" si="69"/>
        <v>0</v>
      </c>
      <c r="BN379" s="64">
        <f t="shared" si="70"/>
        <v>0</v>
      </c>
      <c r="BO379" s="64">
        <f t="shared" si="71"/>
        <v>0</v>
      </c>
      <c r="BP379" s="64">
        <f t="shared" si="72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4301031460</v>
      </c>
      <c r="D380" s="647">
        <v>4680115887442</v>
      </c>
      <c r="E380" s="648"/>
      <c r="F380" s="642">
        <v>0.73</v>
      </c>
      <c r="G380" s="32">
        <v>6</v>
      </c>
      <c r="H380" s="642">
        <v>4.38</v>
      </c>
      <c r="I380" s="642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6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53"/>
      <c r="R380" s="653"/>
      <c r="S380" s="653"/>
      <c r="T380" s="654"/>
      <c r="U380" s="34"/>
      <c r="V380" s="34"/>
      <c r="W380" s="35" t="s">
        <v>67</v>
      </c>
      <c r="X380" s="643">
        <v>0</v>
      </c>
      <c r="Y380" s="644">
        <f t="shared" si="68"/>
        <v>0</v>
      </c>
      <c r="Z380" s="36" t="str">
        <f>IFERROR(IF(Y380=0,"",ROUNDUP(Y380/H380,0)*0.00902),"")</f>
        <v/>
      </c>
      <c r="AA380" s="56"/>
      <c r="AB380" s="57"/>
      <c r="AC380" s="469" t="s">
        <v>615</v>
      </c>
      <c r="AG380" s="64"/>
      <c r="AJ380" s="68"/>
      <c r="AK380" s="68">
        <v>0</v>
      </c>
      <c r="BB380" s="470" t="s">
        <v>1</v>
      </c>
      <c r="BM380" s="64">
        <f t="shared" si="69"/>
        <v>0</v>
      </c>
      <c r="BN380" s="64">
        <f t="shared" si="70"/>
        <v>0</v>
      </c>
      <c r="BO380" s="64">
        <f t="shared" si="71"/>
        <v>0</v>
      </c>
      <c r="BP380" s="64">
        <f t="shared" si="72"/>
        <v>0</v>
      </c>
    </row>
    <row r="381" spans="1:68" ht="27" customHeight="1" x14ac:dyDescent="0.25">
      <c r="A381" s="54" t="s">
        <v>623</v>
      </c>
      <c r="B381" s="54" t="s">
        <v>624</v>
      </c>
      <c r="C381" s="31">
        <v>4301031066</v>
      </c>
      <c r="D381" s="647">
        <v>4607091383836</v>
      </c>
      <c r="E381" s="648"/>
      <c r="F381" s="642">
        <v>0.3</v>
      </c>
      <c r="G381" s="32">
        <v>6</v>
      </c>
      <c r="H381" s="642">
        <v>1.8</v>
      </c>
      <c r="I381" s="642">
        <v>2.028</v>
      </c>
      <c r="J381" s="32">
        <v>182</v>
      </c>
      <c r="K381" s="32" t="s">
        <v>77</v>
      </c>
      <c r="L381" s="32"/>
      <c r="M381" s="33" t="s">
        <v>66</v>
      </c>
      <c r="N381" s="33"/>
      <c r="O381" s="32">
        <v>40</v>
      </c>
      <c r="P381" s="69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53"/>
      <c r="R381" s="653"/>
      <c r="S381" s="653"/>
      <c r="T381" s="654"/>
      <c r="U381" s="34"/>
      <c r="V381" s="34"/>
      <c r="W381" s="35" t="s">
        <v>67</v>
      </c>
      <c r="X381" s="643">
        <v>24</v>
      </c>
      <c r="Y381" s="644">
        <f t="shared" si="68"/>
        <v>25.2</v>
      </c>
      <c r="Z381" s="36">
        <f>IFERROR(IF(Y381=0,"",ROUNDUP(Y381/H381,0)*0.00651),"")</f>
        <v>9.1139999999999999E-2</v>
      </c>
      <c r="AA381" s="56"/>
      <c r="AB381" s="57"/>
      <c r="AC381" s="471" t="s">
        <v>625</v>
      </c>
      <c r="AG381" s="64"/>
      <c r="AJ381" s="68"/>
      <c r="AK381" s="68">
        <v>0</v>
      </c>
      <c r="BB381" s="472" t="s">
        <v>1</v>
      </c>
      <c r="BM381" s="64">
        <f t="shared" si="69"/>
        <v>27.04</v>
      </c>
      <c r="BN381" s="64">
        <f t="shared" si="70"/>
        <v>28.391999999999999</v>
      </c>
      <c r="BO381" s="64">
        <f t="shared" si="71"/>
        <v>7.3260073260073263E-2</v>
      </c>
      <c r="BP381" s="64">
        <f t="shared" si="72"/>
        <v>7.6923076923076927E-2</v>
      </c>
    </row>
    <row r="382" spans="1:68" x14ac:dyDescent="0.2">
      <c r="A382" s="657"/>
      <c r="B382" s="658"/>
      <c r="C382" s="658"/>
      <c r="D382" s="658"/>
      <c r="E382" s="658"/>
      <c r="F382" s="658"/>
      <c r="G382" s="658"/>
      <c r="H382" s="658"/>
      <c r="I382" s="658"/>
      <c r="J382" s="658"/>
      <c r="K382" s="658"/>
      <c r="L382" s="658"/>
      <c r="M382" s="658"/>
      <c r="N382" s="658"/>
      <c r="O382" s="659"/>
      <c r="P382" s="649" t="s">
        <v>72</v>
      </c>
      <c r="Q382" s="650"/>
      <c r="R382" s="650"/>
      <c r="S382" s="650"/>
      <c r="T382" s="650"/>
      <c r="U382" s="650"/>
      <c r="V382" s="651"/>
      <c r="W382" s="37" t="s">
        <v>73</v>
      </c>
      <c r="X382" s="645">
        <f>IFERROR(X375/H375,"0")+IFERROR(X376/H376,"0")+IFERROR(X377/H377,"0")+IFERROR(X378/H378,"0")+IFERROR(X379/H379,"0")+IFERROR(X380/H380,"0")+IFERROR(X381/H381,"0")</f>
        <v>15.238095238095237</v>
      </c>
      <c r="Y382" s="645">
        <f>IFERROR(Y375/H375,"0")+IFERROR(Y376/H376,"0")+IFERROR(Y377/H377,"0")+IFERROR(Y378/H378,"0")+IFERROR(Y379/H379,"0")+IFERROR(Y380/H380,"0")+IFERROR(Y381/H381,"0")</f>
        <v>16</v>
      </c>
      <c r="Z382" s="645">
        <f>IFERROR(IF(Z375="",0,Z375),"0")+IFERROR(IF(Z376="",0,Z376),"0")+IFERROR(IF(Z377="",0,Z377),"0")+IFERROR(IF(Z378="",0,Z378),"0")+IFERROR(IF(Z379="",0,Z379),"0")+IFERROR(IF(Z380="",0,Z380),"0")+IFERROR(IF(Z381="",0,Z381),"0")</f>
        <v>0.10918</v>
      </c>
      <c r="AA382" s="646"/>
      <c r="AB382" s="646"/>
      <c r="AC382" s="646"/>
    </row>
    <row r="383" spans="1:68" x14ac:dyDescent="0.2">
      <c r="A383" s="658"/>
      <c r="B383" s="658"/>
      <c r="C383" s="658"/>
      <c r="D383" s="658"/>
      <c r="E383" s="658"/>
      <c r="F383" s="658"/>
      <c r="G383" s="658"/>
      <c r="H383" s="658"/>
      <c r="I383" s="658"/>
      <c r="J383" s="658"/>
      <c r="K383" s="658"/>
      <c r="L383" s="658"/>
      <c r="M383" s="658"/>
      <c r="N383" s="658"/>
      <c r="O383" s="659"/>
      <c r="P383" s="649" t="s">
        <v>72</v>
      </c>
      <c r="Q383" s="650"/>
      <c r="R383" s="650"/>
      <c r="S383" s="650"/>
      <c r="T383" s="650"/>
      <c r="U383" s="650"/>
      <c r="V383" s="651"/>
      <c r="W383" s="37" t="s">
        <v>67</v>
      </c>
      <c r="X383" s="645">
        <f>IFERROR(SUM(X375:X381),"0")</f>
        <v>32</v>
      </c>
      <c r="Y383" s="645">
        <f>IFERROR(SUM(Y375:Y381),"0")</f>
        <v>33.6</v>
      </c>
      <c r="Z383" s="37"/>
      <c r="AA383" s="646"/>
      <c r="AB383" s="646"/>
      <c r="AC383" s="646"/>
    </row>
    <row r="384" spans="1:68" ht="14.25" hidden="1" customHeight="1" x14ac:dyDescent="0.25">
      <c r="A384" s="663" t="s">
        <v>74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39"/>
      <c r="AB384" s="639"/>
      <c r="AC384" s="639"/>
    </row>
    <row r="385" spans="1:68" ht="27" hidden="1" customHeight="1" x14ac:dyDescent="0.25">
      <c r="A385" s="54" t="s">
        <v>626</v>
      </c>
      <c r="B385" s="54" t="s">
        <v>627</v>
      </c>
      <c r="C385" s="31">
        <v>4301051100</v>
      </c>
      <c r="D385" s="647">
        <v>4607091387766</v>
      </c>
      <c r="E385" s="648"/>
      <c r="F385" s="642">
        <v>1.3</v>
      </c>
      <c r="G385" s="32">
        <v>6</v>
      </c>
      <c r="H385" s="642">
        <v>7.8</v>
      </c>
      <c r="I385" s="642">
        <v>8.2880000000000003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53"/>
      <c r="R385" s="653"/>
      <c r="S385" s="653"/>
      <c r="T385" s="654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628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4301051818</v>
      </c>
      <c r="D386" s="647">
        <v>4607091387957</v>
      </c>
      <c r="E386" s="648"/>
      <c r="F386" s="642">
        <v>1.3</v>
      </c>
      <c r="G386" s="32">
        <v>6</v>
      </c>
      <c r="H386" s="642">
        <v>7.8</v>
      </c>
      <c r="I386" s="642">
        <v>8.2940000000000005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53"/>
      <c r="R386" s="653"/>
      <c r="S386" s="653"/>
      <c r="T386" s="654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631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4301051819</v>
      </c>
      <c r="D387" s="647">
        <v>4607091387964</v>
      </c>
      <c r="E387" s="648"/>
      <c r="F387" s="642">
        <v>1.35</v>
      </c>
      <c r="G387" s="32">
        <v>6</v>
      </c>
      <c r="H387" s="642">
        <v>8.1</v>
      </c>
      <c r="I387" s="642">
        <v>8.5760000000000005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40</v>
      </c>
      <c r="P387" s="8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53"/>
      <c r="R387" s="653"/>
      <c r="S387" s="653"/>
      <c r="T387" s="654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7" t="s">
        <v>634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635</v>
      </c>
      <c r="B388" s="54" t="s">
        <v>636</v>
      </c>
      <c r="C388" s="31">
        <v>4301051734</v>
      </c>
      <c r="D388" s="647">
        <v>4680115884588</v>
      </c>
      <c r="E388" s="648"/>
      <c r="F388" s="642">
        <v>0.5</v>
      </c>
      <c r="G388" s="32">
        <v>6</v>
      </c>
      <c r="H388" s="642">
        <v>3</v>
      </c>
      <c r="I388" s="642">
        <v>3.246</v>
      </c>
      <c r="J388" s="32">
        <v>182</v>
      </c>
      <c r="K388" s="32" t="s">
        <v>77</v>
      </c>
      <c r="L388" s="32"/>
      <c r="M388" s="33" t="s">
        <v>78</v>
      </c>
      <c r="N388" s="33"/>
      <c r="O388" s="32">
        <v>40</v>
      </c>
      <c r="P388" s="86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53"/>
      <c r="R388" s="653"/>
      <c r="S388" s="653"/>
      <c r="T388" s="654"/>
      <c r="U388" s="34"/>
      <c r="V388" s="34"/>
      <c r="W388" s="35" t="s">
        <v>67</v>
      </c>
      <c r="X388" s="643">
        <v>0</v>
      </c>
      <c r="Y388" s="644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79" t="s">
        <v>628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657"/>
      <c r="B389" s="658"/>
      <c r="C389" s="658"/>
      <c r="D389" s="658"/>
      <c r="E389" s="658"/>
      <c r="F389" s="658"/>
      <c r="G389" s="658"/>
      <c r="H389" s="658"/>
      <c r="I389" s="658"/>
      <c r="J389" s="658"/>
      <c r="K389" s="658"/>
      <c r="L389" s="658"/>
      <c r="M389" s="658"/>
      <c r="N389" s="658"/>
      <c r="O389" s="659"/>
      <c r="P389" s="649" t="s">
        <v>72</v>
      </c>
      <c r="Q389" s="650"/>
      <c r="R389" s="650"/>
      <c r="S389" s="650"/>
      <c r="T389" s="650"/>
      <c r="U389" s="650"/>
      <c r="V389" s="651"/>
      <c r="W389" s="37" t="s">
        <v>73</v>
      </c>
      <c r="X389" s="645">
        <f>IFERROR(X385/H385,"0")+IFERROR(X386/H386,"0")+IFERROR(X387/H387,"0")+IFERROR(X388/H388,"0")</f>
        <v>0</v>
      </c>
      <c r="Y389" s="645">
        <f>IFERROR(Y385/H385,"0")+IFERROR(Y386/H386,"0")+IFERROR(Y387/H387,"0")+IFERROR(Y388/H388,"0")</f>
        <v>0</v>
      </c>
      <c r="Z389" s="645">
        <f>IFERROR(IF(Z385="",0,Z385),"0")+IFERROR(IF(Z386="",0,Z386),"0")+IFERROR(IF(Z387="",0,Z387),"0")+IFERROR(IF(Z388="",0,Z388),"0")</f>
        <v>0</v>
      </c>
      <c r="AA389" s="646"/>
      <c r="AB389" s="646"/>
      <c r="AC389" s="646"/>
    </row>
    <row r="390" spans="1:68" hidden="1" x14ac:dyDescent="0.2">
      <c r="A390" s="658"/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9"/>
      <c r="P390" s="649" t="s">
        <v>72</v>
      </c>
      <c r="Q390" s="650"/>
      <c r="R390" s="650"/>
      <c r="S390" s="650"/>
      <c r="T390" s="650"/>
      <c r="U390" s="650"/>
      <c r="V390" s="651"/>
      <c r="W390" s="37" t="s">
        <v>67</v>
      </c>
      <c r="X390" s="645">
        <f>IFERROR(SUM(X385:X388),"0")</f>
        <v>0</v>
      </c>
      <c r="Y390" s="645">
        <f>IFERROR(SUM(Y385:Y388),"0")</f>
        <v>0</v>
      </c>
      <c r="Z390" s="37"/>
      <c r="AA390" s="646"/>
      <c r="AB390" s="646"/>
      <c r="AC390" s="646"/>
    </row>
    <row r="391" spans="1:68" ht="14.25" hidden="1" customHeight="1" x14ac:dyDescent="0.25">
      <c r="A391" s="663" t="s">
        <v>168</v>
      </c>
      <c r="B391" s="658"/>
      <c r="C391" s="658"/>
      <c r="D391" s="658"/>
      <c r="E391" s="658"/>
      <c r="F391" s="658"/>
      <c r="G391" s="658"/>
      <c r="H391" s="658"/>
      <c r="I391" s="658"/>
      <c r="J391" s="658"/>
      <c r="K391" s="658"/>
      <c r="L391" s="658"/>
      <c r="M391" s="658"/>
      <c r="N391" s="658"/>
      <c r="O391" s="658"/>
      <c r="P391" s="658"/>
      <c r="Q391" s="658"/>
      <c r="R391" s="658"/>
      <c r="S391" s="658"/>
      <c r="T391" s="658"/>
      <c r="U391" s="658"/>
      <c r="V391" s="658"/>
      <c r="W391" s="658"/>
      <c r="X391" s="658"/>
      <c r="Y391" s="658"/>
      <c r="Z391" s="658"/>
      <c r="AA391" s="639"/>
      <c r="AB391" s="639"/>
      <c r="AC391" s="639"/>
    </row>
    <row r="392" spans="1:68" ht="27" customHeight="1" x14ac:dyDescent="0.25">
      <c r="A392" s="54" t="s">
        <v>637</v>
      </c>
      <c r="B392" s="54" t="s">
        <v>638</v>
      </c>
      <c r="C392" s="31">
        <v>4301060387</v>
      </c>
      <c r="D392" s="647">
        <v>4607091380880</v>
      </c>
      <c r="E392" s="648"/>
      <c r="F392" s="642">
        <v>1.4</v>
      </c>
      <c r="G392" s="32">
        <v>6</v>
      </c>
      <c r="H392" s="642">
        <v>8.4</v>
      </c>
      <c r="I392" s="642">
        <v>8.8940000000000001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53"/>
      <c r="R392" s="653"/>
      <c r="S392" s="653"/>
      <c r="T392" s="654"/>
      <c r="U392" s="34"/>
      <c r="V392" s="34"/>
      <c r="W392" s="35" t="s">
        <v>67</v>
      </c>
      <c r="X392" s="643">
        <v>76</v>
      </c>
      <c r="Y392" s="644">
        <f>IFERROR(IF(X392="",0,CEILING((X392/$H392),1)*$H392),"")</f>
        <v>84</v>
      </c>
      <c r="Z392" s="36">
        <f>IFERROR(IF(Y392=0,"",ROUNDUP(Y392/H392,0)*0.01898),"")</f>
        <v>0.1898</v>
      </c>
      <c r="AA392" s="56"/>
      <c r="AB392" s="57"/>
      <c r="AC392" s="481" t="s">
        <v>639</v>
      </c>
      <c r="AG392" s="64"/>
      <c r="AJ392" s="68"/>
      <c r="AK392" s="68">
        <v>0</v>
      </c>
      <c r="BB392" s="482" t="s">
        <v>1</v>
      </c>
      <c r="BM392" s="64">
        <f>IFERROR(X392*I392/H392,"0")</f>
        <v>80.469523809523807</v>
      </c>
      <c r="BN392" s="64">
        <f>IFERROR(Y392*I392/H392,"0")</f>
        <v>88.94</v>
      </c>
      <c r="BO392" s="64">
        <f>IFERROR(1/J392*(X392/H392),"0")</f>
        <v>0.14136904761904762</v>
      </c>
      <c r="BP392" s="64">
        <f>IFERROR(1/J392*(Y392/H392),"0")</f>
        <v>0.15625</v>
      </c>
    </row>
    <row r="393" spans="1:68" ht="27" customHeight="1" x14ac:dyDescent="0.25">
      <c r="A393" s="54" t="s">
        <v>640</v>
      </c>
      <c r="B393" s="54" t="s">
        <v>641</v>
      </c>
      <c r="C393" s="31">
        <v>4301060406</v>
      </c>
      <c r="D393" s="647">
        <v>4607091384482</v>
      </c>
      <c r="E393" s="648"/>
      <c r="F393" s="642">
        <v>1.3</v>
      </c>
      <c r="G393" s="32">
        <v>6</v>
      </c>
      <c r="H393" s="642">
        <v>7.8</v>
      </c>
      <c r="I393" s="642">
        <v>8.2940000000000005</v>
      </c>
      <c r="J393" s="32">
        <v>64</v>
      </c>
      <c r="K393" s="32" t="s">
        <v>114</v>
      </c>
      <c r="L393" s="32"/>
      <c r="M393" s="33" t="s">
        <v>78</v>
      </c>
      <c r="N393" s="33"/>
      <c r="O393" s="32">
        <v>30</v>
      </c>
      <c r="P393" s="86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53"/>
      <c r="R393" s="653"/>
      <c r="S393" s="653"/>
      <c r="T393" s="654"/>
      <c r="U393" s="34"/>
      <c r="V393" s="34"/>
      <c r="W393" s="35" t="s">
        <v>67</v>
      </c>
      <c r="X393" s="643">
        <v>310</v>
      </c>
      <c r="Y393" s="644">
        <f>IFERROR(IF(X393="",0,CEILING((X393/$H393),1)*$H393),"")</f>
        <v>312</v>
      </c>
      <c r="Z393" s="36">
        <f>IFERROR(IF(Y393=0,"",ROUNDUP(Y393/H393,0)*0.01898),"")</f>
        <v>0.75919999999999999</v>
      </c>
      <c r="AA393" s="56"/>
      <c r="AB393" s="57"/>
      <c r="AC393" s="483" t="s">
        <v>642</v>
      </c>
      <c r="AG393" s="64"/>
      <c r="AJ393" s="68"/>
      <c r="AK393" s="68">
        <v>0</v>
      </c>
      <c r="BB393" s="484" t="s">
        <v>1</v>
      </c>
      <c r="BM393" s="64">
        <f>IFERROR(X393*I393/H393,"0")</f>
        <v>329.63333333333338</v>
      </c>
      <c r="BN393" s="64">
        <f>IFERROR(Y393*I393/H393,"0")</f>
        <v>331.76</v>
      </c>
      <c r="BO393" s="64">
        <f>IFERROR(1/J393*(X393/H393),"0")</f>
        <v>0.62099358974358976</v>
      </c>
      <c r="BP393" s="64">
        <f>IFERROR(1/J393*(Y393/H393),"0")</f>
        <v>0.625</v>
      </c>
    </row>
    <row r="394" spans="1:68" ht="27" customHeight="1" x14ac:dyDescent="0.25">
      <c r="A394" s="54" t="s">
        <v>643</v>
      </c>
      <c r="B394" s="54" t="s">
        <v>644</v>
      </c>
      <c r="C394" s="31">
        <v>4301060484</v>
      </c>
      <c r="D394" s="647">
        <v>4607091380897</v>
      </c>
      <c r="E394" s="648"/>
      <c r="F394" s="642">
        <v>1.4</v>
      </c>
      <c r="G394" s="32">
        <v>6</v>
      </c>
      <c r="H394" s="642">
        <v>8.4</v>
      </c>
      <c r="I394" s="642">
        <v>8.8940000000000001</v>
      </c>
      <c r="J394" s="32">
        <v>64</v>
      </c>
      <c r="K394" s="32" t="s">
        <v>114</v>
      </c>
      <c r="L394" s="32"/>
      <c r="M394" s="33" t="s">
        <v>84</v>
      </c>
      <c r="N394" s="33"/>
      <c r="O394" s="32">
        <v>30</v>
      </c>
      <c r="P394" s="7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53"/>
      <c r="R394" s="653"/>
      <c r="S394" s="653"/>
      <c r="T394" s="654"/>
      <c r="U394" s="34"/>
      <c r="V394" s="34"/>
      <c r="W394" s="35" t="s">
        <v>67</v>
      </c>
      <c r="X394" s="643">
        <v>63</v>
      </c>
      <c r="Y394" s="644">
        <f>IFERROR(IF(X394="",0,CEILING((X394/$H394),1)*$H394),"")</f>
        <v>67.2</v>
      </c>
      <c r="Z394" s="36">
        <f>IFERROR(IF(Y394=0,"",ROUNDUP(Y394/H394,0)*0.01898),"")</f>
        <v>0.15184</v>
      </c>
      <c r="AA394" s="56"/>
      <c r="AB394" s="57"/>
      <c r="AC394" s="485" t="s">
        <v>645</v>
      </c>
      <c r="AG394" s="64"/>
      <c r="AJ394" s="68"/>
      <c r="AK394" s="68">
        <v>0</v>
      </c>
      <c r="BB394" s="486" t="s">
        <v>1</v>
      </c>
      <c r="BM394" s="64">
        <f>IFERROR(X394*I394/H394,"0")</f>
        <v>66.704999999999998</v>
      </c>
      <c r="BN394" s="64">
        <f>IFERROR(Y394*I394/H394,"0")</f>
        <v>71.152000000000001</v>
      </c>
      <c r="BO394" s="64">
        <f>IFERROR(1/J394*(X394/H394),"0")</f>
        <v>0.1171875</v>
      </c>
      <c r="BP394" s="64">
        <f>IFERROR(1/J394*(Y394/H394),"0")</f>
        <v>0.125</v>
      </c>
    </row>
    <row r="395" spans="1:68" x14ac:dyDescent="0.2">
      <c r="A395" s="657"/>
      <c r="B395" s="658"/>
      <c r="C395" s="658"/>
      <c r="D395" s="658"/>
      <c r="E395" s="658"/>
      <c r="F395" s="658"/>
      <c r="G395" s="658"/>
      <c r="H395" s="658"/>
      <c r="I395" s="658"/>
      <c r="J395" s="658"/>
      <c r="K395" s="658"/>
      <c r="L395" s="658"/>
      <c r="M395" s="658"/>
      <c r="N395" s="658"/>
      <c r="O395" s="659"/>
      <c r="P395" s="649" t="s">
        <v>72</v>
      </c>
      <c r="Q395" s="650"/>
      <c r="R395" s="650"/>
      <c r="S395" s="650"/>
      <c r="T395" s="650"/>
      <c r="U395" s="650"/>
      <c r="V395" s="651"/>
      <c r="W395" s="37" t="s">
        <v>73</v>
      </c>
      <c r="X395" s="645">
        <f>IFERROR(X392/H392,"0")+IFERROR(X393/H393,"0")+IFERROR(X394/H394,"0")</f>
        <v>56.291208791208788</v>
      </c>
      <c r="Y395" s="645">
        <f>IFERROR(Y392/H392,"0")+IFERROR(Y393/H393,"0")+IFERROR(Y394/H394,"0")</f>
        <v>58</v>
      </c>
      <c r="Z395" s="645">
        <f>IFERROR(IF(Z392="",0,Z392),"0")+IFERROR(IF(Z393="",0,Z393),"0")+IFERROR(IF(Z394="",0,Z394),"0")</f>
        <v>1.10084</v>
      </c>
      <c r="AA395" s="646"/>
      <c r="AB395" s="646"/>
      <c r="AC395" s="646"/>
    </row>
    <row r="396" spans="1:68" x14ac:dyDescent="0.2">
      <c r="A396" s="658"/>
      <c r="B396" s="658"/>
      <c r="C396" s="658"/>
      <c r="D396" s="658"/>
      <c r="E396" s="658"/>
      <c r="F396" s="658"/>
      <c r="G396" s="658"/>
      <c r="H396" s="658"/>
      <c r="I396" s="658"/>
      <c r="J396" s="658"/>
      <c r="K396" s="658"/>
      <c r="L396" s="658"/>
      <c r="M396" s="658"/>
      <c r="N396" s="658"/>
      <c r="O396" s="659"/>
      <c r="P396" s="649" t="s">
        <v>72</v>
      </c>
      <c r="Q396" s="650"/>
      <c r="R396" s="650"/>
      <c r="S396" s="650"/>
      <c r="T396" s="650"/>
      <c r="U396" s="650"/>
      <c r="V396" s="651"/>
      <c r="W396" s="37" t="s">
        <v>67</v>
      </c>
      <c r="X396" s="645">
        <f>IFERROR(SUM(X392:X394),"0")</f>
        <v>449</v>
      </c>
      <c r="Y396" s="645">
        <f>IFERROR(SUM(Y392:Y394),"0")</f>
        <v>463.2</v>
      </c>
      <c r="Z396" s="37"/>
      <c r="AA396" s="646"/>
      <c r="AB396" s="646"/>
      <c r="AC396" s="646"/>
    </row>
    <row r="397" spans="1:68" ht="14.25" hidden="1" customHeight="1" x14ac:dyDescent="0.25">
      <c r="A397" s="663" t="s">
        <v>267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39"/>
      <c r="AB397" s="639"/>
      <c r="AC397" s="639"/>
    </row>
    <row r="398" spans="1:68" ht="27" hidden="1" customHeight="1" x14ac:dyDescent="0.25">
      <c r="A398" s="54" t="s">
        <v>646</v>
      </c>
      <c r="B398" s="54" t="s">
        <v>647</v>
      </c>
      <c r="C398" s="31">
        <v>4301030235</v>
      </c>
      <c r="D398" s="647">
        <v>4607091388381</v>
      </c>
      <c r="E398" s="648"/>
      <c r="F398" s="642">
        <v>0.38</v>
      </c>
      <c r="G398" s="32">
        <v>8</v>
      </c>
      <c r="H398" s="642">
        <v>3.04</v>
      </c>
      <c r="I398" s="642">
        <v>3.31</v>
      </c>
      <c r="J398" s="32">
        <v>132</v>
      </c>
      <c r="K398" s="32" t="s">
        <v>123</v>
      </c>
      <c r="L398" s="32"/>
      <c r="M398" s="33" t="s">
        <v>242</v>
      </c>
      <c r="N398" s="33"/>
      <c r="O398" s="32">
        <v>180</v>
      </c>
      <c r="P398" s="91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53"/>
      <c r="R398" s="653"/>
      <c r="S398" s="653"/>
      <c r="T398" s="654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648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649</v>
      </c>
      <c r="B399" s="54" t="s">
        <v>650</v>
      </c>
      <c r="C399" s="31">
        <v>4301030232</v>
      </c>
      <c r="D399" s="647">
        <v>4607091388374</v>
      </c>
      <c r="E399" s="648"/>
      <c r="F399" s="642">
        <v>0.38</v>
      </c>
      <c r="G399" s="32">
        <v>8</v>
      </c>
      <c r="H399" s="642">
        <v>3.04</v>
      </c>
      <c r="I399" s="642">
        <v>3.27</v>
      </c>
      <c r="J399" s="32">
        <v>132</v>
      </c>
      <c r="K399" s="32" t="s">
        <v>123</v>
      </c>
      <c r="L399" s="32"/>
      <c r="M399" s="33" t="s">
        <v>242</v>
      </c>
      <c r="N399" s="33"/>
      <c r="O399" s="32">
        <v>180</v>
      </c>
      <c r="P399" s="8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53"/>
      <c r="R399" s="653"/>
      <c r="S399" s="653"/>
      <c r="T399" s="654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IFERROR(IF(Y399=0,"",ROUNDUP(Y399/H399,0)*0.00902),"")</f>
        <v/>
      </c>
      <c r="AA399" s="56"/>
      <c r="AB399" s="57"/>
      <c r="AC399" s="489" t="s">
        <v>648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4301032015</v>
      </c>
      <c r="D400" s="647">
        <v>4607091383102</v>
      </c>
      <c r="E400" s="648"/>
      <c r="F400" s="642">
        <v>0.17</v>
      </c>
      <c r="G400" s="32">
        <v>15</v>
      </c>
      <c r="H400" s="642">
        <v>2.5499999999999998</v>
      </c>
      <c r="I400" s="642">
        <v>2.9550000000000001</v>
      </c>
      <c r="J400" s="32">
        <v>182</v>
      </c>
      <c r="K400" s="32" t="s">
        <v>77</v>
      </c>
      <c r="L400" s="32"/>
      <c r="M400" s="33" t="s">
        <v>242</v>
      </c>
      <c r="N400" s="33"/>
      <c r="O400" s="32">
        <v>180</v>
      </c>
      <c r="P400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53"/>
      <c r="R400" s="653"/>
      <c r="S400" s="653"/>
      <c r="T400" s="654"/>
      <c r="U400" s="34"/>
      <c r="V400" s="34"/>
      <c r="W400" s="35" t="s">
        <v>67</v>
      </c>
      <c r="X400" s="643">
        <v>0</v>
      </c>
      <c r="Y400" s="644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91" t="s">
        <v>648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653</v>
      </c>
      <c r="B401" s="54" t="s">
        <v>654</v>
      </c>
      <c r="C401" s="31">
        <v>4301030233</v>
      </c>
      <c r="D401" s="647">
        <v>4607091388404</v>
      </c>
      <c r="E401" s="648"/>
      <c r="F401" s="642">
        <v>0.17</v>
      </c>
      <c r="G401" s="32">
        <v>15</v>
      </c>
      <c r="H401" s="642">
        <v>2.5499999999999998</v>
      </c>
      <c r="I401" s="642">
        <v>2.88</v>
      </c>
      <c r="J401" s="32">
        <v>182</v>
      </c>
      <c r="K401" s="32" t="s">
        <v>77</v>
      </c>
      <c r="L401" s="32"/>
      <c r="M401" s="33" t="s">
        <v>242</v>
      </c>
      <c r="N401" s="33"/>
      <c r="O401" s="32">
        <v>180</v>
      </c>
      <c r="P401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53"/>
      <c r="R401" s="653"/>
      <c r="S401" s="653"/>
      <c r="T401" s="654"/>
      <c r="U401" s="34"/>
      <c r="V401" s="34"/>
      <c r="W401" s="35" t="s">
        <v>67</v>
      </c>
      <c r="X401" s="643">
        <v>0</v>
      </c>
      <c r="Y401" s="644">
        <f>IFERROR(IF(X401="",0,CEILING((X401/$H401),1)*$H401),"")</f>
        <v>0</v>
      </c>
      <c r="Z401" s="36" t="str">
        <f>IFERROR(IF(Y401=0,"",ROUNDUP(Y401/H401,0)*0.00651),"")</f>
        <v/>
      </c>
      <c r="AA401" s="56"/>
      <c r="AB401" s="57"/>
      <c r="AC401" s="493" t="s">
        <v>648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57"/>
      <c r="B402" s="658"/>
      <c r="C402" s="658"/>
      <c r="D402" s="658"/>
      <c r="E402" s="658"/>
      <c r="F402" s="658"/>
      <c r="G402" s="658"/>
      <c r="H402" s="658"/>
      <c r="I402" s="658"/>
      <c r="J402" s="658"/>
      <c r="K402" s="658"/>
      <c r="L402" s="658"/>
      <c r="M402" s="658"/>
      <c r="N402" s="658"/>
      <c r="O402" s="659"/>
      <c r="P402" s="649" t="s">
        <v>72</v>
      </c>
      <c r="Q402" s="650"/>
      <c r="R402" s="650"/>
      <c r="S402" s="650"/>
      <c r="T402" s="650"/>
      <c r="U402" s="650"/>
      <c r="V402" s="651"/>
      <c r="W402" s="37" t="s">
        <v>73</v>
      </c>
      <c r="X402" s="645">
        <f>IFERROR(X398/H398,"0")+IFERROR(X399/H399,"0")+IFERROR(X400/H400,"0")+IFERROR(X401/H401,"0")</f>
        <v>0</v>
      </c>
      <c r="Y402" s="645">
        <f>IFERROR(Y398/H398,"0")+IFERROR(Y399/H399,"0")+IFERROR(Y400/H400,"0")+IFERROR(Y401/H401,"0")</f>
        <v>0</v>
      </c>
      <c r="Z402" s="645">
        <f>IFERROR(IF(Z398="",0,Z398),"0")+IFERROR(IF(Z399="",0,Z399),"0")+IFERROR(IF(Z400="",0,Z400),"0")+IFERROR(IF(Z401="",0,Z401),"0")</f>
        <v>0</v>
      </c>
      <c r="AA402" s="646"/>
      <c r="AB402" s="646"/>
      <c r="AC402" s="646"/>
    </row>
    <row r="403" spans="1:68" hidden="1" x14ac:dyDescent="0.2">
      <c r="A403" s="658"/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9"/>
      <c r="P403" s="649" t="s">
        <v>72</v>
      </c>
      <c r="Q403" s="650"/>
      <c r="R403" s="650"/>
      <c r="S403" s="650"/>
      <c r="T403" s="650"/>
      <c r="U403" s="650"/>
      <c r="V403" s="651"/>
      <c r="W403" s="37" t="s">
        <v>67</v>
      </c>
      <c r="X403" s="645">
        <f>IFERROR(SUM(X398:X401),"0")</f>
        <v>0</v>
      </c>
      <c r="Y403" s="645">
        <f>IFERROR(SUM(Y398:Y401),"0")</f>
        <v>0</v>
      </c>
      <c r="Z403" s="37"/>
      <c r="AA403" s="646"/>
      <c r="AB403" s="646"/>
      <c r="AC403" s="646"/>
    </row>
    <row r="404" spans="1:68" ht="14.25" hidden="1" customHeight="1" x14ac:dyDescent="0.25">
      <c r="A404" s="663" t="s">
        <v>655</v>
      </c>
      <c r="B404" s="658"/>
      <c r="C404" s="658"/>
      <c r="D404" s="658"/>
      <c r="E404" s="658"/>
      <c r="F404" s="658"/>
      <c r="G404" s="658"/>
      <c r="H404" s="658"/>
      <c r="I404" s="658"/>
      <c r="J404" s="658"/>
      <c r="K404" s="658"/>
      <c r="L404" s="658"/>
      <c r="M404" s="658"/>
      <c r="N404" s="658"/>
      <c r="O404" s="658"/>
      <c r="P404" s="658"/>
      <c r="Q404" s="658"/>
      <c r="R404" s="658"/>
      <c r="S404" s="658"/>
      <c r="T404" s="658"/>
      <c r="U404" s="658"/>
      <c r="V404" s="658"/>
      <c r="W404" s="658"/>
      <c r="X404" s="658"/>
      <c r="Y404" s="658"/>
      <c r="Z404" s="658"/>
      <c r="AA404" s="639"/>
      <c r="AB404" s="639"/>
      <c r="AC404" s="639"/>
    </row>
    <row r="405" spans="1:68" ht="16.5" hidden="1" customHeight="1" x14ac:dyDescent="0.25">
      <c r="A405" s="54" t="s">
        <v>656</v>
      </c>
      <c r="B405" s="54" t="s">
        <v>657</v>
      </c>
      <c r="C405" s="31">
        <v>4301180007</v>
      </c>
      <c r="D405" s="647">
        <v>4680115881808</v>
      </c>
      <c r="E405" s="648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658</v>
      </c>
      <c r="N405" s="33"/>
      <c r="O405" s="32">
        <v>731</v>
      </c>
      <c r="P405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53"/>
      <c r="R405" s="653"/>
      <c r="S405" s="653"/>
      <c r="T405" s="654"/>
      <c r="U405" s="34"/>
      <c r="V405" s="34"/>
      <c r="W405" s="35" t="s">
        <v>67</v>
      </c>
      <c r="X405" s="643">
        <v>0</v>
      </c>
      <c r="Y405" s="644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659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660</v>
      </c>
      <c r="B406" s="54" t="s">
        <v>661</v>
      </c>
      <c r="C406" s="31">
        <v>4301180006</v>
      </c>
      <c r="D406" s="647">
        <v>4680115881822</v>
      </c>
      <c r="E406" s="648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658</v>
      </c>
      <c r="N406" s="33"/>
      <c r="O406" s="32">
        <v>731</v>
      </c>
      <c r="P406" s="8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53"/>
      <c r="R406" s="653"/>
      <c r="S406" s="653"/>
      <c r="T406" s="654"/>
      <c r="U406" s="34"/>
      <c r="V406" s="34"/>
      <c r="W406" s="35" t="s">
        <v>67</v>
      </c>
      <c r="X406" s="643">
        <v>0</v>
      </c>
      <c r="Y406" s="644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659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662</v>
      </c>
      <c r="B407" s="54" t="s">
        <v>663</v>
      </c>
      <c r="C407" s="31">
        <v>4301180001</v>
      </c>
      <c r="D407" s="647">
        <v>4680115880016</v>
      </c>
      <c r="E407" s="648"/>
      <c r="F407" s="642">
        <v>0.1</v>
      </c>
      <c r="G407" s="32">
        <v>20</v>
      </c>
      <c r="H407" s="642">
        <v>2</v>
      </c>
      <c r="I407" s="642">
        <v>2.2400000000000002</v>
      </c>
      <c r="J407" s="32">
        <v>238</v>
      </c>
      <c r="K407" s="32" t="s">
        <v>77</v>
      </c>
      <c r="L407" s="32"/>
      <c r="M407" s="33" t="s">
        <v>658</v>
      </c>
      <c r="N407" s="33"/>
      <c r="O407" s="32">
        <v>731</v>
      </c>
      <c r="P407" s="73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53"/>
      <c r="R407" s="653"/>
      <c r="S407" s="653"/>
      <c r="T407" s="654"/>
      <c r="U407" s="34"/>
      <c r="V407" s="34"/>
      <c r="W407" s="35" t="s">
        <v>67</v>
      </c>
      <c r="X407" s="643">
        <v>0</v>
      </c>
      <c r="Y407" s="644">
        <f>IFERROR(IF(X407="",0,CEILING((X407/$H407),1)*$H407),"")</f>
        <v>0</v>
      </c>
      <c r="Z407" s="36" t="str">
        <f>IFERROR(IF(Y407=0,"",ROUNDUP(Y407/H407,0)*0.00474),"")</f>
        <v/>
      </c>
      <c r="AA407" s="56"/>
      <c r="AB407" s="57"/>
      <c r="AC407" s="499" t="s">
        <v>659</v>
      </c>
      <c r="AG407" s="64"/>
      <c r="AJ407" s="68"/>
      <c r="AK407" s="68">
        <v>0</v>
      </c>
      <c r="BB407" s="500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7"/>
      <c r="B408" s="658"/>
      <c r="C408" s="658"/>
      <c r="D408" s="658"/>
      <c r="E408" s="658"/>
      <c r="F408" s="658"/>
      <c r="G408" s="658"/>
      <c r="H408" s="658"/>
      <c r="I408" s="658"/>
      <c r="J408" s="658"/>
      <c r="K408" s="658"/>
      <c r="L408" s="658"/>
      <c r="M408" s="658"/>
      <c r="N408" s="658"/>
      <c r="O408" s="659"/>
      <c r="P408" s="649" t="s">
        <v>72</v>
      </c>
      <c r="Q408" s="650"/>
      <c r="R408" s="650"/>
      <c r="S408" s="650"/>
      <c r="T408" s="650"/>
      <c r="U408" s="650"/>
      <c r="V408" s="651"/>
      <c r="W408" s="37" t="s">
        <v>73</v>
      </c>
      <c r="X408" s="645">
        <f>IFERROR(X405/H405,"0")+IFERROR(X406/H406,"0")+IFERROR(X407/H407,"0")</f>
        <v>0</v>
      </c>
      <c r="Y408" s="645">
        <f>IFERROR(Y405/H405,"0")+IFERROR(Y406/H406,"0")+IFERROR(Y407/H407,"0")</f>
        <v>0</v>
      </c>
      <c r="Z408" s="645">
        <f>IFERROR(IF(Z405="",0,Z405),"0")+IFERROR(IF(Z406="",0,Z406),"0")+IFERROR(IF(Z407="",0,Z407),"0")</f>
        <v>0</v>
      </c>
      <c r="AA408" s="646"/>
      <c r="AB408" s="646"/>
      <c r="AC408" s="646"/>
    </row>
    <row r="409" spans="1:68" hidden="1" x14ac:dyDescent="0.2">
      <c r="A409" s="658"/>
      <c r="B409" s="658"/>
      <c r="C409" s="658"/>
      <c r="D409" s="658"/>
      <c r="E409" s="658"/>
      <c r="F409" s="658"/>
      <c r="G409" s="658"/>
      <c r="H409" s="658"/>
      <c r="I409" s="658"/>
      <c r="J409" s="658"/>
      <c r="K409" s="658"/>
      <c r="L409" s="658"/>
      <c r="M409" s="658"/>
      <c r="N409" s="658"/>
      <c r="O409" s="659"/>
      <c r="P409" s="649" t="s">
        <v>72</v>
      </c>
      <c r="Q409" s="650"/>
      <c r="R409" s="650"/>
      <c r="S409" s="650"/>
      <c r="T409" s="650"/>
      <c r="U409" s="650"/>
      <c r="V409" s="651"/>
      <c r="W409" s="37" t="s">
        <v>67</v>
      </c>
      <c r="X409" s="645">
        <f>IFERROR(SUM(X405:X407),"0")</f>
        <v>0</v>
      </c>
      <c r="Y409" s="645">
        <f>IFERROR(SUM(Y405:Y407),"0")</f>
        <v>0</v>
      </c>
      <c r="Z409" s="37"/>
      <c r="AA409" s="646"/>
      <c r="AB409" s="646"/>
      <c r="AC409" s="646"/>
    </row>
    <row r="410" spans="1:68" ht="14.25" hidden="1" customHeight="1" x14ac:dyDescent="0.25">
      <c r="A410" s="663" t="s">
        <v>664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39"/>
      <c r="AB410" s="639"/>
      <c r="AC410" s="639"/>
    </row>
    <row r="411" spans="1:68" ht="27" hidden="1" customHeight="1" x14ac:dyDescent="0.25">
      <c r="A411" s="54" t="s">
        <v>665</v>
      </c>
      <c r="B411" s="54" t="s">
        <v>666</v>
      </c>
      <c r="C411" s="31">
        <v>4301220003</v>
      </c>
      <c r="D411" s="647">
        <v>4680115888678</v>
      </c>
      <c r="E411" s="648"/>
      <c r="F411" s="642">
        <v>0.25</v>
      </c>
      <c r="G411" s="32">
        <v>12</v>
      </c>
      <c r="H411" s="642">
        <v>3</v>
      </c>
      <c r="I411" s="642">
        <v>3.22</v>
      </c>
      <c r="J411" s="32">
        <v>224</v>
      </c>
      <c r="K411" s="32" t="s">
        <v>77</v>
      </c>
      <c r="L411" s="32"/>
      <c r="M411" s="33" t="s">
        <v>658</v>
      </c>
      <c r="N411" s="33"/>
      <c r="O411" s="32">
        <v>1096</v>
      </c>
      <c r="P411" s="80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53"/>
      <c r="R411" s="653"/>
      <c r="S411" s="653"/>
      <c r="T411" s="654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IFERROR(IF(Y411=0,"",ROUNDUP(Y411/H411,0)*0.0045),"")</f>
        <v/>
      </c>
      <c r="AA411" s="56"/>
      <c r="AB411" s="57"/>
      <c r="AC411" s="501" t="s">
        <v>667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4301220001</v>
      </c>
      <c r="D412" s="647">
        <v>4680115888654</v>
      </c>
      <c r="E412" s="648"/>
      <c r="F412" s="642">
        <v>0.32500000000000001</v>
      </c>
      <c r="G412" s="32">
        <v>12</v>
      </c>
      <c r="H412" s="642">
        <v>3.9</v>
      </c>
      <c r="I412" s="642">
        <v>4.17</v>
      </c>
      <c r="J412" s="32">
        <v>144</v>
      </c>
      <c r="K412" s="32" t="s">
        <v>123</v>
      </c>
      <c r="L412" s="32"/>
      <c r="M412" s="33" t="s">
        <v>658</v>
      </c>
      <c r="N412" s="33"/>
      <c r="O412" s="32">
        <v>1096</v>
      </c>
      <c r="P412" s="95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53"/>
      <c r="R412" s="653"/>
      <c r="S412" s="653"/>
      <c r="T412" s="654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IFERROR(IF(Y412=0,"",ROUNDUP(Y412/H412,0)*0.006),"")</f>
        <v/>
      </c>
      <c r="AA412" s="56"/>
      <c r="AB412" s="57"/>
      <c r="AC412" s="503" t="s">
        <v>670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671</v>
      </c>
      <c r="B413" s="54" t="s">
        <v>672</v>
      </c>
      <c r="C413" s="31">
        <v>4301220002</v>
      </c>
      <c r="D413" s="647">
        <v>4680115888753</v>
      </c>
      <c r="E413" s="648"/>
      <c r="F413" s="642">
        <v>0.25</v>
      </c>
      <c r="G413" s="32">
        <v>12</v>
      </c>
      <c r="H413" s="642">
        <v>3</v>
      </c>
      <c r="I413" s="642">
        <v>3.22</v>
      </c>
      <c r="J413" s="32">
        <v>224</v>
      </c>
      <c r="K413" s="32" t="s">
        <v>77</v>
      </c>
      <c r="L413" s="32"/>
      <c r="M413" s="33" t="s">
        <v>658</v>
      </c>
      <c r="N413" s="33"/>
      <c r="O413" s="32">
        <v>1096</v>
      </c>
      <c r="P413" s="73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53"/>
      <c r="R413" s="653"/>
      <c r="S413" s="653"/>
      <c r="T413" s="654"/>
      <c r="U413" s="34"/>
      <c r="V413" s="34"/>
      <c r="W413" s="35" t="s">
        <v>67</v>
      </c>
      <c r="X413" s="643">
        <v>9</v>
      </c>
      <c r="Y413" s="644">
        <f>IFERROR(IF(X413="",0,CEILING((X413/$H413),1)*$H413),"")</f>
        <v>9</v>
      </c>
      <c r="Z413" s="36">
        <f>IFERROR(IF(Y413=0,"",ROUNDUP(Y413/H413,0)*0.0045),"")</f>
        <v>1.3499999999999998E-2</v>
      </c>
      <c r="AA413" s="56"/>
      <c r="AB413" s="57"/>
      <c r="AC413" s="505" t="s">
        <v>667</v>
      </c>
      <c r="AG413" s="64"/>
      <c r="AJ413" s="68"/>
      <c r="AK413" s="68">
        <v>0</v>
      </c>
      <c r="BB413" s="506" t="s">
        <v>1</v>
      </c>
      <c r="BM413" s="64">
        <f>IFERROR(X413*I413/H413,"0")</f>
        <v>9.66</v>
      </c>
      <c r="BN413" s="64">
        <f>IFERROR(Y413*I413/H413,"0")</f>
        <v>9.66</v>
      </c>
      <c r="BO413" s="64">
        <f>IFERROR(1/J413*(X413/H413),"0")</f>
        <v>1.3392857142857142E-2</v>
      </c>
      <c r="BP413" s="64">
        <f>IFERROR(1/J413*(Y413/H413),"0")</f>
        <v>1.3392857142857142E-2</v>
      </c>
    </row>
    <row r="414" spans="1:68" x14ac:dyDescent="0.2">
      <c r="A414" s="657"/>
      <c r="B414" s="658"/>
      <c r="C414" s="658"/>
      <c r="D414" s="658"/>
      <c r="E414" s="658"/>
      <c r="F414" s="658"/>
      <c r="G414" s="658"/>
      <c r="H414" s="658"/>
      <c r="I414" s="658"/>
      <c r="J414" s="658"/>
      <c r="K414" s="658"/>
      <c r="L414" s="658"/>
      <c r="M414" s="658"/>
      <c r="N414" s="658"/>
      <c r="O414" s="659"/>
      <c r="P414" s="649" t="s">
        <v>72</v>
      </c>
      <c r="Q414" s="650"/>
      <c r="R414" s="650"/>
      <c r="S414" s="650"/>
      <c r="T414" s="650"/>
      <c r="U414" s="650"/>
      <c r="V414" s="651"/>
      <c r="W414" s="37" t="s">
        <v>73</v>
      </c>
      <c r="X414" s="645">
        <f>IFERROR(X411/H411,"0")+IFERROR(X412/H412,"0")+IFERROR(X413/H413,"0")</f>
        <v>3</v>
      </c>
      <c r="Y414" s="645">
        <f>IFERROR(Y411/H411,"0")+IFERROR(Y412/H412,"0")+IFERROR(Y413/H413,"0")</f>
        <v>3</v>
      </c>
      <c r="Z414" s="645">
        <f>IFERROR(IF(Z411="",0,Z411),"0")+IFERROR(IF(Z412="",0,Z412),"0")+IFERROR(IF(Z413="",0,Z413),"0")</f>
        <v>1.3499999999999998E-2</v>
      </c>
      <c r="AA414" s="646"/>
      <c r="AB414" s="646"/>
      <c r="AC414" s="646"/>
    </row>
    <row r="415" spans="1:68" x14ac:dyDescent="0.2">
      <c r="A415" s="658"/>
      <c r="B415" s="658"/>
      <c r="C415" s="658"/>
      <c r="D415" s="658"/>
      <c r="E415" s="658"/>
      <c r="F415" s="658"/>
      <c r="G415" s="658"/>
      <c r="H415" s="658"/>
      <c r="I415" s="658"/>
      <c r="J415" s="658"/>
      <c r="K415" s="658"/>
      <c r="L415" s="658"/>
      <c r="M415" s="658"/>
      <c r="N415" s="658"/>
      <c r="O415" s="659"/>
      <c r="P415" s="649" t="s">
        <v>72</v>
      </c>
      <c r="Q415" s="650"/>
      <c r="R415" s="650"/>
      <c r="S415" s="650"/>
      <c r="T415" s="650"/>
      <c r="U415" s="650"/>
      <c r="V415" s="651"/>
      <c r="W415" s="37" t="s">
        <v>67</v>
      </c>
      <c r="X415" s="645">
        <f>IFERROR(SUM(X411:X413),"0")</f>
        <v>9</v>
      </c>
      <c r="Y415" s="645">
        <f>IFERROR(SUM(Y411:Y413),"0")</f>
        <v>9</v>
      </c>
      <c r="Z415" s="37"/>
      <c r="AA415" s="646"/>
      <c r="AB415" s="646"/>
      <c r="AC415" s="646"/>
    </row>
    <row r="416" spans="1:68" ht="16.5" hidden="1" customHeight="1" x14ac:dyDescent="0.25">
      <c r="A416" s="676" t="s">
        <v>673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38"/>
      <c r="AB416" s="638"/>
      <c r="AC416" s="638"/>
    </row>
    <row r="417" spans="1:68" ht="14.25" hidden="1" customHeight="1" x14ac:dyDescent="0.25">
      <c r="A417" s="663" t="s">
        <v>74</v>
      </c>
      <c r="B417" s="658"/>
      <c r="C417" s="658"/>
      <c r="D417" s="658"/>
      <c r="E417" s="658"/>
      <c r="F417" s="658"/>
      <c r="G417" s="658"/>
      <c r="H417" s="658"/>
      <c r="I417" s="658"/>
      <c r="J417" s="658"/>
      <c r="K417" s="658"/>
      <c r="L417" s="658"/>
      <c r="M417" s="658"/>
      <c r="N417" s="658"/>
      <c r="O417" s="658"/>
      <c r="P417" s="658"/>
      <c r="Q417" s="658"/>
      <c r="R417" s="658"/>
      <c r="S417" s="658"/>
      <c r="T417" s="658"/>
      <c r="U417" s="658"/>
      <c r="V417" s="658"/>
      <c r="W417" s="658"/>
      <c r="X417" s="658"/>
      <c r="Y417" s="658"/>
      <c r="Z417" s="658"/>
      <c r="AA417" s="639"/>
      <c r="AB417" s="639"/>
      <c r="AC417" s="639"/>
    </row>
    <row r="418" spans="1:68" ht="16.5" hidden="1" customHeight="1" x14ac:dyDescent="0.25">
      <c r="A418" s="54" t="s">
        <v>674</v>
      </c>
      <c r="B418" s="54" t="s">
        <v>675</v>
      </c>
      <c r="C418" s="31">
        <v>4301052235</v>
      </c>
      <c r="D418" s="647">
        <v>4680115889415</v>
      </c>
      <c r="E418" s="648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53"/>
      <c r="R418" s="653"/>
      <c r="S418" s="653"/>
      <c r="T418" s="654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676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16.5" hidden="1" customHeight="1" x14ac:dyDescent="0.25">
      <c r="A419" s="54" t="s">
        <v>677</v>
      </c>
      <c r="B419" s="54" t="s">
        <v>678</v>
      </c>
      <c r="C419" s="31">
        <v>4301052236</v>
      </c>
      <c r="D419" s="647">
        <v>4680115889422</v>
      </c>
      <c r="E419" s="648"/>
      <c r="F419" s="642">
        <v>1.3</v>
      </c>
      <c r="G419" s="32">
        <v>6</v>
      </c>
      <c r="H419" s="642">
        <v>7.8</v>
      </c>
      <c r="I419" s="642">
        <v>8.2100000000000009</v>
      </c>
      <c r="J419" s="32">
        <v>64</v>
      </c>
      <c r="K419" s="32" t="s">
        <v>114</v>
      </c>
      <c r="L419" s="32"/>
      <c r="M419" s="33" t="s">
        <v>78</v>
      </c>
      <c r="N419" s="33"/>
      <c r="O419" s="32">
        <v>40</v>
      </c>
      <c r="P419" s="7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53"/>
      <c r="R419" s="653"/>
      <c r="S419" s="653"/>
      <c r="T419" s="654"/>
      <c r="U419" s="34"/>
      <c r="V419" s="34"/>
      <c r="W419" s="35" t="s">
        <v>67</v>
      </c>
      <c r="X419" s="643">
        <v>0</v>
      </c>
      <c r="Y419" s="644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509" t="s">
        <v>679</v>
      </c>
      <c r="AG419" s="64"/>
      <c r="AJ419" s="68"/>
      <c r="AK419" s="68">
        <v>0</v>
      </c>
      <c r="BB419" s="51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7"/>
      <c r="B420" s="658"/>
      <c r="C420" s="658"/>
      <c r="D420" s="658"/>
      <c r="E420" s="658"/>
      <c r="F420" s="658"/>
      <c r="G420" s="658"/>
      <c r="H420" s="658"/>
      <c r="I420" s="658"/>
      <c r="J420" s="658"/>
      <c r="K420" s="658"/>
      <c r="L420" s="658"/>
      <c r="M420" s="658"/>
      <c r="N420" s="658"/>
      <c r="O420" s="659"/>
      <c r="P420" s="649" t="s">
        <v>72</v>
      </c>
      <c r="Q420" s="650"/>
      <c r="R420" s="650"/>
      <c r="S420" s="650"/>
      <c r="T420" s="650"/>
      <c r="U420" s="650"/>
      <c r="V420" s="651"/>
      <c r="W420" s="37" t="s">
        <v>73</v>
      </c>
      <c r="X420" s="645">
        <f>IFERROR(X418/H418,"0")+IFERROR(X419/H419,"0")</f>
        <v>0</v>
      </c>
      <c r="Y420" s="645">
        <f>IFERROR(Y418/H418,"0")+IFERROR(Y419/H419,"0")</f>
        <v>0</v>
      </c>
      <c r="Z420" s="645">
        <f>IFERROR(IF(Z418="",0,Z418),"0")+IFERROR(IF(Z419="",0,Z419),"0")</f>
        <v>0</v>
      </c>
      <c r="AA420" s="646"/>
      <c r="AB420" s="646"/>
      <c r="AC420" s="646"/>
    </row>
    <row r="421" spans="1:68" hidden="1" x14ac:dyDescent="0.2">
      <c r="A421" s="658"/>
      <c r="B421" s="658"/>
      <c r="C421" s="658"/>
      <c r="D421" s="658"/>
      <c r="E421" s="658"/>
      <c r="F421" s="658"/>
      <c r="G421" s="658"/>
      <c r="H421" s="658"/>
      <c r="I421" s="658"/>
      <c r="J421" s="658"/>
      <c r="K421" s="658"/>
      <c r="L421" s="658"/>
      <c r="M421" s="658"/>
      <c r="N421" s="658"/>
      <c r="O421" s="659"/>
      <c r="P421" s="649" t="s">
        <v>72</v>
      </c>
      <c r="Q421" s="650"/>
      <c r="R421" s="650"/>
      <c r="S421" s="650"/>
      <c r="T421" s="650"/>
      <c r="U421" s="650"/>
      <c r="V421" s="651"/>
      <c r="W421" s="37" t="s">
        <v>67</v>
      </c>
      <c r="X421" s="645">
        <f>IFERROR(SUM(X418:X419),"0")</f>
        <v>0</v>
      </c>
      <c r="Y421" s="645">
        <f>IFERROR(SUM(Y418:Y419),"0")</f>
        <v>0</v>
      </c>
      <c r="Z421" s="37"/>
      <c r="AA421" s="646"/>
      <c r="AB421" s="646"/>
      <c r="AC421" s="646"/>
    </row>
    <row r="422" spans="1:68" ht="16.5" hidden="1" customHeight="1" x14ac:dyDescent="0.25">
      <c r="A422" s="676" t="s">
        <v>680</v>
      </c>
      <c r="B422" s="658"/>
      <c r="C422" s="658"/>
      <c r="D422" s="658"/>
      <c r="E422" s="658"/>
      <c r="F422" s="658"/>
      <c r="G422" s="658"/>
      <c r="H422" s="658"/>
      <c r="I422" s="658"/>
      <c r="J422" s="658"/>
      <c r="K422" s="658"/>
      <c r="L422" s="658"/>
      <c r="M422" s="658"/>
      <c r="N422" s="658"/>
      <c r="O422" s="658"/>
      <c r="P422" s="658"/>
      <c r="Q422" s="658"/>
      <c r="R422" s="658"/>
      <c r="S422" s="658"/>
      <c r="T422" s="658"/>
      <c r="U422" s="658"/>
      <c r="V422" s="658"/>
      <c r="W422" s="658"/>
      <c r="X422" s="658"/>
      <c r="Y422" s="658"/>
      <c r="Z422" s="658"/>
      <c r="AA422" s="638"/>
      <c r="AB422" s="638"/>
      <c r="AC422" s="638"/>
    </row>
    <row r="423" spans="1:68" ht="14.25" hidden="1" customHeight="1" x14ac:dyDescent="0.25">
      <c r="A423" s="663" t="s">
        <v>74</v>
      </c>
      <c r="B423" s="658"/>
      <c r="C423" s="658"/>
      <c r="D423" s="658"/>
      <c r="E423" s="658"/>
      <c r="F423" s="658"/>
      <c r="G423" s="658"/>
      <c r="H423" s="658"/>
      <c r="I423" s="658"/>
      <c r="J423" s="658"/>
      <c r="K423" s="658"/>
      <c r="L423" s="658"/>
      <c r="M423" s="658"/>
      <c r="N423" s="658"/>
      <c r="O423" s="658"/>
      <c r="P423" s="658"/>
      <c r="Q423" s="658"/>
      <c r="R423" s="658"/>
      <c r="S423" s="658"/>
      <c r="T423" s="658"/>
      <c r="U423" s="658"/>
      <c r="V423" s="658"/>
      <c r="W423" s="658"/>
      <c r="X423" s="658"/>
      <c r="Y423" s="658"/>
      <c r="Z423" s="658"/>
      <c r="AA423" s="639"/>
      <c r="AB423" s="639"/>
      <c r="AC423" s="639"/>
    </row>
    <row r="424" spans="1:68" ht="27" hidden="1" customHeight="1" x14ac:dyDescent="0.25">
      <c r="A424" s="54" t="s">
        <v>681</v>
      </c>
      <c r="B424" s="54" t="s">
        <v>682</v>
      </c>
      <c r="C424" s="31">
        <v>4301051489</v>
      </c>
      <c r="D424" s="647">
        <v>4607091387919</v>
      </c>
      <c r="E424" s="648"/>
      <c r="F424" s="642">
        <v>1.35</v>
      </c>
      <c r="G424" s="32">
        <v>6</v>
      </c>
      <c r="H424" s="642">
        <v>8.1</v>
      </c>
      <c r="I424" s="642">
        <v>8.5939999999999994</v>
      </c>
      <c r="J424" s="32">
        <v>64</v>
      </c>
      <c r="K424" s="32" t="s">
        <v>114</v>
      </c>
      <c r="L424" s="32"/>
      <c r="M424" s="33" t="s">
        <v>84</v>
      </c>
      <c r="N424" s="33"/>
      <c r="O424" s="32">
        <v>45</v>
      </c>
      <c r="P424" s="8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53"/>
      <c r="R424" s="653"/>
      <c r="S424" s="653"/>
      <c r="T424" s="654"/>
      <c r="U424" s="34"/>
      <c r="V424" s="34"/>
      <c r="W424" s="35" t="s">
        <v>67</v>
      </c>
      <c r="X424" s="643">
        <v>0</v>
      </c>
      <c r="Y424" s="64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11" t="s">
        <v>683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684</v>
      </c>
      <c r="B425" s="54" t="s">
        <v>685</v>
      </c>
      <c r="C425" s="31">
        <v>4301051461</v>
      </c>
      <c r="D425" s="647">
        <v>4680115883604</v>
      </c>
      <c r="E425" s="648"/>
      <c r="F425" s="642">
        <v>0.35</v>
      </c>
      <c r="G425" s="32">
        <v>6</v>
      </c>
      <c r="H425" s="642">
        <v>2.1</v>
      </c>
      <c r="I425" s="642">
        <v>2.3519999999999999</v>
      </c>
      <c r="J425" s="32">
        <v>182</v>
      </c>
      <c r="K425" s="32" t="s">
        <v>77</v>
      </c>
      <c r="L425" s="32"/>
      <c r="M425" s="33" t="s">
        <v>78</v>
      </c>
      <c r="N425" s="33"/>
      <c r="O425" s="32">
        <v>45</v>
      </c>
      <c r="P425" s="8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53"/>
      <c r="R425" s="653"/>
      <c r="S425" s="653"/>
      <c r="T425" s="654"/>
      <c r="U425" s="34"/>
      <c r="V425" s="34"/>
      <c r="W425" s="35" t="s">
        <v>67</v>
      </c>
      <c r="X425" s="643">
        <v>15</v>
      </c>
      <c r="Y425" s="644">
        <f>IFERROR(IF(X425="",0,CEILING((X425/$H425),1)*$H425),"")</f>
        <v>16.8</v>
      </c>
      <c r="Z425" s="36">
        <f>IFERROR(IF(Y425=0,"",ROUNDUP(Y425/H425,0)*0.00651),"")</f>
        <v>5.2080000000000001E-2</v>
      </c>
      <c r="AA425" s="56"/>
      <c r="AB425" s="57"/>
      <c r="AC425" s="513" t="s">
        <v>686</v>
      </c>
      <c r="AG425" s="64"/>
      <c r="AJ425" s="68"/>
      <c r="AK425" s="68">
        <v>0</v>
      </c>
      <c r="BB425" s="514" t="s">
        <v>1</v>
      </c>
      <c r="BM425" s="64">
        <f>IFERROR(X425*I425/H425,"0")</f>
        <v>16.8</v>
      </c>
      <c r="BN425" s="64">
        <f>IFERROR(Y425*I425/H425,"0")</f>
        <v>18.815999999999999</v>
      </c>
      <c r="BO425" s="64">
        <f>IFERROR(1/J425*(X425/H425),"0")</f>
        <v>3.924646781789639E-2</v>
      </c>
      <c r="BP425" s="64">
        <f>IFERROR(1/J425*(Y425/H425),"0")</f>
        <v>4.3956043956043959E-2</v>
      </c>
    </row>
    <row r="426" spans="1:68" ht="27" customHeight="1" x14ac:dyDescent="0.25">
      <c r="A426" s="54" t="s">
        <v>687</v>
      </c>
      <c r="B426" s="54" t="s">
        <v>688</v>
      </c>
      <c r="C426" s="31">
        <v>4301051864</v>
      </c>
      <c r="D426" s="647">
        <v>4680115883567</v>
      </c>
      <c r="E426" s="648"/>
      <c r="F426" s="642">
        <v>0.35</v>
      </c>
      <c r="G426" s="32">
        <v>6</v>
      </c>
      <c r="H426" s="642">
        <v>2.1</v>
      </c>
      <c r="I426" s="642">
        <v>2.34</v>
      </c>
      <c r="J426" s="32">
        <v>182</v>
      </c>
      <c r="K426" s="32" t="s">
        <v>77</v>
      </c>
      <c r="L426" s="32"/>
      <c r="M426" s="33" t="s">
        <v>84</v>
      </c>
      <c r="N426" s="33"/>
      <c r="O426" s="32">
        <v>40</v>
      </c>
      <c r="P42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53"/>
      <c r="R426" s="653"/>
      <c r="S426" s="653"/>
      <c r="T426" s="654"/>
      <c r="U426" s="34"/>
      <c r="V426" s="34"/>
      <c r="W426" s="35" t="s">
        <v>67</v>
      </c>
      <c r="X426" s="643">
        <v>21</v>
      </c>
      <c r="Y426" s="644">
        <f>IFERROR(IF(X426="",0,CEILING((X426/$H426),1)*$H426),"")</f>
        <v>21</v>
      </c>
      <c r="Z426" s="36">
        <f>IFERROR(IF(Y426=0,"",ROUNDUP(Y426/H426,0)*0.00651),"")</f>
        <v>6.5100000000000005E-2</v>
      </c>
      <c r="AA426" s="56"/>
      <c r="AB426" s="57"/>
      <c r="AC426" s="515" t="s">
        <v>689</v>
      </c>
      <c r="AG426" s="64"/>
      <c r="AJ426" s="68"/>
      <c r="AK426" s="68">
        <v>0</v>
      </c>
      <c r="BB426" s="516" t="s">
        <v>1</v>
      </c>
      <c r="BM426" s="64">
        <f>IFERROR(X426*I426/H426,"0")</f>
        <v>23.4</v>
      </c>
      <c r="BN426" s="64">
        <f>IFERROR(Y426*I426/H426,"0")</f>
        <v>23.4</v>
      </c>
      <c r="BO426" s="64">
        <f>IFERROR(1/J426*(X426/H426),"0")</f>
        <v>5.4945054945054951E-2</v>
      </c>
      <c r="BP426" s="64">
        <f>IFERROR(1/J426*(Y426/H426),"0")</f>
        <v>5.4945054945054951E-2</v>
      </c>
    </row>
    <row r="427" spans="1:68" x14ac:dyDescent="0.2">
      <c r="A427" s="657"/>
      <c r="B427" s="658"/>
      <c r="C427" s="658"/>
      <c r="D427" s="658"/>
      <c r="E427" s="658"/>
      <c r="F427" s="658"/>
      <c r="G427" s="658"/>
      <c r="H427" s="658"/>
      <c r="I427" s="658"/>
      <c r="J427" s="658"/>
      <c r="K427" s="658"/>
      <c r="L427" s="658"/>
      <c r="M427" s="658"/>
      <c r="N427" s="658"/>
      <c r="O427" s="659"/>
      <c r="P427" s="649" t="s">
        <v>72</v>
      </c>
      <c r="Q427" s="650"/>
      <c r="R427" s="650"/>
      <c r="S427" s="650"/>
      <c r="T427" s="650"/>
      <c r="U427" s="650"/>
      <c r="V427" s="651"/>
      <c r="W427" s="37" t="s">
        <v>73</v>
      </c>
      <c r="X427" s="645">
        <f>IFERROR(X424/H424,"0")+IFERROR(X425/H425,"0")+IFERROR(X426/H426,"0")</f>
        <v>17.142857142857142</v>
      </c>
      <c r="Y427" s="645">
        <f>IFERROR(Y424/H424,"0")+IFERROR(Y425/H425,"0")+IFERROR(Y426/H426,"0")</f>
        <v>18</v>
      </c>
      <c r="Z427" s="645">
        <f>IFERROR(IF(Z424="",0,Z424),"0")+IFERROR(IF(Z425="",0,Z425),"0")+IFERROR(IF(Z426="",0,Z426),"0")</f>
        <v>0.11718000000000001</v>
      </c>
      <c r="AA427" s="646"/>
      <c r="AB427" s="646"/>
      <c r="AC427" s="646"/>
    </row>
    <row r="428" spans="1:68" x14ac:dyDescent="0.2">
      <c r="A428" s="658"/>
      <c r="B428" s="658"/>
      <c r="C428" s="658"/>
      <c r="D428" s="658"/>
      <c r="E428" s="658"/>
      <c r="F428" s="658"/>
      <c r="G428" s="658"/>
      <c r="H428" s="658"/>
      <c r="I428" s="658"/>
      <c r="J428" s="658"/>
      <c r="K428" s="658"/>
      <c r="L428" s="658"/>
      <c r="M428" s="658"/>
      <c r="N428" s="658"/>
      <c r="O428" s="659"/>
      <c r="P428" s="649" t="s">
        <v>72</v>
      </c>
      <c r="Q428" s="650"/>
      <c r="R428" s="650"/>
      <c r="S428" s="650"/>
      <c r="T428" s="650"/>
      <c r="U428" s="650"/>
      <c r="V428" s="651"/>
      <c r="W428" s="37" t="s">
        <v>67</v>
      </c>
      <c r="X428" s="645">
        <f>IFERROR(SUM(X424:X426),"0")</f>
        <v>36</v>
      </c>
      <c r="Y428" s="645">
        <f>IFERROR(SUM(Y424:Y426),"0")</f>
        <v>37.799999999999997</v>
      </c>
      <c r="Z428" s="37"/>
      <c r="AA428" s="646"/>
      <c r="AB428" s="646"/>
      <c r="AC428" s="646"/>
    </row>
    <row r="429" spans="1:68" ht="27.75" hidden="1" customHeight="1" x14ac:dyDescent="0.2">
      <c r="A429" s="664" t="s">
        <v>690</v>
      </c>
      <c r="B429" s="665"/>
      <c r="C429" s="665"/>
      <c r="D429" s="665"/>
      <c r="E429" s="665"/>
      <c r="F429" s="665"/>
      <c r="G429" s="665"/>
      <c r="H429" s="665"/>
      <c r="I429" s="665"/>
      <c r="J429" s="665"/>
      <c r="K429" s="665"/>
      <c r="L429" s="665"/>
      <c r="M429" s="665"/>
      <c r="N429" s="665"/>
      <c r="O429" s="665"/>
      <c r="P429" s="665"/>
      <c r="Q429" s="665"/>
      <c r="R429" s="665"/>
      <c r="S429" s="665"/>
      <c r="T429" s="665"/>
      <c r="U429" s="665"/>
      <c r="V429" s="665"/>
      <c r="W429" s="665"/>
      <c r="X429" s="665"/>
      <c r="Y429" s="665"/>
      <c r="Z429" s="665"/>
      <c r="AA429" s="48"/>
      <c r="AB429" s="48"/>
      <c r="AC429" s="48"/>
    </row>
    <row r="430" spans="1:68" ht="16.5" hidden="1" customHeight="1" x14ac:dyDescent="0.25">
      <c r="A430" s="676" t="s">
        <v>691</v>
      </c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58"/>
      <c r="P430" s="658"/>
      <c r="Q430" s="658"/>
      <c r="R430" s="658"/>
      <c r="S430" s="658"/>
      <c r="T430" s="658"/>
      <c r="U430" s="658"/>
      <c r="V430" s="658"/>
      <c r="W430" s="658"/>
      <c r="X430" s="658"/>
      <c r="Y430" s="658"/>
      <c r="Z430" s="658"/>
      <c r="AA430" s="638"/>
      <c r="AB430" s="638"/>
      <c r="AC430" s="638"/>
    </row>
    <row r="431" spans="1:68" ht="14.25" hidden="1" customHeight="1" x14ac:dyDescent="0.25">
      <c r="A431" s="663" t="s">
        <v>111</v>
      </c>
      <c r="B431" s="658"/>
      <c r="C431" s="658"/>
      <c r="D431" s="658"/>
      <c r="E431" s="658"/>
      <c r="F431" s="658"/>
      <c r="G431" s="658"/>
      <c r="H431" s="658"/>
      <c r="I431" s="658"/>
      <c r="J431" s="658"/>
      <c r="K431" s="658"/>
      <c r="L431" s="658"/>
      <c r="M431" s="658"/>
      <c r="N431" s="658"/>
      <c r="O431" s="658"/>
      <c r="P431" s="658"/>
      <c r="Q431" s="658"/>
      <c r="R431" s="658"/>
      <c r="S431" s="658"/>
      <c r="T431" s="658"/>
      <c r="U431" s="658"/>
      <c r="V431" s="658"/>
      <c r="W431" s="658"/>
      <c r="X431" s="658"/>
      <c r="Y431" s="658"/>
      <c r="Z431" s="658"/>
      <c r="AA431" s="639"/>
      <c r="AB431" s="639"/>
      <c r="AC431" s="639"/>
    </row>
    <row r="432" spans="1:68" ht="27" hidden="1" customHeight="1" x14ac:dyDescent="0.25">
      <c r="A432" s="54" t="s">
        <v>692</v>
      </c>
      <c r="B432" s="54" t="s">
        <v>693</v>
      </c>
      <c r="C432" s="31">
        <v>4301012332</v>
      </c>
      <c r="D432" s="647">
        <v>4680115888401</v>
      </c>
      <c r="E432" s="648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84</v>
      </c>
      <c r="N432" s="33"/>
      <c r="O432" s="32">
        <v>60</v>
      </c>
      <c r="P432" s="66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53"/>
      <c r="R432" s="653"/>
      <c r="S432" s="653"/>
      <c r="T432" s="654"/>
      <c r="U432" s="34"/>
      <c r="V432" s="34"/>
      <c r="W432" s="35" t="s">
        <v>67</v>
      </c>
      <c r="X432" s="643">
        <v>0</v>
      </c>
      <c r="Y432" s="644">
        <f t="shared" ref="Y432:Y439" si="73"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7" t="s">
        <v>694</v>
      </c>
      <c r="AG432" s="64"/>
      <c r="AJ432" s="68"/>
      <c r="AK432" s="68">
        <v>0</v>
      </c>
      <c r="BB432" s="518" t="s">
        <v>1</v>
      </c>
      <c r="BM432" s="64">
        <f t="shared" ref="BM432:BM439" si="74">IFERROR(X432*I432/H432,"0")</f>
        <v>0</v>
      </c>
      <c r="BN432" s="64">
        <f t="shared" ref="BN432:BN439" si="75">IFERROR(Y432*I432/H432,"0")</f>
        <v>0</v>
      </c>
      <c r="BO432" s="64">
        <f t="shared" ref="BO432:BO439" si="76">IFERROR(1/J432*(X432/H432),"0")</f>
        <v>0</v>
      </c>
      <c r="BP432" s="64">
        <f t="shared" ref="BP432:BP439" si="77">IFERROR(1/J432*(Y432/H432),"0")</f>
        <v>0</v>
      </c>
    </row>
    <row r="433" spans="1:68" ht="37.5" customHeight="1" x14ac:dyDescent="0.25">
      <c r="A433" s="54" t="s">
        <v>695</v>
      </c>
      <c r="B433" s="54" t="s">
        <v>696</v>
      </c>
      <c r="C433" s="31">
        <v>4301011869</v>
      </c>
      <c r="D433" s="647">
        <v>4680115884847</v>
      </c>
      <c r="E433" s="648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66</v>
      </c>
      <c r="N433" s="33"/>
      <c r="O433" s="32">
        <v>60</v>
      </c>
      <c r="P433" s="87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53"/>
      <c r="R433" s="653"/>
      <c r="S433" s="653"/>
      <c r="T433" s="654"/>
      <c r="U433" s="34"/>
      <c r="V433" s="34"/>
      <c r="W433" s="35" t="s">
        <v>67</v>
      </c>
      <c r="X433" s="643">
        <v>201</v>
      </c>
      <c r="Y433" s="644">
        <f t="shared" si="73"/>
        <v>210</v>
      </c>
      <c r="Z433" s="36">
        <f>IFERROR(IF(Y433=0,"",ROUNDUP(Y433/H433,0)*0.02175),"")</f>
        <v>0.30449999999999999</v>
      </c>
      <c r="AA433" s="56"/>
      <c r="AB433" s="57"/>
      <c r="AC433" s="519" t="s">
        <v>697</v>
      </c>
      <c r="AG433" s="64"/>
      <c r="AJ433" s="68"/>
      <c r="AK433" s="68">
        <v>0</v>
      </c>
      <c r="BB433" s="520" t="s">
        <v>1</v>
      </c>
      <c r="BM433" s="64">
        <f t="shared" si="74"/>
        <v>207.29800000000003</v>
      </c>
      <c r="BN433" s="64">
        <f t="shared" si="75"/>
        <v>216.58</v>
      </c>
      <c r="BO433" s="64">
        <f t="shared" si="76"/>
        <v>0.27916666666666667</v>
      </c>
      <c r="BP433" s="64">
        <f t="shared" si="77"/>
        <v>0.29166666666666663</v>
      </c>
    </row>
    <row r="434" spans="1:68" ht="27" hidden="1" customHeight="1" x14ac:dyDescent="0.25">
      <c r="A434" s="54" t="s">
        <v>698</v>
      </c>
      <c r="B434" s="54" t="s">
        <v>699</v>
      </c>
      <c r="C434" s="31">
        <v>4301012083</v>
      </c>
      <c r="D434" s="647">
        <v>4680115884854</v>
      </c>
      <c r="E434" s="648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115</v>
      </c>
      <c r="N434" s="33"/>
      <c r="O434" s="32">
        <v>60</v>
      </c>
      <c r="P434" s="9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53"/>
      <c r="R434" s="653"/>
      <c r="S434" s="653"/>
      <c r="T434" s="654"/>
      <c r="U434" s="34"/>
      <c r="V434" s="34"/>
      <c r="W434" s="35" t="s">
        <v>67</v>
      </c>
      <c r="X434" s="643">
        <v>0</v>
      </c>
      <c r="Y434" s="644">
        <f t="shared" si="73"/>
        <v>0</v>
      </c>
      <c r="Z434" s="36" t="str">
        <f>IFERROR(IF(Y434=0,"",ROUNDUP(Y434/H434,0)*0.02175),"")</f>
        <v/>
      </c>
      <c r="AA434" s="56"/>
      <c r="AB434" s="57"/>
      <c r="AC434" s="521" t="s">
        <v>700</v>
      </c>
      <c r="AG434" s="64"/>
      <c r="AJ434" s="68"/>
      <c r="AK434" s="68">
        <v>0</v>
      </c>
      <c r="BB434" s="522" t="s">
        <v>1</v>
      </c>
      <c r="BM434" s="64">
        <f t="shared" si="74"/>
        <v>0</v>
      </c>
      <c r="BN434" s="64">
        <f t="shared" si="75"/>
        <v>0</v>
      </c>
      <c r="BO434" s="64">
        <f t="shared" si="76"/>
        <v>0</v>
      </c>
      <c r="BP434" s="64">
        <f t="shared" si="77"/>
        <v>0</v>
      </c>
    </row>
    <row r="435" spans="1:68" ht="27" hidden="1" customHeight="1" x14ac:dyDescent="0.25">
      <c r="A435" s="54" t="s">
        <v>701</v>
      </c>
      <c r="B435" s="54" t="s">
        <v>702</v>
      </c>
      <c r="C435" s="31">
        <v>4301011867</v>
      </c>
      <c r="D435" s="647">
        <v>4680115884830</v>
      </c>
      <c r="E435" s="648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66</v>
      </c>
      <c r="N435" s="33"/>
      <c r="O435" s="32">
        <v>60</v>
      </c>
      <c r="P435" s="98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53"/>
      <c r="R435" s="653"/>
      <c r="S435" s="653"/>
      <c r="T435" s="654"/>
      <c r="U435" s="34"/>
      <c r="V435" s="34"/>
      <c r="W435" s="35" t="s">
        <v>67</v>
      </c>
      <c r="X435" s="643">
        <v>0</v>
      </c>
      <c r="Y435" s="644">
        <f t="shared" si="73"/>
        <v>0</v>
      </c>
      <c r="Z435" s="36" t="str">
        <f>IFERROR(IF(Y435=0,"",ROUNDUP(Y435/H435,0)*0.02175),"")</f>
        <v/>
      </c>
      <c r="AA435" s="56"/>
      <c r="AB435" s="57"/>
      <c r="AC435" s="523" t="s">
        <v>703</v>
      </c>
      <c r="AG435" s="64"/>
      <c r="AJ435" s="68"/>
      <c r="AK435" s="68">
        <v>0</v>
      </c>
      <c r="BB435" s="524" t="s">
        <v>1</v>
      </c>
      <c r="BM435" s="64">
        <f t="shared" si="74"/>
        <v>0</v>
      </c>
      <c r="BN435" s="64">
        <f t="shared" si="75"/>
        <v>0</v>
      </c>
      <c r="BO435" s="64">
        <f t="shared" si="76"/>
        <v>0</v>
      </c>
      <c r="BP435" s="64">
        <f t="shared" si="77"/>
        <v>0</v>
      </c>
    </row>
    <row r="436" spans="1:68" ht="27" customHeight="1" x14ac:dyDescent="0.25">
      <c r="A436" s="54" t="s">
        <v>704</v>
      </c>
      <c r="B436" s="54" t="s">
        <v>705</v>
      </c>
      <c r="C436" s="31">
        <v>4301012356</v>
      </c>
      <c r="D436" s="647">
        <v>4680115889231</v>
      </c>
      <c r="E436" s="648"/>
      <c r="F436" s="642">
        <v>2.5</v>
      </c>
      <c r="G436" s="32">
        <v>6</v>
      </c>
      <c r="H436" s="642">
        <v>15</v>
      </c>
      <c r="I436" s="642">
        <v>15.47</v>
      </c>
      <c r="J436" s="32">
        <v>48</v>
      </c>
      <c r="K436" s="32" t="s">
        <v>114</v>
      </c>
      <c r="L436" s="32"/>
      <c r="M436" s="33" t="s">
        <v>84</v>
      </c>
      <c r="N436" s="33"/>
      <c r="O436" s="32">
        <v>60</v>
      </c>
      <c r="P436" s="100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53"/>
      <c r="R436" s="653"/>
      <c r="S436" s="653"/>
      <c r="T436" s="654"/>
      <c r="U436" s="34"/>
      <c r="V436" s="34"/>
      <c r="W436" s="35" t="s">
        <v>67</v>
      </c>
      <c r="X436" s="643">
        <v>223</v>
      </c>
      <c r="Y436" s="644">
        <f t="shared" si="73"/>
        <v>225</v>
      </c>
      <c r="Z436" s="36">
        <f>IFERROR(IF(Y436=0,"",ROUNDUP(Y436/H436,0)*0.02175),"")</f>
        <v>0.32624999999999998</v>
      </c>
      <c r="AA436" s="56"/>
      <c r="AB436" s="57"/>
      <c r="AC436" s="525" t="s">
        <v>706</v>
      </c>
      <c r="AG436" s="64"/>
      <c r="AJ436" s="68"/>
      <c r="AK436" s="68">
        <v>0</v>
      </c>
      <c r="BB436" s="526" t="s">
        <v>1</v>
      </c>
      <c r="BM436" s="64">
        <f t="shared" si="74"/>
        <v>229.98733333333334</v>
      </c>
      <c r="BN436" s="64">
        <f t="shared" si="75"/>
        <v>232.05</v>
      </c>
      <c r="BO436" s="64">
        <f t="shared" si="76"/>
        <v>0.30972222222222223</v>
      </c>
      <c r="BP436" s="64">
        <f t="shared" si="77"/>
        <v>0.3125</v>
      </c>
    </row>
    <row r="437" spans="1:68" ht="27" hidden="1" customHeight="1" x14ac:dyDescent="0.25">
      <c r="A437" s="54" t="s">
        <v>707</v>
      </c>
      <c r="B437" s="54" t="s">
        <v>708</v>
      </c>
      <c r="C437" s="31">
        <v>4301011433</v>
      </c>
      <c r="D437" s="647">
        <v>4680115882638</v>
      </c>
      <c r="E437" s="648"/>
      <c r="F437" s="642">
        <v>0.4</v>
      </c>
      <c r="G437" s="32">
        <v>10</v>
      </c>
      <c r="H437" s="642">
        <v>4</v>
      </c>
      <c r="I437" s="642">
        <v>4.1900000000000004</v>
      </c>
      <c r="J437" s="32">
        <v>132</v>
      </c>
      <c r="K437" s="32" t="s">
        <v>123</v>
      </c>
      <c r="L437" s="32"/>
      <c r="M437" s="33" t="s">
        <v>115</v>
      </c>
      <c r="N437" s="33"/>
      <c r="O437" s="32">
        <v>90</v>
      </c>
      <c r="P437" s="65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53"/>
      <c r="R437" s="653"/>
      <c r="S437" s="653"/>
      <c r="T437" s="654"/>
      <c r="U437" s="34"/>
      <c r="V437" s="34"/>
      <c r="W437" s="35" t="s">
        <v>67</v>
      </c>
      <c r="X437" s="643">
        <v>0</v>
      </c>
      <c r="Y437" s="644">
        <f t="shared" si="73"/>
        <v>0</v>
      </c>
      <c r="Z437" s="36" t="str">
        <f>IFERROR(IF(Y437=0,"",ROUNDUP(Y437/H437,0)*0.00902),"")</f>
        <v/>
      </c>
      <c r="AA437" s="56"/>
      <c r="AB437" s="57"/>
      <c r="AC437" s="527" t="s">
        <v>709</v>
      </c>
      <c r="AG437" s="64"/>
      <c r="AJ437" s="68"/>
      <c r="AK437" s="68">
        <v>0</v>
      </c>
      <c r="BB437" s="528" t="s">
        <v>1</v>
      </c>
      <c r="BM437" s="64">
        <f t="shared" si="74"/>
        <v>0</v>
      </c>
      <c r="BN437" s="64">
        <f t="shared" si="75"/>
        <v>0</v>
      </c>
      <c r="BO437" s="64">
        <f t="shared" si="76"/>
        <v>0</v>
      </c>
      <c r="BP437" s="64">
        <f t="shared" si="77"/>
        <v>0</v>
      </c>
    </row>
    <row r="438" spans="1:68" ht="27" hidden="1" customHeight="1" x14ac:dyDescent="0.25">
      <c r="A438" s="54" t="s">
        <v>710</v>
      </c>
      <c r="B438" s="54" t="s">
        <v>711</v>
      </c>
      <c r="C438" s="31">
        <v>4301011952</v>
      </c>
      <c r="D438" s="647">
        <v>4680115884922</v>
      </c>
      <c r="E438" s="648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53"/>
      <c r="R438" s="653"/>
      <c r="S438" s="653"/>
      <c r="T438" s="654"/>
      <c r="U438" s="34"/>
      <c r="V438" s="34"/>
      <c r="W438" s="35" t="s">
        <v>67</v>
      </c>
      <c r="X438" s="643">
        <v>0</v>
      </c>
      <c r="Y438" s="644">
        <f t="shared" si="73"/>
        <v>0</v>
      </c>
      <c r="Z438" s="36" t="str">
        <f>IFERROR(IF(Y438=0,"",ROUNDUP(Y438/H438,0)*0.00902),"")</f>
        <v/>
      </c>
      <c r="AA438" s="56"/>
      <c r="AB438" s="57"/>
      <c r="AC438" s="529" t="s">
        <v>712</v>
      </c>
      <c r="AG438" s="64"/>
      <c r="AJ438" s="68"/>
      <c r="AK438" s="68">
        <v>0</v>
      </c>
      <c r="BB438" s="530" t="s">
        <v>1</v>
      </c>
      <c r="BM438" s="64">
        <f t="shared" si="74"/>
        <v>0</v>
      </c>
      <c r="BN438" s="64">
        <f t="shared" si="75"/>
        <v>0</v>
      </c>
      <c r="BO438" s="64">
        <f t="shared" si="76"/>
        <v>0</v>
      </c>
      <c r="BP438" s="64">
        <f t="shared" si="77"/>
        <v>0</v>
      </c>
    </row>
    <row r="439" spans="1:68" ht="37.5" hidden="1" customHeight="1" x14ac:dyDescent="0.25">
      <c r="A439" s="54" t="s">
        <v>713</v>
      </c>
      <c r="B439" s="54" t="s">
        <v>714</v>
      </c>
      <c r="C439" s="31">
        <v>4301011868</v>
      </c>
      <c r="D439" s="647">
        <v>4680115884861</v>
      </c>
      <c r="E439" s="648"/>
      <c r="F439" s="642">
        <v>0.5</v>
      </c>
      <c r="G439" s="32">
        <v>10</v>
      </c>
      <c r="H439" s="642">
        <v>5</v>
      </c>
      <c r="I439" s="642">
        <v>5.19</v>
      </c>
      <c r="J439" s="32">
        <v>132</v>
      </c>
      <c r="K439" s="32" t="s">
        <v>123</v>
      </c>
      <c r="L439" s="32"/>
      <c r="M439" s="33" t="s">
        <v>66</v>
      </c>
      <c r="N439" s="33"/>
      <c r="O439" s="32">
        <v>60</v>
      </c>
      <c r="P439" s="87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53"/>
      <c r="R439" s="653"/>
      <c r="S439" s="653"/>
      <c r="T439" s="654"/>
      <c r="U439" s="34"/>
      <c r="V439" s="34"/>
      <c r="W439" s="35" t="s">
        <v>67</v>
      </c>
      <c r="X439" s="643">
        <v>0</v>
      </c>
      <c r="Y439" s="644">
        <f t="shared" si="73"/>
        <v>0</v>
      </c>
      <c r="Z439" s="36" t="str">
        <f>IFERROR(IF(Y439=0,"",ROUNDUP(Y439/H439,0)*0.00902),"")</f>
        <v/>
      </c>
      <c r="AA439" s="56"/>
      <c r="AB439" s="57"/>
      <c r="AC439" s="531" t="s">
        <v>715</v>
      </c>
      <c r="AG439" s="64"/>
      <c r="AJ439" s="68"/>
      <c r="AK439" s="68">
        <v>0</v>
      </c>
      <c r="BB439" s="532" t="s">
        <v>1</v>
      </c>
      <c r="BM439" s="64">
        <f t="shared" si="74"/>
        <v>0</v>
      </c>
      <c r="BN439" s="64">
        <f t="shared" si="75"/>
        <v>0</v>
      </c>
      <c r="BO439" s="64">
        <f t="shared" si="76"/>
        <v>0</v>
      </c>
      <c r="BP439" s="64">
        <f t="shared" si="77"/>
        <v>0</v>
      </c>
    </row>
    <row r="440" spans="1:68" x14ac:dyDescent="0.2">
      <c r="A440" s="657"/>
      <c r="B440" s="658"/>
      <c r="C440" s="658"/>
      <c r="D440" s="658"/>
      <c r="E440" s="658"/>
      <c r="F440" s="658"/>
      <c r="G440" s="658"/>
      <c r="H440" s="658"/>
      <c r="I440" s="658"/>
      <c r="J440" s="658"/>
      <c r="K440" s="658"/>
      <c r="L440" s="658"/>
      <c r="M440" s="658"/>
      <c r="N440" s="658"/>
      <c r="O440" s="659"/>
      <c r="P440" s="649" t="s">
        <v>72</v>
      </c>
      <c r="Q440" s="650"/>
      <c r="R440" s="650"/>
      <c r="S440" s="650"/>
      <c r="T440" s="650"/>
      <c r="U440" s="650"/>
      <c r="V440" s="651"/>
      <c r="W440" s="37" t="s">
        <v>73</v>
      </c>
      <c r="X440" s="645">
        <f>IFERROR(X432/H432,"0")+IFERROR(X433/H433,"0")+IFERROR(X434/H434,"0")+IFERROR(X435/H435,"0")+IFERROR(X436/H436,"0")+IFERROR(X437/H437,"0")+IFERROR(X438/H438,"0")+IFERROR(X439/H439,"0")</f>
        <v>28.266666666666666</v>
      </c>
      <c r="Y440" s="645">
        <f>IFERROR(Y432/H432,"0")+IFERROR(Y433/H433,"0")+IFERROR(Y434/H434,"0")+IFERROR(Y435/H435,"0")+IFERROR(Y436/H436,"0")+IFERROR(Y437/H437,"0")+IFERROR(Y438/H438,"0")+IFERROR(Y439/H439,"0")</f>
        <v>29</v>
      </c>
      <c r="Z440" s="645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0.63074999999999992</v>
      </c>
      <c r="AA440" s="646"/>
      <c r="AB440" s="646"/>
      <c r="AC440" s="646"/>
    </row>
    <row r="441" spans="1:68" x14ac:dyDescent="0.2">
      <c r="A441" s="658"/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9"/>
      <c r="P441" s="649" t="s">
        <v>72</v>
      </c>
      <c r="Q441" s="650"/>
      <c r="R441" s="650"/>
      <c r="S441" s="650"/>
      <c r="T441" s="650"/>
      <c r="U441" s="650"/>
      <c r="V441" s="651"/>
      <c r="W441" s="37" t="s">
        <v>67</v>
      </c>
      <c r="X441" s="645">
        <f>IFERROR(SUM(X432:X439),"0")</f>
        <v>424</v>
      </c>
      <c r="Y441" s="645">
        <f>IFERROR(SUM(Y432:Y439),"0")</f>
        <v>435</v>
      </c>
      <c r="Z441" s="37"/>
      <c r="AA441" s="646"/>
      <c r="AB441" s="646"/>
      <c r="AC441" s="646"/>
    </row>
    <row r="442" spans="1:68" ht="14.25" hidden="1" customHeight="1" x14ac:dyDescent="0.25">
      <c r="A442" s="663" t="s">
        <v>148</v>
      </c>
      <c r="B442" s="658"/>
      <c r="C442" s="658"/>
      <c r="D442" s="658"/>
      <c r="E442" s="658"/>
      <c r="F442" s="658"/>
      <c r="G442" s="658"/>
      <c r="H442" s="658"/>
      <c r="I442" s="658"/>
      <c r="J442" s="658"/>
      <c r="K442" s="658"/>
      <c r="L442" s="658"/>
      <c r="M442" s="658"/>
      <c r="N442" s="658"/>
      <c r="O442" s="658"/>
      <c r="P442" s="658"/>
      <c r="Q442" s="658"/>
      <c r="R442" s="658"/>
      <c r="S442" s="658"/>
      <c r="T442" s="658"/>
      <c r="U442" s="658"/>
      <c r="V442" s="658"/>
      <c r="W442" s="658"/>
      <c r="X442" s="658"/>
      <c r="Y442" s="658"/>
      <c r="Z442" s="658"/>
      <c r="AA442" s="639"/>
      <c r="AB442" s="639"/>
      <c r="AC442" s="639"/>
    </row>
    <row r="443" spans="1:68" ht="27" customHeight="1" x14ac:dyDescent="0.25">
      <c r="A443" s="54" t="s">
        <v>716</v>
      </c>
      <c r="B443" s="54" t="s">
        <v>717</v>
      </c>
      <c r="C443" s="31">
        <v>4301020178</v>
      </c>
      <c r="D443" s="647">
        <v>4607091383980</v>
      </c>
      <c r="E443" s="648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6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53"/>
      <c r="R443" s="653"/>
      <c r="S443" s="653"/>
      <c r="T443" s="654"/>
      <c r="U443" s="34"/>
      <c r="V443" s="34"/>
      <c r="W443" s="35" t="s">
        <v>67</v>
      </c>
      <c r="X443" s="643">
        <v>1794</v>
      </c>
      <c r="Y443" s="644">
        <f>IFERROR(IF(X443="",0,CEILING((X443/$H443),1)*$H443),"")</f>
        <v>1800</v>
      </c>
      <c r="Z443" s="36">
        <f>IFERROR(IF(Y443=0,"",ROUNDUP(Y443/H443,0)*0.02175),"")</f>
        <v>2.61</v>
      </c>
      <c r="AA443" s="56"/>
      <c r="AB443" s="57"/>
      <c r="AC443" s="533" t="s">
        <v>718</v>
      </c>
      <c r="AG443" s="64"/>
      <c r="AJ443" s="68"/>
      <c r="AK443" s="68">
        <v>0</v>
      </c>
      <c r="BB443" s="534" t="s">
        <v>1</v>
      </c>
      <c r="BM443" s="64">
        <f>IFERROR(X443*I443/H443,"0")</f>
        <v>1850.212</v>
      </c>
      <c r="BN443" s="64">
        <f>IFERROR(Y443*I443/H443,"0")</f>
        <v>1856.4</v>
      </c>
      <c r="BO443" s="64">
        <f>IFERROR(1/J443*(X443/H443),"0")</f>
        <v>2.4916666666666663</v>
      </c>
      <c r="BP443" s="64">
        <f>IFERROR(1/J443*(Y443/H443),"0")</f>
        <v>2.5</v>
      </c>
    </row>
    <row r="444" spans="1:68" ht="27" hidden="1" customHeight="1" x14ac:dyDescent="0.25">
      <c r="A444" s="54" t="s">
        <v>719</v>
      </c>
      <c r="B444" s="54" t="s">
        <v>720</v>
      </c>
      <c r="C444" s="31">
        <v>4301020355</v>
      </c>
      <c r="D444" s="647">
        <v>4680115888425</v>
      </c>
      <c r="E444" s="648"/>
      <c r="F444" s="642">
        <v>2.5</v>
      </c>
      <c r="G444" s="32">
        <v>6</v>
      </c>
      <c r="H444" s="642">
        <v>15</v>
      </c>
      <c r="I444" s="642">
        <v>15.47</v>
      </c>
      <c r="J444" s="32">
        <v>48</v>
      </c>
      <c r="K444" s="32" t="s">
        <v>114</v>
      </c>
      <c r="L444" s="32"/>
      <c r="M444" s="33" t="s">
        <v>115</v>
      </c>
      <c r="N444" s="33"/>
      <c r="O444" s="32">
        <v>50</v>
      </c>
      <c r="P444" s="10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53"/>
      <c r="R444" s="653"/>
      <c r="S444" s="653"/>
      <c r="T444" s="654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IFERROR(IF(Y444=0,"",ROUNDUP(Y444/H444,0)*0.02175),"")</f>
        <v/>
      </c>
      <c r="AA444" s="56"/>
      <c r="AB444" s="57"/>
      <c r="AC444" s="535" t="s">
        <v>721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hidden="1" customHeight="1" x14ac:dyDescent="0.25">
      <c r="A445" s="54" t="s">
        <v>722</v>
      </c>
      <c r="B445" s="54" t="s">
        <v>723</v>
      </c>
      <c r="C445" s="31">
        <v>4301020179</v>
      </c>
      <c r="D445" s="647">
        <v>4607091384178</v>
      </c>
      <c r="E445" s="648"/>
      <c r="F445" s="642">
        <v>0.4</v>
      </c>
      <c r="G445" s="32">
        <v>10</v>
      </c>
      <c r="H445" s="642">
        <v>4</v>
      </c>
      <c r="I445" s="642">
        <v>4.1900000000000004</v>
      </c>
      <c r="J445" s="32">
        <v>132</v>
      </c>
      <c r="K445" s="32" t="s">
        <v>123</v>
      </c>
      <c r="L445" s="32"/>
      <c r="M445" s="33" t="s">
        <v>115</v>
      </c>
      <c r="N445" s="33"/>
      <c r="O445" s="32">
        <v>50</v>
      </c>
      <c r="P445" s="7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53"/>
      <c r="R445" s="653"/>
      <c r="S445" s="653"/>
      <c r="T445" s="654"/>
      <c r="U445" s="34"/>
      <c r="V445" s="34"/>
      <c r="W445" s="35" t="s">
        <v>67</v>
      </c>
      <c r="X445" s="643">
        <v>0</v>
      </c>
      <c r="Y445" s="64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37" t="s">
        <v>724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57"/>
      <c r="B446" s="658"/>
      <c r="C446" s="658"/>
      <c r="D446" s="658"/>
      <c r="E446" s="658"/>
      <c r="F446" s="658"/>
      <c r="G446" s="658"/>
      <c r="H446" s="658"/>
      <c r="I446" s="658"/>
      <c r="J446" s="658"/>
      <c r="K446" s="658"/>
      <c r="L446" s="658"/>
      <c r="M446" s="658"/>
      <c r="N446" s="658"/>
      <c r="O446" s="659"/>
      <c r="P446" s="649" t="s">
        <v>72</v>
      </c>
      <c r="Q446" s="650"/>
      <c r="R446" s="650"/>
      <c r="S446" s="650"/>
      <c r="T446" s="650"/>
      <c r="U446" s="650"/>
      <c r="V446" s="651"/>
      <c r="W446" s="37" t="s">
        <v>73</v>
      </c>
      <c r="X446" s="645">
        <f>IFERROR(X443/H443,"0")+IFERROR(X444/H444,"0")+IFERROR(X445/H445,"0")</f>
        <v>119.6</v>
      </c>
      <c r="Y446" s="645">
        <f>IFERROR(Y443/H443,"0")+IFERROR(Y444/H444,"0")+IFERROR(Y445/H445,"0")</f>
        <v>120</v>
      </c>
      <c r="Z446" s="645">
        <f>IFERROR(IF(Z443="",0,Z443),"0")+IFERROR(IF(Z444="",0,Z444),"0")+IFERROR(IF(Z445="",0,Z445),"0")</f>
        <v>2.61</v>
      </c>
      <c r="AA446" s="646"/>
      <c r="AB446" s="646"/>
      <c r="AC446" s="646"/>
    </row>
    <row r="447" spans="1:68" x14ac:dyDescent="0.2">
      <c r="A447" s="658"/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9"/>
      <c r="P447" s="649" t="s">
        <v>72</v>
      </c>
      <c r="Q447" s="650"/>
      <c r="R447" s="650"/>
      <c r="S447" s="650"/>
      <c r="T447" s="650"/>
      <c r="U447" s="650"/>
      <c r="V447" s="651"/>
      <c r="W447" s="37" t="s">
        <v>67</v>
      </c>
      <c r="X447" s="645">
        <f>IFERROR(SUM(X443:X445),"0")</f>
        <v>1794</v>
      </c>
      <c r="Y447" s="645">
        <f>IFERROR(SUM(Y443:Y445),"0")</f>
        <v>1800</v>
      </c>
      <c r="Z447" s="37"/>
      <c r="AA447" s="646"/>
      <c r="AB447" s="646"/>
      <c r="AC447" s="646"/>
    </row>
    <row r="448" spans="1:68" ht="14.25" hidden="1" customHeight="1" x14ac:dyDescent="0.25">
      <c r="A448" s="663" t="s">
        <v>74</v>
      </c>
      <c r="B448" s="658"/>
      <c r="C448" s="658"/>
      <c r="D448" s="658"/>
      <c r="E448" s="658"/>
      <c r="F448" s="658"/>
      <c r="G448" s="658"/>
      <c r="H448" s="658"/>
      <c r="I448" s="658"/>
      <c r="J448" s="658"/>
      <c r="K448" s="658"/>
      <c r="L448" s="658"/>
      <c r="M448" s="658"/>
      <c r="N448" s="658"/>
      <c r="O448" s="658"/>
      <c r="P448" s="658"/>
      <c r="Q448" s="658"/>
      <c r="R448" s="658"/>
      <c r="S448" s="658"/>
      <c r="T448" s="658"/>
      <c r="U448" s="658"/>
      <c r="V448" s="658"/>
      <c r="W448" s="658"/>
      <c r="X448" s="658"/>
      <c r="Y448" s="658"/>
      <c r="Z448" s="658"/>
      <c r="AA448" s="639"/>
      <c r="AB448" s="639"/>
      <c r="AC448" s="639"/>
    </row>
    <row r="449" spans="1:68" ht="27" hidden="1" customHeight="1" x14ac:dyDescent="0.25">
      <c r="A449" s="54" t="s">
        <v>725</v>
      </c>
      <c r="B449" s="54" t="s">
        <v>726</v>
      </c>
      <c r="C449" s="31">
        <v>4301051903</v>
      </c>
      <c r="D449" s="647">
        <v>4607091383928</v>
      </c>
      <c r="E449" s="648"/>
      <c r="F449" s="642">
        <v>1.5</v>
      </c>
      <c r="G449" s="32">
        <v>6</v>
      </c>
      <c r="H449" s="642">
        <v>9</v>
      </c>
      <c r="I449" s="642">
        <v>9.5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53"/>
      <c r="R449" s="653"/>
      <c r="S449" s="653"/>
      <c r="T449" s="654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727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728</v>
      </c>
      <c r="B450" s="54" t="s">
        <v>729</v>
      </c>
      <c r="C450" s="31">
        <v>4301051897</v>
      </c>
      <c r="D450" s="647">
        <v>4607091384260</v>
      </c>
      <c r="E450" s="648"/>
      <c r="F450" s="642">
        <v>1.5</v>
      </c>
      <c r="G450" s="32">
        <v>6</v>
      </c>
      <c r="H450" s="642">
        <v>9</v>
      </c>
      <c r="I450" s="64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1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53"/>
      <c r="R450" s="653"/>
      <c r="S450" s="653"/>
      <c r="T450" s="654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41" t="s">
        <v>730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731</v>
      </c>
      <c r="B451" s="54" t="s">
        <v>732</v>
      </c>
      <c r="C451" s="31">
        <v>4301052220</v>
      </c>
      <c r="D451" s="647">
        <v>4680115889538</v>
      </c>
      <c r="E451" s="648"/>
      <c r="F451" s="642">
        <v>0.8</v>
      </c>
      <c r="G451" s="32">
        <v>6</v>
      </c>
      <c r="H451" s="642">
        <v>4.8</v>
      </c>
      <c r="I451" s="642">
        <v>5.2160000000000002</v>
      </c>
      <c r="J451" s="32">
        <v>104</v>
      </c>
      <c r="K451" s="32" t="s">
        <v>114</v>
      </c>
      <c r="L451" s="32"/>
      <c r="M451" s="33" t="s">
        <v>78</v>
      </c>
      <c r="N451" s="33"/>
      <c r="O451" s="32">
        <v>45</v>
      </c>
      <c r="P451" s="83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53"/>
      <c r="R451" s="653"/>
      <c r="S451" s="653"/>
      <c r="T451" s="654"/>
      <c r="U451" s="34"/>
      <c r="V451" s="34"/>
      <c r="W451" s="35" t="s">
        <v>67</v>
      </c>
      <c r="X451" s="643">
        <v>0</v>
      </c>
      <c r="Y451" s="644">
        <f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43" t="s">
        <v>733</v>
      </c>
      <c r="AG451" s="64"/>
      <c r="AJ451" s="68"/>
      <c r="AK451" s="68">
        <v>0</v>
      </c>
      <c r="BB451" s="54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657"/>
      <c r="B452" s="658"/>
      <c r="C452" s="658"/>
      <c r="D452" s="658"/>
      <c r="E452" s="658"/>
      <c r="F452" s="658"/>
      <c r="G452" s="658"/>
      <c r="H452" s="658"/>
      <c r="I452" s="658"/>
      <c r="J452" s="658"/>
      <c r="K452" s="658"/>
      <c r="L452" s="658"/>
      <c r="M452" s="658"/>
      <c r="N452" s="658"/>
      <c r="O452" s="659"/>
      <c r="P452" s="649" t="s">
        <v>72</v>
      </c>
      <c r="Q452" s="650"/>
      <c r="R452" s="650"/>
      <c r="S452" s="650"/>
      <c r="T452" s="650"/>
      <c r="U452" s="650"/>
      <c r="V452" s="651"/>
      <c r="W452" s="37" t="s">
        <v>73</v>
      </c>
      <c r="X452" s="645">
        <f>IFERROR(X449/H449,"0")+IFERROR(X450/H450,"0")+IFERROR(X451/H451,"0")</f>
        <v>0</v>
      </c>
      <c r="Y452" s="645">
        <f>IFERROR(Y449/H449,"0")+IFERROR(Y450/H450,"0")+IFERROR(Y451/H451,"0")</f>
        <v>0</v>
      </c>
      <c r="Z452" s="645">
        <f>IFERROR(IF(Z449="",0,Z449),"0")+IFERROR(IF(Z450="",0,Z450),"0")+IFERROR(IF(Z451="",0,Z451),"0")</f>
        <v>0</v>
      </c>
      <c r="AA452" s="646"/>
      <c r="AB452" s="646"/>
      <c r="AC452" s="646"/>
    </row>
    <row r="453" spans="1:68" hidden="1" x14ac:dyDescent="0.2">
      <c r="A453" s="658"/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9"/>
      <c r="P453" s="649" t="s">
        <v>72</v>
      </c>
      <c r="Q453" s="650"/>
      <c r="R453" s="650"/>
      <c r="S453" s="650"/>
      <c r="T453" s="650"/>
      <c r="U453" s="650"/>
      <c r="V453" s="651"/>
      <c r="W453" s="37" t="s">
        <v>67</v>
      </c>
      <c r="X453" s="645">
        <f>IFERROR(SUM(X449:X451),"0")</f>
        <v>0</v>
      </c>
      <c r="Y453" s="645">
        <f>IFERROR(SUM(Y449:Y451),"0")</f>
        <v>0</v>
      </c>
      <c r="Z453" s="37"/>
      <c r="AA453" s="646"/>
      <c r="AB453" s="646"/>
      <c r="AC453" s="646"/>
    </row>
    <row r="454" spans="1:68" ht="14.25" hidden="1" customHeight="1" x14ac:dyDescent="0.25">
      <c r="A454" s="663" t="s">
        <v>168</v>
      </c>
      <c r="B454" s="658"/>
      <c r="C454" s="658"/>
      <c r="D454" s="658"/>
      <c r="E454" s="658"/>
      <c r="F454" s="658"/>
      <c r="G454" s="658"/>
      <c r="H454" s="658"/>
      <c r="I454" s="658"/>
      <c r="J454" s="658"/>
      <c r="K454" s="658"/>
      <c r="L454" s="658"/>
      <c r="M454" s="658"/>
      <c r="N454" s="658"/>
      <c r="O454" s="658"/>
      <c r="P454" s="658"/>
      <c r="Q454" s="658"/>
      <c r="R454" s="658"/>
      <c r="S454" s="658"/>
      <c r="T454" s="658"/>
      <c r="U454" s="658"/>
      <c r="V454" s="658"/>
      <c r="W454" s="658"/>
      <c r="X454" s="658"/>
      <c r="Y454" s="658"/>
      <c r="Z454" s="658"/>
      <c r="AA454" s="639"/>
      <c r="AB454" s="639"/>
      <c r="AC454" s="639"/>
    </row>
    <row r="455" spans="1:68" ht="27" hidden="1" customHeight="1" x14ac:dyDescent="0.25">
      <c r="A455" s="54" t="s">
        <v>734</v>
      </c>
      <c r="B455" s="54" t="s">
        <v>735</v>
      </c>
      <c r="C455" s="31">
        <v>4301060537</v>
      </c>
      <c r="D455" s="647">
        <v>4680115889545</v>
      </c>
      <c r="E455" s="648"/>
      <c r="F455" s="642">
        <v>0.7</v>
      </c>
      <c r="G455" s="32">
        <v>6</v>
      </c>
      <c r="H455" s="642">
        <v>4.2</v>
      </c>
      <c r="I455" s="642">
        <v>4.6159999999999997</v>
      </c>
      <c r="J455" s="32">
        <v>104</v>
      </c>
      <c r="K455" s="32" t="s">
        <v>114</v>
      </c>
      <c r="L455" s="32"/>
      <c r="M455" s="33" t="s">
        <v>78</v>
      </c>
      <c r="N455" s="33"/>
      <c r="O455" s="32">
        <v>30</v>
      </c>
      <c r="P455" s="67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53"/>
      <c r="R455" s="653"/>
      <c r="S455" s="653"/>
      <c r="T455" s="654"/>
      <c r="U455" s="34"/>
      <c r="V455" s="34"/>
      <c r="W455" s="35" t="s">
        <v>67</v>
      </c>
      <c r="X455" s="643">
        <v>0</v>
      </c>
      <c r="Y455" s="644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45" t="s">
        <v>736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16.5" customHeight="1" x14ac:dyDescent="0.25">
      <c r="A456" s="54" t="s">
        <v>737</v>
      </c>
      <c r="B456" s="54" t="s">
        <v>738</v>
      </c>
      <c r="C456" s="31">
        <v>4301060524</v>
      </c>
      <c r="D456" s="647">
        <v>4607091384673</v>
      </c>
      <c r="E456" s="648"/>
      <c r="F456" s="642">
        <v>1.5</v>
      </c>
      <c r="G456" s="32">
        <v>6</v>
      </c>
      <c r="H456" s="642">
        <v>9</v>
      </c>
      <c r="I456" s="642">
        <v>9.4939999999999998</v>
      </c>
      <c r="J456" s="32">
        <v>64</v>
      </c>
      <c r="K456" s="32" t="s">
        <v>114</v>
      </c>
      <c r="L456" s="32"/>
      <c r="M456" s="33" t="s">
        <v>78</v>
      </c>
      <c r="N456" s="33"/>
      <c r="O456" s="32">
        <v>40</v>
      </c>
      <c r="P456" s="7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53"/>
      <c r="R456" s="653"/>
      <c r="S456" s="653"/>
      <c r="T456" s="654"/>
      <c r="U456" s="34"/>
      <c r="V456" s="34"/>
      <c r="W456" s="35" t="s">
        <v>67</v>
      </c>
      <c r="X456" s="643">
        <v>94</v>
      </c>
      <c r="Y456" s="644">
        <f>IFERROR(IF(X456="",0,CEILING((X456/$H456),1)*$H456),"")</f>
        <v>99</v>
      </c>
      <c r="Z456" s="36">
        <f>IFERROR(IF(Y456=0,"",ROUNDUP(Y456/H456,0)*0.01898),"")</f>
        <v>0.20877999999999999</v>
      </c>
      <c r="AA456" s="56"/>
      <c r="AB456" s="57"/>
      <c r="AC456" s="547" t="s">
        <v>739</v>
      </c>
      <c r="AG456" s="64"/>
      <c r="AJ456" s="68"/>
      <c r="AK456" s="68">
        <v>0</v>
      </c>
      <c r="BB456" s="548" t="s">
        <v>1</v>
      </c>
      <c r="BM456" s="64">
        <f>IFERROR(X456*I456/H456,"0")</f>
        <v>99.159555555555542</v>
      </c>
      <c r="BN456" s="64">
        <f>IFERROR(Y456*I456/H456,"0")</f>
        <v>104.434</v>
      </c>
      <c r="BO456" s="64">
        <f>IFERROR(1/J456*(X456/H456),"0")</f>
        <v>0.16319444444444445</v>
      </c>
      <c r="BP456" s="64">
        <f>IFERROR(1/J456*(Y456/H456),"0")</f>
        <v>0.171875</v>
      </c>
    </row>
    <row r="457" spans="1:68" x14ac:dyDescent="0.2">
      <c r="A457" s="657"/>
      <c r="B457" s="658"/>
      <c r="C457" s="658"/>
      <c r="D457" s="658"/>
      <c r="E457" s="658"/>
      <c r="F457" s="658"/>
      <c r="G457" s="658"/>
      <c r="H457" s="658"/>
      <c r="I457" s="658"/>
      <c r="J457" s="658"/>
      <c r="K457" s="658"/>
      <c r="L457" s="658"/>
      <c r="M457" s="658"/>
      <c r="N457" s="658"/>
      <c r="O457" s="659"/>
      <c r="P457" s="649" t="s">
        <v>72</v>
      </c>
      <c r="Q457" s="650"/>
      <c r="R457" s="650"/>
      <c r="S457" s="650"/>
      <c r="T457" s="650"/>
      <c r="U457" s="650"/>
      <c r="V457" s="651"/>
      <c r="W457" s="37" t="s">
        <v>73</v>
      </c>
      <c r="X457" s="645">
        <f>IFERROR(X455/H455,"0")+IFERROR(X456/H456,"0")</f>
        <v>10.444444444444445</v>
      </c>
      <c r="Y457" s="645">
        <f>IFERROR(Y455/H455,"0")+IFERROR(Y456/H456,"0")</f>
        <v>11</v>
      </c>
      <c r="Z457" s="645">
        <f>IFERROR(IF(Z455="",0,Z455),"0")+IFERROR(IF(Z456="",0,Z456),"0")</f>
        <v>0.20877999999999999</v>
      </c>
      <c r="AA457" s="646"/>
      <c r="AB457" s="646"/>
      <c r="AC457" s="646"/>
    </row>
    <row r="458" spans="1:68" x14ac:dyDescent="0.2">
      <c r="A458" s="658"/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9"/>
      <c r="P458" s="649" t="s">
        <v>72</v>
      </c>
      <c r="Q458" s="650"/>
      <c r="R458" s="650"/>
      <c r="S458" s="650"/>
      <c r="T458" s="650"/>
      <c r="U458" s="650"/>
      <c r="V458" s="651"/>
      <c r="W458" s="37" t="s">
        <v>67</v>
      </c>
      <c r="X458" s="645">
        <f>IFERROR(SUM(X455:X456),"0")</f>
        <v>94</v>
      </c>
      <c r="Y458" s="645">
        <f>IFERROR(SUM(Y455:Y456),"0")</f>
        <v>99</v>
      </c>
      <c r="Z458" s="37"/>
      <c r="AA458" s="646"/>
      <c r="AB458" s="646"/>
      <c r="AC458" s="646"/>
    </row>
    <row r="459" spans="1:68" ht="16.5" hidden="1" customHeight="1" x14ac:dyDescent="0.25">
      <c r="A459" s="676" t="s">
        <v>740</v>
      </c>
      <c r="B459" s="658"/>
      <c r="C459" s="658"/>
      <c r="D459" s="658"/>
      <c r="E459" s="658"/>
      <c r="F459" s="658"/>
      <c r="G459" s="658"/>
      <c r="H459" s="658"/>
      <c r="I459" s="658"/>
      <c r="J459" s="658"/>
      <c r="K459" s="658"/>
      <c r="L459" s="658"/>
      <c r="M459" s="658"/>
      <c r="N459" s="658"/>
      <c r="O459" s="658"/>
      <c r="P459" s="658"/>
      <c r="Q459" s="658"/>
      <c r="R459" s="658"/>
      <c r="S459" s="658"/>
      <c r="T459" s="658"/>
      <c r="U459" s="658"/>
      <c r="V459" s="658"/>
      <c r="W459" s="658"/>
      <c r="X459" s="658"/>
      <c r="Y459" s="658"/>
      <c r="Z459" s="658"/>
      <c r="AA459" s="638"/>
      <c r="AB459" s="638"/>
      <c r="AC459" s="638"/>
    </row>
    <row r="460" spans="1:68" ht="14.25" hidden="1" customHeight="1" x14ac:dyDescent="0.25">
      <c r="A460" s="663" t="s">
        <v>111</v>
      </c>
      <c r="B460" s="658"/>
      <c r="C460" s="658"/>
      <c r="D460" s="658"/>
      <c r="E460" s="658"/>
      <c r="F460" s="658"/>
      <c r="G460" s="658"/>
      <c r="H460" s="658"/>
      <c r="I460" s="658"/>
      <c r="J460" s="658"/>
      <c r="K460" s="658"/>
      <c r="L460" s="658"/>
      <c r="M460" s="658"/>
      <c r="N460" s="658"/>
      <c r="O460" s="658"/>
      <c r="P460" s="658"/>
      <c r="Q460" s="658"/>
      <c r="R460" s="658"/>
      <c r="S460" s="658"/>
      <c r="T460" s="658"/>
      <c r="U460" s="658"/>
      <c r="V460" s="658"/>
      <c r="W460" s="658"/>
      <c r="X460" s="658"/>
      <c r="Y460" s="658"/>
      <c r="Z460" s="658"/>
      <c r="AA460" s="639"/>
      <c r="AB460" s="639"/>
      <c r="AC460" s="639"/>
    </row>
    <row r="461" spans="1:68" ht="27" hidden="1" customHeight="1" x14ac:dyDescent="0.25">
      <c r="A461" s="54" t="s">
        <v>741</v>
      </c>
      <c r="B461" s="54" t="s">
        <v>742</v>
      </c>
      <c r="C461" s="31">
        <v>4301011875</v>
      </c>
      <c r="D461" s="647">
        <v>4680115884885</v>
      </c>
      <c r="E461" s="648"/>
      <c r="F461" s="642">
        <v>0.8</v>
      </c>
      <c r="G461" s="32">
        <v>15</v>
      </c>
      <c r="H461" s="642">
        <v>12</v>
      </c>
      <c r="I461" s="642">
        <v>12.41</v>
      </c>
      <c r="J461" s="32">
        <v>64</v>
      </c>
      <c r="K461" s="32" t="s">
        <v>114</v>
      </c>
      <c r="L461" s="32"/>
      <c r="M461" s="33" t="s">
        <v>66</v>
      </c>
      <c r="N461" s="33"/>
      <c r="O461" s="32">
        <v>60</v>
      </c>
      <c r="P461" s="9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53"/>
      <c r="R461" s="653"/>
      <c r="S461" s="653"/>
      <c r="T461" s="654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49" t="s">
        <v>743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37.5" hidden="1" customHeight="1" x14ac:dyDescent="0.25">
      <c r="A462" s="54" t="s">
        <v>744</v>
      </c>
      <c r="B462" s="54" t="s">
        <v>745</v>
      </c>
      <c r="C462" s="31">
        <v>4301011871</v>
      </c>
      <c r="D462" s="647">
        <v>4680115884908</v>
      </c>
      <c r="E462" s="648"/>
      <c r="F462" s="642">
        <v>0.4</v>
      </c>
      <c r="G462" s="32">
        <v>10</v>
      </c>
      <c r="H462" s="642">
        <v>4</v>
      </c>
      <c r="I462" s="642">
        <v>4.1900000000000004</v>
      </c>
      <c r="J462" s="32">
        <v>132</v>
      </c>
      <c r="K462" s="32" t="s">
        <v>123</v>
      </c>
      <c r="L462" s="32"/>
      <c r="M462" s="33" t="s">
        <v>66</v>
      </c>
      <c r="N462" s="33"/>
      <c r="O462" s="32">
        <v>60</v>
      </c>
      <c r="P462" s="92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53"/>
      <c r="R462" s="653"/>
      <c r="S462" s="653"/>
      <c r="T462" s="654"/>
      <c r="U462" s="34"/>
      <c r="V462" s="34"/>
      <c r="W462" s="35" t="s">
        <v>67</v>
      </c>
      <c r="X462" s="643">
        <v>0</v>
      </c>
      <c r="Y462" s="6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51" t="s">
        <v>743</v>
      </c>
      <c r="AG462" s="64"/>
      <c r="AJ462" s="68"/>
      <c r="AK462" s="68">
        <v>0</v>
      </c>
      <c r="BB462" s="55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57"/>
      <c r="B463" s="658"/>
      <c r="C463" s="658"/>
      <c r="D463" s="658"/>
      <c r="E463" s="658"/>
      <c r="F463" s="658"/>
      <c r="G463" s="658"/>
      <c r="H463" s="658"/>
      <c r="I463" s="658"/>
      <c r="J463" s="658"/>
      <c r="K463" s="658"/>
      <c r="L463" s="658"/>
      <c r="M463" s="658"/>
      <c r="N463" s="658"/>
      <c r="O463" s="659"/>
      <c r="P463" s="649" t="s">
        <v>72</v>
      </c>
      <c r="Q463" s="650"/>
      <c r="R463" s="650"/>
      <c r="S463" s="650"/>
      <c r="T463" s="650"/>
      <c r="U463" s="650"/>
      <c r="V463" s="651"/>
      <c r="W463" s="37" t="s">
        <v>73</v>
      </c>
      <c r="X463" s="645">
        <f>IFERROR(X461/H461,"0")+IFERROR(X462/H462,"0")</f>
        <v>0</v>
      </c>
      <c r="Y463" s="645">
        <f>IFERROR(Y461/H461,"0")+IFERROR(Y462/H462,"0")</f>
        <v>0</v>
      </c>
      <c r="Z463" s="645">
        <f>IFERROR(IF(Z461="",0,Z461),"0")+IFERROR(IF(Z462="",0,Z462),"0")</f>
        <v>0</v>
      </c>
      <c r="AA463" s="646"/>
      <c r="AB463" s="646"/>
      <c r="AC463" s="646"/>
    </row>
    <row r="464" spans="1:68" hidden="1" x14ac:dyDescent="0.2">
      <c r="A464" s="658"/>
      <c r="B464" s="658"/>
      <c r="C464" s="658"/>
      <c r="D464" s="658"/>
      <c r="E464" s="658"/>
      <c r="F464" s="658"/>
      <c r="G464" s="658"/>
      <c r="H464" s="658"/>
      <c r="I464" s="658"/>
      <c r="J464" s="658"/>
      <c r="K464" s="658"/>
      <c r="L464" s="658"/>
      <c r="M464" s="658"/>
      <c r="N464" s="658"/>
      <c r="O464" s="659"/>
      <c r="P464" s="649" t="s">
        <v>72</v>
      </c>
      <c r="Q464" s="650"/>
      <c r="R464" s="650"/>
      <c r="S464" s="650"/>
      <c r="T464" s="650"/>
      <c r="U464" s="650"/>
      <c r="V464" s="651"/>
      <c r="W464" s="37" t="s">
        <v>67</v>
      </c>
      <c r="X464" s="645">
        <f>IFERROR(SUM(X461:X462),"0")</f>
        <v>0</v>
      </c>
      <c r="Y464" s="645">
        <f>IFERROR(SUM(Y461:Y462),"0")</f>
        <v>0</v>
      </c>
      <c r="Z464" s="37"/>
      <c r="AA464" s="646"/>
      <c r="AB464" s="646"/>
      <c r="AC464" s="646"/>
    </row>
    <row r="465" spans="1:68" ht="14.25" hidden="1" customHeight="1" x14ac:dyDescent="0.25">
      <c r="A465" s="663" t="s">
        <v>62</v>
      </c>
      <c r="B465" s="658"/>
      <c r="C465" s="658"/>
      <c r="D465" s="658"/>
      <c r="E465" s="658"/>
      <c r="F465" s="658"/>
      <c r="G465" s="658"/>
      <c r="H465" s="658"/>
      <c r="I465" s="658"/>
      <c r="J465" s="658"/>
      <c r="K465" s="658"/>
      <c r="L465" s="658"/>
      <c r="M465" s="658"/>
      <c r="N465" s="658"/>
      <c r="O465" s="658"/>
      <c r="P465" s="658"/>
      <c r="Q465" s="658"/>
      <c r="R465" s="658"/>
      <c r="S465" s="658"/>
      <c r="T465" s="658"/>
      <c r="U465" s="658"/>
      <c r="V465" s="658"/>
      <c r="W465" s="658"/>
      <c r="X465" s="658"/>
      <c r="Y465" s="658"/>
      <c r="Z465" s="658"/>
      <c r="AA465" s="639"/>
      <c r="AB465" s="639"/>
      <c r="AC465" s="639"/>
    </row>
    <row r="466" spans="1:68" ht="27" hidden="1" customHeight="1" x14ac:dyDescent="0.25">
      <c r="A466" s="54" t="s">
        <v>746</v>
      </c>
      <c r="B466" s="54" t="s">
        <v>747</v>
      </c>
      <c r="C466" s="31">
        <v>4301031457</v>
      </c>
      <c r="D466" s="647">
        <v>4607091384802</v>
      </c>
      <c r="E466" s="648"/>
      <c r="F466" s="642">
        <v>0.7</v>
      </c>
      <c r="G466" s="32">
        <v>6</v>
      </c>
      <c r="H466" s="642">
        <v>4.2</v>
      </c>
      <c r="I466" s="642">
        <v>4.45</v>
      </c>
      <c r="J466" s="32">
        <v>132</v>
      </c>
      <c r="K466" s="32" t="s">
        <v>123</v>
      </c>
      <c r="L466" s="32"/>
      <c r="M466" s="33" t="s">
        <v>66</v>
      </c>
      <c r="N466" s="33"/>
      <c r="O466" s="32">
        <v>50</v>
      </c>
      <c r="P466" s="85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53"/>
      <c r="R466" s="653"/>
      <c r="S466" s="653"/>
      <c r="T466" s="654"/>
      <c r="U466" s="34"/>
      <c r="V466" s="34"/>
      <c r="W466" s="35" t="s">
        <v>67</v>
      </c>
      <c r="X466" s="643">
        <v>0</v>
      </c>
      <c r="Y466" s="644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53" t="s">
        <v>748</v>
      </c>
      <c r="AG466" s="64"/>
      <c r="AJ466" s="68"/>
      <c r="AK466" s="68">
        <v>0</v>
      </c>
      <c r="BB466" s="55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57"/>
      <c r="B467" s="658"/>
      <c r="C467" s="658"/>
      <c r="D467" s="658"/>
      <c r="E467" s="658"/>
      <c r="F467" s="658"/>
      <c r="G467" s="658"/>
      <c r="H467" s="658"/>
      <c r="I467" s="658"/>
      <c r="J467" s="658"/>
      <c r="K467" s="658"/>
      <c r="L467" s="658"/>
      <c r="M467" s="658"/>
      <c r="N467" s="658"/>
      <c r="O467" s="659"/>
      <c r="P467" s="649" t="s">
        <v>72</v>
      </c>
      <c r="Q467" s="650"/>
      <c r="R467" s="650"/>
      <c r="S467" s="650"/>
      <c r="T467" s="650"/>
      <c r="U467" s="650"/>
      <c r="V467" s="651"/>
      <c r="W467" s="37" t="s">
        <v>73</v>
      </c>
      <c r="X467" s="645">
        <f>IFERROR(X466/H466,"0")</f>
        <v>0</v>
      </c>
      <c r="Y467" s="645">
        <f>IFERROR(Y466/H466,"0")</f>
        <v>0</v>
      </c>
      <c r="Z467" s="645">
        <f>IFERROR(IF(Z466="",0,Z466),"0")</f>
        <v>0</v>
      </c>
      <c r="AA467" s="646"/>
      <c r="AB467" s="646"/>
      <c r="AC467" s="646"/>
    </row>
    <row r="468" spans="1:68" hidden="1" x14ac:dyDescent="0.2">
      <c r="A468" s="658"/>
      <c r="B468" s="658"/>
      <c r="C468" s="658"/>
      <c r="D468" s="658"/>
      <c r="E468" s="658"/>
      <c r="F468" s="658"/>
      <c r="G468" s="658"/>
      <c r="H468" s="658"/>
      <c r="I468" s="658"/>
      <c r="J468" s="658"/>
      <c r="K468" s="658"/>
      <c r="L468" s="658"/>
      <c r="M468" s="658"/>
      <c r="N468" s="658"/>
      <c r="O468" s="659"/>
      <c r="P468" s="649" t="s">
        <v>72</v>
      </c>
      <c r="Q468" s="650"/>
      <c r="R468" s="650"/>
      <c r="S468" s="650"/>
      <c r="T468" s="650"/>
      <c r="U468" s="650"/>
      <c r="V468" s="651"/>
      <c r="W468" s="37" t="s">
        <v>67</v>
      </c>
      <c r="X468" s="645">
        <f>IFERROR(SUM(X466:X466),"0")</f>
        <v>0</v>
      </c>
      <c r="Y468" s="645">
        <f>IFERROR(SUM(Y466:Y466),"0")</f>
        <v>0</v>
      </c>
      <c r="Z468" s="37"/>
      <c r="AA468" s="646"/>
      <c r="AB468" s="646"/>
      <c r="AC468" s="646"/>
    </row>
    <row r="469" spans="1:68" ht="14.25" hidden="1" customHeight="1" x14ac:dyDescent="0.25">
      <c r="A469" s="663" t="s">
        <v>74</v>
      </c>
      <c r="B469" s="658"/>
      <c r="C469" s="658"/>
      <c r="D469" s="658"/>
      <c r="E469" s="658"/>
      <c r="F469" s="658"/>
      <c r="G469" s="658"/>
      <c r="H469" s="658"/>
      <c r="I469" s="658"/>
      <c r="J469" s="658"/>
      <c r="K469" s="658"/>
      <c r="L469" s="658"/>
      <c r="M469" s="658"/>
      <c r="N469" s="658"/>
      <c r="O469" s="658"/>
      <c r="P469" s="658"/>
      <c r="Q469" s="658"/>
      <c r="R469" s="658"/>
      <c r="S469" s="658"/>
      <c r="T469" s="658"/>
      <c r="U469" s="658"/>
      <c r="V469" s="658"/>
      <c r="W469" s="658"/>
      <c r="X469" s="658"/>
      <c r="Y469" s="658"/>
      <c r="Z469" s="658"/>
      <c r="AA469" s="639"/>
      <c r="AB469" s="639"/>
      <c r="AC469" s="639"/>
    </row>
    <row r="470" spans="1:68" ht="27" customHeight="1" x14ac:dyDescent="0.25">
      <c r="A470" s="54" t="s">
        <v>749</v>
      </c>
      <c r="B470" s="54" t="s">
        <v>750</v>
      </c>
      <c r="C470" s="31">
        <v>4301051899</v>
      </c>
      <c r="D470" s="647">
        <v>4607091384246</v>
      </c>
      <c r="E470" s="648"/>
      <c r="F470" s="642">
        <v>1.5</v>
      </c>
      <c r="G470" s="32">
        <v>6</v>
      </c>
      <c r="H470" s="642">
        <v>9</v>
      </c>
      <c r="I470" s="642">
        <v>9.4939999999999998</v>
      </c>
      <c r="J470" s="32">
        <v>64</v>
      </c>
      <c r="K470" s="32" t="s">
        <v>114</v>
      </c>
      <c r="L470" s="32"/>
      <c r="M470" s="33" t="s">
        <v>78</v>
      </c>
      <c r="N470" s="33"/>
      <c r="O470" s="32">
        <v>40</v>
      </c>
      <c r="P470" s="94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53"/>
      <c r="R470" s="653"/>
      <c r="S470" s="653"/>
      <c r="T470" s="654"/>
      <c r="U470" s="34"/>
      <c r="V470" s="34"/>
      <c r="W470" s="35" t="s">
        <v>67</v>
      </c>
      <c r="X470" s="643">
        <v>540</v>
      </c>
      <c r="Y470" s="644">
        <f>IFERROR(IF(X470="",0,CEILING((X470/$H470),1)*$H470),"")</f>
        <v>540</v>
      </c>
      <c r="Z470" s="36">
        <f>IFERROR(IF(Y470=0,"",ROUNDUP(Y470/H470,0)*0.01898),"")</f>
        <v>1.1388</v>
      </c>
      <c r="AA470" s="56"/>
      <c r="AB470" s="57"/>
      <c r="AC470" s="555" t="s">
        <v>751</v>
      </c>
      <c r="AG470" s="64"/>
      <c r="AJ470" s="68"/>
      <c r="AK470" s="68">
        <v>0</v>
      </c>
      <c r="BB470" s="556" t="s">
        <v>1</v>
      </c>
      <c r="BM470" s="64">
        <f>IFERROR(X470*I470/H470,"0")</f>
        <v>569.64</v>
      </c>
      <c r="BN470" s="64">
        <f>IFERROR(Y470*I470/H470,"0")</f>
        <v>569.64</v>
      </c>
      <c r="BO470" s="64">
        <f>IFERROR(1/J470*(X470/H470),"0")</f>
        <v>0.9375</v>
      </c>
      <c r="BP470" s="64">
        <f>IFERROR(1/J470*(Y470/H470),"0")</f>
        <v>0.9375</v>
      </c>
    </row>
    <row r="471" spans="1:68" ht="27" hidden="1" customHeight="1" x14ac:dyDescent="0.25">
      <c r="A471" s="54" t="s">
        <v>752</v>
      </c>
      <c r="B471" s="54" t="s">
        <v>753</v>
      </c>
      <c r="C471" s="31">
        <v>4301051660</v>
      </c>
      <c r="D471" s="647">
        <v>4607091384253</v>
      </c>
      <c r="E471" s="648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4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53"/>
      <c r="R471" s="653"/>
      <c r="S471" s="653"/>
      <c r="T471" s="654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751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752</v>
      </c>
      <c r="B472" s="54" t="s">
        <v>754</v>
      </c>
      <c r="C472" s="31">
        <v>4301052069</v>
      </c>
      <c r="D472" s="647">
        <v>4607091384253</v>
      </c>
      <c r="E472" s="648"/>
      <c r="F472" s="642">
        <v>0.4</v>
      </c>
      <c r="G472" s="32">
        <v>6</v>
      </c>
      <c r="H472" s="642">
        <v>2.4</v>
      </c>
      <c r="I472" s="642">
        <v>2.6640000000000001</v>
      </c>
      <c r="J472" s="32">
        <v>182</v>
      </c>
      <c r="K472" s="32" t="s">
        <v>77</v>
      </c>
      <c r="L472" s="32"/>
      <c r="M472" s="33" t="s">
        <v>78</v>
      </c>
      <c r="N472" s="33"/>
      <c r="O472" s="32">
        <v>40</v>
      </c>
      <c r="P472" s="89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53"/>
      <c r="R472" s="653"/>
      <c r="S472" s="653"/>
      <c r="T472" s="654"/>
      <c r="U472" s="34"/>
      <c r="V472" s="34"/>
      <c r="W472" s="35" t="s">
        <v>67</v>
      </c>
      <c r="X472" s="643">
        <v>0</v>
      </c>
      <c r="Y472" s="644">
        <f>IFERROR(IF(X472="",0,CEILING((X472/$H472),1)*$H472),"")</f>
        <v>0</v>
      </c>
      <c r="Z472" s="36" t="str">
        <f>IFERROR(IF(Y472=0,"",ROUNDUP(Y472/H472,0)*0.00651),"")</f>
        <v/>
      </c>
      <c r="AA472" s="56"/>
      <c r="AB472" s="57"/>
      <c r="AC472" s="559" t="s">
        <v>755</v>
      </c>
      <c r="AG472" s="64"/>
      <c r="AJ472" s="68"/>
      <c r="AK472" s="68">
        <v>0</v>
      </c>
      <c r="BB472" s="56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657"/>
      <c r="B473" s="658"/>
      <c r="C473" s="658"/>
      <c r="D473" s="658"/>
      <c r="E473" s="658"/>
      <c r="F473" s="658"/>
      <c r="G473" s="658"/>
      <c r="H473" s="658"/>
      <c r="I473" s="658"/>
      <c r="J473" s="658"/>
      <c r="K473" s="658"/>
      <c r="L473" s="658"/>
      <c r="M473" s="658"/>
      <c r="N473" s="658"/>
      <c r="O473" s="659"/>
      <c r="P473" s="649" t="s">
        <v>72</v>
      </c>
      <c r="Q473" s="650"/>
      <c r="R473" s="650"/>
      <c r="S473" s="650"/>
      <c r="T473" s="650"/>
      <c r="U473" s="650"/>
      <c r="V473" s="651"/>
      <c r="W473" s="37" t="s">
        <v>73</v>
      </c>
      <c r="X473" s="645">
        <f>IFERROR(X470/H470,"0")+IFERROR(X471/H471,"0")+IFERROR(X472/H472,"0")</f>
        <v>60</v>
      </c>
      <c r="Y473" s="645">
        <f>IFERROR(Y470/H470,"0")+IFERROR(Y471/H471,"0")+IFERROR(Y472/H472,"0")</f>
        <v>60</v>
      </c>
      <c r="Z473" s="645">
        <f>IFERROR(IF(Z470="",0,Z470),"0")+IFERROR(IF(Z471="",0,Z471),"0")+IFERROR(IF(Z472="",0,Z472),"0")</f>
        <v>1.1388</v>
      </c>
      <c r="AA473" s="646"/>
      <c r="AB473" s="646"/>
      <c r="AC473" s="646"/>
    </row>
    <row r="474" spans="1:68" x14ac:dyDescent="0.2">
      <c r="A474" s="658"/>
      <c r="B474" s="658"/>
      <c r="C474" s="658"/>
      <c r="D474" s="658"/>
      <c r="E474" s="658"/>
      <c r="F474" s="658"/>
      <c r="G474" s="658"/>
      <c r="H474" s="658"/>
      <c r="I474" s="658"/>
      <c r="J474" s="658"/>
      <c r="K474" s="658"/>
      <c r="L474" s="658"/>
      <c r="M474" s="658"/>
      <c r="N474" s="658"/>
      <c r="O474" s="659"/>
      <c r="P474" s="649" t="s">
        <v>72</v>
      </c>
      <c r="Q474" s="650"/>
      <c r="R474" s="650"/>
      <c r="S474" s="650"/>
      <c r="T474" s="650"/>
      <c r="U474" s="650"/>
      <c r="V474" s="651"/>
      <c r="W474" s="37" t="s">
        <v>67</v>
      </c>
      <c r="X474" s="645">
        <f>IFERROR(SUM(X470:X472),"0")</f>
        <v>540</v>
      </c>
      <c r="Y474" s="645">
        <f>IFERROR(SUM(Y470:Y472),"0")</f>
        <v>540</v>
      </c>
      <c r="Z474" s="37"/>
      <c r="AA474" s="646"/>
      <c r="AB474" s="646"/>
      <c r="AC474" s="646"/>
    </row>
    <row r="475" spans="1:68" ht="27.75" hidden="1" customHeight="1" x14ac:dyDescent="0.2">
      <c r="A475" s="664" t="s">
        <v>756</v>
      </c>
      <c r="B475" s="665"/>
      <c r="C475" s="665"/>
      <c r="D475" s="665"/>
      <c r="E475" s="665"/>
      <c r="F475" s="665"/>
      <c r="G475" s="665"/>
      <c r="H475" s="665"/>
      <c r="I475" s="665"/>
      <c r="J475" s="665"/>
      <c r="K475" s="665"/>
      <c r="L475" s="665"/>
      <c r="M475" s="665"/>
      <c r="N475" s="665"/>
      <c r="O475" s="665"/>
      <c r="P475" s="665"/>
      <c r="Q475" s="665"/>
      <c r="R475" s="665"/>
      <c r="S475" s="665"/>
      <c r="T475" s="665"/>
      <c r="U475" s="665"/>
      <c r="V475" s="665"/>
      <c r="W475" s="665"/>
      <c r="X475" s="665"/>
      <c r="Y475" s="665"/>
      <c r="Z475" s="665"/>
      <c r="AA475" s="48"/>
      <c r="AB475" s="48"/>
      <c r="AC475" s="48"/>
    </row>
    <row r="476" spans="1:68" ht="16.5" hidden="1" customHeight="1" x14ac:dyDescent="0.25">
      <c r="A476" s="676" t="s">
        <v>757</v>
      </c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58"/>
      <c r="P476" s="658"/>
      <c r="Q476" s="658"/>
      <c r="R476" s="658"/>
      <c r="S476" s="658"/>
      <c r="T476" s="658"/>
      <c r="U476" s="658"/>
      <c r="V476" s="658"/>
      <c r="W476" s="658"/>
      <c r="X476" s="658"/>
      <c r="Y476" s="658"/>
      <c r="Z476" s="658"/>
      <c r="AA476" s="638"/>
      <c r="AB476" s="638"/>
      <c r="AC476" s="638"/>
    </row>
    <row r="477" spans="1:68" ht="14.25" hidden="1" customHeight="1" x14ac:dyDescent="0.25">
      <c r="A477" s="663" t="s">
        <v>62</v>
      </c>
      <c r="B477" s="658"/>
      <c r="C477" s="658"/>
      <c r="D477" s="658"/>
      <c r="E477" s="658"/>
      <c r="F477" s="658"/>
      <c r="G477" s="658"/>
      <c r="H477" s="658"/>
      <c r="I477" s="658"/>
      <c r="J477" s="658"/>
      <c r="K477" s="658"/>
      <c r="L477" s="658"/>
      <c r="M477" s="658"/>
      <c r="N477" s="658"/>
      <c r="O477" s="658"/>
      <c r="P477" s="658"/>
      <c r="Q477" s="658"/>
      <c r="R477" s="658"/>
      <c r="S477" s="658"/>
      <c r="T477" s="658"/>
      <c r="U477" s="658"/>
      <c r="V477" s="658"/>
      <c r="W477" s="658"/>
      <c r="X477" s="658"/>
      <c r="Y477" s="658"/>
      <c r="Z477" s="658"/>
      <c r="AA477" s="639"/>
      <c r="AB477" s="639"/>
      <c r="AC477" s="639"/>
    </row>
    <row r="478" spans="1:68" ht="27" hidden="1" customHeight="1" x14ac:dyDescent="0.25">
      <c r="A478" s="54" t="s">
        <v>758</v>
      </c>
      <c r="B478" s="54" t="s">
        <v>759</v>
      </c>
      <c r="C478" s="31">
        <v>4301031405</v>
      </c>
      <c r="D478" s="647">
        <v>4680115886100</v>
      </c>
      <c r="E478" s="648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8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53"/>
      <c r="R478" s="653"/>
      <c r="S478" s="653"/>
      <c r="T478" s="654"/>
      <c r="U478" s="34"/>
      <c r="V478" s="34"/>
      <c r="W478" s="35" t="s">
        <v>67</v>
      </c>
      <c r="X478" s="643">
        <v>0</v>
      </c>
      <c r="Y478" s="644">
        <f t="shared" ref="Y478:Y483" si="78"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61" t="s">
        <v>760</v>
      </c>
      <c r="AG478" s="64"/>
      <c r="AJ478" s="68"/>
      <c r="AK478" s="68">
        <v>0</v>
      </c>
      <c r="BB478" s="562" t="s">
        <v>1</v>
      </c>
      <c r="BM478" s="64">
        <f t="shared" ref="BM478:BM483" si="79">IFERROR(X478*I478/H478,"0")</f>
        <v>0</v>
      </c>
      <c r="BN478" s="64">
        <f t="shared" ref="BN478:BN483" si="80">IFERROR(Y478*I478/H478,"0")</f>
        <v>0</v>
      </c>
      <c r="BO478" s="64">
        <f t="shared" ref="BO478:BO483" si="81">IFERROR(1/J478*(X478/H478),"0")</f>
        <v>0</v>
      </c>
      <c r="BP478" s="64">
        <f t="shared" ref="BP478:BP483" si="82">IFERROR(1/J478*(Y478/H478),"0")</f>
        <v>0</v>
      </c>
    </row>
    <row r="479" spans="1:68" ht="27" hidden="1" customHeight="1" x14ac:dyDescent="0.25">
      <c r="A479" s="54" t="s">
        <v>761</v>
      </c>
      <c r="B479" s="54" t="s">
        <v>762</v>
      </c>
      <c r="C479" s="31">
        <v>4301031402</v>
      </c>
      <c r="D479" s="647">
        <v>4680115886124</v>
      </c>
      <c r="E479" s="648"/>
      <c r="F479" s="642">
        <v>0.9</v>
      </c>
      <c r="G479" s="32">
        <v>6</v>
      </c>
      <c r="H479" s="642">
        <v>5.4</v>
      </c>
      <c r="I479" s="642">
        <v>5.59</v>
      </c>
      <c r="J479" s="32">
        <v>132</v>
      </c>
      <c r="K479" s="32" t="s">
        <v>123</v>
      </c>
      <c r="L479" s="32"/>
      <c r="M479" s="33" t="s">
        <v>66</v>
      </c>
      <c r="N479" s="33"/>
      <c r="O479" s="32">
        <v>50</v>
      </c>
      <c r="P479" s="7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53"/>
      <c r="R479" s="653"/>
      <c r="S479" s="653"/>
      <c r="T479" s="654"/>
      <c r="U479" s="34"/>
      <c r="V479" s="34"/>
      <c r="W479" s="35" t="s">
        <v>67</v>
      </c>
      <c r="X479" s="643">
        <v>0</v>
      </c>
      <c r="Y479" s="644">
        <f t="shared" si="78"/>
        <v>0</v>
      </c>
      <c r="Z479" s="36" t="str">
        <f>IFERROR(IF(Y479=0,"",ROUNDUP(Y479/H479,0)*0.00902),"")</f>
        <v/>
      </c>
      <c r="AA479" s="56"/>
      <c r="AB479" s="57"/>
      <c r="AC479" s="563" t="s">
        <v>763</v>
      </c>
      <c r="AG479" s="64"/>
      <c r="AJ479" s="68"/>
      <c r="AK479" s="68">
        <v>0</v>
      </c>
      <c r="BB479" s="564" t="s">
        <v>1</v>
      </c>
      <c r="BM479" s="64">
        <f t="shared" si="79"/>
        <v>0</v>
      </c>
      <c r="BN479" s="64">
        <f t="shared" si="80"/>
        <v>0</v>
      </c>
      <c r="BO479" s="64">
        <f t="shared" si="81"/>
        <v>0</v>
      </c>
      <c r="BP479" s="64">
        <f t="shared" si="82"/>
        <v>0</v>
      </c>
    </row>
    <row r="480" spans="1:68" ht="27" hidden="1" customHeight="1" x14ac:dyDescent="0.25">
      <c r="A480" s="54" t="s">
        <v>764</v>
      </c>
      <c r="B480" s="54" t="s">
        <v>765</v>
      </c>
      <c r="C480" s="31">
        <v>4301031362</v>
      </c>
      <c r="D480" s="647">
        <v>4607091384338</v>
      </c>
      <c r="E480" s="648"/>
      <c r="F480" s="642">
        <v>0.35</v>
      </c>
      <c r="G480" s="32">
        <v>6</v>
      </c>
      <c r="H480" s="642">
        <v>2.1</v>
      </c>
      <c r="I480" s="642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53"/>
      <c r="R480" s="653"/>
      <c r="S480" s="653"/>
      <c r="T480" s="654"/>
      <c r="U480" s="34"/>
      <c r="V480" s="34"/>
      <c r="W480" s="35" t="s">
        <v>67</v>
      </c>
      <c r="X480" s="643">
        <v>0</v>
      </c>
      <c r="Y480" s="644">
        <f t="shared" si="78"/>
        <v>0</v>
      </c>
      <c r="Z480" s="36" t="str">
        <f>IFERROR(IF(Y480=0,"",ROUNDUP(Y480/H480,0)*0.00502),"")</f>
        <v/>
      </c>
      <c r="AA480" s="56"/>
      <c r="AB480" s="57"/>
      <c r="AC480" s="565" t="s">
        <v>760</v>
      </c>
      <c r="AG480" s="64"/>
      <c r="AJ480" s="68"/>
      <c r="AK480" s="68">
        <v>0</v>
      </c>
      <c r="BB480" s="566" t="s">
        <v>1</v>
      </c>
      <c r="BM480" s="64">
        <f t="shared" si="79"/>
        <v>0</v>
      </c>
      <c r="BN480" s="64">
        <f t="shared" si="80"/>
        <v>0</v>
      </c>
      <c r="BO480" s="64">
        <f t="shared" si="81"/>
        <v>0</v>
      </c>
      <c r="BP480" s="64">
        <f t="shared" si="82"/>
        <v>0</v>
      </c>
    </row>
    <row r="481" spans="1:68" ht="27" hidden="1" customHeight="1" x14ac:dyDescent="0.25">
      <c r="A481" s="54" t="s">
        <v>766</v>
      </c>
      <c r="B481" s="54" t="s">
        <v>767</v>
      </c>
      <c r="C481" s="31">
        <v>4301031364</v>
      </c>
      <c r="D481" s="647">
        <v>4680115883161</v>
      </c>
      <c r="E481" s="648"/>
      <c r="F481" s="642">
        <v>0.28000000000000003</v>
      </c>
      <c r="G481" s="32">
        <v>6</v>
      </c>
      <c r="H481" s="642">
        <v>1.68</v>
      </c>
      <c r="I481" s="642">
        <v>1.81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53"/>
      <c r="R481" s="653"/>
      <c r="S481" s="653"/>
      <c r="T481" s="654"/>
      <c r="U481" s="34"/>
      <c r="V481" s="34"/>
      <c r="W481" s="35" t="s">
        <v>67</v>
      </c>
      <c r="X481" s="643">
        <v>0</v>
      </c>
      <c r="Y481" s="644">
        <f t="shared" si="78"/>
        <v>0</v>
      </c>
      <c r="Z481" s="36" t="str">
        <f>IFERROR(IF(Y481=0,"",ROUNDUP(Y481/H481,0)*0.00502),"")</f>
        <v/>
      </c>
      <c r="AA481" s="56"/>
      <c r="AB481" s="57"/>
      <c r="AC481" s="567" t="s">
        <v>768</v>
      </c>
      <c r="AG481" s="64"/>
      <c r="AJ481" s="68"/>
      <c r="AK481" s="68">
        <v>0</v>
      </c>
      <c r="BB481" s="568" t="s">
        <v>1</v>
      </c>
      <c r="BM481" s="64">
        <f t="shared" si="79"/>
        <v>0</v>
      </c>
      <c r="BN481" s="64">
        <f t="shared" si="80"/>
        <v>0</v>
      </c>
      <c r="BO481" s="64">
        <f t="shared" si="81"/>
        <v>0</v>
      </c>
      <c r="BP481" s="64">
        <f t="shared" si="82"/>
        <v>0</v>
      </c>
    </row>
    <row r="482" spans="1:68" ht="27" hidden="1" customHeight="1" x14ac:dyDescent="0.25">
      <c r="A482" s="54" t="s">
        <v>769</v>
      </c>
      <c r="B482" s="54" t="s">
        <v>770</v>
      </c>
      <c r="C482" s="31">
        <v>4301031358</v>
      </c>
      <c r="D482" s="647">
        <v>4607091389531</v>
      </c>
      <c r="E482" s="648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53"/>
      <c r="R482" s="653"/>
      <c r="S482" s="653"/>
      <c r="T482" s="654"/>
      <c r="U482" s="34"/>
      <c r="V482" s="34"/>
      <c r="W482" s="35" t="s">
        <v>67</v>
      </c>
      <c r="X482" s="643">
        <v>0</v>
      </c>
      <c r="Y482" s="644">
        <f t="shared" si="78"/>
        <v>0</v>
      </c>
      <c r="Z482" s="36" t="str">
        <f>IFERROR(IF(Y482=0,"",ROUNDUP(Y482/H482,0)*0.00502),"")</f>
        <v/>
      </c>
      <c r="AA482" s="56"/>
      <c r="AB482" s="57"/>
      <c r="AC482" s="569" t="s">
        <v>771</v>
      </c>
      <c r="AG482" s="64"/>
      <c r="AJ482" s="68"/>
      <c r="AK482" s="68">
        <v>0</v>
      </c>
      <c r="BB482" s="570" t="s">
        <v>1</v>
      </c>
      <c r="BM482" s="64">
        <f t="shared" si="79"/>
        <v>0</v>
      </c>
      <c r="BN482" s="64">
        <f t="shared" si="80"/>
        <v>0</v>
      </c>
      <c r="BO482" s="64">
        <f t="shared" si="81"/>
        <v>0</v>
      </c>
      <c r="BP482" s="64">
        <f t="shared" si="82"/>
        <v>0</v>
      </c>
    </row>
    <row r="483" spans="1:68" ht="37.5" hidden="1" customHeight="1" x14ac:dyDescent="0.25">
      <c r="A483" s="54" t="s">
        <v>772</v>
      </c>
      <c r="B483" s="54" t="s">
        <v>773</v>
      </c>
      <c r="C483" s="31">
        <v>4301031360</v>
      </c>
      <c r="D483" s="647">
        <v>4607091384345</v>
      </c>
      <c r="E483" s="648"/>
      <c r="F483" s="642">
        <v>0.35</v>
      </c>
      <c r="G483" s="32">
        <v>6</v>
      </c>
      <c r="H483" s="642">
        <v>2.1</v>
      </c>
      <c r="I483" s="642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4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53"/>
      <c r="R483" s="653"/>
      <c r="S483" s="653"/>
      <c r="T483" s="654"/>
      <c r="U483" s="34"/>
      <c r="V483" s="34"/>
      <c r="W483" s="35" t="s">
        <v>67</v>
      </c>
      <c r="X483" s="643">
        <v>0</v>
      </c>
      <c r="Y483" s="644">
        <f t="shared" si="78"/>
        <v>0</v>
      </c>
      <c r="Z483" s="36" t="str">
        <f>IFERROR(IF(Y483=0,"",ROUNDUP(Y483/H483,0)*0.00502),"")</f>
        <v/>
      </c>
      <c r="AA483" s="56"/>
      <c r="AB483" s="57"/>
      <c r="AC483" s="571" t="s">
        <v>768</v>
      </c>
      <c r="AG483" s="64"/>
      <c r="AJ483" s="68"/>
      <c r="AK483" s="68">
        <v>0</v>
      </c>
      <c r="BB483" s="572" t="s">
        <v>1</v>
      </c>
      <c r="BM483" s="64">
        <f t="shared" si="79"/>
        <v>0</v>
      </c>
      <c r="BN483" s="64">
        <f t="shared" si="80"/>
        <v>0</v>
      </c>
      <c r="BO483" s="64">
        <f t="shared" si="81"/>
        <v>0</v>
      </c>
      <c r="BP483" s="64">
        <f t="shared" si="82"/>
        <v>0</v>
      </c>
    </row>
    <row r="484" spans="1:68" hidden="1" x14ac:dyDescent="0.2">
      <c r="A484" s="657"/>
      <c r="B484" s="658"/>
      <c r="C484" s="658"/>
      <c r="D484" s="658"/>
      <c r="E484" s="658"/>
      <c r="F484" s="658"/>
      <c r="G484" s="658"/>
      <c r="H484" s="658"/>
      <c r="I484" s="658"/>
      <c r="J484" s="658"/>
      <c r="K484" s="658"/>
      <c r="L484" s="658"/>
      <c r="M484" s="658"/>
      <c r="N484" s="658"/>
      <c r="O484" s="659"/>
      <c r="P484" s="649" t="s">
        <v>72</v>
      </c>
      <c r="Q484" s="650"/>
      <c r="R484" s="650"/>
      <c r="S484" s="650"/>
      <c r="T484" s="650"/>
      <c r="U484" s="650"/>
      <c r="V484" s="651"/>
      <c r="W484" s="37" t="s">
        <v>73</v>
      </c>
      <c r="X484" s="645">
        <f>IFERROR(X478/H478,"0")+IFERROR(X479/H479,"0")+IFERROR(X480/H480,"0")+IFERROR(X481/H481,"0")+IFERROR(X482/H482,"0")+IFERROR(X483/H483,"0")</f>
        <v>0</v>
      </c>
      <c r="Y484" s="645">
        <f>IFERROR(Y478/H478,"0")+IFERROR(Y479/H479,"0")+IFERROR(Y480/H480,"0")+IFERROR(Y481/H481,"0")+IFERROR(Y482/H482,"0")+IFERROR(Y483/H483,"0")</f>
        <v>0</v>
      </c>
      <c r="Z484" s="645">
        <f>IFERROR(IF(Z478="",0,Z478),"0")+IFERROR(IF(Z479="",0,Z479),"0")+IFERROR(IF(Z480="",0,Z480),"0")+IFERROR(IF(Z481="",0,Z481),"0")+IFERROR(IF(Z482="",0,Z482),"0")+IFERROR(IF(Z483="",0,Z483),"0")</f>
        <v>0</v>
      </c>
      <c r="AA484" s="646"/>
      <c r="AB484" s="646"/>
      <c r="AC484" s="646"/>
    </row>
    <row r="485" spans="1:68" hidden="1" x14ac:dyDescent="0.2">
      <c r="A485" s="658"/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9"/>
      <c r="P485" s="649" t="s">
        <v>72</v>
      </c>
      <c r="Q485" s="650"/>
      <c r="R485" s="650"/>
      <c r="S485" s="650"/>
      <c r="T485" s="650"/>
      <c r="U485" s="650"/>
      <c r="V485" s="651"/>
      <c r="W485" s="37" t="s">
        <v>67</v>
      </c>
      <c r="X485" s="645">
        <f>IFERROR(SUM(X478:X483),"0")</f>
        <v>0</v>
      </c>
      <c r="Y485" s="645">
        <f>IFERROR(SUM(Y478:Y483),"0")</f>
        <v>0</v>
      </c>
      <c r="Z485" s="37"/>
      <c r="AA485" s="646"/>
      <c r="AB485" s="646"/>
      <c r="AC485" s="646"/>
    </row>
    <row r="486" spans="1:68" ht="14.25" hidden="1" customHeight="1" x14ac:dyDescent="0.25">
      <c r="A486" s="663" t="s">
        <v>74</v>
      </c>
      <c r="B486" s="658"/>
      <c r="C486" s="658"/>
      <c r="D486" s="658"/>
      <c r="E486" s="658"/>
      <c r="F486" s="658"/>
      <c r="G486" s="658"/>
      <c r="H486" s="658"/>
      <c r="I486" s="658"/>
      <c r="J486" s="658"/>
      <c r="K486" s="658"/>
      <c r="L486" s="658"/>
      <c r="M486" s="658"/>
      <c r="N486" s="658"/>
      <c r="O486" s="658"/>
      <c r="P486" s="658"/>
      <c r="Q486" s="658"/>
      <c r="R486" s="658"/>
      <c r="S486" s="658"/>
      <c r="T486" s="658"/>
      <c r="U486" s="658"/>
      <c r="V486" s="658"/>
      <c r="W486" s="658"/>
      <c r="X486" s="658"/>
      <c r="Y486" s="658"/>
      <c r="Z486" s="658"/>
      <c r="AA486" s="639"/>
      <c r="AB486" s="639"/>
      <c r="AC486" s="639"/>
    </row>
    <row r="487" spans="1:68" ht="27" hidden="1" customHeight="1" x14ac:dyDescent="0.25">
      <c r="A487" s="54" t="s">
        <v>774</v>
      </c>
      <c r="B487" s="54" t="s">
        <v>775</v>
      </c>
      <c r="C487" s="31">
        <v>4301051284</v>
      </c>
      <c r="D487" s="647">
        <v>4607091384352</v>
      </c>
      <c r="E487" s="648"/>
      <c r="F487" s="642">
        <v>0.6</v>
      </c>
      <c r="G487" s="32">
        <v>4</v>
      </c>
      <c r="H487" s="642">
        <v>2.4</v>
      </c>
      <c r="I487" s="642">
        <v>2.6259999999999999</v>
      </c>
      <c r="J487" s="32">
        <v>132</v>
      </c>
      <c r="K487" s="32" t="s">
        <v>123</v>
      </c>
      <c r="L487" s="32"/>
      <c r="M487" s="33" t="s">
        <v>78</v>
      </c>
      <c r="N487" s="33"/>
      <c r="O487" s="32">
        <v>45</v>
      </c>
      <c r="P487" s="8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53"/>
      <c r="R487" s="653"/>
      <c r="S487" s="653"/>
      <c r="T487" s="654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73" t="s">
        <v>776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777</v>
      </c>
      <c r="B488" s="54" t="s">
        <v>778</v>
      </c>
      <c r="C488" s="31">
        <v>4301051431</v>
      </c>
      <c r="D488" s="647">
        <v>4607091389654</v>
      </c>
      <c r="E488" s="648"/>
      <c r="F488" s="642">
        <v>0.33</v>
      </c>
      <c r="G488" s="32">
        <v>6</v>
      </c>
      <c r="H488" s="642">
        <v>1.98</v>
      </c>
      <c r="I488" s="642">
        <v>2.238</v>
      </c>
      <c r="J488" s="32">
        <v>182</v>
      </c>
      <c r="K488" s="32" t="s">
        <v>77</v>
      </c>
      <c r="L488" s="32"/>
      <c r="M488" s="33" t="s">
        <v>78</v>
      </c>
      <c r="N488" s="33"/>
      <c r="O488" s="32">
        <v>45</v>
      </c>
      <c r="P488" s="87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53"/>
      <c r="R488" s="653"/>
      <c r="S488" s="653"/>
      <c r="T488" s="654"/>
      <c r="U488" s="34"/>
      <c r="V488" s="34"/>
      <c r="W488" s="35" t="s">
        <v>67</v>
      </c>
      <c r="X488" s="643">
        <v>0</v>
      </c>
      <c r="Y488" s="644">
        <f>IFERROR(IF(X488="",0,CEILING((X488/$H488),1)*$H488),"")</f>
        <v>0</v>
      </c>
      <c r="Z488" s="36" t="str">
        <f>IFERROR(IF(Y488=0,"",ROUNDUP(Y488/H488,0)*0.00651),"")</f>
        <v/>
      </c>
      <c r="AA488" s="56"/>
      <c r="AB488" s="57"/>
      <c r="AC488" s="575" t="s">
        <v>779</v>
      </c>
      <c r="AG488" s="64"/>
      <c r="AJ488" s="68"/>
      <c r="AK488" s="68">
        <v>0</v>
      </c>
      <c r="BB488" s="57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657"/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9"/>
      <c r="P489" s="649" t="s">
        <v>72</v>
      </c>
      <c r="Q489" s="650"/>
      <c r="R489" s="650"/>
      <c r="S489" s="650"/>
      <c r="T489" s="650"/>
      <c r="U489" s="650"/>
      <c r="V489" s="651"/>
      <c r="W489" s="37" t="s">
        <v>73</v>
      </c>
      <c r="X489" s="645">
        <f>IFERROR(X487/H487,"0")+IFERROR(X488/H488,"0")</f>
        <v>0</v>
      </c>
      <c r="Y489" s="645">
        <f>IFERROR(Y487/H487,"0")+IFERROR(Y488/H488,"0")</f>
        <v>0</v>
      </c>
      <c r="Z489" s="645">
        <f>IFERROR(IF(Z487="",0,Z487),"0")+IFERROR(IF(Z488="",0,Z488),"0")</f>
        <v>0</v>
      </c>
      <c r="AA489" s="646"/>
      <c r="AB489" s="646"/>
      <c r="AC489" s="646"/>
    </row>
    <row r="490" spans="1:68" hidden="1" x14ac:dyDescent="0.2">
      <c r="A490" s="658"/>
      <c r="B490" s="658"/>
      <c r="C490" s="658"/>
      <c r="D490" s="658"/>
      <c r="E490" s="658"/>
      <c r="F490" s="658"/>
      <c r="G490" s="658"/>
      <c r="H490" s="658"/>
      <c r="I490" s="658"/>
      <c r="J490" s="658"/>
      <c r="K490" s="658"/>
      <c r="L490" s="658"/>
      <c r="M490" s="658"/>
      <c r="N490" s="658"/>
      <c r="O490" s="659"/>
      <c r="P490" s="649" t="s">
        <v>72</v>
      </c>
      <c r="Q490" s="650"/>
      <c r="R490" s="650"/>
      <c r="S490" s="650"/>
      <c r="T490" s="650"/>
      <c r="U490" s="650"/>
      <c r="V490" s="651"/>
      <c r="W490" s="37" t="s">
        <v>67</v>
      </c>
      <c r="X490" s="645">
        <f>IFERROR(SUM(X487:X488),"0")</f>
        <v>0</v>
      </c>
      <c r="Y490" s="645">
        <f>IFERROR(SUM(Y487:Y488),"0")</f>
        <v>0</v>
      </c>
      <c r="Z490" s="37"/>
      <c r="AA490" s="646"/>
      <c r="AB490" s="646"/>
      <c r="AC490" s="646"/>
    </row>
    <row r="491" spans="1:68" ht="16.5" hidden="1" customHeight="1" x14ac:dyDescent="0.25">
      <c r="A491" s="676" t="s">
        <v>780</v>
      </c>
      <c r="B491" s="658"/>
      <c r="C491" s="658"/>
      <c r="D491" s="658"/>
      <c r="E491" s="658"/>
      <c r="F491" s="658"/>
      <c r="G491" s="658"/>
      <c r="H491" s="658"/>
      <c r="I491" s="658"/>
      <c r="J491" s="658"/>
      <c r="K491" s="658"/>
      <c r="L491" s="658"/>
      <c r="M491" s="658"/>
      <c r="N491" s="658"/>
      <c r="O491" s="658"/>
      <c r="P491" s="658"/>
      <c r="Q491" s="658"/>
      <c r="R491" s="658"/>
      <c r="S491" s="658"/>
      <c r="T491" s="658"/>
      <c r="U491" s="658"/>
      <c r="V491" s="658"/>
      <c r="W491" s="658"/>
      <c r="X491" s="658"/>
      <c r="Y491" s="658"/>
      <c r="Z491" s="658"/>
      <c r="AA491" s="638"/>
      <c r="AB491" s="638"/>
      <c r="AC491" s="638"/>
    </row>
    <row r="492" spans="1:68" ht="14.25" hidden="1" customHeight="1" x14ac:dyDescent="0.25">
      <c r="A492" s="663" t="s">
        <v>148</v>
      </c>
      <c r="B492" s="658"/>
      <c r="C492" s="658"/>
      <c r="D492" s="658"/>
      <c r="E492" s="658"/>
      <c r="F492" s="658"/>
      <c r="G492" s="658"/>
      <c r="H492" s="658"/>
      <c r="I492" s="658"/>
      <c r="J492" s="658"/>
      <c r="K492" s="658"/>
      <c r="L492" s="658"/>
      <c r="M492" s="658"/>
      <c r="N492" s="658"/>
      <c r="O492" s="658"/>
      <c r="P492" s="658"/>
      <c r="Q492" s="658"/>
      <c r="R492" s="658"/>
      <c r="S492" s="658"/>
      <c r="T492" s="658"/>
      <c r="U492" s="658"/>
      <c r="V492" s="658"/>
      <c r="W492" s="658"/>
      <c r="X492" s="658"/>
      <c r="Y492" s="658"/>
      <c r="Z492" s="658"/>
      <c r="AA492" s="639"/>
      <c r="AB492" s="639"/>
      <c r="AC492" s="639"/>
    </row>
    <row r="493" spans="1:68" ht="27" hidden="1" customHeight="1" x14ac:dyDescent="0.25">
      <c r="A493" s="54" t="s">
        <v>781</v>
      </c>
      <c r="B493" s="54" t="s">
        <v>782</v>
      </c>
      <c r="C493" s="31">
        <v>4301020416</v>
      </c>
      <c r="D493" s="647">
        <v>4680115885240</v>
      </c>
      <c r="E493" s="648"/>
      <c r="F493" s="642">
        <v>0.35</v>
      </c>
      <c r="G493" s="32">
        <v>6</v>
      </c>
      <c r="H493" s="642">
        <v>2.1</v>
      </c>
      <c r="I493" s="642">
        <v>2.31</v>
      </c>
      <c r="J493" s="32">
        <v>182</v>
      </c>
      <c r="K493" s="32" t="s">
        <v>77</v>
      </c>
      <c r="L493" s="32"/>
      <c r="M493" s="33" t="s">
        <v>66</v>
      </c>
      <c r="N493" s="33"/>
      <c r="O493" s="32">
        <v>40</v>
      </c>
      <c r="P493" s="80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53"/>
      <c r="R493" s="653"/>
      <c r="S493" s="653"/>
      <c r="T493" s="654"/>
      <c r="U493" s="34"/>
      <c r="V493" s="34"/>
      <c r="W493" s="35" t="s">
        <v>67</v>
      </c>
      <c r="X493" s="643">
        <v>0</v>
      </c>
      <c r="Y493" s="644">
        <f>IFERROR(IF(X493="",0,CEILING((X493/$H493),1)*$H493),"")</f>
        <v>0</v>
      </c>
      <c r="Z493" s="36" t="str">
        <f>IFERROR(IF(Y493=0,"",ROUNDUP(Y493/H493,0)*0.00651),"")</f>
        <v/>
      </c>
      <c r="AA493" s="56"/>
      <c r="AB493" s="57"/>
      <c r="AC493" s="577" t="s">
        <v>783</v>
      </c>
      <c r="AG493" s="64"/>
      <c r="AJ493" s="68"/>
      <c r="AK493" s="68">
        <v>0</v>
      </c>
      <c r="BB493" s="578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7"/>
      <c r="B494" s="658"/>
      <c r="C494" s="658"/>
      <c r="D494" s="658"/>
      <c r="E494" s="658"/>
      <c r="F494" s="658"/>
      <c r="G494" s="658"/>
      <c r="H494" s="658"/>
      <c r="I494" s="658"/>
      <c r="J494" s="658"/>
      <c r="K494" s="658"/>
      <c r="L494" s="658"/>
      <c r="M494" s="658"/>
      <c r="N494" s="658"/>
      <c r="O494" s="659"/>
      <c r="P494" s="649" t="s">
        <v>72</v>
      </c>
      <c r="Q494" s="650"/>
      <c r="R494" s="650"/>
      <c r="S494" s="650"/>
      <c r="T494" s="650"/>
      <c r="U494" s="650"/>
      <c r="V494" s="651"/>
      <c r="W494" s="37" t="s">
        <v>73</v>
      </c>
      <c r="X494" s="645">
        <f>IFERROR(X493/H493,"0")</f>
        <v>0</v>
      </c>
      <c r="Y494" s="645">
        <f>IFERROR(Y493/H493,"0")</f>
        <v>0</v>
      </c>
      <c r="Z494" s="645">
        <f>IFERROR(IF(Z493="",0,Z493),"0")</f>
        <v>0</v>
      </c>
      <c r="AA494" s="646"/>
      <c r="AB494" s="646"/>
      <c r="AC494" s="646"/>
    </row>
    <row r="495" spans="1:68" hidden="1" x14ac:dyDescent="0.2">
      <c r="A495" s="658"/>
      <c r="B495" s="658"/>
      <c r="C495" s="658"/>
      <c r="D495" s="658"/>
      <c r="E495" s="658"/>
      <c r="F495" s="658"/>
      <c r="G495" s="658"/>
      <c r="H495" s="658"/>
      <c r="I495" s="658"/>
      <c r="J495" s="658"/>
      <c r="K495" s="658"/>
      <c r="L495" s="658"/>
      <c r="M495" s="658"/>
      <c r="N495" s="658"/>
      <c r="O495" s="659"/>
      <c r="P495" s="649" t="s">
        <v>72</v>
      </c>
      <c r="Q495" s="650"/>
      <c r="R495" s="650"/>
      <c r="S495" s="650"/>
      <c r="T495" s="650"/>
      <c r="U495" s="650"/>
      <c r="V495" s="651"/>
      <c r="W495" s="37" t="s">
        <v>67</v>
      </c>
      <c r="X495" s="645">
        <f>IFERROR(SUM(X493:X493),"0")</f>
        <v>0</v>
      </c>
      <c r="Y495" s="645">
        <f>IFERROR(SUM(Y493:Y493),"0")</f>
        <v>0</v>
      </c>
      <c r="Z495" s="37"/>
      <c r="AA495" s="646"/>
      <c r="AB495" s="646"/>
      <c r="AC495" s="646"/>
    </row>
    <row r="496" spans="1:68" ht="14.25" hidden="1" customHeight="1" x14ac:dyDescent="0.25">
      <c r="A496" s="663" t="s">
        <v>62</v>
      </c>
      <c r="B496" s="658"/>
      <c r="C496" s="658"/>
      <c r="D496" s="658"/>
      <c r="E496" s="658"/>
      <c r="F496" s="658"/>
      <c r="G496" s="658"/>
      <c r="H496" s="658"/>
      <c r="I496" s="658"/>
      <c r="J496" s="658"/>
      <c r="K496" s="658"/>
      <c r="L496" s="658"/>
      <c r="M496" s="658"/>
      <c r="N496" s="658"/>
      <c r="O496" s="658"/>
      <c r="P496" s="658"/>
      <c r="Q496" s="658"/>
      <c r="R496" s="658"/>
      <c r="S496" s="658"/>
      <c r="T496" s="658"/>
      <c r="U496" s="658"/>
      <c r="V496" s="658"/>
      <c r="W496" s="658"/>
      <c r="X496" s="658"/>
      <c r="Y496" s="658"/>
      <c r="Z496" s="658"/>
      <c r="AA496" s="639"/>
      <c r="AB496" s="639"/>
      <c r="AC496" s="639"/>
    </row>
    <row r="497" spans="1:68" ht="27" hidden="1" customHeight="1" x14ac:dyDescent="0.25">
      <c r="A497" s="54" t="s">
        <v>784</v>
      </c>
      <c r="B497" s="54" t="s">
        <v>785</v>
      </c>
      <c r="C497" s="31">
        <v>4301031407</v>
      </c>
      <c r="D497" s="647">
        <v>4680115886094</v>
      </c>
      <c r="E497" s="648"/>
      <c r="F497" s="642">
        <v>0.9</v>
      </c>
      <c r="G497" s="32">
        <v>6</v>
      </c>
      <c r="H497" s="642">
        <v>5.4</v>
      </c>
      <c r="I497" s="642">
        <v>5.59</v>
      </c>
      <c r="J497" s="32">
        <v>132</v>
      </c>
      <c r="K497" s="32" t="s">
        <v>123</v>
      </c>
      <c r="L497" s="32"/>
      <c r="M497" s="33" t="s">
        <v>66</v>
      </c>
      <c r="N497" s="33"/>
      <c r="O497" s="32">
        <v>50</v>
      </c>
      <c r="P497" s="9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53"/>
      <c r="R497" s="653"/>
      <c r="S497" s="653"/>
      <c r="T497" s="654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IFERROR(IF(Y497=0,"",ROUNDUP(Y497/H497,0)*0.00902),"")</f>
        <v/>
      </c>
      <c r="AA497" s="56"/>
      <c r="AB497" s="57"/>
      <c r="AC497" s="579" t="s">
        <v>786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787</v>
      </c>
      <c r="B498" s="54" t="s">
        <v>788</v>
      </c>
      <c r="C498" s="31">
        <v>4301031373</v>
      </c>
      <c r="D498" s="647">
        <v>4680115880771</v>
      </c>
      <c r="E498" s="648"/>
      <c r="F498" s="642">
        <v>0.28000000000000003</v>
      </c>
      <c r="G498" s="32">
        <v>6</v>
      </c>
      <c r="H498" s="642">
        <v>1.68</v>
      </c>
      <c r="I498" s="642">
        <v>1.81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53"/>
      <c r="R498" s="653"/>
      <c r="S498" s="653"/>
      <c r="T498" s="654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789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4301031359</v>
      </c>
      <c r="D499" s="647">
        <v>4607091389500</v>
      </c>
      <c r="E499" s="648"/>
      <c r="F499" s="642">
        <v>0.35</v>
      </c>
      <c r="G499" s="32">
        <v>6</v>
      </c>
      <c r="H499" s="642">
        <v>2.1</v>
      </c>
      <c r="I499" s="642">
        <v>2.23</v>
      </c>
      <c r="J499" s="32">
        <v>234</v>
      </c>
      <c r="K499" s="32" t="s">
        <v>65</v>
      </c>
      <c r="L499" s="32"/>
      <c r="M499" s="33" t="s">
        <v>66</v>
      </c>
      <c r="N499" s="33"/>
      <c r="O499" s="32">
        <v>50</v>
      </c>
      <c r="P499" s="9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53"/>
      <c r="R499" s="653"/>
      <c r="S499" s="653"/>
      <c r="T499" s="654"/>
      <c r="U499" s="34"/>
      <c r="V499" s="34"/>
      <c r="W499" s="35" t="s">
        <v>67</v>
      </c>
      <c r="X499" s="643">
        <v>0</v>
      </c>
      <c r="Y499" s="644">
        <f>IFERROR(IF(X499="",0,CEILING((X499/$H499),1)*$H499),"")</f>
        <v>0</v>
      </c>
      <c r="Z499" s="36" t="str">
        <f>IFERROR(IF(Y499=0,"",ROUNDUP(Y499/H499,0)*0.00502),"")</f>
        <v/>
      </c>
      <c r="AA499" s="56"/>
      <c r="AB499" s="57"/>
      <c r="AC499" s="583" t="s">
        <v>789</v>
      </c>
      <c r="AG499" s="64"/>
      <c r="AJ499" s="68"/>
      <c r="AK499" s="68">
        <v>0</v>
      </c>
      <c r="BB499" s="58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57"/>
      <c r="B500" s="658"/>
      <c r="C500" s="658"/>
      <c r="D500" s="658"/>
      <c r="E500" s="658"/>
      <c r="F500" s="658"/>
      <c r="G500" s="658"/>
      <c r="H500" s="658"/>
      <c r="I500" s="658"/>
      <c r="J500" s="658"/>
      <c r="K500" s="658"/>
      <c r="L500" s="658"/>
      <c r="M500" s="658"/>
      <c r="N500" s="658"/>
      <c r="O500" s="659"/>
      <c r="P500" s="649" t="s">
        <v>72</v>
      </c>
      <c r="Q500" s="650"/>
      <c r="R500" s="650"/>
      <c r="S500" s="650"/>
      <c r="T500" s="650"/>
      <c r="U500" s="650"/>
      <c r="V500" s="651"/>
      <c r="W500" s="37" t="s">
        <v>73</v>
      </c>
      <c r="X500" s="645">
        <f>IFERROR(X497/H497,"0")+IFERROR(X498/H498,"0")+IFERROR(X499/H499,"0")</f>
        <v>0</v>
      </c>
      <c r="Y500" s="645">
        <f>IFERROR(Y497/H497,"0")+IFERROR(Y498/H498,"0")+IFERROR(Y499/H499,"0")</f>
        <v>0</v>
      </c>
      <c r="Z500" s="645">
        <f>IFERROR(IF(Z497="",0,Z497),"0")+IFERROR(IF(Z498="",0,Z498),"0")+IFERROR(IF(Z499="",0,Z499),"0")</f>
        <v>0</v>
      </c>
      <c r="AA500" s="646"/>
      <c r="AB500" s="646"/>
      <c r="AC500" s="646"/>
    </row>
    <row r="501" spans="1:68" hidden="1" x14ac:dyDescent="0.2">
      <c r="A501" s="658"/>
      <c r="B501" s="658"/>
      <c r="C501" s="658"/>
      <c r="D501" s="658"/>
      <c r="E501" s="658"/>
      <c r="F501" s="658"/>
      <c r="G501" s="658"/>
      <c r="H501" s="658"/>
      <c r="I501" s="658"/>
      <c r="J501" s="658"/>
      <c r="K501" s="658"/>
      <c r="L501" s="658"/>
      <c r="M501" s="658"/>
      <c r="N501" s="658"/>
      <c r="O501" s="659"/>
      <c r="P501" s="649" t="s">
        <v>72</v>
      </c>
      <c r="Q501" s="650"/>
      <c r="R501" s="650"/>
      <c r="S501" s="650"/>
      <c r="T501" s="650"/>
      <c r="U501" s="650"/>
      <c r="V501" s="651"/>
      <c r="W501" s="37" t="s">
        <v>67</v>
      </c>
      <c r="X501" s="645">
        <f>IFERROR(SUM(X497:X499),"0")</f>
        <v>0</v>
      </c>
      <c r="Y501" s="645">
        <f>IFERROR(SUM(Y497:Y499),"0")</f>
        <v>0</v>
      </c>
      <c r="Z501" s="37"/>
      <c r="AA501" s="646"/>
      <c r="AB501" s="646"/>
      <c r="AC501" s="646"/>
    </row>
    <row r="502" spans="1:68" ht="27.75" hidden="1" customHeight="1" x14ac:dyDescent="0.2">
      <c r="A502" s="664" t="s">
        <v>792</v>
      </c>
      <c r="B502" s="665"/>
      <c r="C502" s="665"/>
      <c r="D502" s="665"/>
      <c r="E502" s="665"/>
      <c r="F502" s="665"/>
      <c r="G502" s="665"/>
      <c r="H502" s="665"/>
      <c r="I502" s="665"/>
      <c r="J502" s="665"/>
      <c r="K502" s="665"/>
      <c r="L502" s="665"/>
      <c r="M502" s="665"/>
      <c r="N502" s="665"/>
      <c r="O502" s="665"/>
      <c r="P502" s="665"/>
      <c r="Q502" s="665"/>
      <c r="R502" s="665"/>
      <c r="S502" s="665"/>
      <c r="T502" s="665"/>
      <c r="U502" s="665"/>
      <c r="V502" s="665"/>
      <c r="W502" s="665"/>
      <c r="X502" s="665"/>
      <c r="Y502" s="665"/>
      <c r="Z502" s="665"/>
      <c r="AA502" s="48"/>
      <c r="AB502" s="48"/>
      <c r="AC502" s="48"/>
    </row>
    <row r="503" spans="1:68" ht="16.5" hidden="1" customHeight="1" x14ac:dyDescent="0.25">
      <c r="A503" s="676" t="s">
        <v>792</v>
      </c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58"/>
      <c r="P503" s="658"/>
      <c r="Q503" s="658"/>
      <c r="R503" s="658"/>
      <c r="S503" s="658"/>
      <c r="T503" s="658"/>
      <c r="U503" s="658"/>
      <c r="V503" s="658"/>
      <c r="W503" s="658"/>
      <c r="X503" s="658"/>
      <c r="Y503" s="658"/>
      <c r="Z503" s="658"/>
      <c r="AA503" s="638"/>
      <c r="AB503" s="638"/>
      <c r="AC503" s="638"/>
    </row>
    <row r="504" spans="1:68" ht="14.25" hidden="1" customHeight="1" x14ac:dyDescent="0.25">
      <c r="A504" s="663" t="s">
        <v>111</v>
      </c>
      <c r="B504" s="658"/>
      <c r="C504" s="658"/>
      <c r="D504" s="658"/>
      <c r="E504" s="658"/>
      <c r="F504" s="658"/>
      <c r="G504" s="658"/>
      <c r="H504" s="658"/>
      <c r="I504" s="658"/>
      <c r="J504" s="658"/>
      <c r="K504" s="658"/>
      <c r="L504" s="658"/>
      <c r="M504" s="658"/>
      <c r="N504" s="658"/>
      <c r="O504" s="658"/>
      <c r="P504" s="658"/>
      <c r="Q504" s="658"/>
      <c r="R504" s="658"/>
      <c r="S504" s="658"/>
      <c r="T504" s="658"/>
      <c r="U504" s="658"/>
      <c r="V504" s="658"/>
      <c r="W504" s="658"/>
      <c r="X504" s="658"/>
      <c r="Y504" s="658"/>
      <c r="Z504" s="658"/>
      <c r="AA504" s="639"/>
      <c r="AB504" s="639"/>
      <c r="AC504" s="639"/>
    </row>
    <row r="505" spans="1:68" ht="27" customHeight="1" x14ac:dyDescent="0.25">
      <c r="A505" s="54" t="s">
        <v>793</v>
      </c>
      <c r="B505" s="54" t="s">
        <v>794</v>
      </c>
      <c r="C505" s="31">
        <v>4301011769</v>
      </c>
      <c r="D505" s="647">
        <v>4607091389067</v>
      </c>
      <c r="E505" s="648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78</v>
      </c>
      <c r="N505" s="33"/>
      <c r="O505" s="32">
        <v>60</v>
      </c>
      <c r="P505" s="101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53"/>
      <c r="R505" s="653"/>
      <c r="S505" s="653"/>
      <c r="T505" s="654"/>
      <c r="U505" s="34"/>
      <c r="V505" s="34"/>
      <c r="W505" s="35" t="s">
        <v>67</v>
      </c>
      <c r="X505" s="643">
        <v>90</v>
      </c>
      <c r="Y505" s="644">
        <f t="shared" ref="Y505:Y513" si="83">IFERROR(IF(X505="",0,CEILING((X505/$H505),1)*$H505),"")</f>
        <v>95.04</v>
      </c>
      <c r="Z505" s="36">
        <f t="shared" ref="Z505:Z510" si="84">IFERROR(IF(Y505=0,"",ROUNDUP(Y505/H505,0)*0.01196),"")</f>
        <v>0.21528</v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ref="BM505:BM513" si="85">IFERROR(X505*I505/H505,"0")</f>
        <v>95.965909090909079</v>
      </c>
      <c r="BN505" s="64">
        <f t="shared" ref="BN505:BN513" si="86">IFERROR(Y505*I505/H505,"0")</f>
        <v>101.33999999999999</v>
      </c>
      <c r="BO505" s="64">
        <f t="shared" ref="BO505:BO513" si="87">IFERROR(1/J505*(X505/H505),"0")</f>
        <v>0.16389860139860138</v>
      </c>
      <c r="BP505" s="64">
        <f t="shared" ref="BP505:BP513" si="88">IFERROR(1/J505*(Y505/H505),"0")</f>
        <v>0.17307692307692307</v>
      </c>
    </row>
    <row r="506" spans="1:68" ht="16.5" hidden="1" customHeight="1" x14ac:dyDescent="0.25">
      <c r="A506" s="54" t="s">
        <v>795</v>
      </c>
      <c r="B506" s="54" t="s">
        <v>796</v>
      </c>
      <c r="C506" s="31">
        <v>4301012380</v>
      </c>
      <c r="D506" s="647">
        <v>4680115889576</v>
      </c>
      <c r="E506" s="648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5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53"/>
      <c r="R506" s="653"/>
      <c r="S506" s="653"/>
      <c r="T506" s="654"/>
      <c r="U506" s="34"/>
      <c r="V506" s="34"/>
      <c r="W506" s="35" t="s">
        <v>67</v>
      </c>
      <c r="X506" s="643">
        <v>0</v>
      </c>
      <c r="Y506" s="644">
        <f t="shared" si="83"/>
        <v>0</v>
      </c>
      <c r="Z506" s="36" t="str">
        <f t="shared" si="84"/>
        <v/>
      </c>
      <c r="AA506" s="56"/>
      <c r="AB506" s="57"/>
      <c r="AC506" s="587" t="s">
        <v>797</v>
      </c>
      <c r="AG506" s="64"/>
      <c r="AJ506" s="68"/>
      <c r="AK506" s="68">
        <v>0</v>
      </c>
      <c r="BB506" s="588" t="s">
        <v>1</v>
      </c>
      <c r="BM506" s="64">
        <f t="shared" si="85"/>
        <v>0</v>
      </c>
      <c r="BN506" s="64">
        <f t="shared" si="86"/>
        <v>0</v>
      </c>
      <c r="BO506" s="64">
        <f t="shared" si="87"/>
        <v>0</v>
      </c>
      <c r="BP506" s="64">
        <f t="shared" si="88"/>
        <v>0</v>
      </c>
    </row>
    <row r="507" spans="1:68" ht="27" customHeight="1" x14ac:dyDescent="0.25">
      <c r="A507" s="54" t="s">
        <v>798</v>
      </c>
      <c r="B507" s="54" t="s">
        <v>799</v>
      </c>
      <c r="C507" s="31">
        <v>4301011961</v>
      </c>
      <c r="D507" s="647">
        <v>4680115885271</v>
      </c>
      <c r="E507" s="648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53"/>
      <c r="R507" s="653"/>
      <c r="S507" s="653"/>
      <c r="T507" s="654"/>
      <c r="U507" s="34"/>
      <c r="V507" s="34"/>
      <c r="W507" s="35" t="s">
        <v>67</v>
      </c>
      <c r="X507" s="643">
        <v>72</v>
      </c>
      <c r="Y507" s="644">
        <f t="shared" si="83"/>
        <v>73.92</v>
      </c>
      <c r="Z507" s="36">
        <f t="shared" si="84"/>
        <v>0.16744000000000001</v>
      </c>
      <c r="AA507" s="56"/>
      <c r="AB507" s="57"/>
      <c r="AC507" s="589" t="s">
        <v>800</v>
      </c>
      <c r="AG507" s="64"/>
      <c r="AJ507" s="68"/>
      <c r="AK507" s="68">
        <v>0</v>
      </c>
      <c r="BB507" s="590" t="s">
        <v>1</v>
      </c>
      <c r="BM507" s="64">
        <f t="shared" si="85"/>
        <v>76.772727272727266</v>
      </c>
      <c r="BN507" s="64">
        <f t="shared" si="86"/>
        <v>78.819999999999993</v>
      </c>
      <c r="BO507" s="64">
        <f t="shared" si="87"/>
        <v>0.13111888111888112</v>
      </c>
      <c r="BP507" s="64">
        <f t="shared" si="88"/>
        <v>0.13461538461538464</v>
      </c>
    </row>
    <row r="508" spans="1:68" ht="27" customHeight="1" x14ac:dyDescent="0.25">
      <c r="A508" s="54" t="s">
        <v>801</v>
      </c>
      <c r="B508" s="54" t="s">
        <v>802</v>
      </c>
      <c r="C508" s="31">
        <v>4301011369</v>
      </c>
      <c r="D508" s="647">
        <v>4680115885226</v>
      </c>
      <c r="E508" s="648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115</v>
      </c>
      <c r="N508" s="33"/>
      <c r="O508" s="32">
        <v>60</v>
      </c>
      <c r="P508" s="74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53"/>
      <c r="R508" s="653"/>
      <c r="S508" s="653"/>
      <c r="T508" s="654"/>
      <c r="U508" s="34"/>
      <c r="V508" s="34"/>
      <c r="W508" s="35" t="s">
        <v>67</v>
      </c>
      <c r="X508" s="643">
        <v>82</v>
      </c>
      <c r="Y508" s="644">
        <f t="shared" si="83"/>
        <v>84.48</v>
      </c>
      <c r="Z508" s="36">
        <f t="shared" si="84"/>
        <v>0.19136</v>
      </c>
      <c r="AA508" s="56"/>
      <c r="AB508" s="57"/>
      <c r="AC508" s="591" t="s">
        <v>803</v>
      </c>
      <c r="AG508" s="64"/>
      <c r="AJ508" s="68"/>
      <c r="AK508" s="68">
        <v>0</v>
      </c>
      <c r="BB508" s="592" t="s">
        <v>1</v>
      </c>
      <c r="BM508" s="64">
        <f t="shared" si="85"/>
        <v>87.435606060606048</v>
      </c>
      <c r="BN508" s="64">
        <f t="shared" si="86"/>
        <v>90.08</v>
      </c>
      <c r="BO508" s="64">
        <f t="shared" si="87"/>
        <v>0.14932983682983683</v>
      </c>
      <c r="BP508" s="64">
        <f t="shared" si="88"/>
        <v>0.15384615384615385</v>
      </c>
    </row>
    <row r="509" spans="1:68" ht="16.5" hidden="1" customHeight="1" x14ac:dyDescent="0.25">
      <c r="A509" s="54" t="s">
        <v>804</v>
      </c>
      <c r="B509" s="54" t="s">
        <v>805</v>
      </c>
      <c r="C509" s="31">
        <v>4301011797</v>
      </c>
      <c r="D509" s="647">
        <v>4680115884502</v>
      </c>
      <c r="E509" s="648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78</v>
      </c>
      <c r="N509" s="33"/>
      <c r="O509" s="32">
        <v>60</v>
      </c>
      <c r="P509" s="9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53"/>
      <c r="R509" s="653"/>
      <c r="S509" s="653"/>
      <c r="T509" s="654"/>
      <c r="U509" s="34"/>
      <c r="V509" s="34"/>
      <c r="W509" s="35" t="s">
        <v>67</v>
      </c>
      <c r="X509" s="643">
        <v>0</v>
      </c>
      <c r="Y509" s="644">
        <f t="shared" si="83"/>
        <v>0</v>
      </c>
      <c r="Z509" s="36" t="str">
        <f t="shared" si="84"/>
        <v/>
      </c>
      <c r="AA509" s="56"/>
      <c r="AB509" s="57"/>
      <c r="AC509" s="593" t="s">
        <v>806</v>
      </c>
      <c r="AG509" s="64"/>
      <c r="AJ509" s="68"/>
      <c r="AK509" s="68">
        <v>0</v>
      </c>
      <c r="BB509" s="594" t="s">
        <v>1</v>
      </c>
      <c r="BM509" s="64">
        <f t="shared" si="85"/>
        <v>0</v>
      </c>
      <c r="BN509" s="64">
        <f t="shared" si="86"/>
        <v>0</v>
      </c>
      <c r="BO509" s="64">
        <f t="shared" si="87"/>
        <v>0</v>
      </c>
      <c r="BP509" s="64">
        <f t="shared" si="88"/>
        <v>0</v>
      </c>
    </row>
    <row r="510" spans="1:68" ht="27" customHeight="1" x14ac:dyDescent="0.25">
      <c r="A510" s="54" t="s">
        <v>807</v>
      </c>
      <c r="B510" s="54" t="s">
        <v>808</v>
      </c>
      <c r="C510" s="31">
        <v>4301011771</v>
      </c>
      <c r="D510" s="647">
        <v>4607091389104</v>
      </c>
      <c r="E510" s="648"/>
      <c r="F510" s="642">
        <v>0.88</v>
      </c>
      <c r="G510" s="32">
        <v>6</v>
      </c>
      <c r="H510" s="642">
        <v>5.28</v>
      </c>
      <c r="I510" s="642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9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53"/>
      <c r="R510" s="653"/>
      <c r="S510" s="653"/>
      <c r="T510" s="654"/>
      <c r="U510" s="34"/>
      <c r="V510" s="34"/>
      <c r="W510" s="35" t="s">
        <v>67</v>
      </c>
      <c r="X510" s="643">
        <v>308</v>
      </c>
      <c r="Y510" s="644">
        <f t="shared" si="83"/>
        <v>311.52000000000004</v>
      </c>
      <c r="Z510" s="36">
        <f t="shared" si="84"/>
        <v>0.70564000000000004</v>
      </c>
      <c r="AA510" s="56"/>
      <c r="AB510" s="57"/>
      <c r="AC510" s="595" t="s">
        <v>809</v>
      </c>
      <c r="AG510" s="64"/>
      <c r="AJ510" s="68"/>
      <c r="AK510" s="68">
        <v>0</v>
      </c>
      <c r="BB510" s="596" t="s">
        <v>1</v>
      </c>
      <c r="BM510" s="64">
        <f t="shared" si="85"/>
        <v>328.41666666666663</v>
      </c>
      <c r="BN510" s="64">
        <f t="shared" si="86"/>
        <v>332.17</v>
      </c>
      <c r="BO510" s="64">
        <f t="shared" si="87"/>
        <v>0.5608974358974359</v>
      </c>
      <c r="BP510" s="64">
        <f t="shared" si="88"/>
        <v>0.5673076923076924</v>
      </c>
    </row>
    <row r="511" spans="1:68" ht="27" hidden="1" customHeight="1" x14ac:dyDescent="0.25">
      <c r="A511" s="54" t="s">
        <v>810</v>
      </c>
      <c r="B511" s="54" t="s">
        <v>811</v>
      </c>
      <c r="C511" s="31">
        <v>4301012125</v>
      </c>
      <c r="D511" s="647">
        <v>4680115886391</v>
      </c>
      <c r="E511" s="648"/>
      <c r="F511" s="642">
        <v>0.4</v>
      </c>
      <c r="G511" s="32">
        <v>6</v>
      </c>
      <c r="H511" s="642">
        <v>2.4</v>
      </c>
      <c r="I511" s="642">
        <v>2.58</v>
      </c>
      <c r="J511" s="32">
        <v>182</v>
      </c>
      <c r="K511" s="32" t="s">
        <v>77</v>
      </c>
      <c r="L511" s="32"/>
      <c r="M511" s="33" t="s">
        <v>78</v>
      </c>
      <c r="N511" s="33"/>
      <c r="O511" s="32">
        <v>60</v>
      </c>
      <c r="P511" s="8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53"/>
      <c r="R511" s="653"/>
      <c r="S511" s="653"/>
      <c r="T511" s="654"/>
      <c r="U511" s="34"/>
      <c r="V511" s="34"/>
      <c r="W511" s="35" t="s">
        <v>67</v>
      </c>
      <c r="X511" s="643">
        <v>0</v>
      </c>
      <c r="Y511" s="644">
        <f t="shared" si="83"/>
        <v>0</v>
      </c>
      <c r="Z511" s="36" t="str">
        <f>IFERROR(IF(Y511=0,"",ROUNDUP(Y511/H511,0)*0.00651),"")</f>
        <v/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85"/>
        <v>0</v>
      </c>
      <c r="BN511" s="64">
        <f t="shared" si="86"/>
        <v>0</v>
      </c>
      <c r="BO511" s="64">
        <f t="shared" si="87"/>
        <v>0</v>
      </c>
      <c r="BP511" s="64">
        <f t="shared" si="88"/>
        <v>0</v>
      </c>
    </row>
    <row r="512" spans="1:68" ht="27" customHeight="1" x14ac:dyDescent="0.25">
      <c r="A512" s="54" t="s">
        <v>812</v>
      </c>
      <c r="B512" s="54" t="s">
        <v>813</v>
      </c>
      <c r="C512" s="31">
        <v>4301012048</v>
      </c>
      <c r="D512" s="647">
        <v>4680115880603</v>
      </c>
      <c r="E512" s="648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78</v>
      </c>
      <c r="N512" s="33"/>
      <c r="O512" s="32">
        <v>60</v>
      </c>
      <c r="P512" s="8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53"/>
      <c r="R512" s="653"/>
      <c r="S512" s="653"/>
      <c r="T512" s="654"/>
      <c r="U512" s="34"/>
      <c r="V512" s="34"/>
      <c r="W512" s="35" t="s">
        <v>67</v>
      </c>
      <c r="X512" s="643">
        <v>46</v>
      </c>
      <c r="Y512" s="644">
        <f t="shared" si="83"/>
        <v>48</v>
      </c>
      <c r="Z512" s="36">
        <f>IFERROR(IF(Y512=0,"",ROUNDUP(Y512/H512,0)*0.00902),"")</f>
        <v>9.0200000000000002E-2</v>
      </c>
      <c r="AA512" s="56"/>
      <c r="AB512" s="57"/>
      <c r="AC512" s="599" t="s">
        <v>116</v>
      </c>
      <c r="AG512" s="64"/>
      <c r="AJ512" s="68"/>
      <c r="AK512" s="68">
        <v>0</v>
      </c>
      <c r="BB512" s="600" t="s">
        <v>1</v>
      </c>
      <c r="BM512" s="64">
        <f t="shared" si="85"/>
        <v>66.220833333333346</v>
      </c>
      <c r="BN512" s="64">
        <f t="shared" si="86"/>
        <v>69.100000000000009</v>
      </c>
      <c r="BO512" s="64">
        <f t="shared" si="87"/>
        <v>7.2601010101010111E-2</v>
      </c>
      <c r="BP512" s="64">
        <f t="shared" si="88"/>
        <v>7.575757575757576E-2</v>
      </c>
    </row>
    <row r="513" spans="1:68" ht="27" customHeight="1" x14ac:dyDescent="0.25">
      <c r="A513" s="54" t="s">
        <v>814</v>
      </c>
      <c r="B513" s="54" t="s">
        <v>815</v>
      </c>
      <c r="C513" s="31">
        <v>4301012034</v>
      </c>
      <c r="D513" s="647">
        <v>4607091389982</v>
      </c>
      <c r="E513" s="648"/>
      <c r="F513" s="642">
        <v>0.6</v>
      </c>
      <c r="G513" s="32">
        <v>8</v>
      </c>
      <c r="H513" s="642">
        <v>4.8</v>
      </c>
      <c r="I513" s="64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60</v>
      </c>
      <c r="P51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53"/>
      <c r="R513" s="653"/>
      <c r="S513" s="653"/>
      <c r="T513" s="654"/>
      <c r="U513" s="34"/>
      <c r="V513" s="34"/>
      <c r="W513" s="35" t="s">
        <v>67</v>
      </c>
      <c r="X513" s="643">
        <v>32</v>
      </c>
      <c r="Y513" s="644">
        <f t="shared" si="83"/>
        <v>33.6</v>
      </c>
      <c r="Z513" s="36">
        <f>IFERROR(IF(Y513=0,"",ROUNDUP(Y513/H513,0)*0.00902),"")</f>
        <v>6.3140000000000002E-2</v>
      </c>
      <c r="AA513" s="56"/>
      <c r="AB513" s="57"/>
      <c r="AC513" s="601" t="s">
        <v>809</v>
      </c>
      <c r="AG513" s="64"/>
      <c r="AJ513" s="68"/>
      <c r="AK513" s="68">
        <v>0</v>
      </c>
      <c r="BB513" s="602" t="s">
        <v>1</v>
      </c>
      <c r="BM513" s="64">
        <f t="shared" si="85"/>
        <v>46.06666666666667</v>
      </c>
      <c r="BN513" s="64">
        <f t="shared" si="86"/>
        <v>48.370000000000005</v>
      </c>
      <c r="BO513" s="64">
        <f t="shared" si="87"/>
        <v>5.0505050505050511E-2</v>
      </c>
      <c r="BP513" s="64">
        <f t="shared" si="88"/>
        <v>5.3030303030303039E-2</v>
      </c>
    </row>
    <row r="514" spans="1:68" x14ac:dyDescent="0.2">
      <c r="A514" s="657"/>
      <c r="B514" s="658"/>
      <c r="C514" s="658"/>
      <c r="D514" s="658"/>
      <c r="E514" s="658"/>
      <c r="F514" s="658"/>
      <c r="G514" s="658"/>
      <c r="H514" s="658"/>
      <c r="I514" s="658"/>
      <c r="J514" s="658"/>
      <c r="K514" s="658"/>
      <c r="L514" s="658"/>
      <c r="M514" s="658"/>
      <c r="N514" s="658"/>
      <c r="O514" s="659"/>
      <c r="P514" s="649" t="s">
        <v>72</v>
      </c>
      <c r="Q514" s="650"/>
      <c r="R514" s="650"/>
      <c r="S514" s="650"/>
      <c r="T514" s="650"/>
      <c r="U514" s="650"/>
      <c r="V514" s="651"/>
      <c r="W514" s="37" t="s">
        <v>73</v>
      </c>
      <c r="X514" s="645">
        <f>IFERROR(X505/H505,"0")+IFERROR(X506/H506,"0")+IFERROR(X507/H507,"0")+IFERROR(X508/H508,"0")+IFERROR(X509/H509,"0")+IFERROR(X510/H510,"0")+IFERROR(X511/H511,"0")+IFERROR(X512/H512,"0")+IFERROR(X513/H513,"0")</f>
        <v>120.79545454545453</v>
      </c>
      <c r="Y514" s="645">
        <f>IFERROR(Y505/H505,"0")+IFERROR(Y506/H506,"0")+IFERROR(Y507/H507,"0")+IFERROR(Y508/H508,"0")+IFERROR(Y509/H509,"0")+IFERROR(Y510/H510,"0")+IFERROR(Y511/H511,"0")+IFERROR(Y512/H512,"0")+IFERROR(Y513/H513,"0")</f>
        <v>124</v>
      </c>
      <c r="Z514" s="64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1.4330600000000002</v>
      </c>
      <c r="AA514" s="646"/>
      <c r="AB514" s="646"/>
      <c r="AC514" s="646"/>
    </row>
    <row r="515" spans="1:68" x14ac:dyDescent="0.2">
      <c r="A515" s="658"/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9"/>
      <c r="P515" s="649" t="s">
        <v>72</v>
      </c>
      <c r="Q515" s="650"/>
      <c r="R515" s="650"/>
      <c r="S515" s="650"/>
      <c r="T515" s="650"/>
      <c r="U515" s="650"/>
      <c r="V515" s="651"/>
      <c r="W515" s="37" t="s">
        <v>67</v>
      </c>
      <c r="X515" s="645">
        <f>IFERROR(SUM(X505:X513),"0")</f>
        <v>630</v>
      </c>
      <c r="Y515" s="645">
        <f>IFERROR(SUM(Y505:Y513),"0")</f>
        <v>646.56000000000006</v>
      </c>
      <c r="Z515" s="37"/>
      <c r="AA515" s="646"/>
      <c r="AB515" s="646"/>
      <c r="AC515" s="646"/>
    </row>
    <row r="516" spans="1:68" ht="14.25" hidden="1" customHeight="1" x14ac:dyDescent="0.25">
      <c r="A516" s="663" t="s">
        <v>148</v>
      </c>
      <c r="B516" s="658"/>
      <c r="C516" s="658"/>
      <c r="D516" s="658"/>
      <c r="E516" s="658"/>
      <c r="F516" s="658"/>
      <c r="G516" s="658"/>
      <c r="H516" s="658"/>
      <c r="I516" s="658"/>
      <c r="J516" s="658"/>
      <c r="K516" s="658"/>
      <c r="L516" s="658"/>
      <c r="M516" s="658"/>
      <c r="N516" s="658"/>
      <c r="O516" s="658"/>
      <c r="P516" s="658"/>
      <c r="Q516" s="658"/>
      <c r="R516" s="658"/>
      <c r="S516" s="658"/>
      <c r="T516" s="658"/>
      <c r="U516" s="658"/>
      <c r="V516" s="658"/>
      <c r="W516" s="658"/>
      <c r="X516" s="658"/>
      <c r="Y516" s="658"/>
      <c r="Z516" s="658"/>
      <c r="AA516" s="639"/>
      <c r="AB516" s="639"/>
      <c r="AC516" s="639"/>
    </row>
    <row r="517" spans="1:68" ht="16.5" customHeight="1" x14ac:dyDescent="0.25">
      <c r="A517" s="54" t="s">
        <v>816</v>
      </c>
      <c r="B517" s="54" t="s">
        <v>817</v>
      </c>
      <c r="C517" s="31">
        <v>4301020334</v>
      </c>
      <c r="D517" s="647">
        <v>4607091388930</v>
      </c>
      <c r="E517" s="648"/>
      <c r="F517" s="642">
        <v>0.88</v>
      </c>
      <c r="G517" s="32">
        <v>6</v>
      </c>
      <c r="H517" s="642">
        <v>5.28</v>
      </c>
      <c r="I517" s="642">
        <v>5.63</v>
      </c>
      <c r="J517" s="32">
        <v>104</v>
      </c>
      <c r="K517" s="32" t="s">
        <v>114</v>
      </c>
      <c r="L517" s="32"/>
      <c r="M517" s="33" t="s">
        <v>78</v>
      </c>
      <c r="N517" s="33"/>
      <c r="O517" s="32">
        <v>70</v>
      </c>
      <c r="P517" s="6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53"/>
      <c r="R517" s="653"/>
      <c r="S517" s="653"/>
      <c r="T517" s="654"/>
      <c r="U517" s="34"/>
      <c r="V517" s="34"/>
      <c r="W517" s="35" t="s">
        <v>67</v>
      </c>
      <c r="X517" s="643">
        <v>442</v>
      </c>
      <c r="Y517" s="644">
        <f>IFERROR(IF(X517="",0,CEILING((X517/$H517),1)*$H517),"")</f>
        <v>443.52000000000004</v>
      </c>
      <c r="Z517" s="36">
        <f>IFERROR(IF(Y517=0,"",ROUNDUP(Y517/H517,0)*0.01196),"")</f>
        <v>1.00464</v>
      </c>
      <c r="AA517" s="56"/>
      <c r="AB517" s="57"/>
      <c r="AC517" s="603" t="s">
        <v>818</v>
      </c>
      <c r="AG517" s="64"/>
      <c r="AJ517" s="68"/>
      <c r="AK517" s="68">
        <v>0</v>
      </c>
      <c r="BB517" s="604" t="s">
        <v>1</v>
      </c>
      <c r="BM517" s="64">
        <f>IFERROR(X517*I517/H517,"0")</f>
        <v>471.29924242424244</v>
      </c>
      <c r="BN517" s="64">
        <f>IFERROR(Y517*I517/H517,"0")</f>
        <v>472.92</v>
      </c>
      <c r="BO517" s="64">
        <f>IFERROR(1/J517*(X517/H517),"0")</f>
        <v>0.80492424242424243</v>
      </c>
      <c r="BP517" s="64">
        <f>IFERROR(1/J517*(Y517/H517),"0")</f>
        <v>0.80769230769230771</v>
      </c>
    </row>
    <row r="518" spans="1:68" ht="16.5" hidden="1" customHeight="1" x14ac:dyDescent="0.25">
      <c r="A518" s="54" t="s">
        <v>819</v>
      </c>
      <c r="B518" s="54" t="s">
        <v>820</v>
      </c>
      <c r="C518" s="31">
        <v>4301020374</v>
      </c>
      <c r="D518" s="647">
        <v>4680115886407</v>
      </c>
      <c r="E518" s="648"/>
      <c r="F518" s="642">
        <v>0.4</v>
      </c>
      <c r="G518" s="32">
        <v>6</v>
      </c>
      <c r="H518" s="642">
        <v>2.4</v>
      </c>
      <c r="I518" s="642">
        <v>2.58</v>
      </c>
      <c r="J518" s="32">
        <v>182</v>
      </c>
      <c r="K518" s="32" t="s">
        <v>77</v>
      </c>
      <c r="L518" s="32"/>
      <c r="M518" s="33" t="s">
        <v>115</v>
      </c>
      <c r="N518" s="33"/>
      <c r="O518" s="32">
        <v>70</v>
      </c>
      <c r="P518" s="67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53"/>
      <c r="R518" s="653"/>
      <c r="S518" s="653"/>
      <c r="T518" s="654"/>
      <c r="U518" s="34"/>
      <c r="V518" s="34"/>
      <c r="W518" s="35" t="s">
        <v>67</v>
      </c>
      <c r="X518" s="643">
        <v>0</v>
      </c>
      <c r="Y518" s="644">
        <f>IFERROR(IF(X518="",0,CEILING((X518/$H518),1)*$H518),"")</f>
        <v>0</v>
      </c>
      <c r="Z518" s="36" t="str">
        <f>IFERROR(IF(Y518=0,"",ROUNDUP(Y518/H518,0)*0.00651),"")</f>
        <v/>
      </c>
      <c r="AA518" s="56"/>
      <c r="AB518" s="57"/>
      <c r="AC518" s="605" t="s">
        <v>818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ht="16.5" hidden="1" customHeight="1" x14ac:dyDescent="0.25">
      <c r="A519" s="54" t="s">
        <v>821</v>
      </c>
      <c r="B519" s="54" t="s">
        <v>822</v>
      </c>
      <c r="C519" s="31">
        <v>4301020385</v>
      </c>
      <c r="D519" s="647">
        <v>4680115880054</v>
      </c>
      <c r="E519" s="648"/>
      <c r="F519" s="642">
        <v>0.6</v>
      </c>
      <c r="G519" s="32">
        <v>8</v>
      </c>
      <c r="H519" s="642">
        <v>4.8</v>
      </c>
      <c r="I519" s="642">
        <v>6.91</v>
      </c>
      <c r="J519" s="32">
        <v>132</v>
      </c>
      <c r="K519" s="32" t="s">
        <v>123</v>
      </c>
      <c r="L519" s="32"/>
      <c r="M519" s="33" t="s">
        <v>115</v>
      </c>
      <c r="N519" s="33"/>
      <c r="O519" s="32">
        <v>70</v>
      </c>
      <c r="P519" s="7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53"/>
      <c r="R519" s="653"/>
      <c r="S519" s="653"/>
      <c r="T519" s="654"/>
      <c r="U519" s="34"/>
      <c r="V519" s="34"/>
      <c r="W519" s="35" t="s">
        <v>67</v>
      </c>
      <c r="X519" s="643">
        <v>0</v>
      </c>
      <c r="Y519" s="644">
        <f>IFERROR(IF(X519="",0,CEILING((X519/$H519),1)*$H519),"")</f>
        <v>0</v>
      </c>
      <c r="Z519" s="36" t="str">
        <f>IFERROR(IF(Y519=0,"",ROUNDUP(Y519/H519,0)*0.00902),"")</f>
        <v/>
      </c>
      <c r="AA519" s="56"/>
      <c r="AB519" s="57"/>
      <c r="AC519" s="607" t="s">
        <v>818</v>
      </c>
      <c r="AG519" s="64"/>
      <c r="AJ519" s="68"/>
      <c r="AK519" s="68">
        <v>0</v>
      </c>
      <c r="BB519" s="608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x14ac:dyDescent="0.2">
      <c r="A520" s="657"/>
      <c r="B520" s="658"/>
      <c r="C520" s="658"/>
      <c r="D520" s="658"/>
      <c r="E520" s="658"/>
      <c r="F520" s="658"/>
      <c r="G520" s="658"/>
      <c r="H520" s="658"/>
      <c r="I520" s="658"/>
      <c r="J520" s="658"/>
      <c r="K520" s="658"/>
      <c r="L520" s="658"/>
      <c r="M520" s="658"/>
      <c r="N520" s="658"/>
      <c r="O520" s="659"/>
      <c r="P520" s="649" t="s">
        <v>72</v>
      </c>
      <c r="Q520" s="650"/>
      <c r="R520" s="650"/>
      <c r="S520" s="650"/>
      <c r="T520" s="650"/>
      <c r="U520" s="650"/>
      <c r="V520" s="651"/>
      <c r="W520" s="37" t="s">
        <v>73</v>
      </c>
      <c r="X520" s="645">
        <f>IFERROR(X517/H517,"0")+IFERROR(X518/H518,"0")+IFERROR(X519/H519,"0")</f>
        <v>83.712121212121204</v>
      </c>
      <c r="Y520" s="645">
        <f>IFERROR(Y517/H517,"0")+IFERROR(Y518/H518,"0")+IFERROR(Y519/H519,"0")</f>
        <v>84</v>
      </c>
      <c r="Z520" s="645">
        <f>IFERROR(IF(Z517="",0,Z517),"0")+IFERROR(IF(Z518="",0,Z518),"0")+IFERROR(IF(Z519="",0,Z519),"0")</f>
        <v>1.00464</v>
      </c>
      <c r="AA520" s="646"/>
      <c r="AB520" s="646"/>
      <c r="AC520" s="646"/>
    </row>
    <row r="521" spans="1:68" x14ac:dyDescent="0.2">
      <c r="A521" s="658"/>
      <c r="B521" s="658"/>
      <c r="C521" s="658"/>
      <c r="D521" s="658"/>
      <c r="E521" s="658"/>
      <c r="F521" s="658"/>
      <c r="G521" s="658"/>
      <c r="H521" s="658"/>
      <c r="I521" s="658"/>
      <c r="J521" s="658"/>
      <c r="K521" s="658"/>
      <c r="L521" s="658"/>
      <c r="M521" s="658"/>
      <c r="N521" s="658"/>
      <c r="O521" s="659"/>
      <c r="P521" s="649" t="s">
        <v>72</v>
      </c>
      <c r="Q521" s="650"/>
      <c r="R521" s="650"/>
      <c r="S521" s="650"/>
      <c r="T521" s="650"/>
      <c r="U521" s="650"/>
      <c r="V521" s="651"/>
      <c r="W521" s="37" t="s">
        <v>67</v>
      </c>
      <c r="X521" s="645">
        <f>IFERROR(SUM(X517:X519),"0")</f>
        <v>442</v>
      </c>
      <c r="Y521" s="645">
        <f>IFERROR(SUM(Y517:Y519),"0")</f>
        <v>443.52000000000004</v>
      </c>
      <c r="Z521" s="37"/>
      <c r="AA521" s="646"/>
      <c r="AB521" s="646"/>
      <c r="AC521" s="646"/>
    </row>
    <row r="522" spans="1:68" ht="14.25" hidden="1" customHeight="1" x14ac:dyDescent="0.25">
      <c r="A522" s="663" t="s">
        <v>62</v>
      </c>
      <c r="B522" s="658"/>
      <c r="C522" s="658"/>
      <c r="D522" s="658"/>
      <c r="E522" s="658"/>
      <c r="F522" s="658"/>
      <c r="G522" s="658"/>
      <c r="H522" s="658"/>
      <c r="I522" s="658"/>
      <c r="J522" s="658"/>
      <c r="K522" s="658"/>
      <c r="L522" s="658"/>
      <c r="M522" s="658"/>
      <c r="N522" s="658"/>
      <c r="O522" s="658"/>
      <c r="P522" s="658"/>
      <c r="Q522" s="658"/>
      <c r="R522" s="658"/>
      <c r="S522" s="658"/>
      <c r="T522" s="658"/>
      <c r="U522" s="658"/>
      <c r="V522" s="658"/>
      <c r="W522" s="658"/>
      <c r="X522" s="658"/>
      <c r="Y522" s="658"/>
      <c r="Z522" s="658"/>
      <c r="AA522" s="639"/>
      <c r="AB522" s="639"/>
      <c r="AC522" s="639"/>
    </row>
    <row r="523" spans="1:68" ht="27" customHeight="1" x14ac:dyDescent="0.25">
      <c r="A523" s="54" t="s">
        <v>823</v>
      </c>
      <c r="B523" s="54" t="s">
        <v>824</v>
      </c>
      <c r="C523" s="31">
        <v>4301031349</v>
      </c>
      <c r="D523" s="647">
        <v>4680115883116</v>
      </c>
      <c r="E523" s="648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115</v>
      </c>
      <c r="N523" s="33"/>
      <c r="O523" s="32">
        <v>70</v>
      </c>
      <c r="P523" s="7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53"/>
      <c r="R523" s="653"/>
      <c r="S523" s="653"/>
      <c r="T523" s="654"/>
      <c r="U523" s="34"/>
      <c r="V523" s="34"/>
      <c r="W523" s="35" t="s">
        <v>67</v>
      </c>
      <c r="X523" s="643">
        <v>113</v>
      </c>
      <c r="Y523" s="644">
        <f t="shared" ref="Y523:Y529" si="89">IFERROR(IF(X523="",0,CEILING((X523/$H523),1)*$H523),"")</f>
        <v>116.16000000000001</v>
      </c>
      <c r="Z523" s="36">
        <f>IFERROR(IF(Y523=0,"",ROUNDUP(Y523/H523,0)*0.01196),"")</f>
        <v>0.26312000000000002</v>
      </c>
      <c r="AA523" s="56"/>
      <c r="AB523" s="57"/>
      <c r="AC523" s="609" t="s">
        <v>825</v>
      </c>
      <c r="AG523" s="64"/>
      <c r="AJ523" s="68"/>
      <c r="AK523" s="68">
        <v>0</v>
      </c>
      <c r="BB523" s="610" t="s">
        <v>1</v>
      </c>
      <c r="BM523" s="64">
        <f t="shared" ref="BM523:BM529" si="90">IFERROR(X523*I523/H523,"0")</f>
        <v>120.49053030303028</v>
      </c>
      <c r="BN523" s="64">
        <f t="shared" ref="BN523:BN529" si="91">IFERROR(Y523*I523/H523,"0")</f>
        <v>123.86</v>
      </c>
      <c r="BO523" s="64">
        <f t="shared" ref="BO523:BO529" si="92">IFERROR(1/J523*(X523/H523),"0")</f>
        <v>0.20578379953379955</v>
      </c>
      <c r="BP523" s="64">
        <f t="shared" ref="BP523:BP529" si="93">IFERROR(1/J523*(Y523/H523),"0")</f>
        <v>0.21153846153846156</v>
      </c>
    </row>
    <row r="524" spans="1:68" ht="27" customHeight="1" x14ac:dyDescent="0.25">
      <c r="A524" s="54" t="s">
        <v>826</v>
      </c>
      <c r="B524" s="54" t="s">
        <v>827</v>
      </c>
      <c r="C524" s="31">
        <v>4301031350</v>
      </c>
      <c r="D524" s="647">
        <v>4680115883093</v>
      </c>
      <c r="E524" s="648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70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53"/>
      <c r="R524" s="653"/>
      <c r="S524" s="653"/>
      <c r="T524" s="654"/>
      <c r="U524" s="34"/>
      <c r="V524" s="34"/>
      <c r="W524" s="35" t="s">
        <v>67</v>
      </c>
      <c r="X524" s="643">
        <v>74</v>
      </c>
      <c r="Y524" s="644">
        <f t="shared" si="89"/>
        <v>79.2</v>
      </c>
      <c r="Z524" s="36">
        <f>IFERROR(IF(Y524=0,"",ROUNDUP(Y524/H524,0)*0.01196),"")</f>
        <v>0.1794</v>
      </c>
      <c r="AA524" s="56"/>
      <c r="AB524" s="57"/>
      <c r="AC524" s="611" t="s">
        <v>828</v>
      </c>
      <c r="AG524" s="64"/>
      <c r="AJ524" s="68"/>
      <c r="AK524" s="68">
        <v>0</v>
      </c>
      <c r="BB524" s="612" t="s">
        <v>1</v>
      </c>
      <c r="BM524" s="64">
        <f t="shared" si="90"/>
        <v>78.905303030303031</v>
      </c>
      <c r="BN524" s="64">
        <f t="shared" si="91"/>
        <v>84.45</v>
      </c>
      <c r="BO524" s="64">
        <f t="shared" si="92"/>
        <v>0.13476107226107226</v>
      </c>
      <c r="BP524" s="64">
        <f t="shared" si="93"/>
        <v>0.14423076923076925</v>
      </c>
    </row>
    <row r="525" spans="1:68" ht="27" customHeight="1" x14ac:dyDescent="0.25">
      <c r="A525" s="54" t="s">
        <v>829</v>
      </c>
      <c r="B525" s="54" t="s">
        <v>830</v>
      </c>
      <c r="C525" s="31">
        <v>4301031353</v>
      </c>
      <c r="D525" s="647">
        <v>4680115883109</v>
      </c>
      <c r="E525" s="648"/>
      <c r="F525" s="642">
        <v>0.88</v>
      </c>
      <c r="G525" s="32">
        <v>6</v>
      </c>
      <c r="H525" s="642">
        <v>5.28</v>
      </c>
      <c r="I525" s="642">
        <v>5.63</v>
      </c>
      <c r="J525" s="32">
        <v>104</v>
      </c>
      <c r="K525" s="32" t="s">
        <v>114</v>
      </c>
      <c r="L525" s="32"/>
      <c r="M525" s="33" t="s">
        <v>66</v>
      </c>
      <c r="N525" s="33"/>
      <c r="O525" s="32">
        <v>70</v>
      </c>
      <c r="P525" s="8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53"/>
      <c r="R525" s="653"/>
      <c r="S525" s="653"/>
      <c r="T525" s="654"/>
      <c r="U525" s="34"/>
      <c r="V525" s="34"/>
      <c r="W525" s="35" t="s">
        <v>67</v>
      </c>
      <c r="X525" s="643">
        <v>191</v>
      </c>
      <c r="Y525" s="644">
        <f t="shared" si="89"/>
        <v>195.36</v>
      </c>
      <c r="Z525" s="36">
        <f>IFERROR(IF(Y525=0,"",ROUNDUP(Y525/H525,0)*0.01196),"")</f>
        <v>0.44252000000000002</v>
      </c>
      <c r="AA525" s="56"/>
      <c r="AB525" s="57"/>
      <c r="AC525" s="613" t="s">
        <v>831</v>
      </c>
      <c r="AG525" s="64"/>
      <c r="AJ525" s="68"/>
      <c r="AK525" s="68">
        <v>0</v>
      </c>
      <c r="BB525" s="614" t="s">
        <v>1</v>
      </c>
      <c r="BM525" s="64">
        <f t="shared" si="90"/>
        <v>203.66098484848482</v>
      </c>
      <c r="BN525" s="64">
        <f t="shared" si="91"/>
        <v>208.31</v>
      </c>
      <c r="BO525" s="64">
        <f t="shared" si="92"/>
        <v>0.34782925407925408</v>
      </c>
      <c r="BP525" s="64">
        <f t="shared" si="93"/>
        <v>0.35576923076923078</v>
      </c>
    </row>
    <row r="526" spans="1:68" ht="27" hidden="1" customHeight="1" x14ac:dyDescent="0.25">
      <c r="A526" s="54" t="s">
        <v>832</v>
      </c>
      <c r="B526" s="54" t="s">
        <v>833</v>
      </c>
      <c r="C526" s="31">
        <v>4301031419</v>
      </c>
      <c r="D526" s="647">
        <v>4680115882072</v>
      </c>
      <c r="E526" s="648"/>
      <c r="F526" s="642">
        <v>0.6</v>
      </c>
      <c r="G526" s="32">
        <v>8</v>
      </c>
      <c r="H526" s="642">
        <v>4.8</v>
      </c>
      <c r="I526" s="642">
        <v>6.91</v>
      </c>
      <c r="J526" s="32">
        <v>132</v>
      </c>
      <c r="K526" s="32" t="s">
        <v>123</v>
      </c>
      <c r="L526" s="32"/>
      <c r="M526" s="33" t="s">
        <v>115</v>
      </c>
      <c r="N526" s="33"/>
      <c r="O526" s="32">
        <v>70</v>
      </c>
      <c r="P526" s="8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53"/>
      <c r="R526" s="653"/>
      <c r="S526" s="653"/>
      <c r="T526" s="654"/>
      <c r="U526" s="34"/>
      <c r="V526" s="34"/>
      <c r="W526" s="35" t="s">
        <v>67</v>
      </c>
      <c r="X526" s="643">
        <v>0</v>
      </c>
      <c r="Y526" s="644">
        <f t="shared" si="89"/>
        <v>0</v>
      </c>
      <c r="Z526" s="36" t="str">
        <f>IFERROR(IF(Y526=0,"",ROUNDUP(Y526/H526,0)*0.00902),"")</f>
        <v/>
      </c>
      <c r="AA526" s="56"/>
      <c r="AB526" s="57"/>
      <c r="AC526" s="615" t="s">
        <v>825</v>
      </c>
      <c r="AG526" s="64"/>
      <c r="AJ526" s="68"/>
      <c r="AK526" s="68">
        <v>0</v>
      </c>
      <c r="BB526" s="616" t="s">
        <v>1</v>
      </c>
      <c r="BM526" s="64">
        <f t="shared" si="90"/>
        <v>0</v>
      </c>
      <c r="BN526" s="64">
        <f t="shared" si="91"/>
        <v>0</v>
      </c>
      <c r="BO526" s="64">
        <f t="shared" si="92"/>
        <v>0</v>
      </c>
      <c r="BP526" s="64">
        <f t="shared" si="93"/>
        <v>0</v>
      </c>
    </row>
    <row r="527" spans="1:68" ht="27" hidden="1" customHeight="1" x14ac:dyDescent="0.25">
      <c r="A527" s="54" t="s">
        <v>834</v>
      </c>
      <c r="B527" s="54" t="s">
        <v>835</v>
      </c>
      <c r="C527" s="31">
        <v>4301031352</v>
      </c>
      <c r="D527" s="647">
        <v>4680115882102</v>
      </c>
      <c r="E527" s="648"/>
      <c r="F527" s="642">
        <v>0.6</v>
      </c>
      <c r="G527" s="32">
        <v>6</v>
      </c>
      <c r="H527" s="642">
        <v>3.6</v>
      </c>
      <c r="I527" s="642">
        <v>3.79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1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53"/>
      <c r="R527" s="653"/>
      <c r="S527" s="653"/>
      <c r="T527" s="654"/>
      <c r="U527" s="34"/>
      <c r="V527" s="34"/>
      <c r="W527" s="35" t="s">
        <v>67</v>
      </c>
      <c r="X527" s="643">
        <v>0</v>
      </c>
      <c r="Y527" s="644">
        <f t="shared" si="89"/>
        <v>0</v>
      </c>
      <c r="Z527" s="36" t="str">
        <f>IFERROR(IF(Y527=0,"",ROUNDUP(Y527/H527,0)*0.00902),"")</f>
        <v/>
      </c>
      <c r="AA527" s="56"/>
      <c r="AB527" s="57"/>
      <c r="AC527" s="617" t="s">
        <v>828</v>
      </c>
      <c r="AG527" s="64"/>
      <c r="AJ527" s="68"/>
      <c r="AK527" s="68">
        <v>0</v>
      </c>
      <c r="BB527" s="618" t="s">
        <v>1</v>
      </c>
      <c r="BM527" s="64">
        <f t="shared" si="90"/>
        <v>0</v>
      </c>
      <c r="BN527" s="64">
        <f t="shared" si="91"/>
        <v>0</v>
      </c>
      <c r="BO527" s="64">
        <f t="shared" si="92"/>
        <v>0</v>
      </c>
      <c r="BP527" s="64">
        <f t="shared" si="93"/>
        <v>0</v>
      </c>
    </row>
    <row r="528" spans="1:68" ht="27" hidden="1" customHeight="1" x14ac:dyDescent="0.25">
      <c r="A528" s="54" t="s">
        <v>834</v>
      </c>
      <c r="B528" s="54" t="s">
        <v>836</v>
      </c>
      <c r="C528" s="31">
        <v>4301031418</v>
      </c>
      <c r="D528" s="647">
        <v>4680115882102</v>
      </c>
      <c r="E528" s="648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53"/>
      <c r="R528" s="653"/>
      <c r="S528" s="653"/>
      <c r="T528" s="654"/>
      <c r="U528" s="34"/>
      <c r="V528" s="34"/>
      <c r="W528" s="35" t="s">
        <v>67</v>
      </c>
      <c r="X528" s="643">
        <v>0</v>
      </c>
      <c r="Y528" s="644">
        <f t="shared" si="89"/>
        <v>0</v>
      </c>
      <c r="Z528" s="36" t="str">
        <f>IFERROR(IF(Y528=0,"",ROUNDUP(Y528/H528,0)*0.00902),"")</f>
        <v/>
      </c>
      <c r="AA528" s="56"/>
      <c r="AB528" s="57"/>
      <c r="AC528" s="619" t="s">
        <v>828</v>
      </c>
      <c r="AG528" s="64"/>
      <c r="AJ528" s="68"/>
      <c r="AK528" s="68">
        <v>0</v>
      </c>
      <c r="BB528" s="620" t="s">
        <v>1</v>
      </c>
      <c r="BM528" s="64">
        <f t="shared" si="90"/>
        <v>0</v>
      </c>
      <c r="BN528" s="64">
        <f t="shared" si="91"/>
        <v>0</v>
      </c>
      <c r="BO528" s="64">
        <f t="shared" si="92"/>
        <v>0</v>
      </c>
      <c r="BP528" s="64">
        <f t="shared" si="93"/>
        <v>0</v>
      </c>
    </row>
    <row r="529" spans="1:68" ht="27" hidden="1" customHeight="1" x14ac:dyDescent="0.25">
      <c r="A529" s="54" t="s">
        <v>837</v>
      </c>
      <c r="B529" s="54" t="s">
        <v>838</v>
      </c>
      <c r="C529" s="31">
        <v>4301031417</v>
      </c>
      <c r="D529" s="647">
        <v>4680115882096</v>
      </c>
      <c r="E529" s="648"/>
      <c r="F529" s="642">
        <v>0.6</v>
      </c>
      <c r="G529" s="32">
        <v>8</v>
      </c>
      <c r="H529" s="642">
        <v>4.8</v>
      </c>
      <c r="I529" s="642">
        <v>6.67</v>
      </c>
      <c r="J529" s="32">
        <v>132</v>
      </c>
      <c r="K529" s="32" t="s">
        <v>123</v>
      </c>
      <c r="L529" s="32"/>
      <c r="M529" s="33" t="s">
        <v>66</v>
      </c>
      <c r="N529" s="33"/>
      <c r="O529" s="32">
        <v>70</v>
      </c>
      <c r="P529" s="8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53"/>
      <c r="R529" s="653"/>
      <c r="S529" s="653"/>
      <c r="T529" s="654"/>
      <c r="U529" s="34"/>
      <c r="V529" s="34"/>
      <c r="W529" s="35" t="s">
        <v>67</v>
      </c>
      <c r="X529" s="643">
        <v>0</v>
      </c>
      <c r="Y529" s="644">
        <f t="shared" si="89"/>
        <v>0</v>
      </c>
      <c r="Z529" s="36" t="str">
        <f>IFERROR(IF(Y529=0,"",ROUNDUP(Y529/H529,0)*0.00902),"")</f>
        <v/>
      </c>
      <c r="AA529" s="56"/>
      <c r="AB529" s="57"/>
      <c r="AC529" s="621" t="s">
        <v>831</v>
      </c>
      <c r="AG529" s="64"/>
      <c r="AJ529" s="68"/>
      <c r="AK529" s="68">
        <v>0</v>
      </c>
      <c r="BB529" s="622" t="s">
        <v>1</v>
      </c>
      <c r="BM529" s="64">
        <f t="shared" si="90"/>
        <v>0</v>
      </c>
      <c r="BN529" s="64">
        <f t="shared" si="91"/>
        <v>0</v>
      </c>
      <c r="BO529" s="64">
        <f t="shared" si="92"/>
        <v>0</v>
      </c>
      <c r="BP529" s="64">
        <f t="shared" si="93"/>
        <v>0</v>
      </c>
    </row>
    <row r="530" spans="1:68" x14ac:dyDescent="0.2">
      <c r="A530" s="657"/>
      <c r="B530" s="658"/>
      <c r="C530" s="658"/>
      <c r="D530" s="658"/>
      <c r="E530" s="658"/>
      <c r="F530" s="658"/>
      <c r="G530" s="658"/>
      <c r="H530" s="658"/>
      <c r="I530" s="658"/>
      <c r="J530" s="658"/>
      <c r="K530" s="658"/>
      <c r="L530" s="658"/>
      <c r="M530" s="658"/>
      <c r="N530" s="658"/>
      <c r="O530" s="659"/>
      <c r="P530" s="649" t="s">
        <v>72</v>
      </c>
      <c r="Q530" s="650"/>
      <c r="R530" s="650"/>
      <c r="S530" s="650"/>
      <c r="T530" s="650"/>
      <c r="U530" s="650"/>
      <c r="V530" s="651"/>
      <c r="W530" s="37" t="s">
        <v>73</v>
      </c>
      <c r="X530" s="645">
        <f>IFERROR(X523/H523,"0")+IFERROR(X524/H524,"0")+IFERROR(X525/H525,"0")+IFERROR(X526/H526,"0")+IFERROR(X527/H527,"0")+IFERROR(X528/H528,"0")+IFERROR(X529/H529,"0")</f>
        <v>71.590909090909093</v>
      </c>
      <c r="Y530" s="645">
        <f>IFERROR(Y523/H523,"0")+IFERROR(Y524/H524,"0")+IFERROR(Y525/H525,"0")+IFERROR(Y526/H526,"0")+IFERROR(Y527/H527,"0")+IFERROR(Y528/H528,"0")+IFERROR(Y529/H529,"0")</f>
        <v>74</v>
      </c>
      <c r="Z530" s="645">
        <f>IFERROR(IF(Z523="",0,Z523),"0")+IFERROR(IF(Z524="",0,Z524),"0")+IFERROR(IF(Z525="",0,Z525),"0")+IFERROR(IF(Z526="",0,Z526),"0")+IFERROR(IF(Z527="",0,Z527),"0")+IFERROR(IF(Z528="",0,Z528),"0")+IFERROR(IF(Z529="",0,Z529),"0")</f>
        <v>0.88504000000000005</v>
      </c>
      <c r="AA530" s="646"/>
      <c r="AB530" s="646"/>
      <c r="AC530" s="646"/>
    </row>
    <row r="531" spans="1:68" x14ac:dyDescent="0.2">
      <c r="A531" s="658"/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9"/>
      <c r="P531" s="649" t="s">
        <v>72</v>
      </c>
      <c r="Q531" s="650"/>
      <c r="R531" s="650"/>
      <c r="S531" s="650"/>
      <c r="T531" s="650"/>
      <c r="U531" s="650"/>
      <c r="V531" s="651"/>
      <c r="W531" s="37" t="s">
        <v>67</v>
      </c>
      <c r="X531" s="645">
        <f>IFERROR(SUM(X523:X529),"0")</f>
        <v>378</v>
      </c>
      <c r="Y531" s="645">
        <f>IFERROR(SUM(Y523:Y529),"0")</f>
        <v>390.72</v>
      </c>
      <c r="Z531" s="37"/>
      <c r="AA531" s="646"/>
      <c r="AB531" s="646"/>
      <c r="AC531" s="646"/>
    </row>
    <row r="532" spans="1:68" ht="27.75" hidden="1" customHeight="1" x14ac:dyDescent="0.2">
      <c r="A532" s="664" t="s">
        <v>839</v>
      </c>
      <c r="B532" s="665"/>
      <c r="C532" s="665"/>
      <c r="D532" s="665"/>
      <c r="E532" s="665"/>
      <c r="F532" s="665"/>
      <c r="G532" s="665"/>
      <c r="H532" s="665"/>
      <c r="I532" s="665"/>
      <c r="J532" s="665"/>
      <c r="K532" s="665"/>
      <c r="L532" s="665"/>
      <c r="M532" s="665"/>
      <c r="N532" s="665"/>
      <c r="O532" s="665"/>
      <c r="P532" s="665"/>
      <c r="Q532" s="665"/>
      <c r="R532" s="665"/>
      <c r="S532" s="665"/>
      <c r="T532" s="665"/>
      <c r="U532" s="665"/>
      <c r="V532" s="665"/>
      <c r="W532" s="665"/>
      <c r="X532" s="665"/>
      <c r="Y532" s="665"/>
      <c r="Z532" s="665"/>
      <c r="AA532" s="48"/>
      <c r="AB532" s="48"/>
      <c r="AC532" s="48"/>
    </row>
    <row r="533" spans="1:68" ht="16.5" hidden="1" customHeight="1" x14ac:dyDescent="0.25">
      <c r="A533" s="676" t="s">
        <v>839</v>
      </c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58"/>
      <c r="P533" s="658"/>
      <c r="Q533" s="658"/>
      <c r="R533" s="658"/>
      <c r="S533" s="658"/>
      <c r="T533" s="658"/>
      <c r="U533" s="658"/>
      <c r="V533" s="658"/>
      <c r="W533" s="658"/>
      <c r="X533" s="658"/>
      <c r="Y533" s="658"/>
      <c r="Z533" s="658"/>
      <c r="AA533" s="638"/>
      <c r="AB533" s="638"/>
      <c r="AC533" s="638"/>
    </row>
    <row r="534" spans="1:68" ht="14.25" hidden="1" customHeight="1" x14ac:dyDescent="0.25">
      <c r="A534" s="663" t="s">
        <v>111</v>
      </c>
      <c r="B534" s="658"/>
      <c r="C534" s="658"/>
      <c r="D534" s="658"/>
      <c r="E534" s="658"/>
      <c r="F534" s="658"/>
      <c r="G534" s="658"/>
      <c r="H534" s="658"/>
      <c r="I534" s="658"/>
      <c r="J534" s="658"/>
      <c r="K534" s="658"/>
      <c r="L534" s="658"/>
      <c r="M534" s="658"/>
      <c r="N534" s="658"/>
      <c r="O534" s="658"/>
      <c r="P534" s="658"/>
      <c r="Q534" s="658"/>
      <c r="R534" s="658"/>
      <c r="S534" s="658"/>
      <c r="T534" s="658"/>
      <c r="U534" s="658"/>
      <c r="V534" s="658"/>
      <c r="W534" s="658"/>
      <c r="X534" s="658"/>
      <c r="Y534" s="658"/>
      <c r="Z534" s="658"/>
      <c r="AA534" s="639"/>
      <c r="AB534" s="639"/>
      <c r="AC534" s="639"/>
    </row>
    <row r="535" spans="1:68" ht="27" hidden="1" customHeight="1" x14ac:dyDescent="0.25">
      <c r="A535" s="54" t="s">
        <v>840</v>
      </c>
      <c r="B535" s="54" t="s">
        <v>841</v>
      </c>
      <c r="C535" s="31">
        <v>4301011584</v>
      </c>
      <c r="D535" s="647">
        <v>4640242180564</v>
      </c>
      <c r="E535" s="648"/>
      <c r="F535" s="642">
        <v>1.5</v>
      </c>
      <c r="G535" s="32">
        <v>8</v>
      </c>
      <c r="H535" s="642">
        <v>12</v>
      </c>
      <c r="I535" s="642">
        <v>12.41</v>
      </c>
      <c r="J535" s="32">
        <v>64</v>
      </c>
      <c r="K535" s="32" t="s">
        <v>114</v>
      </c>
      <c r="L535" s="32"/>
      <c r="M535" s="33" t="s">
        <v>115</v>
      </c>
      <c r="N535" s="33"/>
      <c r="O535" s="32">
        <v>50</v>
      </c>
      <c r="P535" s="8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53"/>
      <c r="R535" s="653"/>
      <c r="S535" s="653"/>
      <c r="T535" s="654"/>
      <c r="U535" s="34"/>
      <c r="V535" s="34"/>
      <c r="W535" s="35" t="s">
        <v>67</v>
      </c>
      <c r="X535" s="643">
        <v>0</v>
      </c>
      <c r="Y535" s="644">
        <f>IFERROR(IF(X535="",0,CEILING((X535/$H535),1)*$H535),"")</f>
        <v>0</v>
      </c>
      <c r="Z535" s="36" t="str">
        <f>IFERROR(IF(Y535=0,"",ROUNDUP(Y535/H535,0)*0.01898),"")</f>
        <v/>
      </c>
      <c r="AA535" s="56"/>
      <c r="AB535" s="57"/>
      <c r="AC535" s="623" t="s">
        <v>842</v>
      </c>
      <c r="AG535" s="64"/>
      <c r="AJ535" s="68"/>
      <c r="AK535" s="68">
        <v>0</v>
      </c>
      <c r="BB535" s="624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57"/>
      <c r="B536" s="658"/>
      <c r="C536" s="658"/>
      <c r="D536" s="658"/>
      <c r="E536" s="658"/>
      <c r="F536" s="658"/>
      <c r="G536" s="658"/>
      <c r="H536" s="658"/>
      <c r="I536" s="658"/>
      <c r="J536" s="658"/>
      <c r="K536" s="658"/>
      <c r="L536" s="658"/>
      <c r="M536" s="658"/>
      <c r="N536" s="658"/>
      <c r="O536" s="659"/>
      <c r="P536" s="649" t="s">
        <v>72</v>
      </c>
      <c r="Q536" s="650"/>
      <c r="R536" s="650"/>
      <c r="S536" s="650"/>
      <c r="T536" s="650"/>
      <c r="U536" s="650"/>
      <c r="V536" s="651"/>
      <c r="W536" s="37" t="s">
        <v>73</v>
      </c>
      <c r="X536" s="645">
        <f>IFERROR(X535/H535,"0")</f>
        <v>0</v>
      </c>
      <c r="Y536" s="645">
        <f>IFERROR(Y535/H535,"0")</f>
        <v>0</v>
      </c>
      <c r="Z536" s="645">
        <f>IFERROR(IF(Z535="",0,Z535),"0")</f>
        <v>0</v>
      </c>
      <c r="AA536" s="646"/>
      <c r="AB536" s="646"/>
      <c r="AC536" s="646"/>
    </row>
    <row r="537" spans="1:68" hidden="1" x14ac:dyDescent="0.2">
      <c r="A537" s="658"/>
      <c r="B537" s="658"/>
      <c r="C537" s="658"/>
      <c r="D537" s="658"/>
      <c r="E537" s="658"/>
      <c r="F537" s="658"/>
      <c r="G537" s="658"/>
      <c r="H537" s="658"/>
      <c r="I537" s="658"/>
      <c r="J537" s="658"/>
      <c r="K537" s="658"/>
      <c r="L537" s="658"/>
      <c r="M537" s="658"/>
      <c r="N537" s="658"/>
      <c r="O537" s="659"/>
      <c r="P537" s="649" t="s">
        <v>72</v>
      </c>
      <c r="Q537" s="650"/>
      <c r="R537" s="650"/>
      <c r="S537" s="650"/>
      <c r="T537" s="650"/>
      <c r="U537" s="650"/>
      <c r="V537" s="651"/>
      <c r="W537" s="37" t="s">
        <v>67</v>
      </c>
      <c r="X537" s="645">
        <f>IFERROR(SUM(X535:X535),"0")</f>
        <v>0</v>
      </c>
      <c r="Y537" s="645">
        <f>IFERROR(SUM(Y535:Y535),"0")</f>
        <v>0</v>
      </c>
      <c r="Z537" s="37"/>
      <c r="AA537" s="646"/>
      <c r="AB537" s="646"/>
      <c r="AC537" s="646"/>
    </row>
    <row r="538" spans="1:68" ht="14.25" hidden="1" customHeight="1" x14ac:dyDescent="0.25">
      <c r="A538" s="663" t="s">
        <v>62</v>
      </c>
      <c r="B538" s="658"/>
      <c r="C538" s="658"/>
      <c r="D538" s="658"/>
      <c r="E538" s="658"/>
      <c r="F538" s="658"/>
      <c r="G538" s="658"/>
      <c r="H538" s="658"/>
      <c r="I538" s="658"/>
      <c r="J538" s="658"/>
      <c r="K538" s="658"/>
      <c r="L538" s="658"/>
      <c r="M538" s="658"/>
      <c r="N538" s="658"/>
      <c r="O538" s="658"/>
      <c r="P538" s="658"/>
      <c r="Q538" s="658"/>
      <c r="R538" s="658"/>
      <c r="S538" s="658"/>
      <c r="T538" s="658"/>
      <c r="U538" s="658"/>
      <c r="V538" s="658"/>
      <c r="W538" s="658"/>
      <c r="X538" s="658"/>
      <c r="Y538" s="658"/>
      <c r="Z538" s="658"/>
      <c r="AA538" s="639"/>
      <c r="AB538" s="639"/>
      <c r="AC538" s="639"/>
    </row>
    <row r="539" spans="1:68" ht="27" hidden="1" customHeight="1" x14ac:dyDescent="0.25">
      <c r="A539" s="54" t="s">
        <v>843</v>
      </c>
      <c r="B539" s="54" t="s">
        <v>844</v>
      </c>
      <c r="C539" s="31">
        <v>4301031500</v>
      </c>
      <c r="D539" s="647">
        <v>4640242180595</v>
      </c>
      <c r="E539" s="648"/>
      <c r="F539" s="642">
        <v>0.7</v>
      </c>
      <c r="G539" s="32">
        <v>6</v>
      </c>
      <c r="H539" s="642">
        <v>4.2</v>
      </c>
      <c r="I539" s="642">
        <v>4.45</v>
      </c>
      <c r="J539" s="32">
        <v>132</v>
      </c>
      <c r="K539" s="32" t="s">
        <v>123</v>
      </c>
      <c r="L539" s="32"/>
      <c r="M539" s="33" t="s">
        <v>66</v>
      </c>
      <c r="N539" s="33"/>
      <c r="O539" s="32">
        <v>40</v>
      </c>
      <c r="P539" s="72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653"/>
      <c r="R539" s="653"/>
      <c r="S539" s="653"/>
      <c r="T539" s="654"/>
      <c r="U539" s="34"/>
      <c r="V539" s="34"/>
      <c r="W539" s="35" t="s">
        <v>67</v>
      </c>
      <c r="X539" s="643">
        <v>0</v>
      </c>
      <c r="Y539" s="644">
        <f>IFERROR(IF(X539="",0,CEILING((X539/$H539),1)*$H539),"")</f>
        <v>0</v>
      </c>
      <c r="Z539" s="36" t="str">
        <f>IFERROR(IF(Y539=0,"",ROUNDUP(Y539/H539,0)*0.00902),"")</f>
        <v/>
      </c>
      <c r="AA539" s="56"/>
      <c r="AB539" s="57"/>
      <c r="AC539" s="625" t="s">
        <v>845</v>
      </c>
      <c r="AG539" s="64"/>
      <c r="AJ539" s="68"/>
      <c r="AK539" s="68">
        <v>0</v>
      </c>
      <c r="BB539" s="626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57"/>
      <c r="B540" s="658"/>
      <c r="C540" s="658"/>
      <c r="D540" s="658"/>
      <c r="E540" s="658"/>
      <c r="F540" s="658"/>
      <c r="G540" s="658"/>
      <c r="H540" s="658"/>
      <c r="I540" s="658"/>
      <c r="J540" s="658"/>
      <c r="K540" s="658"/>
      <c r="L540" s="658"/>
      <c r="M540" s="658"/>
      <c r="N540" s="658"/>
      <c r="O540" s="659"/>
      <c r="P540" s="649" t="s">
        <v>72</v>
      </c>
      <c r="Q540" s="650"/>
      <c r="R540" s="650"/>
      <c r="S540" s="650"/>
      <c r="T540" s="650"/>
      <c r="U540" s="650"/>
      <c r="V540" s="651"/>
      <c r="W540" s="37" t="s">
        <v>73</v>
      </c>
      <c r="X540" s="645">
        <f>IFERROR(X539/H539,"0")</f>
        <v>0</v>
      </c>
      <c r="Y540" s="645">
        <f>IFERROR(Y539/H539,"0")</f>
        <v>0</v>
      </c>
      <c r="Z540" s="645">
        <f>IFERROR(IF(Z539="",0,Z539),"0")</f>
        <v>0</v>
      </c>
      <c r="AA540" s="646"/>
      <c r="AB540" s="646"/>
      <c r="AC540" s="646"/>
    </row>
    <row r="541" spans="1:68" hidden="1" x14ac:dyDescent="0.2">
      <c r="A541" s="658"/>
      <c r="B541" s="658"/>
      <c r="C541" s="658"/>
      <c r="D541" s="658"/>
      <c r="E541" s="658"/>
      <c r="F541" s="658"/>
      <c r="G541" s="658"/>
      <c r="H541" s="658"/>
      <c r="I541" s="658"/>
      <c r="J541" s="658"/>
      <c r="K541" s="658"/>
      <c r="L541" s="658"/>
      <c r="M541" s="658"/>
      <c r="N541" s="658"/>
      <c r="O541" s="659"/>
      <c r="P541" s="649" t="s">
        <v>72</v>
      </c>
      <c r="Q541" s="650"/>
      <c r="R541" s="650"/>
      <c r="S541" s="650"/>
      <c r="T541" s="650"/>
      <c r="U541" s="650"/>
      <c r="V541" s="651"/>
      <c r="W541" s="37" t="s">
        <v>67</v>
      </c>
      <c r="X541" s="645">
        <f>IFERROR(SUM(X539:X539),"0")</f>
        <v>0</v>
      </c>
      <c r="Y541" s="645">
        <f>IFERROR(SUM(Y539:Y539),"0")</f>
        <v>0</v>
      </c>
      <c r="Z541" s="37"/>
      <c r="AA541" s="646"/>
      <c r="AB541" s="646"/>
      <c r="AC541" s="646"/>
    </row>
    <row r="542" spans="1:68" ht="14.25" hidden="1" customHeight="1" x14ac:dyDescent="0.25">
      <c r="A542" s="663" t="s">
        <v>74</v>
      </c>
      <c r="B542" s="658"/>
      <c r="C542" s="658"/>
      <c r="D542" s="658"/>
      <c r="E542" s="658"/>
      <c r="F542" s="658"/>
      <c r="G542" s="658"/>
      <c r="H542" s="658"/>
      <c r="I542" s="658"/>
      <c r="J542" s="658"/>
      <c r="K542" s="658"/>
      <c r="L542" s="658"/>
      <c r="M542" s="658"/>
      <c r="N542" s="658"/>
      <c r="O542" s="658"/>
      <c r="P542" s="658"/>
      <c r="Q542" s="658"/>
      <c r="R542" s="658"/>
      <c r="S542" s="658"/>
      <c r="T542" s="658"/>
      <c r="U542" s="658"/>
      <c r="V542" s="658"/>
      <c r="W542" s="658"/>
      <c r="X542" s="658"/>
      <c r="Y542" s="658"/>
      <c r="Z542" s="658"/>
      <c r="AA542" s="639"/>
      <c r="AB542" s="639"/>
      <c r="AC542" s="639"/>
    </row>
    <row r="543" spans="1:68" ht="27" customHeight="1" x14ac:dyDescent="0.25">
      <c r="A543" s="54" t="s">
        <v>846</v>
      </c>
      <c r="B543" s="54" t="s">
        <v>847</v>
      </c>
      <c r="C543" s="31">
        <v>4301052043</v>
      </c>
      <c r="D543" s="647">
        <v>4640242180533</v>
      </c>
      <c r="E543" s="648"/>
      <c r="F543" s="642">
        <v>1.5</v>
      </c>
      <c r="G543" s="32">
        <v>6</v>
      </c>
      <c r="H543" s="642">
        <v>9</v>
      </c>
      <c r="I543" s="642">
        <v>9.4939999999999998</v>
      </c>
      <c r="J543" s="32">
        <v>64</v>
      </c>
      <c r="K543" s="32" t="s">
        <v>114</v>
      </c>
      <c r="L543" s="32"/>
      <c r="M543" s="33" t="s">
        <v>78</v>
      </c>
      <c r="N543" s="33"/>
      <c r="O543" s="32">
        <v>45</v>
      </c>
      <c r="P543" s="83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653"/>
      <c r="R543" s="653"/>
      <c r="S543" s="653"/>
      <c r="T543" s="654"/>
      <c r="U543" s="34"/>
      <c r="V543" s="34"/>
      <c r="W543" s="35" t="s">
        <v>67</v>
      </c>
      <c r="X543" s="643">
        <v>10</v>
      </c>
      <c r="Y543" s="644">
        <f>IFERROR(IF(X543="",0,CEILING((X543/$H543),1)*$H543),"")</f>
        <v>18</v>
      </c>
      <c r="Z543" s="36">
        <f>IFERROR(IF(Y543=0,"",ROUNDUP(Y543/H543,0)*0.01898),"")</f>
        <v>3.7960000000000001E-2</v>
      </c>
      <c r="AA543" s="56"/>
      <c r="AB543" s="57"/>
      <c r="AC543" s="627" t="s">
        <v>848</v>
      </c>
      <c r="AG543" s="64"/>
      <c r="AJ543" s="68"/>
      <c r="AK543" s="68">
        <v>0</v>
      </c>
      <c r="BB543" s="628" t="s">
        <v>1</v>
      </c>
      <c r="BM543" s="64">
        <f>IFERROR(X543*I543/H543,"0")</f>
        <v>10.548888888888889</v>
      </c>
      <c r="BN543" s="64">
        <f>IFERROR(Y543*I543/H543,"0")</f>
        <v>18.988</v>
      </c>
      <c r="BO543" s="64">
        <f>IFERROR(1/J543*(X543/H543),"0")</f>
        <v>1.7361111111111112E-2</v>
      </c>
      <c r="BP543" s="64">
        <f>IFERROR(1/J543*(Y543/H543),"0")</f>
        <v>3.125E-2</v>
      </c>
    </row>
    <row r="544" spans="1:68" x14ac:dyDescent="0.2">
      <c r="A544" s="657"/>
      <c r="B544" s="658"/>
      <c r="C544" s="658"/>
      <c r="D544" s="658"/>
      <c r="E544" s="658"/>
      <c r="F544" s="658"/>
      <c r="G544" s="658"/>
      <c r="H544" s="658"/>
      <c r="I544" s="658"/>
      <c r="J544" s="658"/>
      <c r="K544" s="658"/>
      <c r="L544" s="658"/>
      <c r="M544" s="658"/>
      <c r="N544" s="658"/>
      <c r="O544" s="659"/>
      <c r="P544" s="649" t="s">
        <v>72</v>
      </c>
      <c r="Q544" s="650"/>
      <c r="R544" s="650"/>
      <c r="S544" s="650"/>
      <c r="T544" s="650"/>
      <c r="U544" s="650"/>
      <c r="V544" s="651"/>
      <c r="W544" s="37" t="s">
        <v>73</v>
      </c>
      <c r="X544" s="645">
        <f>IFERROR(X543/H543,"0")</f>
        <v>1.1111111111111112</v>
      </c>
      <c r="Y544" s="645">
        <f>IFERROR(Y543/H543,"0")</f>
        <v>2</v>
      </c>
      <c r="Z544" s="645">
        <f>IFERROR(IF(Z543="",0,Z543),"0")</f>
        <v>3.7960000000000001E-2</v>
      </c>
      <c r="AA544" s="646"/>
      <c r="AB544" s="646"/>
      <c r="AC544" s="646"/>
    </row>
    <row r="545" spans="1:68" x14ac:dyDescent="0.2">
      <c r="A545" s="658"/>
      <c r="B545" s="658"/>
      <c r="C545" s="658"/>
      <c r="D545" s="658"/>
      <c r="E545" s="658"/>
      <c r="F545" s="658"/>
      <c r="G545" s="658"/>
      <c r="H545" s="658"/>
      <c r="I545" s="658"/>
      <c r="J545" s="658"/>
      <c r="K545" s="658"/>
      <c r="L545" s="658"/>
      <c r="M545" s="658"/>
      <c r="N545" s="658"/>
      <c r="O545" s="659"/>
      <c r="P545" s="649" t="s">
        <v>72</v>
      </c>
      <c r="Q545" s="650"/>
      <c r="R545" s="650"/>
      <c r="S545" s="650"/>
      <c r="T545" s="650"/>
      <c r="U545" s="650"/>
      <c r="V545" s="651"/>
      <c r="W545" s="37" t="s">
        <v>67</v>
      </c>
      <c r="X545" s="645">
        <f>IFERROR(SUM(X543:X543),"0")</f>
        <v>10</v>
      </c>
      <c r="Y545" s="645">
        <f>IFERROR(SUM(Y543:Y543),"0")</f>
        <v>18</v>
      </c>
      <c r="Z545" s="37"/>
      <c r="AA545" s="646"/>
      <c r="AB545" s="646"/>
      <c r="AC545" s="646"/>
    </row>
    <row r="546" spans="1:68" ht="14.25" hidden="1" customHeight="1" x14ac:dyDescent="0.25">
      <c r="A546" s="663" t="s">
        <v>168</v>
      </c>
      <c r="B546" s="658"/>
      <c r="C546" s="658"/>
      <c r="D546" s="658"/>
      <c r="E546" s="658"/>
      <c r="F546" s="658"/>
      <c r="G546" s="658"/>
      <c r="H546" s="658"/>
      <c r="I546" s="658"/>
      <c r="J546" s="658"/>
      <c r="K546" s="658"/>
      <c r="L546" s="658"/>
      <c r="M546" s="658"/>
      <c r="N546" s="658"/>
      <c r="O546" s="658"/>
      <c r="P546" s="658"/>
      <c r="Q546" s="658"/>
      <c r="R546" s="658"/>
      <c r="S546" s="658"/>
      <c r="T546" s="658"/>
      <c r="U546" s="658"/>
      <c r="V546" s="658"/>
      <c r="W546" s="658"/>
      <c r="X546" s="658"/>
      <c r="Y546" s="658"/>
      <c r="Z546" s="658"/>
      <c r="AA546" s="639"/>
      <c r="AB546" s="639"/>
      <c r="AC546" s="639"/>
    </row>
    <row r="547" spans="1:68" ht="27" hidden="1" customHeight="1" x14ac:dyDescent="0.25">
      <c r="A547" s="54" t="s">
        <v>849</v>
      </c>
      <c r="B547" s="54" t="s">
        <v>850</v>
      </c>
      <c r="C547" s="31">
        <v>4301060535</v>
      </c>
      <c r="D547" s="647">
        <v>4640242180120</v>
      </c>
      <c r="E547" s="648"/>
      <c r="F547" s="642">
        <v>1.5</v>
      </c>
      <c r="G547" s="32">
        <v>6</v>
      </c>
      <c r="H547" s="642">
        <v>9</v>
      </c>
      <c r="I547" s="642">
        <v>9.41</v>
      </c>
      <c r="J547" s="32">
        <v>64</v>
      </c>
      <c r="K547" s="32" t="s">
        <v>114</v>
      </c>
      <c r="L547" s="32"/>
      <c r="M547" s="33" t="s">
        <v>78</v>
      </c>
      <c r="N547" s="33"/>
      <c r="O547" s="32">
        <v>40</v>
      </c>
      <c r="P547" s="94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653"/>
      <c r="R547" s="653"/>
      <c r="S547" s="653"/>
      <c r="T547" s="654"/>
      <c r="U547" s="34"/>
      <c r="V547" s="34"/>
      <c r="W547" s="35" t="s">
        <v>67</v>
      </c>
      <c r="X547" s="643">
        <v>0</v>
      </c>
      <c r="Y547" s="644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29" t="s">
        <v>851</v>
      </c>
      <c r="AG547" s="64"/>
      <c r="AJ547" s="68"/>
      <c r="AK547" s="68">
        <v>0</v>
      </c>
      <c r="BB547" s="63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852</v>
      </c>
      <c r="B548" s="54" t="s">
        <v>853</v>
      </c>
      <c r="C548" s="31">
        <v>4301060536</v>
      </c>
      <c r="D548" s="647">
        <v>4640242180137</v>
      </c>
      <c r="E548" s="648"/>
      <c r="F548" s="642">
        <v>1.5</v>
      </c>
      <c r="G548" s="32">
        <v>6</v>
      </c>
      <c r="H548" s="642">
        <v>9</v>
      </c>
      <c r="I548" s="642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7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653"/>
      <c r="R548" s="653"/>
      <c r="S548" s="653"/>
      <c r="T548" s="654"/>
      <c r="U548" s="34"/>
      <c r="V548" s="34"/>
      <c r="W548" s="35" t="s">
        <v>67</v>
      </c>
      <c r="X548" s="643">
        <v>0</v>
      </c>
      <c r="Y548" s="644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31" t="s">
        <v>854</v>
      </c>
      <c r="AG548" s="64"/>
      <c r="AJ548" s="68"/>
      <c r="AK548" s="68">
        <v>0</v>
      </c>
      <c r="BB548" s="63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7"/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9"/>
      <c r="P549" s="649" t="s">
        <v>72</v>
      </c>
      <c r="Q549" s="650"/>
      <c r="R549" s="650"/>
      <c r="S549" s="650"/>
      <c r="T549" s="650"/>
      <c r="U549" s="650"/>
      <c r="V549" s="651"/>
      <c r="W549" s="37" t="s">
        <v>73</v>
      </c>
      <c r="X549" s="645">
        <f>IFERROR(X547/H547,"0")+IFERROR(X548/H548,"0")</f>
        <v>0</v>
      </c>
      <c r="Y549" s="645">
        <f>IFERROR(Y547/H547,"0")+IFERROR(Y548/H548,"0")</f>
        <v>0</v>
      </c>
      <c r="Z549" s="645">
        <f>IFERROR(IF(Z547="",0,Z547),"0")+IFERROR(IF(Z548="",0,Z548),"0")</f>
        <v>0</v>
      </c>
      <c r="AA549" s="646"/>
      <c r="AB549" s="646"/>
      <c r="AC549" s="646"/>
    </row>
    <row r="550" spans="1:68" hidden="1" x14ac:dyDescent="0.2">
      <c r="A550" s="658"/>
      <c r="B550" s="658"/>
      <c r="C550" s="658"/>
      <c r="D550" s="658"/>
      <c r="E550" s="658"/>
      <c r="F550" s="658"/>
      <c r="G550" s="658"/>
      <c r="H550" s="658"/>
      <c r="I550" s="658"/>
      <c r="J550" s="658"/>
      <c r="K550" s="658"/>
      <c r="L550" s="658"/>
      <c r="M550" s="658"/>
      <c r="N550" s="658"/>
      <c r="O550" s="659"/>
      <c r="P550" s="649" t="s">
        <v>72</v>
      </c>
      <c r="Q550" s="650"/>
      <c r="R550" s="650"/>
      <c r="S550" s="650"/>
      <c r="T550" s="650"/>
      <c r="U550" s="650"/>
      <c r="V550" s="651"/>
      <c r="W550" s="37" t="s">
        <v>67</v>
      </c>
      <c r="X550" s="645">
        <f>IFERROR(SUM(X547:X548),"0")</f>
        <v>0</v>
      </c>
      <c r="Y550" s="645">
        <f>IFERROR(SUM(Y547:Y548),"0")</f>
        <v>0</v>
      </c>
      <c r="Z550" s="37"/>
      <c r="AA550" s="646"/>
      <c r="AB550" s="646"/>
      <c r="AC550" s="646"/>
    </row>
    <row r="551" spans="1:68" ht="16.5" hidden="1" customHeight="1" x14ac:dyDescent="0.25">
      <c r="A551" s="676" t="s">
        <v>855</v>
      </c>
      <c r="B551" s="658"/>
      <c r="C551" s="658"/>
      <c r="D551" s="658"/>
      <c r="E551" s="658"/>
      <c r="F551" s="658"/>
      <c r="G551" s="658"/>
      <c r="H551" s="658"/>
      <c r="I551" s="658"/>
      <c r="J551" s="658"/>
      <c r="K551" s="658"/>
      <c r="L551" s="658"/>
      <c r="M551" s="658"/>
      <c r="N551" s="658"/>
      <c r="O551" s="658"/>
      <c r="P551" s="658"/>
      <c r="Q551" s="658"/>
      <c r="R551" s="658"/>
      <c r="S551" s="658"/>
      <c r="T551" s="658"/>
      <c r="U551" s="658"/>
      <c r="V551" s="658"/>
      <c r="W551" s="658"/>
      <c r="X551" s="658"/>
      <c r="Y551" s="658"/>
      <c r="Z551" s="658"/>
      <c r="AA551" s="638"/>
      <c r="AB551" s="638"/>
      <c r="AC551" s="638"/>
    </row>
    <row r="552" spans="1:68" ht="14.25" hidden="1" customHeight="1" x14ac:dyDescent="0.25">
      <c r="A552" s="663" t="s">
        <v>148</v>
      </c>
      <c r="B552" s="658"/>
      <c r="C552" s="658"/>
      <c r="D552" s="658"/>
      <c r="E552" s="658"/>
      <c r="F552" s="658"/>
      <c r="G552" s="658"/>
      <c r="H552" s="658"/>
      <c r="I552" s="658"/>
      <c r="J552" s="658"/>
      <c r="K552" s="658"/>
      <c r="L552" s="658"/>
      <c r="M552" s="658"/>
      <c r="N552" s="658"/>
      <c r="O552" s="658"/>
      <c r="P552" s="658"/>
      <c r="Q552" s="658"/>
      <c r="R552" s="658"/>
      <c r="S552" s="658"/>
      <c r="T552" s="658"/>
      <c r="U552" s="658"/>
      <c r="V552" s="658"/>
      <c r="W552" s="658"/>
      <c r="X552" s="658"/>
      <c r="Y552" s="658"/>
      <c r="Z552" s="658"/>
      <c r="AA552" s="639"/>
      <c r="AB552" s="639"/>
      <c r="AC552" s="639"/>
    </row>
    <row r="553" spans="1:68" ht="27" hidden="1" customHeight="1" x14ac:dyDescent="0.25">
      <c r="A553" s="54" t="s">
        <v>856</v>
      </c>
      <c r="B553" s="54" t="s">
        <v>857</v>
      </c>
      <c r="C553" s="31">
        <v>4301020441</v>
      </c>
      <c r="D553" s="647">
        <v>4680115889798</v>
      </c>
      <c r="E553" s="648"/>
      <c r="F553" s="642">
        <v>1.5</v>
      </c>
      <c r="G553" s="32">
        <v>8</v>
      </c>
      <c r="H553" s="642">
        <v>12</v>
      </c>
      <c r="I553" s="642">
        <v>12.41</v>
      </c>
      <c r="J553" s="32">
        <v>64</v>
      </c>
      <c r="K553" s="32" t="s">
        <v>114</v>
      </c>
      <c r="L553" s="32"/>
      <c r="M553" s="33" t="s">
        <v>115</v>
      </c>
      <c r="N553" s="33"/>
      <c r="O553" s="32">
        <v>50</v>
      </c>
      <c r="P553" s="73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653"/>
      <c r="R553" s="653"/>
      <c r="S553" s="653"/>
      <c r="T553" s="654"/>
      <c r="U553" s="34"/>
      <c r="V553" s="34"/>
      <c r="W553" s="35" t="s">
        <v>67</v>
      </c>
      <c r="X553" s="643">
        <v>0</v>
      </c>
      <c r="Y553" s="644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33" t="s">
        <v>858</v>
      </c>
      <c r="AG553" s="64"/>
      <c r="AJ553" s="68"/>
      <c r="AK553" s="68">
        <v>0</v>
      </c>
      <c r="BB553" s="634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idden="1" x14ac:dyDescent="0.2">
      <c r="A554" s="657"/>
      <c r="B554" s="658"/>
      <c r="C554" s="658"/>
      <c r="D554" s="658"/>
      <c r="E554" s="658"/>
      <c r="F554" s="658"/>
      <c r="G554" s="658"/>
      <c r="H554" s="658"/>
      <c r="I554" s="658"/>
      <c r="J554" s="658"/>
      <c r="K554" s="658"/>
      <c r="L554" s="658"/>
      <c r="M554" s="658"/>
      <c r="N554" s="658"/>
      <c r="O554" s="659"/>
      <c r="P554" s="649" t="s">
        <v>72</v>
      </c>
      <c r="Q554" s="650"/>
      <c r="R554" s="650"/>
      <c r="S554" s="650"/>
      <c r="T554" s="650"/>
      <c r="U554" s="650"/>
      <c r="V554" s="651"/>
      <c r="W554" s="37" t="s">
        <v>73</v>
      </c>
      <c r="X554" s="645">
        <f>IFERROR(X553/H553,"0")</f>
        <v>0</v>
      </c>
      <c r="Y554" s="645">
        <f>IFERROR(Y553/H553,"0")</f>
        <v>0</v>
      </c>
      <c r="Z554" s="645">
        <f>IFERROR(IF(Z553="",0,Z553),"0")</f>
        <v>0</v>
      </c>
      <c r="AA554" s="646"/>
      <c r="AB554" s="646"/>
      <c r="AC554" s="646"/>
    </row>
    <row r="555" spans="1:68" hidden="1" x14ac:dyDescent="0.2">
      <c r="A555" s="658"/>
      <c r="B555" s="658"/>
      <c r="C555" s="658"/>
      <c r="D555" s="658"/>
      <c r="E555" s="658"/>
      <c r="F555" s="658"/>
      <c r="G555" s="658"/>
      <c r="H555" s="658"/>
      <c r="I555" s="658"/>
      <c r="J555" s="658"/>
      <c r="K555" s="658"/>
      <c r="L555" s="658"/>
      <c r="M555" s="658"/>
      <c r="N555" s="658"/>
      <c r="O555" s="659"/>
      <c r="P555" s="649" t="s">
        <v>72</v>
      </c>
      <c r="Q555" s="650"/>
      <c r="R555" s="650"/>
      <c r="S555" s="650"/>
      <c r="T555" s="650"/>
      <c r="U555" s="650"/>
      <c r="V555" s="651"/>
      <c r="W555" s="37" t="s">
        <v>67</v>
      </c>
      <c r="X555" s="645">
        <f>IFERROR(SUM(X553:X553),"0")</f>
        <v>0</v>
      </c>
      <c r="Y555" s="645">
        <f>IFERROR(SUM(Y553:Y553),"0")</f>
        <v>0</v>
      </c>
      <c r="Z555" s="37"/>
      <c r="AA555" s="646"/>
      <c r="AB555" s="646"/>
      <c r="AC555" s="646"/>
    </row>
    <row r="556" spans="1:68" ht="15" customHeight="1" x14ac:dyDescent="0.2">
      <c r="A556" s="929"/>
      <c r="B556" s="658"/>
      <c r="C556" s="658"/>
      <c r="D556" s="658"/>
      <c r="E556" s="658"/>
      <c r="F556" s="658"/>
      <c r="G556" s="658"/>
      <c r="H556" s="658"/>
      <c r="I556" s="658"/>
      <c r="J556" s="658"/>
      <c r="K556" s="658"/>
      <c r="L556" s="658"/>
      <c r="M556" s="658"/>
      <c r="N556" s="658"/>
      <c r="O556" s="824"/>
      <c r="P556" s="671" t="s">
        <v>859</v>
      </c>
      <c r="Q556" s="672"/>
      <c r="R556" s="672"/>
      <c r="S556" s="672"/>
      <c r="T556" s="672"/>
      <c r="U556" s="672"/>
      <c r="V556" s="673"/>
      <c r="W556" s="37" t="s">
        <v>67</v>
      </c>
      <c r="X556" s="645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8479</v>
      </c>
      <c r="Y556" s="645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8702.58</v>
      </c>
      <c r="Z556" s="37"/>
      <c r="AA556" s="646"/>
      <c r="AB556" s="646"/>
      <c r="AC556" s="646"/>
    </row>
    <row r="557" spans="1:68" x14ac:dyDescent="0.2">
      <c r="A557" s="658"/>
      <c r="B557" s="658"/>
      <c r="C557" s="658"/>
      <c r="D557" s="658"/>
      <c r="E557" s="658"/>
      <c r="F557" s="658"/>
      <c r="G557" s="658"/>
      <c r="H557" s="658"/>
      <c r="I557" s="658"/>
      <c r="J557" s="658"/>
      <c r="K557" s="658"/>
      <c r="L557" s="658"/>
      <c r="M557" s="658"/>
      <c r="N557" s="658"/>
      <c r="O557" s="824"/>
      <c r="P557" s="671" t="s">
        <v>860</v>
      </c>
      <c r="Q557" s="672"/>
      <c r="R557" s="672"/>
      <c r="S557" s="672"/>
      <c r="T557" s="672"/>
      <c r="U557" s="672"/>
      <c r="V557" s="673"/>
      <c r="W557" s="37" t="s">
        <v>67</v>
      </c>
      <c r="X557" s="645">
        <f>IFERROR(SUM(BM22:BM553),"0")</f>
        <v>8975.6630847439556</v>
      </c>
      <c r="Y557" s="645">
        <f>IFERROR(SUM(BN22:BN553),"0")</f>
        <v>9213.854000000003</v>
      </c>
      <c r="Z557" s="37"/>
      <c r="AA557" s="646"/>
      <c r="AB557" s="646"/>
      <c r="AC557" s="646"/>
    </row>
    <row r="558" spans="1:68" x14ac:dyDescent="0.2">
      <c r="A558" s="658"/>
      <c r="B558" s="658"/>
      <c r="C558" s="658"/>
      <c r="D558" s="658"/>
      <c r="E558" s="658"/>
      <c r="F558" s="658"/>
      <c r="G558" s="658"/>
      <c r="H558" s="658"/>
      <c r="I558" s="658"/>
      <c r="J558" s="658"/>
      <c r="K558" s="658"/>
      <c r="L558" s="658"/>
      <c r="M558" s="658"/>
      <c r="N558" s="658"/>
      <c r="O558" s="824"/>
      <c r="P558" s="671" t="s">
        <v>861</v>
      </c>
      <c r="Q558" s="672"/>
      <c r="R558" s="672"/>
      <c r="S558" s="672"/>
      <c r="T558" s="672"/>
      <c r="U558" s="672"/>
      <c r="V558" s="673"/>
      <c r="W558" s="37" t="s">
        <v>862</v>
      </c>
      <c r="X558" s="38">
        <f>ROUNDUP(SUM(BO22:BO553),0)</f>
        <v>15</v>
      </c>
      <c r="Y558" s="38">
        <f>ROUNDUP(SUM(BP22:BP553),0)</f>
        <v>16</v>
      </c>
      <c r="Z558" s="37"/>
      <c r="AA558" s="646"/>
      <c r="AB558" s="646"/>
      <c r="AC558" s="646"/>
    </row>
    <row r="559" spans="1:68" x14ac:dyDescent="0.2">
      <c r="A559" s="658"/>
      <c r="B559" s="658"/>
      <c r="C559" s="658"/>
      <c r="D559" s="658"/>
      <c r="E559" s="658"/>
      <c r="F559" s="658"/>
      <c r="G559" s="658"/>
      <c r="H559" s="658"/>
      <c r="I559" s="658"/>
      <c r="J559" s="658"/>
      <c r="K559" s="658"/>
      <c r="L559" s="658"/>
      <c r="M559" s="658"/>
      <c r="N559" s="658"/>
      <c r="O559" s="824"/>
      <c r="P559" s="671" t="s">
        <v>863</v>
      </c>
      <c r="Q559" s="672"/>
      <c r="R559" s="672"/>
      <c r="S559" s="672"/>
      <c r="T559" s="672"/>
      <c r="U559" s="672"/>
      <c r="V559" s="673"/>
      <c r="W559" s="37" t="s">
        <v>67</v>
      </c>
      <c r="X559" s="645">
        <f>GrossWeightTotal+PalletQtyTotal*25</f>
        <v>9350.6630847439556</v>
      </c>
      <c r="Y559" s="645">
        <f>GrossWeightTotalR+PalletQtyTotalR*25</f>
        <v>9613.854000000003</v>
      </c>
      <c r="Z559" s="37"/>
      <c r="AA559" s="646"/>
      <c r="AB559" s="646"/>
      <c r="AC559" s="646"/>
    </row>
    <row r="560" spans="1:68" x14ac:dyDescent="0.2">
      <c r="A560" s="658"/>
      <c r="B560" s="658"/>
      <c r="C560" s="658"/>
      <c r="D560" s="658"/>
      <c r="E560" s="658"/>
      <c r="F560" s="658"/>
      <c r="G560" s="658"/>
      <c r="H560" s="658"/>
      <c r="I560" s="658"/>
      <c r="J560" s="658"/>
      <c r="K560" s="658"/>
      <c r="L560" s="658"/>
      <c r="M560" s="658"/>
      <c r="N560" s="658"/>
      <c r="O560" s="824"/>
      <c r="P560" s="671" t="s">
        <v>864</v>
      </c>
      <c r="Q560" s="672"/>
      <c r="R560" s="672"/>
      <c r="S560" s="672"/>
      <c r="T560" s="672"/>
      <c r="U560" s="672"/>
      <c r="V560" s="673"/>
      <c r="W560" s="37" t="s">
        <v>862</v>
      </c>
      <c r="X560" s="645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1495.4003355767297</v>
      </c>
      <c r="Y560" s="645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1536</v>
      </c>
      <c r="Z560" s="37"/>
      <c r="AA560" s="646"/>
      <c r="AB560" s="646"/>
      <c r="AC560" s="646"/>
    </row>
    <row r="561" spans="1:32" ht="14.25" hidden="1" customHeight="1" x14ac:dyDescent="0.2">
      <c r="A561" s="658"/>
      <c r="B561" s="658"/>
      <c r="C561" s="658"/>
      <c r="D561" s="658"/>
      <c r="E561" s="658"/>
      <c r="F561" s="658"/>
      <c r="G561" s="658"/>
      <c r="H561" s="658"/>
      <c r="I561" s="658"/>
      <c r="J561" s="658"/>
      <c r="K561" s="658"/>
      <c r="L561" s="658"/>
      <c r="M561" s="658"/>
      <c r="N561" s="658"/>
      <c r="O561" s="824"/>
      <c r="P561" s="671" t="s">
        <v>865</v>
      </c>
      <c r="Q561" s="672"/>
      <c r="R561" s="672"/>
      <c r="S561" s="672"/>
      <c r="T561" s="672"/>
      <c r="U561" s="672"/>
      <c r="V561" s="673"/>
      <c r="W561" s="39" t="s">
        <v>866</v>
      </c>
      <c r="X561" s="37"/>
      <c r="Y561" s="37"/>
      <c r="Z561" s="37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17.831670000000003</v>
      </c>
      <c r="AA561" s="646"/>
      <c r="AB561" s="646"/>
      <c r="AC561" s="646"/>
    </row>
    <row r="562" spans="1:32" ht="13.5" customHeight="1" thickBot="1" x14ac:dyDescent="0.25"/>
    <row r="563" spans="1:32" ht="27" customHeight="1" thickTop="1" thickBot="1" x14ac:dyDescent="0.25">
      <c r="A563" s="40" t="s">
        <v>867</v>
      </c>
      <c r="B563" s="640" t="s">
        <v>61</v>
      </c>
      <c r="C563" s="640" t="s">
        <v>92</v>
      </c>
      <c r="D563" s="703" t="s">
        <v>109</v>
      </c>
      <c r="E563" s="713"/>
      <c r="F563" s="713"/>
      <c r="G563" s="713"/>
      <c r="H563" s="713"/>
      <c r="I563" s="713"/>
      <c r="J563" s="704"/>
      <c r="K563" s="703" t="s">
        <v>335</v>
      </c>
      <c r="L563" s="713"/>
      <c r="M563" s="713"/>
      <c r="N563" s="713"/>
      <c r="O563" s="713"/>
      <c r="P563" s="713"/>
      <c r="Q563" s="713"/>
      <c r="R563" s="713"/>
      <c r="S563" s="713"/>
      <c r="T563" s="713"/>
      <c r="U563" s="713"/>
      <c r="V563" s="704"/>
      <c r="W563" s="703" t="s">
        <v>690</v>
      </c>
      <c r="X563" s="704"/>
      <c r="Y563" s="703" t="s">
        <v>756</v>
      </c>
      <c r="Z563" s="704"/>
      <c r="AA563" s="640" t="s">
        <v>792</v>
      </c>
      <c r="AB563" s="703" t="s">
        <v>839</v>
      </c>
      <c r="AC563" s="704"/>
      <c r="AF563" s="641"/>
    </row>
    <row r="564" spans="1:32" ht="14.25" customHeight="1" thickTop="1" x14ac:dyDescent="0.2">
      <c r="A564" s="669" t="s">
        <v>868</v>
      </c>
      <c r="B564" s="703" t="s">
        <v>61</v>
      </c>
      <c r="C564" s="703" t="s">
        <v>93</v>
      </c>
      <c r="D564" s="703" t="s">
        <v>110</v>
      </c>
      <c r="E564" s="703" t="s">
        <v>126</v>
      </c>
      <c r="F564" s="703" t="s">
        <v>176</v>
      </c>
      <c r="G564" s="703" t="s">
        <v>199</v>
      </c>
      <c r="H564" s="703" t="s">
        <v>239</v>
      </c>
      <c r="I564" s="703" t="s">
        <v>252</v>
      </c>
      <c r="J564" s="703" t="s">
        <v>109</v>
      </c>
      <c r="K564" s="703" t="s">
        <v>336</v>
      </c>
      <c r="L564" s="703" t="s">
        <v>357</v>
      </c>
      <c r="M564" s="703" t="s">
        <v>431</v>
      </c>
      <c r="N564" s="641"/>
      <c r="O564" s="703" t="s">
        <v>499</v>
      </c>
      <c r="P564" s="703" t="s">
        <v>528</v>
      </c>
      <c r="Q564" s="703" t="s">
        <v>548</v>
      </c>
      <c r="R564" s="703" t="s">
        <v>557</v>
      </c>
      <c r="S564" s="703" t="s">
        <v>578</v>
      </c>
      <c r="T564" s="703" t="s">
        <v>587</v>
      </c>
      <c r="U564" s="703" t="s">
        <v>673</v>
      </c>
      <c r="V564" s="703" t="s">
        <v>680</v>
      </c>
      <c r="W564" s="703" t="s">
        <v>691</v>
      </c>
      <c r="X564" s="703" t="s">
        <v>740</v>
      </c>
      <c r="Y564" s="703" t="s">
        <v>757</v>
      </c>
      <c r="Z564" s="703" t="s">
        <v>780</v>
      </c>
      <c r="AA564" s="703" t="s">
        <v>792</v>
      </c>
      <c r="AB564" s="703" t="s">
        <v>839</v>
      </c>
      <c r="AC564" s="703" t="s">
        <v>855</v>
      </c>
      <c r="AF564" s="641"/>
    </row>
    <row r="565" spans="1:32" ht="13.5" customHeight="1" thickBot="1" x14ac:dyDescent="0.25">
      <c r="A565" s="670"/>
      <c r="B565" s="710"/>
      <c r="C565" s="710"/>
      <c r="D565" s="710"/>
      <c r="E565" s="710"/>
      <c r="F565" s="710"/>
      <c r="G565" s="710"/>
      <c r="H565" s="710"/>
      <c r="I565" s="710"/>
      <c r="J565" s="710"/>
      <c r="K565" s="710"/>
      <c r="L565" s="710"/>
      <c r="M565" s="710"/>
      <c r="N565" s="641"/>
      <c r="O565" s="710"/>
      <c r="P565" s="710"/>
      <c r="Q565" s="710"/>
      <c r="R565" s="710"/>
      <c r="S565" s="710"/>
      <c r="T565" s="710"/>
      <c r="U565" s="710"/>
      <c r="V565" s="710"/>
      <c r="W565" s="710"/>
      <c r="X565" s="710"/>
      <c r="Y565" s="710"/>
      <c r="Z565" s="710"/>
      <c r="AA565" s="710"/>
      <c r="AB565" s="710"/>
      <c r="AC565" s="710"/>
      <c r="AF565" s="641"/>
    </row>
    <row r="566" spans="1:32" ht="18" customHeight="1" thickTop="1" thickBot="1" x14ac:dyDescent="0.25">
      <c r="A566" s="40" t="s">
        <v>869</v>
      </c>
      <c r="B566" s="46">
        <f>IFERROR(Y22*1,"0")+IFERROR(Y23*1,"0")+IFERROR(Y27*1,"0")+IFERROR(Y28*1,"0")+IFERROR(Y29*1,"0")+IFERROR(Y30*1,"0")+IFERROR(Y31*1,"0")</f>
        <v>21.6</v>
      </c>
      <c r="C566" s="46">
        <f>IFERROR(Y37*1,"0")+IFERROR(Y38*1,"0")+IFERROR(Y39*1,"0")+IFERROR(Y40*1,"0")+IFERROR(Y41*1,"0")</f>
        <v>0</v>
      </c>
      <c r="D566" s="46">
        <f>IFERROR(Y47*1,"0")+IFERROR(Y48*1,"0")+IFERROR(Y49*1,"0")+IFERROR(Y50*1,"0")</f>
        <v>54.300000000000004</v>
      </c>
      <c r="E566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504</v>
      </c>
      <c r="F566" s="46">
        <f>IFERROR(Y88*1,"0")+IFERROR(Y89*1,"0")+IFERROR(Y90*1,"0")+IFERROR(Y91*1,"0")+IFERROR(Y92*1,"0")+IFERROR(Y96*1,"0")+IFERROR(Y97*1,"0")+IFERROR(Y98*1,"0")+IFERROR(Y99*1,"0")</f>
        <v>319.08000000000004</v>
      </c>
      <c r="G566" s="46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418.79999999999995</v>
      </c>
      <c r="H566" s="46">
        <f>IFERROR(Y134*1,"0")+IFERROR(Y135*1,"0")+IFERROR(Y139*1,"0")+IFERROR(Y140*1,"0")+IFERROR(Y144*1,"0")+IFERROR(Y145*1,"0")</f>
        <v>57.28</v>
      </c>
      <c r="I566" s="46">
        <f>IFERROR(Y150*1,"0")+IFERROR(Y151*1,"0")+IFERROR(Y152*1,"0")+IFERROR(Y153*1,"0")+IFERROR(Y154*1,"0")+IFERROR(Y155*1,"0")+IFERROR(Y159*1,"0")</f>
        <v>0</v>
      </c>
      <c r="J566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568.4</v>
      </c>
      <c r="K566" s="46">
        <f>IFERROR(Y206*1,"0")+IFERROR(Y207*1,"0")+IFERROR(Y208*1,"0")+IFERROR(Y209*1,"0")+IFERROR(Y210*1,"0")+IFERROR(Y211*1,"0")+IFERROR(Y212*1,"0")</f>
        <v>0</v>
      </c>
      <c r="L566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436.71999999999997</v>
      </c>
      <c r="M566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1218.0000000000002</v>
      </c>
      <c r="N566" s="641"/>
      <c r="O566" s="46">
        <f>IFERROR(Y304*1,"0")+IFERROR(Y305*1,"0")+IFERROR(Y306*1,"0")+IFERROR(Y307*1,"0")+IFERROR(Y308*1,"0")+IFERROR(Y309*1,"0")+IFERROR(Y310*1,"0")+IFERROR(Y314*1,"0")+IFERROR(Y318*1,"0")+IFERROR(Y322*1,"0")</f>
        <v>77.600000000000009</v>
      </c>
      <c r="P566" s="46">
        <f>IFERROR(Y327*1,"0")+IFERROR(Y328*1,"0")+IFERROR(Y329*1,"0")+IFERROR(Y330*1,"0")+IFERROR(Y331*1,"0")+IFERROR(Y332*1,"0")</f>
        <v>0</v>
      </c>
      <c r="Q566" s="46">
        <f>IFERROR(Y337*1,"0")+IFERROR(Y338*1,"0")+IFERROR(Y339*1,"0")</f>
        <v>62.399999999999991</v>
      </c>
      <c r="R566" s="46">
        <f>IFERROR(Y344*1,"0")+IFERROR(Y345*1,"0")+IFERROR(Y346*1,"0")+IFERROR(Y347*1,"0")+IFERROR(Y348*1,"0")+IFERROR(Y352*1,"0")+IFERROR(Y353*1,"0")</f>
        <v>0</v>
      </c>
      <c r="S566" s="46">
        <f>IFERROR(Y358*1,"0")+IFERROR(Y359*1,"0")+IFERROR(Y360*1,"0")</f>
        <v>15.6</v>
      </c>
      <c r="T566" s="46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538.20000000000005</v>
      </c>
      <c r="U566" s="46">
        <f>IFERROR(Y418*1,"0")+IFERROR(Y419*1,"0")</f>
        <v>0</v>
      </c>
      <c r="V566" s="46">
        <f>IFERROR(Y424*1,"0")+IFERROR(Y425*1,"0")+IFERROR(Y426*1,"0")</f>
        <v>37.799999999999997</v>
      </c>
      <c r="W566" s="46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2334</v>
      </c>
      <c r="X566" s="46">
        <f>IFERROR(Y461*1,"0")+IFERROR(Y462*1,"0")+IFERROR(Y466*1,"0")+IFERROR(Y470*1,"0")+IFERROR(Y471*1,"0")+IFERROR(Y472*1,"0")</f>
        <v>540</v>
      </c>
      <c r="Y566" s="46">
        <f>IFERROR(Y478*1,"0")+IFERROR(Y479*1,"0")+IFERROR(Y480*1,"0")+IFERROR(Y481*1,"0")+IFERROR(Y482*1,"0")+IFERROR(Y483*1,"0")+IFERROR(Y487*1,"0")+IFERROR(Y488*1,"0")</f>
        <v>0</v>
      </c>
      <c r="Z566" s="46">
        <f>IFERROR(Y493*1,"0")+IFERROR(Y497*1,"0")+IFERROR(Y498*1,"0")+IFERROR(Y499*1,"0")</f>
        <v>0</v>
      </c>
      <c r="AA566" s="46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1480.8000000000002</v>
      </c>
      <c r="AB566" s="46">
        <f>IFERROR(Y535*1,"0")+IFERROR(Y539*1,"0")+IFERROR(Y543*1,"0")+IFERROR(Y547*1,"0")+IFERROR(Y548*1,"0")</f>
        <v>18</v>
      </c>
      <c r="AC566" s="46">
        <f>IFERROR(Y553*1,"0")</f>
        <v>0</v>
      </c>
      <c r="AF566" s="641"/>
    </row>
  </sheetData>
  <sheetProtection algorithmName="SHA-512" hashValue="coXbeZf1sK3NMelxCAJcdDjix/Kob82rwl7htMyuktOrmwBfDvQMLQHpJyA2dXJSe7/7/TNipVdbFIwCOUtpJA==" saltValue="jbj+lW8bdAsDxdhKz0McOg==" spinCount="100000" sheet="1" objects="1" scenarios="1" sort="0" autoFilter="0" pivotTables="0"/>
  <autoFilter ref="A18:AF56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95,40"/>
        <filter val="1 794,00"/>
        <filter val="1,11"/>
        <filter val="1,15"/>
        <filter val="10,00"/>
        <filter val="10,44"/>
        <filter val="11,11"/>
        <filter val="11,74"/>
        <filter val="112,00"/>
        <filter val="113,00"/>
        <filter val="119,60"/>
        <filter val="120,00"/>
        <filter val="120,80"/>
        <filter val="122,00"/>
        <filter val="139,17"/>
        <filter val="15"/>
        <filter val="15,00"/>
        <filter val="15,24"/>
        <filter val="158,00"/>
        <filter val="160,00"/>
        <filter val="17,00"/>
        <filter val="17,14"/>
        <filter val="171,52"/>
        <filter val="185,00"/>
        <filter val="19,00"/>
        <filter val="191,00"/>
        <filter val="195,00"/>
        <filter val="2,31"/>
        <filter val="2,38"/>
        <filter val="20,00"/>
        <filter val="200,00"/>
        <filter val="201,00"/>
        <filter val="21,00"/>
        <filter val="22,00"/>
        <filter val="221,00"/>
        <filter val="223,00"/>
        <filter val="23,00"/>
        <filter val="24,00"/>
        <filter val="240,00"/>
        <filter val="25,00"/>
        <filter val="255,00"/>
        <filter val="260,00"/>
        <filter val="266,02"/>
        <filter val="27,00"/>
        <filter val="27,90"/>
        <filter val="28,02"/>
        <filter val="28,27"/>
        <filter val="29,00"/>
        <filter val="3,00"/>
        <filter val="3,17"/>
        <filter val="3,33"/>
        <filter val="30,00"/>
        <filter val="308,00"/>
        <filter val="31,00"/>
        <filter val="310,00"/>
        <filter val="32,00"/>
        <filter val="322,00"/>
        <filter val="326,00"/>
        <filter val="34,00"/>
        <filter val="35,85"/>
        <filter val="352,00"/>
        <filter val="36,00"/>
        <filter val="36,91"/>
        <filter val="378,00"/>
        <filter val="39,00"/>
        <filter val="4,00"/>
        <filter val="4,50"/>
        <filter val="4,55"/>
        <filter val="40,00"/>
        <filter val="420,00"/>
        <filter val="424,00"/>
        <filter val="442,00"/>
        <filter val="449,00"/>
        <filter val="46,00"/>
        <filter val="48,00"/>
        <filter val="5,00"/>
        <filter val="5,93"/>
        <filter val="50,00"/>
        <filter val="52,00"/>
        <filter val="531,00"/>
        <filter val="540,00"/>
        <filter val="55,00"/>
        <filter val="56,29"/>
        <filter val="57,00"/>
        <filter val="6,00"/>
        <filter val="6,04"/>
        <filter val="60,00"/>
        <filter val="63,00"/>
        <filter val="630,00"/>
        <filter val="7,13"/>
        <filter val="7,19"/>
        <filter val="7,92"/>
        <filter val="70,00"/>
        <filter val="71,00"/>
        <filter val="71,59"/>
        <filter val="72,00"/>
        <filter val="73,70"/>
        <filter val="74,00"/>
        <filter val="76,00"/>
        <filter val="77,00"/>
        <filter val="8 479,00"/>
        <filter val="8 975,66"/>
        <filter val="8,00"/>
        <filter val="8,51"/>
        <filter val="80,00"/>
        <filter val="82,00"/>
        <filter val="83,71"/>
        <filter val="850,00"/>
        <filter val="9 350,66"/>
        <filter val="9,00"/>
        <filter val="9,23"/>
        <filter val="90,00"/>
        <filter val="94,00"/>
        <filter val="98,00"/>
      </filters>
    </filterColumn>
    <filterColumn colId="29" showButton="0"/>
    <filterColumn colId="30" showButton="0"/>
  </autoFilter>
  <mergeCells count="999">
    <mergeCell ref="C564:C565"/>
    <mergeCell ref="D286:E286"/>
    <mergeCell ref="D563:J563"/>
    <mergeCell ref="P501:V501"/>
    <mergeCell ref="A500:O501"/>
    <mergeCell ref="D291:E291"/>
    <mergeCell ref="P60:T60"/>
    <mergeCell ref="A103:Z103"/>
    <mergeCell ref="D239:E239"/>
    <mergeCell ref="P74:V74"/>
    <mergeCell ref="A73:O74"/>
    <mergeCell ref="P372:V372"/>
    <mergeCell ref="P385:T385"/>
    <mergeCell ref="D331:E331"/>
    <mergeCell ref="P124:T124"/>
    <mergeCell ref="D344:E344"/>
    <mergeCell ref="A213:O214"/>
    <mergeCell ref="D471:E471"/>
    <mergeCell ref="D564:D565"/>
    <mergeCell ref="P360:T360"/>
    <mergeCell ref="A8:C8"/>
    <mergeCell ref="D268:E268"/>
    <mergeCell ref="P151:T151"/>
    <mergeCell ref="D97:E97"/>
    <mergeCell ref="P449:T449"/>
    <mergeCell ref="A197:O198"/>
    <mergeCell ref="A128:Z128"/>
    <mergeCell ref="A10:C10"/>
    <mergeCell ref="D553:E553"/>
    <mergeCell ref="A364:Z364"/>
    <mergeCell ref="P361:V361"/>
    <mergeCell ref="P311:V311"/>
    <mergeCell ref="A21:Z21"/>
    <mergeCell ref="D184:E184"/>
    <mergeCell ref="P505:T505"/>
    <mergeCell ref="D192:E192"/>
    <mergeCell ref="P296:V296"/>
    <mergeCell ref="P507:T507"/>
    <mergeCell ref="P338:T338"/>
    <mergeCell ref="I564:I565"/>
    <mergeCell ref="P444:T444"/>
    <mergeCell ref="D50:E50"/>
    <mergeCell ref="V12:W12"/>
    <mergeCell ref="D191:E191"/>
    <mergeCell ref="D433:E433"/>
    <mergeCell ref="D262:E262"/>
    <mergeCell ref="P368:T368"/>
    <mergeCell ref="P43:V43"/>
    <mergeCell ref="D57:E57"/>
    <mergeCell ref="D17:E18"/>
    <mergeCell ref="D359:E359"/>
    <mergeCell ref="D347:E347"/>
    <mergeCell ref="P157:V157"/>
    <mergeCell ref="P159:T159"/>
    <mergeCell ref="D140:E140"/>
    <mergeCell ref="A138:Z138"/>
    <mergeCell ref="A12:M12"/>
    <mergeCell ref="P130:V130"/>
    <mergeCell ref="P97:T97"/>
    <mergeCell ref="Y17:Y18"/>
    <mergeCell ref="U17:V17"/>
    <mergeCell ref="D293:E293"/>
    <mergeCell ref="P58:T58"/>
    <mergeCell ref="D110:E110"/>
    <mergeCell ref="X17:X18"/>
    <mergeCell ref="Q5:R5"/>
    <mergeCell ref="D478:E478"/>
    <mergeCell ref="P435:T435"/>
    <mergeCell ref="P291:T291"/>
    <mergeCell ref="D278:E278"/>
    <mergeCell ref="D405:E405"/>
    <mergeCell ref="P288:T288"/>
    <mergeCell ref="D234:E234"/>
    <mergeCell ref="A408:O409"/>
    <mergeCell ref="D107:E107"/>
    <mergeCell ref="A24:O25"/>
    <mergeCell ref="P70:T70"/>
    <mergeCell ref="P434:T434"/>
    <mergeCell ref="P263:T263"/>
    <mergeCell ref="D244:E244"/>
    <mergeCell ref="P228:T228"/>
    <mergeCell ref="D171:E171"/>
    <mergeCell ref="P293:T293"/>
    <mergeCell ref="D407:E407"/>
    <mergeCell ref="Q6:R6"/>
    <mergeCell ref="P200:T200"/>
    <mergeCell ref="P134:T134"/>
    <mergeCell ref="P243:T243"/>
    <mergeCell ref="P436:T436"/>
    <mergeCell ref="D547:E547"/>
    <mergeCell ref="P262:T262"/>
    <mergeCell ref="D105:E105"/>
    <mergeCell ref="A476:Z476"/>
    <mergeCell ref="P72:T72"/>
    <mergeCell ref="D49:E49"/>
    <mergeCell ref="N17:N18"/>
    <mergeCell ref="P370:T370"/>
    <mergeCell ref="D242:E242"/>
    <mergeCell ref="F17:F18"/>
    <mergeCell ref="P497:T497"/>
    <mergeCell ref="P499:T499"/>
    <mergeCell ref="P292:T292"/>
    <mergeCell ref="P528:T528"/>
    <mergeCell ref="A204:Z204"/>
    <mergeCell ref="D196:E196"/>
    <mergeCell ref="A126:O127"/>
    <mergeCell ref="P294:T294"/>
    <mergeCell ref="P219:V219"/>
    <mergeCell ref="A35:Z35"/>
    <mergeCell ref="P510:T510"/>
    <mergeCell ref="A504:Z504"/>
    <mergeCell ref="P544:V544"/>
    <mergeCell ref="P427:V427"/>
    <mergeCell ref="F5:G5"/>
    <mergeCell ref="P169:V169"/>
    <mergeCell ref="P467:V467"/>
    <mergeCell ref="D455:E455"/>
    <mergeCell ref="P509:T509"/>
    <mergeCell ref="P119:V119"/>
    <mergeCell ref="P67:T67"/>
    <mergeCell ref="P186:T186"/>
    <mergeCell ref="P253:T253"/>
    <mergeCell ref="D392:E392"/>
    <mergeCell ref="D221:E221"/>
    <mergeCell ref="A465:Z465"/>
    <mergeCell ref="P82:T82"/>
    <mergeCell ref="V11:W11"/>
    <mergeCell ref="P57:T57"/>
    <mergeCell ref="P367:T367"/>
    <mergeCell ref="D165:E165"/>
    <mergeCell ref="D152:E152"/>
    <mergeCell ref="A136:O137"/>
    <mergeCell ref="D394:E394"/>
    <mergeCell ref="D450:E450"/>
    <mergeCell ref="D279:E279"/>
    <mergeCell ref="D223:E223"/>
    <mergeCell ref="P181:T181"/>
    <mergeCell ref="W564:W565"/>
    <mergeCell ref="M564:M565"/>
    <mergeCell ref="A544:O545"/>
    <mergeCell ref="O564:O565"/>
    <mergeCell ref="D528:E528"/>
    <mergeCell ref="D310:E310"/>
    <mergeCell ref="AD17:AF18"/>
    <mergeCell ref="P142:V142"/>
    <mergeCell ref="P403:V403"/>
    <mergeCell ref="P166:T166"/>
    <mergeCell ref="A132:Z132"/>
    <mergeCell ref="A430:Z430"/>
    <mergeCell ref="D76:E76"/>
    <mergeCell ref="D29:E29"/>
    <mergeCell ref="D23:E23"/>
    <mergeCell ref="P344:T344"/>
    <mergeCell ref="P300:V300"/>
    <mergeCell ref="A20:Z20"/>
    <mergeCell ref="D252:E252"/>
    <mergeCell ref="P123:T123"/>
    <mergeCell ref="P110:T110"/>
    <mergeCell ref="P137:V137"/>
    <mergeCell ref="A258:O259"/>
    <mergeCell ref="P197:V197"/>
    <mergeCell ref="P2:W3"/>
    <mergeCell ref="A269:O270"/>
    <mergeCell ref="P365:T365"/>
    <mergeCell ref="P298:T298"/>
    <mergeCell ref="D437:E437"/>
    <mergeCell ref="P369:T369"/>
    <mergeCell ref="D508:E508"/>
    <mergeCell ref="P347:T347"/>
    <mergeCell ref="D539:E539"/>
    <mergeCell ref="P418:T418"/>
    <mergeCell ref="D241:E241"/>
    <mergeCell ref="D228:E228"/>
    <mergeCell ref="P412:T412"/>
    <mergeCell ref="P218:V218"/>
    <mergeCell ref="D526:E526"/>
    <mergeCell ref="P312:V312"/>
    <mergeCell ref="A170:Z170"/>
    <mergeCell ref="D10:E10"/>
    <mergeCell ref="P135:T135"/>
    <mergeCell ref="P191:T191"/>
    <mergeCell ref="F10:G10"/>
    <mergeCell ref="D305:E305"/>
    <mergeCell ref="D243:E243"/>
    <mergeCell ref="D99:E99"/>
    <mergeCell ref="P556:V556"/>
    <mergeCell ref="P174:V174"/>
    <mergeCell ref="P494:V494"/>
    <mergeCell ref="P52:V52"/>
    <mergeCell ref="P350:V350"/>
    <mergeCell ref="A297:Z297"/>
    <mergeCell ref="A175:Z175"/>
    <mergeCell ref="A533:Z533"/>
    <mergeCell ref="P196:T196"/>
    <mergeCell ref="D177:E177"/>
    <mergeCell ref="A484:O485"/>
    <mergeCell ref="P414:V414"/>
    <mergeCell ref="P281:V281"/>
    <mergeCell ref="D226:E226"/>
    <mergeCell ref="A404:Z404"/>
    <mergeCell ref="P183:T183"/>
    <mergeCell ref="D462:E462"/>
    <mergeCell ref="D164:E164"/>
    <mergeCell ref="P62:T62"/>
    <mergeCell ref="P78:V78"/>
    <mergeCell ref="D247:E247"/>
    <mergeCell ref="P495:V495"/>
    <mergeCell ref="A494:O495"/>
    <mergeCell ref="A534:Z534"/>
    <mergeCell ref="Y563:Z563"/>
    <mergeCell ref="P176:T176"/>
    <mergeCell ref="A554:O555"/>
    <mergeCell ref="P247:T247"/>
    <mergeCell ref="P241:T241"/>
    <mergeCell ref="P41:T41"/>
    <mergeCell ref="P483:T483"/>
    <mergeCell ref="D155:E155"/>
    <mergeCell ref="D22:E22"/>
    <mergeCell ref="A333:O334"/>
    <mergeCell ref="P470:T470"/>
    <mergeCell ref="D385:E385"/>
    <mergeCell ref="P255:V255"/>
    <mergeCell ref="P178:T178"/>
    <mergeCell ref="P276:T276"/>
    <mergeCell ref="P547:T547"/>
    <mergeCell ref="D257:E257"/>
    <mergeCell ref="P105:T105"/>
    <mergeCell ref="A64:O65"/>
    <mergeCell ref="D151:E151"/>
    <mergeCell ref="D449:E449"/>
    <mergeCell ref="P428:V428"/>
    <mergeCell ref="P49:T49"/>
    <mergeCell ref="A551:Z551"/>
    <mergeCell ref="A9:C9"/>
    <mergeCell ref="P125:T125"/>
    <mergeCell ref="D58:E58"/>
    <mergeCell ref="P112:T112"/>
    <mergeCell ref="A302:Z302"/>
    <mergeCell ref="A236:O237"/>
    <mergeCell ref="D294:E294"/>
    <mergeCell ref="P348:T348"/>
    <mergeCell ref="A113:O114"/>
    <mergeCell ref="D231:E231"/>
    <mergeCell ref="P32:V32"/>
    <mergeCell ref="Q13:R13"/>
    <mergeCell ref="D318:E318"/>
    <mergeCell ref="A220:Z220"/>
    <mergeCell ref="P139:T139"/>
    <mergeCell ref="P278:T278"/>
    <mergeCell ref="D150:E150"/>
    <mergeCell ref="P107:T107"/>
    <mergeCell ref="P194:V194"/>
    <mergeCell ref="A75:Z75"/>
    <mergeCell ref="A317:Z317"/>
    <mergeCell ref="A168:O169"/>
    <mergeCell ref="M17:M18"/>
    <mergeCell ref="O17:O18"/>
    <mergeCell ref="V564:V565"/>
    <mergeCell ref="X564:X565"/>
    <mergeCell ref="D154:E154"/>
    <mergeCell ref="D225:E225"/>
    <mergeCell ref="P111:T111"/>
    <mergeCell ref="D461:E461"/>
    <mergeCell ref="P61:T61"/>
    <mergeCell ref="D200:E200"/>
    <mergeCell ref="A51:O52"/>
    <mergeCell ref="P359:T359"/>
    <mergeCell ref="D436:E436"/>
    <mergeCell ref="D292:E292"/>
    <mergeCell ref="P346:T346"/>
    <mergeCell ref="D227:E227"/>
    <mergeCell ref="A463:O464"/>
    <mergeCell ref="D525:E525"/>
    <mergeCell ref="D529:E529"/>
    <mergeCell ref="P537:V537"/>
    <mergeCell ref="D358:E358"/>
    <mergeCell ref="A460:Z460"/>
    <mergeCell ref="A454:Z454"/>
    <mergeCell ref="A556:O561"/>
    <mergeCell ref="P474:V474"/>
    <mergeCell ref="A391:Z391"/>
    <mergeCell ref="H5:M5"/>
    <mergeCell ref="P473:V473"/>
    <mergeCell ref="P98:T98"/>
    <mergeCell ref="D212:E212"/>
    <mergeCell ref="D439:E439"/>
    <mergeCell ref="P225:T225"/>
    <mergeCell ref="D510:E510"/>
    <mergeCell ref="D6:M6"/>
    <mergeCell ref="P461:T461"/>
    <mergeCell ref="D304:E304"/>
    <mergeCell ref="D83:E83"/>
    <mergeCell ref="P398:T398"/>
    <mergeCell ref="P227:T227"/>
    <mergeCell ref="D368:E368"/>
    <mergeCell ref="D506:E506"/>
    <mergeCell ref="P106:T106"/>
    <mergeCell ref="P177:T177"/>
    <mergeCell ref="D481:E481"/>
    <mergeCell ref="P226:T226"/>
    <mergeCell ref="D207:E207"/>
    <mergeCell ref="P164:T164"/>
    <mergeCell ref="P462:T462"/>
    <mergeCell ref="P120:V120"/>
    <mergeCell ref="D299:E299"/>
    <mergeCell ref="V6:W9"/>
    <mergeCell ref="P38:T38"/>
    <mergeCell ref="D497:E497"/>
    <mergeCell ref="P109:T109"/>
    <mergeCell ref="D435:E435"/>
    <mergeCell ref="P274:T274"/>
    <mergeCell ref="D413:E413"/>
    <mergeCell ref="P345:T345"/>
    <mergeCell ref="D217:E217"/>
    <mergeCell ref="D186:E186"/>
    <mergeCell ref="A93:O94"/>
    <mergeCell ref="P222:T222"/>
    <mergeCell ref="P22:T22"/>
    <mergeCell ref="P314:T314"/>
    <mergeCell ref="P40:T40"/>
    <mergeCell ref="P236:V236"/>
    <mergeCell ref="P334:V334"/>
    <mergeCell ref="P257:T257"/>
    <mergeCell ref="P173:V173"/>
    <mergeCell ref="A54:Z54"/>
    <mergeCell ref="P100:V100"/>
    <mergeCell ref="P265:V265"/>
    <mergeCell ref="P458:V458"/>
    <mergeCell ref="P94:V94"/>
    <mergeCell ref="AC17:AC18"/>
    <mergeCell ref="P101:V101"/>
    <mergeCell ref="P279:T279"/>
    <mergeCell ref="D418:E418"/>
    <mergeCell ref="P472:T472"/>
    <mergeCell ref="H564:H565"/>
    <mergeCell ref="A491:Z491"/>
    <mergeCell ref="D393:E393"/>
    <mergeCell ref="P108:T108"/>
    <mergeCell ref="D89:E89"/>
    <mergeCell ref="P147:V147"/>
    <mergeCell ref="A199:Z199"/>
    <mergeCell ref="P251:T251"/>
    <mergeCell ref="P512:T512"/>
    <mergeCell ref="P487:T487"/>
    <mergeCell ref="D153:E153"/>
    <mergeCell ref="P318:T318"/>
    <mergeCell ref="P521:V521"/>
    <mergeCell ref="Z17:Z18"/>
    <mergeCell ref="AB17:AB18"/>
    <mergeCell ref="E564:E565"/>
    <mergeCell ref="G564:G565"/>
    <mergeCell ref="A448:Z448"/>
    <mergeCell ref="P550:V550"/>
    <mergeCell ref="Y564:Y565"/>
    <mergeCell ref="P341:V341"/>
    <mergeCell ref="P468:V468"/>
    <mergeCell ref="D39:E39"/>
    <mergeCell ref="P535:T535"/>
    <mergeCell ref="P316:V316"/>
    <mergeCell ref="P212:T212"/>
    <mergeCell ref="AA17:AA18"/>
    <mergeCell ref="H10:M10"/>
    <mergeCell ref="P237:V237"/>
    <mergeCell ref="D367:E367"/>
    <mergeCell ref="D512:E512"/>
    <mergeCell ref="P525:T525"/>
    <mergeCell ref="D370:E370"/>
    <mergeCell ref="A100:O101"/>
    <mergeCell ref="D222:E222"/>
    <mergeCell ref="P399:T399"/>
    <mergeCell ref="G17:G18"/>
    <mergeCell ref="P526:T526"/>
    <mergeCell ref="A323:O324"/>
    <mergeCell ref="D314:E314"/>
    <mergeCell ref="A143:Z143"/>
    <mergeCell ref="D159:E159"/>
    <mergeCell ref="P382:V382"/>
    <mergeCell ref="A532:Z532"/>
    <mergeCell ref="P421:V421"/>
    <mergeCell ref="A271:Z271"/>
    <mergeCell ref="P190:T190"/>
    <mergeCell ref="D434:E434"/>
    <mergeCell ref="P488:T488"/>
    <mergeCell ref="P478:T478"/>
    <mergeCell ref="A402:O403"/>
    <mergeCell ref="D386:E386"/>
    <mergeCell ref="P307:T307"/>
    <mergeCell ref="D483:E483"/>
    <mergeCell ref="A520:O521"/>
    <mergeCell ref="D206:E206"/>
    <mergeCell ref="A66:Z66"/>
    <mergeCell ref="D298:E298"/>
    <mergeCell ref="D181:E181"/>
    <mergeCell ref="A158:Z158"/>
    <mergeCell ref="P91:T91"/>
    <mergeCell ref="A351:Z351"/>
    <mergeCell ref="A457:O458"/>
    <mergeCell ref="P327:T327"/>
    <mergeCell ref="D273:E273"/>
    <mergeCell ref="A452:O453"/>
    <mergeCell ref="D288:E288"/>
    <mergeCell ref="P71:T71"/>
    <mergeCell ref="D123:E123"/>
    <mergeCell ref="P160:V160"/>
    <mergeCell ref="P83:T83"/>
    <mergeCell ref="H17:H18"/>
    <mergeCell ref="P332:T332"/>
    <mergeCell ref="P452:V452"/>
    <mergeCell ref="P388:T388"/>
    <mergeCell ref="P217:T217"/>
    <mergeCell ref="P27:T27"/>
    <mergeCell ref="P154:T154"/>
    <mergeCell ref="A84:O85"/>
    <mergeCell ref="P42:V42"/>
    <mergeCell ref="P59:T59"/>
    <mergeCell ref="P48:T48"/>
    <mergeCell ref="P131:V131"/>
    <mergeCell ref="P187:V187"/>
    <mergeCell ref="P258:V258"/>
    <mergeCell ref="P439:T439"/>
    <mergeCell ref="P433:T433"/>
    <mergeCell ref="D276:E276"/>
    <mergeCell ref="P37:T37"/>
    <mergeCell ref="A78:O79"/>
    <mergeCell ref="A42:O43"/>
    <mergeCell ref="F564:F565"/>
    <mergeCell ref="P564:P565"/>
    <mergeCell ref="P304:T304"/>
    <mergeCell ref="D285:E285"/>
    <mergeCell ref="D412:E412"/>
    <mergeCell ref="D176:E176"/>
    <mergeCell ref="P235:T235"/>
    <mergeCell ref="P506:T506"/>
    <mergeCell ref="P306:T306"/>
    <mergeCell ref="P213:V213"/>
    <mergeCell ref="P249:V249"/>
    <mergeCell ref="P520:V520"/>
    <mergeCell ref="P207:T207"/>
    <mergeCell ref="P299:T299"/>
    <mergeCell ref="P457:V457"/>
    <mergeCell ref="P393:T393"/>
    <mergeCell ref="P549:V549"/>
    <mergeCell ref="P232:T232"/>
    <mergeCell ref="P330:T330"/>
    <mergeCell ref="A546:Z546"/>
    <mergeCell ref="P373:V373"/>
    <mergeCell ref="P202:V202"/>
    <mergeCell ref="P380:T380"/>
    <mergeCell ref="P500:V500"/>
    <mergeCell ref="A13:M13"/>
    <mergeCell ref="P536:V536"/>
    <mergeCell ref="A417:Z417"/>
    <mergeCell ref="P79:V79"/>
    <mergeCell ref="P73:V73"/>
    <mergeCell ref="P315:V315"/>
    <mergeCell ref="D61:E61"/>
    <mergeCell ref="A256:Z256"/>
    <mergeCell ref="A15:M15"/>
    <mergeCell ref="D48:E48"/>
    <mergeCell ref="A530:O531"/>
    <mergeCell ref="D346:E346"/>
    <mergeCell ref="P229:T229"/>
    <mergeCell ref="A133:Z133"/>
    <mergeCell ref="P77:T77"/>
    <mergeCell ref="P375:T375"/>
    <mergeCell ref="P355:V355"/>
    <mergeCell ref="D487:E487"/>
    <mergeCell ref="A14:M14"/>
    <mergeCell ref="I17:I18"/>
    <mergeCell ref="D211:E211"/>
    <mergeCell ref="P466:T466"/>
    <mergeCell ref="A486:Z486"/>
    <mergeCell ref="P531:V531"/>
    <mergeCell ref="Q564:Q565"/>
    <mergeCell ref="S564:S565"/>
    <mergeCell ref="U564:U565"/>
    <mergeCell ref="P451:T451"/>
    <mergeCell ref="A203:Z203"/>
    <mergeCell ref="D68:E68"/>
    <mergeCell ref="P245:T245"/>
    <mergeCell ref="P126:V126"/>
    <mergeCell ref="P543:T543"/>
    <mergeCell ref="A440:O441"/>
    <mergeCell ref="D424:E424"/>
    <mergeCell ref="P224:T224"/>
    <mergeCell ref="P322:T322"/>
    <mergeCell ref="P211:T211"/>
    <mergeCell ref="D399:E399"/>
    <mergeCell ref="A141:O142"/>
    <mergeCell ref="P89:T89"/>
    <mergeCell ref="P309:T309"/>
    <mergeCell ref="D178:E178"/>
    <mergeCell ref="D172:E172"/>
    <mergeCell ref="A156:O157"/>
    <mergeCell ref="P88:T88"/>
    <mergeCell ref="P153:T153"/>
    <mergeCell ref="P511:T511"/>
    <mergeCell ref="T6:U9"/>
    <mergeCell ref="P319:V319"/>
    <mergeCell ref="Q10:R10"/>
    <mergeCell ref="A442:Z442"/>
    <mergeCell ref="D185:E185"/>
    <mergeCell ref="D41:E41"/>
    <mergeCell ref="A429:Z429"/>
    <mergeCell ref="A315:O316"/>
    <mergeCell ref="D277:E277"/>
    <mergeCell ref="P25:V25"/>
    <mergeCell ref="P85:V85"/>
    <mergeCell ref="P383:V383"/>
    <mergeCell ref="D371:E371"/>
    <mergeCell ref="P84:V84"/>
    <mergeCell ref="P320:V320"/>
    <mergeCell ref="P387:T387"/>
    <mergeCell ref="D59:E59"/>
    <mergeCell ref="A261:Z261"/>
    <mergeCell ref="P179:T179"/>
    <mergeCell ref="D125:E125"/>
    <mergeCell ref="J9:M9"/>
    <mergeCell ref="D283:E283"/>
    <mergeCell ref="D112:E112"/>
    <mergeCell ref="A356:Z356"/>
    <mergeCell ref="T5:U5"/>
    <mergeCell ref="P76:T76"/>
    <mergeCell ref="D190:E190"/>
    <mergeCell ref="D246:E246"/>
    <mergeCell ref="V5:W5"/>
    <mergeCell ref="D488:E488"/>
    <mergeCell ref="D40:E40"/>
    <mergeCell ref="AB563:AC563"/>
    <mergeCell ref="D338:E338"/>
    <mergeCell ref="A477:Z477"/>
    <mergeCell ref="A295:O296"/>
    <mergeCell ref="D233:E233"/>
    <mergeCell ref="D111:E111"/>
    <mergeCell ref="Q8:R8"/>
    <mergeCell ref="P69:T69"/>
    <mergeCell ref="D183:E183"/>
    <mergeCell ref="P140:T140"/>
    <mergeCell ref="P438:T438"/>
    <mergeCell ref="D444:E444"/>
    <mergeCell ref="D419:E419"/>
    <mergeCell ref="P267:T267"/>
    <mergeCell ref="D275:E275"/>
    <mergeCell ref="D104:E104"/>
    <mergeCell ref="P425:T425"/>
    <mergeCell ref="A19:Z19"/>
    <mergeCell ref="P310:T310"/>
    <mergeCell ref="D182:E182"/>
    <mergeCell ref="A489:O490"/>
    <mergeCell ref="D480:E480"/>
    <mergeCell ref="A160:O161"/>
    <mergeCell ref="D109:E109"/>
    <mergeCell ref="P424:T424"/>
    <mergeCell ref="D345:E345"/>
    <mergeCell ref="A280:O281"/>
    <mergeCell ref="P254:V254"/>
    <mergeCell ref="A349:O350"/>
    <mergeCell ref="P447:V447"/>
    <mergeCell ref="P389:V389"/>
    <mergeCell ref="D348:E348"/>
    <mergeCell ref="D62:E62"/>
    <mergeCell ref="D72:E72"/>
    <mergeCell ref="A95:Z95"/>
    <mergeCell ref="A26:Z26"/>
    <mergeCell ref="P230:T230"/>
    <mergeCell ref="A325:Z325"/>
    <mergeCell ref="P96:T96"/>
    <mergeCell ref="P90:T90"/>
    <mergeCell ref="A469:Z469"/>
    <mergeCell ref="Z564:Z565"/>
    <mergeCell ref="P353:T353"/>
    <mergeCell ref="R564:R565"/>
    <mergeCell ref="AB564:AB565"/>
    <mergeCell ref="T564:T565"/>
    <mergeCell ref="P440:V440"/>
    <mergeCell ref="A121:Z121"/>
    <mergeCell ref="A420:O421"/>
    <mergeCell ref="D507:E507"/>
    <mergeCell ref="A357:Z357"/>
    <mergeCell ref="P146:V146"/>
    <mergeCell ref="D330:E330"/>
    <mergeCell ref="P540:V540"/>
    <mergeCell ref="P305:T305"/>
    <mergeCell ref="P515:V515"/>
    <mergeCell ref="A372:O373"/>
    <mergeCell ref="A201:O202"/>
    <mergeCell ref="P513:T513"/>
    <mergeCell ref="A162:Z162"/>
    <mergeCell ref="P408:V408"/>
    <mergeCell ref="P208:T208"/>
    <mergeCell ref="P450:T450"/>
    <mergeCell ref="D456:E456"/>
    <mergeCell ref="D352:E352"/>
    <mergeCell ref="D9:E9"/>
    <mergeCell ref="D118:E118"/>
    <mergeCell ref="A354:O355"/>
    <mergeCell ref="F9:G9"/>
    <mergeCell ref="A254:O255"/>
    <mergeCell ref="D167:E167"/>
    <mergeCell ref="A248:O249"/>
    <mergeCell ref="P289:T289"/>
    <mergeCell ref="D232:E232"/>
    <mergeCell ref="P239:T239"/>
    <mergeCell ref="P68:T68"/>
    <mergeCell ref="D38:E38"/>
    <mergeCell ref="A44:Z44"/>
    <mergeCell ref="D63:E63"/>
    <mergeCell ref="D96:E96"/>
    <mergeCell ref="D27:E27"/>
    <mergeCell ref="P15:T16"/>
    <mergeCell ref="D116:E116"/>
    <mergeCell ref="D91:E91"/>
    <mergeCell ref="P23:T23"/>
    <mergeCell ref="A335:Z335"/>
    <mergeCell ref="A340:O341"/>
    <mergeCell ref="D327:E327"/>
    <mergeCell ref="P272:T272"/>
    <mergeCell ref="A5:C5"/>
    <mergeCell ref="D548:E548"/>
    <mergeCell ref="A492:Z492"/>
    <mergeCell ref="A552:Z552"/>
    <mergeCell ref="P406:T406"/>
    <mergeCell ref="P64:V64"/>
    <mergeCell ref="P362:V362"/>
    <mergeCell ref="P51:V51"/>
    <mergeCell ref="D179:E179"/>
    <mergeCell ref="A423:Z423"/>
    <mergeCell ref="P349:V349"/>
    <mergeCell ref="P420:V420"/>
    <mergeCell ref="D337:E337"/>
    <mergeCell ref="D166:E166"/>
    <mergeCell ref="A410:Z410"/>
    <mergeCell ref="A17:A18"/>
    <mergeCell ref="K17:K18"/>
    <mergeCell ref="A189:Z189"/>
    <mergeCell ref="P493:T493"/>
    <mergeCell ref="P371:T371"/>
    <mergeCell ref="C17:C18"/>
    <mergeCell ref="A238:Z238"/>
    <mergeCell ref="D37:E37"/>
    <mergeCell ref="P529:T529"/>
    <mergeCell ref="Q9:R9"/>
    <mergeCell ref="P463:V463"/>
    <mergeCell ref="D451:E451"/>
    <mergeCell ref="A303:Z303"/>
    <mergeCell ref="D322:E322"/>
    <mergeCell ref="P376:T376"/>
    <mergeCell ref="Q11:R11"/>
    <mergeCell ref="A6:C6"/>
    <mergeCell ref="D309:E309"/>
    <mergeCell ref="P415:V415"/>
    <mergeCell ref="P180:T180"/>
    <mergeCell ref="P118:T118"/>
    <mergeCell ref="P167:T167"/>
    <mergeCell ref="D88:E88"/>
    <mergeCell ref="A459:Z459"/>
    <mergeCell ref="P378:T378"/>
    <mergeCell ref="P117:T117"/>
    <mergeCell ref="P55:T55"/>
    <mergeCell ref="P182:T182"/>
    <mergeCell ref="Q12:R12"/>
    <mergeCell ref="D90:E90"/>
    <mergeCell ref="P411:T411"/>
    <mergeCell ref="D388:E388"/>
    <mergeCell ref="A130:O131"/>
    <mergeCell ref="L564:L565"/>
    <mergeCell ref="A319:O320"/>
    <mergeCell ref="A119:O120"/>
    <mergeCell ref="D306:E306"/>
    <mergeCell ref="P456:T456"/>
    <mergeCell ref="D377:E377"/>
    <mergeCell ref="P287:T287"/>
    <mergeCell ref="D135:E135"/>
    <mergeCell ref="P114:V114"/>
    <mergeCell ref="P548:T548"/>
    <mergeCell ref="P523:T523"/>
    <mergeCell ref="P352:T352"/>
    <mergeCell ref="A522:Z522"/>
    <mergeCell ref="A326:Z326"/>
    <mergeCell ref="P301:V301"/>
    <mergeCell ref="P498:T498"/>
    <mergeCell ref="P295:V295"/>
    <mergeCell ref="D235:E235"/>
    <mergeCell ref="P214:V214"/>
    <mergeCell ref="P270:V270"/>
    <mergeCell ref="D517:E517"/>
    <mergeCell ref="P401:T401"/>
    <mergeCell ref="P268:T268"/>
    <mergeCell ref="P339:T339"/>
    <mergeCell ref="AA564:AA565"/>
    <mergeCell ref="D31:E31"/>
    <mergeCell ref="AC564:AC565"/>
    <mergeCell ref="D329:E329"/>
    <mergeCell ref="P479:T479"/>
    <mergeCell ref="D400:E400"/>
    <mergeCell ref="P286:T286"/>
    <mergeCell ref="D229:E229"/>
    <mergeCell ref="D77:E77"/>
    <mergeCell ref="D108:E108"/>
    <mergeCell ref="D375:E375"/>
    <mergeCell ref="D369:E369"/>
    <mergeCell ref="P223:T223"/>
    <mergeCell ref="A540:O541"/>
    <mergeCell ref="P201:V201"/>
    <mergeCell ref="P481:T481"/>
    <mergeCell ref="A467:O468"/>
    <mergeCell ref="P480:T480"/>
    <mergeCell ref="P489:V489"/>
    <mergeCell ref="P354:V354"/>
    <mergeCell ref="P246:T246"/>
    <mergeCell ref="P127:V127"/>
    <mergeCell ref="P198:V198"/>
    <mergeCell ref="A250:Z250"/>
    <mergeCell ref="D1:F1"/>
    <mergeCell ref="P409:V409"/>
    <mergeCell ref="J17:J18"/>
    <mergeCell ref="D82:E82"/>
    <mergeCell ref="L17:L18"/>
    <mergeCell ref="A389:O390"/>
    <mergeCell ref="P555:V555"/>
    <mergeCell ref="D240:E240"/>
    <mergeCell ref="D511:E511"/>
    <mergeCell ref="P490:V490"/>
    <mergeCell ref="P426:T426"/>
    <mergeCell ref="A542:Z542"/>
    <mergeCell ref="A342:Z342"/>
    <mergeCell ref="A336:Z336"/>
    <mergeCell ref="P192:T192"/>
    <mergeCell ref="A115:Z115"/>
    <mergeCell ref="A414:O415"/>
    <mergeCell ref="P284:T284"/>
    <mergeCell ref="A102:Z102"/>
    <mergeCell ref="P17:T18"/>
    <mergeCell ref="P323:V323"/>
    <mergeCell ref="D523:E523"/>
    <mergeCell ref="A148:Z148"/>
    <mergeCell ref="P129:T129"/>
    <mergeCell ref="P47:T47"/>
    <mergeCell ref="P63:T63"/>
    <mergeCell ref="P50:T50"/>
    <mergeCell ref="D401:E401"/>
    <mergeCell ref="P358:T358"/>
    <mergeCell ref="D339:E339"/>
    <mergeCell ref="D230:E230"/>
    <mergeCell ref="D466:E466"/>
    <mergeCell ref="D180:E180"/>
    <mergeCell ref="P419:T419"/>
    <mergeCell ref="D398:E398"/>
    <mergeCell ref="P210:T210"/>
    <mergeCell ref="P308:T308"/>
    <mergeCell ref="P185:T185"/>
    <mergeCell ref="D47:E47"/>
    <mergeCell ref="P136:V136"/>
    <mergeCell ref="P65:V65"/>
    <mergeCell ref="A53:Z53"/>
    <mergeCell ref="D124:E124"/>
    <mergeCell ref="P81:T81"/>
    <mergeCell ref="P56:T56"/>
    <mergeCell ref="D56:E56"/>
    <mergeCell ref="A416:Z416"/>
    <mergeCell ref="A46:Z46"/>
    <mergeCell ref="P39:T39"/>
    <mergeCell ref="P508:T508"/>
    <mergeCell ref="D380:E380"/>
    <mergeCell ref="P337:T337"/>
    <mergeCell ref="A282:Z282"/>
    <mergeCell ref="D209:E209"/>
    <mergeCell ref="D445:E445"/>
    <mergeCell ref="D274:E274"/>
    <mergeCell ref="D245:E245"/>
    <mergeCell ref="A187:O188"/>
    <mergeCell ref="P188:V188"/>
    <mergeCell ref="D122:E122"/>
    <mergeCell ref="P116:T116"/>
    <mergeCell ref="D224:E224"/>
    <mergeCell ref="D106:E106"/>
    <mergeCell ref="A146:O147"/>
    <mergeCell ref="P283:T283"/>
    <mergeCell ref="P277:T277"/>
    <mergeCell ref="A195:Z195"/>
    <mergeCell ref="P122:T122"/>
    <mergeCell ref="P484:V484"/>
    <mergeCell ref="D328:E328"/>
    <mergeCell ref="P285:T285"/>
    <mergeCell ref="D5:E5"/>
    <mergeCell ref="P553:T553"/>
    <mergeCell ref="A32:O33"/>
    <mergeCell ref="D290:E290"/>
    <mergeCell ref="P471:T471"/>
    <mergeCell ref="P396:V396"/>
    <mergeCell ref="A395:O396"/>
    <mergeCell ref="D69:E69"/>
    <mergeCell ref="D498:E498"/>
    <mergeCell ref="P240:T240"/>
    <mergeCell ref="P482:T482"/>
    <mergeCell ref="A475:Z475"/>
    <mergeCell ref="P33:V33"/>
    <mergeCell ref="D527:E527"/>
    <mergeCell ref="P264:V264"/>
    <mergeCell ref="P93:V93"/>
    <mergeCell ref="P269:V269"/>
    <mergeCell ref="A216:Z216"/>
    <mergeCell ref="A45:Z45"/>
    <mergeCell ref="A343:Z343"/>
    <mergeCell ref="A87:Z87"/>
    <mergeCell ref="P333:V333"/>
    <mergeCell ref="P273:T273"/>
    <mergeCell ref="D145:E145"/>
    <mergeCell ref="H1:Q1"/>
    <mergeCell ref="P280:V280"/>
    <mergeCell ref="P541:V541"/>
    <mergeCell ref="A397:Z397"/>
    <mergeCell ref="D284:E284"/>
    <mergeCell ref="P193:V193"/>
    <mergeCell ref="P539:T539"/>
    <mergeCell ref="A503:Z503"/>
    <mergeCell ref="A163:Z163"/>
    <mergeCell ref="D28:E28"/>
    <mergeCell ref="V10:W10"/>
    <mergeCell ref="P405:T405"/>
    <mergeCell ref="P184:T184"/>
    <mergeCell ref="A374:Z374"/>
    <mergeCell ref="D432:E432"/>
    <mergeCell ref="D117:E117"/>
    <mergeCell ref="P171:T171"/>
    <mergeCell ref="P340:V340"/>
    <mergeCell ref="P413:T413"/>
    <mergeCell ref="P242:T242"/>
    <mergeCell ref="D524:E524"/>
    <mergeCell ref="P407:T407"/>
    <mergeCell ref="D353:E353"/>
    <mergeCell ref="D92:E92"/>
    <mergeCell ref="D7:M7"/>
    <mergeCell ref="D365:E365"/>
    <mergeCell ref="P156:V156"/>
    <mergeCell ref="P92:T92"/>
    <mergeCell ref="P394:T394"/>
    <mergeCell ref="D144:E144"/>
    <mergeCell ref="P29:T29"/>
    <mergeCell ref="D81:E81"/>
    <mergeCell ref="D379:E379"/>
    <mergeCell ref="D208:E208"/>
    <mergeCell ref="D8:M8"/>
    <mergeCell ref="A382:O383"/>
    <mergeCell ref="D366:E366"/>
    <mergeCell ref="P31:T31"/>
    <mergeCell ref="P329:T329"/>
    <mergeCell ref="D139:E139"/>
    <mergeCell ref="P331:T331"/>
    <mergeCell ref="D67:E67"/>
    <mergeCell ref="D55:E55"/>
    <mergeCell ref="D30:E30"/>
    <mergeCell ref="D387:E387"/>
    <mergeCell ref="D381:E381"/>
    <mergeCell ref="D272:E272"/>
    <mergeCell ref="D210:E210"/>
    <mergeCell ref="W17:W18"/>
    <mergeCell ref="A86:Z86"/>
    <mergeCell ref="P161:V161"/>
    <mergeCell ref="B564:B565"/>
    <mergeCell ref="P559:V559"/>
    <mergeCell ref="A384:Z384"/>
    <mergeCell ref="P234:T234"/>
    <mergeCell ref="A321:Z321"/>
    <mergeCell ref="P561:V561"/>
    <mergeCell ref="P390:V390"/>
    <mergeCell ref="A215:Z215"/>
    <mergeCell ref="D378:E378"/>
    <mergeCell ref="D129:E129"/>
    <mergeCell ref="P485:V485"/>
    <mergeCell ref="D406:E406"/>
    <mergeCell ref="A446:O447"/>
    <mergeCell ref="P530:V530"/>
    <mergeCell ref="P527:T527"/>
    <mergeCell ref="D470:E470"/>
    <mergeCell ref="K564:K565"/>
    <mergeCell ref="K563:V563"/>
    <mergeCell ref="J564:J565"/>
    <mergeCell ref="D443:E443"/>
    <mergeCell ref="P400:T400"/>
    <mergeCell ref="W563:X563"/>
    <mergeCell ref="P445:T445"/>
    <mergeCell ref="A193:O194"/>
    <mergeCell ref="A264:O265"/>
    <mergeCell ref="A516:Z516"/>
    <mergeCell ref="D308:E308"/>
    <mergeCell ref="P557:V557"/>
    <mergeCell ref="P524:T524"/>
    <mergeCell ref="A536:O537"/>
    <mergeCell ref="P519:T519"/>
    <mergeCell ref="D251:E251"/>
    <mergeCell ref="A549:O550"/>
    <mergeCell ref="P554:V554"/>
    <mergeCell ref="D543:E543"/>
    <mergeCell ref="D518:E518"/>
    <mergeCell ref="P252:T252"/>
    <mergeCell ref="P379:T379"/>
    <mergeCell ref="A313:Z313"/>
    <mergeCell ref="A538:Z538"/>
    <mergeCell ref="A514:O515"/>
    <mergeCell ref="D519:E519"/>
    <mergeCell ref="A496:Z496"/>
    <mergeCell ref="D513:E513"/>
    <mergeCell ref="P560:V560"/>
    <mergeCell ref="D493:E493"/>
    <mergeCell ref="D360:E360"/>
    <mergeCell ref="A173:O174"/>
    <mergeCell ref="P99:T99"/>
    <mergeCell ref="A422:Z422"/>
    <mergeCell ref="P366:T366"/>
    <mergeCell ref="A300:O301"/>
    <mergeCell ref="D287:E287"/>
    <mergeCell ref="P145:T145"/>
    <mergeCell ref="P113:V113"/>
    <mergeCell ref="P443:T443"/>
    <mergeCell ref="P381:T381"/>
    <mergeCell ref="D253:E253"/>
    <mergeCell ref="P377:T377"/>
    <mergeCell ref="P206:T206"/>
    <mergeCell ref="P233:T233"/>
    <mergeCell ref="A473:O474"/>
    <mergeCell ref="D411:E411"/>
    <mergeCell ref="D482:E482"/>
    <mergeCell ref="D289:E289"/>
    <mergeCell ref="A149:Z149"/>
    <mergeCell ref="P395:V395"/>
    <mergeCell ref="P209:T209"/>
    <mergeCell ref="R1:T1"/>
    <mergeCell ref="P150:T150"/>
    <mergeCell ref="A218:O219"/>
    <mergeCell ref="P392:T392"/>
    <mergeCell ref="P221:T221"/>
    <mergeCell ref="D332:E332"/>
    <mergeCell ref="P386:T386"/>
    <mergeCell ref="D307:E307"/>
    <mergeCell ref="D71:E71"/>
    <mergeCell ref="P28:T28"/>
    <mergeCell ref="P165:T165"/>
    <mergeCell ref="D98:E98"/>
    <mergeCell ref="P152:T152"/>
    <mergeCell ref="P30:T30"/>
    <mergeCell ref="P290:T290"/>
    <mergeCell ref="P141:V141"/>
    <mergeCell ref="A311:O312"/>
    <mergeCell ref="P275:T275"/>
    <mergeCell ref="P168:V168"/>
    <mergeCell ref="P104:T104"/>
    <mergeCell ref="B17:B18"/>
    <mergeCell ref="P248:V248"/>
    <mergeCell ref="A266:Z266"/>
    <mergeCell ref="A260:Z260"/>
    <mergeCell ref="A34:Z34"/>
    <mergeCell ref="H9:I9"/>
    <mergeCell ref="A564:A565"/>
    <mergeCell ref="P24:V24"/>
    <mergeCell ref="A36:Z36"/>
    <mergeCell ref="P453:V453"/>
    <mergeCell ref="P558:V558"/>
    <mergeCell ref="P545:V545"/>
    <mergeCell ref="A427:O428"/>
    <mergeCell ref="P259:V259"/>
    <mergeCell ref="P155:T155"/>
    <mergeCell ref="P324:V324"/>
    <mergeCell ref="A205:Z205"/>
    <mergeCell ref="D70:E70"/>
    <mergeCell ref="D263:E263"/>
    <mergeCell ref="D505:E505"/>
    <mergeCell ref="P518:T518"/>
    <mergeCell ref="A363:Z363"/>
    <mergeCell ref="D499:E499"/>
    <mergeCell ref="D426:E426"/>
    <mergeCell ref="P328:T328"/>
    <mergeCell ref="D134:E134"/>
    <mergeCell ref="A80:Z80"/>
    <mergeCell ref="P455:T455"/>
    <mergeCell ref="D535:E535"/>
    <mergeCell ref="P514:V514"/>
    <mergeCell ref="D60:E60"/>
    <mergeCell ref="P244:T244"/>
    <mergeCell ref="P437:T437"/>
    <mergeCell ref="P144:T144"/>
    <mergeCell ref="A361:O362"/>
    <mergeCell ref="P231:T231"/>
    <mergeCell ref="D472:E472"/>
    <mergeCell ref="D376:E376"/>
    <mergeCell ref="P172:T172"/>
    <mergeCell ref="P432:T432"/>
    <mergeCell ref="P446:V446"/>
    <mergeCell ref="P464:V464"/>
    <mergeCell ref="P402:V402"/>
    <mergeCell ref="D479:E479"/>
    <mergeCell ref="P441:V441"/>
    <mergeCell ref="A431:Z431"/>
    <mergeCell ref="A502:Z502"/>
    <mergeCell ref="P517:T517"/>
    <mergeCell ref="D438:E438"/>
    <mergeCell ref="D509:E509"/>
    <mergeCell ref="D267:E267"/>
    <mergeCell ref="D425:E425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52"/>
    </row>
    <row r="3" spans="2:8" x14ac:dyDescent="0.2">
      <c r="B3" s="47" t="s">
        <v>871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872</v>
      </c>
      <c r="C6" s="47" t="s">
        <v>873</v>
      </c>
      <c r="D6" s="47" t="s">
        <v>874</v>
      </c>
      <c r="E6" s="47"/>
    </row>
    <row r="7" spans="2:8" x14ac:dyDescent="0.2">
      <c r="B7" s="47" t="s">
        <v>875</v>
      </c>
      <c r="C7" s="47" t="s">
        <v>876</v>
      </c>
      <c r="D7" s="47" t="s">
        <v>877</v>
      </c>
      <c r="E7" s="47"/>
    </row>
    <row r="8" spans="2:8" x14ac:dyDescent="0.2">
      <c r="B8" s="47" t="s">
        <v>878</v>
      </c>
      <c r="C8" s="47" t="s">
        <v>879</v>
      </c>
      <c r="D8" s="47" t="s">
        <v>880</v>
      </c>
      <c r="E8" s="47"/>
    </row>
    <row r="9" spans="2:8" x14ac:dyDescent="0.2">
      <c r="B9" s="47" t="s">
        <v>881</v>
      </c>
      <c r="C9" s="47" t="s">
        <v>882</v>
      </c>
      <c r="D9" s="47" t="s">
        <v>883</v>
      </c>
      <c r="E9" s="47"/>
    </row>
    <row r="10" spans="2:8" x14ac:dyDescent="0.2">
      <c r="B10" s="47" t="s">
        <v>884</v>
      </c>
      <c r="C10" s="47" t="s">
        <v>885</v>
      </c>
      <c r="D10" s="47" t="s">
        <v>886</v>
      </c>
      <c r="E10" s="47"/>
    </row>
    <row r="11" spans="2:8" x14ac:dyDescent="0.2">
      <c r="B11" s="47" t="s">
        <v>887</v>
      </c>
      <c r="C11" s="47" t="s">
        <v>888</v>
      </c>
      <c r="D11" s="47" t="s">
        <v>889</v>
      </c>
      <c r="E11" s="47"/>
    </row>
    <row r="12" spans="2:8" x14ac:dyDescent="0.2">
      <c r="B12" s="47" t="s">
        <v>890</v>
      </c>
      <c r="C12" s="47" t="s">
        <v>891</v>
      </c>
      <c r="D12" s="47" t="s">
        <v>892</v>
      </c>
      <c r="E12" s="47"/>
    </row>
    <row r="14" spans="2:8" x14ac:dyDescent="0.2">
      <c r="B14" s="47" t="s">
        <v>893</v>
      </c>
      <c r="C14" s="47" t="s">
        <v>873</v>
      </c>
      <c r="D14" s="47"/>
      <c r="E14" s="47"/>
    </row>
    <row r="16" spans="2:8" x14ac:dyDescent="0.2">
      <c r="B16" s="47" t="s">
        <v>894</v>
      </c>
      <c r="C16" s="47" t="s">
        <v>876</v>
      </c>
      <c r="D16" s="47"/>
      <c r="E16" s="47"/>
    </row>
    <row r="18" spans="2:5" x14ac:dyDescent="0.2">
      <c r="B18" s="47" t="s">
        <v>895</v>
      </c>
      <c r="C18" s="47" t="s">
        <v>879</v>
      </c>
      <c r="D18" s="47"/>
      <c r="E18" s="47"/>
    </row>
    <row r="20" spans="2:5" x14ac:dyDescent="0.2">
      <c r="B20" s="47" t="s">
        <v>896</v>
      </c>
      <c r="C20" s="47" t="s">
        <v>882</v>
      </c>
      <c r="D20" s="47"/>
      <c r="E20" s="47"/>
    </row>
    <row r="22" spans="2:5" x14ac:dyDescent="0.2">
      <c r="B22" s="47" t="s">
        <v>897</v>
      </c>
      <c r="C22" s="47" t="s">
        <v>885</v>
      </c>
      <c r="D22" s="47"/>
      <c r="E22" s="47"/>
    </row>
    <row r="24" spans="2:5" x14ac:dyDescent="0.2">
      <c r="B24" s="47" t="s">
        <v>898</v>
      </c>
      <c r="C24" s="47" t="s">
        <v>888</v>
      </c>
      <c r="D24" s="47"/>
      <c r="E24" s="47"/>
    </row>
    <row r="26" spans="2:5" x14ac:dyDescent="0.2">
      <c r="B26" s="47" t="s">
        <v>899</v>
      </c>
      <c r="C26" s="47" t="s">
        <v>891</v>
      </c>
      <c r="D26" s="47"/>
      <c r="E26" s="47"/>
    </row>
    <row r="28" spans="2:5" x14ac:dyDescent="0.2">
      <c r="B28" s="47" t="s">
        <v>900</v>
      </c>
      <c r="C28" s="47"/>
      <c r="D28" s="47"/>
      <c r="E28" s="47"/>
    </row>
    <row r="29" spans="2:5" x14ac:dyDescent="0.2">
      <c r="B29" s="47" t="s">
        <v>901</v>
      </c>
      <c r="C29" s="47"/>
      <c r="D29" s="47"/>
      <c r="E29" s="47"/>
    </row>
    <row r="30" spans="2:5" x14ac:dyDescent="0.2">
      <c r="B30" s="47" t="s">
        <v>902</v>
      </c>
      <c r="C30" s="47"/>
      <c r="D30" s="47"/>
      <c r="E30" s="47"/>
    </row>
    <row r="31" spans="2:5" x14ac:dyDescent="0.2">
      <c r="B31" s="47" t="s">
        <v>903</v>
      </c>
      <c r="C31" s="47"/>
      <c r="D31" s="47"/>
      <c r="E31" s="47"/>
    </row>
    <row r="32" spans="2:5" x14ac:dyDescent="0.2">
      <c r="B32" s="47" t="s">
        <v>904</v>
      </c>
      <c r="C32" s="47"/>
      <c r="D32" s="47"/>
      <c r="E32" s="47"/>
    </row>
    <row r="33" spans="2:5" x14ac:dyDescent="0.2">
      <c r="B33" s="47" t="s">
        <v>905</v>
      </c>
      <c r="C33" s="47"/>
      <c r="D33" s="47"/>
      <c r="E33" s="47"/>
    </row>
    <row r="34" spans="2:5" x14ac:dyDescent="0.2">
      <c r="B34" s="47" t="s">
        <v>906</v>
      </c>
      <c r="C34" s="47"/>
      <c r="D34" s="47"/>
      <c r="E34" s="47"/>
    </row>
    <row r="35" spans="2:5" x14ac:dyDescent="0.2">
      <c r="B35" s="47" t="s">
        <v>907</v>
      </c>
      <c r="C35" s="47"/>
      <c r="D35" s="47"/>
      <c r="E35" s="47"/>
    </row>
    <row r="36" spans="2:5" x14ac:dyDescent="0.2">
      <c r="B36" s="47" t="s">
        <v>908</v>
      </c>
      <c r="C36" s="47"/>
      <c r="D36" s="47"/>
      <c r="E36" s="47"/>
    </row>
    <row r="37" spans="2:5" x14ac:dyDescent="0.2">
      <c r="B37" s="47" t="s">
        <v>909</v>
      </c>
      <c r="C37" s="47"/>
      <c r="D37" s="47"/>
      <c r="E37" s="47"/>
    </row>
    <row r="38" spans="2:5" x14ac:dyDescent="0.2">
      <c r="B38" s="47" t="s">
        <v>910</v>
      </c>
      <c r="C38" s="47"/>
      <c r="D38" s="47"/>
      <c r="E38" s="47"/>
    </row>
  </sheetData>
  <sheetProtection algorithmName="SHA-512" hashValue="B93oJhifF/sMnCN8G9wvfYtYlCAhPCV+Yp3shOj0HtsbAMsGLvHmQK013Zq5mXGp3SZWX4TLcoSUWuQcEbc/Wg==" saltValue="nDICKMhLPxN//MLW16yI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2026-09-23T16:27:31Z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