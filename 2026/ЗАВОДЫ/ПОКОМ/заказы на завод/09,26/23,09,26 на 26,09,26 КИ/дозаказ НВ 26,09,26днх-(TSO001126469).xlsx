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2332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62913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N518" i="2"/>
  <c r="BM518" i="2"/>
  <c r="Y518" i="2"/>
  <c r="BP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BP512" i="2" s="1"/>
  <c r="P512" i="2"/>
  <c r="BO511" i="2"/>
  <c r="BN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N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N498" i="2"/>
  <c r="BM498" i="2"/>
  <c r="Y498" i="2"/>
  <c r="BP498" i="2" s="1"/>
  <c r="P498" i="2"/>
  <c r="BO497" i="2"/>
  <c r="BM497" i="2"/>
  <c r="Y497" i="2"/>
  <c r="BP497" i="2" s="1"/>
  <c r="P497" i="2"/>
  <c r="BP496" i="2"/>
  <c r="BO496" i="2"/>
  <c r="BM496" i="2"/>
  <c r="Z496" i="2"/>
  <c r="Y496" i="2"/>
  <c r="Y500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P482" i="2" s="1"/>
  <c r="P482" i="2"/>
  <c r="BP481" i="2"/>
  <c r="BO481" i="2"/>
  <c r="BN481" i="2"/>
  <c r="BM481" i="2"/>
  <c r="Z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N471" i="2"/>
  <c r="BM471" i="2"/>
  <c r="Y471" i="2"/>
  <c r="BP471" i="2" s="1"/>
  <c r="P471" i="2"/>
  <c r="BO470" i="2"/>
  <c r="BM470" i="2"/>
  <c r="Y470" i="2"/>
  <c r="BP470" i="2" s="1"/>
  <c r="P470" i="2"/>
  <c r="BO469" i="2"/>
  <c r="BN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Y463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N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N438" i="2"/>
  <c r="BM438" i="2"/>
  <c r="Y438" i="2"/>
  <c r="BP438" i="2" s="1"/>
  <c r="P438" i="2"/>
  <c r="BO437" i="2"/>
  <c r="BM437" i="2"/>
  <c r="Z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N424" i="2"/>
  <c r="BM424" i="2"/>
  <c r="Z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P417" i="2"/>
  <c r="BO417" i="2"/>
  <c r="BM417" i="2"/>
  <c r="Y417" i="2"/>
  <c r="BN417" i="2" s="1"/>
  <c r="P417" i="2"/>
  <c r="X414" i="2"/>
  <c r="X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P405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P393" i="2"/>
  <c r="BO393" i="2"/>
  <c r="BM393" i="2"/>
  <c r="Y393" i="2"/>
  <c r="P393" i="2"/>
  <c r="BP392" i="2"/>
  <c r="BO392" i="2"/>
  <c r="BN392" i="2"/>
  <c r="BM392" i="2"/>
  <c r="Z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P384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N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P370" i="2"/>
  <c r="BO370" i="2"/>
  <c r="BN370" i="2"/>
  <c r="BM370" i="2"/>
  <c r="Z370" i="2"/>
  <c r="Y370" i="2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Y360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P337" i="2"/>
  <c r="BO337" i="2"/>
  <c r="BM337" i="2"/>
  <c r="Z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P328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P321" i="2"/>
  <c r="BO321" i="2"/>
  <c r="BM321" i="2"/>
  <c r="Z321" i="2"/>
  <c r="Z322" i="2" s="1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N313" i="2"/>
  <c r="BM313" i="2"/>
  <c r="Y313" i="2"/>
  <c r="Y315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P298" i="2"/>
  <c r="BO298" i="2"/>
  <c r="BM298" i="2"/>
  <c r="Z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P282" i="2"/>
  <c r="BO282" i="2"/>
  <c r="BM282" i="2"/>
  <c r="Y282" i="2"/>
  <c r="BN282" i="2" s="1"/>
  <c r="P282" i="2"/>
  <c r="X280" i="2"/>
  <c r="X279" i="2"/>
  <c r="BO278" i="2"/>
  <c r="BN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BP271" i="2"/>
  <c r="BO271" i="2"/>
  <c r="BN271" i="2"/>
  <c r="BM271" i="2"/>
  <c r="Y271" i="2"/>
  <c r="Z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N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P251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N245" i="2"/>
  <c r="BM245" i="2"/>
  <c r="Z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P238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P216" i="2"/>
  <c r="BO216" i="2"/>
  <c r="BN216" i="2"/>
  <c r="BM216" i="2"/>
  <c r="Z216" i="2"/>
  <c r="Z217" i="2" s="1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N207" i="2"/>
  <c r="BM207" i="2"/>
  <c r="Y207" i="2"/>
  <c r="P207" i="2"/>
  <c r="BO206" i="2"/>
  <c r="BM206" i="2"/>
  <c r="Z206" i="2"/>
  <c r="Y206" i="2"/>
  <c r="BP206" i="2" s="1"/>
  <c r="P206" i="2"/>
  <c r="BP205" i="2"/>
  <c r="BO205" i="2"/>
  <c r="BM205" i="2"/>
  <c r="Z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P184" i="2"/>
  <c r="BO184" i="2"/>
  <c r="BM184" i="2"/>
  <c r="Y184" i="2"/>
  <c r="BN184" i="2" s="1"/>
  <c r="P184" i="2"/>
  <c r="BO183" i="2"/>
  <c r="BM183" i="2"/>
  <c r="Y183" i="2"/>
  <c r="P183" i="2"/>
  <c r="BO182" i="2"/>
  <c r="BN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P177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BN166" i="2" s="1"/>
  <c r="P166" i="2"/>
  <c r="BO165" i="2"/>
  <c r="BM165" i="2"/>
  <c r="Y165" i="2"/>
  <c r="P165" i="2"/>
  <c r="BP164" i="2"/>
  <c r="BO164" i="2"/>
  <c r="BN164" i="2"/>
  <c r="BM164" i="2"/>
  <c r="Z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BN154" i="2" s="1"/>
  <c r="P154" i="2"/>
  <c r="BO153" i="2"/>
  <c r="BM153" i="2"/>
  <c r="Y153" i="2"/>
  <c r="BP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N149" i="2"/>
  <c r="BM149" i="2"/>
  <c r="Z149" i="2"/>
  <c r="Y149" i="2"/>
  <c r="BP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N139" i="2"/>
  <c r="BM139" i="2"/>
  <c r="Z139" i="2"/>
  <c r="Y139" i="2"/>
  <c r="BP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N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N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N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Y11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N95" i="2"/>
  <c r="BM95" i="2"/>
  <c r="Y95" i="2"/>
  <c r="P95" i="2"/>
  <c r="X93" i="2"/>
  <c r="X92" i="2"/>
  <c r="BP91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P82" i="2"/>
  <c r="BO82" i="2"/>
  <c r="BM82" i="2"/>
  <c r="Z82" i="2"/>
  <c r="Y82" i="2"/>
  <c r="BN82" i="2" s="1"/>
  <c r="P82" i="2"/>
  <c r="BO81" i="2"/>
  <c r="BM81" i="2"/>
  <c r="Y81" i="2"/>
  <c r="BN81" i="2" s="1"/>
  <c r="P81" i="2"/>
  <c r="BP80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P56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N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P30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P23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F9" i="2" l="1"/>
  <c r="Z163" i="2"/>
  <c r="Z228" i="2"/>
  <c r="Z239" i="2"/>
  <c r="Y499" i="2"/>
  <c r="BN309" i="2"/>
  <c r="BN359" i="2"/>
  <c r="BN482" i="2"/>
  <c r="BN70" i="2"/>
  <c r="Z181" i="2"/>
  <c r="BN228" i="2"/>
  <c r="BN239" i="2"/>
  <c r="Z290" i="2"/>
  <c r="BN470" i="2"/>
  <c r="BP163" i="2"/>
  <c r="BN345" i="2"/>
  <c r="BN437" i="2"/>
  <c r="BN461" i="2"/>
  <c r="AA569" i="2"/>
  <c r="BN508" i="2"/>
  <c r="BN526" i="2"/>
  <c r="BN181" i="2"/>
  <c r="Z195" i="2"/>
  <c r="Z196" i="2" s="1"/>
  <c r="Z261" i="2"/>
  <c r="BN290" i="2"/>
  <c r="BP374" i="2"/>
  <c r="Z282" i="2"/>
  <c r="BN368" i="2"/>
  <c r="BN379" i="2"/>
  <c r="BN195" i="2"/>
  <c r="Y462" i="2"/>
  <c r="Z471" i="2"/>
  <c r="BN496" i="2"/>
  <c r="BP261" i="2"/>
  <c r="BN96" i="2"/>
  <c r="Y141" i="2"/>
  <c r="BP195" i="2"/>
  <c r="Y361" i="2"/>
  <c r="Y382" i="2"/>
  <c r="BN60" i="2"/>
  <c r="BP154" i="2"/>
  <c r="BN206" i="2"/>
  <c r="Z357" i="2"/>
  <c r="BP486" i="2"/>
  <c r="Y196" i="2"/>
  <c r="BN291" i="2"/>
  <c r="BN516" i="2"/>
  <c r="Y99" i="2"/>
  <c r="Y314" i="2"/>
  <c r="Z347" i="2"/>
  <c r="Z510" i="2"/>
  <c r="BP523" i="2"/>
  <c r="X561" i="2"/>
  <c r="BN116" i="2"/>
  <c r="BP357" i="2"/>
  <c r="Z411" i="2"/>
  <c r="Z449" i="2"/>
  <c r="BN497" i="2"/>
  <c r="BP241" i="2"/>
  <c r="BN435" i="2"/>
  <c r="Y446" i="2"/>
  <c r="Y473" i="2"/>
  <c r="BN510" i="2"/>
  <c r="BP528" i="2"/>
  <c r="BP542" i="2"/>
  <c r="Z175" i="2"/>
  <c r="Z227" i="2"/>
  <c r="Z238" i="2"/>
  <c r="BP347" i="2"/>
  <c r="BN411" i="2"/>
  <c r="BN449" i="2"/>
  <c r="BN391" i="2"/>
  <c r="Y483" i="2"/>
  <c r="BN175" i="2"/>
  <c r="BN246" i="2"/>
  <c r="Z289" i="2"/>
  <c r="BN358" i="2"/>
  <c r="Z460" i="2"/>
  <c r="Z507" i="2"/>
  <c r="Y530" i="2"/>
  <c r="Y544" i="2"/>
  <c r="BN49" i="2"/>
  <c r="BN138" i="2"/>
  <c r="BP227" i="2"/>
  <c r="Z569" i="2"/>
  <c r="BN62" i="2"/>
  <c r="Z184" i="2"/>
  <c r="BP477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62" i="2" s="1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Z462" i="2" s="1"/>
  <c r="BP461" i="2"/>
  <c r="Z470" i="2"/>
  <c r="Y472" i="2"/>
  <c r="Z498" i="2"/>
  <c r="Z508" i="2"/>
  <c r="Z516" i="2"/>
  <c r="Z519" i="2" s="1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60" i="2" s="1"/>
  <c r="Z378" i="2"/>
  <c r="Z412" i="2"/>
  <c r="Z425" i="2"/>
  <c r="Z426" i="2" s="1"/>
  <c r="W569" i="2"/>
  <c r="BP431" i="2"/>
  <c r="Z450" i="2"/>
  <c r="X569" i="2"/>
  <c r="Z469" i="2"/>
  <c r="Z472" i="2" s="1"/>
  <c r="Z482" i="2"/>
  <c r="Z497" i="2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39" i="2" s="1"/>
  <c r="Z393" i="2"/>
  <c r="Z394" i="2" s="1"/>
  <c r="BP418" i="2"/>
  <c r="Z486" i="2"/>
  <c r="Z488" i="2" s="1"/>
  <c r="Y25" i="2"/>
  <c r="BP38" i="2"/>
  <c r="Z48" i="2"/>
  <c r="Z59" i="2"/>
  <c r="Z69" i="2"/>
  <c r="Y93" i="2"/>
  <c r="Z103" i="2"/>
  <c r="BP115" i="2"/>
  <c r="Z123" i="2"/>
  <c r="Y160" i="2"/>
  <c r="Z170" i="2"/>
  <c r="Z180" i="2"/>
  <c r="Z190" i="2"/>
  <c r="Z192" i="2" s="1"/>
  <c r="Z225" i="2"/>
  <c r="Y269" i="2"/>
  <c r="Y333" i="2"/>
  <c r="Z344" i="2"/>
  <c r="Y371" i="2"/>
  <c r="Y381" i="2"/>
  <c r="Y389" i="2"/>
  <c r="Z398" i="2"/>
  <c r="Z401" i="2" s="1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Z407" i="2" s="1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55" i="2" s="1"/>
  <c r="Z176" i="2"/>
  <c r="Y187" i="2"/>
  <c r="Z221" i="2"/>
  <c r="Z262" i="2"/>
  <c r="Z263" i="2" s="1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299" i="2" s="1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Z348" i="2" s="1"/>
  <c r="AB569" i="2"/>
  <c r="Z51" i="2" l="1"/>
  <c r="Z212" i="2"/>
  <c r="Z172" i="2"/>
  <c r="Z167" i="2"/>
  <c r="Z499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Z529" i="2"/>
  <c r="Z24" i="2"/>
  <c r="Z388" i="2"/>
  <c r="Z445" i="2"/>
  <c r="Z268" i="2"/>
  <c r="Y559" i="2"/>
  <c r="Y562" i="2" l="1"/>
  <c r="Z564" i="2"/>
</calcChain>
</file>

<file path=xl/sharedStrings.xml><?xml version="1.0" encoding="utf-8"?>
<sst xmlns="http://schemas.openxmlformats.org/spreadsheetml/2006/main" count="4311" uniqueCount="906">
  <si>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</si>
  <si>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</si>
  <si>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</si>
  <si>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</si>
  <si>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</si>
  <si>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</si>
  <si>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</si>
  <si>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</si>
  <si>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</si>
  <si>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</si>
  <si>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</si>
  <si>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</si>
  <si>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</si>
  <si>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</si>
  <si>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</si>
  <si>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</si>
  <si>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</si>
  <si>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</si>
  <si>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</si>
  <si>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</si>
  <si>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</si>
  <si>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</si>
  <si>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</si>
  <si>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</si>
  <si>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</si>
  <si>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</si>
  <si>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</si>
  <si>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</si>
  <si>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</si>
  <si>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</si>
  <si>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</si>
  <si>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</si>
  <si>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</si>
  <si>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</si>
  <si>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</si>
  <si>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</si>
  <si>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</si>
  <si>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</si>
  <si>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</si>
  <si>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</si>
  <si>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</si>
  <si>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</si>
  <si>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</si>
  <si>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</si>
  <si>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</si>
  <si>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</si>
  <si>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</si>
  <si>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</si>
  <si>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</si>
  <si>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</si>
  <si>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</si>
  <si>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</si>
  <si>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</si>
  <si>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</si>
  <si>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</si>
  <si>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</si>
  <si>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</si>
  <si>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</si>
  <si>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</si>
  <si>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</si>
  <si>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</si>
  <si>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</si>
  <si>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</si>
  <si>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</si>
  <si>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</si>
  <si>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</si>
  <si>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</si>
  <si>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</si>
  <si>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</si>
  <si>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</si>
  <si>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</si>
  <si>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</si>
  <si>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</si>
  <si>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</si>
  <si>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</si>
  <si>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</si>
  <si>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</si>
  <si>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</si>
  <si>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</si>
  <si>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</si>
  <si>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</si>
  <si>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</si>
  <si>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</si>
  <si>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</si>
  <si>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</si>
  <si>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</si>
  <si>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</si>
  <si>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</si>
  <si>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</si>
  <si>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</si>
  <si>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</si>
  <si>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</si>
  <si>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</si>
  <si>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</si>
  <si>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</si>
  <si>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</si>
  <si>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</si>
  <si>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</si>
  <si>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</si>
  <si>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</si>
  <si>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</si>
  <si>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</si>
  <si>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</si>
  <si>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</si>
  <si>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</si>
  <si>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</si>
  <si>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</si>
  <si>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</si>
  <si>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</si>
  <si>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</si>
  <si>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</si>
  <si>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</si>
  <si>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</si>
  <si>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</si>
  <si>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</si>
  <si>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</si>
  <si>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</si>
  <si>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</si>
  <si>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</si>
  <si>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</si>
  <si>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</si>
  <si>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</si>
  <si>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</si>
  <si>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</si>
  <si>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</si>
  <si>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</si>
  <si>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</si>
  <si>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</si>
  <si>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</si>
  <si>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</si>
  <si>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</si>
  <si>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</si>
  <si>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</si>
  <si>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</si>
  <si>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</si>
  <si>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</si>
  <si>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</si>
  <si>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</si>
  <si>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</si>
  <si>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</si>
  <si>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</si>
  <si>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</si>
  <si>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</si>
  <si>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</si>
  <si>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</si>
  <si>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</si>
  <si>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</si>
  <si>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</si>
  <si>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</si>
  <si>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</si>
  <si>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</si>
  <si>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</si>
  <si>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</si>
  <si>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</si>
  <si>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</si>
  <si>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</si>
  <si>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</si>
  <si>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</si>
  <si>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</si>
  <si>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</si>
  <si>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</si>
  <si>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</si>
  <si>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</si>
  <si>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</si>
  <si>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</si>
  <si>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</si>
  <si>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</si>
  <si>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</si>
  <si>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</si>
  <si>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</si>
  <si>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</si>
  <si>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</si>
  <si>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</si>
  <si>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</si>
  <si>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</si>
  <si>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</si>
  <si>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</si>
  <si>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</si>
  <si>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</si>
  <si>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</si>
  <si>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</si>
  <si>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</si>
  <si>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</si>
  <si>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</si>
  <si>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</si>
  <si>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</si>
  <si>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</si>
  <si>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</si>
  <si>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</si>
  <si>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</si>
  <si>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</si>
  <si>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</si>
  <si>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</si>
  <si>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</si>
  <si>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</si>
  <si>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</si>
  <si>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</si>
  <si>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</si>
  <si>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</si>
  <si>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</si>
  <si>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</si>
  <si>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</si>
  <si>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</si>
  <si>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</si>
  <si>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</si>
  <si>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</si>
  <si>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</si>
  <si>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</si>
  <si>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</si>
  <si>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</si>
  <si>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</si>
  <si>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</si>
  <si>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</si>
  <si>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</si>
  <si>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</si>
  <si>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</si>
  <si>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</si>
  <si>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</si>
  <si>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</si>
  <si>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</si>
  <si>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</si>
  <si>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</si>
  <si>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</si>
  <si>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</si>
  <si>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</si>
  <si>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</si>
  <si>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</si>
  <si>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</si>
  <si>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</si>
  <si>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</si>
  <si>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</si>
  <si>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</si>
  <si>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</si>
  <si>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</si>
  <si>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</si>
  <si>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</si>
  <si>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</si>
  <si>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</si>
  <si>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</si>
  <si>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</si>
  <si>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</si>
  <si>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</si>
  <si>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</si>
  <si>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</si>
  <si>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</si>
  <si>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</si>
  <si>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</si>
  <si>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</si>
  <si>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</si>
  <si>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</si>
  <si>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</si>
  <si>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</si>
  <si>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</si>
  <si>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</si>
  <si>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</si>
  <si>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</si>
  <si>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</si>
  <si>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</si>
  <si>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</si>
  <si>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</si>
  <si>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</si>
  <si>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</si>
  <si>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</si>
  <si>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</si>
  <si>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</si>
  <si>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</si>
  <si>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</si>
  <si>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</si>
  <si>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</si>
  <si>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</si>
  <si>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</si>
  <si>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</si>
  <si>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</si>
  <si>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</si>
  <si>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</si>
  <si>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</si>
  <si>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</si>
  <si>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</si>
  <si>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</si>
  <si>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</si>
  <si>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</si>
  <si>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</si>
  <si>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</si>
  <si>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</si>
  <si>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</si>
  <si>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</si>
  <si>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</si>
  <si>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</si>
  <si>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</si>
  <si>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</si>
  <si>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</si>
  <si>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</si>
  <si>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</si>
  <si>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</si>
  <si>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</si>
  <si>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</si>
  <si>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</si>
  <si>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</si>
  <si>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</si>
  <si>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</si>
  <si>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</si>
  <si>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</si>
  <si>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</si>
  <si>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</si>
  <si>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</si>
  <si>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</si>
  <si>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</si>
  <si>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</si>
  <si>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</si>
  <si>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</si>
  <si>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</si>
  <si>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</si>
  <si>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</si>
  <si>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</si>
  <si>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</si>
  <si>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</si>
  <si>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</si>
  <si>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</si>
  <si>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</si>
  <si>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</si>
  <si>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</si>
  <si>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</si>
  <si>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</si>
  <si>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</si>
  <si>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</si>
  <si>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</si>
  <si>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</si>
  <si>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</si>
  <si>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</si>
  <si>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</si>
  <si>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</si>
  <si>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</si>
  <si>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</si>
  <si>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</si>
  <si>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</si>
  <si>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</si>
  <si>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</si>
  <si>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</si>
  <si>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</si>
  <si>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</si>
  <si>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</si>
  <si>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</si>
  <si>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</si>
  <si>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</si>
  <si>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</si>
  <si>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</si>
  <si>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</si>
  <si>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</si>
  <si>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</si>
  <si>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</si>
  <si>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</si>
  <si>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</si>
  <si>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</si>
  <si>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</si>
  <si>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</si>
  <si>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</si>
  <si>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</si>
  <si>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</si>
  <si>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</si>
  <si>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</si>
  <si>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</si>
  <si>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</si>
  <si>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</si>
  <si>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</si>
  <si>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</si>
  <si>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</si>
  <si>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</si>
  <si>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</si>
  <si>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</si>
  <si>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</si>
  <si>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</si>
  <si>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</si>
  <si>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</si>
  <si>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</si>
  <si>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</si>
  <si>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</si>
  <si>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</si>
  <si>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</si>
  <si>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</si>
  <si>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</si>
  <si>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</si>
  <si>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</si>
  <si>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</si>
  <si>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</si>
  <si>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</si>
  <si>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</si>
  <si>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</si>
  <si>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</si>
  <si>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</si>
  <si>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</si>
  <si>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</si>
  <si>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</si>
  <si>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</si>
  <si>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</si>
  <si>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</si>
  <si>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</si>
  <si>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</si>
  <si>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</si>
  <si>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</si>
  <si>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</si>
  <si>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</si>
  <si>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</si>
  <si>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</si>
  <si>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</si>
  <si>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</si>
  <si>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</si>
  <si>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</si>
  <si>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</si>
  <si>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</si>
  <si>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</si>
  <si>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</si>
  <si>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</si>
  <si>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</si>
  <si>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</si>
  <si>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</si>
  <si>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</si>
  <si>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</si>
  <si>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</si>
  <si>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</si>
  <si>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</si>
  <si>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</si>
  <si>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</si>
  <si>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</si>
  <si>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</si>
  <si>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</si>
  <si>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</si>
  <si>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</si>
  <si>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</si>
  <si>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</si>
  <si>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</si>
  <si>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</si>
  <si>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</si>
  <si>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</si>
  <si>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</si>
  <si>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</si>
  <si>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</si>
  <si>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</si>
  <si>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</si>
  <si>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</si>
  <si>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</si>
  <si>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</si>
  <si>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</si>
  <si>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</si>
  <si>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</si>
  <si>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</si>
  <si>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</si>
  <si>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</si>
  <si>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</si>
  <si>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</si>
  <si>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</si>
  <si>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</si>
  <si>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</si>
  <si>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</si>
  <si>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</si>
  <si>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</si>
  <si>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</si>
  <si>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</si>
  <si>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</si>
  <si>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</si>
  <si>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</si>
  <si>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</si>
  <si>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</si>
  <si>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</si>
  <si>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</si>
  <si>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</si>
  <si>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</si>
  <si>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</si>
  <si>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</si>
  <si>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</si>
  <si>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</si>
  <si>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</si>
  <si>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</si>
  <si>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</si>
  <si>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</si>
  <si>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</si>
  <si>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</si>
  <si>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</si>
  <si>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</si>
  <si>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</si>
  <si>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</si>
  <si>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</si>
  <si>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</si>
  <si>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</si>
  <si>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</si>
  <si>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</si>
  <si>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</si>
  <si>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</si>
  <si>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</si>
  <si>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</si>
  <si>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</si>
  <si>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</si>
  <si>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</si>
  <si>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</si>
  <si>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</si>
  <si>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</si>
  <si>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</si>
  <si>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</si>
  <si>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</si>
  <si>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</si>
  <si>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</si>
  <si>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</si>
  <si>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</si>
  <si>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</si>
  <si>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</si>
  <si>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</si>
  <si>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</si>
  <si>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</si>
  <si>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</si>
  <si>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</si>
  <si>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</si>
  <si>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</si>
  <si>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</si>
  <si>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</si>
  <si>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</si>
  <si>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</si>
  <si>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</si>
  <si>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</si>
  <si>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</si>
  <si>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</si>
  <si>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</si>
  <si>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</si>
  <si>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</si>
  <si>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</si>
  <si>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</si>
  <si>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</si>
  <si>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</si>
  <si>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</si>
  <si>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</si>
  <si>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</si>
  <si>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</si>
  <si>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</si>
  <si>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</si>
  <si>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</si>
  <si>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</si>
  <si>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</si>
  <si>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</si>
  <si>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</si>
  <si>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</si>
  <si>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</si>
  <si>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</si>
  <si>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</si>
  <si>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</si>
  <si>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</si>
  <si>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</si>
  <si>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</si>
  <si>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</si>
  <si>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</si>
  <si>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</si>
  <si>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</si>
  <si>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</si>
  <si>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</si>
  <si>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</si>
  <si>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</si>
  <si>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</si>
  <si>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</si>
  <si>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</si>
  <si>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</si>
  <si>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</si>
  <si>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</si>
  <si>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</si>
  <si>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</si>
  <si>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</si>
  <si>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</si>
  <si>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</si>
  <si>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</si>
  <si>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</si>
  <si>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</si>
  <si>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</si>
  <si>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</si>
  <si>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</si>
  <si>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</si>
  <si>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</si>
  <si>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</si>
  <si>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</si>
  <si>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</si>
  <si>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</si>
  <si>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</si>
  <si>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</si>
  <si>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</si>
  <si>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</si>
  <si>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</si>
  <si>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</si>
  <si>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</si>
  <si>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</si>
  <si>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</si>
  <si>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</si>
  <si>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</si>
  <si>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</si>
  <si>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</si>
  <si>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</si>
  <si>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</si>
  <si>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</si>
  <si>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</si>
  <si>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</si>
  <si>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</si>
  <si>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</si>
  <si>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</si>
  <si>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</si>
  <si>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</si>
  <si>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</si>
  <si>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</si>
  <si>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</si>
  <si>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</si>
  <si>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</si>
  <si>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</si>
  <si>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</si>
  <si>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</si>
  <si>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</si>
  <si>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</si>
  <si>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</si>
  <si>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</si>
  <si>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</si>
  <si>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</si>
  <si>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</si>
  <si>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</si>
  <si>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</si>
  <si>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</si>
  <si>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</si>
  <si>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</si>
  <si>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</si>
  <si>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</si>
  <si>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</si>
  <si>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</si>
  <si>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</si>
  <si>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</si>
  <si>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</si>
  <si>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</si>
  <si>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</si>
  <si>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</si>
  <si>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</si>
  <si>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</si>
  <si>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</si>
  <si>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</si>
  <si>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</si>
  <si>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</si>
  <si>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</si>
  <si>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</si>
  <si>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</si>
  <si>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</si>
  <si>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</si>
  <si>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</si>
  <si>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</si>
  <si>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</si>
  <si>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</si>
  <si>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</si>
  <si>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</si>
  <si>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</si>
  <si>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</si>
  <si>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</si>
  <si>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</si>
  <si>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</si>
  <si>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</si>
  <si>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</si>
  <si>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</si>
  <si>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</si>
  <si>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</si>
  <si>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</si>
  <si>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</si>
  <si>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</si>
  <si>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</si>
  <si>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</si>
  <si>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</si>
  <si>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</si>
  <si>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</si>
  <si>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</si>
  <si>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</si>
  <si>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</si>
  <si>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</si>
  <si>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</si>
  <si>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</si>
  <si>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</si>
  <si>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</si>
  <si>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</si>
  <si>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</si>
  <si>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</si>
  <si>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</si>
  <si>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</si>
  <si>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</si>
  <si>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</si>
  <si>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</si>
  <si>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</si>
  <si>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</si>
  <si>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</si>
  <si>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</si>
  <si>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</si>
  <si>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</si>
  <si>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</si>
  <si>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</si>
  <si>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</si>
  <si>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</si>
  <si>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</si>
  <si>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</si>
  <si>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</si>
  <si>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</si>
  <si>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</si>
  <si>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</si>
  <si>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</si>
  <si>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</si>
  <si>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</si>
  <si>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</si>
  <si>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</si>
  <si>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</si>
  <si>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</si>
  <si>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</si>
  <si>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</si>
  <si>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</si>
  <si>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</si>
  <si>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</si>
  <si>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</si>
  <si>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</si>
  <si>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</si>
  <si>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</si>
  <si>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</si>
  <si>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</si>
  <si>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</si>
  <si>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</si>
  <si>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</si>
  <si>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</si>
  <si>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</si>
  <si>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</si>
  <si>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</si>
  <si>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</si>
  <si>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</si>
  <si>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</si>
  <si>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</si>
  <si>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</si>
  <si>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</si>
  <si>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</si>
  <si>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</si>
  <si>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</si>
  <si>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</si>
  <si>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</si>
  <si>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</si>
  <si>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</si>
  <si>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</si>
  <si>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</si>
  <si>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</si>
  <si>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</si>
  <si>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</si>
  <si>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</si>
  <si>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</si>
  <si>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</si>
  <si>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</si>
  <si>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</si>
  <si>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</si>
  <si>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</si>
  <si>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</si>
  <si>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</si>
  <si>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</si>
  <si>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</si>
  <si>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</si>
  <si>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</si>
  <si>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</si>
  <si>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</si>
  <si>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</si>
  <si>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</si>
  <si>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</si>
  <si>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</si>
  <si>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</si>
  <si>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</si>
  <si>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</si>
  <si>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</si>
  <si>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</si>
  <si>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</si>
  <si>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</si>
  <si>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</si>
  <si>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</si>
  <si>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</si>
  <si>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</si>
  <si>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</si>
  <si>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</si>
  <si>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</si>
  <si>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</si>
  <si>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</si>
  <si>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</si>
  <si>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</si>
  <si>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</si>
  <si>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</si>
  <si>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</si>
  <si>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</si>
  <si>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</si>
  <si>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</si>
  <si>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</si>
  <si>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</si>
  <si>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</si>
  <si>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</si>
  <si>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</si>
  <si>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</si>
  <si>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</si>
  <si>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</si>
  <si>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</si>
  <si>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</si>
  <si>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</si>
  <si>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</si>
  <si>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</si>
  <si>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</si>
  <si>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</si>
  <si>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</si>
  <si>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</si>
  <si>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</si>
  <si>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</si>
  <si>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</si>
  <si>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</si>
  <si>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</si>
  <si>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</si>
  <si>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</si>
  <si>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</si>
  <si>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</si>
  <si>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</si>
  <si>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</si>
  <si>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</si>
  <si>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</si>
  <si>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</si>
  <si>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</si>
  <si>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</si>
  <si>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</si>
  <si>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</si>
  <si>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</si>
  <si>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</si>
  <si>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</si>
  <si>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</si>
  <si>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</si>
  <si>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</si>
  <si>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</si>
  <si>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</si>
  <si>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</si>
  <si>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</si>
  <si>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</si>
  <si>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</si>
  <si>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</si>
  <si>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</si>
  <si>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</si>
  <si>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</si>
  <si>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</si>
  <si>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</si>
  <si>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</si>
  <si>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</si>
  <si>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</si>
  <si>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</si>
  <si>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</si>
  <si>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</si>
  <si>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</si>
  <si>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</si>
  <si>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</si>
  <si>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</si>
  <si>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</si>
  <si>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</si>
  <si>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</si>
  <si>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</si>
  <si>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</si>
  <si>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</si>
  <si>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</si>
  <si>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</si>
  <si>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</si>
  <si>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</si>
  <si>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</si>
  <si>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</si>
  <si>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</si>
  <si>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</si>
  <si>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</si>
  <si>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</si>
  <si>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</si>
  <si>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</si>
  <si>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</si>
  <si>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</si>
  <si>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</si>
  <si>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</si>
  <si>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</si>
  <si>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</si>
  <si>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</si>
  <si>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</si>
  <si>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</si>
  <si>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</si>
  <si>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</si>
  <si>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</si>
  <si>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</si>
  <si>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</si>
  <si>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</si>
  <si>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</si>
  <si>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</si>
  <si>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</si>
  <si>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</si>
  <si>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</si>
  <si>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</si>
  <si>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</si>
  <si>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</si>
  <si>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</si>
  <si>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</si>
  <si>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</si>
  <si>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</si>
  <si>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</si>
  <si>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</si>
  <si>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</si>
  <si>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</si>
  <si>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</si>
  <si>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</si>
  <si>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</si>
  <si>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</si>
  <si>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</si>
  <si>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</si>
  <si>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</si>
  <si>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</si>
  <si>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</si>
  <si>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</si>
  <si>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TSO001126469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</si>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</sst>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9"/>
  <sheetViews>
    <sheetView showGridLines="0" tabSelected="1" topLeftCell="C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647" t="s">
        <v>26</v>
      </c>
      <c r="E1" s="647"/>
      <c r="F1" s="647"/>
      <c r="G1" s="14" t="s">
        <v>66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67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651" t="s">
        <v>8</v>
      </c>
      <c r="B5" s="651"/>
      <c r="C5" s="651"/>
      <c r="D5" s="652"/>
      <c r="E5" s="652"/>
      <c r="F5" s="653" t="s">
        <v>14</v>
      </c>
      <c r="G5" s="653"/>
      <c r="H5" s="652" t="s">
        <v>904</v>
      </c>
      <c r="I5" s="652"/>
      <c r="J5" s="652"/>
      <c r="K5" s="652"/>
      <c r="L5" s="652"/>
      <c r="M5" s="652"/>
      <c r="N5" s="69"/>
      <c r="P5" s="26" t="s">
        <v>4</v>
      </c>
      <c r="Q5" s="654">
        <v>46291</v>
      </c>
      <c r="R5" s="654"/>
      <c r="T5" s="655" t="s">
        <v>3</v>
      </c>
      <c r="U5" s="656"/>
      <c r="V5" s="657" t="s">
        <v>872</v>
      </c>
      <c r="W5" s="658"/>
      <c r="AB5" s="57"/>
      <c r="AC5" s="57"/>
      <c r="AD5" s="57"/>
      <c r="AE5" s="57"/>
    </row>
    <row r="6" spans="1:32" s="17" customFormat="1" ht="24" customHeight="1" x14ac:dyDescent="0.25">
      <c r="A6" s="651" t="s">
        <v>1</v>
      </c>
      <c r="B6" s="651"/>
      <c r="C6" s="651"/>
      <c r="D6" s="659" t="s">
        <v>879</v>
      </c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60"/>
      <c r="T6" s="661" t="s">
        <v>5</v>
      </c>
      <c r="U6" s="662"/>
      <c r="V6" s="663" t="s">
        <v>69</v>
      </c>
      <c r="W6" s="664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669" t="str">
        <f>IFERROR(VLOOKUP(DeliveryAddress,Table,3,0),1)</f>
        <v>3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5">
      <c r="A8" s="672" t="s">
        <v>57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0.41666666666666669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" customHeight="1" x14ac:dyDescent="0.25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70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905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686" t="s">
        <v>71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5">
      <c r="A13" s="686" t="s">
        <v>72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686" t="s">
        <v>73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688" t="s">
        <v>74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60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93" t="s">
        <v>58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65</v>
      </c>
      <c r="L17" s="693" t="s">
        <v>63</v>
      </c>
      <c r="M17" s="693" t="s">
        <v>2</v>
      </c>
      <c r="N17" s="693" t="s">
        <v>62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55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59</v>
      </c>
      <c r="AB17" s="707" t="s">
        <v>19</v>
      </c>
      <c r="AC17" s="707" t="s">
        <v>64</v>
      </c>
      <c r="AD17" s="709" t="s">
        <v>56</v>
      </c>
      <c r="AE17" s="710"/>
      <c r="AF17" s="711"/>
      <c r="AG17" s="77"/>
      <c r="BD17" s="76" t="s">
        <v>61</v>
      </c>
    </row>
    <row r="18" spans="1:68" ht="14.25" customHeight="1" x14ac:dyDescent="0.25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5">
      <c r="A19" s="715" t="s">
        <v>75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75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76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85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103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85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715" t="s">
        <v>119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120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121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136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121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140</v>
      </c>
      <c r="B57" s="60" t="s">
        <v>143</v>
      </c>
      <c r="C57" s="34">
        <v>4301012162</v>
      </c>
      <c r="D57" s="718">
        <v>4680115881426</v>
      </c>
      <c r="E57" s="71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126</v>
      </c>
      <c r="L57" s="35" t="s">
        <v>46</v>
      </c>
      <c r="M57" s="36" t="s">
        <v>125</v>
      </c>
      <c r="N57" s="36"/>
      <c r="O57" s="35">
        <v>50</v>
      </c>
      <c r="P57" s="74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145</v>
      </c>
      <c r="B58" s="60" t="s">
        <v>146</v>
      </c>
      <c r="C58" s="34">
        <v>4301012259</v>
      </c>
      <c r="D58" s="718">
        <v>4680115880283</v>
      </c>
      <c r="E58" s="71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45</v>
      </c>
      <c r="P58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148</v>
      </c>
      <c r="B59" s="60" t="s">
        <v>149</v>
      </c>
      <c r="C59" s="34">
        <v>4301011806</v>
      </c>
      <c r="D59" s="718">
        <v>4680115881525</v>
      </c>
      <c r="E59" s="71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148</v>
      </c>
      <c r="B60" s="60" t="s">
        <v>151</v>
      </c>
      <c r="C60" s="34">
        <v>4301012159</v>
      </c>
      <c r="D60" s="718">
        <v>4680115881525</v>
      </c>
      <c r="E60" s="71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144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4301012165</v>
      </c>
      <c r="D61" s="718">
        <v>4680115885899</v>
      </c>
      <c r="E61" s="71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90</v>
      </c>
      <c r="L61" s="35" t="s">
        <v>46</v>
      </c>
      <c r="M61" s="36" t="s">
        <v>125</v>
      </c>
      <c r="N61" s="36"/>
      <c r="O61" s="35">
        <v>50</v>
      </c>
      <c r="P61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0"/>
      <c r="R61" s="720"/>
      <c r="S61" s="720"/>
      <c r="T61" s="72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139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154</v>
      </c>
      <c r="B62" s="60" t="s">
        <v>155</v>
      </c>
      <c r="C62" s="34">
        <v>4301011801</v>
      </c>
      <c r="D62" s="718">
        <v>4680115881419</v>
      </c>
      <c r="E62" s="71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133</v>
      </c>
      <c r="L62" s="35" t="s">
        <v>46</v>
      </c>
      <c r="M62" s="36" t="s">
        <v>125</v>
      </c>
      <c r="N62" s="36"/>
      <c r="O62" s="35">
        <v>50</v>
      </c>
      <c r="P62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0"/>
      <c r="R62" s="720"/>
      <c r="S62" s="720"/>
      <c r="T62" s="72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156</v>
      </c>
      <c r="AG62" s="75"/>
      <c r="AJ62" s="79" t="s">
        <v>46</v>
      </c>
      <c r="AK62" s="79">
        <v>0</v>
      </c>
      <c r="BB62" s="128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154</v>
      </c>
      <c r="B63" s="60" t="s">
        <v>157</v>
      </c>
      <c r="C63" s="34">
        <v>4301012158</v>
      </c>
      <c r="D63" s="718">
        <v>4680115881419</v>
      </c>
      <c r="E63" s="718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133</v>
      </c>
      <c r="L63" s="35" t="s">
        <v>46</v>
      </c>
      <c r="M63" s="36" t="s">
        <v>125</v>
      </c>
      <c r="N63" s="36"/>
      <c r="O63" s="35">
        <v>50</v>
      </c>
      <c r="P63" s="75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0"/>
      <c r="R63" s="720"/>
      <c r="S63" s="720"/>
      <c r="T63" s="72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144</v>
      </c>
      <c r="AG63" s="75"/>
      <c r="AJ63" s="79" t="s">
        <v>46</v>
      </c>
      <c r="AK63" s="79">
        <v>0</v>
      </c>
      <c r="BB63" s="130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5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5">
      <c r="A65" s="726"/>
      <c r="B65" s="726"/>
      <c r="C65" s="726"/>
      <c r="D65" s="726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7"/>
      <c r="P65" s="723" t="s">
        <v>40</v>
      </c>
      <c r="Q65" s="724"/>
      <c r="R65" s="724"/>
      <c r="S65" s="724"/>
      <c r="T65" s="724"/>
      <c r="U65" s="724"/>
      <c r="V65" s="725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717" t="s">
        <v>158</v>
      </c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717"/>
      <c r="M66" s="717"/>
      <c r="N66" s="717"/>
      <c r="O66" s="717"/>
      <c r="P66" s="717"/>
      <c r="Q66" s="717"/>
      <c r="R66" s="717"/>
      <c r="S66" s="717"/>
      <c r="T66" s="717"/>
      <c r="U66" s="717"/>
      <c r="V66" s="717"/>
      <c r="W66" s="717"/>
      <c r="X66" s="717"/>
      <c r="Y66" s="717"/>
      <c r="Z66" s="717"/>
      <c r="AA66" s="63"/>
      <c r="AB66" s="63"/>
      <c r="AC66" s="63"/>
    </row>
    <row r="67" spans="1:68" ht="16.5" hidden="1" customHeight="1" x14ac:dyDescent="0.25">
      <c r="A67" s="60" t="s">
        <v>159</v>
      </c>
      <c r="B67" s="60" t="s">
        <v>160</v>
      </c>
      <c r="C67" s="34">
        <v>4301020298</v>
      </c>
      <c r="D67" s="718">
        <v>4680115881440</v>
      </c>
      <c r="E67" s="718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126</v>
      </c>
      <c r="L67" s="35" t="s">
        <v>46</v>
      </c>
      <c r="M67" s="36" t="s">
        <v>125</v>
      </c>
      <c r="N67" s="36"/>
      <c r="O67" s="35">
        <v>50</v>
      </c>
      <c r="P67" s="7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159</v>
      </c>
      <c r="B68" s="60" t="s">
        <v>162</v>
      </c>
      <c r="C68" s="34">
        <v>4301020390</v>
      </c>
      <c r="D68" s="718">
        <v>4680115881440</v>
      </c>
      <c r="E68" s="718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126</v>
      </c>
      <c r="L68" s="35" t="s">
        <v>46</v>
      </c>
      <c r="M68" s="36" t="s">
        <v>125</v>
      </c>
      <c r="N68" s="36"/>
      <c r="O68" s="35">
        <v>50</v>
      </c>
      <c r="P68" s="7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0"/>
      <c r="R68" s="720"/>
      <c r="S68" s="720"/>
      <c r="T68" s="72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163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164</v>
      </c>
      <c r="B69" s="60" t="s">
        <v>165</v>
      </c>
      <c r="C69" s="34">
        <v>4301020358</v>
      </c>
      <c r="D69" s="718">
        <v>4680115885950</v>
      </c>
      <c r="E69" s="718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90</v>
      </c>
      <c r="L69" s="35" t="s">
        <v>46</v>
      </c>
      <c r="M69" s="36" t="s">
        <v>89</v>
      </c>
      <c r="N69" s="36"/>
      <c r="O69" s="35">
        <v>50</v>
      </c>
      <c r="P69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0"/>
      <c r="R69" s="720"/>
      <c r="S69" s="720"/>
      <c r="T69" s="72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166</v>
      </c>
      <c r="B70" s="60" t="s">
        <v>167</v>
      </c>
      <c r="C70" s="34">
        <v>4301020371</v>
      </c>
      <c r="D70" s="718">
        <v>4680115887688</v>
      </c>
      <c r="E70" s="718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130</v>
      </c>
      <c r="L70" s="35" t="s">
        <v>46</v>
      </c>
      <c r="M70" s="36" t="s">
        <v>80</v>
      </c>
      <c r="N70" s="36"/>
      <c r="O70" s="35">
        <v>30</v>
      </c>
      <c r="P70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0"/>
      <c r="R70" s="720"/>
      <c r="S70" s="720"/>
      <c r="T70" s="72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168</v>
      </c>
      <c r="AG70" s="75"/>
      <c r="AJ70" s="79" t="s">
        <v>46</v>
      </c>
      <c r="AK70" s="79">
        <v>0</v>
      </c>
      <c r="BB70" s="138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169</v>
      </c>
      <c r="B71" s="60" t="s">
        <v>170</v>
      </c>
      <c r="C71" s="34">
        <v>4301020389</v>
      </c>
      <c r="D71" s="718">
        <v>4680115881433</v>
      </c>
      <c r="E71" s="718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90</v>
      </c>
      <c r="L71" s="35" t="s">
        <v>46</v>
      </c>
      <c r="M71" s="36" t="s">
        <v>125</v>
      </c>
      <c r="N71" s="36"/>
      <c r="O71" s="35">
        <v>50</v>
      </c>
      <c r="P71" s="75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163</v>
      </c>
      <c r="AG71" s="75"/>
      <c r="AJ71" s="79" t="s">
        <v>46</v>
      </c>
      <c r="AK71" s="79">
        <v>0</v>
      </c>
      <c r="BB71" s="140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5">
      <c r="A72" s="726"/>
      <c r="B72" s="726"/>
      <c r="C72" s="726"/>
      <c r="D72" s="726"/>
      <c r="E72" s="726"/>
      <c r="F72" s="726"/>
      <c r="G72" s="726"/>
      <c r="H72" s="726"/>
      <c r="I72" s="726"/>
      <c r="J72" s="726"/>
      <c r="K72" s="726"/>
      <c r="L72" s="726"/>
      <c r="M72" s="726"/>
      <c r="N72" s="726"/>
      <c r="O72" s="727"/>
      <c r="P72" s="723" t="s">
        <v>40</v>
      </c>
      <c r="Q72" s="724"/>
      <c r="R72" s="724"/>
      <c r="S72" s="724"/>
      <c r="T72" s="724"/>
      <c r="U72" s="724"/>
      <c r="V72" s="725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5">
      <c r="A73" s="726"/>
      <c r="B73" s="726"/>
      <c r="C73" s="726"/>
      <c r="D73" s="726"/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7"/>
      <c r="P73" s="723" t="s">
        <v>40</v>
      </c>
      <c r="Q73" s="724"/>
      <c r="R73" s="724"/>
      <c r="S73" s="724"/>
      <c r="T73" s="724"/>
      <c r="U73" s="724"/>
      <c r="V73" s="725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717" t="s">
        <v>85</v>
      </c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7"/>
      <c r="P74" s="717"/>
      <c r="Q74" s="717"/>
      <c r="R74" s="717"/>
      <c r="S74" s="717"/>
      <c r="T74" s="717"/>
      <c r="U74" s="717"/>
      <c r="V74" s="717"/>
      <c r="W74" s="717"/>
      <c r="X74" s="717"/>
      <c r="Y74" s="717"/>
      <c r="Z74" s="717"/>
      <c r="AA74" s="63"/>
      <c r="AB74" s="63"/>
      <c r="AC74" s="63"/>
    </row>
    <row r="75" spans="1:68" ht="16.5" hidden="1" customHeight="1" x14ac:dyDescent="0.25">
      <c r="A75" s="60" t="s">
        <v>171</v>
      </c>
      <c r="B75" s="60" t="s">
        <v>172</v>
      </c>
      <c r="C75" s="34">
        <v>4301051837</v>
      </c>
      <c r="D75" s="718">
        <v>4680115884311</v>
      </c>
      <c r="E75" s="718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90</v>
      </c>
      <c r="L75" s="35" t="s">
        <v>46</v>
      </c>
      <c r="M75" s="36" t="s">
        <v>89</v>
      </c>
      <c r="N75" s="36"/>
      <c r="O75" s="35">
        <v>40</v>
      </c>
      <c r="P75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0"/>
      <c r="R75" s="720"/>
      <c r="S75" s="720"/>
      <c r="T75" s="721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173</v>
      </c>
      <c r="AG75" s="75"/>
      <c r="AJ75" s="79" t="s">
        <v>46</v>
      </c>
      <c r="AK75" s="79">
        <v>0</v>
      </c>
      <c r="BB75" s="142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174</v>
      </c>
      <c r="B76" s="60" t="s">
        <v>175</v>
      </c>
      <c r="C76" s="34">
        <v>4301052083</v>
      </c>
      <c r="D76" s="718">
        <v>4680115884403</v>
      </c>
      <c r="E76" s="71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90</v>
      </c>
      <c r="L76" s="35" t="s">
        <v>46</v>
      </c>
      <c r="M76" s="36" t="s">
        <v>89</v>
      </c>
      <c r="N76" s="36"/>
      <c r="O76" s="35">
        <v>40</v>
      </c>
      <c r="P76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0"/>
      <c r="R76" s="720"/>
      <c r="S76" s="720"/>
      <c r="T76" s="72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176</v>
      </c>
      <c r="AG76" s="75"/>
      <c r="AJ76" s="79" t="s">
        <v>46</v>
      </c>
      <c r="AK76" s="79">
        <v>0</v>
      </c>
      <c r="BB76" s="144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5">
      <c r="A77" s="726"/>
      <c r="B77" s="726"/>
      <c r="C77" s="726"/>
      <c r="D77" s="726"/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7"/>
      <c r="P77" s="723" t="s">
        <v>40</v>
      </c>
      <c r="Q77" s="724"/>
      <c r="R77" s="724"/>
      <c r="S77" s="724"/>
      <c r="T77" s="724"/>
      <c r="U77" s="724"/>
      <c r="V77" s="725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5">
      <c r="A78" s="726"/>
      <c r="B78" s="726"/>
      <c r="C78" s="726"/>
      <c r="D78" s="726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7"/>
      <c r="P78" s="723" t="s">
        <v>40</v>
      </c>
      <c r="Q78" s="724"/>
      <c r="R78" s="724"/>
      <c r="S78" s="724"/>
      <c r="T78" s="724"/>
      <c r="U78" s="724"/>
      <c r="V78" s="725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717" t="s">
        <v>177</v>
      </c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7"/>
      <c r="P79" s="717"/>
      <c r="Q79" s="717"/>
      <c r="R79" s="717"/>
      <c r="S79" s="717"/>
      <c r="T79" s="717"/>
      <c r="U79" s="717"/>
      <c r="V79" s="717"/>
      <c r="W79" s="717"/>
      <c r="X79" s="717"/>
      <c r="Y79" s="717"/>
      <c r="Z79" s="717"/>
      <c r="AA79" s="63"/>
      <c r="AB79" s="63"/>
      <c r="AC79" s="63"/>
    </row>
    <row r="80" spans="1:68" ht="27" hidden="1" customHeight="1" x14ac:dyDescent="0.25">
      <c r="A80" s="60" t="s">
        <v>178</v>
      </c>
      <c r="B80" s="60" t="s">
        <v>179</v>
      </c>
      <c r="C80" s="34">
        <v>4301060455</v>
      </c>
      <c r="D80" s="718">
        <v>4680115881532</v>
      </c>
      <c r="E80" s="718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126</v>
      </c>
      <c r="L80" s="35" t="s">
        <v>46</v>
      </c>
      <c r="M80" s="36" t="s">
        <v>96</v>
      </c>
      <c r="N80" s="36"/>
      <c r="O80" s="35">
        <v>30</v>
      </c>
      <c r="P80" s="7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178</v>
      </c>
      <c r="B81" s="60" t="s">
        <v>181</v>
      </c>
      <c r="C81" s="34">
        <v>4301060526</v>
      </c>
      <c r="D81" s="718">
        <v>4680115881532</v>
      </c>
      <c r="E81" s="71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126</v>
      </c>
      <c r="L81" s="35" t="s">
        <v>46</v>
      </c>
      <c r="M81" s="36" t="s">
        <v>96</v>
      </c>
      <c r="N81" s="36"/>
      <c r="O81" s="35">
        <v>30</v>
      </c>
      <c r="P81" s="7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0"/>
      <c r="R81" s="720"/>
      <c r="S81" s="720"/>
      <c r="T81" s="72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180</v>
      </c>
      <c r="AG81" s="75"/>
      <c r="AJ81" s="79" t="s">
        <v>46</v>
      </c>
      <c r="AK81" s="79">
        <v>0</v>
      </c>
      <c r="BB81" s="148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182</v>
      </c>
      <c r="B82" s="60" t="s">
        <v>183</v>
      </c>
      <c r="C82" s="34">
        <v>4301060527</v>
      </c>
      <c r="D82" s="718">
        <v>4680115881464</v>
      </c>
      <c r="E82" s="71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133</v>
      </c>
      <c r="L82" s="35" t="s">
        <v>46</v>
      </c>
      <c r="M82" s="36" t="s">
        <v>89</v>
      </c>
      <c r="N82" s="36"/>
      <c r="O82" s="35">
        <v>30</v>
      </c>
      <c r="P82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0"/>
      <c r="R82" s="720"/>
      <c r="S82" s="720"/>
      <c r="T82" s="72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184</v>
      </c>
      <c r="AG82" s="75"/>
      <c r="AJ82" s="79" t="s">
        <v>46</v>
      </c>
      <c r="AK82" s="79">
        <v>0</v>
      </c>
      <c r="BB82" s="150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5">
      <c r="A83" s="726"/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7"/>
      <c r="P83" s="723" t="s">
        <v>40</v>
      </c>
      <c r="Q83" s="724"/>
      <c r="R83" s="724"/>
      <c r="S83" s="724"/>
      <c r="T83" s="724"/>
      <c r="U83" s="724"/>
      <c r="V83" s="725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5">
      <c r="A84" s="726"/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7"/>
      <c r="P84" s="723" t="s">
        <v>40</v>
      </c>
      <c r="Q84" s="724"/>
      <c r="R84" s="724"/>
      <c r="S84" s="724"/>
      <c r="T84" s="724"/>
      <c r="U84" s="724"/>
      <c r="V84" s="725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716" t="s">
        <v>185</v>
      </c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  <c r="AA85" s="62"/>
      <c r="AB85" s="62"/>
      <c r="AC85" s="62"/>
    </row>
    <row r="86" spans="1:68" ht="14.25" hidden="1" customHeight="1" x14ac:dyDescent="0.25">
      <c r="A86" s="717" t="s">
        <v>121</v>
      </c>
      <c r="B86" s="717"/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  <c r="R86" s="717"/>
      <c r="S86" s="717"/>
      <c r="T86" s="717"/>
      <c r="U86" s="717"/>
      <c r="V86" s="717"/>
      <c r="W86" s="717"/>
      <c r="X86" s="717"/>
      <c r="Y86" s="717"/>
      <c r="Z86" s="717"/>
      <c r="AA86" s="63"/>
      <c r="AB86" s="63"/>
      <c r="AC86" s="63"/>
    </row>
    <row r="87" spans="1:68" ht="27" hidden="1" customHeight="1" x14ac:dyDescent="0.25">
      <c r="A87" s="60" t="s">
        <v>186</v>
      </c>
      <c r="B87" s="60" t="s">
        <v>187</v>
      </c>
      <c r="C87" s="34">
        <v>4301011468</v>
      </c>
      <c r="D87" s="718">
        <v>4680115881327</v>
      </c>
      <c r="E87" s="71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126</v>
      </c>
      <c r="L87" s="35" t="s">
        <v>46</v>
      </c>
      <c r="M87" s="36" t="s">
        <v>96</v>
      </c>
      <c r="N87" s="36"/>
      <c r="O87" s="35">
        <v>50</v>
      </c>
      <c r="P87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189</v>
      </c>
      <c r="B88" s="60" t="s">
        <v>190</v>
      </c>
      <c r="C88" s="34">
        <v>4301012392</v>
      </c>
      <c r="D88" s="718">
        <v>4680115887732</v>
      </c>
      <c r="E88" s="718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130</v>
      </c>
      <c r="L88" s="35" t="s">
        <v>46</v>
      </c>
      <c r="M88" s="36" t="s">
        <v>80</v>
      </c>
      <c r="N88" s="36"/>
      <c r="O88" s="35">
        <v>30</v>
      </c>
      <c r="P88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191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4301011476</v>
      </c>
      <c r="D89" s="718">
        <v>4680115881518</v>
      </c>
      <c r="E89" s="71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133</v>
      </c>
      <c r="L89" s="35" t="s">
        <v>46</v>
      </c>
      <c r="M89" s="36" t="s">
        <v>89</v>
      </c>
      <c r="N89" s="36"/>
      <c r="O89" s="35">
        <v>50</v>
      </c>
      <c r="P89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188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4301012252</v>
      </c>
      <c r="D90" s="718">
        <v>4680115881518</v>
      </c>
      <c r="E90" s="718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0"/>
      <c r="R90" s="720"/>
      <c r="S90" s="720"/>
      <c r="T90" s="72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188</v>
      </c>
      <c r="AG90" s="75"/>
      <c r="AJ90" s="79" t="s">
        <v>46</v>
      </c>
      <c r="AK90" s="79">
        <v>0</v>
      </c>
      <c r="BB90" s="158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195</v>
      </c>
      <c r="B91" s="60" t="s">
        <v>196</v>
      </c>
      <c r="C91" s="34">
        <v>4301012250</v>
      </c>
      <c r="D91" s="718">
        <v>4680115881303</v>
      </c>
      <c r="E91" s="718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133</v>
      </c>
      <c r="L91" s="35" t="s">
        <v>46</v>
      </c>
      <c r="M91" s="36" t="s">
        <v>125</v>
      </c>
      <c r="N91" s="36"/>
      <c r="O91" s="35">
        <v>50</v>
      </c>
      <c r="P91" s="76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0"/>
      <c r="R91" s="720"/>
      <c r="S91" s="720"/>
      <c r="T91" s="721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188</v>
      </c>
      <c r="AG91" s="75"/>
      <c r="AJ91" s="79" t="s">
        <v>46</v>
      </c>
      <c r="AK91" s="79">
        <v>0</v>
      </c>
      <c r="BB91" s="160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5">
      <c r="A92" s="726"/>
      <c r="B92" s="726"/>
      <c r="C92" s="726"/>
      <c r="D92" s="726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7"/>
      <c r="P92" s="723" t="s">
        <v>40</v>
      </c>
      <c r="Q92" s="724"/>
      <c r="R92" s="724"/>
      <c r="S92" s="724"/>
      <c r="T92" s="724"/>
      <c r="U92" s="724"/>
      <c r="V92" s="725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5">
      <c r="A93" s="726"/>
      <c r="B93" s="726"/>
      <c r="C93" s="726"/>
      <c r="D93" s="726"/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7"/>
      <c r="P93" s="723" t="s">
        <v>40</v>
      </c>
      <c r="Q93" s="724"/>
      <c r="R93" s="724"/>
      <c r="S93" s="724"/>
      <c r="T93" s="724"/>
      <c r="U93" s="724"/>
      <c r="V93" s="725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717" t="s">
        <v>85</v>
      </c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  <c r="R94" s="717"/>
      <c r="S94" s="717"/>
      <c r="T94" s="717"/>
      <c r="U94" s="717"/>
      <c r="V94" s="717"/>
      <c r="W94" s="717"/>
      <c r="X94" s="717"/>
      <c r="Y94" s="717"/>
      <c r="Z94" s="717"/>
      <c r="AA94" s="63"/>
      <c r="AB94" s="63"/>
      <c r="AC94" s="63"/>
    </row>
    <row r="95" spans="1:68" ht="27" hidden="1" customHeight="1" x14ac:dyDescent="0.25">
      <c r="A95" s="60" t="s">
        <v>197</v>
      </c>
      <c r="B95" s="60" t="s">
        <v>198</v>
      </c>
      <c r="C95" s="34">
        <v>4301052101</v>
      </c>
      <c r="D95" s="718">
        <v>4607091386967</v>
      </c>
      <c r="E95" s="718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126</v>
      </c>
      <c r="L95" s="35" t="s">
        <v>46</v>
      </c>
      <c r="M95" s="36" t="s">
        <v>96</v>
      </c>
      <c r="N95" s="36"/>
      <c r="O95" s="35">
        <v>45</v>
      </c>
      <c r="P95" s="76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199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200</v>
      </c>
      <c r="B96" s="60" t="s">
        <v>201</v>
      </c>
      <c r="C96" s="34">
        <v>4301052090</v>
      </c>
      <c r="D96" s="718">
        <v>4680115884953</v>
      </c>
      <c r="E96" s="71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202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6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199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5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5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208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121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209</v>
      </c>
      <c r="B104" s="60" t="s">
        <v>212</v>
      </c>
      <c r="C104" s="34">
        <v>4301012256</v>
      </c>
      <c r="D104" s="718">
        <v>4680115882133</v>
      </c>
      <c r="E104" s="71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126</v>
      </c>
      <c r="L104" s="35" t="s">
        <v>46</v>
      </c>
      <c r="M104" s="36" t="s">
        <v>125</v>
      </c>
      <c r="N104" s="36"/>
      <c r="O104" s="35">
        <v>50</v>
      </c>
      <c r="P104" s="77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214</v>
      </c>
      <c r="B105" s="60" t="s">
        <v>215</v>
      </c>
      <c r="C105" s="34">
        <v>4301012379</v>
      </c>
      <c r="D105" s="718">
        <v>4680115887718</v>
      </c>
      <c r="E105" s="718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216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18">
        <v>4680115880269</v>
      </c>
      <c r="E106" s="71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211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217</v>
      </c>
      <c r="B107" s="60" t="s">
        <v>219</v>
      </c>
      <c r="C107" s="34">
        <v>4301012253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220</v>
      </c>
      <c r="B108" s="60" t="s">
        <v>221</v>
      </c>
      <c r="C108" s="34">
        <v>4301012254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125</v>
      </c>
      <c r="N108" s="36"/>
      <c r="O108" s="35">
        <v>50</v>
      </c>
      <c r="P108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222</v>
      </c>
      <c r="B109" s="60" t="s">
        <v>223</v>
      </c>
      <c r="C109" s="34">
        <v>4301011462</v>
      </c>
      <c r="D109" s="718">
        <v>4680115881457</v>
      </c>
      <c r="E109" s="718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89</v>
      </c>
      <c r="N109" s="36"/>
      <c r="O109" s="35">
        <v>50</v>
      </c>
      <c r="P109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211</v>
      </c>
      <c r="AG109" s="75"/>
      <c r="AJ109" s="79" t="s">
        <v>46</v>
      </c>
      <c r="AK109" s="79">
        <v>0</v>
      </c>
      <c r="BB109" s="182" t="s">
        <v>66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222</v>
      </c>
      <c r="B110" s="60" t="s">
        <v>224</v>
      </c>
      <c r="C110" s="34">
        <v>4301012255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125</v>
      </c>
      <c r="N110" s="36"/>
      <c r="O110" s="35">
        <v>50</v>
      </c>
      <c r="P110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66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225</v>
      </c>
      <c r="B111" s="60" t="s">
        <v>226</v>
      </c>
      <c r="C111" s="34">
        <v>4301012366</v>
      </c>
      <c r="D111" s="718">
        <v>4680115889477</v>
      </c>
      <c r="E111" s="718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90</v>
      </c>
      <c r="L111" s="35" t="s">
        <v>46</v>
      </c>
      <c r="M111" s="36" t="s">
        <v>125</v>
      </c>
      <c r="N111" s="36"/>
      <c r="O111" s="35">
        <v>55</v>
      </c>
      <c r="P111" s="77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0"/>
      <c r="R111" s="720"/>
      <c r="S111" s="720"/>
      <c r="T111" s="72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227</v>
      </c>
      <c r="AG111" s="75"/>
      <c r="AJ111" s="79" t="s">
        <v>46</v>
      </c>
      <c r="AK111" s="79">
        <v>0</v>
      </c>
      <c r="BB111" s="186" t="s">
        <v>66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5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5">
      <c r="A113" s="726"/>
      <c r="B113" s="726"/>
      <c r="C113" s="726"/>
      <c r="D113" s="726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7"/>
      <c r="P113" s="723" t="s">
        <v>40</v>
      </c>
      <c r="Q113" s="724"/>
      <c r="R113" s="724"/>
      <c r="S113" s="724"/>
      <c r="T113" s="724"/>
      <c r="U113" s="724"/>
      <c r="V113" s="725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717" t="s">
        <v>158</v>
      </c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7"/>
      <c r="P114" s="717"/>
      <c r="Q114" s="717"/>
      <c r="R114" s="717"/>
      <c r="S114" s="717"/>
      <c r="T114" s="717"/>
      <c r="U114" s="717"/>
      <c r="V114" s="717"/>
      <c r="W114" s="717"/>
      <c r="X114" s="717"/>
      <c r="Y114" s="717"/>
      <c r="Z114" s="717"/>
      <c r="AA114" s="63"/>
      <c r="AB114" s="63"/>
      <c r="AC114" s="63"/>
    </row>
    <row r="115" spans="1:68" ht="27" hidden="1" customHeight="1" x14ac:dyDescent="0.25">
      <c r="A115" s="60" t="s">
        <v>228</v>
      </c>
      <c r="B115" s="60" t="s">
        <v>229</v>
      </c>
      <c r="C115" s="34">
        <v>4301020391</v>
      </c>
      <c r="D115" s="718">
        <v>4680115881488</v>
      </c>
      <c r="E115" s="71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126</v>
      </c>
      <c r="L115" s="35" t="s">
        <v>46</v>
      </c>
      <c r="M115" s="36" t="s">
        <v>125</v>
      </c>
      <c r="N115" s="36"/>
      <c r="O115" s="35">
        <v>55</v>
      </c>
      <c r="P115" s="7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230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231</v>
      </c>
      <c r="B116" s="60" t="s">
        <v>232</v>
      </c>
      <c r="C116" s="34">
        <v>4301020393</v>
      </c>
      <c r="D116" s="718">
        <v>4680115882775</v>
      </c>
      <c r="E116" s="71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81</v>
      </c>
      <c r="L116" s="35" t="s">
        <v>46</v>
      </c>
      <c r="M116" s="36" t="s">
        <v>125</v>
      </c>
      <c r="N116" s="36"/>
      <c r="O116" s="35">
        <v>55</v>
      </c>
      <c r="P116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230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4301020392</v>
      </c>
      <c r="D117" s="718">
        <v>4680115880658</v>
      </c>
      <c r="E117" s="71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90</v>
      </c>
      <c r="L117" s="35" t="s">
        <v>46</v>
      </c>
      <c r="M117" s="36" t="s">
        <v>125</v>
      </c>
      <c r="N117" s="36"/>
      <c r="O117" s="35">
        <v>55</v>
      </c>
      <c r="P117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230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5">
      <c r="A118" s="726"/>
      <c r="B118" s="726"/>
      <c r="C118" s="726"/>
      <c r="D118" s="726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7"/>
      <c r="P118" s="723" t="s">
        <v>40</v>
      </c>
      <c r="Q118" s="724"/>
      <c r="R118" s="724"/>
      <c r="S118" s="724"/>
      <c r="T118" s="724"/>
      <c r="U118" s="724"/>
      <c r="V118" s="725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5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717" t="s">
        <v>85</v>
      </c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7"/>
      <c r="P120" s="717"/>
      <c r="Q120" s="717"/>
      <c r="R120" s="717"/>
      <c r="S120" s="717"/>
      <c r="T120" s="717"/>
      <c r="U120" s="717"/>
      <c r="V120" s="717"/>
      <c r="W120" s="717"/>
      <c r="X120" s="717"/>
      <c r="Y120" s="717"/>
      <c r="Z120" s="717"/>
      <c r="AA120" s="63"/>
      <c r="AB120" s="63"/>
      <c r="AC120" s="63"/>
    </row>
    <row r="121" spans="1:68" ht="27" hidden="1" customHeight="1" x14ac:dyDescent="0.25">
      <c r="A121" s="60" t="s">
        <v>235</v>
      </c>
      <c r="B121" s="60" t="s">
        <v>236</v>
      </c>
      <c r="C121" s="34">
        <v>4301052088</v>
      </c>
      <c r="D121" s="718">
        <v>4607091385168</v>
      </c>
      <c r="E121" s="71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126</v>
      </c>
      <c r="L121" s="35" t="s">
        <v>46</v>
      </c>
      <c r="M121" s="36" t="s">
        <v>89</v>
      </c>
      <c r="N121" s="36"/>
      <c r="O121" s="35">
        <v>45</v>
      </c>
      <c r="P121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0"/>
      <c r="R121" s="720"/>
      <c r="S121" s="720"/>
      <c r="T121" s="72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238</v>
      </c>
      <c r="B122" s="60" t="s">
        <v>239</v>
      </c>
      <c r="C122" s="34">
        <v>4301052087</v>
      </c>
      <c r="D122" s="718">
        <v>4607091383256</v>
      </c>
      <c r="E122" s="71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237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4301052086</v>
      </c>
      <c r="D123" s="718">
        <v>4607091385748</v>
      </c>
      <c r="E123" s="71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237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242</v>
      </c>
      <c r="B124" s="60" t="s">
        <v>243</v>
      </c>
      <c r="C124" s="34">
        <v>4301052085</v>
      </c>
      <c r="D124" s="718">
        <v>4680115884533</v>
      </c>
      <c r="E124" s="71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90</v>
      </c>
      <c r="L124" s="35" t="s">
        <v>46</v>
      </c>
      <c r="M124" s="36" t="s">
        <v>89</v>
      </c>
      <c r="N124" s="36"/>
      <c r="O124" s="35">
        <v>45</v>
      </c>
      <c r="P124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66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5">
      <c r="A125" s="726"/>
      <c r="B125" s="726"/>
      <c r="C125" s="726"/>
      <c r="D125" s="726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7"/>
      <c r="P125" s="723" t="s">
        <v>40</v>
      </c>
      <c r="Q125" s="724"/>
      <c r="R125" s="724"/>
      <c r="S125" s="724"/>
      <c r="T125" s="724"/>
      <c r="U125" s="724"/>
      <c r="V125" s="72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5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717" t="s">
        <v>177</v>
      </c>
      <c r="B127" s="717"/>
      <c r="C127" s="717"/>
      <c r="D127" s="717"/>
      <c r="E127" s="717"/>
      <c r="F127" s="717"/>
      <c r="G127" s="717"/>
      <c r="H127" s="717"/>
      <c r="I127" s="717"/>
      <c r="J127" s="717"/>
      <c r="K127" s="717"/>
      <c r="L127" s="717"/>
      <c r="M127" s="717"/>
      <c r="N127" s="717"/>
      <c r="O127" s="717"/>
      <c r="P127" s="717"/>
      <c r="Q127" s="717"/>
      <c r="R127" s="717"/>
      <c r="S127" s="717"/>
      <c r="T127" s="717"/>
      <c r="U127" s="717"/>
      <c r="V127" s="717"/>
      <c r="W127" s="717"/>
      <c r="X127" s="717"/>
      <c r="Y127" s="717"/>
      <c r="Z127" s="717"/>
      <c r="AA127" s="63"/>
      <c r="AB127" s="63"/>
      <c r="AC127" s="63"/>
    </row>
    <row r="128" spans="1:68" ht="16.5" hidden="1" customHeight="1" x14ac:dyDescent="0.25">
      <c r="A128" s="60" t="s">
        <v>245</v>
      </c>
      <c r="B128" s="60" t="s">
        <v>246</v>
      </c>
      <c r="C128" s="34">
        <v>4301060525</v>
      </c>
      <c r="D128" s="718">
        <v>4680115880238</v>
      </c>
      <c r="E128" s="71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40</v>
      </c>
      <c r="P128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247</v>
      </c>
      <c r="AG128" s="75"/>
      <c r="AJ128" s="79" t="s">
        <v>46</v>
      </c>
      <c r="AK128" s="79">
        <v>0</v>
      </c>
      <c r="BB128" s="202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5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5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716" t="s">
        <v>248</v>
      </c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  <c r="AA131" s="62"/>
      <c r="AB131" s="62"/>
      <c r="AC131" s="62"/>
    </row>
    <row r="132" spans="1:68" ht="14.25" hidden="1" customHeight="1" x14ac:dyDescent="0.25">
      <c r="A132" s="717" t="s">
        <v>121</v>
      </c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7"/>
      <c r="P132" s="717"/>
      <c r="Q132" s="717"/>
      <c r="R132" s="717"/>
      <c r="S132" s="717"/>
      <c r="T132" s="717"/>
      <c r="U132" s="717"/>
      <c r="V132" s="717"/>
      <c r="W132" s="717"/>
      <c r="X132" s="717"/>
      <c r="Y132" s="717"/>
      <c r="Z132" s="717"/>
      <c r="AA132" s="63"/>
      <c r="AB132" s="63"/>
      <c r="AC132" s="63"/>
    </row>
    <row r="133" spans="1:68" ht="27" hidden="1" customHeight="1" x14ac:dyDescent="0.25">
      <c r="A133" s="60" t="s">
        <v>249</v>
      </c>
      <c r="B133" s="60" t="s">
        <v>250</v>
      </c>
      <c r="C133" s="34">
        <v>4301011562</v>
      </c>
      <c r="D133" s="718">
        <v>4680115882577</v>
      </c>
      <c r="E133" s="71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252</v>
      </c>
      <c r="N133" s="36"/>
      <c r="O133" s="35">
        <v>90</v>
      </c>
      <c r="P133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251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249</v>
      </c>
      <c r="B134" s="60" t="s">
        <v>253</v>
      </c>
      <c r="C134" s="34">
        <v>4301011564</v>
      </c>
      <c r="D134" s="718">
        <v>4680115882577</v>
      </c>
      <c r="E134" s="71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252</v>
      </c>
      <c r="N134" s="36"/>
      <c r="O134" s="35">
        <v>90</v>
      </c>
      <c r="P134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0"/>
      <c r="R134" s="720"/>
      <c r="S134" s="720"/>
      <c r="T134" s="72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251</v>
      </c>
      <c r="AG134" s="75"/>
      <c r="AJ134" s="79" t="s">
        <v>46</v>
      </c>
      <c r="AK134" s="79">
        <v>0</v>
      </c>
      <c r="BB134" s="206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5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5">
      <c r="A136" s="726"/>
      <c r="B136" s="726"/>
      <c r="C136" s="726"/>
      <c r="D136" s="726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7"/>
      <c r="P136" s="723" t="s">
        <v>40</v>
      </c>
      <c r="Q136" s="724"/>
      <c r="R136" s="724"/>
      <c r="S136" s="724"/>
      <c r="T136" s="724"/>
      <c r="U136" s="724"/>
      <c r="V136" s="72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717" t="s">
        <v>76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254</v>
      </c>
      <c r="B138" s="60" t="s">
        <v>255</v>
      </c>
      <c r="C138" s="34">
        <v>4301031234</v>
      </c>
      <c r="D138" s="718">
        <v>4680115883444</v>
      </c>
      <c r="E138" s="71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252</v>
      </c>
      <c r="N138" s="36"/>
      <c r="O138" s="35">
        <v>90</v>
      </c>
      <c r="P138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256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254</v>
      </c>
      <c r="B139" s="60" t="s">
        <v>257</v>
      </c>
      <c r="C139" s="34">
        <v>4301031235</v>
      </c>
      <c r="D139" s="718">
        <v>4680115883444</v>
      </c>
      <c r="E139" s="71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90</v>
      </c>
      <c r="L139" s="35" t="s">
        <v>46</v>
      </c>
      <c r="M139" s="36" t="s">
        <v>252</v>
      </c>
      <c r="N139" s="36"/>
      <c r="O139" s="35">
        <v>90</v>
      </c>
      <c r="P139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256</v>
      </c>
      <c r="AG139" s="75"/>
      <c r="AJ139" s="79" t="s">
        <v>46</v>
      </c>
      <c r="AK139" s="79">
        <v>0</v>
      </c>
      <c r="BB139" s="210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5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5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85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16.5" hidden="1" customHeight="1" x14ac:dyDescent="0.25">
      <c r="A143" s="60" t="s">
        <v>258</v>
      </c>
      <c r="B143" s="60" t="s">
        <v>259</v>
      </c>
      <c r="C143" s="34">
        <v>4301051476</v>
      </c>
      <c r="D143" s="718">
        <v>4680115882584</v>
      </c>
      <c r="E143" s="71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252</v>
      </c>
      <c r="N143" s="36"/>
      <c r="O143" s="35">
        <v>60</v>
      </c>
      <c r="P143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251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258</v>
      </c>
      <c r="B144" s="60" t="s">
        <v>260</v>
      </c>
      <c r="C144" s="34">
        <v>4301051477</v>
      </c>
      <c r="D144" s="718">
        <v>4680115882584</v>
      </c>
      <c r="E144" s="71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90</v>
      </c>
      <c r="L144" s="35" t="s">
        <v>46</v>
      </c>
      <c r="M144" s="36" t="s">
        <v>252</v>
      </c>
      <c r="N144" s="36"/>
      <c r="O144" s="35">
        <v>60</v>
      </c>
      <c r="P144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251</v>
      </c>
      <c r="AG144" s="75"/>
      <c r="AJ144" s="79" t="s">
        <v>46</v>
      </c>
      <c r="AK144" s="79">
        <v>0</v>
      </c>
      <c r="BB144" s="214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5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5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16" t="s">
        <v>261</v>
      </c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  <c r="AA147" s="62"/>
      <c r="AB147" s="62"/>
      <c r="AC147" s="62"/>
    </row>
    <row r="148" spans="1:68" ht="14.25" hidden="1" customHeight="1" x14ac:dyDescent="0.25">
      <c r="A148" s="717" t="s">
        <v>85</v>
      </c>
      <c r="B148" s="717"/>
      <c r="C148" s="717"/>
      <c r="D148" s="717"/>
      <c r="E148" s="717"/>
      <c r="F148" s="717"/>
      <c r="G148" s="717"/>
      <c r="H148" s="717"/>
      <c r="I148" s="717"/>
      <c r="J148" s="717"/>
      <c r="K148" s="717"/>
      <c r="L148" s="717"/>
      <c r="M148" s="717"/>
      <c r="N148" s="717"/>
      <c r="O148" s="717"/>
      <c r="P148" s="717"/>
      <c r="Q148" s="717"/>
      <c r="R148" s="717"/>
      <c r="S148" s="717"/>
      <c r="T148" s="717"/>
      <c r="U148" s="717"/>
      <c r="V148" s="717"/>
      <c r="W148" s="717"/>
      <c r="X148" s="717"/>
      <c r="Y148" s="717"/>
      <c r="Z148" s="717"/>
      <c r="AA148" s="63"/>
      <c r="AB148" s="63"/>
      <c r="AC148" s="63"/>
    </row>
    <row r="149" spans="1:68" ht="27" hidden="1" customHeight="1" x14ac:dyDescent="0.25">
      <c r="A149" s="60" t="s">
        <v>262</v>
      </c>
      <c r="B149" s="60" t="s">
        <v>263</v>
      </c>
      <c r="C149" s="34">
        <v>4301052254</v>
      </c>
      <c r="D149" s="718">
        <v>4680115888203</v>
      </c>
      <c r="E149" s="71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264</v>
      </c>
      <c r="AG149" s="75"/>
      <c r="AJ149" s="79" t="s">
        <v>46</v>
      </c>
      <c r="AK149" s="79">
        <v>0</v>
      </c>
      <c r="BB149" s="216" t="s">
        <v>66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265</v>
      </c>
      <c r="B150" s="60" t="s">
        <v>266</v>
      </c>
      <c r="C150" s="34">
        <v>4301052172</v>
      </c>
      <c r="D150" s="718">
        <v>4680115888180</v>
      </c>
      <c r="E150" s="71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0"/>
      <c r="R150" s="720"/>
      <c r="S150" s="720"/>
      <c r="T150" s="72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267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265</v>
      </c>
      <c r="B151" s="60" t="s">
        <v>268</v>
      </c>
      <c r="C151" s="34">
        <v>4301052252</v>
      </c>
      <c r="D151" s="718">
        <v>4680115888180</v>
      </c>
      <c r="E151" s="71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0"/>
      <c r="R151" s="720"/>
      <c r="S151" s="720"/>
      <c r="T151" s="72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267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269</v>
      </c>
      <c r="B152" s="60" t="s">
        <v>270</v>
      </c>
      <c r="C152" s="34">
        <v>4301052253</v>
      </c>
      <c r="D152" s="718">
        <v>4680115888197</v>
      </c>
      <c r="E152" s="71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0"/>
      <c r="R152" s="720"/>
      <c r="S152" s="720"/>
      <c r="T152" s="72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271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272</v>
      </c>
      <c r="B153" s="60" t="s">
        <v>273</v>
      </c>
      <c r="C153" s="34">
        <v>4301052175</v>
      </c>
      <c r="D153" s="718">
        <v>4680115888210</v>
      </c>
      <c r="E153" s="718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0"/>
      <c r="R153" s="720"/>
      <c r="S153" s="720"/>
      <c r="T153" s="721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274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272</v>
      </c>
      <c r="B154" s="60" t="s">
        <v>275</v>
      </c>
      <c r="C154" s="34">
        <v>4301052255</v>
      </c>
      <c r="D154" s="718">
        <v>4680115888210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274</v>
      </c>
      <c r="AG154" s="75"/>
      <c r="AJ154" s="79" t="s">
        <v>46</v>
      </c>
      <c r="AK154" s="79">
        <v>0</v>
      </c>
      <c r="BB154" s="226" t="s">
        <v>66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5">
      <c r="A155" s="726"/>
      <c r="B155" s="726"/>
      <c r="C155" s="726"/>
      <c r="D155" s="726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7"/>
      <c r="P155" s="723" t="s">
        <v>40</v>
      </c>
      <c r="Q155" s="724"/>
      <c r="R155" s="724"/>
      <c r="S155" s="724"/>
      <c r="T155" s="724"/>
      <c r="U155" s="724"/>
      <c r="V155" s="725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5">
      <c r="A156" s="726"/>
      <c r="B156" s="726"/>
      <c r="C156" s="726"/>
      <c r="D156" s="726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7"/>
      <c r="P156" s="723" t="s">
        <v>40</v>
      </c>
      <c r="Q156" s="724"/>
      <c r="R156" s="724"/>
      <c r="S156" s="724"/>
      <c r="T156" s="724"/>
      <c r="U156" s="724"/>
      <c r="V156" s="725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17" t="s">
        <v>276</v>
      </c>
      <c r="B157" s="717"/>
      <c r="C157" s="717"/>
      <c r="D157" s="717"/>
      <c r="E157" s="717"/>
      <c r="F157" s="717"/>
      <c r="G157" s="717"/>
      <c r="H157" s="717"/>
      <c r="I157" s="717"/>
      <c r="J157" s="717"/>
      <c r="K157" s="717"/>
      <c r="L157" s="717"/>
      <c r="M157" s="717"/>
      <c r="N157" s="717"/>
      <c r="O157" s="717"/>
      <c r="P157" s="717"/>
      <c r="Q157" s="717"/>
      <c r="R157" s="717"/>
      <c r="S157" s="717"/>
      <c r="T157" s="717"/>
      <c r="U157" s="717"/>
      <c r="V157" s="717"/>
      <c r="W157" s="717"/>
      <c r="X157" s="717"/>
      <c r="Y157" s="717"/>
      <c r="Z157" s="717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4301032067</v>
      </c>
      <c r="D158" s="718">
        <v>4680115889132</v>
      </c>
      <c r="E158" s="71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282</v>
      </c>
      <c r="L158" s="35" t="s">
        <v>46</v>
      </c>
      <c r="M158" s="36" t="s">
        <v>281</v>
      </c>
      <c r="N158" s="36"/>
      <c r="O158" s="35">
        <v>120</v>
      </c>
      <c r="P158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279</v>
      </c>
      <c r="AG158" s="75"/>
      <c r="AJ158" s="79" t="s">
        <v>46</v>
      </c>
      <c r="AK158" s="79">
        <v>0</v>
      </c>
      <c r="BB158" s="228" t="s">
        <v>280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5">
      <c r="A159" s="726"/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7"/>
      <c r="P159" s="723" t="s">
        <v>40</v>
      </c>
      <c r="Q159" s="724"/>
      <c r="R159" s="724"/>
      <c r="S159" s="724"/>
      <c r="T159" s="724"/>
      <c r="U159" s="724"/>
      <c r="V159" s="725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5">
      <c r="A160" s="726"/>
      <c r="B160" s="726"/>
      <c r="C160" s="726"/>
      <c r="D160" s="726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7"/>
      <c r="P160" s="723" t="s">
        <v>40</v>
      </c>
      <c r="Q160" s="724"/>
      <c r="R160" s="724"/>
      <c r="S160" s="724"/>
      <c r="T160" s="724"/>
      <c r="U160" s="724"/>
      <c r="V160" s="725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16" t="s">
        <v>119</v>
      </c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  <c r="AA161" s="62"/>
      <c r="AB161" s="62"/>
      <c r="AC161" s="62"/>
    </row>
    <row r="162" spans="1:68" ht="14.25" hidden="1" customHeight="1" x14ac:dyDescent="0.25">
      <c r="A162" s="717" t="s">
        <v>121</v>
      </c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7"/>
      <c r="P162" s="717"/>
      <c r="Q162" s="717"/>
      <c r="R162" s="717"/>
      <c r="S162" s="717"/>
      <c r="T162" s="717"/>
      <c r="U162" s="717"/>
      <c r="V162" s="717"/>
      <c r="W162" s="717"/>
      <c r="X162" s="717"/>
      <c r="Y162" s="717"/>
      <c r="Z162" s="717"/>
      <c r="AA162" s="63"/>
      <c r="AB162" s="63"/>
      <c r="AC162" s="63"/>
    </row>
    <row r="163" spans="1:68" ht="27" hidden="1" customHeight="1" x14ac:dyDescent="0.25">
      <c r="A163" s="60" t="s">
        <v>283</v>
      </c>
      <c r="B163" s="60" t="s">
        <v>284</v>
      </c>
      <c r="C163" s="34">
        <v>4301012338</v>
      </c>
      <c r="D163" s="718">
        <v>4680115887374</v>
      </c>
      <c r="E163" s="71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126</v>
      </c>
      <c r="L163" s="35" t="s">
        <v>46</v>
      </c>
      <c r="M163" s="36" t="s">
        <v>125</v>
      </c>
      <c r="N163" s="36"/>
      <c r="O163" s="35">
        <v>55</v>
      </c>
      <c r="P163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0"/>
      <c r="R163" s="720"/>
      <c r="S163" s="720"/>
      <c r="T163" s="72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285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286</v>
      </c>
      <c r="B164" s="60" t="s">
        <v>287</v>
      </c>
      <c r="C164" s="34">
        <v>4301011705</v>
      </c>
      <c r="D164" s="718">
        <v>4607091384604</v>
      </c>
      <c r="E164" s="71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133</v>
      </c>
      <c r="L164" s="35" t="s">
        <v>46</v>
      </c>
      <c r="M164" s="36" t="s">
        <v>125</v>
      </c>
      <c r="N164" s="36"/>
      <c r="O164" s="35">
        <v>50</v>
      </c>
      <c r="P164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288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286</v>
      </c>
      <c r="B165" s="60" t="s">
        <v>289</v>
      </c>
      <c r="C165" s="34">
        <v>4301012258</v>
      </c>
      <c r="D165" s="718">
        <v>4607091384604</v>
      </c>
      <c r="E165" s="71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133</v>
      </c>
      <c r="L165" s="35" t="s">
        <v>46</v>
      </c>
      <c r="M165" s="36" t="s">
        <v>125</v>
      </c>
      <c r="N165" s="36"/>
      <c r="O165" s="35">
        <v>50</v>
      </c>
      <c r="P165" s="80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0"/>
      <c r="R165" s="720"/>
      <c r="S165" s="720"/>
      <c r="T165" s="72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288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290</v>
      </c>
      <c r="B166" s="60" t="s">
        <v>291</v>
      </c>
      <c r="C166" s="34">
        <v>4301012344</v>
      </c>
      <c r="D166" s="718">
        <v>4680115888876</v>
      </c>
      <c r="E166" s="71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0"/>
      <c r="R166" s="720"/>
      <c r="S166" s="720"/>
      <c r="T166" s="72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292</v>
      </c>
      <c r="AG166" s="75"/>
      <c r="AJ166" s="79" t="s">
        <v>46</v>
      </c>
      <c r="AK166" s="79">
        <v>0</v>
      </c>
      <c r="BB166" s="236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5">
      <c r="A167" s="726"/>
      <c r="B167" s="726"/>
      <c r="C167" s="726"/>
      <c r="D167" s="726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7"/>
      <c r="P167" s="723" t="s">
        <v>40</v>
      </c>
      <c r="Q167" s="724"/>
      <c r="R167" s="724"/>
      <c r="S167" s="724"/>
      <c r="T167" s="724"/>
      <c r="U167" s="724"/>
      <c r="V167" s="725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5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17" t="s">
        <v>158</v>
      </c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7"/>
      <c r="P169" s="717"/>
      <c r="Q169" s="717"/>
      <c r="R169" s="717"/>
      <c r="S169" s="717"/>
      <c r="T169" s="717"/>
      <c r="U169" s="717"/>
      <c r="V169" s="717"/>
      <c r="W169" s="717"/>
      <c r="X169" s="717"/>
      <c r="Y169" s="717"/>
      <c r="Z169" s="717"/>
      <c r="AA169" s="63"/>
      <c r="AB169" s="63"/>
      <c r="AC169" s="63"/>
    </row>
    <row r="170" spans="1:68" ht="16.5" hidden="1" customHeight="1" x14ac:dyDescent="0.25">
      <c r="A170" s="60" t="s">
        <v>293</v>
      </c>
      <c r="B170" s="60" t="s">
        <v>294</v>
      </c>
      <c r="C170" s="34">
        <v>4301020410</v>
      </c>
      <c r="D170" s="718">
        <v>4680115887695</v>
      </c>
      <c r="E170" s="718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81</v>
      </c>
      <c r="L170" s="35" t="s">
        <v>46</v>
      </c>
      <c r="M170" s="36" t="s">
        <v>80</v>
      </c>
      <c r="N170" s="36"/>
      <c r="O170" s="35">
        <v>30</v>
      </c>
      <c r="P170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295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296</v>
      </c>
      <c r="B171" s="60" t="s">
        <v>297</v>
      </c>
      <c r="C171" s="34">
        <v>4301020439</v>
      </c>
      <c r="D171" s="718">
        <v>4680115889491</v>
      </c>
      <c r="E171" s="71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81</v>
      </c>
      <c r="L171" s="35" t="s">
        <v>46</v>
      </c>
      <c r="M171" s="36" t="s">
        <v>125</v>
      </c>
      <c r="N171" s="36"/>
      <c r="O171" s="35">
        <v>55</v>
      </c>
      <c r="P171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298</v>
      </c>
      <c r="AG171" s="75"/>
      <c r="AJ171" s="79" t="s">
        <v>46</v>
      </c>
      <c r="AK171" s="79">
        <v>0</v>
      </c>
      <c r="BB171" s="240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5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5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76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27" hidden="1" customHeight="1" x14ac:dyDescent="0.25">
      <c r="A175" s="60" t="s">
        <v>299</v>
      </c>
      <c r="B175" s="60" t="s">
        <v>300</v>
      </c>
      <c r="C175" s="34">
        <v>4301031496</v>
      </c>
      <c r="D175" s="718">
        <v>4680115887428</v>
      </c>
      <c r="E175" s="71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301</v>
      </c>
      <c r="AG175" s="75"/>
      <c r="AJ175" s="79" t="s">
        <v>46</v>
      </c>
      <c r="AK175" s="79">
        <v>0</v>
      </c>
      <c r="BB175" s="242" t="s">
        <v>66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302</v>
      </c>
      <c r="B176" s="60" t="s">
        <v>303</v>
      </c>
      <c r="C176" s="34">
        <v>4301031509</v>
      </c>
      <c r="D176" s="718">
        <v>4680115889170</v>
      </c>
      <c r="E176" s="71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304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305</v>
      </c>
      <c r="B177" s="60" t="s">
        <v>306</v>
      </c>
      <c r="C177" s="34">
        <v>4301031522</v>
      </c>
      <c r="D177" s="718">
        <v>4680115887398</v>
      </c>
      <c r="E177" s="71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0"/>
      <c r="R177" s="720"/>
      <c r="S177" s="720"/>
      <c r="T177" s="72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307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308</v>
      </c>
      <c r="B178" s="60" t="s">
        <v>309</v>
      </c>
      <c r="C178" s="34">
        <v>4301031520</v>
      </c>
      <c r="D178" s="718">
        <v>4680115887336</v>
      </c>
      <c r="E178" s="71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133</v>
      </c>
      <c r="L178" s="35" t="s">
        <v>46</v>
      </c>
      <c r="M178" s="36" t="s">
        <v>80</v>
      </c>
      <c r="N178" s="36"/>
      <c r="O178" s="35">
        <v>45</v>
      </c>
      <c r="P178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0"/>
      <c r="R178" s="720"/>
      <c r="S178" s="720"/>
      <c r="T178" s="72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310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311</v>
      </c>
      <c r="B179" s="60" t="s">
        <v>312</v>
      </c>
      <c r="C179" s="34">
        <v>4301032049</v>
      </c>
      <c r="D179" s="718">
        <v>4680115887787</v>
      </c>
      <c r="E179" s="71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0"/>
      <c r="R179" s="720"/>
      <c r="S179" s="720"/>
      <c r="T179" s="72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313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311</v>
      </c>
      <c r="B180" s="60" t="s">
        <v>314</v>
      </c>
      <c r="C180" s="34">
        <v>4301031528</v>
      </c>
      <c r="D180" s="718">
        <v>4680115887787</v>
      </c>
      <c r="E180" s="71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315</v>
      </c>
      <c r="B181" s="60" t="s">
        <v>316</v>
      </c>
      <c r="C181" s="34">
        <v>4301031448</v>
      </c>
      <c r="D181" s="718">
        <v>4680115887503</v>
      </c>
      <c r="E181" s="71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40</v>
      </c>
      <c r="P181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4301031389</v>
      </c>
      <c r="D182" s="718">
        <v>4680115887763</v>
      </c>
      <c r="E182" s="718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4301031521</v>
      </c>
      <c r="D183" s="718">
        <v>4680115887480</v>
      </c>
      <c r="E183" s="71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307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4301031434</v>
      </c>
      <c r="D184" s="718">
        <v>4680115888067</v>
      </c>
      <c r="E184" s="718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130</v>
      </c>
      <c r="L184" s="35" t="s">
        <v>46</v>
      </c>
      <c r="M184" s="36" t="s">
        <v>80</v>
      </c>
      <c r="N184" s="36"/>
      <c r="O184" s="35">
        <v>45</v>
      </c>
      <c r="P184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325</v>
      </c>
      <c r="B185" s="60" t="s">
        <v>326</v>
      </c>
      <c r="C185" s="34">
        <v>4301031519</v>
      </c>
      <c r="D185" s="718">
        <v>4680115887435</v>
      </c>
      <c r="E185" s="718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45</v>
      </c>
      <c r="P185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310</v>
      </c>
      <c r="AG185" s="75"/>
      <c r="AJ185" s="79" t="s">
        <v>46</v>
      </c>
      <c r="AK185" s="79">
        <v>0</v>
      </c>
      <c r="BB185" s="262" t="s">
        <v>66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5">
      <c r="A186" s="726"/>
      <c r="B186" s="726"/>
      <c r="C186" s="726"/>
      <c r="D186" s="726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7"/>
      <c r="P186" s="723" t="s">
        <v>40</v>
      </c>
      <c r="Q186" s="724"/>
      <c r="R186" s="724"/>
      <c r="S186" s="724"/>
      <c r="T186" s="724"/>
      <c r="U186" s="724"/>
      <c r="V186" s="72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5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17" t="s">
        <v>85</v>
      </c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7"/>
      <c r="P188" s="717"/>
      <c r="Q188" s="717"/>
      <c r="R188" s="717"/>
      <c r="S188" s="717"/>
      <c r="T188" s="717"/>
      <c r="U188" s="717"/>
      <c r="V188" s="717"/>
      <c r="W188" s="717"/>
      <c r="X188" s="717"/>
      <c r="Y188" s="717"/>
      <c r="Z188" s="717"/>
      <c r="AA188" s="63"/>
      <c r="AB188" s="63"/>
      <c r="AC188" s="63"/>
    </row>
    <row r="189" spans="1:68" ht="16.5" hidden="1" customHeight="1" x14ac:dyDescent="0.25">
      <c r="A189" s="60" t="s">
        <v>327</v>
      </c>
      <c r="B189" s="60" t="s">
        <v>328</v>
      </c>
      <c r="C189" s="34">
        <v>4301052193</v>
      </c>
      <c r="D189" s="718">
        <v>4680115888395</v>
      </c>
      <c r="E189" s="71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329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330</v>
      </c>
      <c r="B190" s="60" t="s">
        <v>331</v>
      </c>
      <c r="C190" s="34">
        <v>4301052191</v>
      </c>
      <c r="D190" s="718">
        <v>4680115888371</v>
      </c>
      <c r="E190" s="71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90</v>
      </c>
      <c r="L190" s="35" t="s">
        <v>46</v>
      </c>
      <c r="M190" s="36" t="s">
        <v>96</v>
      </c>
      <c r="N190" s="36"/>
      <c r="O190" s="35">
        <v>40</v>
      </c>
      <c r="P190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332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333</v>
      </c>
      <c r="B191" s="60" t="s">
        <v>334</v>
      </c>
      <c r="C191" s="34">
        <v>4301052064</v>
      </c>
      <c r="D191" s="718">
        <v>4680115887459</v>
      </c>
      <c r="E191" s="718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90</v>
      </c>
      <c r="L191" s="35" t="s">
        <v>46</v>
      </c>
      <c r="M191" s="36" t="s">
        <v>89</v>
      </c>
      <c r="N191" s="36"/>
      <c r="O191" s="35">
        <v>45</v>
      </c>
      <c r="P191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335</v>
      </c>
      <c r="AG191" s="75"/>
      <c r="AJ191" s="79" t="s">
        <v>46</v>
      </c>
      <c r="AK191" s="79">
        <v>0</v>
      </c>
      <c r="BB191" s="26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5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5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276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336</v>
      </c>
      <c r="B195" s="60" t="s">
        <v>337</v>
      </c>
      <c r="C195" s="34">
        <v>4301032058</v>
      </c>
      <c r="D195" s="718">
        <v>4680115889026</v>
      </c>
      <c r="E195" s="718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339</v>
      </c>
      <c r="L195" s="35" t="s">
        <v>46</v>
      </c>
      <c r="M195" s="36" t="s">
        <v>281</v>
      </c>
      <c r="N195" s="36"/>
      <c r="O195" s="35">
        <v>60</v>
      </c>
      <c r="P195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338</v>
      </c>
      <c r="AG195" s="75"/>
      <c r="AJ195" s="79" t="s">
        <v>46</v>
      </c>
      <c r="AK195" s="79">
        <v>0</v>
      </c>
      <c r="BB195" s="270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5">
      <c r="A196" s="726"/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7"/>
      <c r="P196" s="723" t="s">
        <v>40</v>
      </c>
      <c r="Q196" s="724"/>
      <c r="R196" s="724"/>
      <c r="S196" s="724"/>
      <c r="T196" s="724"/>
      <c r="U196" s="724"/>
      <c r="V196" s="725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5">
      <c r="A197" s="726"/>
      <c r="B197" s="726"/>
      <c r="C197" s="726"/>
      <c r="D197" s="726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7"/>
      <c r="P197" s="723" t="s">
        <v>40</v>
      </c>
      <c r="Q197" s="724"/>
      <c r="R197" s="724"/>
      <c r="S197" s="724"/>
      <c r="T197" s="724"/>
      <c r="U197" s="724"/>
      <c r="V197" s="725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17" t="s">
        <v>340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3"/>
      <c r="AB198" s="63"/>
      <c r="AC198" s="63"/>
    </row>
    <row r="199" spans="1:68" ht="27" hidden="1" customHeight="1" x14ac:dyDescent="0.25">
      <c r="A199" s="60" t="s">
        <v>341</v>
      </c>
      <c r="B199" s="60" t="s">
        <v>342</v>
      </c>
      <c r="C199" s="34">
        <v>4301041009</v>
      </c>
      <c r="D199" s="718">
        <v>4680115889033</v>
      </c>
      <c r="E199" s="718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339</v>
      </c>
      <c r="L199" s="35" t="s">
        <v>46</v>
      </c>
      <c r="M199" s="36" t="s">
        <v>281</v>
      </c>
      <c r="N199" s="36"/>
      <c r="O199" s="35">
        <v>60</v>
      </c>
      <c r="P199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0"/>
      <c r="R199" s="720"/>
      <c r="S199" s="720"/>
      <c r="T199" s="72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343</v>
      </c>
      <c r="AG199" s="75"/>
      <c r="AJ199" s="79" t="s">
        <v>46</v>
      </c>
      <c r="AK199" s="79">
        <v>0</v>
      </c>
      <c r="BB199" s="272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5">
      <c r="A200" s="726"/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7"/>
      <c r="P200" s="723" t="s">
        <v>40</v>
      </c>
      <c r="Q200" s="724"/>
      <c r="R200" s="724"/>
      <c r="S200" s="724"/>
      <c r="T200" s="724"/>
      <c r="U200" s="724"/>
      <c r="V200" s="725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5">
      <c r="A201" s="726"/>
      <c r="B201" s="726"/>
      <c r="C201" s="726"/>
      <c r="D201" s="726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7"/>
      <c r="P201" s="723" t="s">
        <v>40</v>
      </c>
      <c r="Q201" s="724"/>
      <c r="R201" s="724"/>
      <c r="S201" s="724"/>
      <c r="T201" s="724"/>
      <c r="U201" s="724"/>
      <c r="V201" s="725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5">
      <c r="A202" s="715" t="s">
        <v>344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52"/>
      <c r="AB202" s="52"/>
      <c r="AC202" s="52"/>
    </row>
    <row r="203" spans="1:68" ht="16.5" hidden="1" customHeight="1" x14ac:dyDescent="0.25">
      <c r="A203" s="716" t="s">
        <v>345</v>
      </c>
      <c r="B203" s="716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6"/>
      <c r="N203" s="716"/>
      <c r="O203" s="716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  <c r="AA203" s="62"/>
      <c r="AB203" s="62"/>
      <c r="AC203" s="62"/>
    </row>
    <row r="204" spans="1:68" ht="14.25" hidden="1" customHeight="1" x14ac:dyDescent="0.25">
      <c r="A204" s="717" t="s">
        <v>121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346</v>
      </c>
      <c r="B205" s="60" t="s">
        <v>347</v>
      </c>
      <c r="C205" s="34">
        <v>4301011223</v>
      </c>
      <c r="D205" s="718">
        <v>4607091383423</v>
      </c>
      <c r="E205" s="718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124</v>
      </c>
      <c r="AG205" s="75"/>
      <c r="AJ205" s="79" t="s">
        <v>46</v>
      </c>
      <c r="AK205" s="79">
        <v>0</v>
      </c>
      <c r="BB205" s="274" t="s">
        <v>66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348</v>
      </c>
      <c r="B206" s="60" t="s">
        <v>349</v>
      </c>
      <c r="C206" s="34">
        <v>4301012340</v>
      </c>
      <c r="D206" s="718">
        <v>4680115888760</v>
      </c>
      <c r="E206" s="718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0"/>
      <c r="R206" s="720"/>
      <c r="S206" s="720"/>
      <c r="T206" s="72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350</v>
      </c>
      <c r="AG206" s="75"/>
      <c r="AJ206" s="79" t="s">
        <v>46</v>
      </c>
      <c r="AK206" s="79">
        <v>0</v>
      </c>
      <c r="BB206" s="276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351</v>
      </c>
      <c r="B207" s="60" t="s">
        <v>352</v>
      </c>
      <c r="C207" s="34">
        <v>4301012341</v>
      </c>
      <c r="D207" s="718">
        <v>4680115888807</v>
      </c>
      <c r="E207" s="71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0"/>
      <c r="R207" s="720"/>
      <c r="S207" s="720"/>
      <c r="T207" s="72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353</v>
      </c>
      <c r="AG207" s="75"/>
      <c r="AJ207" s="79" t="s">
        <v>46</v>
      </c>
      <c r="AK207" s="79">
        <v>0</v>
      </c>
      <c r="BB207" s="278" t="s">
        <v>66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354</v>
      </c>
      <c r="B208" s="60" t="s">
        <v>355</v>
      </c>
      <c r="C208" s="34">
        <v>4301012342</v>
      </c>
      <c r="D208" s="718">
        <v>4680115888852</v>
      </c>
      <c r="E208" s="718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0"/>
      <c r="R208" s="720"/>
      <c r="S208" s="720"/>
      <c r="T208" s="72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356</v>
      </c>
      <c r="AG208" s="75"/>
      <c r="AJ208" s="79" t="s">
        <v>46</v>
      </c>
      <c r="AK208" s="79">
        <v>0</v>
      </c>
      <c r="BB208" s="280" t="s">
        <v>66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357</v>
      </c>
      <c r="B209" s="60" t="s">
        <v>358</v>
      </c>
      <c r="C209" s="34">
        <v>4301012370</v>
      </c>
      <c r="D209" s="718">
        <v>4680115886957</v>
      </c>
      <c r="E209" s="718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0"/>
      <c r="R209" s="720"/>
      <c r="S209" s="720"/>
      <c r="T209" s="72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359</v>
      </c>
      <c r="AG209" s="75"/>
      <c r="AJ209" s="79" t="s">
        <v>46</v>
      </c>
      <c r="AK209" s="79">
        <v>0</v>
      </c>
      <c r="BB209" s="282" t="s">
        <v>66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360</v>
      </c>
      <c r="B210" s="60" t="s">
        <v>361</v>
      </c>
      <c r="C210" s="34">
        <v>4301012098</v>
      </c>
      <c r="D210" s="718">
        <v>4680115885660</v>
      </c>
      <c r="E210" s="718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126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0"/>
      <c r="R210" s="720"/>
      <c r="S210" s="720"/>
      <c r="T210" s="72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362</v>
      </c>
      <c r="AG210" s="75"/>
      <c r="AJ210" s="79" t="s">
        <v>46</v>
      </c>
      <c r="AK210" s="79">
        <v>0</v>
      </c>
      <c r="BB210" s="284" t="s">
        <v>66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363</v>
      </c>
      <c r="B211" s="60" t="s">
        <v>364</v>
      </c>
      <c r="C211" s="34">
        <v>4301012369</v>
      </c>
      <c r="D211" s="718">
        <v>4680115886773</v>
      </c>
      <c r="E211" s="718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365</v>
      </c>
      <c r="AG211" s="75"/>
      <c r="AJ211" s="79" t="s">
        <v>46</v>
      </c>
      <c r="AK211" s="79">
        <v>0</v>
      </c>
      <c r="BB211" s="286" t="s">
        <v>66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5">
      <c r="A212" s="726"/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7"/>
      <c r="P212" s="723" t="s">
        <v>40</v>
      </c>
      <c r="Q212" s="724"/>
      <c r="R212" s="724"/>
      <c r="S212" s="724"/>
      <c r="T212" s="724"/>
      <c r="U212" s="724"/>
      <c r="V212" s="725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5">
      <c r="A213" s="726"/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7"/>
      <c r="P213" s="723" t="s">
        <v>40</v>
      </c>
      <c r="Q213" s="724"/>
      <c r="R213" s="724"/>
      <c r="S213" s="724"/>
      <c r="T213" s="724"/>
      <c r="U213" s="724"/>
      <c r="V213" s="725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716" t="s">
        <v>366</v>
      </c>
      <c r="B214" s="716"/>
      <c r="C214" s="716"/>
      <c r="D214" s="716"/>
      <c r="E214" s="716"/>
      <c r="F214" s="716"/>
      <c r="G214" s="716"/>
      <c r="H214" s="716"/>
      <c r="I214" s="716"/>
      <c r="J214" s="716"/>
      <c r="K214" s="716"/>
      <c r="L214" s="716"/>
      <c r="M214" s="716"/>
      <c r="N214" s="716"/>
      <c r="O214" s="716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  <c r="AA214" s="62"/>
      <c r="AB214" s="62"/>
      <c r="AC214" s="62"/>
    </row>
    <row r="215" spans="1:68" ht="14.25" hidden="1" customHeight="1" x14ac:dyDescent="0.25">
      <c r="A215" s="717" t="s">
        <v>158</v>
      </c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7"/>
      <c r="P215" s="717"/>
      <c r="Q215" s="717"/>
      <c r="R215" s="717"/>
      <c r="S215" s="717"/>
      <c r="T215" s="717"/>
      <c r="U215" s="717"/>
      <c r="V215" s="717"/>
      <c r="W215" s="717"/>
      <c r="X215" s="717"/>
      <c r="Y215" s="717"/>
      <c r="Z215" s="717"/>
      <c r="AA215" s="63"/>
      <c r="AB215" s="63"/>
      <c r="AC215" s="63"/>
    </row>
    <row r="216" spans="1:68" ht="27" hidden="1" customHeight="1" x14ac:dyDescent="0.25">
      <c r="A216" s="60" t="s">
        <v>367</v>
      </c>
      <c r="B216" s="60" t="s">
        <v>368</v>
      </c>
      <c r="C216" s="34">
        <v>4301020323</v>
      </c>
      <c r="D216" s="718">
        <v>4680115886223</v>
      </c>
      <c r="E216" s="718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81</v>
      </c>
      <c r="L216" s="35" t="s">
        <v>46</v>
      </c>
      <c r="M216" s="36" t="s">
        <v>80</v>
      </c>
      <c r="N216" s="36"/>
      <c r="O216" s="35">
        <v>40</v>
      </c>
      <c r="P216" s="8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369</v>
      </c>
      <c r="AG216" s="75"/>
      <c r="AJ216" s="79" t="s">
        <v>46</v>
      </c>
      <c r="AK216" s="79">
        <v>0</v>
      </c>
      <c r="BB216" s="288" t="s">
        <v>66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5">
      <c r="A217" s="726"/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7"/>
      <c r="P217" s="723" t="s">
        <v>40</v>
      </c>
      <c r="Q217" s="724"/>
      <c r="R217" s="724"/>
      <c r="S217" s="724"/>
      <c r="T217" s="724"/>
      <c r="U217" s="724"/>
      <c r="V217" s="725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5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717" t="s">
        <v>76</v>
      </c>
      <c r="B219" s="717"/>
      <c r="C219" s="717"/>
      <c r="D219" s="717"/>
      <c r="E219" s="717"/>
      <c r="F219" s="717"/>
      <c r="G219" s="717"/>
      <c r="H219" s="717"/>
      <c r="I219" s="717"/>
      <c r="J219" s="717"/>
      <c r="K219" s="717"/>
      <c r="L219" s="717"/>
      <c r="M219" s="717"/>
      <c r="N219" s="717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63"/>
      <c r="AB219" s="63"/>
      <c r="AC219" s="63"/>
    </row>
    <row r="220" spans="1:68" ht="27" hidden="1" customHeight="1" x14ac:dyDescent="0.25">
      <c r="A220" s="60" t="s">
        <v>370</v>
      </c>
      <c r="B220" s="60" t="s">
        <v>371</v>
      </c>
      <c r="C220" s="34">
        <v>4301031191</v>
      </c>
      <c r="D220" s="718">
        <v>4680115880993</v>
      </c>
      <c r="E220" s="718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0"/>
      <c r="R220" s="720"/>
      <c r="S220" s="720"/>
      <c r="T220" s="72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372</v>
      </c>
      <c r="AG220" s="75"/>
      <c r="AJ220" s="79" t="s">
        <v>46</v>
      </c>
      <c r="AK220" s="79">
        <v>0</v>
      </c>
      <c r="BB220" s="290" t="s">
        <v>66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373</v>
      </c>
      <c r="B221" s="60" t="s">
        <v>374</v>
      </c>
      <c r="C221" s="34">
        <v>4301031204</v>
      </c>
      <c r="D221" s="718">
        <v>4680115881761</v>
      </c>
      <c r="E221" s="71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133</v>
      </c>
      <c r="L221" s="35" t="s">
        <v>46</v>
      </c>
      <c r="M221" s="36" t="s">
        <v>80</v>
      </c>
      <c r="N221" s="36"/>
      <c r="O221" s="35">
        <v>40</v>
      </c>
      <c r="P221" s="8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0"/>
      <c r="R221" s="720"/>
      <c r="S221" s="720"/>
      <c r="T221" s="72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375</v>
      </c>
      <c r="AG221" s="75"/>
      <c r="AJ221" s="79" t="s">
        <v>46</v>
      </c>
      <c r="AK221" s="79">
        <v>0</v>
      </c>
      <c r="BB221" s="292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376</v>
      </c>
      <c r="B222" s="60" t="s">
        <v>377</v>
      </c>
      <c r="C222" s="34">
        <v>4301031201</v>
      </c>
      <c r="D222" s="718">
        <v>4680115881563</v>
      </c>
      <c r="E222" s="718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133</v>
      </c>
      <c r="L222" s="35" t="s">
        <v>46</v>
      </c>
      <c r="M222" s="36" t="s">
        <v>80</v>
      </c>
      <c r="N222" s="36"/>
      <c r="O222" s="35">
        <v>40</v>
      </c>
      <c r="P22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378</v>
      </c>
      <c r="AG222" s="75"/>
      <c r="AJ222" s="79" t="s">
        <v>46</v>
      </c>
      <c r="AK222" s="79">
        <v>0</v>
      </c>
      <c r="BB222" s="294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379</v>
      </c>
      <c r="B223" s="60" t="s">
        <v>380</v>
      </c>
      <c r="C223" s="34">
        <v>4301031447</v>
      </c>
      <c r="D223" s="718">
        <v>4680115887565</v>
      </c>
      <c r="E223" s="718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0"/>
      <c r="R223" s="720"/>
      <c r="S223" s="720"/>
      <c r="T223" s="72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381</v>
      </c>
      <c r="AG223" s="75"/>
      <c r="AJ223" s="79" t="s">
        <v>46</v>
      </c>
      <c r="AK223" s="79">
        <v>0</v>
      </c>
      <c r="BB223" s="296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4301031199</v>
      </c>
      <c r="D224" s="718">
        <v>4680115880986</v>
      </c>
      <c r="E224" s="71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0"/>
      <c r="R224" s="720"/>
      <c r="S224" s="720"/>
      <c r="T224" s="72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384</v>
      </c>
      <c r="B225" s="60" t="s">
        <v>385</v>
      </c>
      <c r="C225" s="34">
        <v>4301031443</v>
      </c>
      <c r="D225" s="718">
        <v>4680115887213</v>
      </c>
      <c r="E225" s="718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0"/>
      <c r="R225" s="720"/>
      <c r="S225" s="720"/>
      <c r="T225" s="72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386</v>
      </c>
      <c r="AG225" s="75"/>
      <c r="AJ225" s="79" t="s">
        <v>46</v>
      </c>
      <c r="AK225" s="79">
        <v>0</v>
      </c>
      <c r="BB225" s="300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387</v>
      </c>
      <c r="B226" s="60" t="s">
        <v>388</v>
      </c>
      <c r="C226" s="34">
        <v>4301031205</v>
      </c>
      <c r="D226" s="718">
        <v>4680115881785</v>
      </c>
      <c r="E226" s="718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375</v>
      </c>
      <c r="AG226" s="75"/>
      <c r="AJ226" s="79" t="s">
        <v>46</v>
      </c>
      <c r="AK226" s="79">
        <v>0</v>
      </c>
      <c r="BB226" s="302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4301031499</v>
      </c>
      <c r="D227" s="718">
        <v>4680115888432</v>
      </c>
      <c r="E227" s="71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4301031427</v>
      </c>
      <c r="D228" s="718">
        <v>4680115888104</v>
      </c>
      <c r="E228" s="718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395</v>
      </c>
      <c r="B229" s="60" t="s">
        <v>396</v>
      </c>
      <c r="C229" s="34">
        <v>4301031503</v>
      </c>
      <c r="D229" s="718">
        <v>4680115886537</v>
      </c>
      <c r="E229" s="718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4301031279</v>
      </c>
      <c r="D230" s="718">
        <v>4680115887596</v>
      </c>
      <c r="E230" s="718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130</v>
      </c>
      <c r="L230" s="35" t="s">
        <v>46</v>
      </c>
      <c r="M230" s="36" t="s">
        <v>80</v>
      </c>
      <c r="N230" s="36"/>
      <c r="O230" s="35">
        <v>45</v>
      </c>
      <c r="P230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400</v>
      </c>
      <c r="AG230" s="75"/>
      <c r="AJ230" s="79" t="s">
        <v>46</v>
      </c>
      <c r="AK230" s="79">
        <v>0</v>
      </c>
      <c r="BB230" s="310" t="s">
        <v>66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401</v>
      </c>
      <c r="B231" s="60" t="s">
        <v>402</v>
      </c>
      <c r="C231" s="34">
        <v>4301031530</v>
      </c>
      <c r="D231" s="718">
        <v>4680115881679</v>
      </c>
      <c r="E231" s="718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66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4301031158</v>
      </c>
      <c r="D232" s="718">
        <v>4680115880191</v>
      </c>
      <c r="E232" s="718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90</v>
      </c>
      <c r="L232" s="35" t="s">
        <v>46</v>
      </c>
      <c r="M232" s="36" t="s">
        <v>80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378</v>
      </c>
      <c r="AG232" s="75"/>
      <c r="AJ232" s="79" t="s">
        <v>46</v>
      </c>
      <c r="AK232" s="79">
        <v>0</v>
      </c>
      <c r="BB232" s="314" t="s">
        <v>66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403</v>
      </c>
      <c r="B233" s="60" t="s">
        <v>405</v>
      </c>
      <c r="C233" s="34">
        <v>4301031531</v>
      </c>
      <c r="D233" s="718">
        <v>4680115880191</v>
      </c>
      <c r="E233" s="71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90</v>
      </c>
      <c r="L233" s="35" t="s">
        <v>46</v>
      </c>
      <c r="M233" s="36" t="s">
        <v>80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378</v>
      </c>
      <c r="AG233" s="75"/>
      <c r="AJ233" s="79" t="s">
        <v>46</v>
      </c>
      <c r="AK233" s="79">
        <v>0</v>
      </c>
      <c r="BB233" s="316" t="s">
        <v>66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406</v>
      </c>
      <c r="B234" s="60" t="s">
        <v>407</v>
      </c>
      <c r="C234" s="34">
        <v>4301031245</v>
      </c>
      <c r="D234" s="718">
        <v>4680115883963</v>
      </c>
      <c r="E234" s="718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408</v>
      </c>
      <c r="AG234" s="75"/>
      <c r="AJ234" s="79" t="s">
        <v>46</v>
      </c>
      <c r="AK234" s="79">
        <v>0</v>
      </c>
      <c r="BB234" s="318" t="s">
        <v>66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5">
      <c r="A235" s="726"/>
      <c r="B235" s="726"/>
      <c r="C235" s="726"/>
      <c r="D235" s="726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7"/>
      <c r="P235" s="723" t="s">
        <v>40</v>
      </c>
      <c r="Q235" s="724"/>
      <c r="R235" s="724"/>
      <c r="S235" s="724"/>
      <c r="T235" s="724"/>
      <c r="U235" s="724"/>
      <c r="V235" s="725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5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717" t="s">
        <v>85</v>
      </c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7"/>
      <c r="P237" s="717"/>
      <c r="Q237" s="717"/>
      <c r="R237" s="717"/>
      <c r="S237" s="717"/>
      <c r="T237" s="717"/>
      <c r="U237" s="717"/>
      <c r="V237" s="717"/>
      <c r="W237" s="717"/>
      <c r="X237" s="717"/>
      <c r="Y237" s="717"/>
      <c r="Z237" s="717"/>
      <c r="AA237" s="63"/>
      <c r="AB237" s="63"/>
      <c r="AC237" s="63"/>
    </row>
    <row r="238" spans="1:68" ht="16.5" hidden="1" customHeight="1" x14ac:dyDescent="0.25">
      <c r="A238" s="60" t="s">
        <v>409</v>
      </c>
      <c r="B238" s="60" t="s">
        <v>410</v>
      </c>
      <c r="C238" s="34">
        <v>4301052209</v>
      </c>
      <c r="D238" s="718">
        <v>4680115888692</v>
      </c>
      <c r="E238" s="71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411</v>
      </c>
      <c r="AG238" s="75"/>
      <c r="AJ238" s="79" t="s">
        <v>46</v>
      </c>
      <c r="AK238" s="79">
        <v>0</v>
      </c>
      <c r="BB238" s="320" t="s">
        <v>66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409</v>
      </c>
      <c r="B239" s="60" t="s">
        <v>412</v>
      </c>
      <c r="C239" s="34">
        <v>4301052279</v>
      </c>
      <c r="D239" s="718">
        <v>4680115888692</v>
      </c>
      <c r="E239" s="71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414</v>
      </c>
      <c r="B240" s="60" t="s">
        <v>415</v>
      </c>
      <c r="C240" s="34">
        <v>4301052213</v>
      </c>
      <c r="D240" s="718">
        <v>4680115888722</v>
      </c>
      <c r="E240" s="718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126</v>
      </c>
      <c r="L240" s="35" t="s">
        <v>46</v>
      </c>
      <c r="M240" s="36" t="s">
        <v>96</v>
      </c>
      <c r="N240" s="36"/>
      <c r="O240" s="35">
        <v>35</v>
      </c>
      <c r="P240" s="84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0"/>
      <c r="R240" s="720"/>
      <c r="S240" s="720"/>
      <c r="T240" s="72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416</v>
      </c>
      <c r="AG240" s="75"/>
      <c r="AJ240" s="79" t="s">
        <v>46</v>
      </c>
      <c r="AK240" s="79">
        <v>0</v>
      </c>
      <c r="BB240" s="324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414</v>
      </c>
      <c r="B241" s="60" t="s">
        <v>417</v>
      </c>
      <c r="C241" s="34">
        <v>4301052280</v>
      </c>
      <c r="D241" s="718">
        <v>4680115888722</v>
      </c>
      <c r="E241" s="718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126</v>
      </c>
      <c r="L241" s="35" t="s">
        <v>46</v>
      </c>
      <c r="M241" s="36" t="s">
        <v>96</v>
      </c>
      <c r="N241" s="36"/>
      <c r="O241" s="35">
        <v>40</v>
      </c>
      <c r="P241" s="84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0"/>
      <c r="R241" s="720"/>
      <c r="S241" s="720"/>
      <c r="T241" s="72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419</v>
      </c>
      <c r="B242" s="60" t="s">
        <v>420</v>
      </c>
      <c r="C242" s="34">
        <v>4301052177</v>
      </c>
      <c r="D242" s="718">
        <v>4680115888951</v>
      </c>
      <c r="E242" s="718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0"/>
      <c r="R242" s="720"/>
      <c r="S242" s="720"/>
      <c r="T242" s="72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421</v>
      </c>
      <c r="AG242" s="75"/>
      <c r="AJ242" s="79" t="s">
        <v>46</v>
      </c>
      <c r="AK242" s="79">
        <v>0</v>
      </c>
      <c r="BB242" s="328" t="s">
        <v>66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419</v>
      </c>
      <c r="B243" s="60" t="s">
        <v>422</v>
      </c>
      <c r="C243" s="34">
        <v>4301052276</v>
      </c>
      <c r="D243" s="718">
        <v>4680115888951</v>
      </c>
      <c r="E243" s="71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40</v>
      </c>
      <c r="P243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413</v>
      </c>
      <c r="AG243" s="75"/>
      <c r="AJ243" s="79" t="s">
        <v>46</v>
      </c>
      <c r="AK243" s="79">
        <v>0</v>
      </c>
      <c r="BB243" s="330" t="s">
        <v>66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423</v>
      </c>
      <c r="B244" s="60" t="s">
        <v>424</v>
      </c>
      <c r="C244" s="34">
        <v>4301052178</v>
      </c>
      <c r="D244" s="718">
        <v>4680115888975</v>
      </c>
      <c r="E244" s="718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35</v>
      </c>
      <c r="P244" s="85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425</v>
      </c>
      <c r="AG244" s="75"/>
      <c r="AJ244" s="79" t="s">
        <v>46</v>
      </c>
      <c r="AK244" s="79">
        <v>0</v>
      </c>
      <c r="BB244" s="332" t="s">
        <v>66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426</v>
      </c>
      <c r="B245" s="60" t="s">
        <v>427</v>
      </c>
      <c r="C245" s="34">
        <v>4301052176</v>
      </c>
      <c r="D245" s="718">
        <v>4680115888982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416</v>
      </c>
      <c r="AG245" s="75"/>
      <c r="AJ245" s="79" t="s">
        <v>46</v>
      </c>
      <c r="AK245" s="79">
        <v>0</v>
      </c>
      <c r="BB245" s="334" t="s">
        <v>66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426</v>
      </c>
      <c r="B246" s="60" t="s">
        <v>428</v>
      </c>
      <c r="C246" s="34">
        <v>4301052277</v>
      </c>
      <c r="D246" s="718">
        <v>4680115888982</v>
      </c>
      <c r="E246" s="718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40</v>
      </c>
      <c r="P246" s="8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66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5">
      <c r="A247" s="726"/>
      <c r="B247" s="726"/>
      <c r="C247" s="726"/>
      <c r="D247" s="726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7"/>
      <c r="P247" s="723" t="s">
        <v>40</v>
      </c>
      <c r="Q247" s="724"/>
      <c r="R247" s="724"/>
      <c r="S247" s="724"/>
      <c r="T247" s="724"/>
      <c r="U247" s="724"/>
      <c r="V247" s="725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5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17" t="s">
        <v>276</v>
      </c>
      <c r="B249" s="717"/>
      <c r="C249" s="717"/>
      <c r="D249" s="717"/>
      <c r="E249" s="717"/>
      <c r="F249" s="717"/>
      <c r="G249" s="717"/>
      <c r="H249" s="717"/>
      <c r="I249" s="717"/>
      <c r="J249" s="717"/>
      <c r="K249" s="717"/>
      <c r="L249" s="717"/>
      <c r="M249" s="717"/>
      <c r="N249" s="717"/>
      <c r="O249" s="717"/>
      <c r="P249" s="717"/>
      <c r="Q249" s="717"/>
      <c r="R249" s="717"/>
      <c r="S249" s="717"/>
      <c r="T249" s="717"/>
      <c r="U249" s="717"/>
      <c r="V249" s="717"/>
      <c r="W249" s="717"/>
      <c r="X249" s="717"/>
      <c r="Y249" s="717"/>
      <c r="Z249" s="717"/>
      <c r="AA249" s="63"/>
      <c r="AB249" s="63"/>
      <c r="AC249" s="63"/>
    </row>
    <row r="250" spans="1:68" ht="27" hidden="1" customHeight="1" x14ac:dyDescent="0.25">
      <c r="A250" s="60" t="s">
        <v>429</v>
      </c>
      <c r="B250" s="60" t="s">
        <v>430</v>
      </c>
      <c r="C250" s="34">
        <v>4301032053</v>
      </c>
      <c r="D250" s="718">
        <v>4680115886780</v>
      </c>
      <c r="E250" s="71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281</v>
      </c>
      <c r="N250" s="36"/>
      <c r="O250" s="35">
        <v>60</v>
      </c>
      <c r="P250" s="8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0"/>
      <c r="R250" s="720"/>
      <c r="S250" s="720"/>
      <c r="T250" s="72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431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432</v>
      </c>
      <c r="B251" s="60" t="s">
        <v>433</v>
      </c>
      <c r="C251" s="34">
        <v>4301032051</v>
      </c>
      <c r="D251" s="718">
        <v>4680115886742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339</v>
      </c>
      <c r="L251" s="35" t="s">
        <v>46</v>
      </c>
      <c r="M251" s="36" t="s">
        <v>281</v>
      </c>
      <c r="N251" s="36"/>
      <c r="O251" s="35">
        <v>90</v>
      </c>
      <c r="P251" s="85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435</v>
      </c>
      <c r="B252" s="60" t="s">
        <v>436</v>
      </c>
      <c r="C252" s="34">
        <v>4301032052</v>
      </c>
      <c r="D252" s="718">
        <v>4680115886766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339</v>
      </c>
      <c r="L252" s="35" t="s">
        <v>46</v>
      </c>
      <c r="M252" s="36" t="s">
        <v>281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434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5">
      <c r="A253" s="726"/>
      <c r="B253" s="726"/>
      <c r="C253" s="726"/>
      <c r="D253" s="726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7"/>
      <c r="P253" s="723" t="s">
        <v>40</v>
      </c>
      <c r="Q253" s="724"/>
      <c r="R253" s="724"/>
      <c r="S253" s="724"/>
      <c r="T253" s="724"/>
      <c r="U253" s="724"/>
      <c r="V253" s="725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5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717" t="s">
        <v>437</v>
      </c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7"/>
      <c r="P255" s="717"/>
      <c r="Q255" s="717"/>
      <c r="R255" s="717"/>
      <c r="S255" s="717"/>
      <c r="T255" s="717"/>
      <c r="U255" s="717"/>
      <c r="V255" s="717"/>
      <c r="W255" s="717"/>
      <c r="X255" s="717"/>
      <c r="Y255" s="717"/>
      <c r="Z255" s="717"/>
      <c r="AA255" s="63"/>
      <c r="AB255" s="63"/>
      <c r="AC255" s="63"/>
    </row>
    <row r="256" spans="1:68" ht="27" hidden="1" customHeight="1" x14ac:dyDescent="0.25">
      <c r="A256" s="60" t="s">
        <v>438</v>
      </c>
      <c r="B256" s="60" t="s">
        <v>439</v>
      </c>
      <c r="C256" s="34">
        <v>4301170013</v>
      </c>
      <c r="D256" s="718">
        <v>4680115886797</v>
      </c>
      <c r="E256" s="71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339</v>
      </c>
      <c r="L256" s="35" t="s">
        <v>46</v>
      </c>
      <c r="M256" s="36" t="s">
        <v>281</v>
      </c>
      <c r="N256" s="36"/>
      <c r="O256" s="35">
        <v>90</v>
      </c>
      <c r="P256" s="8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0"/>
      <c r="R256" s="720"/>
      <c r="S256" s="720"/>
      <c r="T256" s="72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434</v>
      </c>
      <c r="AG256" s="75"/>
      <c r="AJ256" s="79" t="s">
        <v>46</v>
      </c>
      <c r="AK256" s="79">
        <v>0</v>
      </c>
      <c r="BB256" s="34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5">
      <c r="A257" s="726"/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7"/>
      <c r="P257" s="723" t="s">
        <v>40</v>
      </c>
      <c r="Q257" s="724"/>
      <c r="R257" s="724"/>
      <c r="S257" s="724"/>
      <c r="T257" s="724"/>
      <c r="U257" s="724"/>
      <c r="V257" s="725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5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716" t="s">
        <v>440</v>
      </c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6"/>
      <c r="N259" s="716"/>
      <c r="O259" s="716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  <c r="AA259" s="62"/>
      <c r="AB259" s="62"/>
      <c r="AC259" s="62"/>
    </row>
    <row r="260" spans="1:68" ht="14.25" hidden="1" customHeight="1" x14ac:dyDescent="0.25">
      <c r="A260" s="717" t="s">
        <v>121</v>
      </c>
      <c r="B260" s="717"/>
      <c r="C260" s="717"/>
      <c r="D260" s="717"/>
      <c r="E260" s="717"/>
      <c r="F260" s="717"/>
      <c r="G260" s="717"/>
      <c r="H260" s="717"/>
      <c r="I260" s="717"/>
      <c r="J260" s="717"/>
      <c r="K260" s="717"/>
      <c r="L260" s="717"/>
      <c r="M260" s="717"/>
      <c r="N260" s="717"/>
      <c r="O260" s="717"/>
      <c r="P260" s="717"/>
      <c r="Q260" s="717"/>
      <c r="R260" s="717"/>
      <c r="S260" s="717"/>
      <c r="T260" s="717"/>
      <c r="U260" s="717"/>
      <c r="V260" s="717"/>
      <c r="W260" s="717"/>
      <c r="X260" s="717"/>
      <c r="Y260" s="717"/>
      <c r="Z260" s="717"/>
      <c r="AA260" s="63"/>
      <c r="AB260" s="63"/>
      <c r="AC260" s="63"/>
    </row>
    <row r="261" spans="1:68" ht="27" hidden="1" customHeight="1" x14ac:dyDescent="0.25">
      <c r="A261" s="60" t="s">
        <v>441</v>
      </c>
      <c r="B261" s="60" t="s">
        <v>442</v>
      </c>
      <c r="C261" s="34">
        <v>4301011450</v>
      </c>
      <c r="D261" s="718">
        <v>4680115881402</v>
      </c>
      <c r="E261" s="718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55</v>
      </c>
      <c r="P261" s="8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0"/>
      <c r="R261" s="720"/>
      <c r="S261" s="720"/>
      <c r="T261" s="72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443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444</v>
      </c>
      <c r="B262" s="60" t="s">
        <v>445</v>
      </c>
      <c r="C262" s="34">
        <v>4301011768</v>
      </c>
      <c r="D262" s="718">
        <v>4680115881396</v>
      </c>
      <c r="E262" s="718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55</v>
      </c>
      <c r="P262" s="8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443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5">
      <c r="A263" s="726"/>
      <c r="B263" s="726"/>
      <c r="C263" s="726"/>
      <c r="D263" s="726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7"/>
      <c r="P263" s="723" t="s">
        <v>40</v>
      </c>
      <c r="Q263" s="724"/>
      <c r="R263" s="724"/>
      <c r="S263" s="724"/>
      <c r="T263" s="724"/>
      <c r="U263" s="724"/>
      <c r="V263" s="72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5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7" t="s">
        <v>158</v>
      </c>
      <c r="B265" s="717"/>
      <c r="C265" s="717"/>
      <c r="D265" s="717"/>
      <c r="E265" s="717"/>
      <c r="F265" s="717"/>
      <c r="G265" s="717"/>
      <c r="H265" s="717"/>
      <c r="I265" s="717"/>
      <c r="J265" s="717"/>
      <c r="K265" s="717"/>
      <c r="L265" s="717"/>
      <c r="M265" s="717"/>
      <c r="N265" s="717"/>
      <c r="O265" s="717"/>
      <c r="P265" s="717"/>
      <c r="Q265" s="717"/>
      <c r="R265" s="717"/>
      <c r="S265" s="717"/>
      <c r="T265" s="717"/>
      <c r="U265" s="717"/>
      <c r="V265" s="717"/>
      <c r="W265" s="717"/>
      <c r="X265" s="717"/>
      <c r="Y265" s="717"/>
      <c r="Z265" s="717"/>
      <c r="AA265" s="63"/>
      <c r="AB265" s="63"/>
      <c r="AC265" s="63"/>
    </row>
    <row r="266" spans="1:68" ht="16.5" hidden="1" customHeight="1" x14ac:dyDescent="0.25">
      <c r="A266" s="60" t="s">
        <v>446</v>
      </c>
      <c r="B266" s="60" t="s">
        <v>447</v>
      </c>
      <c r="C266" s="34">
        <v>4301020261</v>
      </c>
      <c r="D266" s="718">
        <v>4680115882935</v>
      </c>
      <c r="E266" s="71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126</v>
      </c>
      <c r="L266" s="35" t="s">
        <v>46</v>
      </c>
      <c r="M266" s="36" t="s">
        <v>125</v>
      </c>
      <c r="N266" s="36"/>
      <c r="O266" s="35">
        <v>50</v>
      </c>
      <c r="P266" s="8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0"/>
      <c r="R266" s="720"/>
      <c r="S266" s="720"/>
      <c r="T266" s="72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448</v>
      </c>
      <c r="AG266" s="75"/>
      <c r="AJ266" s="79" t="s">
        <v>46</v>
      </c>
      <c r="AK266" s="79">
        <v>0</v>
      </c>
      <c r="BB266" s="350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449</v>
      </c>
      <c r="B267" s="60" t="s">
        <v>450</v>
      </c>
      <c r="C267" s="34">
        <v>4301020220</v>
      </c>
      <c r="D267" s="718">
        <v>4680115880764</v>
      </c>
      <c r="E267" s="718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90</v>
      </c>
      <c r="L267" s="35" t="s">
        <v>46</v>
      </c>
      <c r="M267" s="36" t="s">
        <v>125</v>
      </c>
      <c r="N267" s="36"/>
      <c r="O267" s="35">
        <v>50</v>
      </c>
      <c r="P267" s="8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448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5">
      <c r="A268" s="726"/>
      <c r="B268" s="726"/>
      <c r="C268" s="726"/>
      <c r="D268" s="726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7"/>
      <c r="P268" s="723" t="s">
        <v>40</v>
      </c>
      <c r="Q268" s="724"/>
      <c r="R268" s="724"/>
      <c r="S268" s="724"/>
      <c r="T268" s="724"/>
      <c r="U268" s="724"/>
      <c r="V268" s="72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5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17" t="s">
        <v>76</v>
      </c>
      <c r="B270" s="717"/>
      <c r="C270" s="717"/>
      <c r="D270" s="717"/>
      <c r="E270" s="717"/>
      <c r="F270" s="717"/>
      <c r="G270" s="717"/>
      <c r="H270" s="717"/>
      <c r="I270" s="717"/>
      <c r="J270" s="717"/>
      <c r="K270" s="717"/>
      <c r="L270" s="717"/>
      <c r="M270" s="717"/>
      <c r="N270" s="717"/>
      <c r="O270" s="717"/>
      <c r="P270" s="717"/>
      <c r="Q270" s="717"/>
      <c r="R270" s="717"/>
      <c r="S270" s="717"/>
      <c r="T270" s="717"/>
      <c r="U270" s="717"/>
      <c r="V270" s="717"/>
      <c r="W270" s="717"/>
      <c r="X270" s="717"/>
      <c r="Y270" s="717"/>
      <c r="Z270" s="717"/>
      <c r="AA270" s="63"/>
      <c r="AB270" s="63"/>
      <c r="AC270" s="63"/>
    </row>
    <row r="271" spans="1:68" ht="27" hidden="1" customHeight="1" x14ac:dyDescent="0.25">
      <c r="A271" s="60" t="s">
        <v>451</v>
      </c>
      <c r="B271" s="60" t="s">
        <v>452</v>
      </c>
      <c r="C271" s="34">
        <v>4301031224</v>
      </c>
      <c r="D271" s="718">
        <v>4680115882683</v>
      </c>
      <c r="E271" s="71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0"/>
      <c r="R271" s="720"/>
      <c r="S271" s="720"/>
      <c r="T271" s="72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453</v>
      </c>
      <c r="AG271" s="75"/>
      <c r="AJ271" s="79" t="s">
        <v>46</v>
      </c>
      <c r="AK271" s="79">
        <v>0</v>
      </c>
      <c r="BB271" s="354" t="s">
        <v>66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454</v>
      </c>
      <c r="B272" s="60" t="s">
        <v>455</v>
      </c>
      <c r="C272" s="34">
        <v>4301031230</v>
      </c>
      <c r="D272" s="718">
        <v>4680115882690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456</v>
      </c>
      <c r="AG272" s="75"/>
      <c r="AJ272" s="79" t="s">
        <v>46</v>
      </c>
      <c r="AK272" s="79">
        <v>0</v>
      </c>
      <c r="BB272" s="356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4301031220</v>
      </c>
      <c r="D273" s="718">
        <v>4680115882669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459</v>
      </c>
      <c r="AG273" s="75"/>
      <c r="AJ273" s="79" t="s">
        <v>46</v>
      </c>
      <c r="AK273" s="79">
        <v>0</v>
      </c>
      <c r="BB273" s="358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460</v>
      </c>
      <c r="B274" s="60" t="s">
        <v>461</v>
      </c>
      <c r="C274" s="34">
        <v>4301031221</v>
      </c>
      <c r="D274" s="718">
        <v>4680115882676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462</v>
      </c>
      <c r="AG274" s="75"/>
      <c r="AJ274" s="79" t="s">
        <v>46</v>
      </c>
      <c r="AK274" s="79">
        <v>0</v>
      </c>
      <c r="BB274" s="360" t="s">
        <v>66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463</v>
      </c>
      <c r="B275" s="60" t="s">
        <v>464</v>
      </c>
      <c r="C275" s="34">
        <v>4301031223</v>
      </c>
      <c r="D275" s="718">
        <v>4680115884014</v>
      </c>
      <c r="E275" s="718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453</v>
      </c>
      <c r="AG275" s="75"/>
      <c r="AJ275" s="79" t="s">
        <v>46</v>
      </c>
      <c r="AK275" s="79">
        <v>0</v>
      </c>
      <c r="BB275" s="362" t="s">
        <v>66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465</v>
      </c>
      <c r="B276" s="60" t="s">
        <v>466</v>
      </c>
      <c r="C276" s="34">
        <v>4301031222</v>
      </c>
      <c r="D276" s="718">
        <v>4680115884007</v>
      </c>
      <c r="E276" s="71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456</v>
      </c>
      <c r="AG276" s="75"/>
      <c r="AJ276" s="79" t="s">
        <v>46</v>
      </c>
      <c r="AK276" s="79">
        <v>0</v>
      </c>
      <c r="BB276" s="364" t="s">
        <v>66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467</v>
      </c>
      <c r="B277" s="60" t="s">
        <v>468</v>
      </c>
      <c r="C277" s="34">
        <v>4301031229</v>
      </c>
      <c r="D277" s="718">
        <v>4680115884038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459</v>
      </c>
      <c r="AG277" s="75"/>
      <c r="AJ277" s="79" t="s">
        <v>46</v>
      </c>
      <c r="AK277" s="79">
        <v>0</v>
      </c>
      <c r="BB277" s="366" t="s">
        <v>66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469</v>
      </c>
      <c r="B278" s="60" t="s">
        <v>470</v>
      </c>
      <c r="C278" s="34">
        <v>4301031225</v>
      </c>
      <c r="D278" s="718">
        <v>4680115884021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6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462</v>
      </c>
      <c r="AG278" s="75"/>
      <c r="AJ278" s="79" t="s">
        <v>46</v>
      </c>
      <c r="AK278" s="79">
        <v>0</v>
      </c>
      <c r="BB278" s="368" t="s">
        <v>66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5">
      <c r="A279" s="726"/>
      <c r="B279" s="726"/>
      <c r="C279" s="726"/>
      <c r="D279" s="726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7"/>
      <c r="P279" s="723" t="s">
        <v>40</v>
      </c>
      <c r="Q279" s="724"/>
      <c r="R279" s="724"/>
      <c r="S279" s="724"/>
      <c r="T279" s="724"/>
      <c r="U279" s="724"/>
      <c r="V279" s="725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5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717" t="s">
        <v>85</v>
      </c>
      <c r="B281" s="717"/>
      <c r="C281" s="717"/>
      <c r="D281" s="717"/>
      <c r="E281" s="717"/>
      <c r="F281" s="717"/>
      <c r="G281" s="717"/>
      <c r="H281" s="717"/>
      <c r="I281" s="717"/>
      <c r="J281" s="717"/>
      <c r="K281" s="717"/>
      <c r="L281" s="717"/>
      <c r="M281" s="717"/>
      <c r="N281" s="717"/>
      <c r="O281" s="717"/>
      <c r="P281" s="717"/>
      <c r="Q281" s="717"/>
      <c r="R281" s="717"/>
      <c r="S281" s="717"/>
      <c r="T281" s="717"/>
      <c r="U281" s="717"/>
      <c r="V281" s="717"/>
      <c r="W281" s="717"/>
      <c r="X281" s="717"/>
      <c r="Y281" s="717"/>
      <c r="Z281" s="717"/>
      <c r="AA281" s="63"/>
      <c r="AB281" s="63"/>
      <c r="AC281" s="63"/>
    </row>
    <row r="282" spans="1:68" ht="27" hidden="1" customHeight="1" x14ac:dyDescent="0.25">
      <c r="A282" s="60" t="s">
        <v>471</v>
      </c>
      <c r="B282" s="60" t="s">
        <v>472</v>
      </c>
      <c r="C282" s="34">
        <v>4301051408</v>
      </c>
      <c r="D282" s="718">
        <v>4680115881594</v>
      </c>
      <c r="E282" s="718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40</v>
      </c>
      <c r="P282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0"/>
      <c r="R282" s="720"/>
      <c r="S282" s="720"/>
      <c r="T282" s="72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473</v>
      </c>
      <c r="AG282" s="75"/>
      <c r="AJ282" s="79" t="s">
        <v>46</v>
      </c>
      <c r="AK282" s="79">
        <v>0</v>
      </c>
      <c r="BB282" s="370" t="s">
        <v>66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4301051411</v>
      </c>
      <c r="D283" s="718">
        <v>4680115881617</v>
      </c>
      <c r="E283" s="718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476</v>
      </c>
      <c r="AG283" s="75"/>
      <c r="AJ283" s="79" t="s">
        <v>46</v>
      </c>
      <c r="AK283" s="79">
        <v>0</v>
      </c>
      <c r="BB283" s="372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4301051656</v>
      </c>
      <c r="D284" s="718">
        <v>4680115880573</v>
      </c>
      <c r="E284" s="718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4301051407</v>
      </c>
      <c r="D285" s="718">
        <v>4680115882195</v>
      </c>
      <c r="E285" s="718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40</v>
      </c>
      <c r="P28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473</v>
      </c>
      <c r="AG285" s="75"/>
      <c r="AJ285" s="79" t="s">
        <v>46</v>
      </c>
      <c r="AK285" s="79">
        <v>0</v>
      </c>
      <c r="BB285" s="376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4301051752</v>
      </c>
      <c r="D286" s="718">
        <v>4680115882607</v>
      </c>
      <c r="E286" s="718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45</v>
      </c>
      <c r="P28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4301052143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133</v>
      </c>
      <c r="L287" s="35" t="s">
        <v>46</v>
      </c>
      <c r="M287" s="36" t="s">
        <v>89</v>
      </c>
      <c r="N287" s="36"/>
      <c r="O287" s="35">
        <v>45</v>
      </c>
      <c r="P287" s="8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4301051666</v>
      </c>
      <c r="D288" s="718">
        <v>4680115880092</v>
      </c>
      <c r="E288" s="71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4301052214</v>
      </c>
      <c r="D289" s="718">
        <v>4680115889064</v>
      </c>
      <c r="E289" s="718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126</v>
      </c>
      <c r="L289" s="35" t="s">
        <v>46</v>
      </c>
      <c r="M289" s="36" t="s">
        <v>89</v>
      </c>
      <c r="N289" s="36"/>
      <c r="O289" s="35">
        <v>45</v>
      </c>
      <c r="P289" s="8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486</v>
      </c>
      <c r="AG289" s="75"/>
      <c r="AJ289" s="79" t="s">
        <v>46</v>
      </c>
      <c r="AK289" s="79">
        <v>0</v>
      </c>
      <c r="BB289" s="384" t="s">
        <v>66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4301051668</v>
      </c>
      <c r="D290" s="718">
        <v>4680115880221</v>
      </c>
      <c r="E290" s="71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45</v>
      </c>
      <c r="P290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479</v>
      </c>
      <c r="AG290" s="75"/>
      <c r="AJ290" s="79" t="s">
        <v>46</v>
      </c>
      <c r="AK290" s="79">
        <v>0</v>
      </c>
      <c r="BB290" s="386" t="s">
        <v>66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4301051945</v>
      </c>
      <c r="D291" s="718">
        <v>4680115880504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495</v>
      </c>
      <c r="AG291" s="75"/>
      <c r="AJ291" s="79" t="s">
        <v>46</v>
      </c>
      <c r="AK291" s="79">
        <v>0</v>
      </c>
      <c r="BB291" s="388" t="s">
        <v>66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496</v>
      </c>
      <c r="B292" s="60" t="s">
        <v>497</v>
      </c>
      <c r="C292" s="34">
        <v>4301051410</v>
      </c>
      <c r="D292" s="718">
        <v>4680115882164</v>
      </c>
      <c r="E292" s="718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498</v>
      </c>
      <c r="AG292" s="75"/>
      <c r="AJ292" s="79" t="s">
        <v>46</v>
      </c>
      <c r="AK292" s="79">
        <v>0</v>
      </c>
      <c r="BB292" s="390" t="s">
        <v>66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499</v>
      </c>
      <c r="B293" s="60" t="s">
        <v>500</v>
      </c>
      <c r="C293" s="34">
        <v>4301052180</v>
      </c>
      <c r="D293" s="718">
        <v>4680115888340</v>
      </c>
      <c r="E293" s="71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45</v>
      </c>
      <c r="P293" s="88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501</v>
      </c>
      <c r="AG293" s="75"/>
      <c r="AJ293" s="79" t="s">
        <v>46</v>
      </c>
      <c r="AK293" s="79">
        <v>0</v>
      </c>
      <c r="BB293" s="392" t="s">
        <v>66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5">
      <c r="A294" s="726"/>
      <c r="B294" s="726"/>
      <c r="C294" s="726"/>
      <c r="D294" s="726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7"/>
      <c r="P294" s="723" t="s">
        <v>40</v>
      </c>
      <c r="Q294" s="724"/>
      <c r="R294" s="724"/>
      <c r="S294" s="724"/>
      <c r="T294" s="724"/>
      <c r="U294" s="724"/>
      <c r="V294" s="725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5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717" t="s">
        <v>177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4301060463</v>
      </c>
      <c r="D297" s="718">
        <v>4680115880818</v>
      </c>
      <c r="E297" s="718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90</v>
      </c>
      <c r="L297" s="35" t="s">
        <v>46</v>
      </c>
      <c r="M297" s="36" t="s">
        <v>96</v>
      </c>
      <c r="N297" s="36"/>
      <c r="O297" s="35">
        <v>40</v>
      </c>
      <c r="P297" s="8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0"/>
      <c r="R297" s="720"/>
      <c r="S297" s="720"/>
      <c r="T297" s="72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504</v>
      </c>
      <c r="AG297" s="75"/>
      <c r="AJ297" s="79" t="s">
        <v>46</v>
      </c>
      <c r="AK297" s="79">
        <v>0</v>
      </c>
      <c r="BB297" s="394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505</v>
      </c>
      <c r="B298" s="60" t="s">
        <v>506</v>
      </c>
      <c r="C298" s="34">
        <v>4301060389</v>
      </c>
      <c r="D298" s="718">
        <v>4680115880801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89</v>
      </c>
      <c r="N298" s="36"/>
      <c r="O298" s="35">
        <v>40</v>
      </c>
      <c r="P298" s="8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507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5">
      <c r="A299" s="726"/>
      <c r="B299" s="726"/>
      <c r="C299" s="726"/>
      <c r="D299" s="726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7"/>
      <c r="P299" s="723" t="s">
        <v>40</v>
      </c>
      <c r="Q299" s="724"/>
      <c r="R299" s="724"/>
      <c r="S299" s="724"/>
      <c r="T299" s="724"/>
      <c r="U299" s="724"/>
      <c r="V299" s="725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5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716" t="s">
        <v>508</v>
      </c>
      <c r="B301" s="716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6"/>
      <c r="N301" s="716"/>
      <c r="O301" s="716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  <c r="AA301" s="62"/>
      <c r="AB301" s="62"/>
      <c r="AC301" s="62"/>
    </row>
    <row r="302" spans="1:68" ht="14.25" hidden="1" customHeight="1" x14ac:dyDescent="0.25">
      <c r="A302" s="717" t="s">
        <v>121</v>
      </c>
      <c r="B302" s="717"/>
      <c r="C302" s="717"/>
      <c r="D302" s="717"/>
      <c r="E302" s="717"/>
      <c r="F302" s="717"/>
      <c r="G302" s="717"/>
      <c r="H302" s="717"/>
      <c r="I302" s="717"/>
      <c r="J302" s="717"/>
      <c r="K302" s="717"/>
      <c r="L302" s="717"/>
      <c r="M302" s="717"/>
      <c r="N302" s="717"/>
      <c r="O302" s="717"/>
      <c r="P302" s="717"/>
      <c r="Q302" s="717"/>
      <c r="R302" s="717"/>
      <c r="S302" s="717"/>
      <c r="T302" s="717"/>
      <c r="U302" s="717"/>
      <c r="V302" s="717"/>
      <c r="W302" s="717"/>
      <c r="X302" s="717"/>
      <c r="Y302" s="717"/>
      <c r="Z302" s="717"/>
      <c r="AA302" s="63"/>
      <c r="AB302" s="63"/>
      <c r="AC302" s="63"/>
    </row>
    <row r="303" spans="1:68" ht="27" hidden="1" customHeight="1" x14ac:dyDescent="0.25">
      <c r="A303" s="60" t="s">
        <v>509</v>
      </c>
      <c r="B303" s="60" t="s">
        <v>510</v>
      </c>
      <c r="C303" s="34">
        <v>4301011826</v>
      </c>
      <c r="D303" s="718">
        <v>4680115884137</v>
      </c>
      <c r="E303" s="71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0"/>
      <c r="R303" s="720"/>
      <c r="S303" s="720"/>
      <c r="T303" s="72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511</v>
      </c>
      <c r="AG303" s="75"/>
      <c r="AJ303" s="79" t="s">
        <v>46</v>
      </c>
      <c r="AK303" s="79">
        <v>0</v>
      </c>
      <c r="BB303" s="398" t="s">
        <v>66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4301011724</v>
      </c>
      <c r="D304" s="718">
        <v>4680115884236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514</v>
      </c>
      <c r="AG304" s="75"/>
      <c r="AJ304" s="79" t="s">
        <v>46</v>
      </c>
      <c r="AK304" s="79">
        <v>0</v>
      </c>
      <c r="BB304" s="400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4301011721</v>
      </c>
      <c r="D305" s="718">
        <v>4680115884175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362</v>
      </c>
      <c r="AG305" s="75"/>
      <c r="AJ305" s="79" t="s">
        <v>46</v>
      </c>
      <c r="AK305" s="79">
        <v>0</v>
      </c>
      <c r="BB305" s="402" t="s">
        <v>66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4301011824</v>
      </c>
      <c r="D306" s="718">
        <v>4680115884144</v>
      </c>
      <c r="E306" s="718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133</v>
      </c>
      <c r="L306" s="35" t="s">
        <v>46</v>
      </c>
      <c r="M306" s="36" t="s">
        <v>125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511</v>
      </c>
      <c r="AG306" s="75"/>
      <c r="AJ306" s="79" t="s">
        <v>46</v>
      </c>
      <c r="AK306" s="79">
        <v>0</v>
      </c>
      <c r="BB306" s="404" t="s">
        <v>66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519</v>
      </c>
      <c r="B307" s="60" t="s">
        <v>520</v>
      </c>
      <c r="C307" s="34">
        <v>4301012149</v>
      </c>
      <c r="D307" s="718">
        <v>4680115886551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521</v>
      </c>
      <c r="AG307" s="75"/>
      <c r="AJ307" s="79" t="s">
        <v>46</v>
      </c>
      <c r="AK307" s="79">
        <v>0</v>
      </c>
      <c r="BB307" s="406" t="s">
        <v>66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522</v>
      </c>
      <c r="B308" s="60" t="s">
        <v>523</v>
      </c>
      <c r="C308" s="34">
        <v>4301012228</v>
      </c>
      <c r="D308" s="718">
        <v>4680115887282</v>
      </c>
      <c r="E308" s="718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90</v>
      </c>
      <c r="L308" s="35" t="s">
        <v>46</v>
      </c>
      <c r="M308" s="36" t="s">
        <v>125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524</v>
      </c>
      <c r="AG308" s="75"/>
      <c r="AJ308" s="79" t="s">
        <v>46</v>
      </c>
      <c r="AK308" s="79">
        <v>0</v>
      </c>
      <c r="BB308" s="408" t="s">
        <v>66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525</v>
      </c>
      <c r="B309" s="60" t="s">
        <v>526</v>
      </c>
      <c r="C309" s="34">
        <v>4301011722</v>
      </c>
      <c r="D309" s="718">
        <v>4680115884205</v>
      </c>
      <c r="E309" s="718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133</v>
      </c>
      <c r="L309" s="35" t="s">
        <v>46</v>
      </c>
      <c r="M309" s="36" t="s">
        <v>125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362</v>
      </c>
      <c r="AG309" s="75"/>
      <c r="AJ309" s="79" t="s">
        <v>46</v>
      </c>
      <c r="AK309" s="79">
        <v>0</v>
      </c>
      <c r="BB309" s="410" t="s">
        <v>66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5">
      <c r="A310" s="726"/>
      <c r="B310" s="726"/>
      <c r="C310" s="726"/>
      <c r="D310" s="726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7"/>
      <c r="P310" s="723" t="s">
        <v>40</v>
      </c>
      <c r="Q310" s="724"/>
      <c r="R310" s="724"/>
      <c r="S310" s="724"/>
      <c r="T310" s="724"/>
      <c r="U310" s="724"/>
      <c r="V310" s="725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5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17" t="s">
        <v>158</v>
      </c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7"/>
      <c r="P312" s="717"/>
      <c r="Q312" s="717"/>
      <c r="R312" s="717"/>
      <c r="S312" s="717"/>
      <c r="T312" s="717"/>
      <c r="U312" s="717"/>
      <c r="V312" s="717"/>
      <c r="W312" s="717"/>
      <c r="X312" s="717"/>
      <c r="Y312" s="717"/>
      <c r="Z312" s="717"/>
      <c r="AA312" s="63"/>
      <c r="AB312" s="63"/>
      <c r="AC312" s="63"/>
    </row>
    <row r="313" spans="1:68" ht="27" hidden="1" customHeight="1" x14ac:dyDescent="0.25">
      <c r="A313" s="60" t="s">
        <v>527</v>
      </c>
      <c r="B313" s="60" t="s">
        <v>528</v>
      </c>
      <c r="C313" s="34">
        <v>4301020377</v>
      </c>
      <c r="D313" s="718">
        <v>4680115885981</v>
      </c>
      <c r="E313" s="718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81</v>
      </c>
      <c r="L313" s="35" t="s">
        <v>46</v>
      </c>
      <c r="M313" s="36" t="s">
        <v>89</v>
      </c>
      <c r="N313" s="36"/>
      <c r="O313" s="35">
        <v>50</v>
      </c>
      <c r="P313" s="8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0"/>
      <c r="R313" s="720"/>
      <c r="S313" s="720"/>
      <c r="T313" s="72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529</v>
      </c>
      <c r="AG313" s="75"/>
      <c r="AJ313" s="79" t="s">
        <v>46</v>
      </c>
      <c r="AK313" s="79">
        <v>0</v>
      </c>
      <c r="BB313" s="412" t="s">
        <v>66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5">
      <c r="A314" s="726"/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7"/>
      <c r="P314" s="723" t="s">
        <v>40</v>
      </c>
      <c r="Q314" s="724"/>
      <c r="R314" s="724"/>
      <c r="S314" s="724"/>
      <c r="T314" s="724"/>
      <c r="U314" s="724"/>
      <c r="V314" s="725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5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17" t="s">
        <v>530</v>
      </c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7"/>
      <c r="P316" s="717"/>
      <c r="Q316" s="717"/>
      <c r="R316" s="717"/>
      <c r="S316" s="717"/>
      <c r="T316" s="717"/>
      <c r="U316" s="717"/>
      <c r="V316" s="717"/>
      <c r="W316" s="717"/>
      <c r="X316" s="717"/>
      <c r="Y316" s="717"/>
      <c r="Z316" s="717"/>
      <c r="AA316" s="63"/>
      <c r="AB316" s="63"/>
      <c r="AC316" s="63"/>
    </row>
    <row r="317" spans="1:68" ht="27" hidden="1" customHeight="1" x14ac:dyDescent="0.25">
      <c r="A317" s="60" t="s">
        <v>531</v>
      </c>
      <c r="B317" s="60" t="s">
        <v>532</v>
      </c>
      <c r="C317" s="34">
        <v>4301040362</v>
      </c>
      <c r="D317" s="718">
        <v>4680115886803</v>
      </c>
      <c r="E317" s="718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339</v>
      </c>
      <c r="L317" s="35" t="s">
        <v>46</v>
      </c>
      <c r="M317" s="36" t="s">
        <v>281</v>
      </c>
      <c r="N317" s="36"/>
      <c r="O317" s="35">
        <v>45</v>
      </c>
      <c r="P317" s="8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0"/>
      <c r="R317" s="720"/>
      <c r="S317" s="720"/>
      <c r="T317" s="721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533</v>
      </c>
      <c r="AG317" s="75"/>
      <c r="AJ317" s="79" t="s">
        <v>46</v>
      </c>
      <c r="AK317" s="79">
        <v>0</v>
      </c>
      <c r="BB317" s="414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5">
      <c r="A318" s="726"/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7"/>
      <c r="P318" s="723" t="s">
        <v>40</v>
      </c>
      <c r="Q318" s="724"/>
      <c r="R318" s="724"/>
      <c r="S318" s="724"/>
      <c r="T318" s="724"/>
      <c r="U318" s="724"/>
      <c r="V318" s="725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5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717" t="s">
        <v>340</v>
      </c>
      <c r="B320" s="717"/>
      <c r="C320" s="717"/>
      <c r="D320" s="717"/>
      <c r="E320" s="717"/>
      <c r="F320" s="717"/>
      <c r="G320" s="717"/>
      <c r="H320" s="717"/>
      <c r="I320" s="717"/>
      <c r="J320" s="717"/>
      <c r="K320" s="717"/>
      <c r="L320" s="717"/>
      <c r="M320" s="717"/>
      <c r="N320" s="717"/>
      <c r="O320" s="717"/>
      <c r="P320" s="717"/>
      <c r="Q320" s="717"/>
      <c r="R320" s="717"/>
      <c r="S320" s="717"/>
      <c r="T320" s="717"/>
      <c r="U320" s="717"/>
      <c r="V320" s="717"/>
      <c r="W320" s="717"/>
      <c r="X320" s="717"/>
      <c r="Y320" s="717"/>
      <c r="Z320" s="717"/>
      <c r="AA320" s="63"/>
      <c r="AB320" s="63"/>
      <c r="AC320" s="63"/>
    </row>
    <row r="321" spans="1:68" ht="27" hidden="1" customHeight="1" x14ac:dyDescent="0.25">
      <c r="A321" s="60" t="s">
        <v>534</v>
      </c>
      <c r="B321" s="60" t="s">
        <v>535</v>
      </c>
      <c r="C321" s="34">
        <v>4301041008</v>
      </c>
      <c r="D321" s="718">
        <v>4680115886681</v>
      </c>
      <c r="E321" s="718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339</v>
      </c>
      <c r="L321" s="35" t="s">
        <v>46</v>
      </c>
      <c r="M321" s="36" t="s">
        <v>281</v>
      </c>
      <c r="N321" s="36"/>
      <c r="O321" s="35">
        <v>90</v>
      </c>
      <c r="P321" s="8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0"/>
      <c r="R321" s="720"/>
      <c r="S321" s="720"/>
      <c r="T321" s="72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5">
      <c r="A322" s="726"/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7"/>
      <c r="P322" s="723" t="s">
        <v>40</v>
      </c>
      <c r="Q322" s="724"/>
      <c r="R322" s="724"/>
      <c r="S322" s="724"/>
      <c r="T322" s="724"/>
      <c r="U322" s="724"/>
      <c r="V322" s="725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5">
      <c r="A323" s="726"/>
      <c r="B323" s="726"/>
      <c r="C323" s="726"/>
      <c r="D323" s="726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7"/>
      <c r="P323" s="723" t="s">
        <v>40</v>
      </c>
      <c r="Q323" s="724"/>
      <c r="R323" s="724"/>
      <c r="S323" s="724"/>
      <c r="T323" s="724"/>
      <c r="U323" s="724"/>
      <c r="V323" s="725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6" t="s">
        <v>537</v>
      </c>
      <c r="B324" s="716"/>
      <c r="C324" s="716"/>
      <c r="D324" s="716"/>
      <c r="E324" s="716"/>
      <c r="F324" s="716"/>
      <c r="G324" s="716"/>
      <c r="H324" s="716"/>
      <c r="I324" s="716"/>
      <c r="J324" s="716"/>
      <c r="K324" s="716"/>
      <c r="L324" s="716"/>
      <c r="M324" s="716"/>
      <c r="N324" s="716"/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  <c r="AA324" s="62"/>
      <c r="AB324" s="62"/>
      <c r="AC324" s="62"/>
    </row>
    <row r="325" spans="1:68" ht="14.25" hidden="1" customHeight="1" x14ac:dyDescent="0.25">
      <c r="A325" s="717" t="s">
        <v>121</v>
      </c>
      <c r="B325" s="717"/>
      <c r="C325" s="717"/>
      <c r="D325" s="717"/>
      <c r="E325" s="717"/>
      <c r="F325" s="717"/>
      <c r="G325" s="717"/>
      <c r="H325" s="717"/>
      <c r="I325" s="717"/>
      <c r="J325" s="717"/>
      <c r="K325" s="717"/>
      <c r="L325" s="717"/>
      <c r="M325" s="717"/>
      <c r="N325" s="717"/>
      <c r="O325" s="717"/>
      <c r="P325" s="717"/>
      <c r="Q325" s="717"/>
      <c r="R325" s="717"/>
      <c r="S325" s="717"/>
      <c r="T325" s="717"/>
      <c r="U325" s="717"/>
      <c r="V325" s="717"/>
      <c r="W325" s="717"/>
      <c r="X325" s="717"/>
      <c r="Y325" s="717"/>
      <c r="Z325" s="717"/>
      <c r="AA325" s="63"/>
      <c r="AB325" s="63"/>
      <c r="AC325" s="63"/>
    </row>
    <row r="326" spans="1:68" ht="27" hidden="1" customHeight="1" x14ac:dyDescent="0.25">
      <c r="A326" s="60" t="s">
        <v>538</v>
      </c>
      <c r="B326" s="60" t="s">
        <v>539</v>
      </c>
      <c r="C326" s="34">
        <v>4301012390</v>
      </c>
      <c r="D326" s="718">
        <v>4680115889637</v>
      </c>
      <c r="E326" s="71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0"/>
      <c r="R326" s="720"/>
      <c r="S326" s="720"/>
      <c r="T326" s="72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541</v>
      </c>
      <c r="AC326" s="417" t="s">
        <v>540</v>
      </c>
      <c r="AG326" s="75"/>
      <c r="AJ326" s="79" t="s">
        <v>46</v>
      </c>
      <c r="AK326" s="79">
        <v>0</v>
      </c>
      <c r="BB326" s="418" t="s">
        <v>66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542</v>
      </c>
      <c r="B327" s="60" t="s">
        <v>543</v>
      </c>
      <c r="C327" s="34">
        <v>4301011855</v>
      </c>
      <c r="D327" s="718">
        <v>4680115885837</v>
      </c>
      <c r="E327" s="71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0"/>
      <c r="R327" s="720"/>
      <c r="S327" s="720"/>
      <c r="T327" s="72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544</v>
      </c>
      <c r="AG327" s="75"/>
      <c r="AJ327" s="79" t="s">
        <v>46</v>
      </c>
      <c r="AK327" s="79">
        <v>0</v>
      </c>
      <c r="BB327" s="420" t="s">
        <v>66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545</v>
      </c>
      <c r="B328" s="60" t="s">
        <v>546</v>
      </c>
      <c r="C328" s="34">
        <v>4301012234</v>
      </c>
      <c r="D328" s="718">
        <v>4680115887237</v>
      </c>
      <c r="E328" s="71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0"/>
      <c r="R328" s="720"/>
      <c r="S328" s="720"/>
      <c r="T328" s="721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547</v>
      </c>
      <c r="AG328" s="75"/>
      <c r="AJ328" s="79" t="s">
        <v>46</v>
      </c>
      <c r="AK328" s="79">
        <v>0</v>
      </c>
      <c r="BB328" s="422" t="s">
        <v>66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548</v>
      </c>
      <c r="B329" s="60" t="s">
        <v>549</v>
      </c>
      <c r="C329" s="34">
        <v>4301011850</v>
      </c>
      <c r="D329" s="718">
        <v>4680115885806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550</v>
      </c>
      <c r="AG329" s="75"/>
      <c r="AJ329" s="79" t="s">
        <v>46</v>
      </c>
      <c r="AK329" s="79">
        <v>0</v>
      </c>
      <c r="BB329" s="424" t="s">
        <v>66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551</v>
      </c>
      <c r="B330" s="60" t="s">
        <v>552</v>
      </c>
      <c r="C330" s="34">
        <v>4301011852</v>
      </c>
      <c r="D330" s="718">
        <v>4680115885844</v>
      </c>
      <c r="E330" s="71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553</v>
      </c>
      <c r="AG330" s="75"/>
      <c r="AJ330" s="79" t="s">
        <v>46</v>
      </c>
      <c r="AK330" s="79">
        <v>0</v>
      </c>
      <c r="BB330" s="426" t="s">
        <v>66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554</v>
      </c>
      <c r="B331" s="60" t="s">
        <v>555</v>
      </c>
      <c r="C331" s="34">
        <v>4301011851</v>
      </c>
      <c r="D331" s="718">
        <v>4680115885820</v>
      </c>
      <c r="E331" s="718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133</v>
      </c>
      <c r="L331" s="35" t="s">
        <v>46</v>
      </c>
      <c r="M331" s="36" t="s">
        <v>125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556</v>
      </c>
      <c r="AG331" s="75"/>
      <c r="AJ331" s="79" t="s">
        <v>46</v>
      </c>
      <c r="AK331" s="79">
        <v>0</v>
      </c>
      <c r="BB331" s="428" t="s">
        <v>66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5">
      <c r="A332" s="726"/>
      <c r="B332" s="726"/>
      <c r="C332" s="726"/>
      <c r="D332" s="726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7"/>
      <c r="P332" s="723" t="s">
        <v>40</v>
      </c>
      <c r="Q332" s="724"/>
      <c r="R332" s="724"/>
      <c r="S332" s="724"/>
      <c r="T332" s="724"/>
      <c r="U332" s="724"/>
      <c r="V332" s="725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5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716" t="s">
        <v>557</v>
      </c>
      <c r="B334" s="716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6"/>
      <c r="N334" s="716"/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  <c r="AA334" s="62"/>
      <c r="AB334" s="62"/>
      <c r="AC334" s="62"/>
    </row>
    <row r="335" spans="1:68" ht="14.25" hidden="1" customHeight="1" x14ac:dyDescent="0.25">
      <c r="A335" s="717" t="s">
        <v>85</v>
      </c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7"/>
      <c r="P335" s="717"/>
      <c r="Q335" s="717"/>
      <c r="R335" s="717"/>
      <c r="S335" s="717"/>
      <c r="T335" s="717"/>
      <c r="U335" s="717"/>
      <c r="V335" s="717"/>
      <c r="W335" s="717"/>
      <c r="X335" s="717"/>
      <c r="Y335" s="717"/>
      <c r="Z335" s="717"/>
      <c r="AA335" s="63"/>
      <c r="AB335" s="63"/>
      <c r="AC335" s="63"/>
    </row>
    <row r="336" spans="1:68" ht="27" hidden="1" customHeight="1" x14ac:dyDescent="0.25">
      <c r="A336" s="60" t="s">
        <v>558</v>
      </c>
      <c r="B336" s="60" t="s">
        <v>559</v>
      </c>
      <c r="C336" s="34">
        <v>4301051893</v>
      </c>
      <c r="D336" s="718">
        <v>4680115886186</v>
      </c>
      <c r="E336" s="718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90</v>
      </c>
      <c r="L336" s="35" t="s">
        <v>46</v>
      </c>
      <c r="M336" s="36" t="s">
        <v>89</v>
      </c>
      <c r="N336" s="36"/>
      <c r="O336" s="35">
        <v>45</v>
      </c>
      <c r="P336" s="9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0"/>
      <c r="R336" s="720"/>
      <c r="S336" s="720"/>
      <c r="T336" s="72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560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561</v>
      </c>
      <c r="B337" s="60" t="s">
        <v>562</v>
      </c>
      <c r="C337" s="34">
        <v>4301051795</v>
      </c>
      <c r="D337" s="718">
        <v>4680115881228</v>
      </c>
      <c r="E337" s="718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90</v>
      </c>
      <c r="L337" s="35" t="s">
        <v>46</v>
      </c>
      <c r="M337" s="36" t="s">
        <v>96</v>
      </c>
      <c r="N337" s="36"/>
      <c r="O337" s="35">
        <v>40</v>
      </c>
      <c r="P337" s="9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0"/>
      <c r="R337" s="720"/>
      <c r="S337" s="720"/>
      <c r="T337" s="72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563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564</v>
      </c>
      <c r="B338" s="60" t="s">
        <v>565</v>
      </c>
      <c r="C338" s="34">
        <v>4301051388</v>
      </c>
      <c r="D338" s="718">
        <v>4680115881211</v>
      </c>
      <c r="E338" s="718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560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5">
      <c r="A339" s="726"/>
      <c r="B339" s="726"/>
      <c r="C339" s="726"/>
      <c r="D339" s="726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7"/>
      <c r="P339" s="723" t="s">
        <v>40</v>
      </c>
      <c r="Q339" s="724"/>
      <c r="R339" s="724"/>
      <c r="S339" s="724"/>
      <c r="T339" s="724"/>
      <c r="U339" s="724"/>
      <c r="V339" s="725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5">
      <c r="A340" s="726"/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7"/>
      <c r="P340" s="723" t="s">
        <v>40</v>
      </c>
      <c r="Q340" s="724"/>
      <c r="R340" s="724"/>
      <c r="S340" s="724"/>
      <c r="T340" s="724"/>
      <c r="U340" s="724"/>
      <c r="V340" s="725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716" t="s">
        <v>566</v>
      </c>
      <c r="B341" s="716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6"/>
      <c r="N341" s="716"/>
      <c r="O341" s="716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  <c r="AA341" s="62"/>
      <c r="AB341" s="62"/>
      <c r="AC341" s="62"/>
    </row>
    <row r="342" spans="1:68" ht="14.25" hidden="1" customHeight="1" x14ac:dyDescent="0.25">
      <c r="A342" s="717" t="s">
        <v>76</v>
      </c>
      <c r="B342" s="717"/>
      <c r="C342" s="717"/>
      <c r="D342" s="717"/>
      <c r="E342" s="717"/>
      <c r="F342" s="717"/>
      <c r="G342" s="717"/>
      <c r="H342" s="717"/>
      <c r="I342" s="717"/>
      <c r="J342" s="717"/>
      <c r="K342" s="717"/>
      <c r="L342" s="717"/>
      <c r="M342" s="717"/>
      <c r="N342" s="717"/>
      <c r="O342" s="717"/>
      <c r="P342" s="717"/>
      <c r="Q342" s="717"/>
      <c r="R342" s="717"/>
      <c r="S342" s="717"/>
      <c r="T342" s="717"/>
      <c r="U342" s="717"/>
      <c r="V342" s="717"/>
      <c r="W342" s="717"/>
      <c r="X342" s="717"/>
      <c r="Y342" s="717"/>
      <c r="Z342" s="717"/>
      <c r="AA342" s="63"/>
      <c r="AB342" s="63"/>
      <c r="AC342" s="63"/>
    </row>
    <row r="343" spans="1:68" ht="27" hidden="1" customHeight="1" x14ac:dyDescent="0.25">
      <c r="A343" s="60" t="s">
        <v>567</v>
      </c>
      <c r="B343" s="60" t="s">
        <v>568</v>
      </c>
      <c r="C343" s="34">
        <v>4301031445</v>
      </c>
      <c r="D343" s="718">
        <v>4680115888319</v>
      </c>
      <c r="E343" s="718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45</v>
      </c>
      <c r="P343" s="90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0"/>
      <c r="R343" s="720"/>
      <c r="S343" s="720"/>
      <c r="T343" s="72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394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4301031502</v>
      </c>
      <c r="D344" s="718">
        <v>4680115884700</v>
      </c>
      <c r="E344" s="718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0"/>
      <c r="R344" s="720"/>
      <c r="S344" s="720"/>
      <c r="T344" s="72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571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572</v>
      </c>
      <c r="B345" s="60" t="s">
        <v>573</v>
      </c>
      <c r="C345" s="34">
        <v>4301031307</v>
      </c>
      <c r="D345" s="718">
        <v>4680115880344</v>
      </c>
      <c r="E345" s="718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40</v>
      </c>
      <c r="P345" s="9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574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575</v>
      </c>
      <c r="B346" s="60" t="s">
        <v>576</v>
      </c>
      <c r="C346" s="34">
        <v>4301031501</v>
      </c>
      <c r="D346" s="718">
        <v>4680115886919</v>
      </c>
      <c r="E346" s="718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90</v>
      </c>
      <c r="L346" s="35" t="s">
        <v>46</v>
      </c>
      <c r="M346" s="36" t="s">
        <v>80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577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578</v>
      </c>
      <c r="B347" s="60" t="s">
        <v>579</v>
      </c>
      <c r="C347" s="34">
        <v>4301031246</v>
      </c>
      <c r="D347" s="718">
        <v>4680115883970</v>
      </c>
      <c r="E347" s="718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580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5">
      <c r="A348" s="726"/>
      <c r="B348" s="726"/>
      <c r="C348" s="726"/>
      <c r="D348" s="726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7"/>
      <c r="P348" s="723" t="s">
        <v>40</v>
      </c>
      <c r="Q348" s="724"/>
      <c r="R348" s="724"/>
      <c r="S348" s="724"/>
      <c r="T348" s="724"/>
      <c r="U348" s="724"/>
      <c r="V348" s="725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5">
      <c r="A349" s="726"/>
      <c r="B349" s="726"/>
      <c r="C349" s="726"/>
      <c r="D349" s="726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7"/>
      <c r="P349" s="723" t="s">
        <v>40</v>
      </c>
      <c r="Q349" s="724"/>
      <c r="R349" s="724"/>
      <c r="S349" s="724"/>
      <c r="T349" s="724"/>
      <c r="U349" s="724"/>
      <c r="V349" s="725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717" t="s">
        <v>85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3"/>
      <c r="AB350" s="63"/>
      <c r="AC350" s="63"/>
    </row>
    <row r="351" spans="1:68" ht="27" hidden="1" customHeight="1" x14ac:dyDescent="0.25">
      <c r="A351" s="60" t="s">
        <v>581</v>
      </c>
      <c r="B351" s="60" t="s">
        <v>582</v>
      </c>
      <c r="C351" s="34">
        <v>4301051782</v>
      </c>
      <c r="D351" s="718">
        <v>4680115884618</v>
      </c>
      <c r="E351" s="718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0"/>
      <c r="R351" s="720"/>
      <c r="S351" s="720"/>
      <c r="T351" s="72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583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584</v>
      </c>
      <c r="B352" s="60" t="s">
        <v>585</v>
      </c>
      <c r="C352" s="34">
        <v>4301052057</v>
      </c>
      <c r="D352" s="718">
        <v>4680115887114</v>
      </c>
      <c r="E352" s="718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133</v>
      </c>
      <c r="L352" s="35" t="s">
        <v>46</v>
      </c>
      <c r="M352" s="36" t="s">
        <v>89</v>
      </c>
      <c r="N352" s="36"/>
      <c r="O352" s="35">
        <v>45</v>
      </c>
      <c r="P352" s="9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0"/>
      <c r="R352" s="720"/>
      <c r="S352" s="720"/>
      <c r="T352" s="72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586</v>
      </c>
      <c r="AG352" s="75"/>
      <c r="AJ352" s="79" t="s">
        <v>46</v>
      </c>
      <c r="AK352" s="79">
        <v>0</v>
      </c>
      <c r="BB352" s="448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5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7"/>
      <c r="P353" s="723" t="s">
        <v>40</v>
      </c>
      <c r="Q353" s="724"/>
      <c r="R353" s="724"/>
      <c r="S353" s="724"/>
      <c r="T353" s="724"/>
      <c r="U353" s="724"/>
      <c r="V353" s="725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5">
      <c r="A354" s="726"/>
      <c r="B354" s="726"/>
      <c r="C354" s="726"/>
      <c r="D354" s="726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7"/>
      <c r="P354" s="723" t="s">
        <v>40</v>
      </c>
      <c r="Q354" s="724"/>
      <c r="R354" s="724"/>
      <c r="S354" s="724"/>
      <c r="T354" s="724"/>
      <c r="U354" s="724"/>
      <c r="V354" s="725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716" t="s">
        <v>587</v>
      </c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6"/>
      <c r="O355" s="716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  <c r="AA355" s="62"/>
      <c r="AB355" s="62"/>
      <c r="AC355" s="62"/>
    </row>
    <row r="356" spans="1:68" ht="14.25" hidden="1" customHeight="1" x14ac:dyDescent="0.25">
      <c r="A356" s="717" t="s">
        <v>121</v>
      </c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7"/>
      <c r="P356" s="717"/>
      <c r="Q356" s="717"/>
      <c r="R356" s="717"/>
      <c r="S356" s="717"/>
      <c r="T356" s="717"/>
      <c r="U356" s="717"/>
      <c r="V356" s="717"/>
      <c r="W356" s="717"/>
      <c r="X356" s="717"/>
      <c r="Y356" s="717"/>
      <c r="Z356" s="717"/>
      <c r="AA356" s="63"/>
      <c r="AB356" s="63"/>
      <c r="AC356" s="63"/>
    </row>
    <row r="357" spans="1:68" ht="27" hidden="1" customHeight="1" x14ac:dyDescent="0.25">
      <c r="A357" s="60" t="s">
        <v>588</v>
      </c>
      <c r="B357" s="60" t="s">
        <v>589</v>
      </c>
      <c r="C357" s="34">
        <v>4301012324</v>
      </c>
      <c r="D357" s="718">
        <v>4680115887947</v>
      </c>
      <c r="E357" s="71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1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0"/>
      <c r="R357" s="720"/>
      <c r="S357" s="720"/>
      <c r="T357" s="72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353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590</v>
      </c>
      <c r="B358" s="60" t="s">
        <v>591</v>
      </c>
      <c r="C358" s="34">
        <v>4301012325</v>
      </c>
      <c r="D358" s="718">
        <v>4680115887978</v>
      </c>
      <c r="E358" s="71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0"/>
      <c r="R358" s="720"/>
      <c r="S358" s="720"/>
      <c r="T358" s="72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592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4301012327</v>
      </c>
      <c r="D359" s="718">
        <v>4680115887992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595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5">
      <c r="A360" s="726"/>
      <c r="B360" s="726"/>
      <c r="C360" s="726"/>
      <c r="D360" s="726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7"/>
      <c r="P360" s="723" t="s">
        <v>40</v>
      </c>
      <c r="Q360" s="724"/>
      <c r="R360" s="724"/>
      <c r="S360" s="724"/>
      <c r="T360" s="724"/>
      <c r="U360" s="724"/>
      <c r="V360" s="725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5">
      <c r="A361" s="726"/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7"/>
      <c r="P361" s="723" t="s">
        <v>40</v>
      </c>
      <c r="Q361" s="724"/>
      <c r="R361" s="724"/>
      <c r="S361" s="724"/>
      <c r="T361" s="724"/>
      <c r="U361" s="724"/>
      <c r="V361" s="725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716" t="s">
        <v>596</v>
      </c>
      <c r="B362" s="716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6"/>
      <c r="N362" s="716"/>
      <c r="O362" s="716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  <c r="AA362" s="62"/>
      <c r="AB362" s="62"/>
      <c r="AC362" s="62"/>
    </row>
    <row r="363" spans="1:68" ht="14.25" hidden="1" customHeight="1" x14ac:dyDescent="0.25">
      <c r="A363" s="717" t="s">
        <v>121</v>
      </c>
      <c r="B363" s="717"/>
      <c r="C363" s="717"/>
      <c r="D363" s="717"/>
      <c r="E363" s="717"/>
      <c r="F363" s="717"/>
      <c r="G363" s="717"/>
      <c r="H363" s="717"/>
      <c r="I363" s="717"/>
      <c r="J363" s="717"/>
      <c r="K363" s="717"/>
      <c r="L363" s="717"/>
      <c r="M363" s="717"/>
      <c r="N363" s="717"/>
      <c r="O363" s="717"/>
      <c r="P363" s="717"/>
      <c r="Q363" s="717"/>
      <c r="R363" s="717"/>
      <c r="S363" s="717"/>
      <c r="T363" s="717"/>
      <c r="U363" s="717"/>
      <c r="V363" s="717"/>
      <c r="W363" s="717"/>
      <c r="X363" s="717"/>
      <c r="Y363" s="717"/>
      <c r="Z363" s="717"/>
      <c r="AA363" s="63"/>
      <c r="AB363" s="63"/>
      <c r="AC363" s="63"/>
    </row>
    <row r="364" spans="1:68" ht="27" hidden="1" customHeight="1" x14ac:dyDescent="0.25">
      <c r="A364" s="60" t="s">
        <v>597</v>
      </c>
      <c r="B364" s="60" t="s">
        <v>598</v>
      </c>
      <c r="C364" s="34">
        <v>4301012400</v>
      </c>
      <c r="D364" s="718">
        <v>4680115889880</v>
      </c>
      <c r="E364" s="71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0"/>
      <c r="R364" s="720"/>
      <c r="S364" s="720"/>
      <c r="T364" s="72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541</v>
      </c>
      <c r="AC364" s="455" t="s">
        <v>521</v>
      </c>
      <c r="AG364" s="75"/>
      <c r="AJ364" s="79" t="s">
        <v>46</v>
      </c>
      <c r="AK364" s="79">
        <v>0</v>
      </c>
      <c r="BB364" s="456" t="s">
        <v>66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599</v>
      </c>
      <c r="B365" s="60" t="s">
        <v>600</v>
      </c>
      <c r="C365" s="34">
        <v>4301012360</v>
      </c>
      <c r="D365" s="718">
        <v>4680115889293</v>
      </c>
      <c r="E365" s="71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0"/>
      <c r="R365" s="720"/>
      <c r="S365" s="720"/>
      <c r="T365" s="72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601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602</v>
      </c>
      <c r="B366" s="60" t="s">
        <v>603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604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605</v>
      </c>
      <c r="B367" s="60" t="s">
        <v>606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607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608</v>
      </c>
      <c r="B368" s="60" t="s">
        <v>609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610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611</v>
      </c>
      <c r="B369" s="60" t="s">
        <v>612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604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615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5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5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76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616</v>
      </c>
      <c r="B374" s="60" t="s">
        <v>617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618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619</v>
      </c>
      <c r="B375" s="60" t="s">
        <v>620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621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622</v>
      </c>
      <c r="B376" s="60" t="s">
        <v>623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624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625</v>
      </c>
      <c r="B377" s="60" t="s">
        <v>626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629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630</v>
      </c>
      <c r="B379" s="60" t="s">
        <v>631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624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634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5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5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85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635</v>
      </c>
      <c r="B384" s="60" t="s">
        <v>636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637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640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643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637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5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5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177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646</v>
      </c>
      <c r="B391" s="60" t="s">
        <v>647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648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649</v>
      </c>
      <c r="B392" s="60" t="s">
        <v>650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651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654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5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5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276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655</v>
      </c>
      <c r="B397" s="60" t="s">
        <v>656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252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657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658</v>
      </c>
      <c r="B398" s="60" t="s">
        <v>659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252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657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252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657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252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657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5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5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664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665</v>
      </c>
      <c r="B404" s="60" t="s">
        <v>666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668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667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669</v>
      </c>
      <c r="B405" s="60" t="s">
        <v>670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668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668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667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5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5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673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674</v>
      </c>
      <c r="B410" s="60" t="s">
        <v>675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668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676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677</v>
      </c>
      <c r="B411" s="60" t="s">
        <v>678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668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679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680</v>
      </c>
      <c r="B412" s="60" t="s">
        <v>681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668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676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5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5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682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85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683</v>
      </c>
      <c r="B417" s="60" t="s">
        <v>684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685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686</v>
      </c>
      <c r="B418" s="60" t="s">
        <v>687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688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5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5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689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85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690</v>
      </c>
      <c r="B423" s="60" t="s">
        <v>691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692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693</v>
      </c>
      <c r="B424" s="60" t="s">
        <v>694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695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696</v>
      </c>
      <c r="B425" s="60" t="s">
        <v>697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698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5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5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5">
      <c r="A428" s="715" t="s">
        <v>699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700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121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701</v>
      </c>
      <c r="B431" s="60" t="s">
        <v>702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703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customHeight="1" x14ac:dyDescent="0.25">
      <c r="A432" s="60" t="s">
        <v>704</v>
      </c>
      <c r="B432" s="60" t="s">
        <v>705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300</v>
      </c>
      <c r="Y432" s="53">
        <f t="shared" si="68"/>
        <v>300</v>
      </c>
      <c r="Z432" s="39">
        <f>IFERROR(IF(Y432=0,"",ROUNDUP(Y432/H432,0)*0.02175),"")</f>
        <v>0.43499999999999994</v>
      </c>
      <c r="AA432" s="65" t="s">
        <v>46</v>
      </c>
      <c r="AB432" s="66" t="s">
        <v>46</v>
      </c>
      <c r="AC432" s="529" t="s">
        <v>706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309.39999999999998</v>
      </c>
      <c r="BN432" s="75">
        <f t="shared" si="70"/>
        <v>309.39999999999998</v>
      </c>
      <c r="BO432" s="75">
        <f t="shared" si="71"/>
        <v>0.41666666666666663</v>
      </c>
      <c r="BP432" s="75">
        <f t="shared" si="72"/>
        <v>0.41666666666666663</v>
      </c>
    </row>
    <row r="433" spans="1:68" ht="27" customHeight="1" x14ac:dyDescent="0.25">
      <c r="A433" s="60" t="s">
        <v>707</v>
      </c>
      <c r="B433" s="60" t="s">
        <v>708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210</v>
      </c>
      <c r="Y433" s="53">
        <f t="shared" si="68"/>
        <v>210</v>
      </c>
      <c r="Z433" s="39">
        <f>IFERROR(IF(Y433=0,"",ROUNDUP(Y433/H433,0)*0.02175),"")</f>
        <v>0.30449999999999999</v>
      </c>
      <c r="AA433" s="65" t="s">
        <v>46</v>
      </c>
      <c r="AB433" s="66" t="s">
        <v>46</v>
      </c>
      <c r="AC433" s="531" t="s">
        <v>709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216.58</v>
      </c>
      <c r="BN433" s="75">
        <f t="shared" si="70"/>
        <v>216.58</v>
      </c>
      <c r="BO433" s="75">
        <f t="shared" si="71"/>
        <v>0.29166666666666663</v>
      </c>
      <c r="BP433" s="75">
        <f t="shared" si="72"/>
        <v>0.29166666666666663</v>
      </c>
    </row>
    <row r="434" spans="1:68" ht="27" customHeight="1" x14ac:dyDescent="0.25">
      <c r="A434" s="60" t="s">
        <v>710</v>
      </c>
      <c r="B434" s="60" t="s">
        <v>711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300</v>
      </c>
      <c r="Y434" s="53">
        <f t="shared" si="68"/>
        <v>300</v>
      </c>
      <c r="Z434" s="39">
        <f>IFERROR(IF(Y434=0,"",ROUNDUP(Y434/H434,0)*0.02175),"")</f>
        <v>0.43499999999999994</v>
      </c>
      <c r="AA434" s="65" t="s">
        <v>46</v>
      </c>
      <c r="AB434" s="66" t="s">
        <v>46</v>
      </c>
      <c r="AC434" s="533" t="s">
        <v>712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309.39999999999998</v>
      </c>
      <c r="BN434" s="75">
        <f t="shared" si="70"/>
        <v>309.39999999999998</v>
      </c>
      <c r="BO434" s="75">
        <f t="shared" si="71"/>
        <v>0.41666666666666663</v>
      </c>
      <c r="BP434" s="75">
        <f t="shared" si="72"/>
        <v>0.41666666666666663</v>
      </c>
    </row>
    <row r="435" spans="1:68" ht="27" hidden="1" customHeight="1" x14ac:dyDescent="0.25">
      <c r="A435" s="60" t="s">
        <v>713</v>
      </c>
      <c r="B435" s="60" t="s">
        <v>714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715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716</v>
      </c>
      <c r="B436" s="60" t="s">
        <v>717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718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719</v>
      </c>
      <c r="B437" s="60" t="s">
        <v>720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721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722</v>
      </c>
      <c r="B438" s="60" t="s">
        <v>723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724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5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54</v>
      </c>
      <c r="Y439" s="41">
        <f>IFERROR(Y431/H431,"0")+IFERROR(Y432/H432,"0")+IFERROR(Y433/H433,"0")+IFERROR(Y434/H434,"0")+IFERROR(Y435/H435,"0")+IFERROR(Y436/H436,"0")+IFERROR(Y437/H437,"0")+IFERROR(Y438/H438,"0")</f>
        <v>54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1.1744999999999999</v>
      </c>
      <c r="AA439" s="64"/>
      <c r="AB439" s="64"/>
      <c r="AC439" s="64"/>
    </row>
    <row r="440" spans="1:68" x14ac:dyDescent="0.25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810</v>
      </c>
      <c r="Y440" s="41">
        <f>IFERROR(SUM(Y431:Y438),"0")</f>
        <v>810</v>
      </c>
      <c r="Z440" s="40"/>
      <c r="AA440" s="64"/>
      <c r="AB440" s="64"/>
      <c r="AC440" s="64"/>
    </row>
    <row r="441" spans="1:68" ht="14.25" hidden="1" customHeight="1" x14ac:dyDescent="0.25">
      <c r="A441" s="717" t="s">
        <v>158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hidden="1" customHeight="1" x14ac:dyDescent="0.25">
      <c r="A442" s="60" t="s">
        <v>725</v>
      </c>
      <c r="B442" s="60" t="s">
        <v>726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727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728</v>
      </c>
      <c r="B443" s="60" t="s">
        <v>729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730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731</v>
      </c>
      <c r="B444" s="60" t="s">
        <v>732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733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5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5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717" t="s">
        <v>85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734</v>
      </c>
      <c r="B448" s="60" t="s">
        <v>735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736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737</v>
      </c>
      <c r="B449" s="60" t="s">
        <v>738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739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740</v>
      </c>
      <c r="B450" s="60" t="s">
        <v>741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742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5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177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743</v>
      </c>
      <c r="B454" s="60" t="s">
        <v>744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745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746</v>
      </c>
      <c r="B455" s="60" t="s">
        <v>747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748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5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5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749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121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750</v>
      </c>
      <c r="B460" s="60" t="s">
        <v>751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752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753</v>
      </c>
      <c r="B461" s="60" t="s">
        <v>754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752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5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5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76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755</v>
      </c>
      <c r="B465" s="60" t="s">
        <v>756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757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5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5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85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hidden="1" customHeight="1" x14ac:dyDescent="0.25">
      <c r="A469" s="60" t="s">
        <v>758</v>
      </c>
      <c r="B469" s="60" t="s">
        <v>759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760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761</v>
      </c>
      <c r="B470" s="60" t="s">
        <v>762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760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761</v>
      </c>
      <c r="B471" s="60" t="s">
        <v>763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764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5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5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5">
      <c r="A474" s="715" t="s">
        <v>765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766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76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767</v>
      </c>
      <c r="B477" s="60" t="s">
        <v>768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769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772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769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777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778</v>
      </c>
      <c r="B481" s="60" t="s">
        <v>779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780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781</v>
      </c>
      <c r="B482" s="60" t="s">
        <v>782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777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5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5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85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783</v>
      </c>
      <c r="B486" s="60" t="s">
        <v>784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785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786</v>
      </c>
      <c r="B487" s="60" t="s">
        <v>787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788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5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789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158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790</v>
      </c>
      <c r="B492" s="60" t="s">
        <v>791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792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5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5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76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793</v>
      </c>
      <c r="B496" s="60" t="s">
        <v>794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796</v>
      </c>
      <c r="B497" s="60" t="s">
        <v>797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798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799</v>
      </c>
      <c r="B498" s="60" t="s">
        <v>800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798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5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5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5">
      <c r="A501" s="715" t="s">
        <v>801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801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121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802</v>
      </c>
      <c r="B504" s="60" t="s">
        <v>803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804</v>
      </c>
      <c r="B505" s="60" t="s">
        <v>805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806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807</v>
      </c>
      <c r="B506" s="60" t="s">
        <v>808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809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810</v>
      </c>
      <c r="B507" s="60" t="s">
        <v>811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812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813</v>
      </c>
      <c r="B508" s="60" t="s">
        <v>814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815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816</v>
      </c>
      <c r="B509" s="60" t="s">
        <v>817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818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819</v>
      </c>
      <c r="B510" s="60" t="s">
        <v>820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823</v>
      </c>
      <c r="B512" s="60" t="s">
        <v>824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818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5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5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158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825</v>
      </c>
      <c r="B516" s="60" t="s">
        <v>826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827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828</v>
      </c>
      <c r="B517" s="60" t="s">
        <v>829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827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827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5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5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76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832</v>
      </c>
      <c r="B522" s="60" t="s">
        <v>833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834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837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838</v>
      </c>
      <c r="B524" s="60" t="s">
        <v>839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840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842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843</v>
      </c>
      <c r="B527" s="60" t="s">
        <v>845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837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846</v>
      </c>
      <c r="B528" s="60" t="s">
        <v>847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840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5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5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5">
      <c r="A531" s="715" t="s">
        <v>848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848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121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849</v>
      </c>
      <c r="B534" s="60" t="s">
        <v>850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851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5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5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158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852</v>
      </c>
      <c r="B538" s="60" t="s">
        <v>853</v>
      </c>
      <c r="C538" s="34">
        <v>4301020444</v>
      </c>
      <c r="D538" s="718">
        <v>4680115889781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89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5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5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76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854</v>
      </c>
      <c r="B542" s="60" t="s">
        <v>855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856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5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5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85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857</v>
      </c>
      <c r="B546" s="60" t="s">
        <v>858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859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5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177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860</v>
      </c>
      <c r="B550" s="60" t="s">
        <v>861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862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863</v>
      </c>
      <c r="B551" s="60" t="s">
        <v>864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865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5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866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158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867</v>
      </c>
      <c r="B556" s="60" t="s">
        <v>868</v>
      </c>
      <c r="C556" s="34">
        <v>4301020441</v>
      </c>
      <c r="D556" s="718">
        <v>4680115889798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869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5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5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5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810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810</v>
      </c>
      <c r="Z559" s="40"/>
      <c r="AA559" s="64"/>
      <c r="AB559" s="64"/>
      <c r="AC559" s="64"/>
    </row>
    <row r="560" spans="1:68" x14ac:dyDescent="0.25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835.38</v>
      </c>
      <c r="Y560" s="41">
        <f>IFERROR(SUM(BN22:BN556),"0")</f>
        <v>835.38</v>
      </c>
      <c r="Z560" s="40"/>
      <c r="AA560" s="64"/>
      <c r="AB560" s="64"/>
      <c r="AC560" s="64"/>
    </row>
    <row r="561" spans="1:32" x14ac:dyDescent="0.25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5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885.38</v>
      </c>
      <c r="Y562" s="41">
        <f>GrossWeightTotalR+PalletQtyTotalR*25</f>
        <v>885.38</v>
      </c>
      <c r="Z562" s="40"/>
      <c r="AA562" s="64"/>
      <c r="AB562" s="64"/>
      <c r="AC562" s="64"/>
    </row>
    <row r="563" spans="1:32" x14ac:dyDescent="0.25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54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54</v>
      </c>
      <c r="Z563" s="40"/>
      <c r="AA563" s="64"/>
      <c r="AB563" s="64"/>
      <c r="AC563" s="64"/>
    </row>
    <row r="564" spans="1:32" ht="15.6" hidden="1" x14ac:dyDescent="0.25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1.1744999999999999</v>
      </c>
      <c r="AA564" s="64"/>
      <c r="AB564" s="64"/>
      <c r="AC564" s="64"/>
    </row>
    <row r="565" spans="1:32" ht="13.8" thickBot="1" x14ac:dyDescent="0.3"/>
    <row r="566" spans="1:32" ht="28.8" thickTop="1" thickBot="1" x14ac:dyDescent="0.3">
      <c r="A566" s="44" t="s">
        <v>9</v>
      </c>
      <c r="B566" s="80" t="s">
        <v>75</v>
      </c>
      <c r="C566" s="80" t="s">
        <v>45</v>
      </c>
      <c r="D566" s="1005" t="s">
        <v>119</v>
      </c>
      <c r="E566" s="1005" t="s">
        <v>119</v>
      </c>
      <c r="F566" s="1005" t="s">
        <v>119</v>
      </c>
      <c r="G566" s="1005" t="s">
        <v>119</v>
      </c>
      <c r="H566" s="1005" t="s">
        <v>119</v>
      </c>
      <c r="I566" s="1005" t="s">
        <v>119</v>
      </c>
      <c r="J566" s="1005" t="s">
        <v>119</v>
      </c>
      <c r="K566" s="1005" t="s">
        <v>344</v>
      </c>
      <c r="L566" s="1005" t="s">
        <v>344</v>
      </c>
      <c r="M566" s="1005" t="s">
        <v>344</v>
      </c>
      <c r="N566" s="1014"/>
      <c r="O566" s="1005" t="s">
        <v>344</v>
      </c>
      <c r="P566" s="1005" t="s">
        <v>344</v>
      </c>
      <c r="Q566" s="1005" t="s">
        <v>344</v>
      </c>
      <c r="R566" s="1005" t="s">
        <v>344</v>
      </c>
      <c r="S566" s="1005" t="s">
        <v>344</v>
      </c>
      <c r="T566" s="1005" t="s">
        <v>344</v>
      </c>
      <c r="U566" s="1005" t="s">
        <v>344</v>
      </c>
      <c r="V566" s="1005" t="s">
        <v>344</v>
      </c>
      <c r="W566" s="1005" t="s">
        <v>699</v>
      </c>
      <c r="X566" s="1005" t="s">
        <v>699</v>
      </c>
      <c r="Y566" s="1005" t="s">
        <v>765</v>
      </c>
      <c r="Z566" s="1005" t="s">
        <v>765</v>
      </c>
      <c r="AA566" s="80" t="s">
        <v>801</v>
      </c>
      <c r="AB566" s="1005" t="s">
        <v>848</v>
      </c>
      <c r="AC566" s="1005" t="s">
        <v>848</v>
      </c>
      <c r="AF566" s="1"/>
    </row>
    <row r="567" spans="1:32" ht="14.25" customHeight="1" thickTop="1" x14ac:dyDescent="0.25">
      <c r="A567" s="1015" t="s">
        <v>10</v>
      </c>
      <c r="B567" s="1005" t="s">
        <v>75</v>
      </c>
      <c r="C567" s="1005" t="s">
        <v>103</v>
      </c>
      <c r="D567" s="1005" t="s">
        <v>120</v>
      </c>
      <c r="E567" s="1005" t="s">
        <v>136</v>
      </c>
      <c r="F567" s="1005" t="s">
        <v>185</v>
      </c>
      <c r="G567" s="1005" t="s">
        <v>208</v>
      </c>
      <c r="H567" s="1005" t="s">
        <v>248</v>
      </c>
      <c r="I567" s="1005" t="s">
        <v>261</v>
      </c>
      <c r="J567" s="1005" t="s">
        <v>119</v>
      </c>
      <c r="K567" s="1005" t="s">
        <v>345</v>
      </c>
      <c r="L567" s="1005" t="s">
        <v>366</v>
      </c>
      <c r="M567" s="1005" t="s">
        <v>440</v>
      </c>
      <c r="N567" s="1"/>
      <c r="O567" s="1005" t="s">
        <v>508</v>
      </c>
      <c r="P567" s="1005" t="s">
        <v>537</v>
      </c>
      <c r="Q567" s="1005" t="s">
        <v>557</v>
      </c>
      <c r="R567" s="1005" t="s">
        <v>566</v>
      </c>
      <c r="S567" s="1005" t="s">
        <v>587</v>
      </c>
      <c r="T567" s="1005" t="s">
        <v>596</v>
      </c>
      <c r="U567" s="1005" t="s">
        <v>682</v>
      </c>
      <c r="V567" s="1005" t="s">
        <v>689</v>
      </c>
      <c r="W567" s="1005" t="s">
        <v>700</v>
      </c>
      <c r="X567" s="1005" t="s">
        <v>749</v>
      </c>
      <c r="Y567" s="1005" t="s">
        <v>766</v>
      </c>
      <c r="Z567" s="1005" t="s">
        <v>789</v>
      </c>
      <c r="AA567" s="1005" t="s">
        <v>801</v>
      </c>
      <c r="AB567" s="1005" t="s">
        <v>848</v>
      </c>
      <c r="AC567" s="1005" t="s">
        <v>866</v>
      </c>
      <c r="AF567" s="1"/>
    </row>
    <row r="568" spans="1:32" ht="13.8" thickBot="1" x14ac:dyDescent="0.3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5" thickTop="1" thickBot="1" x14ac:dyDescent="0.3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810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10,00"/>
        <filter val="300,00"/>
        <filter val="54,00"/>
        <filter val="810,00"/>
        <filter val="835,38"/>
        <filter val="885,38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870</v>
      </c>
      <c r="H1" s="9"/>
    </row>
    <row r="3" spans="2:8" x14ac:dyDescent="0.25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5">
      <c r="B7" s="51" t="s">
        <v>876</v>
      </c>
      <c r="C7" s="51" t="s">
        <v>877</v>
      </c>
      <c r="D7" s="51" t="s">
        <v>878</v>
      </c>
      <c r="E7" s="51" t="s">
        <v>46</v>
      </c>
    </row>
    <row r="8" spans="2:8" x14ac:dyDescent="0.25">
      <c r="B8" s="51" t="s">
        <v>879</v>
      </c>
      <c r="C8" s="51" t="s">
        <v>880</v>
      </c>
      <c r="D8" s="51" t="s">
        <v>881</v>
      </c>
      <c r="E8" s="51" t="s">
        <v>46</v>
      </c>
    </row>
    <row r="9" spans="2:8" x14ac:dyDescent="0.25">
      <c r="B9" s="51" t="s">
        <v>882</v>
      </c>
      <c r="C9" s="51" t="s">
        <v>883</v>
      </c>
      <c r="D9" s="51" t="s">
        <v>884</v>
      </c>
      <c r="E9" s="51" t="s">
        <v>46</v>
      </c>
    </row>
    <row r="10" spans="2:8" x14ac:dyDescent="0.25">
      <c r="B10" s="51" t="s">
        <v>885</v>
      </c>
      <c r="C10" s="51" t="s">
        <v>886</v>
      </c>
      <c r="D10" s="51" t="s">
        <v>887</v>
      </c>
      <c r="E10" s="51" t="s">
        <v>46</v>
      </c>
    </row>
    <row r="12" spans="2:8" x14ac:dyDescent="0.25">
      <c r="B12" s="51" t="s">
        <v>888</v>
      </c>
      <c r="C12" s="51" t="s">
        <v>874</v>
      </c>
      <c r="D12" s="51" t="s">
        <v>46</v>
      </c>
      <c r="E12" s="51" t="s">
        <v>46</v>
      </c>
    </row>
    <row r="14" spans="2:8" x14ac:dyDescent="0.25">
      <c r="B14" s="51" t="s">
        <v>889</v>
      </c>
      <c r="C14" s="51" t="s">
        <v>877</v>
      </c>
      <c r="D14" s="51" t="s">
        <v>46</v>
      </c>
      <c r="E14" s="51" t="s">
        <v>46</v>
      </c>
    </row>
    <row r="16" spans="2:8" x14ac:dyDescent="0.25">
      <c r="B16" s="51" t="s">
        <v>890</v>
      </c>
      <c r="C16" s="51" t="s">
        <v>880</v>
      </c>
      <c r="D16" s="51" t="s">
        <v>46</v>
      </c>
      <c r="E16" s="51" t="s">
        <v>46</v>
      </c>
    </row>
    <row r="18" spans="2:5" x14ac:dyDescent="0.25">
      <c r="B18" s="51" t="s">
        <v>891</v>
      </c>
      <c r="C18" s="51" t="s">
        <v>883</v>
      </c>
      <c r="D18" s="51" t="s">
        <v>46</v>
      </c>
      <c r="E18" s="51" t="s">
        <v>46</v>
      </c>
    </row>
    <row r="20" spans="2:5" x14ac:dyDescent="0.25">
      <c r="B20" s="51" t="s">
        <v>892</v>
      </c>
      <c r="C20" s="51" t="s">
        <v>886</v>
      </c>
      <c r="D20" s="51" t="s">
        <v>46</v>
      </c>
      <c r="E20" s="51" t="s">
        <v>46</v>
      </c>
    </row>
    <row r="22" spans="2:5" x14ac:dyDescent="0.25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5">
      <c r="B23" s="51" t="s">
        <v>894</v>
      </c>
      <c r="C23" s="51" t="s">
        <v>46</v>
      </c>
      <c r="D23" s="51" t="s">
        <v>46</v>
      </c>
      <c r="E23" s="51" t="s">
        <v>46</v>
      </c>
    </row>
    <row r="24" spans="2:5" x14ac:dyDescent="0.25">
      <c r="B24" s="51" t="s">
        <v>895</v>
      </c>
      <c r="C24" s="51" t="s">
        <v>46</v>
      </c>
      <c r="D24" s="51" t="s">
        <v>46</v>
      </c>
      <c r="E24" s="51" t="s">
        <v>46</v>
      </c>
    </row>
    <row r="25" spans="2:5" x14ac:dyDescent="0.25">
      <c r="B25" s="51" t="s">
        <v>896</v>
      </c>
      <c r="C25" s="51" t="s">
        <v>46</v>
      </c>
      <c r="D25" s="51" t="s">
        <v>46</v>
      </c>
      <c r="E25" s="51" t="s">
        <v>46</v>
      </c>
    </row>
    <row r="26" spans="2:5" x14ac:dyDescent="0.25">
      <c r="B26" s="51" t="s">
        <v>897</v>
      </c>
      <c r="C26" s="51" t="s">
        <v>46</v>
      </c>
      <c r="D26" s="51" t="s">
        <v>46</v>
      </c>
      <c r="E26" s="51" t="s">
        <v>46</v>
      </c>
    </row>
    <row r="27" spans="2:5" x14ac:dyDescent="0.25">
      <c r="B27" s="51" t="s">
        <v>898</v>
      </c>
      <c r="C27" s="51" t="s">
        <v>46</v>
      </c>
      <c r="D27" s="51" t="s">
        <v>46</v>
      </c>
      <c r="E27" s="51" t="s">
        <v>46</v>
      </c>
    </row>
    <row r="28" spans="2:5" x14ac:dyDescent="0.25">
      <c r="B28" s="51" t="s">
        <v>899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900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901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902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903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2026-09-26T05:56:08Z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