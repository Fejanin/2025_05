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C40FA7-AFCE-4E2C-B193-911F8B4AE87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P275" i="2"/>
  <c r="BN277" i="2"/>
  <c r="BN393" i="2"/>
  <c r="BN60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90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<sst xmlns="http://schemas.openxmlformats.org/spreadsheetml/2006/main" count="4310" uniqueCount="900">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</sst>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46293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0.54166666666666663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200</v>
      </c>
      <c r="Y433" s="55">
        <f t="shared" si="68"/>
        <v>210</v>
      </c>
      <c r="Z433" s="41">
        <f>IFERROR(IF(Y433=0,"",ROUNDUP(Y433/H433,0)*0.02175),"")</f>
        <v>0.30449999999999999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206.26666666666668</v>
      </c>
      <c r="BN433" s="78">
        <f t="shared" si="70"/>
        <v>216.58</v>
      </c>
      <c r="BO433" s="78">
        <f t="shared" si="71"/>
        <v>0.27777777777777779</v>
      </c>
      <c r="BP433" s="78">
        <f t="shared" si="72"/>
        <v>0.29166666666666663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68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206.26666666666668</v>
      </c>
      <c r="BN434" s="78">
        <f t="shared" si="70"/>
        <v>216.58</v>
      </c>
      <c r="BO434" s="78">
        <f t="shared" si="71"/>
        <v>0.27777777777777779</v>
      </c>
      <c r="BP434" s="78">
        <f t="shared" si="72"/>
        <v>0.29166666666666663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400</v>
      </c>
      <c r="Y435" s="55">
        <f t="shared" si="68"/>
        <v>405</v>
      </c>
      <c r="Z435" s="41">
        <f>IFERROR(IF(Y435=0,"",ROUNDUP(Y435/H435,0)*0.02175),"")</f>
        <v>0.58724999999999994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412.53333333333336</v>
      </c>
      <c r="BN435" s="78">
        <f t="shared" si="70"/>
        <v>417.69</v>
      </c>
      <c r="BO435" s="78">
        <f t="shared" si="71"/>
        <v>0.55555555555555558</v>
      </c>
      <c r="BP435" s="78">
        <f t="shared" si="72"/>
        <v>0.5625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150</v>
      </c>
      <c r="Y436" s="55">
        <f t="shared" si="68"/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154.69999999999999</v>
      </c>
      <c r="BN436" s="78">
        <f t="shared" si="70"/>
        <v>154.69999999999999</v>
      </c>
      <c r="BO436" s="78">
        <f t="shared" si="71"/>
        <v>0.20833333333333331</v>
      </c>
      <c r="BP436" s="78">
        <f t="shared" si="72"/>
        <v>0.20833333333333331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63.333333333333336</v>
      </c>
      <c r="Y440" s="43">
        <f>IFERROR(Y432/H432,"0")+IFERROR(Y433/H433,"0")+IFERROR(Y434/H434,"0")+IFERROR(Y435/H435,"0")+IFERROR(Y436/H436,"0")+IFERROR(Y437/H437,"0")+IFERROR(Y438/H438,"0")+IFERROR(Y439/H439,"0")</f>
        <v>65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1.4137500000000001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950</v>
      </c>
      <c r="Y441" s="43">
        <f>IFERROR(SUM(Y432:Y439),"0")</f>
        <v>975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200</v>
      </c>
      <c r="Y443" s="55">
        <f>IFERROR(IF(X443="",0,CEILING((X443/$H443),1)*$H443),"")</f>
        <v>210</v>
      </c>
      <c r="Z443" s="41">
        <f>IFERROR(IF(Y443=0,"",ROUNDUP(Y443/H443,0)*0.02175),"")</f>
        <v>0.30449999999999999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206.26666666666668</v>
      </c>
      <c r="BN443" s="78">
        <f>IFERROR(Y443*I443/H443,"0")</f>
        <v>216.58</v>
      </c>
      <c r="BO443" s="78">
        <f>IFERROR(1/J443*(X443/H443),"0")</f>
        <v>0.27777777777777779</v>
      </c>
      <c r="BP443" s="78">
        <f>IFERROR(1/J443*(Y443/H443),"0")</f>
        <v>0.29166666666666663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13.333333333333334</v>
      </c>
      <c r="Y446" s="43">
        <f>IFERROR(Y443/H443,"0")+IFERROR(Y444/H444,"0")+IFERROR(Y445/H445,"0")</f>
        <v>14</v>
      </c>
      <c r="Z446" s="43">
        <f>IFERROR(IF(Z443="",0,Z443),"0")+IFERROR(IF(Z444="",0,Z444),"0")+IFERROR(IF(Z445="",0,Z445),"0")</f>
        <v>0.30449999999999999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200</v>
      </c>
      <c r="Y447" s="43">
        <f>IFERROR(SUM(Y443:Y445),"0")</f>
        <v>210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1150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1185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1186.0333333333333</v>
      </c>
      <c r="Y561" s="43">
        <f>IFERROR(SUM(BN22:BN557),"0")</f>
        <v>1222.1299999999999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2</v>
      </c>
      <c r="Y562" s="44">
        <f>ROUNDUP(SUM(BP22:BP557),0)</f>
        <v>2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1236.0333333333333</v>
      </c>
      <c r="Y563" s="43">
        <f>GrossWeightTotalR+PalletQtyTotalR*25</f>
        <v>1272.1299999999999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76.666666666666671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79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1.7182500000000001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1185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186,03"/>
        <filter val="1 236,03"/>
        <filter val="13,33"/>
        <filter val="150,00"/>
        <filter val="2"/>
        <filter val="200,00"/>
        <filter val="400,00"/>
        <filter val="63,33"/>
        <filter val="76,67"/>
        <filter val="95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