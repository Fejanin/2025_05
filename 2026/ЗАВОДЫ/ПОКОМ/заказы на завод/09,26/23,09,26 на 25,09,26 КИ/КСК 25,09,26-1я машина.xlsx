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DD6B6C-C919-4483-8DFA-B98D683B6BF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Z539" i="2" s="1"/>
  <c r="Z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N512" i="2"/>
  <c r="BM512" i="2"/>
  <c r="Y512" i="2"/>
  <c r="BP512" i="2" s="1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Z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Z497" i="2" s="1"/>
  <c r="P497" i="2"/>
  <c r="X495" i="2"/>
  <c r="X494" i="2"/>
  <c r="BO493" i="2"/>
  <c r="BM493" i="2"/>
  <c r="Y493" i="2"/>
  <c r="Z493" i="2" s="1"/>
  <c r="Z494" i="2" s="1"/>
  <c r="P493" i="2"/>
  <c r="X490" i="2"/>
  <c r="X489" i="2"/>
  <c r="BO488" i="2"/>
  <c r="BM488" i="2"/>
  <c r="Y488" i="2"/>
  <c r="BP488" i="2" s="1"/>
  <c r="P488" i="2"/>
  <c r="BO487" i="2"/>
  <c r="BN487" i="2"/>
  <c r="BM487" i="2"/>
  <c r="Y487" i="2"/>
  <c r="BP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BP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7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Z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N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BP405" i="2" s="1"/>
  <c r="P405" i="2"/>
  <c r="X403" i="2"/>
  <c r="X402" i="2"/>
  <c r="BO401" i="2"/>
  <c r="BN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N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P386" i="2"/>
  <c r="BO385" i="2"/>
  <c r="BM385" i="2"/>
  <c r="Z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P365" i="2" s="1"/>
  <c r="P365" i="2"/>
  <c r="X362" i="2"/>
  <c r="X361" i="2"/>
  <c r="BO360" i="2"/>
  <c r="BM360" i="2"/>
  <c r="Y360" i="2"/>
  <c r="BP360" i="2" s="1"/>
  <c r="P360" i="2"/>
  <c r="BO359" i="2"/>
  <c r="BM359" i="2"/>
  <c r="Y359" i="2"/>
  <c r="BP359" i="2" s="1"/>
  <c r="P359" i="2"/>
  <c r="BO358" i="2"/>
  <c r="BM358" i="2"/>
  <c r="Y358" i="2"/>
  <c r="P358" i="2"/>
  <c r="X355" i="2"/>
  <c r="X354" i="2"/>
  <c r="BO353" i="2"/>
  <c r="BM353" i="2"/>
  <c r="Y353" i="2"/>
  <c r="BP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P348" i="2"/>
  <c r="BO347" i="2"/>
  <c r="BN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X341" i="2"/>
  <c r="X340" i="2"/>
  <c r="BO339" i="2"/>
  <c r="BM339" i="2"/>
  <c r="Y339" i="2"/>
  <c r="BN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Z329" i="2"/>
  <c r="Y329" i="2"/>
  <c r="BP329" i="2" s="1"/>
  <c r="P329" i="2"/>
  <c r="BO328" i="2"/>
  <c r="BM328" i="2"/>
  <c r="Y328" i="2"/>
  <c r="P328" i="2"/>
  <c r="BO327" i="2"/>
  <c r="BM327" i="2"/>
  <c r="Y327" i="2"/>
  <c r="P327" i="2"/>
  <c r="X324" i="2"/>
  <c r="X323" i="2"/>
  <c r="BO322" i="2"/>
  <c r="BM322" i="2"/>
  <c r="Y322" i="2"/>
  <c r="BN322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X301" i="2"/>
  <c r="X300" i="2"/>
  <c r="BO299" i="2"/>
  <c r="BM299" i="2"/>
  <c r="Y299" i="2"/>
  <c r="P299" i="2"/>
  <c r="BO298" i="2"/>
  <c r="BM298" i="2"/>
  <c r="Y298" i="2"/>
  <c r="BP298" i="2" s="1"/>
  <c r="P298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Z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Z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Z206" i="2" s="1"/>
  <c r="P206" i="2"/>
  <c r="Y202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X194" i="2"/>
  <c r="X193" i="2"/>
  <c r="BP192" i="2"/>
  <c r="BO192" i="2"/>
  <c r="BM192" i="2"/>
  <c r="Y192" i="2"/>
  <c r="P192" i="2"/>
  <c r="BP191" i="2"/>
  <c r="BO191" i="2"/>
  <c r="BM191" i="2"/>
  <c r="Z191" i="2"/>
  <c r="Y191" i="2"/>
  <c r="BN191" i="2" s="1"/>
  <c r="P191" i="2"/>
  <c r="BO190" i="2"/>
  <c r="BM190" i="2"/>
  <c r="Y190" i="2"/>
  <c r="Z190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BP167" i="2" s="1"/>
  <c r="P167" i="2"/>
  <c r="BO166" i="2"/>
  <c r="BN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Z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N144" i="2" s="1"/>
  <c r="P144" i="2"/>
  <c r="X142" i="2"/>
  <c r="X141" i="2"/>
  <c r="BO140" i="2"/>
  <c r="BM140" i="2"/>
  <c r="Y140" i="2"/>
  <c r="P140" i="2"/>
  <c r="BO139" i="2"/>
  <c r="BM139" i="2"/>
  <c r="Y139" i="2"/>
  <c r="BN139" i="2" s="1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BO81" i="2"/>
  <c r="BM81" i="2"/>
  <c r="Y81" i="2"/>
  <c r="P81" i="2"/>
  <c r="X79" i="2"/>
  <c r="X78" i="2"/>
  <c r="BO77" i="2"/>
  <c r="BM77" i="2"/>
  <c r="Y77" i="2"/>
  <c r="BN77" i="2" s="1"/>
  <c r="P77" i="2"/>
  <c r="BP76" i="2"/>
  <c r="BO76" i="2"/>
  <c r="BM76" i="2"/>
  <c r="Y76" i="2"/>
  <c r="P76" i="2"/>
  <c r="X74" i="2"/>
  <c r="X73" i="2"/>
  <c r="BO72" i="2"/>
  <c r="BM72" i="2"/>
  <c r="Y72" i="2"/>
  <c r="P72" i="2"/>
  <c r="BO71" i="2"/>
  <c r="BM71" i="2"/>
  <c r="Y71" i="2"/>
  <c r="Z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Z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60" i="2" l="1"/>
  <c r="BN82" i="2"/>
  <c r="BN445" i="2"/>
  <c r="BN306" i="2"/>
  <c r="Y270" i="2"/>
  <c r="Z123" i="2"/>
  <c r="BP246" i="2"/>
  <c r="Y474" i="2"/>
  <c r="Y120" i="2"/>
  <c r="BN425" i="2"/>
  <c r="BN30" i="2"/>
  <c r="BN345" i="2"/>
  <c r="Z498" i="2"/>
  <c r="BN304" i="2"/>
  <c r="Z481" i="2"/>
  <c r="Y521" i="2"/>
  <c r="BN488" i="2"/>
  <c r="BN97" i="2"/>
  <c r="BN206" i="2"/>
  <c r="BN262" i="2"/>
  <c r="Z305" i="2"/>
  <c r="BN227" i="2"/>
  <c r="Y361" i="2"/>
  <c r="BN185" i="2"/>
  <c r="BP432" i="2"/>
  <c r="BN257" i="2"/>
  <c r="Z144" i="2"/>
  <c r="Z275" i="2"/>
  <c r="BN283" i="2"/>
  <c r="BN298" i="2"/>
  <c r="BN92" i="2"/>
  <c r="Y94" i="2"/>
  <c r="Z535" i="2"/>
  <c r="Z536" i="2" s="1"/>
  <c r="BP394" i="2"/>
  <c r="Z394" i="2"/>
  <c r="BN393" i="2"/>
  <c r="Z124" i="2"/>
  <c r="Z98" i="2"/>
  <c r="Y540" i="2"/>
  <c r="BN539" i="2"/>
  <c r="Z529" i="2"/>
  <c r="BP527" i="2"/>
  <c r="Z523" i="2"/>
  <c r="Z519" i="2"/>
  <c r="Z510" i="2"/>
  <c r="BN510" i="2"/>
  <c r="BN498" i="2"/>
  <c r="Y489" i="2"/>
  <c r="Z487" i="2"/>
  <c r="BN462" i="2"/>
  <c r="BP451" i="2"/>
  <c r="Z445" i="2"/>
  <c r="BN437" i="2"/>
  <c r="BN435" i="2"/>
  <c r="V566" i="2"/>
  <c r="Y428" i="2"/>
  <c r="Z425" i="2"/>
  <c r="U566" i="2"/>
  <c r="Z418" i="2"/>
  <c r="Z413" i="2"/>
  <c r="BN399" i="2"/>
  <c r="Z398" i="2"/>
  <c r="Y390" i="2"/>
  <c r="BN385" i="2"/>
  <c r="Z381" i="2"/>
  <c r="BP379" i="2"/>
  <c r="Z375" i="2"/>
  <c r="Y382" i="2"/>
  <c r="BN375" i="2"/>
  <c r="Z371" i="2"/>
  <c r="Z365" i="2"/>
  <c r="Y372" i="2"/>
  <c r="Z360" i="2"/>
  <c r="BP358" i="2"/>
  <c r="Y362" i="2"/>
  <c r="Z344" i="2"/>
  <c r="Y350" i="2"/>
  <c r="BP339" i="2"/>
  <c r="Z339" i="2"/>
  <c r="BN338" i="2"/>
  <c r="BN332" i="2"/>
  <c r="BP322" i="2"/>
  <c r="Y324" i="2"/>
  <c r="Y323" i="2"/>
  <c r="BP310" i="2"/>
  <c r="Z309" i="2"/>
  <c r="BP305" i="2"/>
  <c r="Z298" i="2"/>
  <c r="Z285" i="2"/>
  <c r="BP284" i="2"/>
  <c r="Z284" i="2"/>
  <c r="Z278" i="2"/>
  <c r="BN278" i="2"/>
  <c r="Z268" i="2"/>
  <c r="Y264" i="2"/>
  <c r="Z252" i="2"/>
  <c r="Z245" i="2"/>
  <c r="BN242" i="2"/>
  <c r="BP241" i="2"/>
  <c r="Z241" i="2"/>
  <c r="BN240" i="2"/>
  <c r="Z235" i="2"/>
  <c r="BN235" i="2"/>
  <c r="Z226" i="2"/>
  <c r="BP226" i="2"/>
  <c r="Z225" i="2"/>
  <c r="BN217" i="2"/>
  <c r="Z181" i="2"/>
  <c r="BP181" i="2"/>
  <c r="Z180" i="2"/>
  <c r="Z178" i="2"/>
  <c r="Z177" i="2"/>
  <c r="BP166" i="2"/>
  <c r="BN165" i="2"/>
  <c r="Y127" i="2"/>
  <c r="BN125" i="2"/>
  <c r="BP124" i="2"/>
  <c r="BN116" i="2"/>
  <c r="BN109" i="2"/>
  <c r="BN106" i="2"/>
  <c r="BP98" i="2"/>
  <c r="Y93" i="2"/>
  <c r="Y78" i="2"/>
  <c r="BN71" i="2"/>
  <c r="BP70" i="2"/>
  <c r="Z70" i="2"/>
  <c r="Z60" i="2"/>
  <c r="BN50" i="2"/>
  <c r="BN49" i="2"/>
  <c r="Z49" i="2"/>
  <c r="Y52" i="2"/>
  <c r="BP39" i="2"/>
  <c r="Z30" i="2"/>
  <c r="X560" i="2"/>
  <c r="BP27" i="2"/>
  <c r="Y33" i="2"/>
  <c r="X556" i="2"/>
  <c r="X558" i="2"/>
  <c r="BP38" i="2"/>
  <c r="Z48" i="2"/>
  <c r="BP48" i="2"/>
  <c r="Z57" i="2"/>
  <c r="BN59" i="2"/>
  <c r="BN76" i="2"/>
  <c r="Z76" i="2"/>
  <c r="BP81" i="2"/>
  <c r="Z81" i="2"/>
  <c r="BN81" i="2"/>
  <c r="BP159" i="2"/>
  <c r="Z159" i="2"/>
  <c r="Z160" i="2" s="1"/>
  <c r="BN159" i="2"/>
  <c r="Y160" i="2"/>
  <c r="Y254" i="2"/>
  <c r="BP251" i="2"/>
  <c r="Z251" i="2"/>
  <c r="Y255" i="2"/>
  <c r="BN251" i="2"/>
  <c r="BP292" i="2"/>
  <c r="Z292" i="2"/>
  <c r="BN292" i="2"/>
  <c r="BN299" i="2"/>
  <c r="Y301" i="2"/>
  <c r="BP299" i="2"/>
  <c r="BP388" i="2"/>
  <c r="Z388" i="2"/>
  <c r="BN388" i="2"/>
  <c r="BN444" i="2"/>
  <c r="Z444" i="2"/>
  <c r="Y463" i="2"/>
  <c r="Z461" i="2"/>
  <c r="Y464" i="2"/>
  <c r="BN507" i="2"/>
  <c r="BP507" i="2"/>
  <c r="X557" i="2"/>
  <c r="BN29" i="2"/>
  <c r="Y42" i="2"/>
  <c r="BN41" i="2"/>
  <c r="Y43" i="2"/>
  <c r="BP50" i="2"/>
  <c r="Y65" i="2"/>
  <c r="BP56" i="2"/>
  <c r="BN61" i="2"/>
  <c r="BN62" i="2"/>
  <c r="BP62" i="2"/>
  <c r="G566" i="2"/>
  <c r="BP104" i="2"/>
  <c r="Z104" i="2"/>
  <c r="BN104" i="2"/>
  <c r="BN155" i="2"/>
  <c r="Z155" i="2"/>
  <c r="Y174" i="2"/>
  <c r="BP171" i="2"/>
  <c r="Z171" i="2"/>
  <c r="Z173" i="2" s="1"/>
  <c r="BN171" i="2"/>
  <c r="Z182" i="2"/>
  <c r="BN182" i="2"/>
  <c r="Z192" i="2"/>
  <c r="Z193" i="2" s="1"/>
  <c r="BN192" i="2"/>
  <c r="BP368" i="2"/>
  <c r="Z368" i="2"/>
  <c r="BN368" i="2"/>
  <c r="BP436" i="2"/>
  <c r="BN436" i="2"/>
  <c r="BP472" i="2"/>
  <c r="Z472" i="2"/>
  <c r="BN499" i="2"/>
  <c r="BP499" i="2"/>
  <c r="Z37" i="2"/>
  <c r="BP37" i="2"/>
  <c r="BN38" i="2"/>
  <c r="Z56" i="2"/>
  <c r="Z59" i="2"/>
  <c r="BN72" i="2"/>
  <c r="BP72" i="2"/>
  <c r="Y114" i="2"/>
  <c r="BP108" i="2"/>
  <c r="BN108" i="2"/>
  <c r="BP207" i="2"/>
  <c r="Z207" i="2"/>
  <c r="BN207" i="2"/>
  <c r="BP210" i="2"/>
  <c r="Z210" i="2"/>
  <c r="BN210" i="2"/>
  <c r="BP274" i="2"/>
  <c r="Z274" i="2"/>
  <c r="BN274" i="2"/>
  <c r="Y315" i="2"/>
  <c r="Y316" i="2"/>
  <c r="BN314" i="2"/>
  <c r="BP346" i="2"/>
  <c r="BN346" i="2"/>
  <c r="Y383" i="2"/>
  <c r="BP378" i="2"/>
  <c r="Z378" i="2"/>
  <c r="BN378" i="2"/>
  <c r="Y396" i="2"/>
  <c r="Z392" i="2"/>
  <c r="BP400" i="2"/>
  <c r="BN400" i="2"/>
  <c r="BP438" i="2"/>
  <c r="Z438" i="2"/>
  <c r="BN511" i="2"/>
  <c r="BP511" i="2"/>
  <c r="BP57" i="2"/>
  <c r="BP61" i="2"/>
  <c r="BP69" i="2"/>
  <c r="Z69" i="2"/>
  <c r="BN69" i="2"/>
  <c r="BN223" i="2"/>
  <c r="BP223" i="2"/>
  <c r="BP228" i="2"/>
  <c r="Z228" i="2"/>
  <c r="BN228" i="2"/>
  <c r="BP231" i="2"/>
  <c r="Z231" i="2"/>
  <c r="BN231" i="2"/>
  <c r="BP288" i="2"/>
  <c r="Z288" i="2"/>
  <c r="BN288" i="2"/>
  <c r="BP328" i="2"/>
  <c r="Z328" i="2"/>
  <c r="BN328" i="2"/>
  <c r="BP450" i="2"/>
  <c r="Z450" i="2"/>
  <c r="BN450" i="2"/>
  <c r="Y566" i="2"/>
  <c r="Z478" i="2"/>
  <c r="BN478" i="2"/>
  <c r="Y544" i="2"/>
  <c r="Z543" i="2"/>
  <c r="Z544" i="2" s="1"/>
  <c r="Y545" i="2"/>
  <c r="BP67" i="2"/>
  <c r="BP71" i="2"/>
  <c r="BP77" i="2"/>
  <c r="BP82" i="2"/>
  <c r="F566" i="2"/>
  <c r="Z92" i="2"/>
  <c r="Y101" i="2"/>
  <c r="Z106" i="2"/>
  <c r="Z109" i="2"/>
  <c r="BP125" i="2"/>
  <c r="Y156" i="2"/>
  <c r="BP154" i="2"/>
  <c r="J566" i="2"/>
  <c r="Y201" i="2"/>
  <c r="BP206" i="2"/>
  <c r="BP217" i="2"/>
  <c r="Y237" i="2"/>
  <c r="BP222" i="2"/>
  <c r="BP227" i="2"/>
  <c r="BN232" i="2"/>
  <c r="Z242" i="2"/>
  <c r="BN245" i="2"/>
  <c r="BN252" i="2"/>
  <c r="BP263" i="2"/>
  <c r="BN268" i="2"/>
  <c r="BN275" i="2"/>
  <c r="BP279" i="2"/>
  <c r="BP294" i="2"/>
  <c r="Z306" i="2"/>
  <c r="BN309" i="2"/>
  <c r="BN329" i="2"/>
  <c r="Z332" i="2"/>
  <c r="Z345" i="2"/>
  <c r="Z347" i="2"/>
  <c r="Z399" i="2"/>
  <c r="Z401" i="2"/>
  <c r="Y409" i="2"/>
  <c r="BP406" i="2"/>
  <c r="Y414" i="2"/>
  <c r="BN418" i="2"/>
  <c r="Z426" i="2"/>
  <c r="Y427" i="2"/>
  <c r="Z435" i="2"/>
  <c r="Z437" i="2"/>
  <c r="Y441" i="2"/>
  <c r="Z456" i="2"/>
  <c r="BP470" i="2"/>
  <c r="BP482" i="2"/>
  <c r="Z488" i="2"/>
  <c r="Z509" i="2"/>
  <c r="Z512" i="2"/>
  <c r="Y520" i="2"/>
  <c r="Z526" i="2"/>
  <c r="AB566" i="2"/>
  <c r="BP539" i="2"/>
  <c r="Y541" i="2"/>
  <c r="Z547" i="2"/>
  <c r="Y549" i="2"/>
  <c r="Z67" i="2"/>
  <c r="Z77" i="2"/>
  <c r="Z88" i="2"/>
  <c r="BP88" i="2"/>
  <c r="Y113" i="2"/>
  <c r="BP105" i="2"/>
  <c r="Z116" i="2"/>
  <c r="BP116" i="2"/>
  <c r="BN118" i="2"/>
  <c r="Z139" i="2"/>
  <c r="BP139" i="2"/>
  <c r="BP144" i="2"/>
  <c r="I566" i="2"/>
  <c r="BP150" i="2"/>
  <c r="Z154" i="2"/>
  <c r="BP172" i="2"/>
  <c r="BP177" i="2"/>
  <c r="BP180" i="2"/>
  <c r="Z183" i="2"/>
  <c r="BP183" i="2"/>
  <c r="Z186" i="2"/>
  <c r="BP186" i="2"/>
  <c r="Y193" i="2"/>
  <c r="BP190" i="2"/>
  <c r="Y213" i="2"/>
  <c r="Z221" i="2"/>
  <c r="Y334" i="2"/>
  <c r="BP344" i="2"/>
  <c r="BP398" i="2"/>
  <c r="Y421" i="2"/>
  <c r="BP434" i="2"/>
  <c r="Y453" i="2"/>
  <c r="Y473" i="2"/>
  <c r="BP493" i="2"/>
  <c r="Y495" i="2"/>
  <c r="AA566" i="2"/>
  <c r="Y530" i="2"/>
  <c r="Y73" i="2"/>
  <c r="BN105" i="2"/>
  <c r="Y119" i="2"/>
  <c r="BP123" i="2"/>
  <c r="Y142" i="2"/>
  <c r="BN172" i="2"/>
  <c r="BP178" i="2"/>
  <c r="Y194" i="2"/>
  <c r="BN209" i="2"/>
  <c r="BP225" i="2"/>
  <c r="BN230" i="2"/>
  <c r="Y249" i="2"/>
  <c r="BP257" i="2"/>
  <c r="Y265" i="2"/>
  <c r="BN273" i="2"/>
  <c r="BN285" i="2"/>
  <c r="BP289" i="2"/>
  <c r="BP293" i="2"/>
  <c r="Y300" i="2"/>
  <c r="BN327" i="2"/>
  <c r="BP352" i="2"/>
  <c r="BN365" i="2"/>
  <c r="BP369" i="2"/>
  <c r="Y403" i="2"/>
  <c r="Y415" i="2"/>
  <c r="Y420" i="2"/>
  <c r="Y490" i="2"/>
  <c r="BN493" i="2"/>
  <c r="Y494" i="2"/>
  <c r="Y501" i="2"/>
  <c r="K566" i="2"/>
  <c r="Z153" i="2"/>
  <c r="Z367" i="2"/>
  <c r="Z377" i="2"/>
  <c r="Z387" i="2"/>
  <c r="Y402" i="2"/>
  <c r="Z455" i="2"/>
  <c r="Z480" i="2"/>
  <c r="Z505" i="2"/>
  <c r="Z525" i="2"/>
  <c r="L566" i="2"/>
  <c r="Z112" i="2"/>
  <c r="Z287" i="2"/>
  <c r="Z331" i="2"/>
  <c r="BN135" i="2"/>
  <c r="BN267" i="2"/>
  <c r="Y550" i="2"/>
  <c r="O566" i="2"/>
  <c r="Z196" i="2"/>
  <c r="Z197" i="2" s="1"/>
  <c r="BP221" i="2"/>
  <c r="BN229" i="2"/>
  <c r="BN239" i="2"/>
  <c r="Z247" i="2"/>
  <c r="BP262" i="2"/>
  <c r="BN272" i="2"/>
  <c r="Z290" i="2"/>
  <c r="BN337" i="2"/>
  <c r="Y340" i="2"/>
  <c r="BN348" i="2"/>
  <c r="Z359" i="2"/>
  <c r="Z370" i="2"/>
  <c r="Z380" i="2"/>
  <c r="BN392" i="2"/>
  <c r="Y395" i="2"/>
  <c r="Z412" i="2"/>
  <c r="BN426" i="2"/>
  <c r="BN438" i="2"/>
  <c r="BN461" i="2"/>
  <c r="Z471" i="2"/>
  <c r="Z483" i="2"/>
  <c r="Z508" i="2"/>
  <c r="Z518" i="2"/>
  <c r="Z528" i="2"/>
  <c r="P566" i="2"/>
  <c r="Z40" i="2"/>
  <c r="Z208" i="2"/>
  <c r="Z239" i="2"/>
  <c r="Z348" i="2"/>
  <c r="Y373" i="2"/>
  <c r="Y531" i="2"/>
  <c r="Z58" i="2"/>
  <c r="BN112" i="2"/>
  <c r="Z145" i="2"/>
  <c r="Y214" i="2"/>
  <c r="Z318" i="2"/>
  <c r="Z319" i="2" s="1"/>
  <c r="Z443" i="2"/>
  <c r="Z446" i="2" s="1"/>
  <c r="Z513" i="2"/>
  <c r="BN525" i="2"/>
  <c r="BN40" i="2"/>
  <c r="Y74" i="2"/>
  <c r="Z83" i="2"/>
  <c r="BN107" i="2"/>
  <c r="BN140" i="2"/>
  <c r="BP153" i="2"/>
  <c r="BN164" i="2"/>
  <c r="BP176" i="2"/>
  <c r="BN184" i="2"/>
  <c r="BP196" i="2"/>
  <c r="BN208" i="2"/>
  <c r="H9" i="2"/>
  <c r="Z31" i="2"/>
  <c r="BN47" i="2"/>
  <c r="BN68" i="2"/>
  <c r="Y79" i="2"/>
  <c r="Z89" i="2"/>
  <c r="BP91" i="2"/>
  <c r="Z99" i="2"/>
  <c r="Z110" i="2"/>
  <c r="BN122" i="2"/>
  <c r="BP135" i="2"/>
  <c r="BN145" i="2"/>
  <c r="Y157" i="2"/>
  <c r="Z167" i="2"/>
  <c r="BN179" i="2"/>
  <c r="Z211" i="2"/>
  <c r="BN224" i="2"/>
  <c r="BP234" i="2"/>
  <c r="BP244" i="2"/>
  <c r="BP267" i="2"/>
  <c r="BP277" i="2"/>
  <c r="BP287" i="2"/>
  <c r="Y296" i="2"/>
  <c r="BP308" i="2"/>
  <c r="BN318" i="2"/>
  <c r="BP331" i="2"/>
  <c r="BN353" i="2"/>
  <c r="BP367" i="2"/>
  <c r="BP377" i="2"/>
  <c r="BP387" i="2"/>
  <c r="BN407" i="2"/>
  <c r="BN433" i="2"/>
  <c r="BN443" i="2"/>
  <c r="Y446" i="2"/>
  <c r="BP455" i="2"/>
  <c r="BN466" i="2"/>
  <c r="BP480" i="2"/>
  <c r="BP505" i="2"/>
  <c r="BN513" i="2"/>
  <c r="Q566" i="2"/>
  <c r="Z234" i="2"/>
  <c r="BN176" i="2"/>
  <c r="Z184" i="2"/>
  <c r="BN221" i="2"/>
  <c r="BN277" i="2"/>
  <c r="Y311" i="2"/>
  <c r="Z353" i="2"/>
  <c r="BN377" i="2"/>
  <c r="Z466" i="2"/>
  <c r="Z467" i="2" s="1"/>
  <c r="F9" i="2"/>
  <c r="BN28" i="2"/>
  <c r="BN63" i="2"/>
  <c r="BN96" i="2"/>
  <c r="Y187" i="2"/>
  <c r="BP23" i="2"/>
  <c r="BN58" i="2"/>
  <c r="J9" i="2"/>
  <c r="BP28" i="2"/>
  <c r="BP63" i="2"/>
  <c r="BN83" i="2"/>
  <c r="BP96" i="2"/>
  <c r="Z105" i="2"/>
  <c r="BP107" i="2"/>
  <c r="BP117" i="2"/>
  <c r="Y130" i="2"/>
  <c r="BP140" i="2"/>
  <c r="BN151" i="2"/>
  <c r="BP164" i="2"/>
  <c r="Y197" i="2"/>
  <c r="Z217" i="2"/>
  <c r="Z218" i="2" s="1"/>
  <c r="BP229" i="2"/>
  <c r="BP239" i="2"/>
  <c r="BN247" i="2"/>
  <c r="Z257" i="2"/>
  <c r="Z258" i="2" s="1"/>
  <c r="BP272" i="2"/>
  <c r="Y281" i="2"/>
  <c r="BN290" i="2"/>
  <c r="Y312" i="2"/>
  <c r="BP337" i="2"/>
  <c r="Z346" i="2"/>
  <c r="BP348" i="2"/>
  <c r="BN359" i="2"/>
  <c r="BN370" i="2"/>
  <c r="BN380" i="2"/>
  <c r="BP392" i="2"/>
  <c r="Z400" i="2"/>
  <c r="BN412" i="2"/>
  <c r="Z424" i="2"/>
  <c r="Z436" i="2"/>
  <c r="BP461" i="2"/>
  <c r="BN471" i="2"/>
  <c r="BN483" i="2"/>
  <c r="BN508" i="2"/>
  <c r="BN518" i="2"/>
  <c r="BN528" i="2"/>
  <c r="Z553" i="2"/>
  <c r="Z554" i="2" s="1"/>
  <c r="R566" i="2"/>
  <c r="Z267" i="2"/>
  <c r="Z269" i="2" s="1"/>
  <c r="Z107" i="2"/>
  <c r="BN244" i="2"/>
  <c r="BN308" i="2"/>
  <c r="Z407" i="2"/>
  <c r="Z433" i="2"/>
  <c r="BN455" i="2"/>
  <c r="BN505" i="2"/>
  <c r="BP55" i="2"/>
  <c r="BN117" i="2"/>
  <c r="BP129" i="2"/>
  <c r="Z151" i="2"/>
  <c r="A10" i="2"/>
  <c r="Y24" i="2"/>
  <c r="BN31" i="2"/>
  <c r="BP47" i="2"/>
  <c r="BP68" i="2"/>
  <c r="BN89" i="2"/>
  <c r="BN99" i="2"/>
  <c r="BN110" i="2"/>
  <c r="BP122" i="2"/>
  <c r="Y136" i="2"/>
  <c r="BN167" i="2"/>
  <c r="BP179" i="2"/>
  <c r="Y188" i="2"/>
  <c r="BN211" i="2"/>
  <c r="Z222" i="2"/>
  <c r="BP224" i="2"/>
  <c r="Z263" i="2"/>
  <c r="Z264" i="2" s="1"/>
  <c r="Z293" i="2"/>
  <c r="BP318" i="2"/>
  <c r="Y341" i="2"/>
  <c r="Z405" i="2"/>
  <c r="BP443" i="2"/>
  <c r="Z451" i="2"/>
  <c r="Z452" i="2" s="1"/>
  <c r="BP466" i="2"/>
  <c r="Z499" i="2"/>
  <c r="Z500" i="2" s="1"/>
  <c r="Z511" i="2"/>
  <c r="BN535" i="2"/>
  <c r="BN547" i="2"/>
  <c r="S566" i="2"/>
  <c r="Z129" i="2"/>
  <c r="Z130" i="2" s="1"/>
  <c r="Z28" i="2"/>
  <c r="M566" i="2"/>
  <c r="BN91" i="2"/>
  <c r="Y280" i="2"/>
  <c r="BN553" i="2"/>
  <c r="T566" i="2"/>
  <c r="BN55" i="2"/>
  <c r="Z117" i="2"/>
  <c r="BN153" i="2"/>
  <c r="Y295" i="2"/>
  <c r="Z122" i="2"/>
  <c r="Y141" i="2"/>
  <c r="Y349" i="2"/>
  <c r="Z29" i="2"/>
  <c r="Z41" i="2"/>
  <c r="BP89" i="2"/>
  <c r="Z97" i="2"/>
  <c r="Z108" i="2"/>
  <c r="Z118" i="2"/>
  <c r="Y131" i="2"/>
  <c r="Y146" i="2"/>
  <c r="Z165" i="2"/>
  <c r="Z185" i="2"/>
  <c r="Y198" i="2"/>
  <c r="Z209" i="2"/>
  <c r="Z230" i="2"/>
  <c r="Z240" i="2"/>
  <c r="Z273" i="2"/>
  <c r="Z283" i="2"/>
  <c r="Z304" i="2"/>
  <c r="Z314" i="2"/>
  <c r="Z315" i="2" s="1"/>
  <c r="Y319" i="2"/>
  <c r="Z327" i="2"/>
  <c r="Z338" i="2"/>
  <c r="Z340" i="2" s="1"/>
  <c r="Y354" i="2"/>
  <c r="Z393" i="2"/>
  <c r="BN405" i="2"/>
  <c r="Y408" i="2"/>
  <c r="BP418" i="2"/>
  <c r="Z439" i="2"/>
  <c r="Z462" i="2"/>
  <c r="Z463" i="2" s="1"/>
  <c r="Y467" i="2"/>
  <c r="BP478" i="2"/>
  <c r="Y514" i="2"/>
  <c r="BP523" i="2"/>
  <c r="BP535" i="2"/>
  <c r="B566" i="2"/>
  <c r="BN23" i="2"/>
  <c r="Y64" i="2"/>
  <c r="Y25" i="2"/>
  <c r="Y84" i="2"/>
  <c r="Y137" i="2"/>
  <c r="Y248" i="2"/>
  <c r="BP424" i="2"/>
  <c r="BN456" i="2"/>
  <c r="BN481" i="2"/>
  <c r="Y484" i="2"/>
  <c r="BN506" i="2"/>
  <c r="BN526" i="2"/>
  <c r="BP553" i="2"/>
  <c r="C566" i="2"/>
  <c r="Z140" i="2"/>
  <c r="Y32" i="2"/>
  <c r="Y100" i="2"/>
  <c r="BN439" i="2"/>
  <c r="D566" i="2"/>
  <c r="W566" i="2"/>
  <c r="Z47" i="2"/>
  <c r="Y51" i="2"/>
  <c r="Z90" i="2"/>
  <c r="Z111" i="2"/>
  <c r="Y126" i="2"/>
  <c r="Z134" i="2"/>
  <c r="Z136" i="2" s="1"/>
  <c r="Y147" i="2"/>
  <c r="Y173" i="2"/>
  <c r="BN190" i="2"/>
  <c r="Z200" i="2"/>
  <c r="Z201" i="2" s="1"/>
  <c r="Z212" i="2"/>
  <c r="Y218" i="2"/>
  <c r="Z233" i="2"/>
  <c r="Z243" i="2"/>
  <c r="Z253" i="2"/>
  <c r="Z254" i="2" s="1"/>
  <c r="Y258" i="2"/>
  <c r="Z276" i="2"/>
  <c r="Z286" i="2"/>
  <c r="Z307" i="2"/>
  <c r="Z330" i="2"/>
  <c r="Y355" i="2"/>
  <c r="Z366" i="2"/>
  <c r="Z376" i="2"/>
  <c r="Z386" i="2"/>
  <c r="Z419" i="2"/>
  <c r="Z479" i="2"/>
  <c r="Y515" i="2"/>
  <c r="Z524" i="2"/>
  <c r="Z548" i="2"/>
  <c r="Z549" i="2" s="1"/>
  <c r="Y554" i="2"/>
  <c r="E566" i="2"/>
  <c r="X566" i="2"/>
  <c r="Z55" i="2"/>
  <c r="Z164" i="2"/>
  <c r="Y168" i="2"/>
  <c r="Z22" i="2"/>
  <c r="Z24" i="2" s="1"/>
  <c r="Z27" i="2"/>
  <c r="Z39" i="2"/>
  <c r="Z62" i="2"/>
  <c r="Z72" i="2"/>
  <c r="Y85" i="2"/>
  <c r="BN152" i="2"/>
  <c r="BN291" i="2"/>
  <c r="BP314" i="2"/>
  <c r="BP327" i="2"/>
  <c r="BN360" i="2"/>
  <c r="BN371" i="2"/>
  <c r="BN381" i="2"/>
  <c r="BN413" i="2"/>
  <c r="BN449" i="2"/>
  <c r="Y452" i="2"/>
  <c r="BN472" i="2"/>
  <c r="Y485" i="2"/>
  <c r="BN497" i="2"/>
  <c r="Y500" i="2"/>
  <c r="BN509" i="2"/>
  <c r="BN519" i="2"/>
  <c r="BN529" i="2"/>
  <c r="BN543" i="2"/>
  <c r="BN253" i="2"/>
  <c r="Y269" i="2"/>
  <c r="BN276" i="2"/>
  <c r="BN286" i="2"/>
  <c r="Z294" i="2"/>
  <c r="BN307" i="2"/>
  <c r="BN330" i="2"/>
  <c r="Y333" i="2"/>
  <c r="Z352" i="2"/>
  <c r="BN366" i="2"/>
  <c r="BN376" i="2"/>
  <c r="BN386" i="2"/>
  <c r="Y389" i="2"/>
  <c r="Z406" i="2"/>
  <c r="BN419" i="2"/>
  <c r="Z432" i="2"/>
  <c r="Y457" i="2"/>
  <c r="BN479" i="2"/>
  <c r="BN524" i="2"/>
  <c r="Y537" i="2"/>
  <c r="BN548" i="2"/>
  <c r="Z566" i="2"/>
  <c r="BN233" i="2"/>
  <c r="Y236" i="2"/>
  <c r="BN243" i="2"/>
  <c r="Z150" i="2"/>
  <c r="Z246" i="2"/>
  <c r="Z279" i="2"/>
  <c r="Z289" i="2"/>
  <c r="Z299" i="2"/>
  <c r="Z300" i="2" s="1"/>
  <c r="Z310" i="2"/>
  <c r="Z322" i="2"/>
  <c r="Z323" i="2" s="1"/>
  <c r="Z358" i="2"/>
  <c r="Z369" i="2"/>
  <c r="Z379" i="2"/>
  <c r="Z411" i="2"/>
  <c r="Y440" i="2"/>
  <c r="BP449" i="2"/>
  <c r="Z470" i="2"/>
  <c r="Z473" i="2" s="1"/>
  <c r="Z482" i="2"/>
  <c r="BP497" i="2"/>
  <c r="Z507" i="2"/>
  <c r="Z517" i="2"/>
  <c r="Z527" i="2"/>
  <c r="BP543" i="2"/>
  <c r="Y555" i="2"/>
  <c r="H566" i="2"/>
  <c r="Z96" i="2"/>
  <c r="BN22" i="2"/>
  <c r="BN90" i="2"/>
  <c r="BN111" i="2"/>
  <c r="BN134" i="2"/>
  <c r="Y169" i="2"/>
  <c r="BN200" i="2"/>
  <c r="BN212" i="2"/>
  <c r="Z223" i="2"/>
  <c r="BP366" i="2"/>
  <c r="BP376" i="2"/>
  <c r="BP386" i="2"/>
  <c r="BN358" i="2"/>
  <c r="BN411" i="2"/>
  <c r="BN470" i="2"/>
  <c r="BN517" i="2"/>
  <c r="Z126" i="2" l="1"/>
  <c r="Z141" i="2"/>
  <c r="Z420" i="2"/>
  <c r="Z168" i="2"/>
  <c r="Z349" i="2"/>
  <c r="Z427" i="2"/>
  <c r="Z361" i="2"/>
  <c r="Z146" i="2"/>
  <c r="Z84" i="2"/>
  <c r="Z395" i="2"/>
  <c r="Z51" i="2"/>
  <c r="Z489" i="2"/>
  <c r="Z457" i="2"/>
  <c r="Z414" i="2"/>
  <c r="Z402" i="2"/>
  <c r="Z389" i="2"/>
  <c r="Z280" i="2"/>
  <c r="Z236" i="2"/>
  <c r="Z156" i="2"/>
  <c r="X559" i="2"/>
  <c r="Z73" i="2"/>
  <c r="Z42" i="2"/>
  <c r="Z113" i="2"/>
  <c r="Y558" i="2"/>
  <c r="Z93" i="2"/>
  <c r="Z100" i="2"/>
  <c r="Z382" i="2"/>
  <c r="Z213" i="2"/>
  <c r="Z32" i="2"/>
  <c r="Z119" i="2"/>
  <c r="Z187" i="2"/>
  <c r="Z78" i="2"/>
  <c r="Z372" i="2"/>
  <c r="Z514" i="2"/>
  <c r="Z333" i="2"/>
  <c r="Y557" i="2"/>
  <c r="Z311" i="2"/>
  <c r="Z440" i="2"/>
  <c r="Z408" i="2"/>
  <c r="Z64" i="2"/>
  <c r="Y560" i="2"/>
  <c r="Y556" i="2"/>
  <c r="Z295" i="2"/>
  <c r="Z354" i="2"/>
  <c r="Z520" i="2"/>
  <c r="Z530" i="2"/>
  <c r="Z484" i="2"/>
  <c r="Z248" i="2"/>
  <c r="Y559" i="2" l="1"/>
  <c r="Z561" i="2"/>
</calcChain>
</file>

<file path=xl/sharedStrings.xml><?xml version="1.0" encoding="utf-8"?>
<sst xmlns="http://schemas.openxmlformats.org/spreadsheetml/2006/main" count="4282" uniqueCount="892">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</sst>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6" t="s">
        <v>26</v>
      </c>
      <c r="E1" s="1006"/>
      <c r="F1" s="1006"/>
      <c r="G1" s="14" t="s">
        <v>67</v>
      </c>
      <c r="H1" s="1006" t="s">
        <v>47</v>
      </c>
      <c r="I1" s="1006"/>
      <c r="J1" s="1006"/>
      <c r="K1" s="1006"/>
      <c r="L1" s="1006"/>
      <c r="M1" s="1006"/>
      <c r="N1" s="1006"/>
      <c r="O1" s="1006"/>
      <c r="P1" s="1006"/>
      <c r="Q1" s="1006"/>
      <c r="R1" s="1007" t="s">
        <v>68</v>
      </c>
      <c r="S1" s="1008"/>
      <c r="T1" s="100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9"/>
      <c r="R2" s="1009"/>
      <c r="S2" s="1009"/>
      <c r="T2" s="1009"/>
      <c r="U2" s="1009"/>
      <c r="V2" s="1009"/>
      <c r="W2" s="100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9"/>
      <c r="Q3" s="1009"/>
      <c r="R3" s="1009"/>
      <c r="S3" s="1009"/>
      <c r="T3" s="1009"/>
      <c r="U3" s="1009"/>
      <c r="V3" s="1009"/>
      <c r="W3" s="100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8" t="s">
        <v>8</v>
      </c>
      <c r="B5" s="988"/>
      <c r="C5" s="988"/>
      <c r="D5" s="1010"/>
      <c r="E5" s="1010"/>
      <c r="F5" s="1011" t="s">
        <v>14</v>
      </c>
      <c r="G5" s="1011"/>
      <c r="H5" s="1010" t="s">
        <v>891</v>
      </c>
      <c r="I5" s="1010"/>
      <c r="J5" s="1010"/>
      <c r="K5" s="1010"/>
      <c r="L5" s="1010"/>
      <c r="M5" s="1010"/>
      <c r="N5" s="69"/>
      <c r="P5" s="26" t="s">
        <v>4</v>
      </c>
      <c r="Q5" s="1012">
        <v>46290</v>
      </c>
      <c r="R5" s="1012"/>
      <c r="T5" s="1013" t="s">
        <v>3</v>
      </c>
      <c r="U5" s="1014"/>
      <c r="V5" s="1015" t="s">
        <v>872</v>
      </c>
      <c r="W5" s="1016"/>
      <c r="AB5" s="57"/>
      <c r="AC5" s="57"/>
      <c r="AD5" s="57"/>
      <c r="AE5" s="57"/>
    </row>
    <row r="6" spans="1:32" s="17" customFormat="1" ht="24" customHeight="1" x14ac:dyDescent="0.2">
      <c r="A6" s="988" t="s">
        <v>1</v>
      </c>
      <c r="B6" s="988"/>
      <c r="C6" s="988"/>
      <c r="D6" s="989" t="s">
        <v>873</v>
      </c>
      <c r="E6" s="989"/>
      <c r="F6" s="989"/>
      <c r="G6" s="989"/>
      <c r="H6" s="989"/>
      <c r="I6" s="989"/>
      <c r="J6" s="989"/>
      <c r="K6" s="989"/>
      <c r="L6" s="989"/>
      <c r="M6" s="989"/>
      <c r="N6" s="70"/>
      <c r="P6" s="26" t="s">
        <v>27</v>
      </c>
      <c r="Q6" s="990" t="str">
        <f>IF(Q5=0," ",CHOOSE(WEEKDAY(Q5,2),"Понедельник","Вторник","Среда","Четверг","Пятница","Суббота","Воскресенье"))</f>
        <v>Пятница</v>
      </c>
      <c r="R6" s="990"/>
      <c r="T6" s="991" t="s">
        <v>5</v>
      </c>
      <c r="U6" s="992"/>
      <c r="V6" s="993" t="s">
        <v>70</v>
      </c>
      <c r="W6" s="99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9" t="str">
        <f>IFERROR(VLOOKUP(DeliveryAddress,Table,3,0),1)</f>
        <v>1</v>
      </c>
      <c r="E7" s="1000"/>
      <c r="F7" s="1000"/>
      <c r="G7" s="1000"/>
      <c r="H7" s="1000"/>
      <c r="I7" s="1000"/>
      <c r="J7" s="1000"/>
      <c r="K7" s="1000"/>
      <c r="L7" s="1000"/>
      <c r="M7" s="1001"/>
      <c r="N7" s="71"/>
      <c r="P7" s="26"/>
      <c r="Q7" s="46"/>
      <c r="R7" s="46"/>
      <c r="T7" s="991"/>
      <c r="U7" s="992"/>
      <c r="V7" s="995"/>
      <c r="W7" s="996"/>
      <c r="AB7" s="57"/>
      <c r="AC7" s="57"/>
      <c r="AD7" s="57"/>
      <c r="AE7" s="57"/>
    </row>
    <row r="8" spans="1:32" s="17" customFormat="1" ht="25.5" customHeight="1" x14ac:dyDescent="0.2">
      <c r="A8" s="1002" t="s">
        <v>58</v>
      </c>
      <c r="B8" s="1002"/>
      <c r="C8" s="1002"/>
      <c r="D8" s="1003"/>
      <c r="E8" s="1003"/>
      <c r="F8" s="1003"/>
      <c r="G8" s="1003"/>
      <c r="H8" s="1003"/>
      <c r="I8" s="1003"/>
      <c r="J8" s="1003"/>
      <c r="K8" s="1003"/>
      <c r="L8" s="1003"/>
      <c r="M8" s="1003"/>
      <c r="N8" s="72"/>
      <c r="P8" s="26" t="s">
        <v>11</v>
      </c>
      <c r="Q8" s="986">
        <v>4.1666666666666664E-2</v>
      </c>
      <c r="R8" s="986"/>
      <c r="T8" s="991"/>
      <c r="U8" s="992"/>
      <c r="V8" s="995"/>
      <c r="W8" s="996"/>
      <c r="AB8" s="57"/>
      <c r="AC8" s="57"/>
      <c r="AD8" s="57"/>
      <c r="AE8" s="57"/>
    </row>
    <row r="9" spans="1:32" s="17" customFormat="1" ht="39.950000000000003" customHeight="1" x14ac:dyDescent="0.2">
      <c r="A9" s="9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8"/>
      <c r="C9" s="978"/>
      <c r="D9" s="979" t="s">
        <v>46</v>
      </c>
      <c r="E9" s="980"/>
      <c r="F9" s="9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8"/>
      <c r="H9" s="1004" t="str">
        <f>IF(AND($A$9="Тип доверенности/получателя при получении в адресе перегруза:",$D$9="Разовая доверенность"),"Введите ФИО","")</f>
        <v/>
      </c>
      <c r="I9" s="1004"/>
      <c r="J9" s="10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4"/>
      <c r="L9" s="1004"/>
      <c r="M9" s="1004"/>
      <c r="N9" s="67"/>
      <c r="P9" s="29" t="s">
        <v>15</v>
      </c>
      <c r="Q9" s="1005"/>
      <c r="R9" s="1005"/>
      <c r="T9" s="991"/>
      <c r="U9" s="992"/>
      <c r="V9" s="997"/>
      <c r="W9" s="99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8"/>
      <c r="C10" s="978"/>
      <c r="D10" s="979"/>
      <c r="E10" s="980"/>
      <c r="F10" s="9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8"/>
      <c r="H10" s="981" t="str">
        <f>IFERROR(VLOOKUP($D$10,Proxy,2,FALSE),"")</f>
        <v/>
      </c>
      <c r="I10" s="981"/>
      <c r="J10" s="981"/>
      <c r="K10" s="981"/>
      <c r="L10" s="981"/>
      <c r="M10" s="981"/>
      <c r="N10" s="68"/>
      <c r="P10" s="29" t="s">
        <v>32</v>
      </c>
      <c r="Q10" s="982"/>
      <c r="R10" s="982"/>
      <c r="U10" s="26" t="s">
        <v>12</v>
      </c>
      <c r="V10" s="983" t="s">
        <v>71</v>
      </c>
      <c r="W10" s="98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5"/>
      <c r="R11" s="985"/>
      <c r="U11" s="26" t="s">
        <v>28</v>
      </c>
      <c r="V11" s="964" t="s">
        <v>55</v>
      </c>
      <c r="W11" s="96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3" t="s">
        <v>72</v>
      </c>
      <c r="B12" s="963"/>
      <c r="C12" s="963"/>
      <c r="D12" s="963"/>
      <c r="E12" s="963"/>
      <c r="F12" s="963"/>
      <c r="G12" s="963"/>
      <c r="H12" s="963"/>
      <c r="I12" s="963"/>
      <c r="J12" s="963"/>
      <c r="K12" s="963"/>
      <c r="L12" s="963"/>
      <c r="M12" s="963"/>
      <c r="N12" s="73"/>
      <c r="P12" s="26" t="s">
        <v>30</v>
      </c>
      <c r="Q12" s="986"/>
      <c r="R12" s="986"/>
      <c r="S12" s="27"/>
      <c r="T12"/>
      <c r="U12" s="26" t="s">
        <v>46</v>
      </c>
      <c r="V12" s="987"/>
      <c r="W12" s="987"/>
      <c r="X12"/>
      <c r="AB12" s="57"/>
      <c r="AC12" s="57"/>
      <c r="AD12" s="57"/>
      <c r="AE12" s="57"/>
    </row>
    <row r="13" spans="1:32" s="17" customFormat="1" ht="23.25" customHeight="1" x14ac:dyDescent="0.2">
      <c r="A13" s="963" t="s">
        <v>73</v>
      </c>
      <c r="B13" s="963"/>
      <c r="C13" s="963"/>
      <c r="D13" s="963"/>
      <c r="E13" s="963"/>
      <c r="F13" s="963"/>
      <c r="G13" s="963"/>
      <c r="H13" s="963"/>
      <c r="I13" s="963"/>
      <c r="J13" s="963"/>
      <c r="K13" s="963"/>
      <c r="L13" s="963"/>
      <c r="M13" s="963"/>
      <c r="N13" s="73"/>
      <c r="O13" s="29"/>
      <c r="P13" s="29" t="s">
        <v>31</v>
      </c>
      <c r="Q13" s="964"/>
      <c r="R13" s="96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3" t="s">
        <v>74</v>
      </c>
      <c r="B14" s="963"/>
      <c r="C14" s="963"/>
      <c r="D14" s="963"/>
      <c r="E14" s="963"/>
      <c r="F14" s="963"/>
      <c r="G14" s="963"/>
      <c r="H14" s="963"/>
      <c r="I14" s="963"/>
      <c r="J14" s="963"/>
      <c r="K14" s="963"/>
      <c r="L14" s="963"/>
      <c r="M14" s="963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4"/>
      <c r="O15"/>
      <c r="P15" s="966" t="s">
        <v>61</v>
      </c>
      <c r="Q15" s="966"/>
      <c r="R15" s="966"/>
      <c r="S15" s="966"/>
      <c r="T15" s="96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70" t="s">
        <v>48</v>
      </c>
      <c r="D17" s="972" t="s">
        <v>50</v>
      </c>
      <c r="E17" s="973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77"/>
      <c r="BD17" s="76" t="s">
        <v>62</v>
      </c>
    </row>
    <row r="18" spans="1:68" ht="14.25" customHeight="1" x14ac:dyDescent="0.2">
      <c r="A18" s="950"/>
      <c r="B18" s="950"/>
      <c r="C18" s="971"/>
      <c r="D18" s="974"/>
      <c r="E18" s="975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74"/>
      <c r="Q18" s="977"/>
      <c r="R18" s="977"/>
      <c r="S18" s="977"/>
      <c r="T18" s="975"/>
      <c r="U18" s="78" t="s">
        <v>44</v>
      </c>
      <c r="V18" s="78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77"/>
      <c r="BD18" s="76"/>
    </row>
    <row r="19" spans="1:68" ht="27.75" hidden="1" customHeight="1" x14ac:dyDescent="0.2">
      <c r="A19" s="671" t="s">
        <v>76</v>
      </c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52"/>
      <c r="AB19" s="52"/>
      <c r="AC19" s="52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4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1" t="s">
        <v>40</v>
      </c>
      <c r="Q24" s="652"/>
      <c r="R24" s="652"/>
      <c r="S24" s="652"/>
      <c r="T24" s="652"/>
      <c r="U24" s="652"/>
      <c r="V24" s="65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1" t="s">
        <v>40</v>
      </c>
      <c r="Q25" s="652"/>
      <c r="R25" s="652"/>
      <c r="S25" s="652"/>
      <c r="T25" s="652"/>
      <c r="U25" s="652"/>
      <c r="V25" s="65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4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1" t="s">
        <v>40</v>
      </c>
      <c r="Q32" s="652"/>
      <c r="R32" s="652"/>
      <c r="S32" s="652"/>
      <c r="T32" s="652"/>
      <c r="U32" s="652"/>
      <c r="V32" s="65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1" t="s">
        <v>40</v>
      </c>
      <c r="Q33" s="652"/>
      <c r="R33" s="652"/>
      <c r="S33" s="652"/>
      <c r="T33" s="652"/>
      <c r="U33" s="652"/>
      <c r="V33" s="65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1" t="s">
        <v>45</v>
      </c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  <c r="AA34" s="52"/>
      <c r="AB34" s="52"/>
      <c r="AC34" s="52"/>
    </row>
    <row r="35" spans="1:68" ht="16.5" hidden="1" customHeight="1" x14ac:dyDescent="0.25">
      <c r="A35" s="664" t="s">
        <v>104</v>
      </c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2"/>
      <c r="AB35" s="62"/>
      <c r="AC35" s="62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32</v>
      </c>
      <c r="Y41" s="53">
        <f>IFERROR(IF(X41="",0,CEILING((X41/$H41),1)*$H41),"")</f>
        <v>32.64</v>
      </c>
      <c r="Z41" s="39">
        <f>IFERROR(IF(Y41=0,"",ROUNDUP(Y41/H41,0)*0.00651),"")</f>
        <v>0.11067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35</v>
      </c>
      <c r="BN41" s="75">
        <f>IFERROR(Y41*I41/H41,"0")</f>
        <v>35.70000000000001</v>
      </c>
      <c r="BO41" s="75">
        <f>IFERROR(1/J41*(X41/H41),"0")</f>
        <v>9.1575091575091583E-2</v>
      </c>
      <c r="BP41" s="75">
        <f>IFERROR(1/J41*(Y41/H41),"0")</f>
        <v>9.3406593406593408E-2</v>
      </c>
    </row>
    <row r="42" spans="1:68" x14ac:dyDescent="0.2">
      <c r="A42" s="654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1" t="s">
        <v>40</v>
      </c>
      <c r="Q42" s="652"/>
      <c r="R42" s="652"/>
      <c r="S42" s="652"/>
      <c r="T42" s="652"/>
      <c r="U42" s="652"/>
      <c r="V42" s="653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1" t="s">
        <v>40</v>
      </c>
      <c r="Q43" s="652"/>
      <c r="R43" s="652"/>
      <c r="S43" s="652"/>
      <c r="T43" s="652"/>
      <c r="U43" s="652"/>
      <c r="V43" s="653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671" t="s">
        <v>120</v>
      </c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71"/>
      <c r="X44" s="671"/>
      <c r="Y44" s="671"/>
      <c r="Z44" s="671"/>
      <c r="AA44" s="52"/>
      <c r="AB44" s="52"/>
      <c r="AC44" s="52"/>
    </row>
    <row r="45" spans="1:68" ht="16.5" hidden="1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2"/>
      <c r="AB45" s="62"/>
      <c r="AC45" s="62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50</v>
      </c>
      <c r="Y47" s="53">
        <f>IFERROR(IF(X47="",0,CEILING((X47/$H47),1)*$H47),"")</f>
        <v>54</v>
      </c>
      <c r="Z47" s="39">
        <f>IFERROR(IF(Y47=0,"",ROUNDUP(Y47/H47,0)*0.01898),"")</f>
        <v>9.4899999999999998E-2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51.898148148148145</v>
      </c>
      <c r="BN47" s="75">
        <f>IFERROR(Y47*I47/H47,"0")</f>
        <v>56.05</v>
      </c>
      <c r="BO47" s="75">
        <f>IFERROR(1/J47*(X47/H47),"0")</f>
        <v>7.2337962962962965E-2</v>
      </c>
      <c r="BP47" s="75">
        <f>IFERROR(1/J47*(Y47/H47),"0")</f>
        <v>7.8125E-2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160</v>
      </c>
      <c r="Y49" s="53">
        <f>IFERROR(IF(X49="",0,CEILING((X49/$H49),1)*$H49),"")</f>
        <v>160</v>
      </c>
      <c r="Z49" s="39">
        <f>IFERROR(IF(Y49=0,"",ROUNDUP(Y49/H49,0)*0.00902),"")</f>
        <v>0.36080000000000001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167.60000000000002</v>
      </c>
      <c r="BN49" s="75">
        <f>IFERROR(Y49*I49/H49,"0")</f>
        <v>167.60000000000002</v>
      </c>
      <c r="BO49" s="75">
        <f>IFERROR(1/J49*(X49/H49),"0")</f>
        <v>0.30303030303030304</v>
      </c>
      <c r="BP49" s="75">
        <f>IFERROR(1/J49*(Y49/H49),"0")</f>
        <v>0.30303030303030304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4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1" t="s">
        <v>40</v>
      </c>
      <c r="Q51" s="652"/>
      <c r="R51" s="652"/>
      <c r="S51" s="652"/>
      <c r="T51" s="652"/>
      <c r="U51" s="652"/>
      <c r="V51" s="653"/>
      <c r="W51" s="40" t="s">
        <v>39</v>
      </c>
      <c r="X51" s="41">
        <f>IFERROR(X47/H47,"0")+IFERROR(X48/H48,"0")+IFERROR(X49/H49,"0")+IFERROR(X50/H50,"0")</f>
        <v>44.629629629629633</v>
      </c>
      <c r="Y51" s="41">
        <f>IFERROR(Y47/H47,"0")+IFERROR(Y48/H48,"0")+IFERROR(Y49/H49,"0")+IFERROR(Y50/H50,"0")</f>
        <v>45</v>
      </c>
      <c r="Z51" s="41">
        <f>IFERROR(IF(Z47="",0,Z47),"0")+IFERROR(IF(Z48="",0,Z48),"0")+IFERROR(IF(Z49="",0,Z49),"0")+IFERROR(IF(Z50="",0,Z50),"0")</f>
        <v>0.45569999999999999</v>
      </c>
      <c r="AA51" s="64"/>
      <c r="AB51" s="64"/>
      <c r="AC51" s="6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1" t="s">
        <v>40</v>
      </c>
      <c r="Q52" s="652"/>
      <c r="R52" s="652"/>
      <c r="S52" s="652"/>
      <c r="T52" s="652"/>
      <c r="U52" s="652"/>
      <c r="V52" s="653"/>
      <c r="W52" s="40" t="s">
        <v>0</v>
      </c>
      <c r="X52" s="41">
        <f>IFERROR(SUM(X47:X50),"0")</f>
        <v>210</v>
      </c>
      <c r="Y52" s="41">
        <f>IFERROR(SUM(Y47:Y50),"0")</f>
        <v>214</v>
      </c>
      <c r="Z52" s="40"/>
      <c r="AA52" s="64"/>
      <c r="AB52" s="64"/>
      <c r="AC52" s="64"/>
    </row>
    <row r="53" spans="1:68" ht="16.5" hidden="1" customHeight="1" x14ac:dyDescent="0.25">
      <c r="A53" s="664" t="s">
        <v>137</v>
      </c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  <c r="AA53" s="62"/>
      <c r="AB53" s="62"/>
      <c r="AC53" s="62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0">
        <v>4680115881426</v>
      </c>
      <c r="E57" s="66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2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0">
        <v>4680115880283</v>
      </c>
      <c r="E58" s="66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0">
        <v>4680115881525</v>
      </c>
      <c r="E59" s="660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0">
        <v>4680115881525</v>
      </c>
      <c r="E60" s="66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3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0">
        <v>4680115885899</v>
      </c>
      <c r="E61" s="66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2"/>
      <c r="R61" s="662"/>
      <c r="S61" s="662"/>
      <c r="T61" s="66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60">
        <v>4680115881419</v>
      </c>
      <c r="E62" s="66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2"/>
      <c r="R62" s="662"/>
      <c r="S62" s="662"/>
      <c r="T62" s="663"/>
      <c r="U62" s="37" t="s">
        <v>46</v>
      </c>
      <c r="V62" s="37" t="s">
        <v>46</v>
      </c>
      <c r="W62" s="38" t="s">
        <v>0</v>
      </c>
      <c r="X62" s="56">
        <v>135</v>
      </c>
      <c r="Y62" s="53">
        <f t="shared" si="0"/>
        <v>135</v>
      </c>
      <c r="Z62" s="39">
        <f>IFERROR(IF(Y62=0,"",ROUNDUP(Y62/H62,0)*0.00902),"")</f>
        <v>0.27060000000000001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140.70000000000002</v>
      </c>
      <c r="BN62" s="75">
        <f t="shared" si="2"/>
        <v>140.70000000000002</v>
      </c>
      <c r="BO62" s="75">
        <f t="shared" si="3"/>
        <v>0.22727272727272729</v>
      </c>
      <c r="BP62" s="75">
        <f t="shared" si="4"/>
        <v>0.22727272727272729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0">
        <v>4680115881419</v>
      </c>
      <c r="E63" s="660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2"/>
      <c r="R63" s="662"/>
      <c r="S63" s="662"/>
      <c r="T63" s="66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x14ac:dyDescent="0.2">
      <c r="A64" s="654"/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5"/>
      <c r="P64" s="651" t="s">
        <v>40</v>
      </c>
      <c r="Q64" s="652"/>
      <c r="R64" s="652"/>
      <c r="S64" s="652"/>
      <c r="T64" s="652"/>
      <c r="U64" s="652"/>
      <c r="V64" s="653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30</v>
      </c>
      <c r="Y64" s="41">
        <f>IFERROR(Y55/H55,"0")+IFERROR(Y56/H56,"0")+IFERROR(Y57/H57,"0")+IFERROR(Y58/H58,"0")+IFERROR(Y59/H59,"0")+IFERROR(Y60/H60,"0")+IFERROR(Y61/H61,"0")+IFERROR(Y62/H62,"0")+IFERROR(Y63/H63,"0")</f>
        <v>30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0.27060000000000001</v>
      </c>
      <c r="AA64" s="64"/>
      <c r="AB64" s="64"/>
      <c r="AC64" s="64"/>
    </row>
    <row r="65" spans="1:68" x14ac:dyDescent="0.2">
      <c r="A65" s="654"/>
      <c r="B65" s="654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655"/>
      <c r="P65" s="651" t="s">
        <v>40</v>
      </c>
      <c r="Q65" s="652"/>
      <c r="R65" s="652"/>
      <c r="S65" s="652"/>
      <c r="T65" s="652"/>
      <c r="U65" s="652"/>
      <c r="V65" s="653"/>
      <c r="W65" s="40" t="s">
        <v>0</v>
      </c>
      <c r="X65" s="41">
        <f>IFERROR(SUM(X55:X63),"0")</f>
        <v>135</v>
      </c>
      <c r="Y65" s="41">
        <f>IFERROR(SUM(Y55:Y63),"0")</f>
        <v>135</v>
      </c>
      <c r="Z65" s="40"/>
      <c r="AA65" s="64"/>
      <c r="AB65" s="64"/>
      <c r="AC65" s="64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660">
        <v>4680115881440</v>
      </c>
      <c r="E67" s="660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50</v>
      </c>
      <c r="Y67" s="53">
        <f t="shared" ref="Y67:Y72" si="5">IFERROR(IF(X67="",0,CEILING((X67/$H67),1)*$H67),"")</f>
        <v>54</v>
      </c>
      <c r="Z67" s="39">
        <f>IFERROR(IF(Y67=0,"",ROUNDUP(Y67/H67,0)*0.01898),"")</f>
        <v>9.4899999999999998E-2</v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 t="shared" ref="BM67:BM72" si="6">IFERROR(X67*I67/H67,"0")</f>
        <v>51.898148148148145</v>
      </c>
      <c r="BN67" s="75">
        <f t="shared" ref="BN67:BN72" si="7">IFERROR(Y67*I67/H67,"0")</f>
        <v>56.05</v>
      </c>
      <c r="BO67" s="75">
        <f t="shared" ref="BO67:BO72" si="8">IFERROR(1/J67*(X67/H67),"0")</f>
        <v>7.2337962962962965E-2</v>
      </c>
      <c r="BP67" s="75">
        <f t="shared" ref="BP67:BP72" si="9">IFERROR(1/J67*(Y67/H67),"0")</f>
        <v>7.8125E-2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0">
        <v>4680115881440</v>
      </c>
      <c r="E68" s="660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2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2"/>
      <c r="R68" s="662"/>
      <c r="S68" s="662"/>
      <c r="T68" s="663"/>
      <c r="U68" s="37" t="s">
        <v>46</v>
      </c>
      <c r="V68" s="37" t="s">
        <v>46</v>
      </c>
      <c r="W68" s="38" t="s">
        <v>0</v>
      </c>
      <c r="X68" s="56">
        <v>0</v>
      </c>
      <c r="Y68" s="53">
        <f t="shared" si="5"/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 t="shared" si="6"/>
        <v>0</v>
      </c>
      <c r="BN68" s="75">
        <f t="shared" si="7"/>
        <v>0</v>
      </c>
      <c r="BO68" s="75">
        <f t="shared" si="8"/>
        <v>0</v>
      </c>
      <c r="BP68" s="75">
        <f t="shared" si="9"/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0">
        <v>4680115885950</v>
      </c>
      <c r="E69" s="660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2"/>
      <c r="R69" s="662"/>
      <c r="S69" s="662"/>
      <c r="T69" s="663"/>
      <c r="U69" s="37" t="s">
        <v>46</v>
      </c>
      <c r="V69" s="37" t="s">
        <v>46</v>
      </c>
      <c r="W69" s="38" t="s">
        <v>0</v>
      </c>
      <c r="X69" s="56">
        <v>0</v>
      </c>
      <c r="Y69" s="53">
        <f t="shared" si="5"/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 t="shared" si="6"/>
        <v>0</v>
      </c>
      <c r="BN69" s="75">
        <f t="shared" si="7"/>
        <v>0</v>
      </c>
      <c r="BO69" s="75">
        <f t="shared" si="8"/>
        <v>0</v>
      </c>
      <c r="BP69" s="75">
        <f t="shared" si="9"/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0">
        <v>4680115887688</v>
      </c>
      <c r="E70" s="660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2"/>
      <c r="R70" s="662"/>
      <c r="S70" s="662"/>
      <c r="T70" s="663"/>
      <c r="U70" s="37" t="s">
        <v>46</v>
      </c>
      <c r="V70" s="37" t="s">
        <v>46</v>
      </c>
      <c r="W70" s="38" t="s">
        <v>0</v>
      </c>
      <c r="X70" s="56">
        <v>0</v>
      </c>
      <c r="Y70" s="53">
        <f t="shared" si="5"/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 t="shared" si="6"/>
        <v>0</v>
      </c>
      <c r="BN70" s="75">
        <f t="shared" si="7"/>
        <v>0</v>
      </c>
      <c r="BO70" s="75">
        <f t="shared" si="8"/>
        <v>0</v>
      </c>
      <c r="BP70" s="75">
        <f t="shared" si="9"/>
        <v>0</v>
      </c>
    </row>
    <row r="71" spans="1:68" ht="27" customHeight="1" x14ac:dyDescent="0.25">
      <c r="A71" s="60" t="s">
        <v>170</v>
      </c>
      <c r="B71" s="60" t="s">
        <v>171</v>
      </c>
      <c r="C71" s="34">
        <v>4301020296</v>
      </c>
      <c r="D71" s="660">
        <v>4680115881433</v>
      </c>
      <c r="E71" s="660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1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225</v>
      </c>
      <c r="Y71" s="53">
        <f t="shared" si="5"/>
        <v>226.8</v>
      </c>
      <c r="Z71" s="39">
        <f>IFERROR(IF(Y71=0,"",ROUNDUP(Y71/H71,0)*0.00651),"")</f>
        <v>0.54683999999999999</v>
      </c>
      <c r="AA71" s="65" t="s">
        <v>46</v>
      </c>
      <c r="AB71" s="66" t="s">
        <v>46</v>
      </c>
      <c r="AC71" s="139" t="s">
        <v>162</v>
      </c>
      <c r="AG71" s="75"/>
      <c r="AJ71" s="79" t="s">
        <v>46</v>
      </c>
      <c r="AK71" s="79">
        <v>0</v>
      </c>
      <c r="BB71" s="140" t="s">
        <v>67</v>
      </c>
      <c r="BM71" s="75">
        <f t="shared" si="6"/>
        <v>239.99999999999997</v>
      </c>
      <c r="BN71" s="75">
        <f t="shared" si="7"/>
        <v>241.91999999999996</v>
      </c>
      <c r="BO71" s="75">
        <f t="shared" si="8"/>
        <v>0.45787545787545786</v>
      </c>
      <c r="BP71" s="75">
        <f t="shared" si="9"/>
        <v>0.46153846153846156</v>
      </c>
    </row>
    <row r="72" spans="1:68" ht="27" hidden="1" customHeight="1" x14ac:dyDescent="0.25">
      <c r="A72" s="60" t="s">
        <v>170</v>
      </c>
      <c r="B72" s="60" t="s">
        <v>172</v>
      </c>
      <c r="C72" s="34">
        <v>4301020389</v>
      </c>
      <c r="D72" s="660">
        <v>4680115881433</v>
      </c>
      <c r="E72" s="66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126</v>
      </c>
      <c r="N72" s="36"/>
      <c r="O72" s="35">
        <v>50</v>
      </c>
      <c r="P72" s="9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41" t="s">
        <v>164</v>
      </c>
      <c r="AG72" s="75"/>
      <c r="AJ72" s="79" t="s">
        <v>46</v>
      </c>
      <c r="AK72" s="79">
        <v>0</v>
      </c>
      <c r="BB72" s="142" t="s">
        <v>67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x14ac:dyDescent="0.2">
      <c r="A73" s="654"/>
      <c r="B73" s="654"/>
      <c r="C73" s="654"/>
      <c r="D73" s="654"/>
      <c r="E73" s="654"/>
      <c r="F73" s="654"/>
      <c r="G73" s="654"/>
      <c r="H73" s="654"/>
      <c r="I73" s="654"/>
      <c r="J73" s="654"/>
      <c r="K73" s="654"/>
      <c r="L73" s="654"/>
      <c r="M73" s="654"/>
      <c r="N73" s="654"/>
      <c r="O73" s="655"/>
      <c r="P73" s="651" t="s">
        <v>40</v>
      </c>
      <c r="Q73" s="652"/>
      <c r="R73" s="652"/>
      <c r="S73" s="652"/>
      <c r="T73" s="652"/>
      <c r="U73" s="652"/>
      <c r="V73" s="653"/>
      <c r="W73" s="40" t="s">
        <v>39</v>
      </c>
      <c r="X73" s="41">
        <f>IFERROR(X67/H67,"0")+IFERROR(X68/H68,"0")+IFERROR(X69/H69,"0")+IFERROR(X70/H70,"0")+IFERROR(X71/H71,"0")+IFERROR(X72/H72,"0")</f>
        <v>87.962962962962962</v>
      </c>
      <c r="Y73" s="41">
        <f>IFERROR(Y67/H67,"0")+IFERROR(Y68/H68,"0")+IFERROR(Y69/H69,"0")+IFERROR(Y70/H70,"0")+IFERROR(Y71/H71,"0")+IFERROR(Y72/H72,"0")</f>
        <v>89</v>
      </c>
      <c r="Z73" s="41">
        <f>IFERROR(IF(Z67="",0,Z67),"0")+IFERROR(IF(Z68="",0,Z68),"0")+IFERROR(IF(Z69="",0,Z69),"0")+IFERROR(IF(Z70="",0,Z70),"0")+IFERROR(IF(Z71="",0,Z71),"0")+IFERROR(IF(Z72="",0,Z72),"0")</f>
        <v>0.64173999999999998</v>
      </c>
      <c r="AA73" s="64"/>
      <c r="AB73" s="64"/>
      <c r="AC73" s="64"/>
    </row>
    <row r="74" spans="1:68" x14ac:dyDescent="0.2">
      <c r="A74" s="654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1" t="s">
        <v>40</v>
      </c>
      <c r="Q74" s="652"/>
      <c r="R74" s="652"/>
      <c r="S74" s="652"/>
      <c r="T74" s="652"/>
      <c r="U74" s="652"/>
      <c r="V74" s="653"/>
      <c r="W74" s="40" t="s">
        <v>0</v>
      </c>
      <c r="X74" s="41">
        <f>IFERROR(SUM(X67:X72),"0")</f>
        <v>275</v>
      </c>
      <c r="Y74" s="41">
        <f>IFERROR(SUM(Y67:Y72),"0")</f>
        <v>280.8</v>
      </c>
      <c r="Z74" s="40"/>
      <c r="AA74" s="64"/>
      <c r="AB74" s="64"/>
      <c r="AC74" s="64"/>
    </row>
    <row r="75" spans="1:68" ht="14.25" hidden="1" customHeight="1" x14ac:dyDescent="0.25">
      <c r="A75" s="665" t="s">
        <v>86</v>
      </c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3"/>
      <c r="AB75" s="63"/>
      <c r="AC75" s="63"/>
    </row>
    <row r="76" spans="1:68" ht="16.5" hidden="1" customHeight="1" x14ac:dyDescent="0.25">
      <c r="A76" s="60" t="s">
        <v>173</v>
      </c>
      <c r="B76" s="60" t="s">
        <v>174</v>
      </c>
      <c r="C76" s="34">
        <v>4301051837</v>
      </c>
      <c r="D76" s="660">
        <v>4680115884311</v>
      </c>
      <c r="E76" s="66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2"/>
      <c r="R76" s="662"/>
      <c r="S76" s="662"/>
      <c r="T76" s="66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175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176</v>
      </c>
      <c r="B77" s="60" t="s">
        <v>177</v>
      </c>
      <c r="C77" s="34">
        <v>4301052083</v>
      </c>
      <c r="D77" s="660">
        <v>4680115884403</v>
      </c>
      <c r="E77" s="66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1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45" t="s">
        <v>178</v>
      </c>
      <c r="AG77" s="75"/>
      <c r="AJ77" s="79" t="s">
        <v>46</v>
      </c>
      <c r="AK77" s="79">
        <v>0</v>
      </c>
      <c r="BB77" s="146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54"/>
      <c r="B78" s="654"/>
      <c r="C78" s="654"/>
      <c r="D78" s="654"/>
      <c r="E78" s="654"/>
      <c r="F78" s="654"/>
      <c r="G78" s="654"/>
      <c r="H78" s="654"/>
      <c r="I78" s="654"/>
      <c r="J78" s="654"/>
      <c r="K78" s="654"/>
      <c r="L78" s="654"/>
      <c r="M78" s="654"/>
      <c r="N78" s="654"/>
      <c r="O78" s="655"/>
      <c r="P78" s="651" t="s">
        <v>40</v>
      </c>
      <c r="Q78" s="652"/>
      <c r="R78" s="652"/>
      <c r="S78" s="652"/>
      <c r="T78" s="652"/>
      <c r="U78" s="652"/>
      <c r="V78" s="65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54"/>
      <c r="B79" s="654"/>
      <c r="C79" s="654"/>
      <c r="D79" s="65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5"/>
      <c r="P79" s="651" t="s">
        <v>40</v>
      </c>
      <c r="Q79" s="652"/>
      <c r="R79" s="652"/>
      <c r="S79" s="652"/>
      <c r="T79" s="652"/>
      <c r="U79" s="652"/>
      <c r="V79" s="65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5" t="s">
        <v>179</v>
      </c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3"/>
      <c r="AB80" s="63"/>
      <c r="AC80" s="63"/>
    </row>
    <row r="81" spans="1:68" ht="27" customHeight="1" x14ac:dyDescent="0.25">
      <c r="A81" s="60" t="s">
        <v>180</v>
      </c>
      <c r="B81" s="60" t="s">
        <v>181</v>
      </c>
      <c r="C81" s="34">
        <v>4301060455</v>
      </c>
      <c r="D81" s="660">
        <v>4680115881532</v>
      </c>
      <c r="E81" s="66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2"/>
      <c r="R81" s="662"/>
      <c r="S81" s="662"/>
      <c r="T81" s="663"/>
      <c r="U81" s="37" t="s">
        <v>46</v>
      </c>
      <c r="V81" s="37" t="s">
        <v>46</v>
      </c>
      <c r="W81" s="38" t="s">
        <v>0</v>
      </c>
      <c r="X81" s="56">
        <v>20</v>
      </c>
      <c r="Y81" s="53">
        <f>IFERROR(IF(X81="",0,CEILING((X81/$H81),1)*$H81),"")</f>
        <v>23.4</v>
      </c>
      <c r="Z81" s="39">
        <f>IFERROR(IF(Y81=0,"",ROUNDUP(Y81/H81,0)*0.01898),"")</f>
        <v>5.6940000000000004E-2</v>
      </c>
      <c r="AA81" s="65" t="s">
        <v>46</v>
      </c>
      <c r="AB81" s="66" t="s">
        <v>46</v>
      </c>
      <c r="AC81" s="147" t="s">
        <v>182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21.051282051282055</v>
      </c>
      <c r="BN81" s="75">
        <f>IFERROR(Y81*I81/H81,"0")</f>
        <v>24.630000000000003</v>
      </c>
      <c r="BO81" s="75">
        <f>IFERROR(1/J81*(X81/H81),"0")</f>
        <v>4.0064102564102567E-2</v>
      </c>
      <c r="BP81" s="75">
        <f>IFERROR(1/J81*(Y81/H81),"0")</f>
        <v>4.6875E-2</v>
      </c>
    </row>
    <row r="82" spans="1:68" ht="27" hidden="1" customHeight="1" x14ac:dyDescent="0.25">
      <c r="A82" s="60" t="s">
        <v>180</v>
      </c>
      <c r="B82" s="60" t="s">
        <v>183</v>
      </c>
      <c r="C82" s="34">
        <v>4301060526</v>
      </c>
      <c r="D82" s="660">
        <v>4680115881532</v>
      </c>
      <c r="E82" s="66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127</v>
      </c>
      <c r="L82" s="35" t="s">
        <v>46</v>
      </c>
      <c r="M82" s="36" t="s">
        <v>97</v>
      </c>
      <c r="N82" s="36"/>
      <c r="O82" s="35">
        <v>30</v>
      </c>
      <c r="P82" s="91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2"/>
      <c r="R82" s="662"/>
      <c r="S82" s="662"/>
      <c r="T82" s="66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9" t="s">
        <v>182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4301060527</v>
      </c>
      <c r="D83" s="660">
        <v>4680115881464</v>
      </c>
      <c r="E83" s="66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134</v>
      </c>
      <c r="L83" s="35" t="s">
        <v>46</v>
      </c>
      <c r="M83" s="36" t="s">
        <v>90</v>
      </c>
      <c r="N83" s="36"/>
      <c r="O83" s="35">
        <v>30</v>
      </c>
      <c r="P83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2"/>
      <c r="R83" s="662"/>
      <c r="S83" s="662"/>
      <c r="T83" s="66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51" t="s">
        <v>186</v>
      </c>
      <c r="AG83" s="75"/>
      <c r="AJ83" s="79" t="s">
        <v>46</v>
      </c>
      <c r="AK83" s="79">
        <v>0</v>
      </c>
      <c r="BB83" s="152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54"/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5"/>
      <c r="P84" s="651" t="s">
        <v>40</v>
      </c>
      <c r="Q84" s="652"/>
      <c r="R84" s="652"/>
      <c r="S84" s="652"/>
      <c r="T84" s="652"/>
      <c r="U84" s="652"/>
      <c r="V84" s="653"/>
      <c r="W84" s="40" t="s">
        <v>39</v>
      </c>
      <c r="X84" s="41">
        <f>IFERROR(X81/H81,"0")+IFERROR(X82/H82,"0")+IFERROR(X83/H83,"0")</f>
        <v>2.5641025641025643</v>
      </c>
      <c r="Y84" s="41">
        <f>IFERROR(Y81/H81,"0")+IFERROR(Y82/H82,"0")+IFERROR(Y83/H83,"0")</f>
        <v>3</v>
      </c>
      <c r="Z84" s="41">
        <f>IFERROR(IF(Z81="",0,Z81),"0")+IFERROR(IF(Z82="",0,Z82),"0")+IFERROR(IF(Z83="",0,Z83),"0")</f>
        <v>5.6940000000000004E-2</v>
      </c>
      <c r="AA84" s="64"/>
      <c r="AB84" s="64"/>
      <c r="AC84" s="64"/>
    </row>
    <row r="85" spans="1:68" x14ac:dyDescent="0.2">
      <c r="A85" s="654"/>
      <c r="B85" s="654"/>
      <c r="C85" s="654"/>
      <c r="D85" s="654"/>
      <c r="E85" s="654"/>
      <c r="F85" s="654"/>
      <c r="G85" s="654"/>
      <c r="H85" s="654"/>
      <c r="I85" s="654"/>
      <c r="J85" s="654"/>
      <c r="K85" s="654"/>
      <c r="L85" s="654"/>
      <c r="M85" s="654"/>
      <c r="N85" s="654"/>
      <c r="O85" s="655"/>
      <c r="P85" s="651" t="s">
        <v>40</v>
      </c>
      <c r="Q85" s="652"/>
      <c r="R85" s="652"/>
      <c r="S85" s="652"/>
      <c r="T85" s="652"/>
      <c r="U85" s="652"/>
      <c r="V85" s="653"/>
      <c r="W85" s="40" t="s">
        <v>0</v>
      </c>
      <c r="X85" s="41">
        <f>IFERROR(SUM(X81:X83),"0")</f>
        <v>20</v>
      </c>
      <c r="Y85" s="41">
        <f>IFERROR(SUM(Y81:Y83),"0")</f>
        <v>23.4</v>
      </c>
      <c r="Z85" s="40"/>
      <c r="AA85" s="64"/>
      <c r="AB85" s="64"/>
      <c r="AC85" s="64"/>
    </row>
    <row r="86" spans="1:68" ht="16.5" hidden="1" customHeight="1" x14ac:dyDescent="0.25">
      <c r="A86" s="664" t="s">
        <v>187</v>
      </c>
      <c r="B86" s="664"/>
      <c r="C86" s="664"/>
      <c r="D86" s="664"/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  <c r="Y86" s="664"/>
      <c r="Z86" s="664"/>
      <c r="AA86" s="62"/>
      <c r="AB86" s="62"/>
      <c r="AC86" s="62"/>
    </row>
    <row r="87" spans="1:68" ht="14.25" hidden="1" customHeight="1" x14ac:dyDescent="0.25">
      <c r="A87" s="665" t="s">
        <v>122</v>
      </c>
      <c r="B87" s="665"/>
      <c r="C87" s="665"/>
      <c r="D87" s="665"/>
      <c r="E87" s="66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660">
        <v>4680115881327</v>
      </c>
      <c r="E88" s="66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127</v>
      </c>
      <c r="L88" s="35" t="s">
        <v>46</v>
      </c>
      <c r="M88" s="36" t="s">
        <v>97</v>
      </c>
      <c r="N88" s="36"/>
      <c r="O88" s="35">
        <v>50</v>
      </c>
      <c r="P88" s="9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220</v>
      </c>
      <c r="Y88" s="53">
        <f>IFERROR(IF(X88="",0,CEILING((X88/$H88),1)*$H88),"")</f>
        <v>226.8</v>
      </c>
      <c r="Z88" s="39">
        <f>IFERROR(IF(Y88=0,"",ROUNDUP(Y88/H88,0)*0.01898),"")</f>
        <v>0.39857999999999999</v>
      </c>
      <c r="AA88" s="65" t="s">
        <v>46</v>
      </c>
      <c r="AB88" s="66" t="s">
        <v>46</v>
      </c>
      <c r="AC88" s="153" t="s">
        <v>190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228.35185185185188</v>
      </c>
      <c r="BN88" s="75">
        <f>IFERROR(Y88*I88/H88,"0")</f>
        <v>235.41000000000003</v>
      </c>
      <c r="BO88" s="75">
        <f>IFERROR(1/J88*(X88/H88),"0")</f>
        <v>0.31828703703703703</v>
      </c>
      <c r="BP88" s="75">
        <f>IFERROR(1/J88*(Y88/H88),"0")</f>
        <v>0.328125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4301012392</v>
      </c>
      <c r="D89" s="660">
        <v>4680115887732</v>
      </c>
      <c r="E89" s="660"/>
      <c r="F89" s="59">
        <v>0.17</v>
      </c>
      <c r="G89" s="35">
        <v>8</v>
      </c>
      <c r="H89" s="59">
        <v>1.36</v>
      </c>
      <c r="I89" s="59">
        <v>1.54</v>
      </c>
      <c r="J89" s="35">
        <v>192</v>
      </c>
      <c r="K89" s="35" t="s">
        <v>131</v>
      </c>
      <c r="L89" s="35" t="s">
        <v>46</v>
      </c>
      <c r="M89" s="36" t="s">
        <v>81</v>
      </c>
      <c r="N89" s="36"/>
      <c r="O89" s="35">
        <v>30</v>
      </c>
      <c r="P89" s="90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55" t="s">
        <v>193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60">
        <v>4680115881518</v>
      </c>
      <c r="E90" s="66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90</v>
      </c>
      <c r="N90" s="36"/>
      <c r="O90" s="35">
        <v>50</v>
      </c>
      <c r="P90" s="90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2"/>
      <c r="R90" s="662"/>
      <c r="S90" s="662"/>
      <c r="T90" s="66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190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194</v>
      </c>
      <c r="B91" s="60" t="s">
        <v>196</v>
      </c>
      <c r="C91" s="34">
        <v>4301012252</v>
      </c>
      <c r="D91" s="660">
        <v>4680115881518</v>
      </c>
      <c r="E91" s="660"/>
      <c r="F91" s="59">
        <v>0.4</v>
      </c>
      <c r="G91" s="35">
        <v>10</v>
      </c>
      <c r="H91" s="59">
        <v>4</v>
      </c>
      <c r="I91" s="59">
        <v>4.1900000000000004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2"/>
      <c r="R91" s="662"/>
      <c r="S91" s="662"/>
      <c r="T91" s="66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190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197</v>
      </c>
      <c r="B92" s="60" t="s">
        <v>198</v>
      </c>
      <c r="C92" s="34">
        <v>4301012250</v>
      </c>
      <c r="D92" s="660">
        <v>4680115881303</v>
      </c>
      <c r="E92" s="660"/>
      <c r="F92" s="59">
        <v>0.45</v>
      </c>
      <c r="G92" s="35">
        <v>10</v>
      </c>
      <c r="H92" s="59">
        <v>4.5</v>
      </c>
      <c r="I92" s="59">
        <v>4.6900000000000004</v>
      </c>
      <c r="J92" s="35">
        <v>132</v>
      </c>
      <c r="K92" s="35" t="s">
        <v>134</v>
      </c>
      <c r="L92" s="35" t="s">
        <v>46</v>
      </c>
      <c r="M92" s="36" t="s">
        <v>126</v>
      </c>
      <c r="N92" s="36"/>
      <c r="O92" s="35">
        <v>50</v>
      </c>
      <c r="P92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2"/>
      <c r="R92" s="662"/>
      <c r="S92" s="662"/>
      <c r="T92" s="663"/>
      <c r="U92" s="37" t="s">
        <v>46</v>
      </c>
      <c r="V92" s="37" t="s">
        <v>46</v>
      </c>
      <c r="W92" s="38" t="s">
        <v>0</v>
      </c>
      <c r="X92" s="56">
        <v>450</v>
      </c>
      <c r="Y92" s="53">
        <f>IFERROR(IF(X92="",0,CEILING((X92/$H92),1)*$H92),"")</f>
        <v>450</v>
      </c>
      <c r="Z92" s="39">
        <f>IFERROR(IF(Y92=0,"",ROUNDUP(Y92/H92,0)*0.00902),"")</f>
        <v>0.90200000000000002</v>
      </c>
      <c r="AA92" s="65" t="s">
        <v>46</v>
      </c>
      <c r="AB92" s="66" t="s">
        <v>46</v>
      </c>
      <c r="AC92" s="161" t="s">
        <v>190</v>
      </c>
      <c r="AG92" s="75"/>
      <c r="AJ92" s="79" t="s">
        <v>46</v>
      </c>
      <c r="AK92" s="79">
        <v>0</v>
      </c>
      <c r="BB92" s="162" t="s">
        <v>67</v>
      </c>
      <c r="BM92" s="75">
        <f>IFERROR(X92*I92/H92,"0")</f>
        <v>469</v>
      </c>
      <c r="BN92" s="75">
        <f>IFERROR(Y92*I92/H92,"0")</f>
        <v>469</v>
      </c>
      <c r="BO92" s="75">
        <f>IFERROR(1/J92*(X92/H92),"0")</f>
        <v>0.75757575757575757</v>
      </c>
      <c r="BP92" s="75">
        <f>IFERROR(1/J92*(Y92/H92),"0")</f>
        <v>0.75757575757575757</v>
      </c>
    </row>
    <row r="93" spans="1:68" x14ac:dyDescent="0.2">
      <c r="A93" s="654"/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5"/>
      <c r="P93" s="651" t="s">
        <v>40</v>
      </c>
      <c r="Q93" s="652"/>
      <c r="R93" s="652"/>
      <c r="S93" s="652"/>
      <c r="T93" s="652"/>
      <c r="U93" s="652"/>
      <c r="V93" s="653"/>
      <c r="W93" s="40" t="s">
        <v>39</v>
      </c>
      <c r="X93" s="41">
        <f>IFERROR(X88/H88,"0")+IFERROR(X89/H89,"0")+IFERROR(X90/H90,"0")+IFERROR(X91/H91,"0")+IFERROR(X92/H92,"0")</f>
        <v>120.37037037037037</v>
      </c>
      <c r="Y93" s="41">
        <f>IFERROR(Y88/H88,"0")+IFERROR(Y89/H89,"0")+IFERROR(Y90/H90,"0")+IFERROR(Y91/H91,"0")+IFERROR(Y92/H92,"0")</f>
        <v>121</v>
      </c>
      <c r="Z93" s="41">
        <f>IFERROR(IF(Z88="",0,Z88),"0")+IFERROR(IF(Z89="",0,Z89),"0")+IFERROR(IF(Z90="",0,Z90),"0")+IFERROR(IF(Z91="",0,Z91),"0")+IFERROR(IF(Z92="",0,Z92),"0")</f>
        <v>1.3005800000000001</v>
      </c>
      <c r="AA93" s="64"/>
      <c r="AB93" s="64"/>
      <c r="AC93" s="64"/>
    </row>
    <row r="94" spans="1:68" x14ac:dyDescent="0.2">
      <c r="A94" s="654"/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5"/>
      <c r="P94" s="651" t="s">
        <v>40</v>
      </c>
      <c r="Q94" s="652"/>
      <c r="R94" s="652"/>
      <c r="S94" s="652"/>
      <c r="T94" s="652"/>
      <c r="U94" s="652"/>
      <c r="V94" s="653"/>
      <c r="W94" s="40" t="s">
        <v>0</v>
      </c>
      <c r="X94" s="41">
        <f>IFERROR(SUM(X88:X92),"0")</f>
        <v>670</v>
      </c>
      <c r="Y94" s="41">
        <f>IFERROR(SUM(Y88:Y92),"0")</f>
        <v>676.8</v>
      </c>
      <c r="Z94" s="40"/>
      <c r="AA94" s="64"/>
      <c r="AB94" s="64"/>
      <c r="AC94" s="64"/>
    </row>
    <row r="95" spans="1:68" ht="14.25" hidden="1" customHeight="1" x14ac:dyDescent="0.25">
      <c r="A95" s="665" t="s">
        <v>86</v>
      </c>
      <c r="B95" s="665"/>
      <c r="C95" s="665"/>
      <c r="D95" s="665"/>
      <c r="E95" s="66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3"/>
      <c r="AB95" s="63"/>
      <c r="AC95" s="63"/>
    </row>
    <row r="96" spans="1:68" ht="27" hidden="1" customHeight="1" x14ac:dyDescent="0.25">
      <c r="A96" s="60" t="s">
        <v>199</v>
      </c>
      <c r="B96" s="60" t="s">
        <v>200</v>
      </c>
      <c r="C96" s="34">
        <v>4301052101</v>
      </c>
      <c r="D96" s="660">
        <v>4607091386967</v>
      </c>
      <c r="E96" s="660"/>
      <c r="F96" s="59">
        <v>1.35</v>
      </c>
      <c r="G96" s="35">
        <v>6</v>
      </c>
      <c r="H96" s="59">
        <v>8.1</v>
      </c>
      <c r="I96" s="59">
        <v>8.5939999999999994</v>
      </c>
      <c r="J96" s="35">
        <v>64</v>
      </c>
      <c r="K96" s="35" t="s">
        <v>127</v>
      </c>
      <c r="L96" s="35" t="s">
        <v>46</v>
      </c>
      <c r="M96" s="36" t="s">
        <v>97</v>
      </c>
      <c r="N96" s="36"/>
      <c r="O96" s="35">
        <v>45</v>
      </c>
      <c r="P96" s="9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IFERROR(IF(Y96=0,"",ROUNDUP(Y96/H96,0)*0.01898),"")</f>
        <v/>
      </c>
      <c r="AA96" s="65" t="s">
        <v>46</v>
      </c>
      <c r="AB96" s="66" t="s">
        <v>46</v>
      </c>
      <c r="AC96" s="163" t="s">
        <v>201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202</v>
      </c>
      <c r="B97" s="60" t="s">
        <v>203</v>
      </c>
      <c r="C97" s="34">
        <v>4301052090</v>
      </c>
      <c r="D97" s="660">
        <v>4680115884953</v>
      </c>
      <c r="E97" s="660"/>
      <c r="F97" s="59">
        <v>0.37</v>
      </c>
      <c r="G97" s="35">
        <v>6</v>
      </c>
      <c r="H97" s="59">
        <v>2.2200000000000002</v>
      </c>
      <c r="I97" s="59">
        <v>2.472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204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27" customHeight="1" x14ac:dyDescent="0.25">
      <c r="A98" s="60" t="s">
        <v>205</v>
      </c>
      <c r="B98" s="60" t="s">
        <v>206</v>
      </c>
      <c r="C98" s="34">
        <v>4301052094</v>
      </c>
      <c r="D98" s="660">
        <v>4607091385731</v>
      </c>
      <c r="E98" s="66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0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90</v>
      </c>
      <c r="Y98" s="53">
        <f>IFERROR(IF(X98="",0,CEILING((X98/$H98),1)*$H98),"")</f>
        <v>91.800000000000011</v>
      </c>
      <c r="Z98" s="39">
        <f>IFERROR(IF(Y98=0,"",ROUNDUP(Y98/H98,0)*0.00651),"")</f>
        <v>0.22134000000000001</v>
      </c>
      <c r="AA98" s="65" t="s">
        <v>46</v>
      </c>
      <c r="AB98" s="66" t="s">
        <v>46</v>
      </c>
      <c r="AC98" s="167" t="s">
        <v>201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98.399999999999991</v>
      </c>
      <c r="BN98" s="75">
        <f>IFERROR(Y98*I98/H98,"0")</f>
        <v>100.36799999999999</v>
      </c>
      <c r="BO98" s="75">
        <f>IFERROR(1/J98*(X98/H98),"0")</f>
        <v>0.18315018315018314</v>
      </c>
      <c r="BP98" s="75">
        <f>IFERROR(1/J98*(Y98/H98),"0")</f>
        <v>0.18681318681318682</v>
      </c>
    </row>
    <row r="99" spans="1:68" ht="16.5" hidden="1" customHeight="1" x14ac:dyDescent="0.25">
      <c r="A99" s="60" t="s">
        <v>207</v>
      </c>
      <c r="B99" s="60" t="s">
        <v>208</v>
      </c>
      <c r="C99" s="34">
        <v>4301052092</v>
      </c>
      <c r="D99" s="660">
        <v>4680115880894</v>
      </c>
      <c r="E99" s="66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0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2"/>
      <c r="R99" s="662"/>
      <c r="S99" s="662"/>
      <c r="T99" s="663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209</v>
      </c>
      <c r="AG99" s="75"/>
      <c r="AJ99" s="79" t="s">
        <v>46</v>
      </c>
      <c r="AK99" s="79">
        <v>0</v>
      </c>
      <c r="BB99" s="170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1" t="s">
        <v>40</v>
      </c>
      <c r="Q100" s="652"/>
      <c r="R100" s="652"/>
      <c r="S100" s="652"/>
      <c r="T100" s="652"/>
      <c r="U100" s="652"/>
      <c r="V100" s="653"/>
      <c r="W100" s="40" t="s">
        <v>39</v>
      </c>
      <c r="X100" s="41">
        <f>IFERROR(X96/H96,"0")+IFERROR(X97/H97,"0")+IFERROR(X98/H98,"0")+IFERROR(X99/H99,"0")</f>
        <v>33.333333333333329</v>
      </c>
      <c r="Y100" s="41">
        <f>IFERROR(Y96/H96,"0")+IFERROR(Y97/H97,"0")+IFERROR(Y98/H98,"0")+IFERROR(Y99/H99,"0")</f>
        <v>34</v>
      </c>
      <c r="Z100" s="41">
        <f>IFERROR(IF(Z96="",0,Z96),"0")+IFERROR(IF(Z97="",0,Z97),"0")+IFERROR(IF(Z98="",0,Z98),"0")+IFERROR(IF(Z99="",0,Z99),"0")</f>
        <v>0.22134000000000001</v>
      </c>
      <c r="AA100" s="64"/>
      <c r="AB100" s="64"/>
      <c r="AC100" s="64"/>
    </row>
    <row r="101" spans="1:68" x14ac:dyDescent="0.2">
      <c r="A101" s="654"/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5"/>
      <c r="P101" s="651" t="s">
        <v>40</v>
      </c>
      <c r="Q101" s="652"/>
      <c r="R101" s="652"/>
      <c r="S101" s="652"/>
      <c r="T101" s="652"/>
      <c r="U101" s="652"/>
      <c r="V101" s="653"/>
      <c r="W101" s="40" t="s">
        <v>0</v>
      </c>
      <c r="X101" s="41">
        <f>IFERROR(SUM(X96:X99),"0")</f>
        <v>90</v>
      </c>
      <c r="Y101" s="41">
        <f>IFERROR(SUM(Y96:Y99),"0")</f>
        <v>91.800000000000011</v>
      </c>
      <c r="Z101" s="40"/>
      <c r="AA101" s="64"/>
      <c r="AB101" s="64"/>
      <c r="AC101" s="64"/>
    </row>
    <row r="102" spans="1:68" ht="16.5" hidden="1" customHeight="1" x14ac:dyDescent="0.25">
      <c r="A102" s="664" t="s">
        <v>210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2"/>
      <c r="AB102" s="62"/>
      <c r="AC102" s="62"/>
    </row>
    <row r="103" spans="1:68" ht="14.25" hidden="1" customHeight="1" x14ac:dyDescent="0.25">
      <c r="A103" s="665" t="s">
        <v>122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3"/>
      <c r="AB103" s="63"/>
      <c r="AC103" s="63"/>
    </row>
    <row r="104" spans="1:68" ht="37.5" customHeight="1" x14ac:dyDescent="0.25">
      <c r="A104" s="60" t="s">
        <v>211</v>
      </c>
      <c r="B104" s="60" t="s">
        <v>212</v>
      </c>
      <c r="C104" s="34">
        <v>4301011514</v>
      </c>
      <c r="D104" s="660">
        <v>4680115882133</v>
      </c>
      <c r="E104" s="660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50</v>
      </c>
      <c r="Y104" s="53">
        <f t="shared" ref="Y104:Y112" si="10">IFERROR(IF(X104="",0,CEILING((X104/$H104),1)*$H104),"")</f>
        <v>54</v>
      </c>
      <c r="Z104" s="39">
        <f>IFERROR(IF(Y104=0,"",ROUNDUP(Y104/H104,0)*0.01898),"")</f>
        <v>9.4899999999999998E-2</v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2" si="11">IFERROR(X104*I104/H104,"0")</f>
        <v>51.898148148148145</v>
      </c>
      <c r="BN104" s="75">
        <f t="shared" ref="BN104:BN112" si="12">IFERROR(Y104*I104/H104,"0")</f>
        <v>56.05</v>
      </c>
      <c r="BO104" s="75">
        <f t="shared" ref="BO104:BO112" si="13">IFERROR(1/J104*(X104/H104),"0")</f>
        <v>7.2337962962962965E-2</v>
      </c>
      <c r="BP104" s="75">
        <f t="shared" ref="BP104:BP112" si="14">IFERROR(1/J104*(Y104/H104),"0")</f>
        <v>7.8125E-2</v>
      </c>
    </row>
    <row r="105" spans="1:68" ht="27" hidden="1" customHeight="1" x14ac:dyDescent="0.25">
      <c r="A105" s="60" t="s">
        <v>211</v>
      </c>
      <c r="B105" s="60" t="s">
        <v>214</v>
      </c>
      <c r="C105" s="34">
        <v>4301012256</v>
      </c>
      <c r="D105" s="660">
        <v>4680115882133</v>
      </c>
      <c r="E105" s="660"/>
      <c r="F105" s="59">
        <v>1.35</v>
      </c>
      <c r="G105" s="35">
        <v>8</v>
      </c>
      <c r="H105" s="59">
        <v>10.8</v>
      </c>
      <c r="I105" s="59">
        <v>11.21</v>
      </c>
      <c r="J105" s="35">
        <v>64</v>
      </c>
      <c r="K105" s="35" t="s">
        <v>127</v>
      </c>
      <c r="L105" s="35" t="s">
        <v>46</v>
      </c>
      <c r="M105" s="36" t="s">
        <v>126</v>
      </c>
      <c r="N105" s="36"/>
      <c r="O105" s="35">
        <v>50</v>
      </c>
      <c r="P105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IFERROR(IF(Y105=0,"",ROUNDUP(Y105/H105,0)*0.01898),"")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217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89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8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219</v>
      </c>
      <c r="B108" s="60" t="s">
        <v>221</v>
      </c>
      <c r="C108" s="34">
        <v>4301012253</v>
      </c>
      <c r="D108" s="660">
        <v>4680115880269</v>
      </c>
      <c r="E108" s="660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customHeight="1" x14ac:dyDescent="0.25">
      <c r="A109" s="60" t="s">
        <v>222</v>
      </c>
      <c r="B109" s="60" t="s">
        <v>223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180</v>
      </c>
      <c r="Y109" s="53">
        <f t="shared" si="10"/>
        <v>180</v>
      </c>
      <c r="Z109" s="39">
        <f>IFERROR(IF(Y109=0,"",ROUNDUP(Y109/H109,0)*0.00902),"")</f>
        <v>0.36080000000000001</v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187.60000000000002</v>
      </c>
      <c r="BN109" s="75">
        <f t="shared" si="12"/>
        <v>187.60000000000002</v>
      </c>
      <c r="BO109" s="75">
        <f t="shared" si="13"/>
        <v>0.30303030303030304</v>
      </c>
      <c r="BP109" s="75">
        <f t="shared" si="14"/>
        <v>0.30303030303030304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27" hidden="1" customHeight="1" x14ac:dyDescent="0.25">
      <c r="A111" s="60" t="s">
        <v>224</v>
      </c>
      <c r="B111" s="60" t="s">
        <v>226</v>
      </c>
      <c r="C111" s="34">
        <v>4301012255</v>
      </c>
      <c r="D111" s="660">
        <v>4680115881457</v>
      </c>
      <c r="E111" s="660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126</v>
      </c>
      <c r="N111" s="36"/>
      <c r="O111" s="35">
        <v>50</v>
      </c>
      <c r="P111" s="89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2"/>
      <c r="R111" s="662"/>
      <c r="S111" s="662"/>
      <c r="T111" s="663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227</v>
      </c>
      <c r="B112" s="60" t="s">
        <v>228</v>
      </c>
      <c r="C112" s="34">
        <v>4301012366</v>
      </c>
      <c r="D112" s="660">
        <v>4680115889477</v>
      </c>
      <c r="E112" s="66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91</v>
      </c>
      <c r="L112" s="35" t="s">
        <v>46</v>
      </c>
      <c r="M112" s="36" t="s">
        <v>126</v>
      </c>
      <c r="N112" s="36"/>
      <c r="O112" s="35">
        <v>55</v>
      </c>
      <c r="P112" s="89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2"/>
      <c r="R112" s="662"/>
      <c r="S112" s="662"/>
      <c r="T112" s="66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7" t="s">
        <v>229</v>
      </c>
      <c r="AG112" s="75"/>
      <c r="AJ112" s="79" t="s">
        <v>46</v>
      </c>
      <c r="AK112" s="79">
        <v>0</v>
      </c>
      <c r="BB112" s="188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654"/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5"/>
      <c r="P113" s="651" t="s">
        <v>40</v>
      </c>
      <c r="Q113" s="652"/>
      <c r="R113" s="652"/>
      <c r="S113" s="652"/>
      <c r="T113" s="652"/>
      <c r="U113" s="652"/>
      <c r="V113" s="653"/>
      <c r="W113" s="40" t="s">
        <v>39</v>
      </c>
      <c r="X113" s="41">
        <f>IFERROR(X104/H104,"0")+IFERROR(X105/H105,"0")+IFERROR(X106/H106,"0")+IFERROR(X107/H107,"0")+IFERROR(X108/H108,"0")+IFERROR(X109/H109,"0")+IFERROR(X110/H110,"0")+IFERROR(X111/H111,"0")+IFERROR(X112/H112,"0")</f>
        <v>44.629629629629633</v>
      </c>
      <c r="Y113" s="41">
        <f>IFERROR(Y104/H104,"0")+IFERROR(Y105/H105,"0")+IFERROR(Y106/H106,"0")+IFERROR(Y107/H107,"0")+IFERROR(Y108/H108,"0")+IFERROR(Y109/H109,"0")+IFERROR(Y110/H110,"0")+IFERROR(Y111/H111,"0")+IFERROR(Y112/H112,"0")</f>
        <v>45</v>
      </c>
      <c r="Z113" s="41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0.45569999999999999</v>
      </c>
      <c r="AA113" s="64"/>
      <c r="AB113" s="64"/>
      <c r="AC113" s="64"/>
    </row>
    <row r="114" spans="1:68" x14ac:dyDescent="0.2">
      <c r="A114" s="654"/>
      <c r="B114" s="654"/>
      <c r="C114" s="654"/>
      <c r="D114" s="654"/>
      <c r="E114" s="654"/>
      <c r="F114" s="654"/>
      <c r="G114" s="654"/>
      <c r="H114" s="654"/>
      <c r="I114" s="654"/>
      <c r="J114" s="654"/>
      <c r="K114" s="654"/>
      <c r="L114" s="654"/>
      <c r="M114" s="654"/>
      <c r="N114" s="654"/>
      <c r="O114" s="655"/>
      <c r="P114" s="651" t="s">
        <v>40</v>
      </c>
      <c r="Q114" s="652"/>
      <c r="R114" s="652"/>
      <c r="S114" s="652"/>
      <c r="T114" s="652"/>
      <c r="U114" s="652"/>
      <c r="V114" s="653"/>
      <c r="W114" s="40" t="s">
        <v>0</v>
      </c>
      <c r="X114" s="41">
        <f>IFERROR(SUM(X104:X112),"0")</f>
        <v>230</v>
      </c>
      <c r="Y114" s="41">
        <f>IFERROR(SUM(Y104:Y112),"0")</f>
        <v>234</v>
      </c>
      <c r="Z114" s="40"/>
      <c r="AA114" s="64"/>
      <c r="AB114" s="64"/>
      <c r="AC114" s="64"/>
    </row>
    <row r="115" spans="1:68" ht="14.25" hidden="1" customHeight="1" x14ac:dyDescent="0.25">
      <c r="A115" s="665" t="s">
        <v>159</v>
      </c>
      <c r="B115" s="665"/>
      <c r="C115" s="665"/>
      <c r="D115" s="665"/>
      <c r="E115" s="66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3"/>
      <c r="AB115" s="63"/>
      <c r="AC115" s="63"/>
    </row>
    <row r="116" spans="1:68" ht="27" hidden="1" customHeight="1" x14ac:dyDescent="0.25">
      <c r="A116" s="60" t="s">
        <v>230</v>
      </c>
      <c r="B116" s="60" t="s">
        <v>231</v>
      </c>
      <c r="C116" s="34">
        <v>4301020391</v>
      </c>
      <c r="D116" s="660">
        <v>4680115881488</v>
      </c>
      <c r="E116" s="660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127</v>
      </c>
      <c r="L116" s="35" t="s">
        <v>46</v>
      </c>
      <c r="M116" s="36" t="s">
        <v>126</v>
      </c>
      <c r="N116" s="36"/>
      <c r="O116" s="35">
        <v>55</v>
      </c>
      <c r="P116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232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235</v>
      </c>
      <c r="B118" s="60" t="s">
        <v>236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4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1" t="s">
        <v>40</v>
      </c>
      <c r="Q119" s="652"/>
      <c r="R119" s="652"/>
      <c r="S119" s="652"/>
      <c r="T119" s="652"/>
      <c r="U119" s="652"/>
      <c r="V119" s="653"/>
      <c r="W119" s="40" t="s">
        <v>39</v>
      </c>
      <c r="X119" s="41">
        <f>IFERROR(X116/H116,"0")+IFERROR(X117/H117,"0")+IFERROR(X118/H118,"0")</f>
        <v>0</v>
      </c>
      <c r="Y119" s="41">
        <f>IFERROR(Y116/H116,"0")+IFERROR(Y117/H117,"0")+IFERROR(Y118/H118,"0")</f>
        <v>0</v>
      </c>
      <c r="Z119" s="41">
        <f>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1" t="s">
        <v>40</v>
      </c>
      <c r="Q120" s="652"/>
      <c r="R120" s="652"/>
      <c r="S120" s="652"/>
      <c r="T120" s="652"/>
      <c r="U120" s="652"/>
      <c r="V120" s="653"/>
      <c r="W120" s="40" t="s">
        <v>0</v>
      </c>
      <c r="X120" s="41">
        <f>IFERROR(SUM(X116:X118),"0")</f>
        <v>0</v>
      </c>
      <c r="Y120" s="41">
        <f>IFERROR(SUM(Y116:Y118),"0")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3"/>
      <c r="AB121" s="63"/>
      <c r="AC121" s="63"/>
    </row>
    <row r="122" spans="1:68" ht="27" customHeight="1" x14ac:dyDescent="0.25">
      <c r="A122" s="60" t="s">
        <v>237</v>
      </c>
      <c r="B122" s="60" t="s">
        <v>238</v>
      </c>
      <c r="C122" s="34">
        <v>4301052088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90</v>
      </c>
      <c r="N122" s="36"/>
      <c r="O122" s="35">
        <v>45</v>
      </c>
      <c r="P122" s="8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300</v>
      </c>
      <c r="Y122" s="53">
        <f>IFERROR(IF(X122="",0,CEILING((X122/$H122),1)*$H122),"")</f>
        <v>307.8</v>
      </c>
      <c r="Z122" s="39">
        <f>IFERROR(IF(Y122=0,"",ROUNDUP(Y122/H122,0)*0.01898),"")</f>
        <v>0.72123999999999999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318.07407407407402</v>
      </c>
      <c r="BN122" s="75">
        <f>IFERROR(Y122*I122/H122,"0")</f>
        <v>326.34399999999999</v>
      </c>
      <c r="BO122" s="75">
        <f>IFERROR(1/J122*(X122/H122),"0")</f>
        <v>0.57870370370370372</v>
      </c>
      <c r="BP122" s="75">
        <f>IFERROR(1/J122*(Y122/H122),"0")</f>
        <v>0.59375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4301052087</v>
      </c>
      <c r="D123" s="660">
        <v>4607091383256</v>
      </c>
      <c r="E123" s="66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239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242</v>
      </c>
      <c r="B124" s="60" t="s">
        <v>243</v>
      </c>
      <c r="C124" s="34">
        <v>4301052086</v>
      </c>
      <c r="D124" s="660">
        <v>4607091385748</v>
      </c>
      <c r="E124" s="66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1035</v>
      </c>
      <c r="Y124" s="53">
        <f>IFERROR(IF(X124="",0,CEILING((X124/$H124),1)*$H124),"")</f>
        <v>1036.8000000000002</v>
      </c>
      <c r="Z124" s="39">
        <f>IFERROR(IF(Y124=0,"",ROUNDUP(Y124/H124,0)*0.00651),"")</f>
        <v>2.4998399999999998</v>
      </c>
      <c r="AA124" s="65" t="s">
        <v>46</v>
      </c>
      <c r="AB124" s="66" t="s">
        <v>46</v>
      </c>
      <c r="AC124" s="199" t="s">
        <v>239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1131.5999999999999</v>
      </c>
      <c r="BN124" s="75">
        <f>IFERROR(Y124*I124/H124,"0")</f>
        <v>1133.5680000000002</v>
      </c>
      <c r="BO124" s="75">
        <f>IFERROR(1/J124*(X124/H124),"0")</f>
        <v>2.1062271062271063</v>
      </c>
      <c r="BP124" s="75">
        <f>IFERROR(1/J124*(Y124/H124),"0")</f>
        <v>2.1098901098901104</v>
      </c>
    </row>
    <row r="125" spans="1:68" ht="16.5" hidden="1" customHeight="1" x14ac:dyDescent="0.25">
      <c r="A125" s="60" t="s">
        <v>244</v>
      </c>
      <c r="B125" s="60" t="s">
        <v>245</v>
      </c>
      <c r="C125" s="34">
        <v>4301052085</v>
      </c>
      <c r="D125" s="660">
        <v>4680115884533</v>
      </c>
      <c r="E125" s="66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246</v>
      </c>
      <c r="AG125" s="75"/>
      <c r="AJ125" s="79" t="s">
        <v>46</v>
      </c>
      <c r="AK125" s="79">
        <v>0</v>
      </c>
      <c r="BB125" s="202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54"/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5"/>
      <c r="P126" s="651" t="s">
        <v>40</v>
      </c>
      <c r="Q126" s="652"/>
      <c r="R126" s="652"/>
      <c r="S126" s="652"/>
      <c r="T126" s="652"/>
      <c r="U126" s="652"/>
      <c r="V126" s="653"/>
      <c r="W126" s="40" t="s">
        <v>39</v>
      </c>
      <c r="X126" s="41">
        <f>IFERROR(X122/H122,"0")+IFERROR(X123/H123,"0")+IFERROR(X124/H124,"0")+IFERROR(X125/H125,"0")</f>
        <v>420.37037037037032</v>
      </c>
      <c r="Y126" s="41">
        <f>IFERROR(Y122/H122,"0")+IFERROR(Y123/H123,"0")+IFERROR(Y124/H124,"0")+IFERROR(Y125/H125,"0")</f>
        <v>422.00000000000006</v>
      </c>
      <c r="Z126" s="41">
        <f>IFERROR(IF(Z122="",0,Z122),"0")+IFERROR(IF(Z123="",0,Z123),"0")+IFERROR(IF(Z124="",0,Z124),"0")+IFERROR(IF(Z125="",0,Z125),"0")</f>
        <v>3.2210799999999997</v>
      </c>
      <c r="AA126" s="64"/>
      <c r="AB126" s="64"/>
      <c r="AC126" s="64"/>
    </row>
    <row r="127" spans="1:68" x14ac:dyDescent="0.2">
      <c r="A127" s="654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51" t="s">
        <v>40</v>
      </c>
      <c r="Q127" s="652"/>
      <c r="R127" s="652"/>
      <c r="S127" s="652"/>
      <c r="T127" s="652"/>
      <c r="U127" s="652"/>
      <c r="V127" s="653"/>
      <c r="W127" s="40" t="s">
        <v>0</v>
      </c>
      <c r="X127" s="41">
        <f>IFERROR(SUM(X122:X125),"0")</f>
        <v>1335</v>
      </c>
      <c r="Y127" s="41">
        <f>IFERROR(SUM(Y122:Y125),"0")</f>
        <v>1344.6000000000001</v>
      </c>
      <c r="Z127" s="40"/>
      <c r="AA127" s="64"/>
      <c r="AB127" s="64"/>
      <c r="AC127" s="64"/>
    </row>
    <row r="128" spans="1:68" ht="14.25" hidden="1" customHeight="1" x14ac:dyDescent="0.25">
      <c r="A128" s="665" t="s">
        <v>179</v>
      </c>
      <c r="B128" s="665"/>
      <c r="C128" s="665"/>
      <c r="D128" s="665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3"/>
      <c r="AB128" s="63"/>
      <c r="AC128" s="63"/>
    </row>
    <row r="129" spans="1:68" ht="16.5" customHeight="1" x14ac:dyDescent="0.25">
      <c r="A129" s="60" t="s">
        <v>247</v>
      </c>
      <c r="B129" s="60" t="s">
        <v>248</v>
      </c>
      <c r="C129" s="34">
        <v>4301060525</v>
      </c>
      <c r="D129" s="660">
        <v>4680115880238</v>
      </c>
      <c r="E129" s="66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2"/>
      <c r="R129" s="662"/>
      <c r="S129" s="662"/>
      <c r="T129" s="663"/>
      <c r="U129" s="37" t="s">
        <v>46</v>
      </c>
      <c r="V129" s="37" t="s">
        <v>46</v>
      </c>
      <c r="W129" s="38" t="s">
        <v>0</v>
      </c>
      <c r="X129" s="56">
        <v>50</v>
      </c>
      <c r="Y129" s="53">
        <f>IFERROR(IF(X129="",0,CEILING((X129/$H129),1)*$H129),"")</f>
        <v>51.48</v>
      </c>
      <c r="Z129" s="39">
        <f>IFERROR(IF(Y129=0,"",ROUNDUP(Y129/H129,0)*0.00651),"")</f>
        <v>0.16925999999999999</v>
      </c>
      <c r="AA129" s="65" t="s">
        <v>46</v>
      </c>
      <c r="AB129" s="66" t="s">
        <v>46</v>
      </c>
      <c r="AC129" s="203" t="s">
        <v>249</v>
      </c>
      <c r="AG129" s="75"/>
      <c r="AJ129" s="79" t="s">
        <v>46</v>
      </c>
      <c r="AK129" s="79">
        <v>0</v>
      </c>
      <c r="BB129" s="204" t="s">
        <v>67</v>
      </c>
      <c r="BM129" s="75">
        <f>IFERROR(X129*I129/H129,"0")</f>
        <v>56.515151515151516</v>
      </c>
      <c r="BN129" s="75">
        <f>IFERROR(Y129*I129/H129,"0")</f>
        <v>58.187999999999995</v>
      </c>
      <c r="BO129" s="75">
        <f>IFERROR(1/J129*(X129/H129),"0")</f>
        <v>0.13875013875013875</v>
      </c>
      <c r="BP129" s="75">
        <f>IFERROR(1/J129*(Y129/H129),"0")</f>
        <v>0.14285714285714288</v>
      </c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1" t="s">
        <v>40</v>
      </c>
      <c r="Q130" s="652"/>
      <c r="R130" s="652"/>
      <c r="S130" s="652"/>
      <c r="T130" s="652"/>
      <c r="U130" s="652"/>
      <c r="V130" s="653"/>
      <c r="W130" s="40" t="s">
        <v>39</v>
      </c>
      <c r="X130" s="41">
        <f>IFERROR(X129/H129,"0")</f>
        <v>25.252525252525253</v>
      </c>
      <c r="Y130" s="41">
        <f>IFERROR(Y129/H129,"0")</f>
        <v>26</v>
      </c>
      <c r="Z130" s="41">
        <f>IFERROR(IF(Z129="",0,Z129),"0")</f>
        <v>0.16925999999999999</v>
      </c>
      <c r="AA130" s="64"/>
      <c r="AB130" s="64"/>
      <c r="AC130" s="64"/>
    </row>
    <row r="131" spans="1:68" x14ac:dyDescent="0.2">
      <c r="A131" s="654"/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5"/>
      <c r="P131" s="651" t="s">
        <v>40</v>
      </c>
      <c r="Q131" s="652"/>
      <c r="R131" s="652"/>
      <c r="S131" s="652"/>
      <c r="T131" s="652"/>
      <c r="U131" s="652"/>
      <c r="V131" s="653"/>
      <c r="W131" s="40" t="s">
        <v>0</v>
      </c>
      <c r="X131" s="41">
        <f>IFERROR(SUM(X129:X129),"0")</f>
        <v>50</v>
      </c>
      <c r="Y131" s="41">
        <f>IFERROR(SUM(Y129:Y129),"0")</f>
        <v>51.48</v>
      </c>
      <c r="Z131" s="40"/>
      <c r="AA131" s="64"/>
      <c r="AB131" s="64"/>
      <c r="AC131" s="64"/>
    </row>
    <row r="132" spans="1:68" ht="16.5" hidden="1" customHeight="1" x14ac:dyDescent="0.25">
      <c r="A132" s="664" t="s">
        <v>250</v>
      </c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  <c r="Y132" s="664"/>
      <c r="Z132" s="664"/>
      <c r="AA132" s="62"/>
      <c r="AB132" s="62"/>
      <c r="AC132" s="62"/>
    </row>
    <row r="133" spans="1:68" ht="14.25" hidden="1" customHeight="1" x14ac:dyDescent="0.25">
      <c r="A133" s="665" t="s">
        <v>122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3"/>
      <c r="AB133" s="63"/>
      <c r="AC133" s="63"/>
    </row>
    <row r="134" spans="1:68" ht="27" hidden="1" customHeight="1" x14ac:dyDescent="0.25">
      <c r="A134" s="60" t="s">
        <v>251</v>
      </c>
      <c r="B134" s="60" t="s">
        <v>252</v>
      </c>
      <c r="C134" s="34">
        <v>4301011562</v>
      </c>
      <c r="D134" s="660">
        <v>4680115882577</v>
      </c>
      <c r="E134" s="660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254</v>
      </c>
      <c r="N134" s="36"/>
      <c r="O134" s="35">
        <v>90</v>
      </c>
      <c r="P134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2"/>
      <c r="R134" s="662"/>
      <c r="S134" s="662"/>
      <c r="T134" s="66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253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251</v>
      </c>
      <c r="B135" s="60" t="s">
        <v>255</v>
      </c>
      <c r="C135" s="34">
        <v>4301011564</v>
      </c>
      <c r="D135" s="660">
        <v>4680115882577</v>
      </c>
      <c r="E135" s="660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254</v>
      </c>
      <c r="N135" s="36"/>
      <c r="O135" s="35">
        <v>90</v>
      </c>
      <c r="P135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2"/>
      <c r="R135" s="662"/>
      <c r="S135" s="662"/>
      <c r="T135" s="663"/>
      <c r="U135" s="37" t="s">
        <v>46</v>
      </c>
      <c r="V135" s="37" t="s">
        <v>46</v>
      </c>
      <c r="W135" s="38" t="s">
        <v>0</v>
      </c>
      <c r="X135" s="56">
        <v>100</v>
      </c>
      <c r="Y135" s="53">
        <f>IFERROR(IF(X135="",0,CEILING((X135/$H135),1)*$H135),"")</f>
        <v>102.4</v>
      </c>
      <c r="Z135" s="39">
        <f>IFERROR(IF(Y135=0,"",ROUNDUP(Y135/H135,0)*0.00651),"")</f>
        <v>0.20832000000000001</v>
      </c>
      <c r="AA135" s="65" t="s">
        <v>46</v>
      </c>
      <c r="AB135" s="66" t="s">
        <v>46</v>
      </c>
      <c r="AC135" s="207" t="s">
        <v>253</v>
      </c>
      <c r="AG135" s="75"/>
      <c r="AJ135" s="79" t="s">
        <v>46</v>
      </c>
      <c r="AK135" s="79">
        <v>0</v>
      </c>
      <c r="BB135" s="208" t="s">
        <v>67</v>
      </c>
      <c r="BM135" s="75">
        <f>IFERROR(X135*I135/H135,"0")</f>
        <v>105.625</v>
      </c>
      <c r="BN135" s="75">
        <f>IFERROR(Y135*I135/H135,"0")</f>
        <v>108.16</v>
      </c>
      <c r="BO135" s="75">
        <f>IFERROR(1/J135*(X135/H135),"0")</f>
        <v>0.1717032967032967</v>
      </c>
      <c r="BP135" s="75">
        <f>IFERROR(1/J135*(Y135/H135),"0")</f>
        <v>0.17582417582417584</v>
      </c>
    </row>
    <row r="136" spans="1:68" x14ac:dyDescent="0.2">
      <c r="A136" s="654"/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5"/>
      <c r="P136" s="651" t="s">
        <v>40</v>
      </c>
      <c r="Q136" s="652"/>
      <c r="R136" s="652"/>
      <c r="S136" s="652"/>
      <c r="T136" s="652"/>
      <c r="U136" s="652"/>
      <c r="V136" s="653"/>
      <c r="W136" s="40" t="s">
        <v>39</v>
      </c>
      <c r="X136" s="41">
        <f>IFERROR(X134/H134,"0")+IFERROR(X135/H135,"0")</f>
        <v>31.25</v>
      </c>
      <c r="Y136" s="41">
        <f>IFERROR(Y134/H134,"0")+IFERROR(Y135/H135,"0")</f>
        <v>32</v>
      </c>
      <c r="Z136" s="41">
        <f>IFERROR(IF(Z134="",0,Z134),"0")+IFERROR(IF(Z135="",0,Z135),"0")</f>
        <v>0.20832000000000001</v>
      </c>
      <c r="AA136" s="64"/>
      <c r="AB136" s="64"/>
      <c r="AC136" s="64"/>
    </row>
    <row r="137" spans="1:68" x14ac:dyDescent="0.2">
      <c r="A137" s="654"/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5"/>
      <c r="P137" s="651" t="s">
        <v>40</v>
      </c>
      <c r="Q137" s="652"/>
      <c r="R137" s="652"/>
      <c r="S137" s="652"/>
      <c r="T137" s="652"/>
      <c r="U137" s="652"/>
      <c r="V137" s="653"/>
      <c r="W137" s="40" t="s">
        <v>0</v>
      </c>
      <c r="X137" s="41">
        <f>IFERROR(SUM(X134:X135),"0")</f>
        <v>100</v>
      </c>
      <c r="Y137" s="41">
        <f>IFERROR(SUM(Y134:Y135),"0")</f>
        <v>102.4</v>
      </c>
      <c r="Z137" s="40"/>
      <c r="AA137" s="64"/>
      <c r="AB137" s="64"/>
      <c r="AC137" s="64"/>
    </row>
    <row r="138" spans="1:68" ht="14.25" hidden="1" customHeight="1" x14ac:dyDescent="0.25">
      <c r="A138" s="665" t="s">
        <v>77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3"/>
      <c r="AB138" s="63"/>
      <c r="AC138" s="63"/>
    </row>
    <row r="139" spans="1:68" ht="27" customHeight="1" x14ac:dyDescent="0.25">
      <c r="A139" s="60" t="s">
        <v>256</v>
      </c>
      <c r="B139" s="60" t="s">
        <v>257</v>
      </c>
      <c r="C139" s="34">
        <v>4301031234</v>
      </c>
      <c r="D139" s="660">
        <v>4680115883444</v>
      </c>
      <c r="E139" s="660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254</v>
      </c>
      <c r="N139" s="36"/>
      <c r="O139" s="35">
        <v>90</v>
      </c>
      <c r="P139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88</v>
      </c>
      <c r="Y139" s="53">
        <f>IFERROR(IF(X139="",0,CEILING((X139/$H139),1)*$H139),"")</f>
        <v>89.6</v>
      </c>
      <c r="Z139" s="39">
        <f>IFERROR(IF(Y139=0,"",ROUNDUP(Y139/H139,0)*0.00651),"")</f>
        <v>0.20832000000000001</v>
      </c>
      <c r="AA139" s="65" t="s">
        <v>46</v>
      </c>
      <c r="AB139" s="66" t="s">
        <v>46</v>
      </c>
      <c r="AC139" s="209" t="s">
        <v>258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96.42285714285714</v>
      </c>
      <c r="BN139" s="75">
        <f>IFERROR(Y139*I139/H139,"0")</f>
        <v>98.175999999999988</v>
      </c>
      <c r="BO139" s="75">
        <f>IFERROR(1/J139*(X139/H139),"0")</f>
        <v>0.17268445839874413</v>
      </c>
      <c r="BP139" s="75">
        <f>IFERROR(1/J139*(Y139/H139),"0")</f>
        <v>0.17582417582417584</v>
      </c>
    </row>
    <row r="140" spans="1:68" ht="27" hidden="1" customHeight="1" x14ac:dyDescent="0.25">
      <c r="A140" s="60" t="s">
        <v>256</v>
      </c>
      <c r="B140" s="60" t="s">
        <v>259</v>
      </c>
      <c r="C140" s="34">
        <v>4301031235</v>
      </c>
      <c r="D140" s="660">
        <v>4680115883444</v>
      </c>
      <c r="E140" s="660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254</v>
      </c>
      <c r="N140" s="36"/>
      <c r="O140" s="35">
        <v>90</v>
      </c>
      <c r="P140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2"/>
      <c r="R140" s="662"/>
      <c r="S140" s="662"/>
      <c r="T140" s="663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1" t="s">
        <v>258</v>
      </c>
      <c r="AG140" s="75"/>
      <c r="AJ140" s="79" t="s">
        <v>46</v>
      </c>
      <c r="AK140" s="79">
        <v>0</v>
      </c>
      <c r="BB140" s="212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1" t="s">
        <v>40</v>
      </c>
      <c r="Q141" s="652"/>
      <c r="R141" s="652"/>
      <c r="S141" s="652"/>
      <c r="T141" s="652"/>
      <c r="U141" s="652"/>
      <c r="V141" s="653"/>
      <c r="W141" s="40" t="s">
        <v>39</v>
      </c>
      <c r="X141" s="41">
        <f>IFERROR(X139/H139,"0")+IFERROR(X140/H140,"0")</f>
        <v>31.428571428571431</v>
      </c>
      <c r="Y141" s="41">
        <f>IFERROR(Y139/H139,"0")+IFERROR(Y140/H140,"0")</f>
        <v>32</v>
      </c>
      <c r="Z141" s="41">
        <f>IFERROR(IF(Z139="",0,Z139),"0")+IFERROR(IF(Z140="",0,Z140),"0")</f>
        <v>0.20832000000000001</v>
      </c>
      <c r="AA141" s="64"/>
      <c r="AB141" s="64"/>
      <c r="AC141" s="64"/>
    </row>
    <row r="142" spans="1:68" x14ac:dyDescent="0.2">
      <c r="A142" s="654"/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5"/>
      <c r="P142" s="651" t="s">
        <v>40</v>
      </c>
      <c r="Q142" s="652"/>
      <c r="R142" s="652"/>
      <c r="S142" s="652"/>
      <c r="T142" s="652"/>
      <c r="U142" s="652"/>
      <c r="V142" s="653"/>
      <c r="W142" s="40" t="s">
        <v>0</v>
      </c>
      <c r="X142" s="41">
        <f>IFERROR(SUM(X139:X140),"0")</f>
        <v>88</v>
      </c>
      <c r="Y142" s="41">
        <f>IFERROR(SUM(Y139:Y140),"0")</f>
        <v>89.6</v>
      </c>
      <c r="Z142" s="40"/>
      <c r="AA142" s="64"/>
      <c r="AB142" s="64"/>
      <c r="AC142" s="64"/>
    </row>
    <row r="143" spans="1:68" ht="14.25" hidden="1" customHeight="1" x14ac:dyDescent="0.25">
      <c r="A143" s="665" t="s">
        <v>86</v>
      </c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3"/>
      <c r="AB143" s="63"/>
      <c r="AC143" s="63"/>
    </row>
    <row r="144" spans="1:68" ht="16.5" customHeight="1" x14ac:dyDescent="0.25">
      <c r="A144" s="60" t="s">
        <v>260</v>
      </c>
      <c r="B144" s="60" t="s">
        <v>261</v>
      </c>
      <c r="C144" s="34">
        <v>4301051476</v>
      </c>
      <c r="D144" s="660">
        <v>4680115882584</v>
      </c>
      <c r="E144" s="66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254</v>
      </c>
      <c r="N144" s="36"/>
      <c r="O144" s="35">
        <v>60</v>
      </c>
      <c r="P144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122</v>
      </c>
      <c r="Y144" s="53">
        <f>IFERROR(IF(X144="",0,CEILING((X144/$H144),1)*$H144),"")</f>
        <v>124.08000000000001</v>
      </c>
      <c r="Z144" s="39">
        <f>IFERROR(IF(Y144=0,"",ROUNDUP(Y144/H144,0)*0.00651),"")</f>
        <v>0.30597000000000002</v>
      </c>
      <c r="AA144" s="65" t="s">
        <v>46</v>
      </c>
      <c r="AB144" s="66" t="s">
        <v>46</v>
      </c>
      <c r="AC144" s="213" t="s">
        <v>253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134.38484848484848</v>
      </c>
      <c r="BN144" s="75">
        <f>IFERROR(Y144*I144/H144,"0")</f>
        <v>136.67600000000002</v>
      </c>
      <c r="BO144" s="75">
        <f>IFERROR(1/J144*(X144/H144),"0")</f>
        <v>0.25391275391275392</v>
      </c>
      <c r="BP144" s="75">
        <f>IFERROR(1/J144*(Y144/H144),"0")</f>
        <v>0.25824175824175827</v>
      </c>
    </row>
    <row r="145" spans="1:68" ht="16.5" hidden="1" customHeight="1" x14ac:dyDescent="0.25">
      <c r="A145" s="60" t="s">
        <v>260</v>
      </c>
      <c r="B145" s="60" t="s">
        <v>262</v>
      </c>
      <c r="C145" s="34">
        <v>4301051477</v>
      </c>
      <c r="D145" s="660">
        <v>4680115882584</v>
      </c>
      <c r="E145" s="660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254</v>
      </c>
      <c r="N145" s="36"/>
      <c r="O145" s="35">
        <v>60</v>
      </c>
      <c r="P145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2"/>
      <c r="R145" s="662"/>
      <c r="S145" s="662"/>
      <c r="T145" s="663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15" t="s">
        <v>253</v>
      </c>
      <c r="AG145" s="75"/>
      <c r="AJ145" s="79" t="s">
        <v>46</v>
      </c>
      <c r="AK145" s="79">
        <v>0</v>
      </c>
      <c r="BB145" s="216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1" t="s">
        <v>40</v>
      </c>
      <c r="Q146" s="652"/>
      <c r="R146" s="652"/>
      <c r="S146" s="652"/>
      <c r="T146" s="652"/>
      <c r="U146" s="652"/>
      <c r="V146" s="653"/>
      <c r="W146" s="40" t="s">
        <v>39</v>
      </c>
      <c r="X146" s="41">
        <f>IFERROR(X144/H144,"0")+IFERROR(X145/H145,"0")</f>
        <v>46.212121212121211</v>
      </c>
      <c r="Y146" s="41">
        <f>IFERROR(Y144/H144,"0")+IFERROR(Y145/H145,"0")</f>
        <v>47</v>
      </c>
      <c r="Z146" s="41">
        <f>IFERROR(IF(Z144="",0,Z144),"0")+IFERROR(IF(Z145="",0,Z145),"0")</f>
        <v>0.30597000000000002</v>
      </c>
      <c r="AA146" s="64"/>
      <c r="AB146" s="64"/>
      <c r="AC146" s="64"/>
    </row>
    <row r="147" spans="1:68" x14ac:dyDescent="0.2">
      <c r="A147" s="654"/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5"/>
      <c r="P147" s="651" t="s">
        <v>40</v>
      </c>
      <c r="Q147" s="652"/>
      <c r="R147" s="652"/>
      <c r="S147" s="652"/>
      <c r="T147" s="652"/>
      <c r="U147" s="652"/>
      <c r="V147" s="653"/>
      <c r="W147" s="40" t="s">
        <v>0</v>
      </c>
      <c r="X147" s="41">
        <f>IFERROR(SUM(X144:X145),"0")</f>
        <v>122</v>
      </c>
      <c r="Y147" s="41">
        <f>IFERROR(SUM(Y144:Y145),"0")</f>
        <v>124.08000000000001</v>
      </c>
      <c r="Z147" s="40"/>
      <c r="AA147" s="64"/>
      <c r="AB147" s="64"/>
      <c r="AC147" s="64"/>
    </row>
    <row r="148" spans="1:68" ht="16.5" hidden="1" customHeight="1" x14ac:dyDescent="0.25">
      <c r="A148" s="664" t="s">
        <v>263</v>
      </c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  <c r="Y148" s="664"/>
      <c r="Z148" s="664"/>
      <c r="AA148" s="62"/>
      <c r="AB148" s="62"/>
      <c r="AC148" s="62"/>
    </row>
    <row r="149" spans="1:68" ht="14.25" hidden="1" customHeight="1" x14ac:dyDescent="0.25">
      <c r="A149" s="665" t="s">
        <v>86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3"/>
      <c r="AB149" s="63"/>
      <c r="AC149" s="63"/>
    </row>
    <row r="150" spans="1:68" ht="27" hidden="1" customHeight="1" x14ac:dyDescent="0.25">
      <c r="A150" s="60" t="s">
        <v>264</v>
      </c>
      <c r="B150" s="60" t="s">
        <v>265</v>
      </c>
      <c r="C150" s="34">
        <v>4301052254</v>
      </c>
      <c r="D150" s="660">
        <v>4680115888203</v>
      </c>
      <c r="E150" s="660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2"/>
      <c r="R150" s="662"/>
      <c r="S150" s="662"/>
      <c r="T150" s="66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5" si="15">IFERROR(IF(X150="",0,CEILING((X150/$H150),1)*$H150),"")</f>
        <v>0</v>
      </c>
      <c r="Z150" s="39" t="str">
        <f t="shared" ref="Z150:Z155" si="16">IFERROR(IF(Y150=0,"",ROUNDUP(Y150/H150,0)*0.00651),"")</f>
        <v/>
      </c>
      <c r="AA150" s="65" t="s">
        <v>46</v>
      </c>
      <c r="AB150" s="66" t="s">
        <v>46</v>
      </c>
      <c r="AC150" s="217" t="s">
        <v>266</v>
      </c>
      <c r="AG150" s="75"/>
      <c r="AJ150" s="79" t="s">
        <v>46</v>
      </c>
      <c r="AK150" s="79">
        <v>0</v>
      </c>
      <c r="BB150" s="218" t="s">
        <v>67</v>
      </c>
      <c r="BM150" s="75">
        <f t="shared" ref="BM150:BM155" si="17">IFERROR(X150*I150/H150,"0")</f>
        <v>0</v>
      </c>
      <c r="BN150" s="75">
        <f t="shared" ref="BN150:BN155" si="18">IFERROR(Y150*I150/H150,"0")</f>
        <v>0</v>
      </c>
      <c r="BO150" s="75">
        <f t="shared" ref="BO150:BO155" si="19">IFERROR(1/J150*(X150/H150),"0")</f>
        <v>0</v>
      </c>
      <c r="BP150" s="75">
        <f t="shared" ref="BP150:BP155" si="20">IFERROR(1/J150*(Y150/H150),"0")</f>
        <v>0</v>
      </c>
    </row>
    <row r="151" spans="1:68" ht="27" hidden="1" customHeight="1" x14ac:dyDescent="0.25">
      <c r="A151" s="60" t="s">
        <v>267</v>
      </c>
      <c r="B151" s="60" t="s">
        <v>268</v>
      </c>
      <c r="C151" s="34">
        <v>4301052172</v>
      </c>
      <c r="D151" s="660">
        <v>4680115888180</v>
      </c>
      <c r="E151" s="66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2"/>
      <c r="R151" s="662"/>
      <c r="S151" s="662"/>
      <c r="T151" s="66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269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267</v>
      </c>
      <c r="B152" s="60" t="s">
        <v>270</v>
      </c>
      <c r="C152" s="34">
        <v>4301052252</v>
      </c>
      <c r="D152" s="660">
        <v>4680115888180</v>
      </c>
      <c r="E152" s="660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2"/>
      <c r="R152" s="662"/>
      <c r="S152" s="662"/>
      <c r="T152" s="66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269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t="27" hidden="1" customHeight="1" x14ac:dyDescent="0.25">
      <c r="A153" s="60" t="s">
        <v>271</v>
      </c>
      <c r="B153" s="60" t="s">
        <v>272</v>
      </c>
      <c r="C153" s="34">
        <v>4301052253</v>
      </c>
      <c r="D153" s="660">
        <v>4680115888197</v>
      </c>
      <c r="E153" s="66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2"/>
      <c r="R153" s="662"/>
      <c r="S153" s="662"/>
      <c r="T153" s="66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5"/>
        <v>0</v>
      </c>
      <c r="Z153" s="39" t="str">
        <f t="shared" si="16"/>
        <v/>
      </c>
      <c r="AA153" s="65" t="s">
        <v>46</v>
      </c>
      <c r="AB153" s="66" t="s">
        <v>46</v>
      </c>
      <c r="AC153" s="223" t="s">
        <v>273</v>
      </c>
      <c r="AG153" s="75"/>
      <c r="AJ153" s="79" t="s">
        <v>46</v>
      </c>
      <c r="AK153" s="79">
        <v>0</v>
      </c>
      <c r="BB153" s="224" t="s">
        <v>67</v>
      </c>
      <c r="BM153" s="75">
        <f t="shared" si="17"/>
        <v>0</v>
      </c>
      <c r="BN153" s="75">
        <f t="shared" si="18"/>
        <v>0</v>
      </c>
      <c r="BO153" s="75">
        <f t="shared" si="19"/>
        <v>0</v>
      </c>
      <c r="BP153" s="75">
        <f t="shared" si="20"/>
        <v>0</v>
      </c>
    </row>
    <row r="154" spans="1:68" ht="27" hidden="1" customHeight="1" x14ac:dyDescent="0.25">
      <c r="A154" s="60" t="s">
        <v>274</v>
      </c>
      <c r="B154" s="60" t="s">
        <v>275</v>
      </c>
      <c r="C154" s="34">
        <v>4301052175</v>
      </c>
      <c r="D154" s="660">
        <v>4680115888210</v>
      </c>
      <c r="E154" s="66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5"/>
        <v>0</v>
      </c>
      <c r="Z154" s="39" t="str">
        <f t="shared" si="16"/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si="17"/>
        <v>0</v>
      </c>
      <c r="BN154" s="75">
        <f t="shared" si="18"/>
        <v>0</v>
      </c>
      <c r="BO154" s="75">
        <f t="shared" si="19"/>
        <v>0</v>
      </c>
      <c r="BP154" s="75">
        <f t="shared" si="20"/>
        <v>0</v>
      </c>
    </row>
    <row r="155" spans="1:68" ht="27" hidden="1" customHeight="1" x14ac:dyDescent="0.25">
      <c r="A155" s="60" t="s">
        <v>274</v>
      </c>
      <c r="B155" s="60" t="s">
        <v>277</v>
      </c>
      <c r="C155" s="34">
        <v>4301052255</v>
      </c>
      <c r="D155" s="660">
        <v>4680115888210</v>
      </c>
      <c r="E155" s="66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 t="shared" si="16"/>
        <v/>
      </c>
      <c r="AA155" s="65" t="s">
        <v>46</v>
      </c>
      <c r="AB155" s="66" t="s">
        <v>46</v>
      </c>
      <c r="AC155" s="227" t="s">
        <v>276</v>
      </c>
      <c r="AG155" s="75"/>
      <c r="AJ155" s="79" t="s">
        <v>46</v>
      </c>
      <c r="AK155" s="79">
        <v>0</v>
      </c>
      <c r="BB155" s="228" t="s">
        <v>67</v>
      </c>
      <c r="BM155" s="75">
        <f t="shared" si="17"/>
        <v>0</v>
      </c>
      <c r="BN155" s="75">
        <f t="shared" si="18"/>
        <v>0</v>
      </c>
      <c r="BO155" s="75">
        <f t="shared" si="19"/>
        <v>0</v>
      </c>
      <c r="BP155" s="75">
        <f t="shared" si="20"/>
        <v>0</v>
      </c>
    </row>
    <row r="156" spans="1:68" hidden="1" x14ac:dyDescent="0.2">
      <c r="A156" s="654"/>
      <c r="B156" s="654"/>
      <c r="C156" s="654"/>
      <c r="D156" s="654"/>
      <c r="E156" s="654"/>
      <c r="F156" s="654"/>
      <c r="G156" s="654"/>
      <c r="H156" s="654"/>
      <c r="I156" s="654"/>
      <c r="J156" s="654"/>
      <c r="K156" s="654"/>
      <c r="L156" s="654"/>
      <c r="M156" s="654"/>
      <c r="N156" s="654"/>
      <c r="O156" s="655"/>
      <c r="P156" s="651" t="s">
        <v>40</v>
      </c>
      <c r="Q156" s="652"/>
      <c r="R156" s="652"/>
      <c r="S156" s="652"/>
      <c r="T156" s="652"/>
      <c r="U156" s="652"/>
      <c r="V156" s="653"/>
      <c r="W156" s="40" t="s">
        <v>39</v>
      </c>
      <c r="X156" s="41">
        <f>IFERROR(X150/H150,"0")+IFERROR(X151/H151,"0")+IFERROR(X152/H152,"0")+IFERROR(X153/H153,"0")+IFERROR(X154/H154,"0")+IFERROR(X155/H155,"0")</f>
        <v>0</v>
      </c>
      <c r="Y156" s="41">
        <f>IFERROR(Y150/H150,"0")+IFERROR(Y151/H151,"0")+IFERROR(Y152/H152,"0")+IFERROR(Y153/H153,"0")+IFERROR(Y154/H154,"0")+IFERROR(Y155/H155,"0")</f>
        <v>0</v>
      </c>
      <c r="Z156" s="41">
        <f>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54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51" t="s">
        <v>40</v>
      </c>
      <c r="Q157" s="652"/>
      <c r="R157" s="652"/>
      <c r="S157" s="652"/>
      <c r="T157" s="652"/>
      <c r="U157" s="652"/>
      <c r="V157" s="653"/>
      <c r="W157" s="40" t="s">
        <v>0</v>
      </c>
      <c r="X157" s="41">
        <f>IFERROR(SUM(X150:X155),"0")</f>
        <v>0</v>
      </c>
      <c r="Y157" s="41">
        <f>IFERROR(SUM(Y150:Y155),"0")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65" t="s">
        <v>278</v>
      </c>
      <c r="B158" s="665"/>
      <c r="C158" s="665"/>
      <c r="D158" s="665"/>
      <c r="E158" s="66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3"/>
      <c r="AB158" s="63"/>
      <c r="AC158" s="63"/>
    </row>
    <row r="159" spans="1:68" ht="27" hidden="1" customHeight="1" x14ac:dyDescent="0.25">
      <c r="A159" s="60" t="s">
        <v>279</v>
      </c>
      <c r="B159" s="60" t="s">
        <v>280</v>
      </c>
      <c r="C159" s="34">
        <v>4301032067</v>
      </c>
      <c r="D159" s="660">
        <v>4680115889132</v>
      </c>
      <c r="E159" s="66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284</v>
      </c>
      <c r="L159" s="35" t="s">
        <v>46</v>
      </c>
      <c r="M159" s="36" t="s">
        <v>283</v>
      </c>
      <c r="N159" s="36"/>
      <c r="O159" s="35">
        <v>120</v>
      </c>
      <c r="P159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281</v>
      </c>
      <c r="AG159" s="75"/>
      <c r="AJ159" s="79" t="s">
        <v>46</v>
      </c>
      <c r="AK159" s="79">
        <v>0</v>
      </c>
      <c r="BB159" s="230" t="s">
        <v>282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54"/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5"/>
      <c r="P160" s="651" t="s">
        <v>40</v>
      </c>
      <c r="Q160" s="652"/>
      <c r="R160" s="652"/>
      <c r="S160" s="652"/>
      <c r="T160" s="652"/>
      <c r="U160" s="652"/>
      <c r="V160" s="653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54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1" t="s">
        <v>40</v>
      </c>
      <c r="Q161" s="652"/>
      <c r="R161" s="652"/>
      <c r="S161" s="652"/>
      <c r="T161" s="652"/>
      <c r="U161" s="652"/>
      <c r="V161" s="653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64" t="s">
        <v>120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2"/>
      <c r="AB162" s="62"/>
      <c r="AC162" s="62"/>
    </row>
    <row r="163" spans="1:68" ht="14.25" hidden="1" customHeight="1" x14ac:dyDescent="0.25">
      <c r="A163" s="665" t="s">
        <v>122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3"/>
      <c r="AB163" s="63"/>
      <c r="AC163" s="63"/>
    </row>
    <row r="164" spans="1:68" ht="27" hidden="1" customHeight="1" x14ac:dyDescent="0.25">
      <c r="A164" s="60" t="s">
        <v>285</v>
      </c>
      <c r="B164" s="60" t="s">
        <v>286</v>
      </c>
      <c r="C164" s="34">
        <v>4301012338</v>
      </c>
      <c r="D164" s="660">
        <v>4680115887374</v>
      </c>
      <c r="E164" s="66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287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288</v>
      </c>
      <c r="B165" s="60" t="s">
        <v>289</v>
      </c>
      <c r="C165" s="34">
        <v>4301011705</v>
      </c>
      <c r="D165" s="660">
        <v>4607091384604</v>
      </c>
      <c r="E165" s="66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2"/>
      <c r="R165" s="662"/>
      <c r="S165" s="662"/>
      <c r="T165" s="66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290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27" hidden="1" customHeight="1" x14ac:dyDescent="0.25">
      <c r="A166" s="60" t="s">
        <v>288</v>
      </c>
      <c r="B166" s="60" t="s">
        <v>291</v>
      </c>
      <c r="C166" s="34">
        <v>4301012258</v>
      </c>
      <c r="D166" s="660">
        <v>4607091384604</v>
      </c>
      <c r="E166" s="660"/>
      <c r="F166" s="59">
        <v>0.4</v>
      </c>
      <c r="G166" s="35">
        <v>10</v>
      </c>
      <c r="H166" s="59">
        <v>4</v>
      </c>
      <c r="I166" s="59">
        <v>4.1900000000000004</v>
      </c>
      <c r="J166" s="35">
        <v>132</v>
      </c>
      <c r="K166" s="35" t="s">
        <v>134</v>
      </c>
      <c r="L166" s="35" t="s">
        <v>46</v>
      </c>
      <c r="M166" s="36" t="s">
        <v>126</v>
      </c>
      <c r="N166" s="36"/>
      <c r="O166" s="35">
        <v>50</v>
      </c>
      <c r="P166" s="86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2"/>
      <c r="R166" s="662"/>
      <c r="S166" s="662"/>
      <c r="T166" s="66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35" t="s">
        <v>290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292</v>
      </c>
      <c r="B167" s="60" t="s">
        <v>293</v>
      </c>
      <c r="C167" s="34">
        <v>4301012344</v>
      </c>
      <c r="D167" s="660">
        <v>4680115888876</v>
      </c>
      <c r="E167" s="660"/>
      <c r="F167" s="59">
        <v>0.43</v>
      </c>
      <c r="G167" s="35">
        <v>6</v>
      </c>
      <c r="H167" s="59">
        <v>2.58</v>
      </c>
      <c r="I167" s="59">
        <v>2.76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55</v>
      </c>
      <c r="P167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2"/>
      <c r="R167" s="662"/>
      <c r="S167" s="662"/>
      <c r="T167" s="66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7" t="s">
        <v>294</v>
      </c>
      <c r="AG167" s="75"/>
      <c r="AJ167" s="79" t="s">
        <v>46</v>
      </c>
      <c r="AK167" s="79">
        <v>0</v>
      </c>
      <c r="BB167" s="238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54"/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5"/>
      <c r="P168" s="651" t="s">
        <v>40</v>
      </c>
      <c r="Q168" s="652"/>
      <c r="R168" s="652"/>
      <c r="S168" s="652"/>
      <c r="T168" s="652"/>
      <c r="U168" s="652"/>
      <c r="V168" s="653"/>
      <c r="W168" s="40" t="s">
        <v>39</v>
      </c>
      <c r="X168" s="41">
        <f>IFERROR(X164/H164,"0")+IFERROR(X165/H165,"0")+IFERROR(X166/H166,"0")+IFERROR(X167/H167,"0")</f>
        <v>0</v>
      </c>
      <c r="Y168" s="41">
        <f>IFERROR(Y164/H164,"0")+IFERROR(Y165/H165,"0")+IFERROR(Y166/H166,"0")+IFERROR(Y167/H167,"0")</f>
        <v>0</v>
      </c>
      <c r="Z168" s="41">
        <f>IFERROR(IF(Z164="",0,Z164),"0")+IFERROR(IF(Z165="",0,Z165),"0")+IFERROR(IF(Z166="",0,Z166),"0")+IFERROR(IF(Z167="",0,Z167),"0")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54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51" t="s">
        <v>40</v>
      </c>
      <c r="Q169" s="652"/>
      <c r="R169" s="652"/>
      <c r="S169" s="652"/>
      <c r="T169" s="652"/>
      <c r="U169" s="652"/>
      <c r="V169" s="653"/>
      <c r="W169" s="40" t="s">
        <v>0</v>
      </c>
      <c r="X169" s="41">
        <f>IFERROR(SUM(X164:X167),"0")</f>
        <v>0</v>
      </c>
      <c r="Y169" s="41">
        <f>IFERROR(SUM(Y164:Y167),"0")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5" t="s">
        <v>159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3"/>
      <c r="AB170" s="63"/>
      <c r="AC170" s="63"/>
    </row>
    <row r="171" spans="1:68" ht="16.5" customHeight="1" x14ac:dyDescent="0.25">
      <c r="A171" s="60" t="s">
        <v>295</v>
      </c>
      <c r="B171" s="60" t="s">
        <v>296</v>
      </c>
      <c r="C171" s="34">
        <v>4301020410</v>
      </c>
      <c r="D171" s="660">
        <v>4680115887695</v>
      </c>
      <c r="E171" s="660"/>
      <c r="F171" s="59">
        <v>0.12</v>
      </c>
      <c r="G171" s="35">
        <v>6</v>
      </c>
      <c r="H171" s="59">
        <v>0.72</v>
      </c>
      <c r="I171" s="59">
        <v>0.85</v>
      </c>
      <c r="J171" s="35">
        <v>252</v>
      </c>
      <c r="K171" s="35" t="s">
        <v>82</v>
      </c>
      <c r="L171" s="35" t="s">
        <v>46</v>
      </c>
      <c r="M171" s="36" t="s">
        <v>81</v>
      </c>
      <c r="N171" s="36"/>
      <c r="O171" s="35">
        <v>30</v>
      </c>
      <c r="P171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14</v>
      </c>
      <c r="Y171" s="53">
        <f>IFERROR(IF(X171="",0,CEILING((X171/$H171),1)*$H171),"")</f>
        <v>14.399999999999999</v>
      </c>
      <c r="Z171" s="39">
        <f>IFERROR(IF(Y171=0,"",ROUNDUP(Y171/H171,0)*0.00556),"")</f>
        <v>0.11119999999999999</v>
      </c>
      <c r="AA171" s="65" t="s">
        <v>46</v>
      </c>
      <c r="AB171" s="66" t="s">
        <v>46</v>
      </c>
      <c r="AC171" s="239" t="s">
        <v>297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16.527777777777779</v>
      </c>
      <c r="BN171" s="75">
        <f>IFERROR(Y171*I171/H171,"0")</f>
        <v>17</v>
      </c>
      <c r="BO171" s="75">
        <f>IFERROR(1/J171*(X171/H171),"0")</f>
        <v>7.7160493827160503E-2</v>
      </c>
      <c r="BP171" s="75">
        <f>IFERROR(1/J171*(Y171/H171),"0")</f>
        <v>7.9365079365079361E-2</v>
      </c>
    </row>
    <row r="172" spans="1:68" ht="16.5" hidden="1" customHeight="1" x14ac:dyDescent="0.25">
      <c r="A172" s="60" t="s">
        <v>298</v>
      </c>
      <c r="B172" s="60" t="s">
        <v>299</v>
      </c>
      <c r="C172" s="34">
        <v>4301020439</v>
      </c>
      <c r="D172" s="660">
        <v>4680115889491</v>
      </c>
      <c r="E172" s="660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126</v>
      </c>
      <c r="N172" s="36"/>
      <c r="O172" s="35">
        <v>55</v>
      </c>
      <c r="P172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2"/>
      <c r="R172" s="662"/>
      <c r="S172" s="662"/>
      <c r="T172" s="66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41" t="s">
        <v>300</v>
      </c>
      <c r="AG172" s="75"/>
      <c r="AJ172" s="79" t="s">
        <v>46</v>
      </c>
      <c r="AK172" s="79">
        <v>0</v>
      </c>
      <c r="BB172" s="242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1" t="s">
        <v>40</v>
      </c>
      <c r="Q173" s="652"/>
      <c r="R173" s="652"/>
      <c r="S173" s="652"/>
      <c r="T173" s="652"/>
      <c r="U173" s="652"/>
      <c r="V173" s="653"/>
      <c r="W173" s="40" t="s">
        <v>39</v>
      </c>
      <c r="X173" s="41">
        <f>IFERROR(X171/H171,"0")+IFERROR(X172/H172,"0")</f>
        <v>19.444444444444446</v>
      </c>
      <c r="Y173" s="41">
        <f>IFERROR(Y171/H171,"0")+IFERROR(Y172/H172,"0")</f>
        <v>20</v>
      </c>
      <c r="Z173" s="41">
        <f>IFERROR(IF(Z171="",0,Z171),"0")+IFERROR(IF(Z172="",0,Z172),"0")</f>
        <v>0.11119999999999999</v>
      </c>
      <c r="AA173" s="64"/>
      <c r="AB173" s="64"/>
      <c r="AC173" s="64"/>
    </row>
    <row r="174" spans="1:68" x14ac:dyDescent="0.2">
      <c r="A174" s="654"/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5"/>
      <c r="P174" s="651" t="s">
        <v>40</v>
      </c>
      <c r="Q174" s="652"/>
      <c r="R174" s="652"/>
      <c r="S174" s="652"/>
      <c r="T174" s="652"/>
      <c r="U174" s="652"/>
      <c r="V174" s="653"/>
      <c r="W174" s="40" t="s">
        <v>0</v>
      </c>
      <c r="X174" s="41">
        <f>IFERROR(SUM(X171:X172),"0")</f>
        <v>14</v>
      </c>
      <c r="Y174" s="41">
        <f>IFERROR(SUM(Y171:Y172),"0")</f>
        <v>14.399999999999999</v>
      </c>
      <c r="Z174" s="40"/>
      <c r="AA174" s="64"/>
      <c r="AB174" s="64"/>
      <c r="AC174" s="64"/>
    </row>
    <row r="175" spans="1:68" ht="14.25" hidden="1" customHeight="1" x14ac:dyDescent="0.25">
      <c r="A175" s="665" t="s">
        <v>77</v>
      </c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3"/>
      <c r="AB175" s="63"/>
      <c r="AC175" s="63"/>
    </row>
    <row r="176" spans="1:68" ht="27" customHeight="1" x14ac:dyDescent="0.25">
      <c r="A176" s="60" t="s">
        <v>301</v>
      </c>
      <c r="B176" s="60" t="s">
        <v>302</v>
      </c>
      <c r="C176" s="34">
        <v>4301031496</v>
      </c>
      <c r="D176" s="660">
        <v>4680115887428</v>
      </c>
      <c r="E176" s="660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40</v>
      </c>
      <c r="P176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400</v>
      </c>
      <c r="Y176" s="53">
        <f t="shared" ref="Y176:Y186" si="21">IFERROR(IF(X176="",0,CEILING((X176/$H176),1)*$H176),"")</f>
        <v>402.5</v>
      </c>
      <c r="Z176" s="39">
        <f>IFERROR(IF(Y176=0,"",ROUNDUP(Y176/H176,0)*0.00902),"")</f>
        <v>1.0373000000000001</v>
      </c>
      <c r="AA176" s="65" t="s">
        <v>46</v>
      </c>
      <c r="AB176" s="66" t="s">
        <v>46</v>
      </c>
      <c r="AC176" s="243" t="s">
        <v>303</v>
      </c>
      <c r="AG176" s="75"/>
      <c r="AJ176" s="79" t="s">
        <v>46</v>
      </c>
      <c r="AK176" s="79">
        <v>0</v>
      </c>
      <c r="BB176" s="244" t="s">
        <v>67</v>
      </c>
      <c r="BM176" s="75">
        <f t="shared" ref="BM176:BM186" si="22">IFERROR(X176*I176/H176,"0")</f>
        <v>421.71428571428572</v>
      </c>
      <c r="BN176" s="75">
        <f t="shared" ref="BN176:BN186" si="23">IFERROR(Y176*I176/H176,"0")</f>
        <v>424.34999999999997</v>
      </c>
      <c r="BO176" s="75">
        <f t="shared" ref="BO176:BO186" si="24">IFERROR(1/J176*(X176/H176),"0")</f>
        <v>0.8658008658008659</v>
      </c>
      <c r="BP176" s="75">
        <f t="shared" ref="BP176:BP186" si="25">IFERROR(1/J176*(Y176/H176),"0")</f>
        <v>0.87121212121212122</v>
      </c>
    </row>
    <row r="177" spans="1:68" ht="27" hidden="1" customHeight="1" x14ac:dyDescent="0.25">
      <c r="A177" s="60" t="s">
        <v>304</v>
      </c>
      <c r="B177" s="60" t="s">
        <v>305</v>
      </c>
      <c r="C177" s="34">
        <v>4301031509</v>
      </c>
      <c r="D177" s="660">
        <v>4680115889170</v>
      </c>
      <c r="E177" s="660"/>
      <c r="F177" s="59">
        <v>0.7</v>
      </c>
      <c r="G177" s="35">
        <v>5</v>
      </c>
      <c r="H177" s="59">
        <v>3.5</v>
      </c>
      <c r="I177" s="59">
        <v>3.7650000000000001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2"/>
      <c r="R177" s="662"/>
      <c r="S177" s="662"/>
      <c r="T177" s="663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306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307</v>
      </c>
      <c r="B178" s="60" t="s">
        <v>308</v>
      </c>
      <c r="C178" s="34">
        <v>4301031522</v>
      </c>
      <c r="D178" s="660">
        <v>4680115887398</v>
      </c>
      <c r="E178" s="66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2"/>
      <c r="R178" s="662"/>
      <c r="S178" s="662"/>
      <c r="T178" s="663"/>
      <c r="U178" s="37" t="s">
        <v>46</v>
      </c>
      <c r="V178" s="37" t="s">
        <v>46</v>
      </c>
      <c r="W178" s="38" t="s">
        <v>0</v>
      </c>
      <c r="X178" s="56">
        <v>1000</v>
      </c>
      <c r="Y178" s="53">
        <f t="shared" si="21"/>
        <v>1001</v>
      </c>
      <c r="Z178" s="39">
        <f>IFERROR(IF(Y178=0,"",ROUNDUP(Y178/H178,0)*0.00902),"")</f>
        <v>2.57972</v>
      </c>
      <c r="AA178" s="65" t="s">
        <v>46</v>
      </c>
      <c r="AB178" s="66" t="s">
        <v>46</v>
      </c>
      <c r="AC178" s="247" t="s">
        <v>309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1054.2857142857142</v>
      </c>
      <c r="BN178" s="75">
        <f t="shared" si="23"/>
        <v>1055.3399999999999</v>
      </c>
      <c r="BO178" s="75">
        <f t="shared" si="24"/>
        <v>2.1645021645021645</v>
      </c>
      <c r="BP178" s="75">
        <f t="shared" si="25"/>
        <v>2.1666666666666665</v>
      </c>
    </row>
    <row r="179" spans="1:68" ht="27" customHeight="1" x14ac:dyDescent="0.25">
      <c r="A179" s="60" t="s">
        <v>310</v>
      </c>
      <c r="B179" s="60" t="s">
        <v>311</v>
      </c>
      <c r="C179" s="34">
        <v>4301031520</v>
      </c>
      <c r="D179" s="660">
        <v>4680115887336</v>
      </c>
      <c r="E179" s="660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134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2"/>
      <c r="R179" s="662"/>
      <c r="S179" s="662"/>
      <c r="T179" s="663"/>
      <c r="U179" s="37" t="s">
        <v>46</v>
      </c>
      <c r="V179" s="37" t="s">
        <v>46</v>
      </c>
      <c r="W179" s="38" t="s">
        <v>0</v>
      </c>
      <c r="X179" s="56">
        <v>1000</v>
      </c>
      <c r="Y179" s="53">
        <f t="shared" si="21"/>
        <v>1001</v>
      </c>
      <c r="Z179" s="39">
        <f>IFERROR(IF(Y179=0,"",ROUNDUP(Y179/H179,0)*0.00902),"")</f>
        <v>2.57972</v>
      </c>
      <c r="AA179" s="65" t="s">
        <v>46</v>
      </c>
      <c r="AB179" s="66" t="s">
        <v>46</v>
      </c>
      <c r="AC179" s="249" t="s">
        <v>312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1054.2857142857142</v>
      </c>
      <c r="BN179" s="75">
        <f t="shared" si="23"/>
        <v>1055.3399999999999</v>
      </c>
      <c r="BO179" s="75">
        <f t="shared" si="24"/>
        <v>2.1645021645021645</v>
      </c>
      <c r="BP179" s="75">
        <f t="shared" si="25"/>
        <v>2.1666666666666665</v>
      </c>
    </row>
    <row r="180" spans="1:68" ht="16.5" customHeight="1" x14ac:dyDescent="0.25">
      <c r="A180" s="60" t="s">
        <v>313</v>
      </c>
      <c r="B180" s="60" t="s">
        <v>314</v>
      </c>
      <c r="C180" s="34">
        <v>4301032049</v>
      </c>
      <c r="D180" s="660">
        <v>4680115887787</v>
      </c>
      <c r="E180" s="660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16</v>
      </c>
      <c r="Y180" s="53">
        <f t="shared" si="21"/>
        <v>16.2</v>
      </c>
      <c r="Z180" s="39">
        <f>IFERROR(IF(Y180=0,"",ROUNDUP(Y180/H180,0)*0.00417),"")</f>
        <v>7.5060000000000002E-2</v>
      </c>
      <c r="AA180" s="65" t="s">
        <v>46</v>
      </c>
      <c r="AB180" s="66" t="s">
        <v>46</v>
      </c>
      <c r="AC180" s="251" t="s">
        <v>315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19.733333333333334</v>
      </c>
      <c r="BN180" s="75">
        <f t="shared" si="23"/>
        <v>19.98</v>
      </c>
      <c r="BO180" s="75">
        <f t="shared" si="24"/>
        <v>5.2910052910052907E-2</v>
      </c>
      <c r="BP180" s="75">
        <f t="shared" si="25"/>
        <v>5.3571428571428568E-2</v>
      </c>
    </row>
    <row r="181" spans="1:68" ht="16.5" hidden="1" customHeight="1" x14ac:dyDescent="0.25">
      <c r="A181" s="60" t="s">
        <v>313</v>
      </c>
      <c r="B181" s="60" t="s">
        <v>316</v>
      </c>
      <c r="C181" s="34">
        <v>4301031528</v>
      </c>
      <c r="D181" s="660">
        <v>4680115887787</v>
      </c>
      <c r="E181" s="66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192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6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IFERROR(IF(Y181=0,"",ROUNDUP(Y181/H181,0)*0.00726),"")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317</v>
      </c>
      <c r="B182" s="60" t="s">
        <v>318</v>
      </c>
      <c r="C182" s="34">
        <v>4301031448</v>
      </c>
      <c r="D182" s="660">
        <v>4680115887503</v>
      </c>
      <c r="E182" s="66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6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448</v>
      </c>
      <c r="Y182" s="53">
        <f t="shared" si="21"/>
        <v>448.56</v>
      </c>
      <c r="Z182" s="39">
        <f>IFERROR(IF(Y182=0,"",ROUNDUP(Y182/H182,0)*0.00502),"")</f>
        <v>1.3403400000000001</v>
      </c>
      <c r="AA182" s="65" t="s">
        <v>46</v>
      </c>
      <c r="AB182" s="66" t="s">
        <v>46</v>
      </c>
      <c r="AC182" s="255" t="s">
        <v>303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474.66666666666674</v>
      </c>
      <c r="BN182" s="75">
        <f t="shared" si="23"/>
        <v>475.26000000000005</v>
      </c>
      <c r="BO182" s="75">
        <f t="shared" si="24"/>
        <v>1.1396011396011398</v>
      </c>
      <c r="BP182" s="75">
        <f t="shared" si="25"/>
        <v>1.1410256410256412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4301031389</v>
      </c>
      <c r="D183" s="660">
        <v>4680115887763</v>
      </c>
      <c r="E183" s="660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4301031521</v>
      </c>
      <c r="D184" s="660">
        <v>4680115887480</v>
      </c>
      <c r="E184" s="660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1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309</v>
      </c>
      <c r="AG184" s="75"/>
      <c r="AJ184" s="79" t="s">
        <v>46</v>
      </c>
      <c r="AK184" s="79">
        <v>0</v>
      </c>
      <c r="BB184" s="260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customHeight="1" x14ac:dyDescent="0.25">
      <c r="A185" s="60" t="s">
        <v>324</v>
      </c>
      <c r="B185" s="60" t="s">
        <v>325</v>
      </c>
      <c r="C185" s="34">
        <v>4301031434</v>
      </c>
      <c r="D185" s="660">
        <v>4680115888067</v>
      </c>
      <c r="E185" s="660"/>
      <c r="F185" s="59">
        <v>0.09</v>
      </c>
      <c r="G185" s="35">
        <v>10</v>
      </c>
      <c r="H185" s="59">
        <v>0.9</v>
      </c>
      <c r="I185" s="59">
        <v>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3</v>
      </c>
      <c r="Y185" s="53">
        <f t="shared" si="21"/>
        <v>3.6</v>
      </c>
      <c r="Z185" s="39">
        <f>IFERROR(IF(Y185=0,"",ROUNDUP(Y185/H185,0)*0.00417),"")</f>
        <v>1.668E-2</v>
      </c>
      <c r="AA185" s="65" t="s">
        <v>46</v>
      </c>
      <c r="AB185" s="66" t="s">
        <v>46</v>
      </c>
      <c r="AC185" s="261" t="s">
        <v>326</v>
      </c>
      <c r="AG185" s="75"/>
      <c r="AJ185" s="79" t="s">
        <v>46</v>
      </c>
      <c r="AK185" s="79">
        <v>0</v>
      </c>
      <c r="BB185" s="262" t="s">
        <v>67</v>
      </c>
      <c r="BM185" s="75">
        <f t="shared" si="22"/>
        <v>3.333333333333333</v>
      </c>
      <c r="BN185" s="75">
        <f t="shared" si="23"/>
        <v>4</v>
      </c>
      <c r="BO185" s="75">
        <f t="shared" si="24"/>
        <v>9.9206349206349183E-3</v>
      </c>
      <c r="BP185" s="75">
        <f t="shared" si="25"/>
        <v>1.1904761904761904E-2</v>
      </c>
    </row>
    <row r="186" spans="1:68" ht="27" customHeight="1" x14ac:dyDescent="0.25">
      <c r="A186" s="60" t="s">
        <v>327</v>
      </c>
      <c r="B186" s="60" t="s">
        <v>328</v>
      </c>
      <c r="C186" s="34">
        <v>4301031519</v>
      </c>
      <c r="D186" s="660">
        <v>4680115887435</v>
      </c>
      <c r="E186" s="660"/>
      <c r="F186" s="59">
        <v>0.28000000000000003</v>
      </c>
      <c r="G186" s="35">
        <v>6</v>
      </c>
      <c r="H186" s="59">
        <v>1.68</v>
      </c>
      <c r="I186" s="59">
        <v>1.78</v>
      </c>
      <c r="J186" s="35">
        <v>234</v>
      </c>
      <c r="K186" s="35" t="s">
        <v>82</v>
      </c>
      <c r="L186" s="35" t="s">
        <v>46</v>
      </c>
      <c r="M186" s="36" t="s">
        <v>81</v>
      </c>
      <c r="N186" s="36"/>
      <c r="O186" s="35">
        <v>45</v>
      </c>
      <c r="P186" s="8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336</v>
      </c>
      <c r="Y186" s="53">
        <f t="shared" si="21"/>
        <v>336</v>
      </c>
      <c r="Z186" s="39">
        <f>IFERROR(IF(Y186=0,"",ROUNDUP(Y186/H186,0)*0.00502),"")</f>
        <v>1.004</v>
      </c>
      <c r="AA186" s="65" t="s">
        <v>46</v>
      </c>
      <c r="AB186" s="66" t="s">
        <v>46</v>
      </c>
      <c r="AC186" s="263" t="s">
        <v>312</v>
      </c>
      <c r="AG186" s="75"/>
      <c r="AJ186" s="79" t="s">
        <v>46</v>
      </c>
      <c r="AK186" s="79">
        <v>0</v>
      </c>
      <c r="BB186" s="264" t="s">
        <v>67</v>
      </c>
      <c r="BM186" s="75">
        <f t="shared" si="22"/>
        <v>356.00000000000006</v>
      </c>
      <c r="BN186" s="75">
        <f t="shared" si="23"/>
        <v>356.00000000000006</v>
      </c>
      <c r="BO186" s="75">
        <f t="shared" si="24"/>
        <v>0.85470085470085477</v>
      </c>
      <c r="BP186" s="75">
        <f t="shared" si="25"/>
        <v>0.85470085470085477</v>
      </c>
    </row>
    <row r="187" spans="1:68" x14ac:dyDescent="0.2">
      <c r="A187" s="654"/>
      <c r="B187" s="654"/>
      <c r="C187" s="654"/>
      <c r="D187" s="654"/>
      <c r="E187" s="654"/>
      <c r="F187" s="654"/>
      <c r="G187" s="654"/>
      <c r="H187" s="654"/>
      <c r="I187" s="654"/>
      <c r="J187" s="654"/>
      <c r="K187" s="654"/>
      <c r="L187" s="654"/>
      <c r="M187" s="654"/>
      <c r="N187" s="654"/>
      <c r="O187" s="655"/>
      <c r="P187" s="651" t="s">
        <v>40</v>
      </c>
      <c r="Q187" s="652"/>
      <c r="R187" s="652"/>
      <c r="S187" s="652"/>
      <c r="T187" s="652"/>
      <c r="U187" s="652"/>
      <c r="V187" s="653"/>
      <c r="W187" s="40" t="s">
        <v>39</v>
      </c>
      <c r="X187" s="41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1173.4920634920636</v>
      </c>
      <c r="Y187" s="41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1176</v>
      </c>
      <c r="Z187" s="41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8.6328200000000006</v>
      </c>
      <c r="AA187" s="64"/>
      <c r="AB187" s="64"/>
      <c r="AC187" s="64"/>
    </row>
    <row r="188" spans="1:68" x14ac:dyDescent="0.2">
      <c r="A188" s="654"/>
      <c r="B188" s="654"/>
      <c r="C188" s="654"/>
      <c r="D188" s="654"/>
      <c r="E188" s="654"/>
      <c r="F188" s="654"/>
      <c r="G188" s="654"/>
      <c r="H188" s="654"/>
      <c r="I188" s="654"/>
      <c r="J188" s="654"/>
      <c r="K188" s="654"/>
      <c r="L188" s="654"/>
      <c r="M188" s="654"/>
      <c r="N188" s="654"/>
      <c r="O188" s="655"/>
      <c r="P188" s="651" t="s">
        <v>40</v>
      </c>
      <c r="Q188" s="652"/>
      <c r="R188" s="652"/>
      <c r="S188" s="652"/>
      <c r="T188" s="652"/>
      <c r="U188" s="652"/>
      <c r="V188" s="653"/>
      <c r="W188" s="40" t="s">
        <v>0</v>
      </c>
      <c r="X188" s="41">
        <f>IFERROR(SUM(X176:X186),"0")</f>
        <v>3203</v>
      </c>
      <c r="Y188" s="41">
        <f>IFERROR(SUM(Y176:Y186),"0")</f>
        <v>3208.8599999999997</v>
      </c>
      <c r="Z188" s="40"/>
      <c r="AA188" s="64"/>
      <c r="AB188" s="64"/>
      <c r="AC188" s="64"/>
    </row>
    <row r="189" spans="1:68" ht="14.25" hidden="1" customHeight="1" x14ac:dyDescent="0.25">
      <c r="A189" s="665" t="s">
        <v>86</v>
      </c>
      <c r="B189" s="665"/>
      <c r="C189" s="665"/>
      <c r="D189" s="665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3"/>
      <c r="AB189" s="63"/>
      <c r="AC189" s="63"/>
    </row>
    <row r="190" spans="1:68" ht="16.5" hidden="1" customHeight="1" x14ac:dyDescent="0.25">
      <c r="A190" s="60" t="s">
        <v>329</v>
      </c>
      <c r="B190" s="60" t="s">
        <v>330</v>
      </c>
      <c r="C190" s="34">
        <v>4301052193</v>
      </c>
      <c r="D190" s="660">
        <v>4680115888395</v>
      </c>
      <c r="E190" s="66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331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16.5" hidden="1" customHeight="1" x14ac:dyDescent="0.25">
      <c r="A191" s="60" t="s">
        <v>332</v>
      </c>
      <c r="B191" s="60" t="s">
        <v>333</v>
      </c>
      <c r="C191" s="34">
        <v>4301052191</v>
      </c>
      <c r="D191" s="660">
        <v>4680115888371</v>
      </c>
      <c r="E191" s="660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334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335</v>
      </c>
      <c r="B192" s="60" t="s">
        <v>336</v>
      </c>
      <c r="C192" s="34">
        <v>4301052064</v>
      </c>
      <c r="D192" s="660">
        <v>4680115887459</v>
      </c>
      <c r="E192" s="660"/>
      <c r="F192" s="59">
        <v>0.3</v>
      </c>
      <c r="G192" s="35">
        <v>6</v>
      </c>
      <c r="H192" s="59">
        <v>1.8</v>
      </c>
      <c r="I192" s="59">
        <v>2.0579999999999998</v>
      </c>
      <c r="J192" s="35">
        <v>182</v>
      </c>
      <c r="K192" s="35" t="s">
        <v>91</v>
      </c>
      <c r="L192" s="35" t="s">
        <v>46</v>
      </c>
      <c r="M192" s="36" t="s">
        <v>90</v>
      </c>
      <c r="N192" s="36"/>
      <c r="O192" s="35">
        <v>45</v>
      </c>
      <c r="P192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2"/>
      <c r="R192" s="662"/>
      <c r="S192" s="662"/>
      <c r="T192" s="663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9" t="s">
        <v>337</v>
      </c>
      <c r="AG192" s="75"/>
      <c r="AJ192" s="79" t="s">
        <v>46</v>
      </c>
      <c r="AK192" s="79">
        <v>0</v>
      </c>
      <c r="BB192" s="270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1" t="s">
        <v>40</v>
      </c>
      <c r="Q193" s="652"/>
      <c r="R193" s="652"/>
      <c r="S193" s="652"/>
      <c r="T193" s="652"/>
      <c r="U193" s="652"/>
      <c r="V193" s="653"/>
      <c r="W193" s="40" t="s">
        <v>39</v>
      </c>
      <c r="X193" s="41">
        <f>IFERROR(X190/H190,"0")+IFERROR(X191/H191,"0")+IFERROR(X192/H192,"0")</f>
        <v>0</v>
      </c>
      <c r="Y193" s="41">
        <f>IFERROR(Y190/H190,"0")+IFERROR(Y191/H191,"0")+IFERROR(Y192/H192,"0")</f>
        <v>0</v>
      </c>
      <c r="Z193" s="41">
        <f>IFERROR(IF(Z190="",0,Z190),"0")+IFERROR(IF(Z191="",0,Z191),"0")+IFERROR(IF(Z192="",0,Z192),"0")</f>
        <v>0</v>
      </c>
      <c r="AA193" s="64"/>
      <c r="AB193" s="64"/>
      <c r="AC193" s="64"/>
    </row>
    <row r="194" spans="1:68" hidden="1" x14ac:dyDescent="0.2">
      <c r="A194" s="654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51" t="s">
        <v>40</v>
      </c>
      <c r="Q194" s="652"/>
      <c r="R194" s="652"/>
      <c r="S194" s="652"/>
      <c r="T194" s="652"/>
      <c r="U194" s="652"/>
      <c r="V194" s="653"/>
      <c r="W194" s="40" t="s">
        <v>0</v>
      </c>
      <c r="X194" s="41">
        <f>IFERROR(SUM(X190:X192),"0")</f>
        <v>0</v>
      </c>
      <c r="Y194" s="41">
        <f>IFERROR(SUM(Y190:Y192),"0")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65" t="s">
        <v>278</v>
      </c>
      <c r="B195" s="665"/>
      <c r="C195" s="665"/>
      <c r="D195" s="665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3"/>
      <c r="AB195" s="63"/>
      <c r="AC195" s="63"/>
    </row>
    <row r="196" spans="1:68" ht="16.5" hidden="1" customHeight="1" x14ac:dyDescent="0.25">
      <c r="A196" s="60" t="s">
        <v>338</v>
      </c>
      <c r="B196" s="60" t="s">
        <v>339</v>
      </c>
      <c r="C196" s="34">
        <v>4301032058</v>
      </c>
      <c r="D196" s="660">
        <v>4680115889026</v>
      </c>
      <c r="E196" s="66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341</v>
      </c>
      <c r="L196" s="35" t="s">
        <v>46</v>
      </c>
      <c r="M196" s="36" t="s">
        <v>283</v>
      </c>
      <c r="N196" s="36"/>
      <c r="O196" s="35">
        <v>60</v>
      </c>
      <c r="P196" s="8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340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54"/>
      <c r="B197" s="654"/>
      <c r="C197" s="654"/>
      <c r="D197" s="654"/>
      <c r="E197" s="654"/>
      <c r="F197" s="654"/>
      <c r="G197" s="654"/>
      <c r="H197" s="654"/>
      <c r="I197" s="654"/>
      <c r="J197" s="654"/>
      <c r="K197" s="654"/>
      <c r="L197" s="654"/>
      <c r="M197" s="654"/>
      <c r="N197" s="654"/>
      <c r="O197" s="655"/>
      <c r="P197" s="651" t="s">
        <v>40</v>
      </c>
      <c r="Q197" s="652"/>
      <c r="R197" s="652"/>
      <c r="S197" s="652"/>
      <c r="T197" s="652"/>
      <c r="U197" s="652"/>
      <c r="V197" s="653"/>
      <c r="W197" s="40" t="s">
        <v>39</v>
      </c>
      <c r="X197" s="41">
        <f>IFERROR(X196/H196,"0")</f>
        <v>0</v>
      </c>
      <c r="Y197" s="41">
        <f>IFERROR(Y196/H196,"0")</f>
        <v>0</v>
      </c>
      <c r="Z197" s="41">
        <f>IFERROR(IF(Z196="",0,Z196),"0")</f>
        <v>0</v>
      </c>
      <c r="AA197" s="64"/>
      <c r="AB197" s="64"/>
      <c r="AC197" s="64"/>
    </row>
    <row r="198" spans="1:68" hidden="1" x14ac:dyDescent="0.2">
      <c r="A198" s="654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1" t="s">
        <v>40</v>
      </c>
      <c r="Q198" s="652"/>
      <c r="R198" s="652"/>
      <c r="S198" s="652"/>
      <c r="T198" s="652"/>
      <c r="U198" s="652"/>
      <c r="V198" s="653"/>
      <c r="W198" s="40" t="s">
        <v>0</v>
      </c>
      <c r="X198" s="41">
        <f>IFERROR(SUM(X196:X196),"0")</f>
        <v>0</v>
      </c>
      <c r="Y198" s="41">
        <f>IFERROR(SUM(Y196:Y196),"0")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65" t="s">
        <v>342</v>
      </c>
      <c r="B199" s="665"/>
      <c r="C199" s="665"/>
      <c r="D199" s="665"/>
      <c r="E199" s="66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3"/>
      <c r="AB199" s="63"/>
      <c r="AC199" s="63"/>
    </row>
    <row r="200" spans="1:68" ht="27" hidden="1" customHeight="1" x14ac:dyDescent="0.25">
      <c r="A200" s="60" t="s">
        <v>343</v>
      </c>
      <c r="B200" s="60" t="s">
        <v>344</v>
      </c>
      <c r="C200" s="34">
        <v>4301041009</v>
      </c>
      <c r="D200" s="660">
        <v>4680115889033</v>
      </c>
      <c r="E200" s="66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341</v>
      </c>
      <c r="L200" s="35" t="s">
        <v>46</v>
      </c>
      <c r="M200" s="36" t="s">
        <v>283</v>
      </c>
      <c r="N200" s="36"/>
      <c r="O200" s="35">
        <v>60</v>
      </c>
      <c r="P200" s="85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2"/>
      <c r="R200" s="662"/>
      <c r="S200" s="662"/>
      <c r="T200" s="66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345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54"/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5"/>
      <c r="P201" s="651" t="s">
        <v>40</v>
      </c>
      <c r="Q201" s="652"/>
      <c r="R201" s="652"/>
      <c r="S201" s="652"/>
      <c r="T201" s="652"/>
      <c r="U201" s="652"/>
      <c r="V201" s="653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54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1" t="s">
        <v>40</v>
      </c>
      <c r="Q202" s="652"/>
      <c r="R202" s="652"/>
      <c r="S202" s="652"/>
      <c r="T202" s="652"/>
      <c r="U202" s="652"/>
      <c r="V202" s="653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71" t="s">
        <v>346</v>
      </c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  <c r="AA203" s="52"/>
      <c r="AB203" s="52"/>
      <c r="AC203" s="52"/>
    </row>
    <row r="204" spans="1:68" ht="16.5" hidden="1" customHeight="1" x14ac:dyDescent="0.25">
      <c r="A204" s="664" t="s">
        <v>347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2"/>
      <c r="AB204" s="62"/>
      <c r="AC204" s="62"/>
    </row>
    <row r="205" spans="1:68" ht="14.25" hidden="1" customHeight="1" x14ac:dyDescent="0.25">
      <c r="A205" s="665" t="s">
        <v>122</v>
      </c>
      <c r="B205" s="665"/>
      <c r="C205" s="665"/>
      <c r="D205" s="665"/>
      <c r="E205" s="66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3"/>
      <c r="AB205" s="63"/>
      <c r="AC205" s="63"/>
    </row>
    <row r="206" spans="1:68" ht="27" hidden="1" customHeight="1" x14ac:dyDescent="0.25">
      <c r="A206" s="60" t="s">
        <v>348</v>
      </c>
      <c r="B206" s="60" t="s">
        <v>349</v>
      </c>
      <c r="C206" s="34">
        <v>4301011223</v>
      </c>
      <c r="D206" s="660">
        <v>4607091383423</v>
      </c>
      <c r="E206" s="66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2"/>
      <c r="R206" s="662"/>
      <c r="S206" s="662"/>
      <c r="T206" s="66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6">IFERROR(IF(X206="",0,CEILING((X206/$H206),1)*$H206),"")</f>
        <v>0</v>
      </c>
      <c r="Z206" s="39" t="str">
        <f t="shared" ref="Z206:Z212" si="27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8">IFERROR(X206*I206/H206,"0")</f>
        <v>0</v>
      </c>
      <c r="BN206" s="75">
        <f t="shared" ref="BN206:BN212" si="29">IFERROR(Y206*I206/H206,"0")</f>
        <v>0</v>
      </c>
      <c r="BO206" s="75">
        <f t="shared" ref="BO206:BO212" si="30">IFERROR(1/J206*(X206/H206),"0")</f>
        <v>0</v>
      </c>
      <c r="BP206" s="75">
        <f t="shared" ref="BP206:BP212" si="31">IFERROR(1/J206*(Y206/H206),"0")</f>
        <v>0</v>
      </c>
    </row>
    <row r="207" spans="1:68" ht="27" hidden="1" customHeight="1" x14ac:dyDescent="0.25">
      <c r="A207" s="60" t="s">
        <v>350</v>
      </c>
      <c r="B207" s="60" t="s">
        <v>351</v>
      </c>
      <c r="C207" s="34">
        <v>4301012340</v>
      </c>
      <c r="D207" s="660">
        <v>4680115888760</v>
      </c>
      <c r="E207" s="66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2"/>
      <c r="R207" s="662"/>
      <c r="S207" s="662"/>
      <c r="T207" s="66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352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353</v>
      </c>
      <c r="B208" s="60" t="s">
        <v>354</v>
      </c>
      <c r="C208" s="34">
        <v>4301012341</v>
      </c>
      <c r="D208" s="660">
        <v>4680115888807</v>
      </c>
      <c r="E208" s="66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2"/>
      <c r="R208" s="662"/>
      <c r="S208" s="662"/>
      <c r="T208" s="66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355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356</v>
      </c>
      <c r="B209" s="60" t="s">
        <v>357</v>
      </c>
      <c r="C209" s="34">
        <v>4301012342</v>
      </c>
      <c r="D209" s="660">
        <v>4680115888852</v>
      </c>
      <c r="E209" s="66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2"/>
      <c r="R209" s="662"/>
      <c r="S209" s="662"/>
      <c r="T209" s="66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358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t="37.5" hidden="1" customHeight="1" x14ac:dyDescent="0.25">
      <c r="A210" s="60" t="s">
        <v>359</v>
      </c>
      <c r="B210" s="60" t="s">
        <v>360</v>
      </c>
      <c r="C210" s="34">
        <v>4301012370</v>
      </c>
      <c r="D210" s="660">
        <v>4680115886957</v>
      </c>
      <c r="E210" s="66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2"/>
      <c r="R210" s="662"/>
      <c r="S210" s="662"/>
      <c r="T210" s="66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 t="shared" si="27"/>
        <v/>
      </c>
      <c r="AA210" s="65" t="s">
        <v>46</v>
      </c>
      <c r="AB210" s="66" t="s">
        <v>46</v>
      </c>
      <c r="AC210" s="283" t="s">
        <v>361</v>
      </c>
      <c r="AG210" s="75"/>
      <c r="AJ210" s="79" t="s">
        <v>46</v>
      </c>
      <c r="AK210" s="79">
        <v>0</v>
      </c>
      <c r="BB210" s="284" t="s">
        <v>67</v>
      </c>
      <c r="BM210" s="75">
        <f t="shared" si="28"/>
        <v>0</v>
      </c>
      <c r="BN210" s="75">
        <f t="shared" si="29"/>
        <v>0</v>
      </c>
      <c r="BO210" s="75">
        <f t="shared" si="30"/>
        <v>0</v>
      </c>
      <c r="BP210" s="75">
        <f t="shared" si="31"/>
        <v>0</v>
      </c>
    </row>
    <row r="211" spans="1:68" ht="27" customHeight="1" x14ac:dyDescent="0.25">
      <c r="A211" s="60" t="s">
        <v>362</v>
      </c>
      <c r="B211" s="60" t="s">
        <v>363</v>
      </c>
      <c r="C211" s="34">
        <v>4301012098</v>
      </c>
      <c r="D211" s="660">
        <v>4680115885660</v>
      </c>
      <c r="E211" s="66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100</v>
      </c>
      <c r="Y211" s="53">
        <f t="shared" si="26"/>
        <v>108</v>
      </c>
      <c r="Z211" s="39">
        <f t="shared" si="27"/>
        <v>0.1898</v>
      </c>
      <c r="AA211" s="65" t="s">
        <v>46</v>
      </c>
      <c r="AB211" s="66" t="s">
        <v>46</v>
      </c>
      <c r="AC211" s="285" t="s">
        <v>364</v>
      </c>
      <c r="AG211" s="75"/>
      <c r="AJ211" s="79" t="s">
        <v>46</v>
      </c>
      <c r="AK211" s="79">
        <v>0</v>
      </c>
      <c r="BB211" s="286" t="s">
        <v>67</v>
      </c>
      <c r="BM211" s="75">
        <f t="shared" si="28"/>
        <v>103.79629629629629</v>
      </c>
      <c r="BN211" s="75">
        <f t="shared" si="29"/>
        <v>112.1</v>
      </c>
      <c r="BO211" s="75">
        <f t="shared" si="30"/>
        <v>0.14467592592592593</v>
      </c>
      <c r="BP211" s="75">
        <f t="shared" si="31"/>
        <v>0.15625</v>
      </c>
    </row>
    <row r="212" spans="1:68" ht="27" hidden="1" customHeight="1" x14ac:dyDescent="0.25">
      <c r="A212" s="60" t="s">
        <v>365</v>
      </c>
      <c r="B212" s="60" t="s">
        <v>366</v>
      </c>
      <c r="C212" s="34">
        <v>4301012369</v>
      </c>
      <c r="D212" s="660">
        <v>4680115886773</v>
      </c>
      <c r="E212" s="66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si="27"/>
        <v/>
      </c>
      <c r="AA212" s="65" t="s">
        <v>46</v>
      </c>
      <c r="AB212" s="66" t="s">
        <v>46</v>
      </c>
      <c r="AC212" s="287" t="s">
        <v>367</v>
      </c>
      <c r="AG212" s="75"/>
      <c r="AJ212" s="79" t="s">
        <v>46</v>
      </c>
      <c r="AK212" s="79">
        <v>0</v>
      </c>
      <c r="BB212" s="288" t="s">
        <v>67</v>
      </c>
      <c r="BM212" s="75">
        <f t="shared" si="28"/>
        <v>0</v>
      </c>
      <c r="BN212" s="75">
        <f t="shared" si="29"/>
        <v>0</v>
      </c>
      <c r="BO212" s="75">
        <f t="shared" si="30"/>
        <v>0</v>
      </c>
      <c r="BP212" s="75">
        <f t="shared" si="31"/>
        <v>0</v>
      </c>
    </row>
    <row r="213" spans="1:68" x14ac:dyDescent="0.2">
      <c r="A213" s="654"/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5"/>
      <c r="P213" s="651" t="s">
        <v>40</v>
      </c>
      <c r="Q213" s="652"/>
      <c r="R213" s="652"/>
      <c r="S213" s="652"/>
      <c r="T213" s="652"/>
      <c r="U213" s="652"/>
      <c r="V213" s="653"/>
      <c r="W213" s="40" t="s">
        <v>39</v>
      </c>
      <c r="X213" s="41">
        <f>IFERROR(X206/H206,"0")+IFERROR(X207/H207,"0")+IFERROR(X208/H208,"0")+IFERROR(X209/H209,"0")+IFERROR(X210/H210,"0")+IFERROR(X211/H211,"0")+IFERROR(X212/H212,"0")</f>
        <v>9.2592592592592595</v>
      </c>
      <c r="Y213" s="41">
        <f>IFERROR(Y206/H206,"0")+IFERROR(Y207/H207,"0")+IFERROR(Y208/H208,"0")+IFERROR(Y209/H209,"0")+IFERROR(Y210/H210,"0")+IFERROR(Y211/H211,"0")+IFERROR(Y212/H212,"0")</f>
        <v>10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0.1898</v>
      </c>
      <c r="AA213" s="64"/>
      <c r="AB213" s="64"/>
      <c r="AC213" s="64"/>
    </row>
    <row r="214" spans="1:68" x14ac:dyDescent="0.2">
      <c r="A214" s="654"/>
      <c r="B214" s="654"/>
      <c r="C214" s="654"/>
      <c r="D214" s="654"/>
      <c r="E214" s="654"/>
      <c r="F214" s="654"/>
      <c r="G214" s="654"/>
      <c r="H214" s="654"/>
      <c r="I214" s="654"/>
      <c r="J214" s="654"/>
      <c r="K214" s="654"/>
      <c r="L214" s="654"/>
      <c r="M214" s="654"/>
      <c r="N214" s="654"/>
      <c r="O214" s="655"/>
      <c r="P214" s="651" t="s">
        <v>40</v>
      </c>
      <c r="Q214" s="652"/>
      <c r="R214" s="652"/>
      <c r="S214" s="652"/>
      <c r="T214" s="652"/>
      <c r="U214" s="652"/>
      <c r="V214" s="653"/>
      <c r="W214" s="40" t="s">
        <v>0</v>
      </c>
      <c r="X214" s="41">
        <f>IFERROR(SUM(X206:X212),"0")</f>
        <v>100</v>
      </c>
      <c r="Y214" s="41">
        <f>IFERROR(SUM(Y206:Y212),"0")</f>
        <v>108</v>
      </c>
      <c r="Z214" s="40"/>
      <c r="AA214" s="64"/>
      <c r="AB214" s="64"/>
      <c r="AC214" s="64"/>
    </row>
    <row r="215" spans="1:68" ht="16.5" hidden="1" customHeight="1" x14ac:dyDescent="0.25">
      <c r="A215" s="664" t="s">
        <v>368</v>
      </c>
      <c r="B215" s="664"/>
      <c r="C215" s="664"/>
      <c r="D215" s="664"/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  <c r="Y215" s="664"/>
      <c r="Z215" s="664"/>
      <c r="AA215" s="62"/>
      <c r="AB215" s="62"/>
      <c r="AC215" s="62"/>
    </row>
    <row r="216" spans="1:68" ht="14.25" hidden="1" customHeight="1" x14ac:dyDescent="0.25">
      <c r="A216" s="665" t="s">
        <v>159</v>
      </c>
      <c r="B216" s="665"/>
      <c r="C216" s="665"/>
      <c r="D216" s="665"/>
      <c r="E216" s="66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3"/>
      <c r="AB216" s="63"/>
      <c r="AC216" s="63"/>
    </row>
    <row r="217" spans="1:68" ht="27" hidden="1" customHeight="1" x14ac:dyDescent="0.25">
      <c r="A217" s="60" t="s">
        <v>369</v>
      </c>
      <c r="B217" s="60" t="s">
        <v>370</v>
      </c>
      <c r="C217" s="34">
        <v>4301020323</v>
      </c>
      <c r="D217" s="660">
        <v>4680115886223</v>
      </c>
      <c r="E217" s="66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371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54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1" t="s">
        <v>40</v>
      </c>
      <c r="Q218" s="652"/>
      <c r="R218" s="652"/>
      <c r="S218" s="652"/>
      <c r="T218" s="652"/>
      <c r="U218" s="652"/>
      <c r="V218" s="653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1" t="s">
        <v>40</v>
      </c>
      <c r="Q219" s="652"/>
      <c r="R219" s="652"/>
      <c r="S219" s="652"/>
      <c r="T219" s="652"/>
      <c r="U219" s="652"/>
      <c r="V219" s="653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65" t="s">
        <v>77</v>
      </c>
      <c r="B220" s="665"/>
      <c r="C220" s="665"/>
      <c r="D220" s="665"/>
      <c r="E220" s="66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3"/>
      <c r="AB220" s="63"/>
      <c r="AC220" s="63"/>
    </row>
    <row r="221" spans="1:68" ht="27" customHeight="1" x14ac:dyDescent="0.25">
      <c r="A221" s="60" t="s">
        <v>372</v>
      </c>
      <c r="B221" s="60" t="s">
        <v>373</v>
      </c>
      <c r="C221" s="34">
        <v>4301031191</v>
      </c>
      <c r="D221" s="660">
        <v>4680115880993</v>
      </c>
      <c r="E221" s="66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2"/>
      <c r="R221" s="662"/>
      <c r="S221" s="662"/>
      <c r="T221" s="663"/>
      <c r="U221" s="37" t="s">
        <v>46</v>
      </c>
      <c r="V221" s="37" t="s">
        <v>46</v>
      </c>
      <c r="W221" s="38" t="s">
        <v>0</v>
      </c>
      <c r="X221" s="56">
        <v>100</v>
      </c>
      <c r="Y221" s="53">
        <f t="shared" ref="Y221:Y235" si="32">IFERROR(IF(X221="",0,CEILING((X221/$H221),1)*$H221),"")</f>
        <v>100.80000000000001</v>
      </c>
      <c r="Z221" s="39">
        <f>IFERROR(IF(Y221=0,"",ROUNDUP(Y221/H221,0)*0.00902),"")</f>
        <v>0.21648000000000001</v>
      </c>
      <c r="AA221" s="65" t="s">
        <v>46</v>
      </c>
      <c r="AB221" s="66" t="s">
        <v>46</v>
      </c>
      <c r="AC221" s="291" t="s">
        <v>374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5" si="33">IFERROR(X221*I221/H221,"0")</f>
        <v>105.95238095238095</v>
      </c>
      <c r="BN221" s="75">
        <f t="shared" ref="BN221:BN235" si="34">IFERROR(Y221*I221/H221,"0")</f>
        <v>106.80000000000001</v>
      </c>
      <c r="BO221" s="75">
        <f t="shared" ref="BO221:BO235" si="35">IFERROR(1/J221*(X221/H221),"0")</f>
        <v>0.18037518037518038</v>
      </c>
      <c r="BP221" s="75">
        <f t="shared" ref="BP221:BP235" si="36">IFERROR(1/J221*(Y221/H221),"0")</f>
        <v>0.18181818181818182</v>
      </c>
    </row>
    <row r="222" spans="1:68" ht="27" customHeight="1" x14ac:dyDescent="0.25">
      <c r="A222" s="60" t="s">
        <v>375</v>
      </c>
      <c r="B222" s="60" t="s">
        <v>376</v>
      </c>
      <c r="C222" s="34">
        <v>4301031204</v>
      </c>
      <c r="D222" s="660">
        <v>4680115881761</v>
      </c>
      <c r="E222" s="66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50</v>
      </c>
      <c r="Y222" s="53">
        <f t="shared" si="32"/>
        <v>50.400000000000006</v>
      </c>
      <c r="Z222" s="39">
        <f>IFERROR(IF(Y222=0,"",ROUNDUP(Y222/H222,0)*0.00902),"")</f>
        <v>0.10824</v>
      </c>
      <c r="AA222" s="65" t="s">
        <v>46</v>
      </c>
      <c r="AB222" s="66" t="s">
        <v>46</v>
      </c>
      <c r="AC222" s="293" t="s">
        <v>377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52.976190476190474</v>
      </c>
      <c r="BN222" s="75">
        <f t="shared" si="34"/>
        <v>53.400000000000006</v>
      </c>
      <c r="BO222" s="75">
        <f t="shared" si="35"/>
        <v>9.0187590187590191E-2</v>
      </c>
      <c r="BP222" s="75">
        <f t="shared" si="36"/>
        <v>9.0909090909090912E-2</v>
      </c>
    </row>
    <row r="223" spans="1:68" ht="27" customHeight="1" x14ac:dyDescent="0.25">
      <c r="A223" s="60" t="s">
        <v>378</v>
      </c>
      <c r="B223" s="60" t="s">
        <v>379</v>
      </c>
      <c r="C223" s="34">
        <v>4301031201</v>
      </c>
      <c r="D223" s="660">
        <v>4680115881563</v>
      </c>
      <c r="E223" s="66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2"/>
      <c r="R223" s="662"/>
      <c r="S223" s="662"/>
      <c r="T223" s="663"/>
      <c r="U223" s="37" t="s">
        <v>46</v>
      </c>
      <c r="V223" s="37" t="s">
        <v>46</v>
      </c>
      <c r="W223" s="38" t="s">
        <v>0</v>
      </c>
      <c r="X223" s="56">
        <v>50</v>
      </c>
      <c r="Y223" s="53">
        <f t="shared" si="32"/>
        <v>50.400000000000006</v>
      </c>
      <c r="Z223" s="39">
        <f>IFERROR(IF(Y223=0,"",ROUNDUP(Y223/H223,0)*0.00902),"")</f>
        <v>0.10824</v>
      </c>
      <c r="AA223" s="65" t="s">
        <v>46</v>
      </c>
      <c r="AB223" s="66" t="s">
        <v>46</v>
      </c>
      <c r="AC223" s="295" t="s">
        <v>380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52.261904761904752</v>
      </c>
      <c r="BN223" s="75">
        <f t="shared" si="34"/>
        <v>52.68</v>
      </c>
      <c r="BO223" s="75">
        <f t="shared" si="35"/>
        <v>9.0187590187590191E-2</v>
      </c>
      <c r="BP223" s="75">
        <f t="shared" si="36"/>
        <v>9.0909090909090912E-2</v>
      </c>
    </row>
    <row r="224" spans="1:68" ht="37.5" customHeight="1" x14ac:dyDescent="0.25">
      <c r="A224" s="60" t="s">
        <v>381</v>
      </c>
      <c r="B224" s="60" t="s">
        <v>382</v>
      </c>
      <c r="C224" s="34">
        <v>4301031447</v>
      </c>
      <c r="D224" s="660">
        <v>4680115887565</v>
      </c>
      <c r="E224" s="66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2"/>
      <c r="R224" s="662"/>
      <c r="S224" s="662"/>
      <c r="T224" s="663"/>
      <c r="U224" s="37" t="s">
        <v>46</v>
      </c>
      <c r="V224" s="37" t="s">
        <v>46</v>
      </c>
      <c r="W224" s="38" t="s">
        <v>0</v>
      </c>
      <c r="X224" s="56">
        <v>16</v>
      </c>
      <c r="Y224" s="53">
        <f t="shared" si="32"/>
        <v>16</v>
      </c>
      <c r="Z224" s="39">
        <f>IFERROR(IF(Y224=0,"",ROUNDUP(Y224/H224,0)*0.00556),"")</f>
        <v>0.11119999999999999</v>
      </c>
      <c r="AA224" s="65" t="s">
        <v>46</v>
      </c>
      <c r="AB224" s="66" t="s">
        <v>46</v>
      </c>
      <c r="AC224" s="297" t="s">
        <v>383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18.600000000000001</v>
      </c>
      <c r="BN224" s="75">
        <f t="shared" si="34"/>
        <v>18.600000000000001</v>
      </c>
      <c r="BO224" s="75">
        <f t="shared" si="35"/>
        <v>7.9365079365079361E-2</v>
      </c>
      <c r="BP224" s="75">
        <f t="shared" si="36"/>
        <v>7.9365079365079361E-2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4301031199</v>
      </c>
      <c r="D225" s="660">
        <v>4680115880986</v>
      </c>
      <c r="E225" s="66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2"/>
      <c r="R225" s="662"/>
      <c r="S225" s="662"/>
      <c r="T225" s="663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ref="Z225:Z230" si="37">IFERROR(IF(Y225=0,"",ROUNDUP(Y225/H225,0)*0.00502),"")</f>
        <v/>
      </c>
      <c r="AA225" s="65" t="s">
        <v>46</v>
      </c>
      <c r="AB225" s="66" t="s">
        <v>46</v>
      </c>
      <c r="AC225" s="299" t="s">
        <v>374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386</v>
      </c>
      <c r="B226" s="60" t="s">
        <v>387</v>
      </c>
      <c r="C226" s="34">
        <v>4301031443</v>
      </c>
      <c r="D226" s="660">
        <v>4680115887213</v>
      </c>
      <c r="E226" s="66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customHeight="1" x14ac:dyDescent="0.25">
      <c r="A227" s="60" t="s">
        <v>389</v>
      </c>
      <c r="B227" s="60" t="s">
        <v>390</v>
      </c>
      <c r="C227" s="34">
        <v>4301031205</v>
      </c>
      <c r="D227" s="660">
        <v>4680115881785</v>
      </c>
      <c r="E227" s="66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245</v>
      </c>
      <c r="Y227" s="53">
        <f t="shared" si="32"/>
        <v>245.70000000000002</v>
      </c>
      <c r="Z227" s="39">
        <f t="shared" si="37"/>
        <v>0.58733999999999997</v>
      </c>
      <c r="AA227" s="65" t="s">
        <v>46</v>
      </c>
      <c r="AB227" s="66" t="s">
        <v>46</v>
      </c>
      <c r="AC227" s="303" t="s">
        <v>377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260.16666666666669</v>
      </c>
      <c r="BN227" s="75">
        <f t="shared" si="34"/>
        <v>260.91000000000003</v>
      </c>
      <c r="BO227" s="75">
        <f t="shared" si="35"/>
        <v>0.4985754985754986</v>
      </c>
      <c r="BP227" s="75">
        <f t="shared" si="36"/>
        <v>0.5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4301031499</v>
      </c>
      <c r="D228" s="660">
        <v>4680115888432</v>
      </c>
      <c r="E228" s="66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 t="shared" si="37"/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27" hidden="1" customHeight="1" x14ac:dyDescent="0.25">
      <c r="A229" s="60" t="s">
        <v>394</v>
      </c>
      <c r="B229" s="60" t="s">
        <v>395</v>
      </c>
      <c r="C229" s="34">
        <v>4301031427</v>
      </c>
      <c r="D229" s="660">
        <v>4680115888104</v>
      </c>
      <c r="E229" s="66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 t="shared" si="37"/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4301031503</v>
      </c>
      <c r="D230" s="660">
        <v>4680115886537</v>
      </c>
      <c r="E230" s="66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 t="shared" si="37"/>
        <v/>
      </c>
      <c r="AA230" s="65" t="s">
        <v>46</v>
      </c>
      <c r="AB230" s="66" t="s">
        <v>46</v>
      </c>
      <c r="AC230" s="309" t="s">
        <v>399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customHeight="1" x14ac:dyDescent="0.25">
      <c r="A231" s="60" t="s">
        <v>400</v>
      </c>
      <c r="B231" s="60" t="s">
        <v>401</v>
      </c>
      <c r="C231" s="34">
        <v>4301031279</v>
      </c>
      <c r="D231" s="660">
        <v>4680115887596</v>
      </c>
      <c r="E231" s="66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16</v>
      </c>
      <c r="Y231" s="53">
        <f t="shared" si="32"/>
        <v>16</v>
      </c>
      <c r="Z231" s="39">
        <f>IFERROR(IF(Y231=0,"",ROUNDUP(Y231/H231,0)*0.00417),"")</f>
        <v>8.3400000000000002E-2</v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20.2</v>
      </c>
      <c r="BN231" s="75">
        <f t="shared" si="34"/>
        <v>20.2</v>
      </c>
      <c r="BO231" s="75">
        <f t="shared" si="35"/>
        <v>5.9523809523809521E-2</v>
      </c>
      <c r="BP231" s="75">
        <f t="shared" si="36"/>
        <v>5.9523809523809521E-2</v>
      </c>
    </row>
    <row r="232" spans="1:68" ht="37.5" hidden="1" customHeight="1" x14ac:dyDescent="0.25">
      <c r="A232" s="60" t="s">
        <v>403</v>
      </c>
      <c r="B232" s="60" t="s">
        <v>404</v>
      </c>
      <c r="C232" s="34">
        <v>4301031530</v>
      </c>
      <c r="D232" s="660">
        <v>4680115881679</v>
      </c>
      <c r="E232" s="66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45</v>
      </c>
      <c r="P232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380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4301031158</v>
      </c>
      <c r="D233" s="660">
        <v>4680115880191</v>
      </c>
      <c r="E233" s="66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2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380</v>
      </c>
      <c r="AG233" s="75"/>
      <c r="AJ233" s="79" t="s">
        <v>46</v>
      </c>
      <c r="AK233" s="79">
        <v>0</v>
      </c>
      <c r="BB233" s="316" t="s">
        <v>67</v>
      </c>
      <c r="BM233" s="75">
        <f t="shared" si="33"/>
        <v>0</v>
      </c>
      <c r="BN233" s="75">
        <f t="shared" si="34"/>
        <v>0</v>
      </c>
      <c r="BO233" s="75">
        <f t="shared" si="35"/>
        <v>0</v>
      </c>
      <c r="BP233" s="75">
        <f t="shared" si="36"/>
        <v>0</v>
      </c>
    </row>
    <row r="234" spans="1:68" ht="27" hidden="1" customHeight="1" x14ac:dyDescent="0.25">
      <c r="A234" s="60" t="s">
        <v>405</v>
      </c>
      <c r="B234" s="60" t="s">
        <v>407</v>
      </c>
      <c r="C234" s="34">
        <v>4301031531</v>
      </c>
      <c r="D234" s="660">
        <v>4680115880191</v>
      </c>
      <c r="E234" s="660"/>
      <c r="F234" s="59">
        <v>0.4</v>
      </c>
      <c r="G234" s="35">
        <v>6</v>
      </c>
      <c r="H234" s="59">
        <v>2.4</v>
      </c>
      <c r="I234" s="59">
        <v>2.58</v>
      </c>
      <c r="J234" s="35">
        <v>182</v>
      </c>
      <c r="K234" s="35" t="s">
        <v>91</v>
      </c>
      <c r="L234" s="35" t="s">
        <v>46</v>
      </c>
      <c r="M234" s="36" t="s">
        <v>81</v>
      </c>
      <c r="N234" s="36"/>
      <c r="O234" s="35">
        <v>45</v>
      </c>
      <c r="P234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2"/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7" t="s">
        <v>380</v>
      </c>
      <c r="AG234" s="75"/>
      <c r="AJ234" s="79" t="s">
        <v>46</v>
      </c>
      <c r="AK234" s="79">
        <v>0</v>
      </c>
      <c r="BB234" s="318" t="s">
        <v>67</v>
      </c>
      <c r="BM234" s="75">
        <f t="shared" si="33"/>
        <v>0</v>
      </c>
      <c r="BN234" s="75">
        <f t="shared" si="34"/>
        <v>0</v>
      </c>
      <c r="BO234" s="75">
        <f t="shared" si="35"/>
        <v>0</v>
      </c>
      <c r="BP234" s="75">
        <f t="shared" si="36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4301031245</v>
      </c>
      <c r="D235" s="660">
        <v>4680115883963</v>
      </c>
      <c r="E235" s="660"/>
      <c r="F235" s="59">
        <v>0.28000000000000003</v>
      </c>
      <c r="G235" s="35">
        <v>6</v>
      </c>
      <c r="H235" s="59">
        <v>1.68</v>
      </c>
      <c r="I235" s="59">
        <v>1.78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2"/>
        <v>0</v>
      </c>
      <c r="Z235" s="39" t="str">
        <f>IFERROR(IF(Y235=0,"",ROUNDUP(Y235/H235,0)*0.00502),"")</f>
        <v/>
      </c>
      <c r="AA235" s="65" t="s">
        <v>46</v>
      </c>
      <c r="AB235" s="66" t="s">
        <v>46</v>
      </c>
      <c r="AC235" s="319" t="s">
        <v>410</v>
      </c>
      <c r="AG235" s="75"/>
      <c r="AJ235" s="79" t="s">
        <v>46</v>
      </c>
      <c r="AK235" s="79">
        <v>0</v>
      </c>
      <c r="BB235" s="320" t="s">
        <v>67</v>
      </c>
      <c r="BM235" s="75">
        <f t="shared" si="33"/>
        <v>0</v>
      </c>
      <c r="BN235" s="75">
        <f t="shared" si="34"/>
        <v>0</v>
      </c>
      <c r="BO235" s="75">
        <f t="shared" si="35"/>
        <v>0</v>
      </c>
      <c r="BP235" s="75">
        <f t="shared" si="36"/>
        <v>0</v>
      </c>
    </row>
    <row r="236" spans="1:68" x14ac:dyDescent="0.2">
      <c r="A236" s="654"/>
      <c r="B236" s="654"/>
      <c r="C236" s="654"/>
      <c r="D236" s="654"/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655"/>
      <c r="P236" s="651" t="s">
        <v>40</v>
      </c>
      <c r="Q236" s="652"/>
      <c r="R236" s="652"/>
      <c r="S236" s="652"/>
      <c r="T236" s="652"/>
      <c r="U236" s="652"/>
      <c r="V236" s="653"/>
      <c r="W236" s="40" t="s">
        <v>39</v>
      </c>
      <c r="X236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204.28571428571428</v>
      </c>
      <c r="Y236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205</v>
      </c>
      <c r="Z236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1.2148999999999999</v>
      </c>
      <c r="AA236" s="64"/>
      <c r="AB236" s="64"/>
      <c r="AC236" s="64"/>
    </row>
    <row r="237" spans="1:68" x14ac:dyDescent="0.2">
      <c r="A237" s="654"/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5"/>
      <c r="P237" s="651" t="s">
        <v>40</v>
      </c>
      <c r="Q237" s="652"/>
      <c r="R237" s="652"/>
      <c r="S237" s="652"/>
      <c r="T237" s="652"/>
      <c r="U237" s="652"/>
      <c r="V237" s="653"/>
      <c r="W237" s="40" t="s">
        <v>0</v>
      </c>
      <c r="X237" s="41">
        <f>IFERROR(SUM(X221:X235),"0")</f>
        <v>477</v>
      </c>
      <c r="Y237" s="41">
        <f>IFERROR(SUM(Y221:Y235),"0")</f>
        <v>479.30000000000007</v>
      </c>
      <c r="Z237" s="40"/>
      <c r="AA237" s="64"/>
      <c r="AB237" s="64"/>
      <c r="AC237" s="64"/>
    </row>
    <row r="238" spans="1:68" ht="14.25" hidden="1" customHeight="1" x14ac:dyDescent="0.25">
      <c r="A238" s="665" t="s">
        <v>86</v>
      </c>
      <c r="B238" s="665"/>
      <c r="C238" s="665"/>
      <c r="D238" s="665"/>
      <c r="E238" s="66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3"/>
      <c r="AB238" s="63"/>
      <c r="AC238" s="63"/>
    </row>
    <row r="239" spans="1:68" ht="16.5" hidden="1" customHeight="1" x14ac:dyDescent="0.25">
      <c r="A239" s="60" t="s">
        <v>411</v>
      </c>
      <c r="B239" s="60" t="s">
        <v>412</v>
      </c>
      <c r="C239" s="34">
        <v>4301052209</v>
      </c>
      <c r="D239" s="660">
        <v>4680115888692</v>
      </c>
      <c r="E239" s="66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7" si="38"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67</v>
      </c>
      <c r="BM239" s="75">
        <f t="shared" ref="BM239:BM247" si="39">IFERROR(X239*I239/H239,"0")</f>
        <v>0</v>
      </c>
      <c r="BN239" s="75">
        <f t="shared" ref="BN239:BN247" si="40">IFERROR(Y239*I239/H239,"0")</f>
        <v>0</v>
      </c>
      <c r="BO239" s="75">
        <f t="shared" ref="BO239:BO247" si="41">IFERROR(1/J239*(X239/H239),"0")</f>
        <v>0</v>
      </c>
      <c r="BP239" s="75">
        <f t="shared" ref="BP239:BP247" si="42">IFERROR(1/J239*(Y239/H239),"0")</f>
        <v>0</v>
      </c>
    </row>
    <row r="240" spans="1:68" ht="16.5" hidden="1" customHeight="1" x14ac:dyDescent="0.25">
      <c r="A240" s="60" t="s">
        <v>411</v>
      </c>
      <c r="B240" s="60" t="s">
        <v>414</v>
      </c>
      <c r="C240" s="34">
        <v>4301052279</v>
      </c>
      <c r="D240" s="660">
        <v>4680115888692</v>
      </c>
      <c r="E240" s="660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40</v>
      </c>
      <c r="P240" s="82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2"/>
      <c r="R240" s="662"/>
      <c r="S240" s="662"/>
      <c r="T240" s="663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415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416</v>
      </c>
      <c r="B241" s="60" t="s">
        <v>417</v>
      </c>
      <c r="C241" s="34">
        <v>4301052213</v>
      </c>
      <c r="D241" s="660">
        <v>4680115888722</v>
      </c>
      <c r="E241" s="660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35</v>
      </c>
      <c r="P241" s="8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2"/>
      <c r="R241" s="662"/>
      <c r="S241" s="662"/>
      <c r="T241" s="663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416</v>
      </c>
      <c r="B242" s="60" t="s">
        <v>419</v>
      </c>
      <c r="C242" s="34">
        <v>4301052280</v>
      </c>
      <c r="D242" s="660">
        <v>4680115888722</v>
      </c>
      <c r="E242" s="660"/>
      <c r="F242" s="59">
        <v>0.8</v>
      </c>
      <c r="G242" s="35">
        <v>6</v>
      </c>
      <c r="H242" s="59">
        <v>4.8</v>
      </c>
      <c r="I242" s="59">
        <v>5.2220000000000004</v>
      </c>
      <c r="J242" s="35">
        <v>104</v>
      </c>
      <c r="K242" s="35" t="s">
        <v>127</v>
      </c>
      <c r="L242" s="35" t="s">
        <v>46</v>
      </c>
      <c r="M242" s="36" t="s">
        <v>97</v>
      </c>
      <c r="N242" s="36"/>
      <c r="O242" s="35">
        <v>40</v>
      </c>
      <c r="P242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2"/>
      <c r="R242" s="662"/>
      <c r="S242" s="662"/>
      <c r="T242" s="663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IFERROR(IF(Y242=0,"",ROUNDUP(Y242/H242,0)*0.01196),"")</f>
        <v/>
      </c>
      <c r="AA242" s="65" t="s">
        <v>46</v>
      </c>
      <c r="AB242" s="66" t="s">
        <v>46</v>
      </c>
      <c r="AC242" s="327" t="s">
        <v>420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421</v>
      </c>
      <c r="B243" s="60" t="s">
        <v>422</v>
      </c>
      <c r="C243" s="34">
        <v>4301052177</v>
      </c>
      <c r="D243" s="660">
        <v>4680115888951</v>
      </c>
      <c r="E243" s="660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423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421</v>
      </c>
      <c r="B244" s="60" t="s">
        <v>424</v>
      </c>
      <c r="C244" s="34">
        <v>4301052276</v>
      </c>
      <c r="D244" s="660">
        <v>4680115888951</v>
      </c>
      <c r="E244" s="660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415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t="27" hidden="1" customHeight="1" x14ac:dyDescent="0.25">
      <c r="A245" s="60" t="s">
        <v>425</v>
      </c>
      <c r="B245" s="60" t="s">
        <v>426</v>
      </c>
      <c r="C245" s="34">
        <v>4301052178</v>
      </c>
      <c r="D245" s="660">
        <v>4680115888975</v>
      </c>
      <c r="E245" s="660"/>
      <c r="F245" s="59">
        <v>0.32</v>
      </c>
      <c r="G245" s="35">
        <v>6</v>
      </c>
      <c r="H245" s="59">
        <v>1.92</v>
      </c>
      <c r="I245" s="59">
        <v>2.1819999999999999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8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427</v>
      </c>
      <c r="AG245" s="75"/>
      <c r="AJ245" s="79" t="s">
        <v>46</v>
      </c>
      <c r="AK245" s="79">
        <v>0</v>
      </c>
      <c r="BB245" s="334" t="s">
        <v>67</v>
      </c>
      <c r="BM245" s="75">
        <f t="shared" si="39"/>
        <v>0</v>
      </c>
      <c r="BN245" s="75">
        <f t="shared" si="40"/>
        <v>0</v>
      </c>
      <c r="BO245" s="75">
        <f t="shared" si="41"/>
        <v>0</v>
      </c>
      <c r="BP245" s="75">
        <f t="shared" si="42"/>
        <v>0</v>
      </c>
    </row>
    <row r="246" spans="1:68" ht="27" hidden="1" customHeight="1" x14ac:dyDescent="0.25">
      <c r="A246" s="60" t="s">
        <v>428</v>
      </c>
      <c r="B246" s="60" t="s">
        <v>429</v>
      </c>
      <c r="C246" s="34">
        <v>4301052176</v>
      </c>
      <c r="D246" s="660">
        <v>4680115888982</v>
      </c>
      <c r="E246" s="660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8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67</v>
      </c>
      <c r="BM246" s="75">
        <f t="shared" si="39"/>
        <v>0</v>
      </c>
      <c r="BN246" s="75">
        <f t="shared" si="40"/>
        <v>0</v>
      </c>
      <c r="BO246" s="75">
        <f t="shared" si="41"/>
        <v>0</v>
      </c>
      <c r="BP246" s="75">
        <f t="shared" si="42"/>
        <v>0</v>
      </c>
    </row>
    <row r="247" spans="1:68" ht="27" hidden="1" customHeight="1" x14ac:dyDescent="0.25">
      <c r="A247" s="60" t="s">
        <v>428</v>
      </c>
      <c r="B247" s="60" t="s">
        <v>430</v>
      </c>
      <c r="C247" s="34">
        <v>4301052277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40</v>
      </c>
      <c r="P247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8"/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420</v>
      </c>
      <c r="AG247" s="75"/>
      <c r="AJ247" s="79" t="s">
        <v>46</v>
      </c>
      <c r="AK247" s="79">
        <v>0</v>
      </c>
      <c r="BB247" s="338" t="s">
        <v>67</v>
      </c>
      <c r="BM247" s="75">
        <f t="shared" si="39"/>
        <v>0</v>
      </c>
      <c r="BN247" s="75">
        <f t="shared" si="40"/>
        <v>0</v>
      </c>
      <c r="BO247" s="75">
        <f t="shared" si="41"/>
        <v>0</v>
      </c>
      <c r="BP247" s="75">
        <f t="shared" si="42"/>
        <v>0</v>
      </c>
    </row>
    <row r="248" spans="1:68" hidden="1" x14ac:dyDescent="0.2">
      <c r="A248" s="654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1" t="s">
        <v>40</v>
      </c>
      <c r="Q248" s="652"/>
      <c r="R248" s="652"/>
      <c r="S248" s="652"/>
      <c r="T248" s="652"/>
      <c r="U248" s="652"/>
      <c r="V248" s="653"/>
      <c r="W248" s="40" t="s">
        <v>39</v>
      </c>
      <c r="X248" s="41">
        <f>IFERROR(X239/H239,"0")+IFERROR(X240/H240,"0")+IFERROR(X241/H241,"0")+IFERROR(X242/H242,"0")+IFERROR(X243/H243,"0")+IFERROR(X244/H244,"0")+IFERROR(X245/H245,"0")+IFERROR(X246/H246,"0")+IFERROR(X247/H247,"0")</f>
        <v>0</v>
      </c>
      <c r="Y248" s="41">
        <f>IFERROR(Y239/H239,"0")+IFERROR(Y240/H240,"0")+IFERROR(Y241/H241,"0")+IFERROR(Y242/H242,"0")+IFERROR(Y243/H243,"0")+IFERROR(Y244/H244,"0")+IFERROR(Y245/H245,"0")+IFERROR(Y246/H246,"0")+IFERROR(Y247/H247,"0")</f>
        <v>0</v>
      </c>
      <c r="Z248" s="41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1" t="s">
        <v>40</v>
      </c>
      <c r="Q249" s="652"/>
      <c r="R249" s="652"/>
      <c r="S249" s="652"/>
      <c r="T249" s="652"/>
      <c r="U249" s="652"/>
      <c r="V249" s="653"/>
      <c r="W249" s="40" t="s">
        <v>0</v>
      </c>
      <c r="X249" s="41">
        <f>IFERROR(SUM(X239:X247),"0")</f>
        <v>0</v>
      </c>
      <c r="Y249" s="41">
        <f>IFERROR(SUM(Y239:Y247),"0")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5" t="s">
        <v>278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3"/>
      <c r="AB250" s="63"/>
      <c r="AC250" s="63"/>
    </row>
    <row r="251" spans="1:68" ht="27" hidden="1" customHeight="1" x14ac:dyDescent="0.25">
      <c r="A251" s="60" t="s">
        <v>431</v>
      </c>
      <c r="B251" s="60" t="s">
        <v>432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341</v>
      </c>
      <c r="L251" s="35" t="s">
        <v>46</v>
      </c>
      <c r="M251" s="36" t="s">
        <v>283</v>
      </c>
      <c r="N251" s="36"/>
      <c r="O251" s="35">
        <v>60</v>
      </c>
      <c r="P251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customHeight="1" x14ac:dyDescent="0.25">
      <c r="A252" s="60" t="s">
        <v>434</v>
      </c>
      <c r="B252" s="60" t="s">
        <v>435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341</v>
      </c>
      <c r="L252" s="35" t="s">
        <v>46</v>
      </c>
      <c r="M252" s="36" t="s">
        <v>283</v>
      </c>
      <c r="N252" s="36"/>
      <c r="O252" s="35">
        <v>90</v>
      </c>
      <c r="P252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21</v>
      </c>
      <c r="Y252" s="53">
        <f>IFERROR(IF(X252="",0,CEILING((X252/$H252),1)*$H252),"")</f>
        <v>21.42</v>
      </c>
      <c r="Z252" s="39">
        <f>IFERROR(IF(Y252=0,"",ROUNDUP(Y252/H252,0)*0.0059),"")</f>
        <v>0.1003</v>
      </c>
      <c r="AA252" s="65" t="s">
        <v>46</v>
      </c>
      <c r="AB252" s="66" t="s">
        <v>46</v>
      </c>
      <c r="AC252" s="341" t="s">
        <v>436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24.166666666666664</v>
      </c>
      <c r="BN252" s="75">
        <f>IFERROR(Y252*I252/H252,"0")</f>
        <v>24.650000000000002</v>
      </c>
      <c r="BO252" s="75">
        <f>IFERROR(1/J252*(X252/H252),"0")</f>
        <v>7.716049382716049E-2</v>
      </c>
      <c r="BP252" s="75">
        <f>IFERROR(1/J252*(Y252/H252),"0")</f>
        <v>7.8703703703703692E-2</v>
      </c>
    </row>
    <row r="253" spans="1:68" ht="27" customHeight="1" x14ac:dyDescent="0.25">
      <c r="A253" s="60" t="s">
        <v>437</v>
      </c>
      <c r="B253" s="60" t="s">
        <v>438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341</v>
      </c>
      <c r="L253" s="35" t="s">
        <v>46</v>
      </c>
      <c r="M253" s="36" t="s">
        <v>283</v>
      </c>
      <c r="N253" s="36"/>
      <c r="O253" s="35">
        <v>90</v>
      </c>
      <c r="P253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21</v>
      </c>
      <c r="Y253" s="53">
        <f>IFERROR(IF(X253="",0,CEILING((X253/$H253),1)*$H253),"")</f>
        <v>21.42</v>
      </c>
      <c r="Z253" s="39">
        <f>IFERROR(IF(Y253=0,"",ROUNDUP(Y253/H253,0)*0.0059),"")</f>
        <v>0.1003</v>
      </c>
      <c r="AA253" s="65" t="s">
        <v>46</v>
      </c>
      <c r="AB253" s="66" t="s">
        <v>46</v>
      </c>
      <c r="AC253" s="343" t="s">
        <v>436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24.166666666666664</v>
      </c>
      <c r="BN253" s="75">
        <f>IFERROR(Y253*I253/H253,"0")</f>
        <v>24.650000000000002</v>
      </c>
      <c r="BO253" s="75">
        <f>IFERROR(1/J253*(X253/H253),"0")</f>
        <v>7.716049382716049E-2</v>
      </c>
      <c r="BP253" s="75">
        <f>IFERROR(1/J253*(Y253/H253),"0")</f>
        <v>7.8703703703703692E-2</v>
      </c>
    </row>
    <row r="254" spans="1:68" x14ac:dyDescent="0.2">
      <c r="A254" s="654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1" t="s">
        <v>40</v>
      </c>
      <c r="Q254" s="652"/>
      <c r="R254" s="652"/>
      <c r="S254" s="652"/>
      <c r="T254" s="652"/>
      <c r="U254" s="652"/>
      <c r="V254" s="653"/>
      <c r="W254" s="40" t="s">
        <v>39</v>
      </c>
      <c r="X254" s="41">
        <f>IFERROR(X251/H251,"0")+IFERROR(X252/H252,"0")+IFERROR(X253/H253,"0")</f>
        <v>33.333333333333336</v>
      </c>
      <c r="Y254" s="41">
        <f>IFERROR(Y251/H251,"0")+IFERROR(Y252/H252,"0")+IFERROR(Y253/H253,"0")</f>
        <v>34</v>
      </c>
      <c r="Z254" s="41">
        <f>IFERROR(IF(Z251="",0,Z251),"0")+IFERROR(IF(Z252="",0,Z252),"0")+IFERROR(IF(Z253="",0,Z253),"0")</f>
        <v>0.2006</v>
      </c>
      <c r="AA254" s="64"/>
      <c r="AB254" s="64"/>
      <c r="AC254" s="64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1" t="s">
        <v>40</v>
      </c>
      <c r="Q255" s="652"/>
      <c r="R255" s="652"/>
      <c r="S255" s="652"/>
      <c r="T255" s="652"/>
      <c r="U255" s="652"/>
      <c r="V255" s="653"/>
      <c r="W255" s="40" t="s">
        <v>0</v>
      </c>
      <c r="X255" s="41">
        <f>IFERROR(SUM(X251:X253),"0")</f>
        <v>42</v>
      </c>
      <c r="Y255" s="41">
        <f>IFERROR(SUM(Y251:Y253),"0")</f>
        <v>42.84</v>
      </c>
      <c r="Z255" s="40"/>
      <c r="AA255" s="64"/>
      <c r="AB255" s="64"/>
      <c r="AC255" s="64"/>
    </row>
    <row r="256" spans="1:68" ht="14.25" hidden="1" customHeight="1" x14ac:dyDescent="0.25">
      <c r="A256" s="665" t="s">
        <v>439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3"/>
      <c r="AB256" s="63"/>
      <c r="AC256" s="63"/>
    </row>
    <row r="257" spans="1:68" ht="27" customHeight="1" x14ac:dyDescent="0.25">
      <c r="A257" s="60" t="s">
        <v>440</v>
      </c>
      <c r="B257" s="60" t="s">
        <v>441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341</v>
      </c>
      <c r="L257" s="35" t="s">
        <v>46</v>
      </c>
      <c r="M257" s="36" t="s">
        <v>283</v>
      </c>
      <c r="N257" s="36"/>
      <c r="O257" s="35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7</v>
      </c>
      <c r="Y257" s="53">
        <f>IFERROR(IF(X257="",0,CEILING((X257/$H257),1)*$H257),"")</f>
        <v>7.5600000000000005</v>
      </c>
      <c r="Z257" s="39">
        <f>IFERROR(IF(Y257=0,"",ROUNDUP(Y257/H257,0)*0.0059),"")</f>
        <v>3.5400000000000001E-2</v>
      </c>
      <c r="AA257" s="65" t="s">
        <v>46</v>
      </c>
      <c r="AB257" s="66" t="s">
        <v>46</v>
      </c>
      <c r="AC257" s="345" t="s">
        <v>436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8.0555555555555554</v>
      </c>
      <c r="BN257" s="75">
        <f>IFERROR(Y257*I257/H257,"0")</f>
        <v>8.6999999999999993</v>
      </c>
      <c r="BO257" s="75">
        <f>IFERROR(1/J257*(X257/H257),"0")</f>
        <v>2.5720164609053495E-2</v>
      </c>
      <c r="BP257" s="75">
        <f>IFERROR(1/J257*(Y257/H257),"0")</f>
        <v>2.7777777777777776E-2</v>
      </c>
    </row>
    <row r="258" spans="1:68" x14ac:dyDescent="0.2">
      <c r="A258" s="654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1" t="s">
        <v>40</v>
      </c>
      <c r="Q258" s="652"/>
      <c r="R258" s="652"/>
      <c r="S258" s="652"/>
      <c r="T258" s="652"/>
      <c r="U258" s="652"/>
      <c r="V258" s="653"/>
      <c r="W258" s="40" t="s">
        <v>39</v>
      </c>
      <c r="X258" s="41">
        <f>IFERROR(X257/H257,"0")</f>
        <v>5.5555555555555554</v>
      </c>
      <c r="Y258" s="41">
        <f>IFERROR(Y257/H257,"0")</f>
        <v>6</v>
      </c>
      <c r="Z258" s="41">
        <f>IFERROR(IF(Z257="",0,Z257),"0")</f>
        <v>3.5400000000000001E-2</v>
      </c>
      <c r="AA258" s="64"/>
      <c r="AB258" s="64"/>
      <c r="AC258" s="64"/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1" t="s">
        <v>40</v>
      </c>
      <c r="Q259" s="652"/>
      <c r="R259" s="652"/>
      <c r="S259" s="652"/>
      <c r="T259" s="652"/>
      <c r="U259" s="652"/>
      <c r="V259" s="653"/>
      <c r="W259" s="40" t="s">
        <v>0</v>
      </c>
      <c r="X259" s="41">
        <f>IFERROR(SUM(X257:X257),"0")</f>
        <v>7</v>
      </c>
      <c r="Y259" s="41">
        <f>IFERROR(SUM(Y257:Y257),"0")</f>
        <v>7.5600000000000005</v>
      </c>
      <c r="Z259" s="40"/>
      <c r="AA259" s="64"/>
      <c r="AB259" s="64"/>
      <c r="AC259" s="64"/>
    </row>
    <row r="260" spans="1:68" ht="16.5" hidden="1" customHeight="1" x14ac:dyDescent="0.25">
      <c r="A260" s="664" t="s">
        <v>442</v>
      </c>
      <c r="B260" s="664"/>
      <c r="C260" s="664"/>
      <c r="D260" s="664"/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  <c r="Y260" s="664"/>
      <c r="Z260" s="664"/>
      <c r="AA260" s="62"/>
      <c r="AB260" s="62"/>
      <c r="AC260" s="62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3"/>
      <c r="AB261" s="63"/>
      <c r="AC261" s="63"/>
    </row>
    <row r="262" spans="1:68" ht="27" hidden="1" customHeight="1" x14ac:dyDescent="0.25">
      <c r="A262" s="60" t="s">
        <v>443</v>
      </c>
      <c r="B262" s="60" t="s">
        <v>444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445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445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4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1" t="s">
        <v>40</v>
      </c>
      <c r="Q264" s="652"/>
      <c r="R264" s="652"/>
      <c r="S264" s="652"/>
      <c r="T264" s="652"/>
      <c r="U264" s="652"/>
      <c r="V264" s="653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1" t="s">
        <v>40</v>
      </c>
      <c r="Q265" s="652"/>
      <c r="R265" s="652"/>
      <c r="S265" s="652"/>
      <c r="T265" s="652"/>
      <c r="U265" s="652"/>
      <c r="V265" s="653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5" t="s">
        <v>159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3"/>
      <c r="AB266" s="63"/>
      <c r="AC266" s="63"/>
    </row>
    <row r="267" spans="1:68" ht="16.5" hidden="1" customHeight="1" x14ac:dyDescent="0.25">
      <c r="A267" s="60" t="s">
        <v>448</v>
      </c>
      <c r="B267" s="60" t="s">
        <v>449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450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451</v>
      </c>
      <c r="B268" s="60" t="s">
        <v>452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450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4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1" t="s">
        <v>40</v>
      </c>
      <c r="Q269" s="652"/>
      <c r="R269" s="652"/>
      <c r="S269" s="652"/>
      <c r="T269" s="652"/>
      <c r="U269" s="652"/>
      <c r="V269" s="653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1" t="s">
        <v>40</v>
      </c>
      <c r="Q270" s="652"/>
      <c r="R270" s="652"/>
      <c r="S270" s="652"/>
      <c r="T270" s="652"/>
      <c r="U270" s="652"/>
      <c r="V270" s="653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3"/>
      <c r="AB271" s="63"/>
      <c r="AC271" s="63"/>
    </row>
    <row r="272" spans="1:68" ht="27" customHeight="1" x14ac:dyDescent="0.25">
      <c r="A272" s="60" t="s">
        <v>453</v>
      </c>
      <c r="B272" s="60" t="s">
        <v>454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400</v>
      </c>
      <c r="Y272" s="53">
        <f t="shared" ref="Y272:Y279" si="43">IFERROR(IF(X272="",0,CEILING((X272/$H272),1)*$H272),"")</f>
        <v>405</v>
      </c>
      <c r="Z272" s="39">
        <f>IFERROR(IF(Y272=0,"",ROUNDUP(Y272/H272,0)*0.00902),"")</f>
        <v>0.67649999999999999</v>
      </c>
      <c r="AA272" s="65" t="s">
        <v>46</v>
      </c>
      <c r="AB272" s="66" t="s">
        <v>46</v>
      </c>
      <c r="AC272" s="355" t="s">
        <v>455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414.07407407407402</v>
      </c>
      <c r="BN272" s="75">
        <f t="shared" ref="BN272:BN279" si="45">IFERROR(Y272*I272/H272,"0")</f>
        <v>419.24999999999994</v>
      </c>
      <c r="BO272" s="75">
        <f t="shared" ref="BO272:BO279" si="46">IFERROR(1/J272*(X272/H272),"0")</f>
        <v>0.5611672278338945</v>
      </c>
      <c r="BP272" s="75">
        <f t="shared" ref="BP272:BP279" si="47">IFERROR(1/J272*(Y272/H272),"0")</f>
        <v>0.56818181818181823</v>
      </c>
    </row>
    <row r="273" spans="1:68" ht="27" hidden="1" customHeight="1" x14ac:dyDescent="0.25">
      <c r="A273" s="60" t="s">
        <v>456</v>
      </c>
      <c r="B273" s="60" t="s">
        <v>457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458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customHeight="1" x14ac:dyDescent="0.25">
      <c r="A274" s="60" t="s">
        <v>459</v>
      </c>
      <c r="B274" s="60" t="s">
        <v>460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600</v>
      </c>
      <c r="Y274" s="53">
        <f t="shared" si="43"/>
        <v>604.80000000000007</v>
      </c>
      <c r="Z274" s="39">
        <f>IFERROR(IF(Y274=0,"",ROUNDUP(Y274/H274,0)*0.00902),"")</f>
        <v>1.01024</v>
      </c>
      <c r="AA274" s="65" t="s">
        <v>46</v>
      </c>
      <c r="AB274" s="66" t="s">
        <v>46</v>
      </c>
      <c r="AC274" s="359" t="s">
        <v>461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621.11111111111109</v>
      </c>
      <c r="BN274" s="75">
        <f t="shared" si="45"/>
        <v>626.08000000000004</v>
      </c>
      <c r="BO274" s="75">
        <f t="shared" si="46"/>
        <v>0.84175084175084169</v>
      </c>
      <c r="BP274" s="75">
        <f t="shared" si="47"/>
        <v>0.84848484848484851</v>
      </c>
    </row>
    <row r="275" spans="1:68" ht="27" customHeight="1" x14ac:dyDescent="0.25">
      <c r="A275" s="60" t="s">
        <v>462</v>
      </c>
      <c r="B275" s="60" t="s">
        <v>463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200</v>
      </c>
      <c r="Y275" s="53">
        <f t="shared" si="43"/>
        <v>205.20000000000002</v>
      </c>
      <c r="Z275" s="39">
        <f>IFERROR(IF(Y275=0,"",ROUNDUP(Y275/H275,0)*0.00902),"")</f>
        <v>0.34276000000000001</v>
      </c>
      <c r="AA275" s="65" t="s">
        <v>46</v>
      </c>
      <c r="AB275" s="66" t="s">
        <v>46</v>
      </c>
      <c r="AC275" s="361" t="s">
        <v>464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207.03703703703701</v>
      </c>
      <c r="BN275" s="75">
        <f t="shared" si="45"/>
        <v>212.42</v>
      </c>
      <c r="BO275" s="75">
        <f t="shared" si="46"/>
        <v>0.28058361391694725</v>
      </c>
      <c r="BP275" s="75">
        <f t="shared" si="47"/>
        <v>0.2878787878787879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455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458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461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471</v>
      </c>
      <c r="B279" s="60" t="s">
        <v>472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464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x14ac:dyDescent="0.2">
      <c r="A280" s="654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1" t="s">
        <v>40</v>
      </c>
      <c r="Q280" s="652"/>
      <c r="R280" s="652"/>
      <c r="S280" s="652"/>
      <c r="T280" s="652"/>
      <c r="U280" s="652"/>
      <c r="V280" s="653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222.2222222222222</v>
      </c>
      <c r="Y280" s="41">
        <f>IFERROR(Y272/H272,"0")+IFERROR(Y273/H273,"0")+IFERROR(Y274/H274,"0")+IFERROR(Y275/H275,"0")+IFERROR(Y276/H276,"0")+IFERROR(Y277/H277,"0")+IFERROR(Y278/H278,"0")+IFERROR(Y279/H279,"0")</f>
        <v>225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2.0295000000000001</v>
      </c>
      <c r="AA280" s="64"/>
      <c r="AB280" s="64"/>
      <c r="AC280" s="64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1" t="s">
        <v>40</v>
      </c>
      <c r="Q281" s="652"/>
      <c r="R281" s="652"/>
      <c r="S281" s="652"/>
      <c r="T281" s="652"/>
      <c r="U281" s="652"/>
      <c r="V281" s="653"/>
      <c r="W281" s="40" t="s">
        <v>0</v>
      </c>
      <c r="X281" s="41">
        <f>IFERROR(SUM(X272:X279),"0")</f>
        <v>1200</v>
      </c>
      <c r="Y281" s="41">
        <f>IFERROR(SUM(Y272:Y279),"0")</f>
        <v>1215</v>
      </c>
      <c r="Z281" s="40"/>
      <c r="AA281" s="64"/>
      <c r="AB281" s="64"/>
      <c r="AC281" s="64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3"/>
      <c r="AB282" s="63"/>
      <c r="AC282" s="63"/>
    </row>
    <row r="283" spans="1:68" ht="27" customHeight="1" x14ac:dyDescent="0.25">
      <c r="A283" s="60" t="s">
        <v>473</v>
      </c>
      <c r="B283" s="60" t="s">
        <v>474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500</v>
      </c>
      <c r="Y283" s="53">
        <f t="shared" ref="Y283:Y294" si="48">IFERROR(IF(X283="",0,CEILING((X283/$H283),1)*$H283),"")</f>
        <v>502.2</v>
      </c>
      <c r="Z283" s="39">
        <f>IFERROR(IF(Y283=0,"",ROUNDUP(Y283/H283,0)*0.01898),"")</f>
        <v>1.17676</v>
      </c>
      <c r="AA283" s="65" t="s">
        <v>46</v>
      </c>
      <c r="AB283" s="66" t="s">
        <v>46</v>
      </c>
      <c r="AC283" s="371" t="s">
        <v>475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530.49382716049388</v>
      </c>
      <c r="BN283" s="75">
        <f t="shared" ref="BN283:BN294" si="50">IFERROR(Y283*I283/H283,"0")</f>
        <v>532.82799999999997</v>
      </c>
      <c r="BO283" s="75">
        <f t="shared" ref="BO283:BO294" si="51">IFERROR(1/J283*(X283/H283),"0")</f>
        <v>0.96450617283950624</v>
      </c>
      <c r="BP283" s="75">
        <f t="shared" ref="BP283:BP294" si="52">IFERROR(1/J283*(Y283/H283),"0")</f>
        <v>0.96875</v>
      </c>
    </row>
    <row r="284" spans="1:68" ht="27" customHeight="1" x14ac:dyDescent="0.25">
      <c r="A284" s="60" t="s">
        <v>476</v>
      </c>
      <c r="B284" s="60" t="s">
        <v>477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550</v>
      </c>
      <c r="Y284" s="53">
        <f t="shared" si="48"/>
        <v>550.79999999999995</v>
      </c>
      <c r="Z284" s="39">
        <f>IFERROR(IF(Y284=0,"",ROUNDUP(Y284/H284,0)*0.01898),"")</f>
        <v>1.29064</v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582.32098765432102</v>
      </c>
      <c r="BN284" s="75">
        <f t="shared" si="50"/>
        <v>583.16800000000001</v>
      </c>
      <c r="BO284" s="75">
        <f t="shared" si="51"/>
        <v>1.0609567901234569</v>
      </c>
      <c r="BP284" s="75">
        <f t="shared" si="52"/>
        <v>1.0625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481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200</v>
      </c>
      <c r="Y286" s="53">
        <f t="shared" si="48"/>
        <v>201.6</v>
      </c>
      <c r="Z286" s="39">
        <f>IFERROR(IF(Y286=0,"",ROUNDUP(Y286/H286,0)*0.00651),"")</f>
        <v>0.54683999999999999</v>
      </c>
      <c r="AA286" s="65" t="s">
        <v>46</v>
      </c>
      <c r="AB286" s="66" t="s">
        <v>46</v>
      </c>
      <c r="AC286" s="377" t="s">
        <v>475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222.5</v>
      </c>
      <c r="BN286" s="75">
        <f t="shared" si="50"/>
        <v>224.27999999999997</v>
      </c>
      <c r="BO286" s="75">
        <f t="shared" si="51"/>
        <v>0.45787545787545797</v>
      </c>
      <c r="BP286" s="75">
        <f t="shared" si="52"/>
        <v>0.46153846153846156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481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488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481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488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497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customHeight="1" x14ac:dyDescent="0.25">
      <c r="A293" s="60" t="s">
        <v>498</v>
      </c>
      <c r="B293" s="60" t="s">
        <v>499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400</v>
      </c>
      <c r="Y293" s="53">
        <f t="shared" si="48"/>
        <v>400.8</v>
      </c>
      <c r="Z293" s="39">
        <f>IFERROR(IF(Y293=0,"",ROUNDUP(Y293/H293,0)*0.00651),"")</f>
        <v>1.08717</v>
      </c>
      <c r="AA293" s="65" t="s">
        <v>46</v>
      </c>
      <c r="AB293" s="66" t="s">
        <v>46</v>
      </c>
      <c r="AC293" s="391" t="s">
        <v>500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443.00000000000006</v>
      </c>
      <c r="BN293" s="75">
        <f t="shared" si="50"/>
        <v>443.88599999999997</v>
      </c>
      <c r="BO293" s="75">
        <f t="shared" si="51"/>
        <v>0.91575091575091594</v>
      </c>
      <c r="BP293" s="75">
        <f t="shared" si="52"/>
        <v>0.91758241758241765</v>
      </c>
    </row>
    <row r="294" spans="1:68" ht="27" hidden="1" customHeight="1" x14ac:dyDescent="0.25">
      <c r="A294" s="60" t="s">
        <v>501</v>
      </c>
      <c r="B294" s="60" t="s">
        <v>502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503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654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1" t="s">
        <v>40</v>
      </c>
      <c r="Q295" s="652"/>
      <c r="R295" s="652"/>
      <c r="S295" s="652"/>
      <c r="T295" s="652"/>
      <c r="U295" s="652"/>
      <c r="V295" s="653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379.62962962962968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381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4.1014099999999996</v>
      </c>
      <c r="AA295" s="64"/>
      <c r="AB295" s="64"/>
      <c r="AC295" s="64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1" t="s">
        <v>40</v>
      </c>
      <c r="Q296" s="652"/>
      <c r="R296" s="652"/>
      <c r="S296" s="652"/>
      <c r="T296" s="652"/>
      <c r="U296" s="652"/>
      <c r="V296" s="653"/>
      <c r="W296" s="40" t="s">
        <v>0</v>
      </c>
      <c r="X296" s="41">
        <f>IFERROR(SUM(X283:X294),"0")</f>
        <v>1650</v>
      </c>
      <c r="Y296" s="41">
        <f>IFERROR(SUM(Y283:Y294),"0")</f>
        <v>1655.3999999999999</v>
      </c>
      <c r="Z296" s="40"/>
      <c r="AA296" s="64"/>
      <c r="AB296" s="64"/>
      <c r="AC296" s="64"/>
    </row>
    <row r="297" spans="1:68" ht="14.25" hidden="1" customHeight="1" x14ac:dyDescent="0.25">
      <c r="A297" s="665" t="s">
        <v>179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3"/>
      <c r="AB297" s="63"/>
      <c r="AC297" s="63"/>
    </row>
    <row r="298" spans="1:68" ht="27" customHeight="1" x14ac:dyDescent="0.25">
      <c r="A298" s="60" t="s">
        <v>504</v>
      </c>
      <c r="B298" s="60" t="s">
        <v>505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140</v>
      </c>
      <c r="Y298" s="53">
        <f>IFERROR(IF(X298="",0,CEILING((X298/$H298),1)*$H298),"")</f>
        <v>141.6</v>
      </c>
      <c r="Z298" s="39">
        <f>IFERROR(IF(Y298=0,"",ROUNDUP(Y298/H298,0)*0.00651),"")</f>
        <v>0.38408999999999999</v>
      </c>
      <c r="AA298" s="65" t="s">
        <v>46</v>
      </c>
      <c r="AB298" s="66" t="s">
        <v>46</v>
      </c>
      <c r="AC298" s="395" t="s">
        <v>506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154.70000000000002</v>
      </c>
      <c r="BN298" s="75">
        <f>IFERROR(Y298*I298/H298,"0")</f>
        <v>156.46800000000002</v>
      </c>
      <c r="BO298" s="75">
        <f>IFERROR(1/J298*(X298/H298),"0")</f>
        <v>0.32051282051282054</v>
      </c>
      <c r="BP298" s="75">
        <f>IFERROR(1/J298*(Y298/H298),"0")</f>
        <v>0.32417582417582419</v>
      </c>
    </row>
    <row r="299" spans="1:68" ht="27" customHeight="1" x14ac:dyDescent="0.25">
      <c r="A299" s="60" t="s">
        <v>507</v>
      </c>
      <c r="B299" s="60" t="s">
        <v>508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200</v>
      </c>
      <c r="Y299" s="53">
        <f>IFERROR(IF(X299="",0,CEILING((X299/$H299),1)*$H299),"")</f>
        <v>201.6</v>
      </c>
      <c r="Z299" s="39">
        <f>IFERROR(IF(Y299=0,"",ROUNDUP(Y299/H299,0)*0.00651),"")</f>
        <v>0.54683999999999999</v>
      </c>
      <c r="AA299" s="65" t="s">
        <v>46</v>
      </c>
      <c r="AB299" s="66" t="s">
        <v>46</v>
      </c>
      <c r="AC299" s="397" t="s">
        <v>509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221</v>
      </c>
      <c r="BN299" s="75">
        <f>IFERROR(Y299*I299/H299,"0")</f>
        <v>222.768</v>
      </c>
      <c r="BO299" s="75">
        <f>IFERROR(1/J299*(X299/H299),"0")</f>
        <v>0.45787545787545797</v>
      </c>
      <c r="BP299" s="75">
        <f>IFERROR(1/J299*(Y299/H299),"0")</f>
        <v>0.46153846153846156</v>
      </c>
    </row>
    <row r="300" spans="1:68" x14ac:dyDescent="0.2">
      <c r="A300" s="654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1" t="s">
        <v>40</v>
      </c>
      <c r="Q300" s="652"/>
      <c r="R300" s="652"/>
      <c r="S300" s="652"/>
      <c r="T300" s="652"/>
      <c r="U300" s="652"/>
      <c r="V300" s="653"/>
      <c r="W300" s="40" t="s">
        <v>39</v>
      </c>
      <c r="X300" s="41">
        <f>IFERROR(X298/H298,"0")+IFERROR(X299/H299,"0")</f>
        <v>141.66666666666669</v>
      </c>
      <c r="Y300" s="41">
        <f>IFERROR(Y298/H298,"0")+IFERROR(Y299/H299,"0")</f>
        <v>143</v>
      </c>
      <c r="Z300" s="41">
        <f>IFERROR(IF(Z298="",0,Z298),"0")+IFERROR(IF(Z299="",0,Z299),"0")</f>
        <v>0.93093000000000004</v>
      </c>
      <c r="AA300" s="64"/>
      <c r="AB300" s="64"/>
      <c r="AC300" s="64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1" t="s">
        <v>40</v>
      </c>
      <c r="Q301" s="652"/>
      <c r="R301" s="652"/>
      <c r="S301" s="652"/>
      <c r="T301" s="652"/>
      <c r="U301" s="652"/>
      <c r="V301" s="653"/>
      <c r="W301" s="40" t="s">
        <v>0</v>
      </c>
      <c r="X301" s="41">
        <f>IFERROR(SUM(X298:X299),"0")</f>
        <v>340</v>
      </c>
      <c r="Y301" s="41">
        <f>IFERROR(SUM(Y298:Y299),"0")</f>
        <v>343.2</v>
      </c>
      <c r="Z301" s="40"/>
      <c r="AA301" s="64"/>
      <c r="AB301" s="64"/>
      <c r="AC301" s="64"/>
    </row>
    <row r="302" spans="1:68" ht="16.5" hidden="1" customHeight="1" x14ac:dyDescent="0.25">
      <c r="A302" s="664" t="s">
        <v>510</v>
      </c>
      <c r="B302" s="664"/>
      <c r="C302" s="664"/>
      <c r="D302" s="664"/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  <c r="Y302" s="664"/>
      <c r="Z302" s="664"/>
      <c r="AA302" s="62"/>
      <c r="AB302" s="62"/>
      <c r="AC302" s="62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3"/>
      <c r="AB303" s="63"/>
      <c r="AC303" s="63"/>
    </row>
    <row r="304" spans="1:68" ht="27" hidden="1" customHeight="1" x14ac:dyDescent="0.25">
      <c r="A304" s="60" t="s">
        <v>511</v>
      </c>
      <c r="B304" s="60" t="s">
        <v>512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513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514</v>
      </c>
      <c r="B305" s="60" t="s">
        <v>515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516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364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customHeight="1" x14ac:dyDescent="0.25">
      <c r="A307" s="60" t="s">
        <v>519</v>
      </c>
      <c r="B307" s="60" t="s">
        <v>520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12</v>
      </c>
      <c r="Y307" s="53">
        <f t="shared" si="53"/>
        <v>12</v>
      </c>
      <c r="Z307" s="39">
        <f>IFERROR(IF(Y307=0,"",ROUNDUP(Y307/H307,0)*0.00902),"")</f>
        <v>2.7060000000000001E-2</v>
      </c>
      <c r="AA307" s="65" t="s">
        <v>46</v>
      </c>
      <c r="AB307" s="66" t="s">
        <v>46</v>
      </c>
      <c r="AC307" s="405" t="s">
        <v>513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12.57</v>
      </c>
      <c r="BN307" s="75">
        <f t="shared" si="55"/>
        <v>12.57</v>
      </c>
      <c r="BO307" s="75">
        <f t="shared" si="56"/>
        <v>2.2727272727272728E-2</v>
      </c>
      <c r="BP307" s="75">
        <f t="shared" si="57"/>
        <v>2.2727272727272728E-2</v>
      </c>
    </row>
    <row r="308" spans="1:68" ht="27" hidden="1" customHeight="1" x14ac:dyDescent="0.25">
      <c r="A308" s="60" t="s">
        <v>521</v>
      </c>
      <c r="B308" s="60" t="s">
        <v>522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523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524</v>
      </c>
      <c r="B309" s="60" t="s">
        <v>525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526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527</v>
      </c>
      <c r="B310" s="60" t="s">
        <v>528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364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x14ac:dyDescent="0.2">
      <c r="A311" s="654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1" t="s">
        <v>40</v>
      </c>
      <c r="Q311" s="652"/>
      <c r="R311" s="652"/>
      <c r="S311" s="652"/>
      <c r="T311" s="652"/>
      <c r="U311" s="652"/>
      <c r="V311" s="653"/>
      <c r="W311" s="40" t="s">
        <v>39</v>
      </c>
      <c r="X311" s="41">
        <f>IFERROR(X304/H304,"0")+IFERROR(X305/H305,"0")+IFERROR(X306/H306,"0")+IFERROR(X307/H307,"0")+IFERROR(X308/H308,"0")+IFERROR(X309/H309,"0")+IFERROR(X310/H310,"0")</f>
        <v>3</v>
      </c>
      <c r="Y311" s="41">
        <f>IFERROR(Y304/H304,"0")+IFERROR(Y305/H305,"0")+IFERROR(Y306/H306,"0")+IFERROR(Y307/H307,"0")+IFERROR(Y308/H308,"0")+IFERROR(Y309/H309,"0")+IFERROR(Y310/H310,"0")</f>
        <v>3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2.7060000000000001E-2</v>
      </c>
      <c r="AA311" s="64"/>
      <c r="AB311" s="64"/>
      <c r="AC311" s="64"/>
    </row>
    <row r="312" spans="1:68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1" t="s">
        <v>40</v>
      </c>
      <c r="Q312" s="652"/>
      <c r="R312" s="652"/>
      <c r="S312" s="652"/>
      <c r="T312" s="652"/>
      <c r="U312" s="652"/>
      <c r="V312" s="653"/>
      <c r="W312" s="40" t="s">
        <v>0</v>
      </c>
      <c r="X312" s="41">
        <f>IFERROR(SUM(X304:X310),"0")</f>
        <v>12</v>
      </c>
      <c r="Y312" s="41">
        <f>IFERROR(SUM(Y304:Y310),"0")</f>
        <v>12</v>
      </c>
      <c r="Z312" s="40"/>
      <c r="AA312" s="64"/>
      <c r="AB312" s="64"/>
      <c r="AC312" s="64"/>
    </row>
    <row r="313" spans="1:68" ht="14.25" hidden="1" customHeight="1" x14ac:dyDescent="0.25">
      <c r="A313" s="665" t="s">
        <v>159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3"/>
      <c r="AB313" s="63"/>
      <c r="AC313" s="63"/>
    </row>
    <row r="314" spans="1:68" ht="27" hidden="1" customHeight="1" x14ac:dyDescent="0.25">
      <c r="A314" s="60" t="s">
        <v>529</v>
      </c>
      <c r="B314" s="60" t="s">
        <v>530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531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4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1" t="s">
        <v>40</v>
      </c>
      <c r="Q315" s="652"/>
      <c r="R315" s="652"/>
      <c r="S315" s="652"/>
      <c r="T315" s="652"/>
      <c r="U315" s="652"/>
      <c r="V315" s="653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1" t="s">
        <v>40</v>
      </c>
      <c r="Q316" s="652"/>
      <c r="R316" s="652"/>
      <c r="S316" s="652"/>
      <c r="T316" s="652"/>
      <c r="U316" s="652"/>
      <c r="V316" s="653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5" t="s">
        <v>532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customHeight="1" x14ac:dyDescent="0.25">
      <c r="A318" s="60" t="s">
        <v>533</v>
      </c>
      <c r="B318" s="60" t="s">
        <v>534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341</v>
      </c>
      <c r="L318" s="35" t="s">
        <v>46</v>
      </c>
      <c r="M318" s="36" t="s">
        <v>283</v>
      </c>
      <c r="N318" s="36"/>
      <c r="O318" s="35">
        <v>45</v>
      </c>
      <c r="P318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22</v>
      </c>
      <c r="Y318" s="53">
        <f>IFERROR(IF(X318="",0,CEILING((X318/$H318),1)*$H318),"")</f>
        <v>23.400000000000002</v>
      </c>
      <c r="Z318" s="39">
        <f>IFERROR(IF(Y318=0,"",ROUNDUP(Y318/H318,0)*0.0059),"")</f>
        <v>7.6700000000000004E-2</v>
      </c>
      <c r="AA318" s="65" t="s">
        <v>46</v>
      </c>
      <c r="AB318" s="66" t="s">
        <v>46</v>
      </c>
      <c r="AC318" s="415" t="s">
        <v>535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24.138888888888889</v>
      </c>
      <c r="BN318" s="75">
        <f>IFERROR(Y318*I318/H318,"0")</f>
        <v>25.675000000000001</v>
      </c>
      <c r="BO318" s="75">
        <f>IFERROR(1/J318*(X318/H318),"0")</f>
        <v>5.6584362139917688E-2</v>
      </c>
      <c r="BP318" s="75">
        <f>IFERROR(1/J318*(Y318/H318),"0")</f>
        <v>6.0185185185185182E-2</v>
      </c>
    </row>
    <row r="319" spans="1:68" x14ac:dyDescent="0.2">
      <c r="A319" s="654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1" t="s">
        <v>40</v>
      </c>
      <c r="Q319" s="652"/>
      <c r="R319" s="652"/>
      <c r="S319" s="652"/>
      <c r="T319" s="652"/>
      <c r="U319" s="652"/>
      <c r="V319" s="653"/>
      <c r="W319" s="40" t="s">
        <v>39</v>
      </c>
      <c r="X319" s="41">
        <f>IFERROR(X318/H318,"0")</f>
        <v>12.222222222222221</v>
      </c>
      <c r="Y319" s="41">
        <f>IFERROR(Y318/H318,"0")</f>
        <v>13</v>
      </c>
      <c r="Z319" s="41">
        <f>IFERROR(IF(Z318="",0,Z318),"0")</f>
        <v>7.6700000000000004E-2</v>
      </c>
      <c r="AA319" s="64"/>
      <c r="AB319" s="64"/>
      <c r="AC319" s="64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1" t="s">
        <v>40</v>
      </c>
      <c r="Q320" s="652"/>
      <c r="R320" s="652"/>
      <c r="S320" s="652"/>
      <c r="T320" s="652"/>
      <c r="U320" s="652"/>
      <c r="V320" s="653"/>
      <c r="W320" s="40" t="s">
        <v>0</v>
      </c>
      <c r="X320" s="41">
        <f>IFERROR(SUM(X318:X318),"0")</f>
        <v>22</v>
      </c>
      <c r="Y320" s="41">
        <f>IFERROR(SUM(Y318:Y318),"0")</f>
        <v>23.400000000000002</v>
      </c>
      <c r="Z320" s="40"/>
      <c r="AA320" s="64"/>
      <c r="AB320" s="64"/>
      <c r="AC320" s="64"/>
    </row>
    <row r="321" spans="1:68" ht="14.25" hidden="1" customHeight="1" x14ac:dyDescent="0.25">
      <c r="A321" s="665" t="s">
        <v>342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3"/>
      <c r="AB321" s="63"/>
      <c r="AC321" s="63"/>
    </row>
    <row r="322" spans="1:68" ht="27" customHeight="1" x14ac:dyDescent="0.25">
      <c r="A322" s="60" t="s">
        <v>536</v>
      </c>
      <c r="B322" s="60" t="s">
        <v>537</v>
      </c>
      <c r="C322" s="34">
        <v>4301041008</v>
      </c>
      <c r="D322" s="660">
        <v>4680115886681</v>
      </c>
      <c r="E322" s="660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341</v>
      </c>
      <c r="L322" s="35" t="s">
        <v>46</v>
      </c>
      <c r="M322" s="36" t="s">
        <v>283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12</v>
      </c>
      <c r="Y322" s="53">
        <f>IFERROR(IF(X322="",0,CEILING((X322/$H322),1)*$H322),"")</f>
        <v>12.6</v>
      </c>
      <c r="Z322" s="39">
        <f>IFERROR(IF(Y322=0,"",ROUNDUP(Y322/H322,0)*0.0059),"")</f>
        <v>4.1299999999999996E-2</v>
      </c>
      <c r="AA322" s="65" t="s">
        <v>46</v>
      </c>
      <c r="AB322" s="66" t="s">
        <v>46</v>
      </c>
      <c r="AC322" s="417" t="s">
        <v>538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13.166666666666668</v>
      </c>
      <c r="BN322" s="75">
        <f>IFERROR(Y322*I322/H322,"0")</f>
        <v>13.825000000000001</v>
      </c>
      <c r="BO322" s="75">
        <f>IFERROR(1/J322*(X322/H322),"0")</f>
        <v>3.0864197530864192E-2</v>
      </c>
      <c r="BP322" s="75">
        <f>IFERROR(1/J322*(Y322/H322),"0")</f>
        <v>3.2407407407407406E-2</v>
      </c>
    </row>
    <row r="323" spans="1:68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51" t="s">
        <v>40</v>
      </c>
      <c r="Q323" s="652"/>
      <c r="R323" s="652"/>
      <c r="S323" s="652"/>
      <c r="T323" s="652"/>
      <c r="U323" s="652"/>
      <c r="V323" s="653"/>
      <c r="W323" s="40" t="s">
        <v>39</v>
      </c>
      <c r="X323" s="41">
        <f>IFERROR(X322/H322,"0")</f>
        <v>6.6666666666666661</v>
      </c>
      <c r="Y323" s="41">
        <f>IFERROR(Y322/H322,"0")</f>
        <v>7</v>
      </c>
      <c r="Z323" s="41">
        <f>IFERROR(IF(Z322="",0,Z322),"0")</f>
        <v>4.1299999999999996E-2</v>
      </c>
      <c r="AA323" s="64"/>
      <c r="AB323" s="64"/>
      <c r="AC323" s="64"/>
    </row>
    <row r="324" spans="1:68" x14ac:dyDescent="0.2">
      <c r="A324" s="654"/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5"/>
      <c r="P324" s="651" t="s">
        <v>40</v>
      </c>
      <c r="Q324" s="652"/>
      <c r="R324" s="652"/>
      <c r="S324" s="652"/>
      <c r="T324" s="652"/>
      <c r="U324" s="652"/>
      <c r="V324" s="653"/>
      <c r="W324" s="40" t="s">
        <v>0</v>
      </c>
      <c r="X324" s="41">
        <f>IFERROR(SUM(X322:X322),"0")</f>
        <v>12</v>
      </c>
      <c r="Y324" s="41">
        <f>IFERROR(SUM(Y322:Y322),"0")</f>
        <v>12.6</v>
      </c>
      <c r="Z324" s="40"/>
      <c r="AA324" s="64"/>
      <c r="AB324" s="64"/>
      <c r="AC324" s="64"/>
    </row>
    <row r="325" spans="1:68" ht="16.5" hidden="1" customHeight="1" x14ac:dyDescent="0.25">
      <c r="A325" s="664" t="s">
        <v>539</v>
      </c>
      <c r="B325" s="664"/>
      <c r="C325" s="664"/>
      <c r="D325" s="664"/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  <c r="Y325" s="664"/>
      <c r="Z325" s="664"/>
      <c r="AA325" s="62"/>
      <c r="AB325" s="62"/>
      <c r="AC325" s="62"/>
    </row>
    <row r="326" spans="1:68" ht="14.25" hidden="1" customHeight="1" x14ac:dyDescent="0.25">
      <c r="A326" s="665" t="s">
        <v>122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3"/>
      <c r="AB326" s="63"/>
      <c r="AC326" s="63"/>
    </row>
    <row r="327" spans="1:68" ht="27" hidden="1" customHeight="1" x14ac:dyDescent="0.25">
      <c r="A327" s="60" t="s">
        <v>540</v>
      </c>
      <c r="B327" s="60" t="s">
        <v>541</v>
      </c>
      <c r="C327" s="34">
        <v>4301012390</v>
      </c>
      <c r="D327" s="660">
        <v>4680115889637</v>
      </c>
      <c r="E327" s="660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2"/>
      <c r="R327" s="662"/>
      <c r="S327" s="662"/>
      <c r="T327" s="663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ref="Y327:Y332" si="58"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543</v>
      </c>
      <c r="AC327" s="419" t="s">
        <v>542</v>
      </c>
      <c r="AG327" s="75"/>
      <c r="AJ327" s="79" t="s">
        <v>46</v>
      </c>
      <c r="AK327" s="79">
        <v>0</v>
      </c>
      <c r="BB327" s="420" t="s">
        <v>67</v>
      </c>
      <c r="BM327" s="75">
        <f t="shared" ref="BM327:BM332" si="59">IFERROR(X327*I327/H327,"0")</f>
        <v>0</v>
      </c>
      <c r="BN327" s="75">
        <f t="shared" ref="BN327:BN332" si="60">IFERROR(Y327*I327/H327,"0")</f>
        <v>0</v>
      </c>
      <c r="BO327" s="75">
        <f t="shared" ref="BO327:BO332" si="61">IFERROR(1/J327*(X327/H327),"0")</f>
        <v>0</v>
      </c>
      <c r="BP327" s="75">
        <f t="shared" ref="BP327:BP332" si="62">IFERROR(1/J327*(Y327/H327),"0")</f>
        <v>0</v>
      </c>
    </row>
    <row r="328" spans="1:68" ht="27" hidden="1" customHeight="1" x14ac:dyDescent="0.25">
      <c r="A328" s="60" t="s">
        <v>544</v>
      </c>
      <c r="B328" s="60" t="s">
        <v>545</v>
      </c>
      <c r="C328" s="34">
        <v>4301011855</v>
      </c>
      <c r="D328" s="660">
        <v>4680115885837</v>
      </c>
      <c r="E328" s="660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2"/>
      <c r="R328" s="662"/>
      <c r="S328" s="662"/>
      <c r="T328" s="663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8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546</v>
      </c>
      <c r="AG328" s="75"/>
      <c r="AJ328" s="79" t="s">
        <v>46</v>
      </c>
      <c r="AK328" s="79">
        <v>0</v>
      </c>
      <c r="BB328" s="422" t="s">
        <v>67</v>
      </c>
      <c r="BM328" s="75">
        <f t="shared" si="59"/>
        <v>0</v>
      </c>
      <c r="BN328" s="75">
        <f t="shared" si="60"/>
        <v>0</v>
      </c>
      <c r="BO328" s="75">
        <f t="shared" si="61"/>
        <v>0</v>
      </c>
      <c r="BP328" s="75">
        <f t="shared" si="62"/>
        <v>0</v>
      </c>
    </row>
    <row r="329" spans="1:68" ht="37.5" hidden="1" customHeight="1" x14ac:dyDescent="0.25">
      <c r="A329" s="60" t="s">
        <v>547</v>
      </c>
      <c r="B329" s="60" t="s">
        <v>548</v>
      </c>
      <c r="C329" s="34">
        <v>4301012234</v>
      </c>
      <c r="D329" s="660">
        <v>4680115887237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8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549</v>
      </c>
      <c r="AG329" s="75"/>
      <c r="AJ329" s="79" t="s">
        <v>46</v>
      </c>
      <c r="AK329" s="79">
        <v>0</v>
      </c>
      <c r="BB329" s="424" t="s">
        <v>67</v>
      </c>
      <c r="BM329" s="75">
        <f t="shared" si="59"/>
        <v>0</v>
      </c>
      <c r="BN329" s="75">
        <f t="shared" si="60"/>
        <v>0</v>
      </c>
      <c r="BO329" s="75">
        <f t="shared" si="61"/>
        <v>0</v>
      </c>
      <c r="BP329" s="75">
        <f t="shared" si="62"/>
        <v>0</v>
      </c>
    </row>
    <row r="330" spans="1:68" ht="27" hidden="1" customHeight="1" x14ac:dyDescent="0.25">
      <c r="A330" s="60" t="s">
        <v>550</v>
      </c>
      <c r="B330" s="60" t="s">
        <v>551</v>
      </c>
      <c r="C330" s="34">
        <v>4301011850</v>
      </c>
      <c r="D330" s="660">
        <v>4680115885806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8"/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552</v>
      </c>
      <c r="AG330" s="75"/>
      <c r="AJ330" s="79" t="s">
        <v>46</v>
      </c>
      <c r="AK330" s="79">
        <v>0</v>
      </c>
      <c r="BB330" s="426" t="s">
        <v>67</v>
      </c>
      <c r="BM330" s="75">
        <f t="shared" si="59"/>
        <v>0</v>
      </c>
      <c r="BN330" s="75">
        <f t="shared" si="60"/>
        <v>0</v>
      </c>
      <c r="BO330" s="75">
        <f t="shared" si="61"/>
        <v>0</v>
      </c>
      <c r="BP330" s="75">
        <f t="shared" si="62"/>
        <v>0</v>
      </c>
    </row>
    <row r="331" spans="1:68" ht="27" hidden="1" customHeight="1" x14ac:dyDescent="0.25">
      <c r="A331" s="60" t="s">
        <v>553</v>
      </c>
      <c r="B331" s="60" t="s">
        <v>554</v>
      </c>
      <c r="C331" s="34">
        <v>4301011852</v>
      </c>
      <c r="D331" s="660">
        <v>4680115885844</v>
      </c>
      <c r="E331" s="660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8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555</v>
      </c>
      <c r="AG331" s="75"/>
      <c r="AJ331" s="79" t="s">
        <v>46</v>
      </c>
      <c r="AK331" s="79">
        <v>0</v>
      </c>
      <c r="BB331" s="428" t="s">
        <v>67</v>
      </c>
      <c r="BM331" s="75">
        <f t="shared" si="59"/>
        <v>0</v>
      </c>
      <c r="BN331" s="75">
        <f t="shared" si="60"/>
        <v>0</v>
      </c>
      <c r="BO331" s="75">
        <f t="shared" si="61"/>
        <v>0</v>
      </c>
      <c r="BP331" s="75">
        <f t="shared" si="62"/>
        <v>0</v>
      </c>
    </row>
    <row r="332" spans="1:68" ht="37.5" hidden="1" customHeight="1" x14ac:dyDescent="0.25">
      <c r="A332" s="60" t="s">
        <v>556</v>
      </c>
      <c r="B332" s="60" t="s">
        <v>557</v>
      </c>
      <c r="C332" s="34">
        <v>4301011851</v>
      </c>
      <c r="D332" s="660">
        <v>4680115885820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58"/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558</v>
      </c>
      <c r="AG332" s="75"/>
      <c r="AJ332" s="79" t="s">
        <v>46</v>
      </c>
      <c r="AK332" s="79">
        <v>0</v>
      </c>
      <c r="BB332" s="430" t="s">
        <v>67</v>
      </c>
      <c r="BM332" s="75">
        <f t="shared" si="59"/>
        <v>0</v>
      </c>
      <c r="BN332" s="75">
        <f t="shared" si="60"/>
        <v>0</v>
      </c>
      <c r="BO332" s="75">
        <f t="shared" si="61"/>
        <v>0</v>
      </c>
      <c r="BP332" s="75">
        <f t="shared" si="62"/>
        <v>0</v>
      </c>
    </row>
    <row r="333" spans="1:68" hidden="1" x14ac:dyDescent="0.2">
      <c r="A333" s="654"/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5"/>
      <c r="P333" s="651" t="s">
        <v>40</v>
      </c>
      <c r="Q333" s="652"/>
      <c r="R333" s="652"/>
      <c r="S333" s="652"/>
      <c r="T333" s="652"/>
      <c r="U333" s="652"/>
      <c r="V333" s="653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54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1" t="s">
        <v>40</v>
      </c>
      <c r="Q334" s="652"/>
      <c r="R334" s="652"/>
      <c r="S334" s="652"/>
      <c r="T334" s="652"/>
      <c r="U334" s="652"/>
      <c r="V334" s="653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6.5" hidden="1" customHeight="1" x14ac:dyDescent="0.25">
      <c r="A335" s="664" t="s">
        <v>559</v>
      </c>
      <c r="B335" s="664"/>
      <c r="C335" s="664"/>
      <c r="D335" s="664"/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  <c r="Y335" s="664"/>
      <c r="Z335" s="664"/>
      <c r="AA335" s="62"/>
      <c r="AB335" s="62"/>
      <c r="AC335" s="62"/>
    </row>
    <row r="336" spans="1:68" ht="14.25" hidden="1" customHeight="1" x14ac:dyDescent="0.25">
      <c r="A336" s="665" t="s">
        <v>86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3"/>
      <c r="AB336" s="63"/>
      <c r="AC336" s="63"/>
    </row>
    <row r="337" spans="1:68" ht="27" hidden="1" customHeight="1" x14ac:dyDescent="0.25">
      <c r="A337" s="60" t="s">
        <v>560</v>
      </c>
      <c r="B337" s="60" t="s">
        <v>561</v>
      </c>
      <c r="C337" s="34">
        <v>4301051893</v>
      </c>
      <c r="D337" s="660">
        <v>4680115886186</v>
      </c>
      <c r="E337" s="660"/>
      <c r="F337" s="59">
        <v>0.3</v>
      </c>
      <c r="G337" s="35">
        <v>6</v>
      </c>
      <c r="H337" s="59">
        <v>1.8</v>
      </c>
      <c r="I337" s="59">
        <v>1.98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2"/>
      <c r="R337" s="662"/>
      <c r="S337" s="662"/>
      <c r="T337" s="663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562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563</v>
      </c>
      <c r="B338" s="60" t="s">
        <v>564</v>
      </c>
      <c r="C338" s="34">
        <v>4301051795</v>
      </c>
      <c r="D338" s="660">
        <v>4680115881228</v>
      </c>
      <c r="E338" s="660"/>
      <c r="F338" s="59">
        <v>0.4</v>
      </c>
      <c r="G338" s="35">
        <v>6</v>
      </c>
      <c r="H338" s="59">
        <v>2.4</v>
      </c>
      <c r="I338" s="59">
        <v>2.6520000000000001</v>
      </c>
      <c r="J338" s="35">
        <v>182</v>
      </c>
      <c r="K338" s="35" t="s">
        <v>91</v>
      </c>
      <c r="L338" s="35" t="s">
        <v>46</v>
      </c>
      <c r="M338" s="36" t="s">
        <v>97</v>
      </c>
      <c r="N338" s="36"/>
      <c r="O338" s="35">
        <v>40</v>
      </c>
      <c r="P338" s="77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240</v>
      </c>
      <c r="Y338" s="53">
        <f>IFERROR(IF(X338="",0,CEILING((X338/$H338),1)*$H338),"")</f>
        <v>240</v>
      </c>
      <c r="Z338" s="39">
        <f>IFERROR(IF(Y338=0,"",ROUNDUP(Y338/H338,0)*0.00651),"")</f>
        <v>0.65100000000000002</v>
      </c>
      <c r="AA338" s="65" t="s">
        <v>46</v>
      </c>
      <c r="AB338" s="66" t="s">
        <v>46</v>
      </c>
      <c r="AC338" s="433" t="s">
        <v>565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265.20000000000005</v>
      </c>
      <c r="BN338" s="75">
        <f>IFERROR(Y338*I338/H338,"0")</f>
        <v>265.20000000000005</v>
      </c>
      <c r="BO338" s="75">
        <f>IFERROR(1/J338*(X338/H338),"0")</f>
        <v>0.5494505494505495</v>
      </c>
      <c r="BP338" s="75">
        <f>IFERROR(1/J338*(Y338/H338),"0")</f>
        <v>0.5494505494505495</v>
      </c>
    </row>
    <row r="339" spans="1:68" ht="27" hidden="1" customHeight="1" x14ac:dyDescent="0.25">
      <c r="A339" s="60" t="s">
        <v>566</v>
      </c>
      <c r="B339" s="60" t="s">
        <v>567</v>
      </c>
      <c r="C339" s="34">
        <v>4301051388</v>
      </c>
      <c r="D339" s="660">
        <v>4680115881211</v>
      </c>
      <c r="E339" s="660"/>
      <c r="F339" s="59">
        <v>0.4</v>
      </c>
      <c r="G339" s="35">
        <v>6</v>
      </c>
      <c r="H339" s="59">
        <v>2.4</v>
      </c>
      <c r="I339" s="59">
        <v>2.58</v>
      </c>
      <c r="J339" s="35">
        <v>182</v>
      </c>
      <c r="K339" s="35" t="s">
        <v>91</v>
      </c>
      <c r="L339" s="35" t="s">
        <v>46</v>
      </c>
      <c r="M339" s="36" t="s">
        <v>90</v>
      </c>
      <c r="N339" s="36"/>
      <c r="O339" s="35">
        <v>45</v>
      </c>
      <c r="P339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562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54"/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5"/>
      <c r="P340" s="651" t="s">
        <v>40</v>
      </c>
      <c r="Q340" s="652"/>
      <c r="R340" s="652"/>
      <c r="S340" s="652"/>
      <c r="T340" s="652"/>
      <c r="U340" s="652"/>
      <c r="V340" s="653"/>
      <c r="W340" s="40" t="s">
        <v>39</v>
      </c>
      <c r="X340" s="41">
        <f>IFERROR(X337/H337,"0")+IFERROR(X338/H338,"0")+IFERROR(X339/H339,"0")</f>
        <v>100</v>
      </c>
      <c r="Y340" s="41">
        <f>IFERROR(Y337/H337,"0")+IFERROR(Y338/H338,"0")+IFERROR(Y339/H339,"0")</f>
        <v>100</v>
      </c>
      <c r="Z340" s="41">
        <f>IFERROR(IF(Z337="",0,Z337),"0")+IFERROR(IF(Z338="",0,Z338),"0")+IFERROR(IF(Z339="",0,Z339),"0")</f>
        <v>0.65100000000000002</v>
      </c>
      <c r="AA340" s="64"/>
      <c r="AB340" s="64"/>
      <c r="AC340" s="64"/>
    </row>
    <row r="341" spans="1:68" x14ac:dyDescent="0.2">
      <c r="A341" s="654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1" t="s">
        <v>40</v>
      </c>
      <c r="Q341" s="652"/>
      <c r="R341" s="652"/>
      <c r="S341" s="652"/>
      <c r="T341" s="652"/>
      <c r="U341" s="652"/>
      <c r="V341" s="653"/>
      <c r="W341" s="40" t="s">
        <v>0</v>
      </c>
      <c r="X341" s="41">
        <f>IFERROR(SUM(X337:X339),"0")</f>
        <v>240</v>
      </c>
      <c r="Y341" s="41">
        <f>IFERROR(SUM(Y337:Y339),"0")</f>
        <v>240</v>
      </c>
      <c r="Z341" s="40"/>
      <c r="AA341" s="64"/>
      <c r="AB341" s="64"/>
      <c r="AC341" s="64"/>
    </row>
    <row r="342" spans="1:68" ht="16.5" hidden="1" customHeight="1" x14ac:dyDescent="0.25">
      <c r="A342" s="664" t="s">
        <v>568</v>
      </c>
      <c r="B342" s="664"/>
      <c r="C342" s="664"/>
      <c r="D342" s="664"/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  <c r="Y342" s="664"/>
      <c r="Z342" s="664"/>
      <c r="AA342" s="62"/>
      <c r="AB342" s="62"/>
      <c r="AC342" s="62"/>
    </row>
    <row r="343" spans="1:68" ht="14.25" hidden="1" customHeight="1" x14ac:dyDescent="0.25">
      <c r="A343" s="665" t="s">
        <v>77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3"/>
      <c r="AB343" s="63"/>
      <c r="AC343" s="63"/>
    </row>
    <row r="344" spans="1:68" ht="27" hidden="1" customHeight="1" x14ac:dyDescent="0.25">
      <c r="A344" s="60" t="s">
        <v>569</v>
      </c>
      <c r="B344" s="60" t="s">
        <v>570</v>
      </c>
      <c r="C344" s="34">
        <v>4301031445</v>
      </c>
      <c r="D344" s="660">
        <v>4680115888319</v>
      </c>
      <c r="E344" s="660"/>
      <c r="F344" s="59">
        <v>0.35</v>
      </c>
      <c r="G344" s="35">
        <v>6</v>
      </c>
      <c r="H344" s="59">
        <v>2.1</v>
      </c>
      <c r="I344" s="59">
        <v>2.23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45</v>
      </c>
      <c r="P344" s="76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2"/>
      <c r="R344" s="662"/>
      <c r="S344" s="662"/>
      <c r="T344" s="66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396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571</v>
      </c>
      <c r="B345" s="60" t="s">
        <v>572</v>
      </c>
      <c r="C345" s="34">
        <v>4301031502</v>
      </c>
      <c r="D345" s="660">
        <v>4680115884700</v>
      </c>
      <c r="E345" s="660"/>
      <c r="F345" s="59">
        <v>0.57999999999999996</v>
      </c>
      <c r="G345" s="35">
        <v>4</v>
      </c>
      <c r="H345" s="59">
        <v>2.3199999999999998</v>
      </c>
      <c r="I345" s="59">
        <v>2.42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573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574</v>
      </c>
      <c r="B346" s="60" t="s">
        <v>575</v>
      </c>
      <c r="C346" s="34">
        <v>4301031307</v>
      </c>
      <c r="D346" s="660">
        <v>4680115880344</v>
      </c>
      <c r="E346" s="660"/>
      <c r="F346" s="59">
        <v>0.28000000000000003</v>
      </c>
      <c r="G346" s="35">
        <v>6</v>
      </c>
      <c r="H346" s="59">
        <v>1.68</v>
      </c>
      <c r="I346" s="59">
        <v>1.78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576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4301031501</v>
      </c>
      <c r="D347" s="660">
        <v>4680115886919</v>
      </c>
      <c r="E347" s="660"/>
      <c r="F347" s="59">
        <v>0.4</v>
      </c>
      <c r="G347" s="35">
        <v>6</v>
      </c>
      <c r="H347" s="59">
        <v>2.4</v>
      </c>
      <c r="I347" s="59">
        <v>2.58</v>
      </c>
      <c r="J347" s="35">
        <v>182</v>
      </c>
      <c r="K347" s="35" t="s">
        <v>91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46</v>
      </c>
      <c r="AB347" s="66" t="s">
        <v>46</v>
      </c>
      <c r="AC347" s="443" t="s">
        <v>579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4301031246</v>
      </c>
      <c r="D348" s="660">
        <v>4680115883970</v>
      </c>
      <c r="E348" s="660"/>
      <c r="F348" s="59">
        <v>0.28000000000000003</v>
      </c>
      <c r="G348" s="35">
        <v>6</v>
      </c>
      <c r="H348" s="59">
        <v>1.68</v>
      </c>
      <c r="I348" s="59">
        <v>2.5</v>
      </c>
      <c r="J348" s="35">
        <v>234</v>
      </c>
      <c r="K348" s="35" t="s">
        <v>82</v>
      </c>
      <c r="L348" s="35" t="s">
        <v>46</v>
      </c>
      <c r="M348" s="36" t="s">
        <v>81</v>
      </c>
      <c r="N348" s="36"/>
      <c r="O348" s="35">
        <v>40</v>
      </c>
      <c r="P348" s="7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IFERROR(IF(Y348=0,"",ROUNDUP(Y348/H348,0)*0.00502),"")</f>
        <v/>
      </c>
      <c r="AA348" s="65" t="s">
        <v>46</v>
      </c>
      <c r="AB348" s="66" t="s">
        <v>46</v>
      </c>
      <c r="AC348" s="445" t="s">
        <v>582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54"/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5"/>
      <c r="P349" s="651" t="s">
        <v>40</v>
      </c>
      <c r="Q349" s="652"/>
      <c r="R349" s="652"/>
      <c r="S349" s="652"/>
      <c r="T349" s="652"/>
      <c r="U349" s="652"/>
      <c r="V349" s="653"/>
      <c r="W349" s="40" t="s">
        <v>39</v>
      </c>
      <c r="X349" s="41">
        <f>IFERROR(X344/H344,"0")+IFERROR(X345/H345,"0")+IFERROR(X346/H346,"0")+IFERROR(X347/H347,"0")+IFERROR(X348/H348,"0")</f>
        <v>0</v>
      </c>
      <c r="Y349" s="41">
        <f>IFERROR(Y344/H344,"0")+IFERROR(Y345/H345,"0")+IFERROR(Y346/H346,"0")+IFERROR(Y347/H347,"0")+IFERROR(Y348/H348,"0")</f>
        <v>0</v>
      </c>
      <c r="Z349" s="41">
        <f>IFERROR(IF(Z344="",0,Z344),"0")+IFERROR(IF(Z345="",0,Z345),"0")+IFERROR(IF(Z346="",0,Z346),"0")+IFERROR(IF(Z347="",0,Z347),"0")+IFERROR(IF(Z348="",0,Z348),"0")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54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1" t="s">
        <v>40</v>
      </c>
      <c r="Q350" s="652"/>
      <c r="R350" s="652"/>
      <c r="S350" s="652"/>
      <c r="T350" s="652"/>
      <c r="U350" s="652"/>
      <c r="V350" s="653"/>
      <c r="W350" s="40" t="s">
        <v>0</v>
      </c>
      <c r="X350" s="41">
        <f>IFERROR(SUM(X344:X348),"0")</f>
        <v>0</v>
      </c>
      <c r="Y350" s="41">
        <f>IFERROR(SUM(Y344:Y348),"0")</f>
        <v>0</v>
      </c>
      <c r="Z350" s="40"/>
      <c r="AA350" s="64"/>
      <c r="AB350" s="64"/>
      <c r="AC350" s="64"/>
    </row>
    <row r="351" spans="1:68" ht="14.25" hidden="1" customHeight="1" x14ac:dyDescent="0.25">
      <c r="A351" s="665" t="s">
        <v>86</v>
      </c>
      <c r="B351" s="665"/>
      <c r="C351" s="665"/>
      <c r="D351" s="665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3"/>
      <c r="AB351" s="63"/>
      <c r="AC351" s="63"/>
    </row>
    <row r="352" spans="1:68" ht="27" hidden="1" customHeight="1" x14ac:dyDescent="0.25">
      <c r="A352" s="60" t="s">
        <v>583</v>
      </c>
      <c r="B352" s="60" t="s">
        <v>584</v>
      </c>
      <c r="C352" s="34">
        <v>4301051782</v>
      </c>
      <c r="D352" s="660">
        <v>4680115884618</v>
      </c>
      <c r="E352" s="660"/>
      <c r="F352" s="59">
        <v>0.6</v>
      </c>
      <c r="G352" s="35">
        <v>6</v>
      </c>
      <c r="H352" s="59">
        <v>3.6</v>
      </c>
      <c r="I352" s="59">
        <v>3.79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2"/>
      <c r="R352" s="662"/>
      <c r="S352" s="662"/>
      <c r="T352" s="663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585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586</v>
      </c>
      <c r="B353" s="60" t="s">
        <v>587</v>
      </c>
      <c r="C353" s="34">
        <v>4301052057</v>
      </c>
      <c r="D353" s="660">
        <v>4680115887114</v>
      </c>
      <c r="E353" s="660"/>
      <c r="F353" s="59">
        <v>0.55000000000000004</v>
      </c>
      <c r="G353" s="35">
        <v>6</v>
      </c>
      <c r="H353" s="59">
        <v>3.3</v>
      </c>
      <c r="I353" s="59">
        <v>3.49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588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54"/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5"/>
      <c r="P354" s="651" t="s">
        <v>40</v>
      </c>
      <c r="Q354" s="652"/>
      <c r="R354" s="652"/>
      <c r="S354" s="652"/>
      <c r="T354" s="652"/>
      <c r="U354" s="652"/>
      <c r="V354" s="653"/>
      <c r="W354" s="40" t="s">
        <v>39</v>
      </c>
      <c r="X354" s="41">
        <f>IFERROR(X352/H352,"0")+IFERROR(X353/H353,"0")</f>
        <v>0</v>
      </c>
      <c r="Y354" s="41">
        <f>IFERROR(Y352/H352,"0")+IFERROR(Y353/H353,"0")</f>
        <v>0</v>
      </c>
      <c r="Z354" s="41">
        <f>IFERROR(IF(Z352="",0,Z352),"0")+IFERROR(IF(Z353="",0,Z353),"0")</f>
        <v>0</v>
      </c>
      <c r="AA354" s="64"/>
      <c r="AB354" s="64"/>
      <c r="AC354" s="64"/>
    </row>
    <row r="355" spans="1:68" hidden="1" x14ac:dyDescent="0.2">
      <c r="A355" s="654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1" t="s">
        <v>40</v>
      </c>
      <c r="Q355" s="652"/>
      <c r="R355" s="652"/>
      <c r="S355" s="652"/>
      <c r="T355" s="652"/>
      <c r="U355" s="652"/>
      <c r="V355" s="653"/>
      <c r="W355" s="40" t="s">
        <v>0</v>
      </c>
      <c r="X355" s="41">
        <f>IFERROR(SUM(X352:X353),"0")</f>
        <v>0</v>
      </c>
      <c r="Y355" s="41">
        <f>IFERROR(SUM(Y352:Y353),"0")</f>
        <v>0</v>
      </c>
      <c r="Z355" s="40"/>
      <c r="AA355" s="64"/>
      <c r="AB355" s="64"/>
      <c r="AC355" s="64"/>
    </row>
    <row r="356" spans="1:68" ht="16.5" hidden="1" customHeight="1" x14ac:dyDescent="0.25">
      <c r="A356" s="664" t="s">
        <v>589</v>
      </c>
      <c r="B356" s="664"/>
      <c r="C356" s="664"/>
      <c r="D356" s="664"/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  <c r="Y356" s="664"/>
      <c r="Z356" s="664"/>
      <c r="AA356" s="62"/>
      <c r="AB356" s="62"/>
      <c r="AC356" s="62"/>
    </row>
    <row r="357" spans="1:68" ht="14.25" hidden="1" customHeight="1" x14ac:dyDescent="0.25">
      <c r="A357" s="665" t="s">
        <v>122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3"/>
      <c r="AB357" s="63"/>
      <c r="AC357" s="63"/>
    </row>
    <row r="358" spans="1:68" ht="27" customHeight="1" x14ac:dyDescent="0.25">
      <c r="A358" s="60" t="s">
        <v>590</v>
      </c>
      <c r="B358" s="60" t="s">
        <v>591</v>
      </c>
      <c r="C358" s="34">
        <v>4301012324</v>
      </c>
      <c r="D358" s="660">
        <v>4680115887947</v>
      </c>
      <c r="E358" s="660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2"/>
      <c r="R358" s="662"/>
      <c r="S358" s="662"/>
      <c r="T358" s="663"/>
      <c r="U358" s="37" t="s">
        <v>46</v>
      </c>
      <c r="V358" s="37" t="s">
        <v>46</v>
      </c>
      <c r="W358" s="38" t="s">
        <v>0</v>
      </c>
      <c r="X358" s="56">
        <v>400</v>
      </c>
      <c r="Y358" s="53">
        <f>IFERROR(IF(X358="",0,CEILING((X358/$H358),1)*$H358),"")</f>
        <v>405.59999999999997</v>
      </c>
      <c r="Z358" s="39">
        <f>IFERROR(IF(Y358=0,"",ROUNDUP(Y358/H358,0)*0.01898),"")</f>
        <v>0.98696000000000006</v>
      </c>
      <c r="AA358" s="65" t="s">
        <v>46</v>
      </c>
      <c r="AB358" s="66" t="s">
        <v>46</v>
      </c>
      <c r="AC358" s="451" t="s">
        <v>355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421.02564102564111</v>
      </c>
      <c r="BN358" s="75">
        <f>IFERROR(Y358*I358/H358,"0")</f>
        <v>426.92</v>
      </c>
      <c r="BO358" s="75">
        <f>IFERROR(1/J358*(X358/H358),"0")</f>
        <v>0.80128205128205132</v>
      </c>
      <c r="BP358" s="75">
        <f>IFERROR(1/J358*(Y358/H358),"0")</f>
        <v>0.8125</v>
      </c>
    </row>
    <row r="359" spans="1:68" ht="27" customHeight="1" x14ac:dyDescent="0.25">
      <c r="A359" s="60" t="s">
        <v>592</v>
      </c>
      <c r="B359" s="60" t="s">
        <v>593</v>
      </c>
      <c r="C359" s="34">
        <v>4301012325</v>
      </c>
      <c r="D359" s="660">
        <v>4680115887978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500</v>
      </c>
      <c r="Y359" s="53">
        <f>IFERROR(IF(X359="",0,CEILING((X359/$H359),1)*$H359),"")</f>
        <v>507</v>
      </c>
      <c r="Z359" s="39">
        <f>IFERROR(IF(Y359=0,"",ROUNDUP(Y359/H359,0)*0.01898),"")</f>
        <v>1.2337</v>
      </c>
      <c r="AA359" s="65" t="s">
        <v>46</v>
      </c>
      <c r="AB359" s="66" t="s">
        <v>46</v>
      </c>
      <c r="AC359" s="453" t="s">
        <v>594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526.28205128205127</v>
      </c>
      <c r="BN359" s="75">
        <f>IFERROR(Y359*I359/H359,"0")</f>
        <v>533.65000000000009</v>
      </c>
      <c r="BO359" s="75">
        <f>IFERROR(1/J359*(X359/H359),"0")</f>
        <v>1.0016025641025641</v>
      </c>
      <c r="BP359" s="75">
        <f>IFERROR(1/J359*(Y359/H359),"0")</f>
        <v>1.015625</v>
      </c>
    </row>
    <row r="360" spans="1:68" ht="27" customHeight="1" x14ac:dyDescent="0.25">
      <c r="A360" s="60" t="s">
        <v>595</v>
      </c>
      <c r="B360" s="60" t="s">
        <v>596</v>
      </c>
      <c r="C360" s="34">
        <v>4301012327</v>
      </c>
      <c r="D360" s="660">
        <v>4680115887992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180</v>
      </c>
      <c r="Y360" s="53">
        <f>IFERROR(IF(X360="",0,CEILING((X360/$H360),1)*$H360),"")</f>
        <v>187.2</v>
      </c>
      <c r="Z360" s="39">
        <f>IFERROR(IF(Y360=0,"",ROUNDUP(Y360/H360,0)*0.01898),"")</f>
        <v>0.45552000000000004</v>
      </c>
      <c r="AA360" s="65" t="s">
        <v>46</v>
      </c>
      <c r="AB360" s="66" t="s">
        <v>46</v>
      </c>
      <c r="AC360" s="455" t="s">
        <v>597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189.46153846153848</v>
      </c>
      <c r="BN360" s="75">
        <f>IFERROR(Y360*I360/H360,"0")</f>
        <v>197.04000000000002</v>
      </c>
      <c r="BO360" s="75">
        <f>IFERROR(1/J360*(X360/H360),"0")</f>
        <v>0.36057692307692307</v>
      </c>
      <c r="BP360" s="75">
        <f>IFERROR(1/J360*(Y360/H360),"0")</f>
        <v>0.375</v>
      </c>
    </row>
    <row r="361" spans="1:68" x14ac:dyDescent="0.2">
      <c r="A361" s="654"/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5"/>
      <c r="P361" s="651" t="s">
        <v>40</v>
      </c>
      <c r="Q361" s="652"/>
      <c r="R361" s="652"/>
      <c r="S361" s="652"/>
      <c r="T361" s="652"/>
      <c r="U361" s="652"/>
      <c r="V361" s="653"/>
      <c r="W361" s="40" t="s">
        <v>39</v>
      </c>
      <c r="X361" s="41">
        <f>IFERROR(X358/H358,"0")+IFERROR(X359/H359,"0")+IFERROR(X360/H360,"0")</f>
        <v>138.46153846153845</v>
      </c>
      <c r="Y361" s="41">
        <f>IFERROR(Y358/H358,"0")+IFERROR(Y359/H359,"0")+IFERROR(Y360/H360,"0")</f>
        <v>141</v>
      </c>
      <c r="Z361" s="41">
        <f>IFERROR(IF(Z358="",0,Z358),"0")+IFERROR(IF(Z359="",0,Z359),"0")+IFERROR(IF(Z360="",0,Z360),"0")</f>
        <v>2.67618</v>
      </c>
      <c r="AA361" s="64"/>
      <c r="AB361" s="64"/>
      <c r="AC361" s="64"/>
    </row>
    <row r="362" spans="1:68" x14ac:dyDescent="0.2">
      <c r="A362" s="654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1" t="s">
        <v>40</v>
      </c>
      <c r="Q362" s="652"/>
      <c r="R362" s="652"/>
      <c r="S362" s="652"/>
      <c r="T362" s="652"/>
      <c r="U362" s="652"/>
      <c r="V362" s="653"/>
      <c r="W362" s="40" t="s">
        <v>0</v>
      </c>
      <c r="X362" s="41">
        <f>IFERROR(SUM(X358:X360),"0")</f>
        <v>1080</v>
      </c>
      <c r="Y362" s="41">
        <f>IFERROR(SUM(Y358:Y360),"0")</f>
        <v>1099.8</v>
      </c>
      <c r="Z362" s="40"/>
      <c r="AA362" s="64"/>
      <c r="AB362" s="64"/>
      <c r="AC362" s="64"/>
    </row>
    <row r="363" spans="1:68" ht="16.5" hidden="1" customHeight="1" x14ac:dyDescent="0.25">
      <c r="A363" s="664" t="s">
        <v>598</v>
      </c>
      <c r="B363" s="664"/>
      <c r="C363" s="664"/>
      <c r="D363" s="664"/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  <c r="Y363" s="664"/>
      <c r="Z363" s="664"/>
      <c r="AA363" s="62"/>
      <c r="AB363" s="62"/>
      <c r="AC363" s="62"/>
    </row>
    <row r="364" spans="1:68" ht="14.25" hidden="1" customHeight="1" x14ac:dyDescent="0.25">
      <c r="A364" s="665" t="s">
        <v>122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3"/>
      <c r="AB364" s="63"/>
      <c r="AC364" s="63"/>
    </row>
    <row r="365" spans="1:68" ht="27" hidden="1" customHeight="1" x14ac:dyDescent="0.25">
      <c r="A365" s="60" t="s">
        <v>599</v>
      </c>
      <c r="B365" s="60" t="s">
        <v>600</v>
      </c>
      <c r="C365" s="34">
        <v>4301012400</v>
      </c>
      <c r="D365" s="660">
        <v>4680115889880</v>
      </c>
      <c r="E365" s="660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2"/>
      <c r="R365" s="662"/>
      <c r="S365" s="662"/>
      <c r="T365" s="66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ref="Y365:Y371" si="63"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543</v>
      </c>
      <c r="AC365" s="457" t="s">
        <v>523</v>
      </c>
      <c r="AG365" s="75"/>
      <c r="AJ365" s="79" t="s">
        <v>46</v>
      </c>
      <c r="AK365" s="79">
        <v>0</v>
      </c>
      <c r="BB365" s="458" t="s">
        <v>67</v>
      </c>
      <c r="BM365" s="75">
        <f t="shared" ref="BM365:BM371" si="64">IFERROR(X365*I365/H365,"0")</f>
        <v>0</v>
      </c>
      <c r="BN365" s="75">
        <f t="shared" ref="BN365:BN371" si="65">IFERROR(Y365*I365/H365,"0")</f>
        <v>0</v>
      </c>
      <c r="BO365" s="75">
        <f t="shared" ref="BO365:BO371" si="66">IFERROR(1/J365*(X365/H365),"0")</f>
        <v>0</v>
      </c>
      <c r="BP365" s="75">
        <f t="shared" ref="BP365:BP371" si="67">IFERROR(1/J365*(Y365/H365),"0")</f>
        <v>0</v>
      </c>
    </row>
    <row r="366" spans="1:68" ht="27" hidden="1" customHeight="1" x14ac:dyDescent="0.25">
      <c r="A366" s="60" t="s">
        <v>601</v>
      </c>
      <c r="B366" s="60" t="s">
        <v>602</v>
      </c>
      <c r="C366" s="34">
        <v>4301012360</v>
      </c>
      <c r="D366" s="660">
        <v>4680115889293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63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603</v>
      </c>
      <c r="AG366" s="75"/>
      <c r="AJ366" s="79" t="s">
        <v>46</v>
      </c>
      <c r="AK366" s="79">
        <v>0</v>
      </c>
      <c r="BB366" s="460" t="s">
        <v>67</v>
      </c>
      <c r="BM366" s="75">
        <f t="shared" si="64"/>
        <v>0</v>
      </c>
      <c r="BN366" s="75">
        <f t="shared" si="65"/>
        <v>0</v>
      </c>
      <c r="BO366" s="75">
        <f t="shared" si="66"/>
        <v>0</v>
      </c>
      <c r="BP366" s="75">
        <f t="shared" si="67"/>
        <v>0</v>
      </c>
    </row>
    <row r="367" spans="1:68" ht="27" hidden="1" customHeight="1" x14ac:dyDescent="0.25">
      <c r="A367" s="60" t="s">
        <v>604</v>
      </c>
      <c r="B367" s="60" t="s">
        <v>605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63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606</v>
      </c>
      <c r="AG367" s="75"/>
      <c r="AJ367" s="79" t="s">
        <v>46</v>
      </c>
      <c r="AK367" s="79">
        <v>0</v>
      </c>
      <c r="BB367" s="462" t="s">
        <v>67</v>
      </c>
      <c r="BM367" s="75">
        <f t="shared" si="64"/>
        <v>0</v>
      </c>
      <c r="BN367" s="75">
        <f t="shared" si="65"/>
        <v>0</v>
      </c>
      <c r="BO367" s="75">
        <f t="shared" si="66"/>
        <v>0</v>
      </c>
      <c r="BP367" s="75">
        <f t="shared" si="67"/>
        <v>0</v>
      </c>
    </row>
    <row r="368" spans="1:68" ht="37.5" hidden="1" customHeight="1" x14ac:dyDescent="0.25">
      <c r="A368" s="60" t="s">
        <v>607</v>
      </c>
      <c r="B368" s="60" t="s">
        <v>608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63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609</v>
      </c>
      <c r="AG368" s="75"/>
      <c r="AJ368" s="79" t="s">
        <v>46</v>
      </c>
      <c r="AK368" s="79">
        <v>0</v>
      </c>
      <c r="BB368" s="464" t="s">
        <v>67</v>
      </c>
      <c r="BM368" s="75">
        <f t="shared" si="64"/>
        <v>0</v>
      </c>
      <c r="BN368" s="75">
        <f t="shared" si="65"/>
        <v>0</v>
      </c>
      <c r="BO368" s="75">
        <f t="shared" si="66"/>
        <v>0</v>
      </c>
      <c r="BP368" s="75">
        <f t="shared" si="67"/>
        <v>0</v>
      </c>
    </row>
    <row r="369" spans="1:68" ht="27" hidden="1" customHeight="1" x14ac:dyDescent="0.25">
      <c r="A369" s="60" t="s">
        <v>610</v>
      </c>
      <c r="B369" s="60" t="s">
        <v>611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63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612</v>
      </c>
      <c r="AG369" s="75"/>
      <c r="AJ369" s="79" t="s">
        <v>46</v>
      </c>
      <c r="AK369" s="79">
        <v>0</v>
      </c>
      <c r="BB369" s="466" t="s">
        <v>67</v>
      </c>
      <c r="BM369" s="75">
        <f t="shared" si="64"/>
        <v>0</v>
      </c>
      <c r="BN369" s="75">
        <f t="shared" si="65"/>
        <v>0</v>
      </c>
      <c r="BO369" s="75">
        <f t="shared" si="66"/>
        <v>0</v>
      </c>
      <c r="BP369" s="75">
        <f t="shared" si="67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606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615</v>
      </c>
      <c r="B371" s="60" t="s">
        <v>616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617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1" t="s">
        <v>40</v>
      </c>
      <c r="Q372" s="652"/>
      <c r="R372" s="652"/>
      <c r="S372" s="652"/>
      <c r="T372" s="652"/>
      <c r="U372" s="652"/>
      <c r="V372" s="653"/>
      <c r="W372" s="40" t="s">
        <v>39</v>
      </c>
      <c r="X372" s="41">
        <f>IFERROR(X365/H365,"0")+IFERROR(X366/H366,"0")+IFERROR(X367/H367,"0")+IFERROR(X368/H368,"0")+IFERROR(X369/H369,"0")+IFERROR(X370/H370,"0")+IFERROR(X371/H371,"0")</f>
        <v>0</v>
      </c>
      <c r="Y372" s="41">
        <f>IFERROR(Y365/H365,"0")+IFERROR(Y366/H366,"0")+IFERROR(Y367/H367,"0")+IFERROR(Y368/H368,"0")+IFERROR(Y369/H369,"0")+IFERROR(Y370/H370,"0")+IFERROR(Y371/H371,"0")</f>
        <v>0</v>
      </c>
      <c r="Z372" s="41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4"/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5"/>
      <c r="P373" s="651" t="s">
        <v>40</v>
      </c>
      <c r="Q373" s="652"/>
      <c r="R373" s="652"/>
      <c r="S373" s="652"/>
      <c r="T373" s="652"/>
      <c r="U373" s="652"/>
      <c r="V373" s="653"/>
      <c r="W373" s="40" t="s">
        <v>0</v>
      </c>
      <c r="X373" s="41">
        <f>IFERROR(SUM(X365:X371),"0")</f>
        <v>0</v>
      </c>
      <c r="Y373" s="41">
        <f>IFERROR(SUM(Y365:Y371),"0")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65" t="s">
        <v>77</v>
      </c>
      <c r="B374" s="665"/>
      <c r="C374" s="665"/>
      <c r="D374" s="665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3"/>
      <c r="AB374" s="63"/>
      <c r="AC374" s="63"/>
    </row>
    <row r="375" spans="1:68" ht="27" hidden="1" customHeight="1" x14ac:dyDescent="0.25">
      <c r="A375" s="60" t="s">
        <v>618</v>
      </c>
      <c r="B375" s="60" t="s">
        <v>619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8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620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9">IFERROR(X375*I375/H375,"0")</f>
        <v>0</v>
      </c>
      <c r="BN375" s="75">
        <f t="shared" ref="BN375:BN381" si="70">IFERROR(Y375*I375/H375,"0")</f>
        <v>0</v>
      </c>
      <c r="BO375" s="75">
        <f t="shared" ref="BO375:BO381" si="71">IFERROR(1/J375*(X375/H375),"0")</f>
        <v>0</v>
      </c>
      <c r="BP375" s="75">
        <f t="shared" ref="BP375:BP381" si="72">IFERROR(1/J375*(Y375/H375),"0")</f>
        <v>0</v>
      </c>
    </row>
    <row r="376" spans="1:68" ht="27" hidden="1" customHeight="1" x14ac:dyDescent="0.25">
      <c r="A376" s="60" t="s">
        <v>621</v>
      </c>
      <c r="B376" s="60" t="s">
        <v>622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623</v>
      </c>
      <c r="AG376" s="75"/>
      <c r="AJ376" s="79" t="s">
        <v>46</v>
      </c>
      <c r="AK376" s="79">
        <v>0</v>
      </c>
      <c r="BB376" s="474" t="s">
        <v>67</v>
      </c>
      <c r="BM376" s="75">
        <f t="shared" si="69"/>
        <v>0</v>
      </c>
      <c r="BN376" s="75">
        <f t="shared" si="70"/>
        <v>0</v>
      </c>
      <c r="BO376" s="75">
        <f t="shared" si="71"/>
        <v>0</v>
      </c>
      <c r="BP376" s="75">
        <f t="shared" si="72"/>
        <v>0</v>
      </c>
    </row>
    <row r="377" spans="1:68" ht="27" hidden="1" customHeight="1" x14ac:dyDescent="0.25">
      <c r="A377" s="60" t="s">
        <v>624</v>
      </c>
      <c r="B377" s="60" t="s">
        <v>625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8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626</v>
      </c>
      <c r="AG377" s="75"/>
      <c r="AJ377" s="79" t="s">
        <v>46</v>
      </c>
      <c r="AK377" s="79">
        <v>0</v>
      </c>
      <c r="BB377" s="476" t="s">
        <v>67</v>
      </c>
      <c r="BM377" s="75">
        <f t="shared" si="69"/>
        <v>0</v>
      </c>
      <c r="BN377" s="75">
        <f t="shared" si="70"/>
        <v>0</v>
      </c>
      <c r="BO377" s="75">
        <f t="shared" si="71"/>
        <v>0</v>
      </c>
      <c r="BP377" s="75">
        <f t="shared" si="72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623</v>
      </c>
      <c r="AG378" s="75"/>
      <c r="AJ378" s="79" t="s">
        <v>46</v>
      </c>
      <c r="AK378" s="79">
        <v>0</v>
      </c>
      <c r="BB378" s="478" t="s">
        <v>67</v>
      </c>
      <c r="BM378" s="75">
        <f t="shared" si="69"/>
        <v>0</v>
      </c>
      <c r="BN378" s="75">
        <f t="shared" si="70"/>
        <v>0</v>
      </c>
      <c r="BO378" s="75">
        <f t="shared" si="71"/>
        <v>0</v>
      </c>
      <c r="BP378" s="75">
        <f t="shared" si="72"/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490</v>
      </c>
      <c r="Y379" s="53">
        <f t="shared" si="68"/>
        <v>491.40000000000003</v>
      </c>
      <c r="Z379" s="39">
        <f>IFERROR(IF(Y379=0,"",ROUNDUP(Y379/H379,0)*0.00502),"")</f>
        <v>1.1746799999999999</v>
      </c>
      <c r="AA379" s="65" t="s">
        <v>46</v>
      </c>
      <c r="AB379" s="66" t="s">
        <v>46</v>
      </c>
      <c r="AC379" s="479" t="s">
        <v>631</v>
      </c>
      <c r="AG379" s="75"/>
      <c r="AJ379" s="79" t="s">
        <v>46</v>
      </c>
      <c r="AK379" s="79">
        <v>0</v>
      </c>
      <c r="BB379" s="480" t="s">
        <v>67</v>
      </c>
      <c r="BM379" s="75">
        <f t="shared" si="69"/>
        <v>513.33333333333326</v>
      </c>
      <c r="BN379" s="75">
        <f t="shared" si="70"/>
        <v>514.80000000000007</v>
      </c>
      <c r="BO379" s="75">
        <f t="shared" si="71"/>
        <v>0.9971509971509972</v>
      </c>
      <c r="BP379" s="75">
        <f t="shared" si="72"/>
        <v>1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7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8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626</v>
      </c>
      <c r="AG380" s="75"/>
      <c r="AJ380" s="79" t="s">
        <v>46</v>
      </c>
      <c r="AK380" s="79">
        <v>0</v>
      </c>
      <c r="BB380" s="482" t="s">
        <v>67</v>
      </c>
      <c r="BM380" s="75">
        <f t="shared" si="69"/>
        <v>0</v>
      </c>
      <c r="BN380" s="75">
        <f t="shared" si="70"/>
        <v>0</v>
      </c>
      <c r="BO380" s="75">
        <f t="shared" si="71"/>
        <v>0</v>
      </c>
      <c r="BP380" s="75">
        <f t="shared" si="72"/>
        <v>0</v>
      </c>
    </row>
    <row r="381" spans="1:68" ht="27" customHeight="1" x14ac:dyDescent="0.25">
      <c r="A381" s="60" t="s">
        <v>634</v>
      </c>
      <c r="B381" s="60" t="s">
        <v>635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21</v>
      </c>
      <c r="Y381" s="53">
        <f t="shared" si="68"/>
        <v>21.6</v>
      </c>
      <c r="Z381" s="39">
        <f>IFERROR(IF(Y381=0,"",ROUNDUP(Y381/H381,0)*0.00651),"")</f>
        <v>7.8119999999999995E-2</v>
      </c>
      <c r="AA381" s="65" t="s">
        <v>46</v>
      </c>
      <c r="AB381" s="66" t="s">
        <v>46</v>
      </c>
      <c r="AC381" s="483" t="s">
        <v>636</v>
      </c>
      <c r="AG381" s="75"/>
      <c r="AJ381" s="79" t="s">
        <v>46</v>
      </c>
      <c r="AK381" s="79">
        <v>0</v>
      </c>
      <c r="BB381" s="484" t="s">
        <v>67</v>
      </c>
      <c r="BM381" s="75">
        <f t="shared" si="69"/>
        <v>23.66</v>
      </c>
      <c r="BN381" s="75">
        <f t="shared" si="70"/>
        <v>24.335999999999999</v>
      </c>
      <c r="BO381" s="75">
        <f t="shared" si="71"/>
        <v>6.4102564102564111E-2</v>
      </c>
      <c r="BP381" s="75">
        <f t="shared" si="72"/>
        <v>6.5934065934065936E-2</v>
      </c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1" t="s">
        <v>40</v>
      </c>
      <c r="Q382" s="652"/>
      <c r="R382" s="652"/>
      <c r="S382" s="652"/>
      <c r="T382" s="652"/>
      <c r="U382" s="652"/>
      <c r="V382" s="653"/>
      <c r="W382" s="40" t="s">
        <v>39</v>
      </c>
      <c r="X382" s="41">
        <f>IFERROR(X375/H375,"0")+IFERROR(X376/H376,"0")+IFERROR(X377/H377,"0")+IFERROR(X378/H378,"0")+IFERROR(X379/H379,"0")+IFERROR(X380/H380,"0")+IFERROR(X381/H381,"0")</f>
        <v>244.99999999999997</v>
      </c>
      <c r="Y382" s="41">
        <f>IFERROR(Y375/H375,"0")+IFERROR(Y376/H376,"0")+IFERROR(Y377/H377,"0")+IFERROR(Y378/H378,"0")+IFERROR(Y379/H379,"0")+IFERROR(Y380/H380,"0")+IFERROR(Y381/H381,"0")</f>
        <v>246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1.2527999999999999</v>
      </c>
      <c r="AA382" s="64"/>
      <c r="AB382" s="64"/>
      <c r="AC382" s="64"/>
    </row>
    <row r="383" spans="1:68" x14ac:dyDescent="0.2">
      <c r="A383" s="654"/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5"/>
      <c r="P383" s="651" t="s">
        <v>40</v>
      </c>
      <c r="Q383" s="652"/>
      <c r="R383" s="652"/>
      <c r="S383" s="652"/>
      <c r="T383" s="652"/>
      <c r="U383" s="652"/>
      <c r="V383" s="653"/>
      <c r="W383" s="40" t="s">
        <v>0</v>
      </c>
      <c r="X383" s="41">
        <f>IFERROR(SUM(X375:X381),"0")</f>
        <v>511</v>
      </c>
      <c r="Y383" s="41">
        <f>IFERROR(SUM(Y375:Y381),"0")</f>
        <v>513</v>
      </c>
      <c r="Z383" s="40"/>
      <c r="AA383" s="64"/>
      <c r="AB383" s="64"/>
      <c r="AC383" s="64"/>
    </row>
    <row r="384" spans="1:68" ht="14.25" hidden="1" customHeight="1" x14ac:dyDescent="0.25">
      <c r="A384" s="665" t="s">
        <v>86</v>
      </c>
      <c r="B384" s="665"/>
      <c r="C384" s="665"/>
      <c r="D384" s="665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3"/>
      <c r="AB384" s="63"/>
      <c r="AC384" s="63"/>
    </row>
    <row r="385" spans="1:68" ht="27" hidden="1" customHeight="1" x14ac:dyDescent="0.25">
      <c r="A385" s="60" t="s">
        <v>637</v>
      </c>
      <c r="B385" s="60" t="s">
        <v>638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639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642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645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639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1" t="s">
        <v>40</v>
      </c>
      <c r="Q389" s="652"/>
      <c r="R389" s="652"/>
      <c r="S389" s="652"/>
      <c r="T389" s="652"/>
      <c r="U389" s="652"/>
      <c r="V389" s="653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4"/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5"/>
      <c r="P390" s="651" t="s">
        <v>40</v>
      </c>
      <c r="Q390" s="652"/>
      <c r="R390" s="652"/>
      <c r="S390" s="652"/>
      <c r="T390" s="652"/>
      <c r="U390" s="652"/>
      <c r="V390" s="653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65" t="s">
        <v>179</v>
      </c>
      <c r="B391" s="665"/>
      <c r="C391" s="665"/>
      <c r="D391" s="665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3"/>
      <c r="AB391" s="63"/>
      <c r="AC391" s="63"/>
    </row>
    <row r="392" spans="1:68" ht="27" customHeight="1" x14ac:dyDescent="0.25">
      <c r="A392" s="60" t="s">
        <v>648</v>
      </c>
      <c r="B392" s="60" t="s">
        <v>649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450</v>
      </c>
      <c r="Y392" s="53">
        <f>IFERROR(IF(X392="",0,CEILING((X392/$H392),1)*$H392),"")</f>
        <v>453.6</v>
      </c>
      <c r="Z392" s="39">
        <f>IFERROR(IF(Y392=0,"",ROUNDUP(Y392/H392,0)*0.01898),"")</f>
        <v>1.0249200000000001</v>
      </c>
      <c r="AA392" s="65" t="s">
        <v>46</v>
      </c>
      <c r="AB392" s="66" t="s">
        <v>46</v>
      </c>
      <c r="AC392" s="493" t="s">
        <v>650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476.46428571428572</v>
      </c>
      <c r="BN392" s="75">
        <f>IFERROR(Y392*I392/H392,"0")</f>
        <v>480.27600000000001</v>
      </c>
      <c r="BO392" s="75">
        <f>IFERROR(1/J392*(X392/H392),"0")</f>
        <v>0.8370535714285714</v>
      </c>
      <c r="BP392" s="75">
        <f>IFERROR(1/J392*(Y392/H392),"0")</f>
        <v>0.84375</v>
      </c>
    </row>
    <row r="393" spans="1:68" ht="27" customHeight="1" x14ac:dyDescent="0.25">
      <c r="A393" s="60" t="s">
        <v>651</v>
      </c>
      <c r="B393" s="60" t="s">
        <v>652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320</v>
      </c>
      <c r="Y393" s="53">
        <f>IFERROR(IF(X393="",0,CEILING((X393/$H393),1)*$H393),"")</f>
        <v>327.59999999999997</v>
      </c>
      <c r="Z393" s="39">
        <f>IFERROR(IF(Y393=0,"",ROUNDUP(Y393/H393,0)*0.01898),"")</f>
        <v>0.79715999999999998</v>
      </c>
      <c r="AA393" s="65" t="s">
        <v>46</v>
      </c>
      <c r="AB393" s="66" t="s">
        <v>46</v>
      </c>
      <c r="AC393" s="495" t="s">
        <v>653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340.26666666666665</v>
      </c>
      <c r="BN393" s="75">
        <f>IFERROR(Y393*I393/H393,"0")</f>
        <v>348.34800000000001</v>
      </c>
      <c r="BO393" s="75">
        <f>IFERROR(1/J393*(X393/H393),"0")</f>
        <v>0.64102564102564108</v>
      </c>
      <c r="BP393" s="75">
        <f>IFERROR(1/J393*(Y393/H393),"0")</f>
        <v>0.65625</v>
      </c>
    </row>
    <row r="394" spans="1:68" ht="27" customHeight="1" x14ac:dyDescent="0.25">
      <c r="A394" s="60" t="s">
        <v>654</v>
      </c>
      <c r="B394" s="60" t="s">
        <v>655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80</v>
      </c>
      <c r="Y394" s="53">
        <f>IFERROR(IF(X394="",0,CEILING((X394/$H394),1)*$H394),"")</f>
        <v>84</v>
      </c>
      <c r="Z394" s="39">
        <f>IFERROR(IF(Y394=0,"",ROUNDUP(Y394/H394,0)*0.01898),"")</f>
        <v>0.1898</v>
      </c>
      <c r="AA394" s="65" t="s">
        <v>46</v>
      </c>
      <c r="AB394" s="66" t="s">
        <v>46</v>
      </c>
      <c r="AC394" s="497" t="s">
        <v>656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84.704761904761895</v>
      </c>
      <c r="BN394" s="75">
        <f>IFERROR(Y394*I394/H394,"0")</f>
        <v>88.94</v>
      </c>
      <c r="BO394" s="75">
        <f>IFERROR(1/J394*(X394/H394),"0")</f>
        <v>0.14880952380952381</v>
      </c>
      <c r="BP394" s="75">
        <f>IFERROR(1/J394*(Y394/H394),"0")</f>
        <v>0.15625</v>
      </c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1" t="s">
        <v>40</v>
      </c>
      <c r="Q395" s="652"/>
      <c r="R395" s="652"/>
      <c r="S395" s="652"/>
      <c r="T395" s="652"/>
      <c r="U395" s="652"/>
      <c r="V395" s="653"/>
      <c r="W395" s="40" t="s">
        <v>39</v>
      </c>
      <c r="X395" s="41">
        <f>IFERROR(X392/H392,"0")+IFERROR(X393/H393,"0")+IFERROR(X394/H394,"0")</f>
        <v>104.12087912087912</v>
      </c>
      <c r="Y395" s="41">
        <f>IFERROR(Y392/H392,"0")+IFERROR(Y393/H393,"0")+IFERROR(Y394/H394,"0")</f>
        <v>106</v>
      </c>
      <c r="Z395" s="41">
        <f>IFERROR(IF(Z392="",0,Z392),"0")+IFERROR(IF(Z393="",0,Z393),"0")+IFERROR(IF(Z394="",0,Z394),"0")</f>
        <v>2.0118800000000001</v>
      </c>
      <c r="AA395" s="64"/>
      <c r="AB395" s="64"/>
      <c r="AC395" s="64"/>
    </row>
    <row r="396" spans="1:68" x14ac:dyDescent="0.2">
      <c r="A396" s="654"/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5"/>
      <c r="P396" s="651" t="s">
        <v>40</v>
      </c>
      <c r="Q396" s="652"/>
      <c r="R396" s="652"/>
      <c r="S396" s="652"/>
      <c r="T396" s="652"/>
      <c r="U396" s="652"/>
      <c r="V396" s="653"/>
      <c r="W396" s="40" t="s">
        <v>0</v>
      </c>
      <c r="X396" s="41">
        <f>IFERROR(SUM(X392:X394),"0")</f>
        <v>850</v>
      </c>
      <c r="Y396" s="41">
        <f>IFERROR(SUM(Y392:Y394),"0")</f>
        <v>865.2</v>
      </c>
      <c r="Z396" s="40"/>
      <c r="AA396" s="64"/>
      <c r="AB396" s="64"/>
      <c r="AC396" s="64"/>
    </row>
    <row r="397" spans="1:68" ht="14.25" hidden="1" customHeight="1" x14ac:dyDescent="0.25">
      <c r="A397" s="665" t="s">
        <v>278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3"/>
      <c r="AB397" s="63"/>
      <c r="AC397" s="63"/>
    </row>
    <row r="398" spans="1:68" ht="27" hidden="1" customHeight="1" x14ac:dyDescent="0.25">
      <c r="A398" s="60" t="s">
        <v>657</v>
      </c>
      <c r="B398" s="60" t="s">
        <v>658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254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659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254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659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254</v>
      </c>
      <c r="N400" s="36"/>
      <c r="O400" s="35">
        <v>180</v>
      </c>
      <c r="P400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664</v>
      </c>
      <c r="B401" s="60" t="s">
        <v>665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254</v>
      </c>
      <c r="N401" s="36"/>
      <c r="O401" s="35">
        <v>180</v>
      </c>
      <c r="P401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659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1" t="s">
        <v>40</v>
      </c>
      <c r="Q402" s="652"/>
      <c r="R402" s="652"/>
      <c r="S402" s="652"/>
      <c r="T402" s="652"/>
      <c r="U402" s="652"/>
      <c r="V402" s="653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4"/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5"/>
      <c r="P403" s="651" t="s">
        <v>40</v>
      </c>
      <c r="Q403" s="652"/>
      <c r="R403" s="652"/>
      <c r="S403" s="652"/>
      <c r="T403" s="652"/>
      <c r="U403" s="652"/>
      <c r="V403" s="653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65" t="s">
        <v>666</v>
      </c>
      <c r="B404" s="665"/>
      <c r="C404" s="665"/>
      <c r="D404" s="665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3"/>
      <c r="AB404" s="63"/>
      <c r="AC404" s="63"/>
    </row>
    <row r="405" spans="1:68" ht="16.5" customHeight="1" x14ac:dyDescent="0.25">
      <c r="A405" s="60" t="s">
        <v>667</v>
      </c>
      <c r="B405" s="60" t="s">
        <v>668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670</v>
      </c>
      <c r="N405" s="36"/>
      <c r="O405" s="35">
        <v>731</v>
      </c>
      <c r="P405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100</v>
      </c>
      <c r="Y405" s="53">
        <f>IFERROR(IF(X405="",0,CEILING((X405/$H405),1)*$H405),"")</f>
        <v>100</v>
      </c>
      <c r="Z405" s="39">
        <f>IFERROR(IF(Y405=0,"",ROUNDUP(Y405/H405,0)*0.00474),"")</f>
        <v>0.23700000000000002</v>
      </c>
      <c r="AA405" s="65" t="s">
        <v>46</v>
      </c>
      <c r="AB405" s="66" t="s">
        <v>46</v>
      </c>
      <c r="AC405" s="507" t="s">
        <v>669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112.00000000000001</v>
      </c>
      <c r="BN405" s="75">
        <f>IFERROR(Y405*I405/H405,"0")</f>
        <v>112.00000000000001</v>
      </c>
      <c r="BO405" s="75">
        <f>IFERROR(1/J405*(X405/H405),"0")</f>
        <v>0.21008403361344538</v>
      </c>
      <c r="BP405" s="75">
        <f>IFERROR(1/J405*(Y405/H405),"0")</f>
        <v>0.21008403361344538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670</v>
      </c>
      <c r="N406" s="36"/>
      <c r="O406" s="35">
        <v>731</v>
      </c>
      <c r="P406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669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670</v>
      </c>
      <c r="N407" s="36"/>
      <c r="O407" s="35">
        <v>731</v>
      </c>
      <c r="P407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669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1" t="s">
        <v>40</v>
      </c>
      <c r="Q408" s="652"/>
      <c r="R408" s="652"/>
      <c r="S408" s="652"/>
      <c r="T408" s="652"/>
      <c r="U408" s="652"/>
      <c r="V408" s="653"/>
      <c r="W408" s="40" t="s">
        <v>39</v>
      </c>
      <c r="X408" s="41">
        <f>IFERROR(X405/H405,"0")+IFERROR(X406/H406,"0")+IFERROR(X407/H407,"0")</f>
        <v>50</v>
      </c>
      <c r="Y408" s="41">
        <f>IFERROR(Y405/H405,"0")+IFERROR(Y406/H406,"0")+IFERROR(Y407/H407,"0")</f>
        <v>50</v>
      </c>
      <c r="Z408" s="41">
        <f>IFERROR(IF(Z405="",0,Z405),"0")+IFERROR(IF(Z406="",0,Z406),"0")+IFERROR(IF(Z407="",0,Z407),"0")</f>
        <v>0.23700000000000002</v>
      </c>
      <c r="AA408" s="64"/>
      <c r="AB408" s="64"/>
      <c r="AC408" s="64"/>
    </row>
    <row r="409" spans="1:68" x14ac:dyDescent="0.2">
      <c r="A409" s="654"/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5"/>
      <c r="P409" s="651" t="s">
        <v>40</v>
      </c>
      <c r="Q409" s="652"/>
      <c r="R409" s="652"/>
      <c r="S409" s="652"/>
      <c r="T409" s="652"/>
      <c r="U409" s="652"/>
      <c r="V409" s="653"/>
      <c r="W409" s="40" t="s">
        <v>0</v>
      </c>
      <c r="X409" s="41">
        <f>IFERROR(SUM(X405:X407),"0")</f>
        <v>100</v>
      </c>
      <c r="Y409" s="41">
        <f>IFERROR(SUM(Y405:Y407),"0")</f>
        <v>100</v>
      </c>
      <c r="Z409" s="40"/>
      <c r="AA409" s="64"/>
      <c r="AB409" s="64"/>
      <c r="AC409" s="64"/>
    </row>
    <row r="410" spans="1:68" ht="14.25" hidden="1" customHeight="1" x14ac:dyDescent="0.25">
      <c r="A410" s="665" t="s">
        <v>675</v>
      </c>
      <c r="B410" s="665"/>
      <c r="C410" s="665"/>
      <c r="D410" s="665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670</v>
      </c>
      <c r="N411" s="36"/>
      <c r="O411" s="35">
        <v>1096</v>
      </c>
      <c r="P411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678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670</v>
      </c>
      <c r="N412" s="36"/>
      <c r="O412" s="35">
        <v>1096</v>
      </c>
      <c r="P412" s="7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681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670</v>
      </c>
      <c r="N413" s="36"/>
      <c r="O413" s="35">
        <v>1096</v>
      </c>
      <c r="P413" s="7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678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1" t="s">
        <v>40</v>
      </c>
      <c r="Q414" s="652"/>
      <c r="R414" s="652"/>
      <c r="S414" s="652"/>
      <c r="T414" s="652"/>
      <c r="U414" s="652"/>
      <c r="V414" s="653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4"/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5"/>
      <c r="P415" s="651" t="s">
        <v>40</v>
      </c>
      <c r="Q415" s="652"/>
      <c r="R415" s="652"/>
      <c r="S415" s="652"/>
      <c r="T415" s="652"/>
      <c r="U415" s="652"/>
      <c r="V415" s="653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4" t="s">
        <v>684</v>
      </c>
      <c r="B416" s="664"/>
      <c r="C416" s="664"/>
      <c r="D416" s="664"/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  <c r="Y416" s="664"/>
      <c r="Z416" s="664"/>
      <c r="AA416" s="62"/>
      <c r="AB416" s="62"/>
      <c r="AC416" s="62"/>
    </row>
    <row r="417" spans="1:68" ht="14.25" hidden="1" customHeight="1" x14ac:dyDescent="0.25">
      <c r="A417" s="665" t="s">
        <v>86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3"/>
      <c r="AB417" s="63"/>
      <c r="AC417" s="63"/>
    </row>
    <row r="418" spans="1:68" ht="16.5" customHeight="1" x14ac:dyDescent="0.25">
      <c r="A418" s="60" t="s">
        <v>685</v>
      </c>
      <c r="B418" s="60" t="s">
        <v>686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50</v>
      </c>
      <c r="Y418" s="53">
        <f>IFERROR(IF(X418="",0,CEILING((X418/$H418),1)*$H418),"")</f>
        <v>54.6</v>
      </c>
      <c r="Z418" s="39">
        <f>IFERROR(IF(Y418=0,"",ROUNDUP(Y418/H418,0)*0.01898),"")</f>
        <v>0.13286000000000001</v>
      </c>
      <c r="AA418" s="65" t="s">
        <v>46</v>
      </c>
      <c r="AB418" s="66" t="s">
        <v>46</v>
      </c>
      <c r="AC418" s="519" t="s">
        <v>687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52.628205128205138</v>
      </c>
      <c r="BN418" s="75">
        <f>IFERROR(Y418*I418/H418,"0")</f>
        <v>57.470000000000013</v>
      </c>
      <c r="BO418" s="75">
        <f>IFERROR(1/J418*(X418/H418),"0")</f>
        <v>0.10016025641025642</v>
      </c>
      <c r="BP418" s="75">
        <f>IFERROR(1/J418*(Y418/H418),"0")</f>
        <v>0.109375</v>
      </c>
    </row>
    <row r="419" spans="1:68" ht="16.5" hidden="1" customHeight="1" x14ac:dyDescent="0.25">
      <c r="A419" s="60" t="s">
        <v>688</v>
      </c>
      <c r="B419" s="60" t="s">
        <v>689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7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690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1" t="s">
        <v>40</v>
      </c>
      <c r="Q420" s="652"/>
      <c r="R420" s="652"/>
      <c r="S420" s="652"/>
      <c r="T420" s="652"/>
      <c r="U420" s="652"/>
      <c r="V420" s="653"/>
      <c r="W420" s="40" t="s">
        <v>39</v>
      </c>
      <c r="X420" s="41">
        <f>IFERROR(X418/H418,"0")+IFERROR(X419/H419,"0")</f>
        <v>6.4102564102564106</v>
      </c>
      <c r="Y420" s="41">
        <f>IFERROR(Y418/H418,"0")+IFERROR(Y419/H419,"0")</f>
        <v>7</v>
      </c>
      <c r="Z420" s="41">
        <f>IFERROR(IF(Z418="",0,Z418),"0")+IFERROR(IF(Z419="",0,Z419),"0")</f>
        <v>0.13286000000000001</v>
      </c>
      <c r="AA420" s="64"/>
      <c r="AB420" s="64"/>
      <c r="AC420" s="64"/>
    </row>
    <row r="421" spans="1:68" x14ac:dyDescent="0.2">
      <c r="A421" s="654"/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5"/>
      <c r="P421" s="651" t="s">
        <v>40</v>
      </c>
      <c r="Q421" s="652"/>
      <c r="R421" s="652"/>
      <c r="S421" s="652"/>
      <c r="T421" s="652"/>
      <c r="U421" s="652"/>
      <c r="V421" s="653"/>
      <c r="W421" s="40" t="s">
        <v>0</v>
      </c>
      <c r="X421" s="41">
        <f>IFERROR(SUM(X418:X419),"0")</f>
        <v>50</v>
      </c>
      <c r="Y421" s="41">
        <f>IFERROR(SUM(Y418:Y419),"0")</f>
        <v>54.6</v>
      </c>
      <c r="Z421" s="40"/>
      <c r="AA421" s="64"/>
      <c r="AB421" s="64"/>
      <c r="AC421" s="64"/>
    </row>
    <row r="422" spans="1:68" ht="16.5" hidden="1" customHeight="1" x14ac:dyDescent="0.25">
      <c r="A422" s="664" t="s">
        <v>691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2"/>
      <c r="AB422" s="62"/>
      <c r="AC422" s="62"/>
    </row>
    <row r="423" spans="1:68" ht="14.25" hidden="1" customHeight="1" x14ac:dyDescent="0.25">
      <c r="A423" s="665" t="s">
        <v>86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3"/>
      <c r="AB423" s="63"/>
      <c r="AC423" s="63"/>
    </row>
    <row r="424" spans="1:68" ht="27" hidden="1" customHeight="1" x14ac:dyDescent="0.25">
      <c r="A424" s="60" t="s">
        <v>692</v>
      </c>
      <c r="B424" s="60" t="s">
        <v>693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694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695</v>
      </c>
      <c r="B425" s="60" t="s">
        <v>696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7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697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698</v>
      </c>
      <c r="B426" s="60" t="s">
        <v>699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7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700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1" t="s">
        <v>40</v>
      </c>
      <c r="Q427" s="652"/>
      <c r="R427" s="652"/>
      <c r="S427" s="652"/>
      <c r="T427" s="652"/>
      <c r="U427" s="652"/>
      <c r="V427" s="653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4"/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5"/>
      <c r="P428" s="651" t="s">
        <v>40</v>
      </c>
      <c r="Q428" s="652"/>
      <c r="R428" s="652"/>
      <c r="S428" s="652"/>
      <c r="T428" s="652"/>
      <c r="U428" s="652"/>
      <c r="V428" s="653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1" t="s">
        <v>701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52"/>
      <c r="AB429" s="52"/>
      <c r="AC429" s="52"/>
    </row>
    <row r="430" spans="1:68" ht="16.5" hidden="1" customHeight="1" x14ac:dyDescent="0.25">
      <c r="A430" s="664" t="s">
        <v>702</v>
      </c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  <c r="Y430" s="664"/>
      <c r="Z430" s="664"/>
      <c r="AA430" s="62"/>
      <c r="AB430" s="62"/>
      <c r="AC430" s="62"/>
    </row>
    <row r="431" spans="1:68" ht="14.25" hidden="1" customHeight="1" x14ac:dyDescent="0.25">
      <c r="A431" s="665" t="s">
        <v>122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3"/>
      <c r="AB431" s="63"/>
      <c r="AC431" s="63"/>
    </row>
    <row r="432" spans="1:68" ht="27" customHeight="1" x14ac:dyDescent="0.25">
      <c r="A432" s="60" t="s">
        <v>703</v>
      </c>
      <c r="B432" s="60" t="s">
        <v>704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250</v>
      </c>
      <c r="Y432" s="53">
        <f t="shared" ref="Y432:Y439" si="73">IFERROR(IF(X432="",0,CEILING((X432/$H432),1)*$H432),"")</f>
        <v>255</v>
      </c>
      <c r="Z432" s="39">
        <f>IFERROR(IF(Y432=0,"",ROUNDUP(Y432/H432,0)*0.02175),"")</f>
        <v>0.36974999999999997</v>
      </c>
      <c r="AA432" s="65" t="s">
        <v>46</v>
      </c>
      <c r="AB432" s="66" t="s">
        <v>46</v>
      </c>
      <c r="AC432" s="529" t="s">
        <v>705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74">IFERROR(X432*I432/H432,"0")</f>
        <v>257.83333333333331</v>
      </c>
      <c r="BN432" s="75">
        <f t="shared" ref="BN432:BN439" si="75">IFERROR(Y432*I432/H432,"0")</f>
        <v>262.99</v>
      </c>
      <c r="BO432" s="75">
        <f t="shared" ref="BO432:BO439" si="76">IFERROR(1/J432*(X432/H432),"0")</f>
        <v>0.34722222222222221</v>
      </c>
      <c r="BP432" s="75">
        <f t="shared" ref="BP432:BP439" si="77">IFERROR(1/J432*(Y432/H432),"0")</f>
        <v>0.35416666666666663</v>
      </c>
    </row>
    <row r="433" spans="1:68" ht="37.5" hidden="1" customHeight="1" x14ac:dyDescent="0.25">
      <c r="A433" s="60" t="s">
        <v>706</v>
      </c>
      <c r="B433" s="60" t="s">
        <v>707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7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708</v>
      </c>
      <c r="AG433" s="75"/>
      <c r="AJ433" s="79" t="s">
        <v>46</v>
      </c>
      <c r="AK433" s="79">
        <v>0</v>
      </c>
      <c r="BB433" s="532" t="s">
        <v>67</v>
      </c>
      <c r="BM433" s="75">
        <f t="shared" si="74"/>
        <v>0</v>
      </c>
      <c r="BN433" s="75">
        <f t="shared" si="75"/>
        <v>0</v>
      </c>
      <c r="BO433" s="75">
        <f t="shared" si="76"/>
        <v>0</v>
      </c>
      <c r="BP433" s="75">
        <f t="shared" si="77"/>
        <v>0</v>
      </c>
    </row>
    <row r="434" spans="1:68" ht="27" hidden="1" customHeight="1" x14ac:dyDescent="0.25">
      <c r="A434" s="60" t="s">
        <v>709</v>
      </c>
      <c r="B434" s="60" t="s">
        <v>710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7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711</v>
      </c>
      <c r="AG434" s="75"/>
      <c r="AJ434" s="79" t="s">
        <v>46</v>
      </c>
      <c r="AK434" s="79">
        <v>0</v>
      </c>
      <c r="BB434" s="534" t="s">
        <v>67</v>
      </c>
      <c r="BM434" s="75">
        <f t="shared" si="74"/>
        <v>0</v>
      </c>
      <c r="BN434" s="75">
        <f t="shared" si="75"/>
        <v>0</v>
      </c>
      <c r="BO434" s="75">
        <f t="shared" si="76"/>
        <v>0</v>
      </c>
      <c r="BP434" s="75">
        <f t="shared" si="77"/>
        <v>0</v>
      </c>
    </row>
    <row r="435" spans="1:68" ht="27" customHeight="1" x14ac:dyDescent="0.25">
      <c r="A435" s="60" t="s">
        <v>712</v>
      </c>
      <c r="B435" s="60" t="s">
        <v>713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1200</v>
      </c>
      <c r="Y435" s="53">
        <f t="shared" si="73"/>
        <v>1200</v>
      </c>
      <c r="Z435" s="39">
        <f>IFERROR(IF(Y435=0,"",ROUNDUP(Y435/H435,0)*0.02175),"")</f>
        <v>1.7399999999999998</v>
      </c>
      <c r="AA435" s="65" t="s">
        <v>46</v>
      </c>
      <c r="AB435" s="66" t="s">
        <v>46</v>
      </c>
      <c r="AC435" s="535" t="s">
        <v>714</v>
      </c>
      <c r="AG435" s="75"/>
      <c r="AJ435" s="79" t="s">
        <v>46</v>
      </c>
      <c r="AK435" s="79">
        <v>0</v>
      </c>
      <c r="BB435" s="536" t="s">
        <v>67</v>
      </c>
      <c r="BM435" s="75">
        <f t="shared" si="74"/>
        <v>1237.5999999999999</v>
      </c>
      <c r="BN435" s="75">
        <f t="shared" si="75"/>
        <v>1237.5999999999999</v>
      </c>
      <c r="BO435" s="75">
        <f t="shared" si="76"/>
        <v>1.6666666666666665</v>
      </c>
      <c r="BP435" s="75">
        <f t="shared" si="77"/>
        <v>1.6666666666666665</v>
      </c>
    </row>
    <row r="436" spans="1:68" ht="27" hidden="1" customHeight="1" x14ac:dyDescent="0.25">
      <c r="A436" s="60" t="s">
        <v>715</v>
      </c>
      <c r="B436" s="60" t="s">
        <v>716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73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717</v>
      </c>
      <c r="AG436" s="75"/>
      <c r="AJ436" s="79" t="s">
        <v>46</v>
      </c>
      <c r="AK436" s="79">
        <v>0</v>
      </c>
      <c r="BB436" s="538" t="s">
        <v>67</v>
      </c>
      <c r="BM436" s="75">
        <f t="shared" si="74"/>
        <v>0</v>
      </c>
      <c r="BN436" s="75">
        <f t="shared" si="75"/>
        <v>0</v>
      </c>
      <c r="BO436" s="75">
        <f t="shared" si="76"/>
        <v>0</v>
      </c>
      <c r="BP436" s="75">
        <f t="shared" si="77"/>
        <v>0</v>
      </c>
    </row>
    <row r="437" spans="1:68" ht="27" hidden="1" customHeight="1" x14ac:dyDescent="0.25">
      <c r="A437" s="60" t="s">
        <v>718</v>
      </c>
      <c r="B437" s="60" t="s">
        <v>719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7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720</v>
      </c>
      <c r="AG437" s="75"/>
      <c r="AJ437" s="79" t="s">
        <v>46</v>
      </c>
      <c r="AK437" s="79">
        <v>0</v>
      </c>
      <c r="BB437" s="540" t="s">
        <v>67</v>
      </c>
      <c r="BM437" s="75">
        <f t="shared" si="74"/>
        <v>0</v>
      </c>
      <c r="BN437" s="75">
        <f t="shared" si="75"/>
        <v>0</v>
      </c>
      <c r="BO437" s="75">
        <f t="shared" si="76"/>
        <v>0</v>
      </c>
      <c r="BP437" s="75">
        <f t="shared" si="77"/>
        <v>0</v>
      </c>
    </row>
    <row r="438" spans="1:68" ht="27" hidden="1" customHeight="1" x14ac:dyDescent="0.25">
      <c r="A438" s="60" t="s">
        <v>721</v>
      </c>
      <c r="B438" s="60" t="s">
        <v>722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7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723</v>
      </c>
      <c r="AG438" s="75"/>
      <c r="AJ438" s="79" t="s">
        <v>46</v>
      </c>
      <c r="AK438" s="79">
        <v>0</v>
      </c>
      <c r="BB438" s="542" t="s">
        <v>67</v>
      </c>
      <c r="BM438" s="75">
        <f t="shared" si="74"/>
        <v>0</v>
      </c>
      <c r="BN438" s="75">
        <f t="shared" si="75"/>
        <v>0</v>
      </c>
      <c r="BO438" s="75">
        <f t="shared" si="76"/>
        <v>0</v>
      </c>
      <c r="BP438" s="75">
        <f t="shared" si="77"/>
        <v>0</v>
      </c>
    </row>
    <row r="439" spans="1:68" ht="37.5" hidden="1" customHeight="1" x14ac:dyDescent="0.25">
      <c r="A439" s="60" t="s">
        <v>724</v>
      </c>
      <c r="B439" s="60" t="s">
        <v>725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3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726</v>
      </c>
      <c r="AG439" s="75"/>
      <c r="AJ439" s="79" t="s">
        <v>46</v>
      </c>
      <c r="AK439" s="79">
        <v>0</v>
      </c>
      <c r="BB439" s="544" t="s">
        <v>67</v>
      </c>
      <c r="BM439" s="75">
        <f t="shared" si="74"/>
        <v>0</v>
      </c>
      <c r="BN439" s="75">
        <f t="shared" si="75"/>
        <v>0</v>
      </c>
      <c r="BO439" s="75">
        <f t="shared" si="76"/>
        <v>0</v>
      </c>
      <c r="BP439" s="75">
        <f t="shared" si="77"/>
        <v>0</v>
      </c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1" t="s">
        <v>40</v>
      </c>
      <c r="Q440" s="652"/>
      <c r="R440" s="652"/>
      <c r="S440" s="652"/>
      <c r="T440" s="652"/>
      <c r="U440" s="652"/>
      <c r="V440" s="653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96.666666666666671</v>
      </c>
      <c r="Y440" s="41">
        <f>IFERROR(Y432/H432,"0")+IFERROR(Y433/H433,"0")+IFERROR(Y434/H434,"0")+IFERROR(Y435/H435,"0")+IFERROR(Y436/H436,"0")+IFERROR(Y437/H437,"0")+IFERROR(Y438/H438,"0")+IFERROR(Y439/H439,"0")</f>
        <v>97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2.1097499999999996</v>
      </c>
      <c r="AA440" s="64"/>
      <c r="AB440" s="64"/>
      <c r="AC440" s="64"/>
    </row>
    <row r="441" spans="1:68" x14ac:dyDescent="0.2">
      <c r="A441" s="654"/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5"/>
      <c r="P441" s="651" t="s">
        <v>40</v>
      </c>
      <c r="Q441" s="652"/>
      <c r="R441" s="652"/>
      <c r="S441" s="652"/>
      <c r="T441" s="652"/>
      <c r="U441" s="652"/>
      <c r="V441" s="653"/>
      <c r="W441" s="40" t="s">
        <v>0</v>
      </c>
      <c r="X441" s="41">
        <f>IFERROR(SUM(X432:X439),"0")</f>
        <v>1450</v>
      </c>
      <c r="Y441" s="41">
        <f>IFERROR(SUM(Y432:Y439),"0")</f>
        <v>1455</v>
      </c>
      <c r="Z441" s="40"/>
      <c r="AA441" s="64"/>
      <c r="AB441" s="64"/>
      <c r="AC441" s="64"/>
    </row>
    <row r="442" spans="1:68" ht="14.25" hidden="1" customHeight="1" x14ac:dyDescent="0.25">
      <c r="A442" s="665" t="s">
        <v>159</v>
      </c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3"/>
      <c r="AB442" s="63"/>
      <c r="AC442" s="63"/>
    </row>
    <row r="443" spans="1:68" ht="27" hidden="1" customHeight="1" x14ac:dyDescent="0.25">
      <c r="A443" s="60" t="s">
        <v>727</v>
      </c>
      <c r="B443" s="60" t="s">
        <v>728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729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730</v>
      </c>
      <c r="B444" s="60" t="s">
        <v>731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732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733</v>
      </c>
      <c r="B445" s="60" t="s">
        <v>734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735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1" t="s">
        <v>40</v>
      </c>
      <c r="Q446" s="652"/>
      <c r="R446" s="652"/>
      <c r="S446" s="652"/>
      <c r="T446" s="652"/>
      <c r="U446" s="652"/>
      <c r="V446" s="653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4"/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5"/>
      <c r="P447" s="651" t="s">
        <v>40</v>
      </c>
      <c r="Q447" s="652"/>
      <c r="R447" s="652"/>
      <c r="S447" s="652"/>
      <c r="T447" s="652"/>
      <c r="U447" s="652"/>
      <c r="V447" s="653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65" t="s">
        <v>86</v>
      </c>
      <c r="B448" s="665"/>
      <c r="C448" s="665"/>
      <c r="D448" s="665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3"/>
      <c r="AB448" s="63"/>
      <c r="AC448" s="63"/>
    </row>
    <row r="449" spans="1:68" ht="27" hidden="1" customHeight="1" x14ac:dyDescent="0.25">
      <c r="A449" s="60" t="s">
        <v>736</v>
      </c>
      <c r="B449" s="60" t="s">
        <v>737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738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customHeight="1" x14ac:dyDescent="0.25">
      <c r="A450" s="60" t="s">
        <v>739</v>
      </c>
      <c r="B450" s="60" t="s">
        <v>740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30</v>
      </c>
      <c r="Y450" s="53">
        <f>IFERROR(IF(X450="",0,CEILING((X450/$H450),1)*$H450),"")</f>
        <v>36</v>
      </c>
      <c r="Z450" s="39">
        <f>IFERROR(IF(Y450=0,"",ROUNDUP(Y450/H450,0)*0.01898),"")</f>
        <v>7.5920000000000001E-2</v>
      </c>
      <c r="AA450" s="65" t="s">
        <v>46</v>
      </c>
      <c r="AB450" s="66" t="s">
        <v>46</v>
      </c>
      <c r="AC450" s="553" t="s">
        <v>741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31.646666666666665</v>
      </c>
      <c r="BN450" s="75">
        <f>IFERROR(Y450*I450/H450,"0")</f>
        <v>37.975999999999999</v>
      </c>
      <c r="BO450" s="75">
        <f>IFERROR(1/J450*(X450/H450),"0")</f>
        <v>5.2083333333333336E-2</v>
      </c>
      <c r="BP450" s="75">
        <f>IFERROR(1/J450*(Y450/H450),"0")</f>
        <v>6.25E-2</v>
      </c>
    </row>
    <row r="451" spans="1:68" ht="27" hidden="1" customHeight="1" x14ac:dyDescent="0.25">
      <c r="A451" s="60" t="s">
        <v>742</v>
      </c>
      <c r="B451" s="60" t="s">
        <v>743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7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744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1" t="s">
        <v>40</v>
      </c>
      <c r="Q452" s="652"/>
      <c r="R452" s="652"/>
      <c r="S452" s="652"/>
      <c r="T452" s="652"/>
      <c r="U452" s="652"/>
      <c r="V452" s="653"/>
      <c r="W452" s="40" t="s">
        <v>39</v>
      </c>
      <c r="X452" s="41">
        <f>IFERROR(X449/H449,"0")+IFERROR(X450/H450,"0")+IFERROR(X451/H451,"0")</f>
        <v>3.3333333333333335</v>
      </c>
      <c r="Y452" s="41">
        <f>IFERROR(Y449/H449,"0")+IFERROR(Y450/H450,"0")+IFERROR(Y451/H451,"0")</f>
        <v>4</v>
      </c>
      <c r="Z452" s="41">
        <f>IFERROR(IF(Z449="",0,Z449),"0")+IFERROR(IF(Z450="",0,Z450),"0")+IFERROR(IF(Z451="",0,Z451),"0")</f>
        <v>7.5920000000000001E-2</v>
      </c>
      <c r="AA452" s="64"/>
      <c r="AB452" s="64"/>
      <c r="AC452" s="64"/>
    </row>
    <row r="453" spans="1:68" x14ac:dyDescent="0.2">
      <c r="A453" s="654"/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5"/>
      <c r="P453" s="651" t="s">
        <v>40</v>
      </c>
      <c r="Q453" s="652"/>
      <c r="R453" s="652"/>
      <c r="S453" s="652"/>
      <c r="T453" s="652"/>
      <c r="U453" s="652"/>
      <c r="V453" s="653"/>
      <c r="W453" s="40" t="s">
        <v>0</v>
      </c>
      <c r="X453" s="41">
        <f>IFERROR(SUM(X449:X451),"0")</f>
        <v>30</v>
      </c>
      <c r="Y453" s="41">
        <f>IFERROR(SUM(Y449:Y451),"0")</f>
        <v>36</v>
      </c>
      <c r="Z453" s="40"/>
      <c r="AA453" s="64"/>
      <c r="AB453" s="64"/>
      <c r="AC453" s="64"/>
    </row>
    <row r="454" spans="1:68" ht="14.25" hidden="1" customHeight="1" x14ac:dyDescent="0.25">
      <c r="A454" s="665" t="s">
        <v>179</v>
      </c>
      <c r="B454" s="665"/>
      <c r="C454" s="665"/>
      <c r="D454" s="665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3"/>
      <c r="AB454" s="63"/>
      <c r="AC454" s="63"/>
    </row>
    <row r="455" spans="1:68" ht="27" hidden="1" customHeight="1" x14ac:dyDescent="0.25">
      <c r="A455" s="60" t="s">
        <v>745</v>
      </c>
      <c r="B455" s="60" t="s">
        <v>746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70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747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748</v>
      </c>
      <c r="B456" s="60" t="s">
        <v>749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7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750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1" t="s">
        <v>40</v>
      </c>
      <c r="Q457" s="652"/>
      <c r="R457" s="652"/>
      <c r="S457" s="652"/>
      <c r="T457" s="652"/>
      <c r="U457" s="652"/>
      <c r="V457" s="653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4"/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5"/>
      <c r="P458" s="651" t="s">
        <v>40</v>
      </c>
      <c r="Q458" s="652"/>
      <c r="R458" s="652"/>
      <c r="S458" s="652"/>
      <c r="T458" s="652"/>
      <c r="U458" s="652"/>
      <c r="V458" s="653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64" t="s">
        <v>751</v>
      </c>
      <c r="B459" s="664"/>
      <c r="C459" s="664"/>
      <c r="D459" s="664"/>
      <c r="E459" s="664"/>
      <c r="F459" s="664"/>
      <c r="G459" s="664"/>
      <c r="H459" s="664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  <c r="Y459" s="664"/>
      <c r="Z459" s="664"/>
      <c r="AA459" s="62"/>
      <c r="AB459" s="62"/>
      <c r="AC459" s="62"/>
    </row>
    <row r="460" spans="1:68" ht="14.25" hidden="1" customHeight="1" x14ac:dyDescent="0.25">
      <c r="A460" s="665" t="s">
        <v>122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3"/>
      <c r="AB460" s="63"/>
      <c r="AC460" s="63"/>
    </row>
    <row r="461" spans="1:68" ht="27" hidden="1" customHeight="1" x14ac:dyDescent="0.25">
      <c r="A461" s="60" t="s">
        <v>752</v>
      </c>
      <c r="B461" s="60" t="s">
        <v>753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754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755</v>
      </c>
      <c r="B462" s="60" t="s">
        <v>756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7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754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1" t="s">
        <v>40</v>
      </c>
      <c r="Q463" s="652"/>
      <c r="R463" s="652"/>
      <c r="S463" s="652"/>
      <c r="T463" s="652"/>
      <c r="U463" s="652"/>
      <c r="V463" s="653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4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51" t="s">
        <v>40</v>
      </c>
      <c r="Q464" s="652"/>
      <c r="R464" s="652"/>
      <c r="S464" s="652"/>
      <c r="T464" s="652"/>
      <c r="U464" s="652"/>
      <c r="V464" s="653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65" t="s">
        <v>77</v>
      </c>
      <c r="B465" s="665"/>
      <c r="C465" s="665"/>
      <c r="D465" s="665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3"/>
      <c r="AB465" s="63"/>
      <c r="AC465" s="63"/>
    </row>
    <row r="466" spans="1:68" ht="27" hidden="1" customHeight="1" x14ac:dyDescent="0.25">
      <c r="A466" s="60" t="s">
        <v>757</v>
      </c>
      <c r="B466" s="60" t="s">
        <v>758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759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1" t="s">
        <v>40</v>
      </c>
      <c r="Q467" s="652"/>
      <c r="R467" s="652"/>
      <c r="S467" s="652"/>
      <c r="T467" s="652"/>
      <c r="U467" s="652"/>
      <c r="V467" s="653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4"/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5"/>
      <c r="P468" s="651" t="s">
        <v>40</v>
      </c>
      <c r="Q468" s="652"/>
      <c r="R468" s="652"/>
      <c r="S468" s="652"/>
      <c r="T468" s="652"/>
      <c r="U468" s="652"/>
      <c r="V468" s="653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5" t="s">
        <v>86</v>
      </c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3"/>
      <c r="AB469" s="63"/>
      <c r="AC469" s="63"/>
    </row>
    <row r="470" spans="1:68" ht="27" customHeight="1" x14ac:dyDescent="0.25">
      <c r="A470" s="60" t="s">
        <v>760</v>
      </c>
      <c r="B470" s="60" t="s">
        <v>761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7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60</v>
      </c>
      <c r="Y470" s="53">
        <f>IFERROR(IF(X470="",0,CEILING((X470/$H470),1)*$H470),"")</f>
        <v>63</v>
      </c>
      <c r="Z470" s="39">
        <f>IFERROR(IF(Y470=0,"",ROUNDUP(Y470/H470,0)*0.01898),"")</f>
        <v>0.13286000000000001</v>
      </c>
      <c r="AA470" s="65" t="s">
        <v>46</v>
      </c>
      <c r="AB470" s="66" t="s">
        <v>46</v>
      </c>
      <c r="AC470" s="567" t="s">
        <v>762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63.293333333333329</v>
      </c>
      <c r="BN470" s="75">
        <f>IFERROR(Y470*I470/H470,"0")</f>
        <v>66.457999999999998</v>
      </c>
      <c r="BO470" s="75">
        <f>IFERROR(1/J470*(X470/H470),"0")</f>
        <v>0.10416666666666667</v>
      </c>
      <c r="BP470" s="75">
        <f>IFERROR(1/J470*(Y470/H470),"0")</f>
        <v>0.109375</v>
      </c>
    </row>
    <row r="471" spans="1:68" ht="27" hidden="1" customHeight="1" x14ac:dyDescent="0.25">
      <c r="A471" s="60" t="s">
        <v>763</v>
      </c>
      <c r="B471" s="60" t="s">
        <v>764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762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763</v>
      </c>
      <c r="B472" s="60" t="s">
        <v>765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766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1" t="s">
        <v>40</v>
      </c>
      <c r="Q473" s="652"/>
      <c r="R473" s="652"/>
      <c r="S473" s="652"/>
      <c r="T473" s="652"/>
      <c r="U473" s="652"/>
      <c r="V473" s="653"/>
      <c r="W473" s="40" t="s">
        <v>39</v>
      </c>
      <c r="X473" s="41">
        <f>IFERROR(X470/H470,"0")+IFERROR(X471/H471,"0")+IFERROR(X472/H472,"0")</f>
        <v>6.666666666666667</v>
      </c>
      <c r="Y473" s="41">
        <f>IFERROR(Y470/H470,"0")+IFERROR(Y471/H471,"0")+IFERROR(Y472/H472,"0")</f>
        <v>7</v>
      </c>
      <c r="Z473" s="41">
        <f>IFERROR(IF(Z470="",0,Z470),"0")+IFERROR(IF(Z471="",0,Z471),"0")+IFERROR(IF(Z472="",0,Z472),"0")</f>
        <v>0.13286000000000001</v>
      </c>
      <c r="AA473" s="64"/>
      <c r="AB473" s="64"/>
      <c r="AC473" s="64"/>
    </row>
    <row r="474" spans="1:68" x14ac:dyDescent="0.2">
      <c r="A474" s="654"/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5"/>
      <c r="P474" s="651" t="s">
        <v>40</v>
      </c>
      <c r="Q474" s="652"/>
      <c r="R474" s="652"/>
      <c r="S474" s="652"/>
      <c r="T474" s="652"/>
      <c r="U474" s="652"/>
      <c r="V474" s="653"/>
      <c r="W474" s="40" t="s">
        <v>0</v>
      </c>
      <c r="X474" s="41">
        <f>IFERROR(SUM(X470:X472),"0")</f>
        <v>60</v>
      </c>
      <c r="Y474" s="41">
        <f>IFERROR(SUM(Y470:Y472),"0")</f>
        <v>63</v>
      </c>
      <c r="Z474" s="40"/>
      <c r="AA474" s="64"/>
      <c r="AB474" s="64"/>
      <c r="AC474" s="64"/>
    </row>
    <row r="475" spans="1:68" ht="27.75" hidden="1" customHeight="1" x14ac:dyDescent="0.2">
      <c r="A475" s="671" t="s">
        <v>767</v>
      </c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  <c r="AA475" s="52"/>
      <c r="AB475" s="52"/>
      <c r="AC475" s="52"/>
    </row>
    <row r="476" spans="1:68" ht="16.5" hidden="1" customHeight="1" x14ac:dyDescent="0.25">
      <c r="A476" s="664" t="s">
        <v>768</v>
      </c>
      <c r="B476" s="664"/>
      <c r="C476" s="664"/>
      <c r="D476" s="664"/>
      <c r="E476" s="664"/>
      <c r="F476" s="664"/>
      <c r="G476" s="664"/>
      <c r="H476" s="664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  <c r="Y476" s="664"/>
      <c r="Z476" s="664"/>
      <c r="AA476" s="62"/>
      <c r="AB476" s="62"/>
      <c r="AC476" s="62"/>
    </row>
    <row r="477" spans="1:68" ht="14.25" hidden="1" customHeight="1" x14ac:dyDescent="0.25">
      <c r="A477" s="665" t="s">
        <v>77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3"/>
      <c r="AB477" s="63"/>
      <c r="AC477" s="63"/>
    </row>
    <row r="478" spans="1:68" ht="27" hidden="1" customHeight="1" x14ac:dyDescent="0.25">
      <c r="A478" s="60" t="s">
        <v>769</v>
      </c>
      <c r="B478" s="60" t="s">
        <v>770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8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771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9">IFERROR(X478*I478/H478,"0")</f>
        <v>0</v>
      </c>
      <c r="BN478" s="75">
        <f t="shared" ref="BN478:BN483" si="80">IFERROR(Y478*I478/H478,"0")</f>
        <v>0</v>
      </c>
      <c r="BO478" s="75">
        <f t="shared" ref="BO478:BO483" si="81">IFERROR(1/J478*(X478/H478),"0")</f>
        <v>0</v>
      </c>
      <c r="BP478" s="75">
        <f t="shared" ref="BP478:BP483" si="82">IFERROR(1/J478*(Y478/H478),"0")</f>
        <v>0</v>
      </c>
    </row>
    <row r="479" spans="1:68" ht="27" hidden="1" customHeight="1" x14ac:dyDescent="0.25">
      <c r="A479" s="60" t="s">
        <v>772</v>
      </c>
      <c r="B479" s="60" t="s">
        <v>773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70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8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774</v>
      </c>
      <c r="AG479" s="75"/>
      <c r="AJ479" s="79" t="s">
        <v>46</v>
      </c>
      <c r="AK479" s="79">
        <v>0</v>
      </c>
      <c r="BB479" s="576" t="s">
        <v>67</v>
      </c>
      <c r="BM479" s="75">
        <f t="shared" si="79"/>
        <v>0</v>
      </c>
      <c r="BN479" s="75">
        <f t="shared" si="80"/>
        <v>0</v>
      </c>
      <c r="BO479" s="75">
        <f t="shared" si="81"/>
        <v>0</v>
      </c>
      <c r="BP479" s="75">
        <f t="shared" si="82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771</v>
      </c>
      <c r="AG480" s="75"/>
      <c r="AJ480" s="79" t="s">
        <v>46</v>
      </c>
      <c r="AK480" s="79">
        <v>0</v>
      </c>
      <c r="BB480" s="578" t="s">
        <v>67</v>
      </c>
      <c r="BM480" s="75">
        <f t="shared" si="79"/>
        <v>0</v>
      </c>
      <c r="BN480" s="75">
        <f t="shared" si="80"/>
        <v>0</v>
      </c>
      <c r="BO480" s="75">
        <f t="shared" si="81"/>
        <v>0</v>
      </c>
      <c r="BP480" s="75">
        <f t="shared" si="82"/>
        <v>0</v>
      </c>
    </row>
    <row r="481" spans="1:68" ht="27" hidden="1" customHeight="1" x14ac:dyDescent="0.25">
      <c r="A481" s="60" t="s">
        <v>777</v>
      </c>
      <c r="B481" s="60" t="s">
        <v>778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7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779</v>
      </c>
      <c r="AG481" s="75"/>
      <c r="AJ481" s="79" t="s">
        <v>46</v>
      </c>
      <c r="AK481" s="79">
        <v>0</v>
      </c>
      <c r="BB481" s="580" t="s">
        <v>67</v>
      </c>
      <c r="BM481" s="75">
        <f t="shared" si="79"/>
        <v>0</v>
      </c>
      <c r="BN481" s="75">
        <f t="shared" si="80"/>
        <v>0</v>
      </c>
      <c r="BO481" s="75">
        <f t="shared" si="81"/>
        <v>0</v>
      </c>
      <c r="BP481" s="75">
        <f t="shared" si="82"/>
        <v>0</v>
      </c>
    </row>
    <row r="482" spans="1:68" ht="27" hidden="1" customHeight="1" x14ac:dyDescent="0.25">
      <c r="A482" s="60" t="s">
        <v>780</v>
      </c>
      <c r="B482" s="60" t="s">
        <v>781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782</v>
      </c>
      <c r="AG482" s="75"/>
      <c r="AJ482" s="79" t="s">
        <v>46</v>
      </c>
      <c r="AK482" s="79">
        <v>0</v>
      </c>
      <c r="BB482" s="582" t="s">
        <v>67</v>
      </c>
      <c r="BM482" s="75">
        <f t="shared" si="79"/>
        <v>0</v>
      </c>
      <c r="BN482" s="75">
        <f t="shared" si="80"/>
        <v>0</v>
      </c>
      <c r="BO482" s="75">
        <f t="shared" si="81"/>
        <v>0</v>
      </c>
      <c r="BP482" s="75">
        <f t="shared" si="82"/>
        <v>0</v>
      </c>
    </row>
    <row r="483" spans="1:68" ht="37.5" hidden="1" customHeight="1" x14ac:dyDescent="0.25">
      <c r="A483" s="60" t="s">
        <v>783</v>
      </c>
      <c r="B483" s="60" t="s">
        <v>784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8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779</v>
      </c>
      <c r="AG483" s="75"/>
      <c r="AJ483" s="79" t="s">
        <v>46</v>
      </c>
      <c r="AK483" s="79">
        <v>0</v>
      </c>
      <c r="BB483" s="584" t="s">
        <v>67</v>
      </c>
      <c r="BM483" s="75">
        <f t="shared" si="79"/>
        <v>0</v>
      </c>
      <c r="BN483" s="75">
        <f t="shared" si="80"/>
        <v>0</v>
      </c>
      <c r="BO483" s="75">
        <f t="shared" si="81"/>
        <v>0</v>
      </c>
      <c r="BP483" s="75">
        <f t="shared" si="82"/>
        <v>0</v>
      </c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1" t="s">
        <v>40</v>
      </c>
      <c r="Q484" s="652"/>
      <c r="R484" s="652"/>
      <c r="S484" s="652"/>
      <c r="T484" s="652"/>
      <c r="U484" s="652"/>
      <c r="V484" s="653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4"/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5"/>
      <c r="P485" s="651" t="s">
        <v>40</v>
      </c>
      <c r="Q485" s="652"/>
      <c r="R485" s="652"/>
      <c r="S485" s="652"/>
      <c r="T485" s="652"/>
      <c r="U485" s="652"/>
      <c r="V485" s="653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65" t="s">
        <v>86</v>
      </c>
      <c r="B486" s="665"/>
      <c r="C486" s="665"/>
      <c r="D486" s="665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3"/>
      <c r="AB486" s="63"/>
      <c r="AC486" s="63"/>
    </row>
    <row r="487" spans="1:68" ht="27" hidden="1" customHeight="1" x14ac:dyDescent="0.25">
      <c r="A487" s="60" t="s">
        <v>785</v>
      </c>
      <c r="B487" s="60" t="s">
        <v>786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787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788</v>
      </c>
      <c r="B488" s="60" t="s">
        <v>789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790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1" t="s">
        <v>40</v>
      </c>
      <c r="Q489" s="652"/>
      <c r="R489" s="652"/>
      <c r="S489" s="652"/>
      <c r="T489" s="652"/>
      <c r="U489" s="652"/>
      <c r="V489" s="653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4"/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5"/>
      <c r="P490" s="651" t="s">
        <v>40</v>
      </c>
      <c r="Q490" s="652"/>
      <c r="R490" s="652"/>
      <c r="S490" s="652"/>
      <c r="T490" s="652"/>
      <c r="U490" s="652"/>
      <c r="V490" s="653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64" t="s">
        <v>791</v>
      </c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  <c r="Y491" s="664"/>
      <c r="Z491" s="664"/>
      <c r="AA491" s="62"/>
      <c r="AB491" s="62"/>
      <c r="AC491" s="62"/>
    </row>
    <row r="492" spans="1:68" ht="14.25" hidden="1" customHeight="1" x14ac:dyDescent="0.25">
      <c r="A492" s="665" t="s">
        <v>159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3"/>
      <c r="AB492" s="63"/>
      <c r="AC492" s="63"/>
    </row>
    <row r="493" spans="1:68" ht="27" hidden="1" customHeight="1" x14ac:dyDescent="0.25">
      <c r="A493" s="60" t="s">
        <v>792</v>
      </c>
      <c r="B493" s="60" t="s">
        <v>793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794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1" t="s">
        <v>40</v>
      </c>
      <c r="Q494" s="652"/>
      <c r="R494" s="652"/>
      <c r="S494" s="652"/>
      <c r="T494" s="652"/>
      <c r="U494" s="652"/>
      <c r="V494" s="653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4"/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5"/>
      <c r="P495" s="651" t="s">
        <v>40</v>
      </c>
      <c r="Q495" s="652"/>
      <c r="R495" s="652"/>
      <c r="S495" s="652"/>
      <c r="T495" s="652"/>
      <c r="U495" s="652"/>
      <c r="V495" s="653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65" t="s">
        <v>77</v>
      </c>
      <c r="B496" s="665"/>
      <c r="C496" s="665"/>
      <c r="D496" s="665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3"/>
      <c r="AB496" s="63"/>
      <c r="AC496" s="63"/>
    </row>
    <row r="497" spans="1:68" ht="27" hidden="1" customHeight="1" x14ac:dyDescent="0.25">
      <c r="A497" s="60" t="s">
        <v>795</v>
      </c>
      <c r="B497" s="60" t="s">
        <v>796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797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800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801</v>
      </c>
      <c r="B499" s="60" t="s">
        <v>802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6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800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1" t="s">
        <v>40</v>
      </c>
      <c r="Q500" s="652"/>
      <c r="R500" s="652"/>
      <c r="S500" s="652"/>
      <c r="T500" s="652"/>
      <c r="U500" s="652"/>
      <c r="V500" s="653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4"/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5"/>
      <c r="P501" s="651" t="s">
        <v>40</v>
      </c>
      <c r="Q501" s="652"/>
      <c r="R501" s="652"/>
      <c r="S501" s="652"/>
      <c r="T501" s="652"/>
      <c r="U501" s="652"/>
      <c r="V501" s="653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1" t="s">
        <v>803</v>
      </c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  <c r="AA502" s="52"/>
      <c r="AB502" s="52"/>
      <c r="AC502" s="52"/>
    </row>
    <row r="503" spans="1:68" ht="16.5" hidden="1" customHeight="1" x14ac:dyDescent="0.25">
      <c r="A503" s="664" t="s">
        <v>803</v>
      </c>
      <c r="B503" s="664"/>
      <c r="C503" s="664"/>
      <c r="D503" s="664"/>
      <c r="E503" s="664"/>
      <c r="F503" s="664"/>
      <c r="G503" s="664"/>
      <c r="H503" s="664"/>
      <c r="I503" s="664"/>
      <c r="J503" s="664"/>
      <c r="K503" s="664"/>
      <c r="L503" s="664"/>
      <c r="M503" s="664"/>
      <c r="N503" s="664"/>
      <c r="O503" s="664"/>
      <c r="P503" s="664"/>
      <c r="Q503" s="664"/>
      <c r="R503" s="664"/>
      <c r="S503" s="664"/>
      <c r="T503" s="664"/>
      <c r="U503" s="664"/>
      <c r="V503" s="664"/>
      <c r="W503" s="664"/>
      <c r="X503" s="664"/>
      <c r="Y503" s="664"/>
      <c r="Z503" s="664"/>
      <c r="AA503" s="62"/>
      <c r="AB503" s="62"/>
      <c r="AC503" s="62"/>
    </row>
    <row r="504" spans="1:68" ht="14.25" hidden="1" customHeight="1" x14ac:dyDescent="0.25">
      <c r="A504" s="665" t="s">
        <v>122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3"/>
      <c r="AB504" s="63"/>
      <c r="AC504" s="63"/>
    </row>
    <row r="505" spans="1:68" ht="27" customHeight="1" x14ac:dyDescent="0.25">
      <c r="A505" s="60" t="s">
        <v>804</v>
      </c>
      <c r="B505" s="60" t="s">
        <v>805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130</v>
      </c>
      <c r="Y505" s="53">
        <f t="shared" ref="Y505:Y513" si="83">IFERROR(IF(X505="",0,CEILING((X505/$H505),1)*$H505),"")</f>
        <v>132</v>
      </c>
      <c r="Z505" s="39">
        <f t="shared" ref="Z505:Z510" si="84">IFERROR(IF(Y505=0,"",ROUNDUP(Y505/H505,0)*0.01196),"")</f>
        <v>0.29899999999999999</v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5">IFERROR(X505*I505/H505,"0")</f>
        <v>138.61742424242422</v>
      </c>
      <c r="BN505" s="75">
        <f t="shared" ref="BN505:BN513" si="86">IFERROR(Y505*I505/H505,"0")</f>
        <v>140.75</v>
      </c>
      <c r="BO505" s="75">
        <f t="shared" ref="BO505:BO513" si="87">IFERROR(1/J505*(X505/H505),"0")</f>
        <v>0.23674242424242425</v>
      </c>
      <c r="BP505" s="75">
        <f t="shared" ref="BP505:BP513" si="88">IFERROR(1/J505*(Y505/H505),"0")</f>
        <v>0.24038461538461539</v>
      </c>
    </row>
    <row r="506" spans="1:68" ht="16.5" hidden="1" customHeight="1" x14ac:dyDescent="0.25">
      <c r="A506" s="60" t="s">
        <v>806</v>
      </c>
      <c r="B506" s="60" t="s">
        <v>807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83"/>
        <v>0</v>
      </c>
      <c r="Z506" s="39" t="str">
        <f t="shared" si="84"/>
        <v/>
      </c>
      <c r="AA506" s="65" t="s">
        <v>46</v>
      </c>
      <c r="AB506" s="66" t="s">
        <v>46</v>
      </c>
      <c r="AC506" s="599" t="s">
        <v>808</v>
      </c>
      <c r="AG506" s="75"/>
      <c r="AJ506" s="79" t="s">
        <v>46</v>
      </c>
      <c r="AK506" s="79">
        <v>0</v>
      </c>
      <c r="BB506" s="600" t="s">
        <v>67</v>
      </c>
      <c r="BM506" s="75">
        <f t="shared" si="85"/>
        <v>0</v>
      </c>
      <c r="BN506" s="75">
        <f t="shared" si="86"/>
        <v>0</v>
      </c>
      <c r="BO506" s="75">
        <f t="shared" si="87"/>
        <v>0</v>
      </c>
      <c r="BP506" s="75">
        <f t="shared" si="88"/>
        <v>0</v>
      </c>
    </row>
    <row r="507" spans="1:68" ht="27" hidden="1" customHeight="1" x14ac:dyDescent="0.25">
      <c r="A507" s="60" t="s">
        <v>809</v>
      </c>
      <c r="B507" s="60" t="s">
        <v>810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83"/>
        <v>0</v>
      </c>
      <c r="Z507" s="39" t="str">
        <f t="shared" si="84"/>
        <v/>
      </c>
      <c r="AA507" s="65" t="s">
        <v>46</v>
      </c>
      <c r="AB507" s="66" t="s">
        <v>46</v>
      </c>
      <c r="AC507" s="601" t="s">
        <v>811</v>
      </c>
      <c r="AG507" s="75"/>
      <c r="AJ507" s="79" t="s">
        <v>46</v>
      </c>
      <c r="AK507" s="79">
        <v>0</v>
      </c>
      <c r="BB507" s="602" t="s">
        <v>67</v>
      </c>
      <c r="BM507" s="75">
        <f t="shared" si="85"/>
        <v>0</v>
      </c>
      <c r="BN507" s="75">
        <f t="shared" si="86"/>
        <v>0</v>
      </c>
      <c r="BO507" s="75">
        <f t="shared" si="87"/>
        <v>0</v>
      </c>
      <c r="BP507" s="75">
        <f t="shared" si="88"/>
        <v>0</v>
      </c>
    </row>
    <row r="508" spans="1:68" ht="27" customHeight="1" x14ac:dyDescent="0.25">
      <c r="A508" s="60" t="s">
        <v>812</v>
      </c>
      <c r="B508" s="60" t="s">
        <v>813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6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180</v>
      </c>
      <c r="Y508" s="53">
        <f t="shared" si="83"/>
        <v>184.8</v>
      </c>
      <c r="Z508" s="39">
        <f t="shared" si="84"/>
        <v>0.41860000000000003</v>
      </c>
      <c r="AA508" s="65" t="s">
        <v>46</v>
      </c>
      <c r="AB508" s="66" t="s">
        <v>46</v>
      </c>
      <c r="AC508" s="603" t="s">
        <v>814</v>
      </c>
      <c r="AG508" s="75"/>
      <c r="AJ508" s="79" t="s">
        <v>46</v>
      </c>
      <c r="AK508" s="79">
        <v>0</v>
      </c>
      <c r="BB508" s="604" t="s">
        <v>67</v>
      </c>
      <c r="BM508" s="75">
        <f t="shared" si="85"/>
        <v>191.93181818181816</v>
      </c>
      <c r="BN508" s="75">
        <f t="shared" si="86"/>
        <v>197.04999999999998</v>
      </c>
      <c r="BO508" s="75">
        <f t="shared" si="87"/>
        <v>0.32779720279720276</v>
      </c>
      <c r="BP508" s="75">
        <f t="shared" si="88"/>
        <v>0.33653846153846156</v>
      </c>
    </row>
    <row r="509" spans="1:68" ht="16.5" hidden="1" customHeight="1" x14ac:dyDescent="0.25">
      <c r="A509" s="60" t="s">
        <v>815</v>
      </c>
      <c r="B509" s="60" t="s">
        <v>816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6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83"/>
        <v>0</v>
      </c>
      <c r="Z509" s="39" t="str">
        <f t="shared" si="84"/>
        <v/>
      </c>
      <c r="AA509" s="65" t="s">
        <v>46</v>
      </c>
      <c r="AB509" s="66" t="s">
        <v>46</v>
      </c>
      <c r="AC509" s="605" t="s">
        <v>817</v>
      </c>
      <c r="AG509" s="75"/>
      <c r="AJ509" s="79" t="s">
        <v>46</v>
      </c>
      <c r="AK509" s="79">
        <v>0</v>
      </c>
      <c r="BB509" s="606" t="s">
        <v>67</v>
      </c>
      <c r="BM509" s="75">
        <f t="shared" si="85"/>
        <v>0</v>
      </c>
      <c r="BN509" s="75">
        <f t="shared" si="86"/>
        <v>0</v>
      </c>
      <c r="BO509" s="75">
        <f t="shared" si="87"/>
        <v>0</v>
      </c>
      <c r="BP509" s="75">
        <f t="shared" si="88"/>
        <v>0</v>
      </c>
    </row>
    <row r="510" spans="1:68" ht="27" customHeight="1" x14ac:dyDescent="0.25">
      <c r="A510" s="60" t="s">
        <v>818</v>
      </c>
      <c r="B510" s="60" t="s">
        <v>819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6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600</v>
      </c>
      <c r="Y510" s="53">
        <f t="shared" si="83"/>
        <v>601.92000000000007</v>
      </c>
      <c r="Z510" s="39">
        <f t="shared" si="84"/>
        <v>1.36344</v>
      </c>
      <c r="AA510" s="65" t="s">
        <v>46</v>
      </c>
      <c r="AB510" s="66" t="s">
        <v>46</v>
      </c>
      <c r="AC510" s="607" t="s">
        <v>820</v>
      </c>
      <c r="AG510" s="75"/>
      <c r="AJ510" s="79" t="s">
        <v>46</v>
      </c>
      <c r="AK510" s="79">
        <v>0</v>
      </c>
      <c r="BB510" s="608" t="s">
        <v>67</v>
      </c>
      <c r="BM510" s="75">
        <f t="shared" si="85"/>
        <v>639.77272727272725</v>
      </c>
      <c r="BN510" s="75">
        <f t="shared" si="86"/>
        <v>641.82000000000005</v>
      </c>
      <c r="BO510" s="75">
        <f t="shared" si="87"/>
        <v>1.0926573426573427</v>
      </c>
      <c r="BP510" s="75">
        <f t="shared" si="88"/>
        <v>1.0961538461538463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6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3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5"/>
        <v>0</v>
      </c>
      <c r="BN511" s="75">
        <f t="shared" si="86"/>
        <v>0</v>
      </c>
      <c r="BO511" s="75">
        <f t="shared" si="87"/>
        <v>0</v>
      </c>
      <c r="BP511" s="75">
        <f t="shared" si="88"/>
        <v>0</v>
      </c>
    </row>
    <row r="512" spans="1:68" ht="27" customHeight="1" x14ac:dyDescent="0.25">
      <c r="A512" s="60" t="s">
        <v>823</v>
      </c>
      <c r="B512" s="60" t="s">
        <v>824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216</v>
      </c>
      <c r="Y512" s="53">
        <f t="shared" si="83"/>
        <v>216</v>
      </c>
      <c r="Z512" s="39">
        <f>IFERROR(IF(Y512=0,"",ROUNDUP(Y512/H512,0)*0.00902),"")</f>
        <v>0.40590000000000004</v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5"/>
        <v>310.95</v>
      </c>
      <c r="BN512" s="75">
        <f t="shared" si="86"/>
        <v>310.95</v>
      </c>
      <c r="BO512" s="75">
        <f t="shared" si="87"/>
        <v>0.34090909090909094</v>
      </c>
      <c r="BP512" s="75">
        <f t="shared" si="88"/>
        <v>0.34090909090909094</v>
      </c>
    </row>
    <row r="513" spans="1:68" ht="27" customHeight="1" x14ac:dyDescent="0.25">
      <c r="A513" s="60" t="s">
        <v>825</v>
      </c>
      <c r="B513" s="60" t="s">
        <v>826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300</v>
      </c>
      <c r="Y513" s="53">
        <f t="shared" si="83"/>
        <v>302.39999999999998</v>
      </c>
      <c r="Z513" s="39">
        <f>IFERROR(IF(Y513=0,"",ROUNDUP(Y513/H513,0)*0.00902),"")</f>
        <v>0.56825999999999999</v>
      </c>
      <c r="AA513" s="65" t="s">
        <v>46</v>
      </c>
      <c r="AB513" s="66" t="s">
        <v>46</v>
      </c>
      <c r="AC513" s="613" t="s">
        <v>820</v>
      </c>
      <c r="AG513" s="75"/>
      <c r="AJ513" s="79" t="s">
        <v>46</v>
      </c>
      <c r="AK513" s="79">
        <v>0</v>
      </c>
      <c r="BB513" s="614" t="s">
        <v>67</v>
      </c>
      <c r="BM513" s="75">
        <f t="shared" si="85"/>
        <v>431.875</v>
      </c>
      <c r="BN513" s="75">
        <f t="shared" si="86"/>
        <v>435.33</v>
      </c>
      <c r="BO513" s="75">
        <f t="shared" si="87"/>
        <v>0.47348484848484851</v>
      </c>
      <c r="BP513" s="75">
        <f t="shared" si="88"/>
        <v>0.47727272727272729</v>
      </c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1" t="s">
        <v>40</v>
      </c>
      <c r="Q514" s="652"/>
      <c r="R514" s="652"/>
      <c r="S514" s="652"/>
      <c r="T514" s="652"/>
      <c r="U514" s="652"/>
      <c r="V514" s="653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279.84848484848482</v>
      </c>
      <c r="Y514" s="41">
        <f>IFERROR(Y505/H505,"0")+IFERROR(Y506/H506,"0")+IFERROR(Y507/H507,"0")+IFERROR(Y508/H508,"0")+IFERROR(Y509/H509,"0")+IFERROR(Y510/H510,"0")+IFERROR(Y511/H511,"0")+IFERROR(Y512/H512,"0")+IFERROR(Y513/H513,"0")</f>
        <v>282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3.0551999999999997</v>
      </c>
      <c r="AA514" s="64"/>
      <c r="AB514" s="64"/>
      <c r="AC514" s="64"/>
    </row>
    <row r="515" spans="1:68" x14ac:dyDescent="0.2">
      <c r="A515" s="654"/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5"/>
      <c r="P515" s="651" t="s">
        <v>40</v>
      </c>
      <c r="Q515" s="652"/>
      <c r="R515" s="652"/>
      <c r="S515" s="652"/>
      <c r="T515" s="652"/>
      <c r="U515" s="652"/>
      <c r="V515" s="653"/>
      <c r="W515" s="40" t="s">
        <v>0</v>
      </c>
      <c r="X515" s="41">
        <f>IFERROR(SUM(X505:X513),"0")</f>
        <v>1426</v>
      </c>
      <c r="Y515" s="41">
        <f>IFERROR(SUM(Y505:Y513),"0")</f>
        <v>1437.12</v>
      </c>
      <c r="Z515" s="40"/>
      <c r="AA515" s="64"/>
      <c r="AB515" s="64"/>
      <c r="AC515" s="64"/>
    </row>
    <row r="516" spans="1:68" ht="14.25" hidden="1" customHeight="1" x14ac:dyDescent="0.25">
      <c r="A516" s="665" t="s">
        <v>159</v>
      </c>
      <c r="B516" s="665"/>
      <c r="C516" s="665"/>
      <c r="D516" s="665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3"/>
      <c r="AB516" s="63"/>
      <c r="AC516" s="63"/>
    </row>
    <row r="517" spans="1:68" ht="16.5" customHeight="1" x14ac:dyDescent="0.25">
      <c r="A517" s="60" t="s">
        <v>827</v>
      </c>
      <c r="B517" s="60" t="s">
        <v>828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6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600</v>
      </c>
      <c r="Y517" s="53">
        <f>IFERROR(IF(X517="",0,CEILING((X517/$H517),1)*$H517),"")</f>
        <v>601.92000000000007</v>
      </c>
      <c r="Z517" s="39">
        <f>IFERROR(IF(Y517=0,"",ROUNDUP(Y517/H517,0)*0.01196),"")</f>
        <v>1.36344</v>
      </c>
      <c r="AA517" s="65" t="s">
        <v>46</v>
      </c>
      <c r="AB517" s="66" t="s">
        <v>46</v>
      </c>
      <c r="AC517" s="615" t="s">
        <v>829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639.77272727272725</v>
      </c>
      <c r="BN517" s="75">
        <f>IFERROR(Y517*I517/H517,"0")</f>
        <v>641.82000000000005</v>
      </c>
      <c r="BO517" s="75">
        <f>IFERROR(1/J517*(X517/H517),"0")</f>
        <v>1.0926573426573427</v>
      </c>
      <c r="BP517" s="75">
        <f>IFERROR(1/J517*(Y517/H517),"0")</f>
        <v>1.0961538461538463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829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customHeight="1" x14ac:dyDescent="0.25">
      <c r="A519" s="60" t="s">
        <v>832</v>
      </c>
      <c r="B519" s="60" t="s">
        <v>833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150</v>
      </c>
      <c r="Y519" s="53">
        <f>IFERROR(IF(X519="",0,CEILING((X519/$H519),1)*$H519),"")</f>
        <v>153.6</v>
      </c>
      <c r="Z519" s="39">
        <f>IFERROR(IF(Y519=0,"",ROUNDUP(Y519/H519,0)*0.00902),"")</f>
        <v>0.28864000000000001</v>
      </c>
      <c r="AA519" s="65" t="s">
        <v>46</v>
      </c>
      <c r="AB519" s="66" t="s">
        <v>46</v>
      </c>
      <c r="AC519" s="619" t="s">
        <v>829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215.9375</v>
      </c>
      <c r="BN519" s="75">
        <f>IFERROR(Y519*I519/H519,"0")</f>
        <v>221.12</v>
      </c>
      <c r="BO519" s="75">
        <f>IFERROR(1/J519*(X519/H519),"0")</f>
        <v>0.23674242424242425</v>
      </c>
      <c r="BP519" s="75">
        <f>IFERROR(1/J519*(Y519/H519),"0")</f>
        <v>0.24242424242424243</v>
      </c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1" t="s">
        <v>40</v>
      </c>
      <c r="Q520" s="652"/>
      <c r="R520" s="652"/>
      <c r="S520" s="652"/>
      <c r="T520" s="652"/>
      <c r="U520" s="652"/>
      <c r="V520" s="653"/>
      <c r="W520" s="40" t="s">
        <v>39</v>
      </c>
      <c r="X520" s="41">
        <f>IFERROR(X517/H517,"0")+IFERROR(X518/H518,"0")+IFERROR(X519/H519,"0")</f>
        <v>144.88636363636363</v>
      </c>
      <c r="Y520" s="41">
        <f>IFERROR(Y517/H517,"0")+IFERROR(Y518/H518,"0")+IFERROR(Y519/H519,"0")</f>
        <v>146</v>
      </c>
      <c r="Z520" s="41">
        <f>IFERROR(IF(Z517="",0,Z517),"0")+IFERROR(IF(Z518="",0,Z518),"0")+IFERROR(IF(Z519="",0,Z519),"0")</f>
        <v>1.65208</v>
      </c>
      <c r="AA520" s="64"/>
      <c r="AB520" s="64"/>
      <c r="AC520" s="64"/>
    </row>
    <row r="521" spans="1:68" x14ac:dyDescent="0.2">
      <c r="A521" s="654"/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5"/>
      <c r="P521" s="651" t="s">
        <v>40</v>
      </c>
      <c r="Q521" s="652"/>
      <c r="R521" s="652"/>
      <c r="S521" s="652"/>
      <c r="T521" s="652"/>
      <c r="U521" s="652"/>
      <c r="V521" s="653"/>
      <c r="W521" s="40" t="s">
        <v>0</v>
      </c>
      <c r="X521" s="41">
        <f>IFERROR(SUM(X517:X519),"0")</f>
        <v>750</v>
      </c>
      <c r="Y521" s="41">
        <f>IFERROR(SUM(Y517:Y519),"0")</f>
        <v>755.5200000000001</v>
      </c>
      <c r="Z521" s="40"/>
      <c r="AA521" s="64"/>
      <c r="AB521" s="64"/>
      <c r="AC521" s="64"/>
    </row>
    <row r="522" spans="1:68" ht="14.25" hidden="1" customHeight="1" x14ac:dyDescent="0.25">
      <c r="A522" s="665" t="s">
        <v>77</v>
      </c>
      <c r="B522" s="665"/>
      <c r="C522" s="665"/>
      <c r="D522" s="665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3"/>
      <c r="AB522" s="63"/>
      <c r="AC522" s="63"/>
    </row>
    <row r="523" spans="1:68" ht="27" customHeight="1" x14ac:dyDescent="0.25">
      <c r="A523" s="60" t="s">
        <v>834</v>
      </c>
      <c r="B523" s="60" t="s">
        <v>835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100</v>
      </c>
      <c r="Y523" s="53">
        <f t="shared" ref="Y523:Y529" si="89">IFERROR(IF(X523="",0,CEILING((X523/$H523),1)*$H523),"")</f>
        <v>100.32000000000001</v>
      </c>
      <c r="Z523" s="39">
        <f>IFERROR(IF(Y523=0,"",ROUNDUP(Y523/H523,0)*0.01196),"")</f>
        <v>0.22724</v>
      </c>
      <c r="AA523" s="65" t="s">
        <v>46</v>
      </c>
      <c r="AB523" s="66" t="s">
        <v>46</v>
      </c>
      <c r="AC523" s="621" t="s">
        <v>836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90">IFERROR(X523*I523/H523,"0")</f>
        <v>106.62878787878788</v>
      </c>
      <c r="BN523" s="75">
        <f t="shared" ref="BN523:BN529" si="91">IFERROR(Y523*I523/H523,"0")</f>
        <v>106.97</v>
      </c>
      <c r="BO523" s="75">
        <f t="shared" ref="BO523:BO529" si="92">IFERROR(1/J523*(X523/H523),"0")</f>
        <v>0.18210955710955709</v>
      </c>
      <c r="BP523" s="75">
        <f t="shared" ref="BP523:BP529" si="93">IFERROR(1/J523*(Y523/H523),"0")</f>
        <v>0.18269230769230771</v>
      </c>
    </row>
    <row r="524" spans="1:68" ht="27" customHeight="1" x14ac:dyDescent="0.25">
      <c r="A524" s="60" t="s">
        <v>837</v>
      </c>
      <c r="B524" s="60" t="s">
        <v>838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140</v>
      </c>
      <c r="Y524" s="53">
        <f t="shared" si="89"/>
        <v>142.56</v>
      </c>
      <c r="Z524" s="39">
        <f>IFERROR(IF(Y524=0,"",ROUNDUP(Y524/H524,0)*0.01196),"")</f>
        <v>0.32291999999999998</v>
      </c>
      <c r="AA524" s="65" t="s">
        <v>46</v>
      </c>
      <c r="AB524" s="66" t="s">
        <v>46</v>
      </c>
      <c r="AC524" s="623" t="s">
        <v>839</v>
      </c>
      <c r="AG524" s="75"/>
      <c r="AJ524" s="79" t="s">
        <v>46</v>
      </c>
      <c r="AK524" s="79">
        <v>0</v>
      </c>
      <c r="BB524" s="624" t="s">
        <v>67</v>
      </c>
      <c r="BM524" s="75">
        <f t="shared" si="90"/>
        <v>149.280303030303</v>
      </c>
      <c r="BN524" s="75">
        <f t="shared" si="91"/>
        <v>152.01</v>
      </c>
      <c r="BO524" s="75">
        <f t="shared" si="92"/>
        <v>0.25495337995337997</v>
      </c>
      <c r="BP524" s="75">
        <f t="shared" si="93"/>
        <v>0.25961538461538464</v>
      </c>
    </row>
    <row r="525" spans="1:68" ht="27" customHeight="1" x14ac:dyDescent="0.25">
      <c r="A525" s="60" t="s">
        <v>840</v>
      </c>
      <c r="B525" s="60" t="s">
        <v>841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150</v>
      </c>
      <c r="Y525" s="53">
        <f t="shared" si="89"/>
        <v>153.12</v>
      </c>
      <c r="Z525" s="39">
        <f>IFERROR(IF(Y525=0,"",ROUNDUP(Y525/H525,0)*0.01196),"")</f>
        <v>0.34683999999999998</v>
      </c>
      <c r="AA525" s="65" t="s">
        <v>46</v>
      </c>
      <c r="AB525" s="66" t="s">
        <v>46</v>
      </c>
      <c r="AC525" s="625" t="s">
        <v>842</v>
      </c>
      <c r="AG525" s="75"/>
      <c r="AJ525" s="79" t="s">
        <v>46</v>
      </c>
      <c r="AK525" s="79">
        <v>0</v>
      </c>
      <c r="BB525" s="626" t="s">
        <v>67</v>
      </c>
      <c r="BM525" s="75">
        <f t="shared" si="90"/>
        <v>159.94318181818181</v>
      </c>
      <c r="BN525" s="75">
        <f t="shared" si="91"/>
        <v>163.26999999999998</v>
      </c>
      <c r="BO525" s="75">
        <f t="shared" si="92"/>
        <v>0.27316433566433568</v>
      </c>
      <c r="BP525" s="75">
        <f t="shared" si="93"/>
        <v>0.27884615384615385</v>
      </c>
    </row>
    <row r="526" spans="1:68" ht="27" customHeight="1" x14ac:dyDescent="0.25">
      <c r="A526" s="60" t="s">
        <v>843</v>
      </c>
      <c r="B526" s="60" t="s">
        <v>844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6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24</v>
      </c>
      <c r="Y526" s="53">
        <f t="shared" si="89"/>
        <v>24</v>
      </c>
      <c r="Z526" s="39">
        <f>IFERROR(IF(Y526=0,"",ROUNDUP(Y526/H526,0)*0.00902),"")</f>
        <v>4.5100000000000001E-2</v>
      </c>
      <c r="AA526" s="65" t="s">
        <v>46</v>
      </c>
      <c r="AB526" s="66" t="s">
        <v>46</v>
      </c>
      <c r="AC526" s="627" t="s">
        <v>836</v>
      </c>
      <c r="AG526" s="75"/>
      <c r="AJ526" s="79" t="s">
        <v>46</v>
      </c>
      <c r="AK526" s="79">
        <v>0</v>
      </c>
      <c r="BB526" s="628" t="s">
        <v>67</v>
      </c>
      <c r="BM526" s="75">
        <f t="shared" si="90"/>
        <v>34.550000000000004</v>
      </c>
      <c r="BN526" s="75">
        <f t="shared" si="91"/>
        <v>34.550000000000004</v>
      </c>
      <c r="BO526" s="75">
        <f t="shared" si="92"/>
        <v>3.787878787878788E-2</v>
      </c>
      <c r="BP526" s="75">
        <f t="shared" si="93"/>
        <v>3.787878787878788E-2</v>
      </c>
    </row>
    <row r="527" spans="1:68" ht="27" hidden="1" customHeight="1" x14ac:dyDescent="0.25">
      <c r="A527" s="60" t="s">
        <v>845</v>
      </c>
      <c r="B527" s="60" t="s">
        <v>846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839</v>
      </c>
      <c r="AG527" s="75"/>
      <c r="AJ527" s="79" t="s">
        <v>46</v>
      </c>
      <c r="AK527" s="79">
        <v>0</v>
      </c>
      <c r="BB527" s="630" t="s">
        <v>67</v>
      </c>
      <c r="BM527" s="75">
        <f t="shared" si="90"/>
        <v>0</v>
      </c>
      <c r="BN527" s="75">
        <f t="shared" si="91"/>
        <v>0</v>
      </c>
      <c r="BO527" s="75">
        <f t="shared" si="92"/>
        <v>0</v>
      </c>
      <c r="BP527" s="75">
        <f t="shared" si="93"/>
        <v>0</v>
      </c>
    </row>
    <row r="528" spans="1:68" ht="27" customHeight="1" x14ac:dyDescent="0.25">
      <c r="A528" s="60" t="s">
        <v>845</v>
      </c>
      <c r="B528" s="60" t="s">
        <v>847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12</v>
      </c>
      <c r="Y528" s="53">
        <f t="shared" si="89"/>
        <v>14.399999999999999</v>
      </c>
      <c r="Z528" s="39">
        <f>IFERROR(IF(Y528=0,"",ROUNDUP(Y528/H528,0)*0.00902),"")</f>
        <v>2.7060000000000001E-2</v>
      </c>
      <c r="AA528" s="65" t="s">
        <v>46</v>
      </c>
      <c r="AB528" s="66" t="s">
        <v>46</v>
      </c>
      <c r="AC528" s="631" t="s">
        <v>839</v>
      </c>
      <c r="AG528" s="75"/>
      <c r="AJ528" s="79" t="s">
        <v>46</v>
      </c>
      <c r="AK528" s="79">
        <v>0</v>
      </c>
      <c r="BB528" s="632" t="s">
        <v>67</v>
      </c>
      <c r="BM528" s="75">
        <f t="shared" si="90"/>
        <v>16.675000000000001</v>
      </c>
      <c r="BN528" s="75">
        <f t="shared" si="91"/>
        <v>20.009999999999998</v>
      </c>
      <c r="BO528" s="75">
        <f t="shared" si="92"/>
        <v>1.893939393939394E-2</v>
      </c>
      <c r="BP528" s="75">
        <f t="shared" si="93"/>
        <v>2.2727272727272728E-2</v>
      </c>
    </row>
    <row r="529" spans="1:68" ht="27" customHeight="1" x14ac:dyDescent="0.25">
      <c r="A529" s="60" t="s">
        <v>848</v>
      </c>
      <c r="B529" s="60" t="s">
        <v>849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6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24</v>
      </c>
      <c r="Y529" s="53">
        <f t="shared" si="89"/>
        <v>24</v>
      </c>
      <c r="Z529" s="39">
        <f>IFERROR(IF(Y529=0,"",ROUNDUP(Y529/H529,0)*0.00902),"")</f>
        <v>4.5100000000000001E-2</v>
      </c>
      <c r="AA529" s="65" t="s">
        <v>46</v>
      </c>
      <c r="AB529" s="66" t="s">
        <v>46</v>
      </c>
      <c r="AC529" s="633" t="s">
        <v>842</v>
      </c>
      <c r="AG529" s="75"/>
      <c r="AJ529" s="79" t="s">
        <v>46</v>
      </c>
      <c r="AK529" s="79">
        <v>0</v>
      </c>
      <c r="BB529" s="634" t="s">
        <v>67</v>
      </c>
      <c r="BM529" s="75">
        <f t="shared" si="90"/>
        <v>33.35</v>
      </c>
      <c r="BN529" s="75">
        <f t="shared" si="91"/>
        <v>33.35</v>
      </c>
      <c r="BO529" s="75">
        <f t="shared" si="92"/>
        <v>3.787878787878788E-2</v>
      </c>
      <c r="BP529" s="75">
        <f t="shared" si="93"/>
        <v>3.787878787878788E-2</v>
      </c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1" t="s">
        <v>40</v>
      </c>
      <c r="Q530" s="652"/>
      <c r="R530" s="652"/>
      <c r="S530" s="652"/>
      <c r="T530" s="652"/>
      <c r="U530" s="652"/>
      <c r="V530" s="653"/>
      <c r="W530" s="40" t="s">
        <v>39</v>
      </c>
      <c r="X530" s="41">
        <f>IFERROR(X523/H523,"0")+IFERROR(X524/H524,"0")+IFERROR(X525/H525,"0")+IFERROR(X526/H526,"0")+IFERROR(X527/H527,"0")+IFERROR(X528/H528,"0")+IFERROR(X529/H529,"0")</f>
        <v>86.36363636363636</v>
      </c>
      <c r="Y530" s="41">
        <f>IFERROR(Y523/H523,"0")+IFERROR(Y524/H524,"0")+IFERROR(Y525/H525,"0")+IFERROR(Y526/H526,"0")+IFERROR(Y527/H527,"0")+IFERROR(Y528/H528,"0")+IFERROR(Y529/H529,"0")</f>
        <v>88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1.0142599999999999</v>
      </c>
      <c r="AA530" s="64"/>
      <c r="AB530" s="64"/>
      <c r="AC530" s="64"/>
    </row>
    <row r="531" spans="1:68" x14ac:dyDescent="0.2">
      <c r="A531" s="654"/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5"/>
      <c r="P531" s="651" t="s">
        <v>40</v>
      </c>
      <c r="Q531" s="652"/>
      <c r="R531" s="652"/>
      <c r="S531" s="652"/>
      <c r="T531" s="652"/>
      <c r="U531" s="652"/>
      <c r="V531" s="653"/>
      <c r="W531" s="40" t="s">
        <v>0</v>
      </c>
      <c r="X531" s="41">
        <f>IFERROR(SUM(X523:X529),"0")</f>
        <v>450</v>
      </c>
      <c r="Y531" s="41">
        <f>IFERROR(SUM(Y523:Y529),"0")</f>
        <v>458.4</v>
      </c>
      <c r="Z531" s="40"/>
      <c r="AA531" s="64"/>
      <c r="AB531" s="64"/>
      <c r="AC531" s="64"/>
    </row>
    <row r="532" spans="1:68" ht="27.75" hidden="1" customHeight="1" x14ac:dyDescent="0.2">
      <c r="A532" s="671" t="s">
        <v>850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52"/>
      <c r="AB532" s="52"/>
      <c r="AC532" s="52"/>
    </row>
    <row r="533" spans="1:68" ht="16.5" hidden="1" customHeight="1" x14ac:dyDescent="0.25">
      <c r="A533" s="664" t="s">
        <v>850</v>
      </c>
      <c r="B533" s="664"/>
      <c r="C533" s="664"/>
      <c r="D533" s="664"/>
      <c r="E533" s="664"/>
      <c r="F533" s="664"/>
      <c r="G533" s="664"/>
      <c r="H533" s="664"/>
      <c r="I533" s="664"/>
      <c r="J533" s="664"/>
      <c r="K533" s="664"/>
      <c r="L533" s="664"/>
      <c r="M533" s="664"/>
      <c r="N533" s="664"/>
      <c r="O533" s="664"/>
      <c r="P533" s="664"/>
      <c r="Q533" s="664"/>
      <c r="R533" s="664"/>
      <c r="S533" s="664"/>
      <c r="T533" s="664"/>
      <c r="U533" s="664"/>
      <c r="V533" s="664"/>
      <c r="W533" s="664"/>
      <c r="X533" s="664"/>
      <c r="Y533" s="664"/>
      <c r="Z533" s="664"/>
      <c r="AA533" s="62"/>
      <c r="AB533" s="62"/>
      <c r="AC533" s="62"/>
    </row>
    <row r="534" spans="1:68" ht="14.25" hidden="1" customHeight="1" x14ac:dyDescent="0.25">
      <c r="A534" s="665" t="s">
        <v>122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3"/>
      <c r="AB534" s="63"/>
      <c r="AC534" s="63"/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6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40</v>
      </c>
      <c r="Y535" s="53">
        <f>IFERROR(IF(X535="",0,CEILING((X535/$H535),1)*$H535),"")</f>
        <v>48</v>
      </c>
      <c r="Z535" s="39">
        <f>IFERROR(IF(Y535=0,"",ROUNDUP(Y535/H535,0)*0.01898),"")</f>
        <v>7.5920000000000001E-2</v>
      </c>
      <c r="AA535" s="65" t="s">
        <v>46</v>
      </c>
      <c r="AB535" s="66" t="s">
        <v>46</v>
      </c>
      <c r="AC535" s="635" t="s">
        <v>853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41.366666666666667</v>
      </c>
      <c r="BN535" s="75">
        <f>IFERROR(Y535*I535/H535,"0")</f>
        <v>49.640000000000008</v>
      </c>
      <c r="BO535" s="75">
        <f>IFERROR(1/J535*(X535/H535),"0")</f>
        <v>5.2083333333333336E-2</v>
      </c>
      <c r="BP535" s="75">
        <f>IFERROR(1/J535*(Y535/H535),"0")</f>
        <v>6.25E-2</v>
      </c>
    </row>
    <row r="536" spans="1:68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1" t="s">
        <v>40</v>
      </c>
      <c r="Q536" s="652"/>
      <c r="R536" s="652"/>
      <c r="S536" s="652"/>
      <c r="T536" s="652"/>
      <c r="U536" s="652"/>
      <c r="V536" s="653"/>
      <c r="W536" s="40" t="s">
        <v>39</v>
      </c>
      <c r="X536" s="41">
        <f>IFERROR(X535/H535,"0")</f>
        <v>3.3333333333333335</v>
      </c>
      <c r="Y536" s="41">
        <f>IFERROR(Y535/H535,"0")</f>
        <v>4</v>
      </c>
      <c r="Z536" s="41">
        <f>IFERROR(IF(Z535="",0,Z535),"0")</f>
        <v>7.5920000000000001E-2</v>
      </c>
      <c r="AA536" s="64"/>
      <c r="AB536" s="64"/>
      <c r="AC536" s="64"/>
    </row>
    <row r="537" spans="1:68" x14ac:dyDescent="0.2">
      <c r="A537" s="654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51" t="s">
        <v>40</v>
      </c>
      <c r="Q537" s="652"/>
      <c r="R537" s="652"/>
      <c r="S537" s="652"/>
      <c r="T537" s="652"/>
      <c r="U537" s="652"/>
      <c r="V537" s="653"/>
      <c r="W537" s="40" t="s">
        <v>0</v>
      </c>
      <c r="X537" s="41">
        <f>IFERROR(SUM(X535:X535),"0")</f>
        <v>40</v>
      </c>
      <c r="Y537" s="41">
        <f>IFERROR(SUM(Y535:Y535),"0")</f>
        <v>48</v>
      </c>
      <c r="Z537" s="40"/>
      <c r="AA537" s="64"/>
      <c r="AB537" s="64"/>
      <c r="AC537" s="64"/>
    </row>
    <row r="538" spans="1:68" ht="14.25" hidden="1" customHeight="1" x14ac:dyDescent="0.25">
      <c r="A538" s="665" t="s">
        <v>77</v>
      </c>
      <c r="B538" s="665"/>
      <c r="C538" s="665"/>
      <c r="D538" s="665"/>
      <c r="E538" s="66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3"/>
      <c r="AB538" s="63"/>
      <c r="AC538" s="63"/>
    </row>
    <row r="539" spans="1:68" ht="27" hidden="1" customHeight="1" x14ac:dyDescent="0.25">
      <c r="A539" s="60" t="s">
        <v>854</v>
      </c>
      <c r="B539" s="60" t="s">
        <v>855</v>
      </c>
      <c r="C539" s="34">
        <v>4301031500</v>
      </c>
      <c r="D539" s="660">
        <v>4640242180595</v>
      </c>
      <c r="E539" s="660"/>
      <c r="F539" s="59">
        <v>0.7</v>
      </c>
      <c r="G539" s="35">
        <v>6</v>
      </c>
      <c r="H539" s="59">
        <v>4.2</v>
      </c>
      <c r="I539" s="59">
        <v>4.45</v>
      </c>
      <c r="J539" s="35">
        <v>132</v>
      </c>
      <c r="K539" s="35" t="s">
        <v>134</v>
      </c>
      <c r="L539" s="35" t="s">
        <v>46</v>
      </c>
      <c r="M539" s="36" t="s">
        <v>81</v>
      </c>
      <c r="N539" s="36"/>
      <c r="O539" s="35">
        <v>40</v>
      </c>
      <c r="P539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IFERROR(IF(Y539=0,"",ROUNDUP(Y539/H539,0)*0.00902),"")</f>
        <v/>
      </c>
      <c r="AA539" s="65" t="s">
        <v>46</v>
      </c>
      <c r="AB539" s="66" t="s">
        <v>46</v>
      </c>
      <c r="AC539" s="637" t="s">
        <v>856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1" t="s">
        <v>40</v>
      </c>
      <c r="Q540" s="652"/>
      <c r="R540" s="652"/>
      <c r="S540" s="652"/>
      <c r="T540" s="652"/>
      <c r="U540" s="652"/>
      <c r="V540" s="653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4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51" t="s">
        <v>40</v>
      </c>
      <c r="Q541" s="652"/>
      <c r="R541" s="652"/>
      <c r="S541" s="652"/>
      <c r="T541" s="652"/>
      <c r="U541" s="652"/>
      <c r="V541" s="653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65" t="s">
        <v>86</v>
      </c>
      <c r="B542" s="665"/>
      <c r="C542" s="665"/>
      <c r="D542" s="665"/>
      <c r="E542" s="66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3"/>
      <c r="AB542" s="63"/>
      <c r="AC542" s="63"/>
    </row>
    <row r="543" spans="1:68" ht="27" hidden="1" customHeight="1" x14ac:dyDescent="0.25">
      <c r="A543" s="60" t="s">
        <v>857</v>
      </c>
      <c r="B543" s="60" t="s">
        <v>858</v>
      </c>
      <c r="C543" s="34">
        <v>4301052043</v>
      </c>
      <c r="D543" s="660">
        <v>4640242180533</v>
      </c>
      <c r="E543" s="660"/>
      <c r="F543" s="59">
        <v>1.5</v>
      </c>
      <c r="G543" s="35">
        <v>6</v>
      </c>
      <c r="H543" s="59">
        <v>9</v>
      </c>
      <c r="I543" s="59">
        <v>9.4939999999999998</v>
      </c>
      <c r="J543" s="35">
        <v>64</v>
      </c>
      <c r="K543" s="35" t="s">
        <v>127</v>
      </c>
      <c r="L543" s="35" t="s">
        <v>46</v>
      </c>
      <c r="M543" s="36" t="s">
        <v>90</v>
      </c>
      <c r="N543" s="36"/>
      <c r="O543" s="35">
        <v>45</v>
      </c>
      <c r="P543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39" t="s">
        <v>859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1" t="s">
        <v>40</v>
      </c>
      <c r="Q544" s="652"/>
      <c r="R544" s="652"/>
      <c r="S544" s="652"/>
      <c r="T544" s="652"/>
      <c r="U544" s="652"/>
      <c r="V544" s="653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4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51" t="s">
        <v>40</v>
      </c>
      <c r="Q545" s="652"/>
      <c r="R545" s="652"/>
      <c r="S545" s="652"/>
      <c r="T545" s="652"/>
      <c r="U545" s="652"/>
      <c r="V545" s="653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65" t="s">
        <v>179</v>
      </c>
      <c r="B546" s="665"/>
      <c r="C546" s="665"/>
      <c r="D546" s="665"/>
      <c r="E546" s="66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3"/>
      <c r="AB546" s="63"/>
      <c r="AC546" s="63"/>
    </row>
    <row r="547" spans="1:68" ht="27" hidden="1" customHeight="1" x14ac:dyDescent="0.25">
      <c r="A547" s="60" t="s">
        <v>860</v>
      </c>
      <c r="B547" s="60" t="s">
        <v>861</v>
      </c>
      <c r="C547" s="34">
        <v>4301060535</v>
      </c>
      <c r="D547" s="660">
        <v>4640242180120</v>
      </c>
      <c r="E547" s="66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6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862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863</v>
      </c>
      <c r="B548" s="60" t="s">
        <v>864</v>
      </c>
      <c r="C548" s="34">
        <v>4301060536</v>
      </c>
      <c r="D548" s="660">
        <v>4640242180137</v>
      </c>
      <c r="E548" s="660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2"/>
      <c r="R548" s="662"/>
      <c r="S548" s="662"/>
      <c r="T548" s="663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43" t="s">
        <v>865</v>
      </c>
      <c r="AG548" s="75"/>
      <c r="AJ548" s="79" t="s">
        <v>46</v>
      </c>
      <c r="AK548" s="79">
        <v>0</v>
      </c>
      <c r="BB548" s="644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54"/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5"/>
      <c r="P549" s="651" t="s">
        <v>40</v>
      </c>
      <c r="Q549" s="652"/>
      <c r="R549" s="652"/>
      <c r="S549" s="652"/>
      <c r="T549" s="652"/>
      <c r="U549" s="652"/>
      <c r="V549" s="653"/>
      <c r="W549" s="40" t="s">
        <v>39</v>
      </c>
      <c r="X549" s="41">
        <f>IFERROR(X547/H547,"0")+IFERROR(X548/H548,"0")</f>
        <v>0</v>
      </c>
      <c r="Y549" s="41">
        <f>IFERROR(Y547/H547,"0")+IFERROR(Y548/H548,"0")</f>
        <v>0</v>
      </c>
      <c r="Z549" s="41">
        <f>IFERROR(IF(Z547="",0,Z547),"0")+IFERROR(IF(Z548="",0,Z548),"0")</f>
        <v>0</v>
      </c>
      <c r="AA549" s="64"/>
      <c r="AB549" s="64"/>
      <c r="AC549" s="64"/>
    </row>
    <row r="550" spans="1:68" hidden="1" x14ac:dyDescent="0.2">
      <c r="A550" s="654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51" t="s">
        <v>40</v>
      </c>
      <c r="Q550" s="652"/>
      <c r="R550" s="652"/>
      <c r="S550" s="652"/>
      <c r="T550" s="652"/>
      <c r="U550" s="652"/>
      <c r="V550" s="653"/>
      <c r="W550" s="40" t="s">
        <v>0</v>
      </c>
      <c r="X550" s="41">
        <f>IFERROR(SUM(X547:X548),"0")</f>
        <v>0</v>
      </c>
      <c r="Y550" s="41">
        <f>IFERROR(SUM(Y547:Y548),"0")</f>
        <v>0</v>
      </c>
      <c r="Z550" s="40"/>
      <c r="AA550" s="64"/>
      <c r="AB550" s="64"/>
      <c r="AC550" s="64"/>
    </row>
    <row r="551" spans="1:68" ht="16.5" hidden="1" customHeight="1" x14ac:dyDescent="0.25">
      <c r="A551" s="664" t="s">
        <v>866</v>
      </c>
      <c r="B551" s="664"/>
      <c r="C551" s="664"/>
      <c r="D551" s="664"/>
      <c r="E551" s="664"/>
      <c r="F551" s="664"/>
      <c r="G551" s="664"/>
      <c r="H551" s="664"/>
      <c r="I551" s="664"/>
      <c r="J551" s="664"/>
      <c r="K551" s="664"/>
      <c r="L551" s="664"/>
      <c r="M551" s="664"/>
      <c r="N551" s="664"/>
      <c r="O551" s="664"/>
      <c r="P551" s="664"/>
      <c r="Q551" s="664"/>
      <c r="R551" s="664"/>
      <c r="S551" s="664"/>
      <c r="T551" s="664"/>
      <c r="U551" s="664"/>
      <c r="V551" s="664"/>
      <c r="W551" s="664"/>
      <c r="X551" s="664"/>
      <c r="Y551" s="664"/>
      <c r="Z551" s="664"/>
      <c r="AA551" s="62"/>
      <c r="AB551" s="62"/>
      <c r="AC551" s="62"/>
    </row>
    <row r="552" spans="1:68" ht="14.25" hidden="1" customHeight="1" x14ac:dyDescent="0.25">
      <c r="A552" s="665" t="s">
        <v>159</v>
      </c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3"/>
      <c r="AB552" s="63"/>
      <c r="AC552" s="63"/>
    </row>
    <row r="553" spans="1:68" ht="27" hidden="1" customHeight="1" x14ac:dyDescent="0.25">
      <c r="A553" s="60" t="s">
        <v>867</v>
      </c>
      <c r="B553" s="60" t="s">
        <v>868</v>
      </c>
      <c r="C553" s="34">
        <v>4301020441</v>
      </c>
      <c r="D553" s="660">
        <v>4680115889798</v>
      </c>
      <c r="E553" s="660"/>
      <c r="F553" s="59">
        <v>1.5</v>
      </c>
      <c r="G553" s="35">
        <v>8</v>
      </c>
      <c r="H553" s="59">
        <v>12</v>
      </c>
      <c r="I553" s="59">
        <v>12.41</v>
      </c>
      <c r="J553" s="35">
        <v>64</v>
      </c>
      <c r="K553" s="35" t="s">
        <v>127</v>
      </c>
      <c r="L553" s="35" t="s">
        <v>46</v>
      </c>
      <c r="M553" s="36" t="s">
        <v>126</v>
      </c>
      <c r="N553" s="36"/>
      <c r="O553" s="35">
        <v>50</v>
      </c>
      <c r="P553" s="66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2"/>
      <c r="R553" s="662"/>
      <c r="S553" s="662"/>
      <c r="T553" s="663"/>
      <c r="U553" s="37" t="s">
        <v>46</v>
      </c>
      <c r="V553" s="37" t="s">
        <v>46</v>
      </c>
      <c r="W553" s="38" t="s">
        <v>0</v>
      </c>
      <c r="X553" s="56">
        <v>0</v>
      </c>
      <c r="Y553" s="53">
        <f>IFERROR(IF(X553="",0,CEILING((X553/$H553),1)*$H553),"")</f>
        <v>0</v>
      </c>
      <c r="Z553" s="39" t="str">
        <f>IFERROR(IF(Y553=0,"",ROUNDUP(Y553/H553,0)*0.01898),"")</f>
        <v/>
      </c>
      <c r="AA553" s="65" t="s">
        <v>46</v>
      </c>
      <c r="AB553" s="66" t="s">
        <v>46</v>
      </c>
      <c r="AC553" s="645" t="s">
        <v>869</v>
      </c>
      <c r="AG553" s="75"/>
      <c r="AJ553" s="79" t="s">
        <v>46</v>
      </c>
      <c r="AK553" s="79">
        <v>0</v>
      </c>
      <c r="BB553" s="646" t="s">
        <v>67</v>
      </c>
      <c r="BM553" s="75">
        <f>IFERROR(X553*I553/H553,"0")</f>
        <v>0</v>
      </c>
      <c r="BN553" s="75">
        <f>IFERROR(Y553*I553/H553,"0")</f>
        <v>0</v>
      </c>
      <c r="BO553" s="75">
        <f>IFERROR(1/J553*(X553/H553),"0")</f>
        <v>0</v>
      </c>
      <c r="BP553" s="75">
        <f>IFERROR(1/J553*(Y553/H553),"0")</f>
        <v>0</v>
      </c>
    </row>
    <row r="554" spans="1:68" hidden="1" x14ac:dyDescent="0.2">
      <c r="A554" s="654"/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5"/>
      <c r="P554" s="651" t="s">
        <v>40</v>
      </c>
      <c r="Q554" s="652"/>
      <c r="R554" s="652"/>
      <c r="S554" s="652"/>
      <c r="T554" s="652"/>
      <c r="U554" s="652"/>
      <c r="V554" s="653"/>
      <c r="W554" s="40" t="s">
        <v>39</v>
      </c>
      <c r="X554" s="41">
        <f>IFERROR(X553/H553,"0")</f>
        <v>0</v>
      </c>
      <c r="Y554" s="41">
        <f>IFERROR(Y553/H553,"0")</f>
        <v>0</v>
      </c>
      <c r="Z554" s="41">
        <f>IFERROR(IF(Z553="",0,Z553),"0")</f>
        <v>0</v>
      </c>
      <c r="AA554" s="64"/>
      <c r="AB554" s="64"/>
      <c r="AC554" s="64"/>
    </row>
    <row r="555" spans="1:68" hidden="1" x14ac:dyDescent="0.2">
      <c r="A555" s="654"/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5"/>
      <c r="P555" s="651" t="s">
        <v>40</v>
      </c>
      <c r="Q555" s="652"/>
      <c r="R555" s="652"/>
      <c r="S555" s="652"/>
      <c r="T555" s="652"/>
      <c r="U555" s="652"/>
      <c r="V555" s="653"/>
      <c r="W555" s="40" t="s">
        <v>0</v>
      </c>
      <c r="X555" s="41">
        <f>IFERROR(SUM(X553:X553),"0")</f>
        <v>0</v>
      </c>
      <c r="Y555" s="41">
        <f>IFERROR(SUM(Y553:Y553),"0")</f>
        <v>0</v>
      </c>
      <c r="Z555" s="40"/>
      <c r="AA555" s="64"/>
      <c r="AB555" s="64"/>
      <c r="AC555" s="64"/>
    </row>
    <row r="556" spans="1:68" ht="15" customHeight="1" x14ac:dyDescent="0.2">
      <c r="A556" s="654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9"/>
      <c r="P556" s="656" t="s">
        <v>33</v>
      </c>
      <c r="Q556" s="657"/>
      <c r="R556" s="657"/>
      <c r="S556" s="657"/>
      <c r="T556" s="657"/>
      <c r="U556" s="657"/>
      <c r="V556" s="658"/>
      <c r="W556" s="40" t="s">
        <v>0</v>
      </c>
      <c r="X556" s="41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17473</v>
      </c>
      <c r="Y556" s="41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17648.800000000003</v>
      </c>
      <c r="Z556" s="40"/>
      <c r="AA556" s="64"/>
      <c r="AB556" s="64"/>
      <c r="AC556" s="64"/>
    </row>
    <row r="557" spans="1:68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9"/>
      <c r="P557" s="656" t="s">
        <v>34</v>
      </c>
      <c r="Q557" s="657"/>
      <c r="R557" s="657"/>
      <c r="S557" s="657"/>
      <c r="T557" s="657"/>
      <c r="U557" s="657"/>
      <c r="V557" s="658"/>
      <c r="W557" s="40" t="s">
        <v>0</v>
      </c>
      <c r="X557" s="41">
        <f>IFERROR(SUM(BM22:BM553),"0")</f>
        <v>18809.072208809706</v>
      </c>
      <c r="Y557" s="41">
        <f>IFERROR(SUM(BN22:BN553),"0")</f>
        <v>18998.011999999999</v>
      </c>
      <c r="Z557" s="40"/>
      <c r="AA557" s="64"/>
      <c r="AB557" s="64"/>
      <c r="AC557" s="64"/>
    </row>
    <row r="558" spans="1:68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9"/>
      <c r="P558" s="656" t="s">
        <v>35</v>
      </c>
      <c r="Q558" s="657"/>
      <c r="R558" s="657"/>
      <c r="S558" s="657"/>
      <c r="T558" s="657"/>
      <c r="U558" s="657"/>
      <c r="V558" s="658"/>
      <c r="W558" s="40" t="s">
        <v>20</v>
      </c>
      <c r="X558" s="42">
        <f>ROUNDUP(SUM(BO22:BO553),0)</f>
        <v>34</v>
      </c>
      <c r="Y558" s="42">
        <f>ROUNDUP(SUM(BP22:BP553),0)</f>
        <v>34</v>
      </c>
      <c r="Z558" s="40"/>
      <c r="AA558" s="64"/>
      <c r="AB558" s="64"/>
      <c r="AC558" s="6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659"/>
      <c r="P559" s="656" t="s">
        <v>36</v>
      </c>
      <c r="Q559" s="657"/>
      <c r="R559" s="657"/>
      <c r="S559" s="657"/>
      <c r="T559" s="657"/>
      <c r="U559" s="657"/>
      <c r="V559" s="658"/>
      <c r="W559" s="40" t="s">
        <v>0</v>
      </c>
      <c r="X559" s="41">
        <f>GrossWeightTotal+PalletQtyTotal*25</f>
        <v>19659.072208809706</v>
      </c>
      <c r="Y559" s="41">
        <f>GrossWeightTotalR+PalletQtyTotalR*25</f>
        <v>19848.011999999999</v>
      </c>
      <c r="Z559" s="40"/>
      <c r="AA559" s="64"/>
      <c r="AB559" s="64"/>
      <c r="AC559" s="6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659"/>
      <c r="P560" s="656" t="s">
        <v>37</v>
      </c>
      <c r="Q560" s="657"/>
      <c r="R560" s="657"/>
      <c r="S560" s="657"/>
      <c r="T560" s="657"/>
      <c r="U560" s="657"/>
      <c r="V560" s="658"/>
      <c r="W560" s="40" t="s">
        <v>20</v>
      </c>
      <c r="X560" s="41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4410.5392200392189</v>
      </c>
      <c r="Y560" s="41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4444</v>
      </c>
      <c r="Z560" s="40"/>
      <c r="AA560" s="64"/>
      <c r="AB560" s="64"/>
      <c r="AC560" s="64"/>
    </row>
    <row r="561" spans="1:32" ht="14.25" hidden="1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659"/>
      <c r="P561" s="656" t="s">
        <v>38</v>
      </c>
      <c r="Q561" s="657"/>
      <c r="R561" s="657"/>
      <c r="S561" s="657"/>
      <c r="T561" s="657"/>
      <c r="U561" s="657"/>
      <c r="V561" s="658"/>
      <c r="W561" s="43" t="s">
        <v>52</v>
      </c>
      <c r="X561" s="40"/>
      <c r="Y561" s="40"/>
      <c r="Z561" s="40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40.295550000000006</v>
      </c>
      <c r="AA561" s="64"/>
      <c r="AB561" s="64"/>
      <c r="AC561" s="64"/>
    </row>
    <row r="562" spans="1:32" ht="13.5" thickBot="1" x14ac:dyDescent="0.25"/>
    <row r="563" spans="1:32" ht="27" thickTop="1" thickBot="1" x14ac:dyDescent="0.25">
      <c r="A563" s="44" t="s">
        <v>9</v>
      </c>
      <c r="B563" s="80" t="s">
        <v>76</v>
      </c>
      <c r="C563" s="80" t="s">
        <v>45</v>
      </c>
      <c r="D563" s="647" t="s">
        <v>120</v>
      </c>
      <c r="E563" s="647" t="s">
        <v>120</v>
      </c>
      <c r="F563" s="647" t="s">
        <v>120</v>
      </c>
      <c r="G563" s="647" t="s">
        <v>120</v>
      </c>
      <c r="H563" s="647" t="s">
        <v>120</v>
      </c>
      <c r="I563" s="647" t="s">
        <v>120</v>
      </c>
      <c r="J563" s="647" t="s">
        <v>120</v>
      </c>
      <c r="K563" s="647" t="s">
        <v>346</v>
      </c>
      <c r="L563" s="647" t="s">
        <v>346</v>
      </c>
      <c r="M563" s="647" t="s">
        <v>346</v>
      </c>
      <c r="N563" s="648"/>
      <c r="O563" s="647" t="s">
        <v>346</v>
      </c>
      <c r="P563" s="647" t="s">
        <v>346</v>
      </c>
      <c r="Q563" s="647" t="s">
        <v>346</v>
      </c>
      <c r="R563" s="647" t="s">
        <v>346</v>
      </c>
      <c r="S563" s="647" t="s">
        <v>346</v>
      </c>
      <c r="T563" s="647" t="s">
        <v>346</v>
      </c>
      <c r="U563" s="647" t="s">
        <v>346</v>
      </c>
      <c r="V563" s="647" t="s">
        <v>346</v>
      </c>
      <c r="W563" s="647" t="s">
        <v>701</v>
      </c>
      <c r="X563" s="647" t="s">
        <v>701</v>
      </c>
      <c r="Y563" s="647" t="s">
        <v>767</v>
      </c>
      <c r="Z563" s="647" t="s">
        <v>767</v>
      </c>
      <c r="AA563" s="80" t="s">
        <v>803</v>
      </c>
      <c r="AB563" s="647" t="s">
        <v>850</v>
      </c>
      <c r="AC563" s="647" t="s">
        <v>850</v>
      </c>
      <c r="AF563" s="1"/>
    </row>
    <row r="564" spans="1:32" ht="14.25" customHeight="1" thickTop="1" x14ac:dyDescent="0.2">
      <c r="A564" s="649" t="s">
        <v>10</v>
      </c>
      <c r="B564" s="647" t="s">
        <v>76</v>
      </c>
      <c r="C564" s="647" t="s">
        <v>104</v>
      </c>
      <c r="D564" s="647" t="s">
        <v>121</v>
      </c>
      <c r="E564" s="647" t="s">
        <v>137</v>
      </c>
      <c r="F564" s="647" t="s">
        <v>187</v>
      </c>
      <c r="G564" s="647" t="s">
        <v>210</v>
      </c>
      <c r="H564" s="647" t="s">
        <v>250</v>
      </c>
      <c r="I564" s="647" t="s">
        <v>263</v>
      </c>
      <c r="J564" s="647" t="s">
        <v>120</v>
      </c>
      <c r="K564" s="647" t="s">
        <v>347</v>
      </c>
      <c r="L564" s="647" t="s">
        <v>368</v>
      </c>
      <c r="M564" s="647" t="s">
        <v>442</v>
      </c>
      <c r="N564" s="1"/>
      <c r="O564" s="647" t="s">
        <v>510</v>
      </c>
      <c r="P564" s="647" t="s">
        <v>539</v>
      </c>
      <c r="Q564" s="647" t="s">
        <v>559</v>
      </c>
      <c r="R564" s="647" t="s">
        <v>568</v>
      </c>
      <c r="S564" s="647" t="s">
        <v>589</v>
      </c>
      <c r="T564" s="647" t="s">
        <v>598</v>
      </c>
      <c r="U564" s="647" t="s">
        <v>684</v>
      </c>
      <c r="V564" s="647" t="s">
        <v>691</v>
      </c>
      <c r="W564" s="647" t="s">
        <v>702</v>
      </c>
      <c r="X564" s="647" t="s">
        <v>751</v>
      </c>
      <c r="Y564" s="647" t="s">
        <v>768</v>
      </c>
      <c r="Z564" s="647" t="s">
        <v>791</v>
      </c>
      <c r="AA564" s="647" t="s">
        <v>803</v>
      </c>
      <c r="AB564" s="647" t="s">
        <v>850</v>
      </c>
      <c r="AC564" s="647" t="s">
        <v>866</v>
      </c>
      <c r="AF564" s="1"/>
    </row>
    <row r="565" spans="1:32" ht="13.5" thickBot="1" x14ac:dyDescent="0.25">
      <c r="A565" s="650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1"/>
      <c r="O565" s="647"/>
      <c r="P565" s="647"/>
      <c r="Q565" s="647"/>
      <c r="R565" s="647"/>
      <c r="S565" s="647"/>
      <c r="T565" s="647"/>
      <c r="U565" s="647"/>
      <c r="V565" s="647"/>
      <c r="W565" s="647"/>
      <c r="X565" s="647"/>
      <c r="Y565" s="647"/>
      <c r="Z565" s="647"/>
      <c r="AA565" s="647"/>
      <c r="AB565" s="647"/>
      <c r="AC565" s="647"/>
      <c r="AF565" s="1"/>
    </row>
    <row r="566" spans="1:32" ht="18" thickTop="1" thickBot="1" x14ac:dyDescent="0.25">
      <c r="A566" s="44" t="s">
        <v>13</v>
      </c>
      <c r="B566" s="50">
        <f>IFERROR(Y22*1,"0")+IFERROR(Y23*1,"0")+IFERROR(Y27*1,"0")+IFERROR(Y28*1,"0")+IFERROR(Y29*1,"0")+IFERROR(Y30*1,"0")+IFERROR(Y31*1,"0")</f>
        <v>0</v>
      </c>
      <c r="C566" s="50">
        <f>IFERROR(Y37*1,"0")+IFERROR(Y38*1,"0")+IFERROR(Y39*1,"0")+IFERROR(Y40*1,"0")+IFERROR(Y41*1,"0")</f>
        <v>32.64</v>
      </c>
      <c r="D566" s="50">
        <f>IFERROR(Y47*1,"0")+IFERROR(Y48*1,"0")+IFERROR(Y49*1,"0")+IFERROR(Y50*1,"0")</f>
        <v>214</v>
      </c>
      <c r="E566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439.2</v>
      </c>
      <c r="F566" s="50">
        <f>IFERROR(Y88*1,"0")+IFERROR(Y89*1,"0")+IFERROR(Y90*1,"0")+IFERROR(Y91*1,"0")+IFERROR(Y92*1,"0")+IFERROR(Y96*1,"0")+IFERROR(Y97*1,"0")+IFERROR(Y98*1,"0")+IFERROR(Y99*1,"0")</f>
        <v>768.59999999999991</v>
      </c>
      <c r="G566" s="50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1630.0800000000002</v>
      </c>
      <c r="H566" s="50">
        <f>IFERROR(Y134*1,"0")+IFERROR(Y135*1,"0")+IFERROR(Y139*1,"0")+IFERROR(Y140*1,"0")+IFERROR(Y144*1,"0")+IFERROR(Y145*1,"0")</f>
        <v>316.08000000000004</v>
      </c>
      <c r="I566" s="50">
        <f>IFERROR(Y150*1,"0")+IFERROR(Y151*1,"0")+IFERROR(Y152*1,"0")+IFERROR(Y153*1,"0")+IFERROR(Y154*1,"0")+IFERROR(Y155*1,"0")+IFERROR(Y159*1,"0")</f>
        <v>0</v>
      </c>
      <c r="J566" s="50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3223.2599999999998</v>
      </c>
      <c r="K566" s="50">
        <f>IFERROR(Y206*1,"0")+IFERROR(Y207*1,"0")+IFERROR(Y208*1,"0")+IFERROR(Y209*1,"0")+IFERROR(Y210*1,"0")+IFERROR(Y211*1,"0")+IFERROR(Y212*1,"0")</f>
        <v>108</v>
      </c>
      <c r="L566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529.70000000000005</v>
      </c>
      <c r="M566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3213.6</v>
      </c>
      <c r="N566" s="1"/>
      <c r="O566" s="50">
        <f>IFERROR(Y304*1,"0")+IFERROR(Y305*1,"0")+IFERROR(Y306*1,"0")+IFERROR(Y307*1,"0")+IFERROR(Y308*1,"0")+IFERROR(Y309*1,"0")+IFERROR(Y310*1,"0")+IFERROR(Y314*1,"0")+IFERROR(Y318*1,"0")+IFERROR(Y322*1,"0")</f>
        <v>48.000000000000007</v>
      </c>
      <c r="P566" s="50">
        <f>IFERROR(Y327*1,"0")+IFERROR(Y328*1,"0")+IFERROR(Y329*1,"0")+IFERROR(Y330*1,"0")+IFERROR(Y331*1,"0")+IFERROR(Y332*1,"0")</f>
        <v>0</v>
      </c>
      <c r="Q566" s="50">
        <f>IFERROR(Y337*1,"0")+IFERROR(Y338*1,"0")+IFERROR(Y339*1,"0")</f>
        <v>240</v>
      </c>
      <c r="R566" s="50">
        <f>IFERROR(Y344*1,"0")+IFERROR(Y345*1,"0")+IFERROR(Y346*1,"0")+IFERROR(Y347*1,"0")+IFERROR(Y348*1,"0")+IFERROR(Y352*1,"0")+IFERROR(Y353*1,"0")</f>
        <v>0</v>
      </c>
      <c r="S566" s="50">
        <f>IFERROR(Y358*1,"0")+IFERROR(Y359*1,"0")+IFERROR(Y360*1,"0")</f>
        <v>1099.8</v>
      </c>
      <c r="T566" s="50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1478.2</v>
      </c>
      <c r="U566" s="50">
        <f>IFERROR(Y418*1,"0")+IFERROR(Y419*1,"0")</f>
        <v>54.6</v>
      </c>
      <c r="V566" s="50">
        <f>IFERROR(Y424*1,"0")+IFERROR(Y425*1,"0")+IFERROR(Y426*1,"0")</f>
        <v>0</v>
      </c>
      <c r="W566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1491</v>
      </c>
      <c r="X566" s="50">
        <f>IFERROR(Y461*1,"0")+IFERROR(Y462*1,"0")+IFERROR(Y466*1,"0")+IFERROR(Y470*1,"0")+IFERROR(Y471*1,"0")+IFERROR(Y472*1,"0")</f>
        <v>63</v>
      </c>
      <c r="Y566" s="50">
        <f>IFERROR(Y478*1,"0")+IFERROR(Y479*1,"0")+IFERROR(Y480*1,"0")+IFERROR(Y481*1,"0")+IFERROR(Y482*1,"0")+IFERROR(Y483*1,"0")+IFERROR(Y487*1,"0")+IFERROR(Y488*1,"0")</f>
        <v>0</v>
      </c>
      <c r="Z566" s="50">
        <f>IFERROR(Y493*1,"0")+IFERROR(Y497*1,"0")+IFERROR(Y498*1,"0")+IFERROR(Y499*1,"0")</f>
        <v>0</v>
      </c>
      <c r="AA566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2651.04</v>
      </c>
      <c r="AB566" s="50">
        <f>IFERROR(Y535*1,"0")+IFERROR(Y539*1,"0")+IFERROR(Y543*1,"0")+IFERROR(Y547*1,"0")+IFERROR(Y548*1,"0")</f>
        <v>48</v>
      </c>
      <c r="AC566" s="50">
        <f>IFERROR(Y553*1,"0")</f>
        <v>0</v>
      </c>
      <c r="AF566" s="1"/>
    </row>
  </sheetData>
  <sheetProtection algorithmName="SHA-512" hashValue="JYleHvME/RQPKic8v/De290GmjTXMnr/CoXhIcGpyefb9YRQELCyT5MoD8z461LgY3QhYwzYCIMWJQ59Ouy7IQ==" saltValue="y0G4+Yj9oK7OsGD13wHT7A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5,00"/>
        <filter val="1 080,00"/>
        <filter val="1 173,49"/>
        <filter val="1 200,00"/>
        <filter val="1 335,00"/>
        <filter val="1 426,00"/>
        <filter val="1 450,00"/>
        <filter val="1 650,00"/>
        <filter val="100,00"/>
        <filter val="104,12"/>
        <filter val="12,00"/>
        <filter val="12,22"/>
        <filter val="120,37"/>
        <filter val="122,00"/>
        <filter val="130,00"/>
        <filter val="135,00"/>
        <filter val="138,46"/>
        <filter val="14,00"/>
        <filter val="140,00"/>
        <filter val="141,67"/>
        <filter val="144,89"/>
        <filter val="150,00"/>
        <filter val="16,00"/>
        <filter val="16,67"/>
        <filter val="160,00"/>
        <filter val="17 473,00"/>
        <filter val="18 809,07"/>
        <filter val="180,00"/>
        <filter val="19 659,07"/>
        <filter val="19,44"/>
        <filter val="2,56"/>
        <filter val="20,00"/>
        <filter val="200,00"/>
        <filter val="204,29"/>
        <filter val="21,00"/>
        <filter val="210,00"/>
        <filter val="216,00"/>
        <filter val="22,00"/>
        <filter val="220,00"/>
        <filter val="222,22"/>
        <filter val="225,00"/>
        <filter val="230,00"/>
        <filter val="24,00"/>
        <filter val="240,00"/>
        <filter val="245,00"/>
        <filter val="25,25"/>
        <filter val="250,00"/>
        <filter val="275,00"/>
        <filter val="279,85"/>
        <filter val="3 203,00"/>
        <filter val="3,00"/>
        <filter val="3,33"/>
        <filter val="30,00"/>
        <filter val="300,00"/>
        <filter val="31,25"/>
        <filter val="31,43"/>
        <filter val="32,00"/>
        <filter val="320,00"/>
        <filter val="33,33"/>
        <filter val="336,00"/>
        <filter val="34"/>
        <filter val="340,00"/>
        <filter val="379,63"/>
        <filter val="4 410,54"/>
        <filter val="40,00"/>
        <filter val="400,00"/>
        <filter val="42,00"/>
        <filter val="420,37"/>
        <filter val="44,63"/>
        <filter val="448,00"/>
        <filter val="450,00"/>
        <filter val="46,21"/>
        <filter val="477,00"/>
        <filter val="490,00"/>
        <filter val="5,56"/>
        <filter val="50,00"/>
        <filter val="500,00"/>
        <filter val="511,00"/>
        <filter val="550,00"/>
        <filter val="6,41"/>
        <filter val="6,67"/>
        <filter val="60,00"/>
        <filter val="600,00"/>
        <filter val="670,00"/>
        <filter val="7,00"/>
        <filter val="750,00"/>
        <filter val="80,00"/>
        <filter val="850,00"/>
        <filter val="86,36"/>
        <filter val="87,96"/>
        <filter val="88,00"/>
        <filter val="9,26"/>
        <filter val="90,00"/>
        <filter val="96,67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9" spans="2:8" x14ac:dyDescent="0.2">
      <c r="B9" s="51" t="s">
        <v>879</v>
      </c>
      <c r="C9" s="51" t="s">
        <v>874</v>
      </c>
      <c r="D9" s="51" t="s">
        <v>46</v>
      </c>
      <c r="E9" s="51" t="s">
        <v>46</v>
      </c>
    </row>
    <row r="11" spans="2:8" x14ac:dyDescent="0.2">
      <c r="B11" s="51" t="s">
        <v>879</v>
      </c>
      <c r="C11" s="51" t="s">
        <v>877</v>
      </c>
      <c r="D11" s="51" t="s">
        <v>46</v>
      </c>
      <c r="E11" s="51" t="s">
        <v>46</v>
      </c>
    </row>
    <row r="13" spans="2:8" x14ac:dyDescent="0.2">
      <c r="B13" s="51" t="s">
        <v>880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890</v>
      </c>
      <c r="C23" s="51" t="s">
        <v>46</v>
      </c>
      <c r="D23" s="51" t="s">
        <v>46</v>
      </c>
      <c r="E23" s="51" t="s">
        <v>46</v>
      </c>
    </row>
  </sheetData>
  <sheetProtection algorithmName="SHA-512" hashValue="ivRx+nMJA14ujEHKLmweq+shVMi02UfeEng6JuFwp2UyJ/wrPjscQz+p48a3msUl369zDPZ2HoIMlfgrc8pAEw==" saltValue="uH8lliQNtiPiOSB2XQxw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