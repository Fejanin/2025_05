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233694-9F62-4554-8183-4ABBCAD6686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N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N277" i="2"/>
  <c r="BP275" i="2"/>
  <c r="Y458" i="2"/>
  <c r="Y249" i="2"/>
  <c r="BN60" i="2"/>
  <c r="Y447" i="2"/>
  <c r="BP385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25" i="2" l="1"/>
  <c r="Z489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<sst xmlns="http://schemas.openxmlformats.org/spreadsheetml/2006/main" count="4310" uniqueCount="900">
  <si>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</si>
  <si>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</si>
  <si>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</si>
  <si>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</si>
  <si>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</si>
  <si>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</si>
  <si>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</si>
  <si>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</si>
  <si>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</si>
  <si>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</si>
  <si>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</si>
  <si>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</si>
  <si>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</si>
  <si>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</si>
  <si>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</si>
  <si>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</si>
  <si>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</si>
  <si>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</si>
  <si>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</si>
  <si>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</si>
  <si>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</si>
  <si>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</si>
  <si>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</si>
  <si>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</si>
  <si>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</si>
  <si>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</si>
  <si>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</si>
  <si>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</si>
  <si>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</si>
  <si>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</si>
  <si>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</si>
  <si>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</si>
  <si>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</si>
  <si>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</si>
  <si>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</si>
  <si>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</si>
  <si>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</si>
  <si>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</si>
  <si>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</si>
  <si>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</si>
  <si>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</si>
  <si>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</si>
  <si>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</si>
  <si>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</si>
  <si>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</si>
  <si>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</si>
  <si>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</si>
  <si>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</si>
  <si>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</si>
  <si>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</si>
  <si>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</si>
  <si>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</si>
  <si>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</si>
  <si>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</si>
  <si>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</si>
  <si>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</si>
  <si>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</si>
  <si>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</si>
  <si>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</si>
  <si>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</si>
  <si>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</si>
  <si>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</si>
  <si>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</si>
  <si>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</si>
  <si>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</si>
  <si>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</si>
  <si>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</si>
  <si>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</si>
  <si>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</si>
  <si>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</si>
  <si>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</si>
  <si>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</si>
  <si>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</si>
  <si>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</si>
  <si>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</si>
  <si>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</si>
  <si>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</si>
  <si>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</si>
  <si>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</si>
  <si>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</si>
  <si>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</si>
  <si>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</si>
  <si>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</si>
  <si>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</si>
  <si>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</si>
  <si>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</si>
  <si>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</si>
  <si>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</si>
  <si>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</si>
  <si>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</si>
  <si>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</si>
  <si>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</si>
  <si>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</si>
  <si>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</si>
  <si>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</si>
  <si>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</si>
  <si>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</si>
  <si>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</si>
  <si>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</si>
  <si>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</si>
  <si>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</si>
  <si>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</si>
  <si>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</si>
  <si>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</si>
  <si>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</si>
  <si>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</si>
  <si>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</si>
  <si>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</si>
  <si>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</si>
  <si>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</si>
  <si>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</si>
  <si>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</si>
  <si>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</si>
  <si>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</si>
  <si>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</si>
  <si>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</si>
  <si>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</si>
  <si>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</si>
  <si>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</si>
  <si>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</si>
  <si>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</si>
  <si>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</si>
  <si>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</si>
  <si>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</si>
  <si>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</si>
  <si>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</si>
  <si>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</si>
  <si>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</si>
  <si>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</si>
  <si>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</si>
  <si>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</si>
  <si>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</si>
  <si>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</si>
  <si>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</si>
  <si>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</si>
  <si>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</si>
  <si>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</si>
  <si>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</si>
  <si>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</si>
  <si>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</si>
  <si>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</si>
  <si>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</si>
  <si>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</si>
  <si>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</si>
  <si>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</si>
  <si>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</si>
  <si>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</si>
  <si>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</si>
  <si>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</si>
  <si>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</si>
  <si>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</si>
  <si>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</si>
  <si>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</si>
  <si>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</si>
  <si>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</si>
  <si>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</si>
  <si>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</si>
  <si>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</si>
  <si>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</si>
  <si>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</si>
  <si>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</si>
  <si>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</si>
  <si>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</si>
  <si>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</si>
  <si>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</si>
  <si>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</si>
  <si>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</si>
  <si>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</si>
  <si>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</si>
  <si>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</si>
  <si>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</si>
  <si>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</si>
  <si>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</si>
  <si>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</si>
  <si>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</si>
  <si>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</si>
  <si>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</si>
  <si>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</si>
  <si>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</si>
  <si>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</si>
  <si>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</si>
  <si>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</si>
  <si>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</si>
  <si>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</si>
  <si>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</si>
  <si>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</si>
  <si>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</si>
  <si>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</si>
  <si>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</si>
  <si>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</si>
  <si>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</si>
  <si>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</si>
  <si>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</si>
  <si>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</si>
  <si>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</si>
  <si>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</si>
  <si>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</si>
  <si>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</si>
  <si>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</si>
  <si>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</si>
  <si>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</si>
  <si>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</si>
  <si>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</si>
  <si>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</si>
  <si>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</si>
  <si>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</si>
  <si>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</si>
  <si>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</si>
  <si>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</si>
  <si>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</si>
  <si>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</si>
  <si>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</si>
  <si>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</si>
  <si>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</si>
  <si>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</si>
  <si>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</si>
  <si>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</si>
  <si>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</si>
  <si>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</si>
  <si>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</si>
  <si>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</si>
  <si>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</si>
  <si>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</si>
  <si>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</si>
  <si>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</si>
  <si>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</si>
  <si>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</si>
  <si>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</si>
  <si>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</si>
  <si>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</si>
  <si>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</si>
  <si>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</si>
  <si>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</si>
  <si>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</si>
  <si>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</si>
  <si>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</si>
  <si>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</si>
  <si>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</si>
  <si>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</si>
  <si>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</si>
  <si>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</si>
  <si>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</si>
  <si>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</si>
  <si>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</si>
  <si>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</si>
  <si>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</si>
  <si>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</si>
  <si>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</si>
  <si>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</si>
  <si>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</si>
  <si>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</si>
  <si>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</si>
  <si>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</si>
  <si>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</si>
  <si>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</si>
  <si>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</si>
  <si>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</si>
  <si>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</si>
  <si>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</si>
  <si>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</si>
  <si>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</si>
  <si>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</si>
  <si>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</si>
  <si>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</si>
  <si>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</si>
  <si>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</si>
  <si>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</si>
  <si>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</si>
  <si>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</si>
  <si>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</si>
  <si>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</si>
  <si>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</si>
  <si>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</si>
  <si>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</si>
  <si>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</si>
  <si>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</si>
  <si>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</si>
  <si>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</si>
  <si>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</si>
  <si>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</si>
  <si>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</si>
  <si>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</si>
  <si>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</si>
  <si>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</si>
  <si>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</si>
  <si>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</si>
  <si>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</si>
  <si>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</si>
  <si>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</si>
  <si>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</si>
  <si>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</si>
  <si>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</si>
  <si>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</si>
  <si>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</si>
  <si>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</si>
  <si>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</si>
  <si>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</si>
  <si>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</si>
  <si>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</si>
  <si>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</si>
  <si>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</si>
  <si>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</si>
  <si>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</si>
  <si>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</si>
  <si>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</si>
  <si>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</si>
  <si>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</si>
  <si>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</si>
  <si>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</si>
  <si>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</si>
  <si>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</si>
  <si>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</si>
  <si>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</si>
  <si>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</si>
  <si>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</si>
  <si>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</si>
  <si>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</si>
  <si>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</si>
  <si>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</si>
  <si>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</si>
  <si>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</si>
  <si>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</si>
  <si>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</si>
  <si>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</si>
  <si>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</si>
  <si>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</si>
  <si>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</si>
  <si>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</si>
  <si>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</si>
  <si>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</si>
  <si>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</si>
  <si>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</si>
  <si>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</si>
  <si>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</si>
  <si>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</si>
  <si>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</si>
  <si>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</si>
  <si>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</si>
  <si>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</si>
  <si>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</si>
  <si>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</si>
  <si>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</si>
  <si>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</si>
  <si>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</si>
  <si>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</si>
  <si>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</si>
  <si>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</si>
  <si>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</si>
  <si>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</si>
  <si>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</si>
  <si>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</si>
  <si>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</si>
  <si>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</si>
  <si>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</si>
  <si>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</si>
  <si>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</si>
  <si>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</si>
  <si>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</si>
  <si>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</si>
  <si>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</si>
  <si>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</si>
  <si>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</si>
  <si>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</si>
  <si>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</si>
  <si>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</si>
  <si>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</si>
  <si>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</si>
  <si>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</si>
  <si>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</si>
  <si>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</si>
  <si>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</si>
  <si>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</si>
  <si>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</si>
  <si>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</si>
  <si>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</si>
  <si>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</si>
  <si>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</si>
  <si>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</si>
  <si>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</si>
  <si>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</si>
  <si>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</si>
  <si>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</si>
  <si>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</si>
  <si>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</si>
  <si>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</si>
  <si>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</si>
  <si>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</si>
  <si>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</si>
  <si>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</si>
  <si>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</si>
  <si>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</si>
  <si>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</si>
  <si>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</si>
  <si>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</si>
  <si>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</si>
  <si>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</si>
  <si>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</si>
  <si>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</si>
  <si>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</si>
  <si>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</si>
  <si>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</si>
  <si>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</si>
  <si>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</si>
  <si>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</si>
  <si>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</si>
  <si>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</si>
  <si>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</si>
  <si>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</si>
  <si>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</si>
  <si>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</si>
  <si>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</si>
  <si>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</si>
  <si>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</si>
  <si>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</si>
  <si>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</si>
  <si>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</si>
  <si>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</si>
  <si>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</si>
  <si>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</si>
  <si>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</si>
  <si>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</si>
  <si>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</si>
  <si>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</si>
  <si>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</si>
  <si>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</si>
  <si>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</si>
  <si>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</si>
  <si>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</si>
  <si>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</si>
  <si>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</si>
  <si>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</si>
  <si>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</si>
  <si>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</si>
  <si>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</si>
  <si>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</si>
  <si>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</si>
  <si>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</si>
  <si>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</si>
  <si>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</si>
  <si>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</si>
  <si>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</si>
  <si>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</si>
  <si>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</si>
  <si>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</si>
  <si>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</si>
  <si>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</si>
  <si>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</si>
  <si>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</si>
  <si>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</si>
  <si>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</si>
  <si>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</si>
  <si>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</si>
  <si>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</si>
  <si>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</si>
  <si>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</si>
  <si>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</si>
  <si>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</si>
  <si>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</si>
  <si>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</si>
  <si>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</si>
  <si>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</si>
  <si>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</si>
  <si>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</si>
  <si>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</si>
  <si>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</si>
  <si>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</si>
  <si>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</si>
  <si>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</si>
  <si>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</si>
  <si>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</si>
  <si>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</si>
  <si>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</si>
  <si>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</si>
  <si>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</si>
  <si>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</si>
  <si>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</si>
  <si>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</si>
  <si>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</si>
  <si>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</si>
  <si>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</si>
  <si>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</si>
  <si>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</si>
  <si>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</si>
  <si>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</si>
  <si>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</si>
  <si>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</si>
  <si>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</si>
  <si>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</si>
  <si>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</si>
  <si>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</si>
  <si>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</si>
  <si>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</si>
  <si>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</si>
  <si>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</si>
  <si>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</si>
  <si>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</si>
  <si>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</si>
  <si>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</si>
  <si>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</si>
  <si>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</si>
  <si>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</si>
  <si>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</si>
  <si>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</si>
  <si>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</si>
  <si>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</si>
  <si>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</si>
  <si>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</si>
  <si>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</si>
  <si>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</si>
  <si>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</si>
  <si>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</si>
  <si>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</si>
  <si>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</si>
  <si>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</si>
  <si>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</si>
  <si>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</si>
  <si>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</si>
  <si>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</si>
  <si>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</si>
  <si>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</si>
  <si>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</si>
  <si>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</si>
  <si>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</si>
  <si>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</si>
  <si>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</si>
  <si>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</si>
  <si>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</si>
  <si>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</si>
  <si>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</si>
  <si>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</si>
  <si>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</si>
  <si>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</si>
  <si>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</si>
  <si>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</si>
  <si>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</si>
  <si>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</si>
  <si>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</si>
  <si>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</si>
  <si>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</si>
  <si>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</si>
  <si>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</si>
  <si>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</si>
  <si>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</si>
  <si>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</si>
  <si>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</si>
  <si>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</si>
  <si>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</si>
  <si>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</si>
  <si>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</si>
  <si>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</si>
  <si>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</si>
  <si>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</si>
  <si>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</si>
  <si>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</si>
  <si>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</si>
  <si>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</si>
  <si>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</si>
  <si>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</si>
  <si>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</si>
  <si>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</si>
  <si>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</si>
  <si>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</si>
  <si>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</si>
  <si>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</si>
  <si>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</si>
  <si>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</si>
  <si>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</si>
  <si>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</si>
  <si>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</si>
  <si>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</si>
  <si>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</si>
  <si>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</si>
  <si>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</si>
  <si>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</si>
  <si>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</si>
  <si>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</si>
  <si>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</si>
  <si>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</si>
  <si>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</si>
  <si>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</si>
  <si>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</si>
  <si>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</si>
  <si>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</si>
  <si>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</si>
  <si>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</si>
  <si>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</si>
  <si>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</si>
  <si>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</si>
  <si>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</si>
  <si>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</si>
  <si>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</si>
  <si>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</si>
  <si>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</si>
  <si>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</si>
  <si>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</si>
  <si>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</si>
  <si>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</si>
  <si>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</si>
  <si>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</si>
  <si>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</si>
  <si>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</si>
  <si>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</si>
  <si>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</si>
  <si>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</si>
  <si>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</si>
  <si>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</si>
  <si>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</si>
  <si>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</si>
  <si>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</si>
  <si>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</si>
  <si>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</si>
  <si>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</si>
  <si>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</si>
  <si>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</si>
  <si>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</si>
  <si>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</si>
  <si>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</si>
  <si>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</si>
  <si>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</si>
  <si>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</si>
  <si>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</si>
  <si>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</si>
  <si>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</si>
  <si>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</si>
  <si>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</si>
  <si>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</si>
  <si>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</si>
  <si>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</si>
  <si>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</si>
  <si>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</si>
  <si>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</si>
  <si>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</si>
  <si>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</si>
  <si>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</si>
  <si>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</si>
  <si>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</si>
  <si>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</si>
  <si>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</si>
  <si>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</si>
  <si>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</si>
  <si>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</si>
  <si>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</si>
  <si>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</si>
  <si>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</si>
  <si>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</si>
  <si>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</si>
  <si>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</si>
  <si>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</si>
  <si>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</si>
  <si>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</si>
  <si>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</si>
  <si>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</si>
  <si>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</si>
  <si>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</si>
  <si>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</si>
  <si>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</si>
  <si>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</si>
  <si>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</si>
  <si>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</si>
  <si>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</si>
  <si>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</si>
  <si>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</si>
  <si>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</si>
  <si>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</si>
  <si>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</si>
  <si>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</si>
  <si>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</si>
  <si>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</si>
  <si>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</si>
  <si>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</si>
  <si>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</si>
  <si>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</si>
  <si>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</si>
  <si>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</si>
  <si>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</si>
  <si>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</si>
  <si>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</si>
  <si>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</si>
  <si>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</si>
  <si>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</si>
  <si>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</si>
  <si>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</si>
  <si>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</si>
  <si>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</si>
  <si>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</si>
  <si>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</si>
  <si>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</si>
  <si>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</si>
  <si>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</si>
  <si>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</si>
  <si>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</si>
  <si>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</si>
  <si>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</si>
  <si>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</si>
  <si>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</si>
  <si>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</si>
  <si>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</si>
  <si>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</si>
  <si>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</si>
  <si>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</si>
  <si>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</si>
  <si>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</si>
  <si>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</si>
  <si>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</si>
  <si>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</si>
  <si>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</si>
  <si>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</si>
  <si>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</si>
  <si>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</si>
  <si>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</si>
  <si>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</si>
  <si>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</si>
  <si>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</si>
  <si>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</si>
  <si>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</si>
  <si>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</si>
  <si>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</si>
  <si>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</si>
  <si>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</si>
  <si>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</si>
  <si>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</si>
  <si>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</si>
  <si>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</si>
  <si>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</si>
  <si>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</si>
  <si>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</si>
  <si>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</si>
  <si>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</si>
  <si>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</si>
  <si>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</si>
  <si>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</si>
  <si>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</si>
  <si>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</si>
  <si>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</si>
  <si>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</si>
  <si>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</si>
  <si>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</si>
  <si>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</si>
  <si>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</si>
  <si>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</si>
  <si>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</si>
  <si>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</si>
  <si>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</si>
  <si>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</si>
  <si>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</si>
  <si>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</si>
  <si>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</si>
  <si>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</si>
  <si>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</si>
  <si>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</si>
  <si>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</si>
  <si>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</si>
  <si>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</si>
  <si>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</si>
  <si>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</si>
  <si>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</si>
  <si>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</si>
  <si>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</si>
  <si>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</si>
  <si>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</si>
  <si>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</si>
  <si>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</si>
  <si>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</si>
  <si>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</si>
  <si>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</si>
  <si>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</si>
  <si>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</si>
  <si>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</si>
  <si>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</si>
  <si>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</si>
  <si>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</si>
  <si>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</si>
  <si>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</si>
  <si>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</si>
  <si>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</si>
  <si>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</si>
  <si>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</si>
  <si>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</si>
  <si>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</si>
  <si>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</si>
  <si>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</si>
  <si>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</si>
  <si>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</si>
  <si>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</si>
  <si>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</si>
  <si>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</si>
  <si>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</si>
  <si>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</si>
  <si>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</si>
  <si>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</si>
  <si>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</si>
  <si>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</si>
  <si>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</si>
  <si>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</si>
  <si>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</si>
  <si>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</si>
  <si>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</si>
  <si>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</si>
  <si>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</si>
  <si>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</si>
  <si>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</si>
  <si>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</si>
  <si>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</si>
  <si>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</si>
  <si>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</si>
  <si>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</si>
  <si>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</si>
  <si>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</si>
  <si>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</si>
  <si>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</si>
  <si>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</si>
  <si>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</si>
  <si>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</si>
  <si>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</si>
  <si>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</si>
  <si>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</si>
  <si>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</si>
  <si>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</si>
  <si>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</si>
  <si>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</si>
  <si>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</si>
  <si>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</si>
  <si>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</si>
  <si>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</si>
  <si>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</si>
  <si>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</si>
  <si>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</si>
  <si>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</si>
  <si>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</si>
  <si>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</si>
  <si>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</si>
  <si>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</si>
  <si>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</si>
  <si>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</si>
  <si>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</si>
  <si>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</si>
  <si>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</si>
  <si>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</si>
  <si>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</si>
  <si>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</si>
  <si>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</si>
  <si>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</si>
  <si>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</si>
  <si>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</si>
  <si>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</si>
  <si>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</si>
  <si>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</si>
  <si>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</si>
  <si>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</si>
  <si>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</si>
  <si>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</si>
  <si>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</si>
  <si>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</si>
  <si>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</si>
  <si>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</si>
  <si>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</si>
  <si>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</si>
  <si>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</si>
  <si>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</si>
  <si>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</si>
  <si>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</si>
  <si>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</si>
  <si>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</si>
  <si>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</si>
  <si>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</si>
  <si>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</si>
  <si>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</si>
  <si>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</si>
  <si>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</si>
  <si>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</si>
  <si>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</si>
  <si>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</si>
  <si>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</si>
  <si>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</si>
  <si>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</si>
  <si>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</si>
  <si>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</si>
  <si>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</si>
  <si>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</si>
  <si>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</si>
  <si>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</si>
  <si>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</si>
  <si>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</si>
  <si>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</si>
  <si>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</si>
  <si>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</si>
  <si>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</si>
  <si>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</si>
  <si>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</si>
  <si>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</si>
  <si>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</si>
  <si>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</si>
  <si>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</si>
  <si>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</si>
  <si>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</si>
  <si>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</si>
  <si>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</si>
  <si>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</si>
  <si>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</si>
  <si>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 за 25,09,26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</si>
</sst>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1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9" t="s">
        <v>26</v>
      </c>
      <c r="E1" s="649"/>
      <c r="F1" s="649"/>
      <c r="G1" s="14" t="s">
        <v>66</v>
      </c>
      <c r="H1" s="649" t="s">
        <v>47</v>
      </c>
      <c r="I1" s="649"/>
      <c r="J1" s="649"/>
      <c r="K1" s="649"/>
      <c r="L1" s="649"/>
      <c r="M1" s="649"/>
      <c r="N1" s="649"/>
      <c r="O1" s="649"/>
      <c r="P1" s="649"/>
      <c r="Q1" s="649"/>
      <c r="R1" s="650" t="s">
        <v>67</v>
      </c>
      <c r="S1" s="651"/>
      <c r="T1" s="6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3" t="s">
        <v>8</v>
      </c>
      <c r="B5" s="653"/>
      <c r="C5" s="653"/>
      <c r="D5" s="654"/>
      <c r="E5" s="654"/>
      <c r="F5" s="655" t="s">
        <v>14</v>
      </c>
      <c r="G5" s="655"/>
      <c r="H5" s="654" t="s">
        <v>899</v>
      </c>
      <c r="I5" s="654"/>
      <c r="J5" s="654"/>
      <c r="K5" s="654"/>
      <c r="L5" s="654"/>
      <c r="M5" s="654"/>
      <c r="N5" s="69"/>
      <c r="P5" s="26" t="s">
        <v>4</v>
      </c>
      <c r="Q5" s="656">
        <v>46291</v>
      </c>
      <c r="R5" s="656"/>
      <c r="T5" s="657" t="s">
        <v>3</v>
      </c>
      <c r="U5" s="658"/>
      <c r="V5" s="659" t="s">
        <v>879</v>
      </c>
      <c r="W5" s="660"/>
      <c r="AB5" s="57"/>
      <c r="AC5" s="57"/>
      <c r="AD5" s="57"/>
      <c r="AE5" s="57"/>
    </row>
    <row r="6" spans="1:32" s="17" customFormat="1" ht="24" customHeight="1" x14ac:dyDescent="0.2">
      <c r="A6" s="653" t="s">
        <v>1</v>
      </c>
      <c r="B6" s="653"/>
      <c r="C6" s="653"/>
      <c r="D6" s="661" t="s">
        <v>880</v>
      </c>
      <c r="E6" s="661"/>
      <c r="F6" s="661"/>
      <c r="G6" s="661"/>
      <c r="H6" s="661"/>
      <c r="I6" s="661"/>
      <c r="J6" s="661"/>
      <c r="K6" s="661"/>
      <c r="L6" s="661"/>
      <c r="M6" s="661"/>
      <c r="N6" s="70"/>
      <c r="P6" s="26" t="s">
        <v>27</v>
      </c>
      <c r="Q6" s="662" t="str">
        <f>IF(Q5=0," ",CHOOSE(WEEKDAY(Q5,2),"Понедельник","Вторник","Среда","Четверг","Пятница","Суббота","Воскресенье"))</f>
        <v>Суббота</v>
      </c>
      <c r="R6" s="662"/>
      <c r="T6" s="663" t="s">
        <v>5</v>
      </c>
      <c r="U6" s="664"/>
      <c r="V6" s="665" t="s">
        <v>69</v>
      </c>
      <c r="W6" s="6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1" t="str">
        <f>IFERROR(VLOOKUP(DeliveryAddress,Table,3,0),1)</f>
        <v>1</v>
      </c>
      <c r="E7" s="672"/>
      <c r="F7" s="672"/>
      <c r="G7" s="672"/>
      <c r="H7" s="672"/>
      <c r="I7" s="672"/>
      <c r="J7" s="672"/>
      <c r="K7" s="672"/>
      <c r="L7" s="672"/>
      <c r="M7" s="673"/>
      <c r="N7" s="71"/>
      <c r="P7" s="26"/>
      <c r="Q7" s="46"/>
      <c r="R7" s="46"/>
      <c r="T7" s="663"/>
      <c r="U7" s="664"/>
      <c r="V7" s="667"/>
      <c r="W7" s="668"/>
      <c r="AB7" s="57"/>
      <c r="AC7" s="57"/>
      <c r="AD7" s="57"/>
      <c r="AE7" s="57"/>
    </row>
    <row r="8" spans="1:32" s="17" customFormat="1" ht="25.5" customHeight="1" x14ac:dyDescent="0.2">
      <c r="A8" s="674" t="s">
        <v>57</v>
      </c>
      <c r="B8" s="674"/>
      <c r="C8" s="674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72"/>
      <c r="P8" s="26" t="s">
        <v>11</v>
      </c>
      <c r="Q8" s="676">
        <v>0.41666666666666669</v>
      </c>
      <c r="R8" s="676"/>
      <c r="T8" s="663"/>
      <c r="U8" s="664"/>
      <c r="V8" s="667"/>
      <c r="W8" s="668"/>
      <c r="AB8" s="57"/>
      <c r="AC8" s="57"/>
      <c r="AD8" s="57"/>
      <c r="AE8" s="57"/>
    </row>
    <row r="9" spans="1:32" s="17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678" t="s">
        <v>46</v>
      </c>
      <c r="E9" s="679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0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0"/>
      <c r="L9" s="680"/>
      <c r="M9" s="680"/>
      <c r="N9" s="67"/>
      <c r="P9" s="29" t="s">
        <v>15</v>
      </c>
      <c r="Q9" s="681"/>
      <c r="R9" s="681"/>
      <c r="T9" s="663"/>
      <c r="U9" s="664"/>
      <c r="V9" s="669"/>
      <c r="W9" s="6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678"/>
      <c r="E10" s="679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682" t="str">
        <f>IFERROR(VLOOKUP($D$10,Proxy,2,FALSE),"")</f>
        <v/>
      </c>
      <c r="I10" s="682"/>
      <c r="J10" s="682"/>
      <c r="K10" s="682"/>
      <c r="L10" s="682"/>
      <c r="M10" s="682"/>
      <c r="N10" s="68"/>
      <c r="P10" s="29" t="s">
        <v>32</v>
      </c>
      <c r="Q10" s="683"/>
      <c r="R10" s="683"/>
      <c r="U10" s="26" t="s">
        <v>12</v>
      </c>
      <c r="V10" s="684" t="s">
        <v>70</v>
      </c>
      <c r="W10" s="6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6"/>
      <c r="R11" s="686"/>
      <c r="U11" s="26" t="s">
        <v>28</v>
      </c>
      <c r="V11" s="687" t="s">
        <v>898</v>
      </c>
      <c r="W11" s="6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8" t="s">
        <v>71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73"/>
      <c r="P12" s="26" t="s">
        <v>30</v>
      </c>
      <c r="Q12" s="676"/>
      <c r="R12" s="676"/>
      <c r="S12" s="27"/>
      <c r="T12"/>
      <c r="U12" s="26" t="s">
        <v>46</v>
      </c>
      <c r="V12" s="689"/>
      <c r="W12" s="689"/>
      <c r="X12"/>
      <c r="AB12" s="57"/>
      <c r="AC12" s="57"/>
      <c r="AD12" s="57"/>
      <c r="AE12" s="57"/>
    </row>
    <row r="13" spans="1:32" s="17" customFormat="1" ht="23.25" customHeight="1" x14ac:dyDescent="0.2">
      <c r="A13" s="688" t="s">
        <v>72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73"/>
      <c r="O13" s="29"/>
      <c r="P13" s="29" t="s">
        <v>31</v>
      </c>
      <c r="Q13" s="687"/>
      <c r="R13" s="6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8" t="s">
        <v>73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0" t="s">
        <v>74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0"/>
      <c r="N15" s="74"/>
      <c r="O15"/>
      <c r="P15" s="691" t="s">
        <v>60</v>
      </c>
      <c r="Q15" s="691"/>
      <c r="R15" s="691"/>
      <c r="S15" s="691"/>
      <c r="T15" s="6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5" t="s">
        <v>58</v>
      </c>
      <c r="B17" s="695" t="s">
        <v>49</v>
      </c>
      <c r="C17" s="697" t="s">
        <v>48</v>
      </c>
      <c r="D17" s="699" t="s">
        <v>50</v>
      </c>
      <c r="E17" s="700"/>
      <c r="F17" s="695" t="s">
        <v>21</v>
      </c>
      <c r="G17" s="695" t="s">
        <v>24</v>
      </c>
      <c r="H17" s="695" t="s">
        <v>22</v>
      </c>
      <c r="I17" s="695" t="s">
        <v>23</v>
      </c>
      <c r="J17" s="695" t="s">
        <v>16</v>
      </c>
      <c r="K17" s="695" t="s">
        <v>65</v>
      </c>
      <c r="L17" s="695" t="s">
        <v>63</v>
      </c>
      <c r="M17" s="695" t="s">
        <v>2</v>
      </c>
      <c r="N17" s="695" t="s">
        <v>62</v>
      </c>
      <c r="O17" s="695" t="s">
        <v>25</v>
      </c>
      <c r="P17" s="699" t="s">
        <v>17</v>
      </c>
      <c r="Q17" s="703"/>
      <c r="R17" s="703"/>
      <c r="S17" s="703"/>
      <c r="T17" s="700"/>
      <c r="U17" s="693" t="s">
        <v>55</v>
      </c>
      <c r="V17" s="694"/>
      <c r="W17" s="695" t="s">
        <v>6</v>
      </c>
      <c r="X17" s="695" t="s">
        <v>41</v>
      </c>
      <c r="Y17" s="705" t="s">
        <v>54</v>
      </c>
      <c r="Z17" s="707" t="s">
        <v>18</v>
      </c>
      <c r="AA17" s="709" t="s">
        <v>59</v>
      </c>
      <c r="AB17" s="709" t="s">
        <v>19</v>
      </c>
      <c r="AC17" s="709" t="s">
        <v>64</v>
      </c>
      <c r="AD17" s="711" t="s">
        <v>56</v>
      </c>
      <c r="AE17" s="712"/>
      <c r="AF17" s="713"/>
      <c r="AG17" s="77"/>
      <c r="BD17" s="76" t="s">
        <v>61</v>
      </c>
    </row>
    <row r="18" spans="1:68" ht="14.25" customHeight="1" x14ac:dyDescent="0.2">
      <c r="A18" s="696"/>
      <c r="B18" s="696"/>
      <c r="C18" s="698"/>
      <c r="D18" s="701"/>
      <c r="E18" s="702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01"/>
      <c r="Q18" s="704"/>
      <c r="R18" s="704"/>
      <c r="S18" s="704"/>
      <c r="T18" s="702"/>
      <c r="U18" s="78" t="s">
        <v>44</v>
      </c>
      <c r="V18" s="78" t="s">
        <v>43</v>
      </c>
      <c r="W18" s="696"/>
      <c r="X18" s="696"/>
      <c r="Y18" s="706"/>
      <c r="Z18" s="708"/>
      <c r="AA18" s="710"/>
      <c r="AB18" s="710"/>
      <c r="AC18" s="710"/>
      <c r="AD18" s="714"/>
      <c r="AE18" s="715"/>
      <c r="AF18" s="716"/>
      <c r="AG18" s="77"/>
      <c r="BD18" s="76"/>
    </row>
    <row r="19" spans="1:68" ht="27.75" hidden="1" customHeight="1" x14ac:dyDescent="0.2">
      <c r="A19" s="717" t="s">
        <v>75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hidden="1" customHeight="1" x14ac:dyDescent="0.25">
      <c r="A20" s="718" t="s">
        <v>75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62"/>
      <c r="AB20" s="62"/>
      <c r="AC20" s="62"/>
    </row>
    <row r="21" spans="1:68" ht="14.25" hidden="1" customHeight="1" x14ac:dyDescent="0.25">
      <c r="A21" s="719" t="s">
        <v>76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20">
        <v>4680115886643</v>
      </c>
      <c r="E22" s="7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2"/>
      <c r="R22" s="722"/>
      <c r="S22" s="722"/>
      <c r="T22" s="72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20">
        <v>4680115889071</v>
      </c>
      <c r="E23" s="7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2"/>
      <c r="R23" s="722"/>
      <c r="S23" s="722"/>
      <c r="T23" s="72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8"/>
      <c r="B24" s="728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9"/>
      <c r="P24" s="725" t="s">
        <v>40</v>
      </c>
      <c r="Q24" s="726"/>
      <c r="R24" s="726"/>
      <c r="S24" s="726"/>
      <c r="T24" s="726"/>
      <c r="U24" s="726"/>
      <c r="V24" s="7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8"/>
      <c r="B25" s="728"/>
      <c r="C25" s="728"/>
      <c r="D25" s="728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9"/>
      <c r="P25" s="725" t="s">
        <v>40</v>
      </c>
      <c r="Q25" s="726"/>
      <c r="R25" s="726"/>
      <c r="S25" s="726"/>
      <c r="T25" s="726"/>
      <c r="U25" s="726"/>
      <c r="V25" s="7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9" t="s">
        <v>85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19"/>
      <c r="Z26" s="71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20">
        <v>4680115885912</v>
      </c>
      <c r="E27" s="7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2"/>
      <c r="R27" s="722"/>
      <c r="S27" s="722"/>
      <c r="T27" s="72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20">
        <v>4607091388237</v>
      </c>
      <c r="E28" s="7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2"/>
      <c r="R28" s="722"/>
      <c r="S28" s="722"/>
      <c r="T28" s="72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20">
        <v>4680115887350</v>
      </c>
      <c r="E29" s="7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2"/>
      <c r="R29" s="722"/>
      <c r="S29" s="722"/>
      <c r="T29" s="72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20">
        <v>4680115885905</v>
      </c>
      <c r="E30" s="7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2"/>
      <c r="R30" s="722"/>
      <c r="S30" s="722"/>
      <c r="T30" s="72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20">
        <v>4680115887619</v>
      </c>
      <c r="E31" s="7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2"/>
      <c r="R31" s="722"/>
      <c r="S31" s="722"/>
      <c r="T31" s="72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9"/>
      <c r="P32" s="725" t="s">
        <v>40</v>
      </c>
      <c r="Q32" s="726"/>
      <c r="R32" s="726"/>
      <c r="S32" s="726"/>
      <c r="T32" s="726"/>
      <c r="U32" s="726"/>
      <c r="V32" s="72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729"/>
      <c r="P33" s="725" t="s">
        <v>40</v>
      </c>
      <c r="Q33" s="726"/>
      <c r="R33" s="726"/>
      <c r="S33" s="726"/>
      <c r="T33" s="726"/>
      <c r="U33" s="726"/>
      <c r="V33" s="72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7" t="s">
        <v>45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hidden="1" customHeight="1" x14ac:dyDescent="0.25">
      <c r="A35" s="718" t="s">
        <v>103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62"/>
      <c r="AB35" s="62"/>
      <c r="AC35" s="62"/>
    </row>
    <row r="36" spans="1:68" ht="14.25" hidden="1" customHeight="1" x14ac:dyDescent="0.25">
      <c r="A36" s="719" t="s">
        <v>85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  <c r="Z36" s="71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20">
        <v>4680115889354</v>
      </c>
      <c r="E37" s="72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2"/>
      <c r="R37" s="722"/>
      <c r="S37" s="722"/>
      <c r="T37" s="72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20">
        <v>4680115888463</v>
      </c>
      <c r="E38" s="72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2"/>
      <c r="R38" s="722"/>
      <c r="S38" s="722"/>
      <c r="T38" s="72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20">
        <v>4680115889590</v>
      </c>
      <c r="E39" s="72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2"/>
      <c r="R39" s="722"/>
      <c r="S39" s="722"/>
      <c r="T39" s="72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20">
        <v>4680115888272</v>
      </c>
      <c r="E40" s="72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2"/>
      <c r="R40" s="722"/>
      <c r="S40" s="722"/>
      <c r="T40" s="72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20">
        <v>4680115888364</v>
      </c>
      <c r="E41" s="7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2"/>
      <c r="R41" s="722"/>
      <c r="S41" s="722"/>
      <c r="T41" s="72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8"/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9"/>
      <c r="P42" s="725" t="s">
        <v>40</v>
      </c>
      <c r="Q42" s="726"/>
      <c r="R42" s="726"/>
      <c r="S42" s="726"/>
      <c r="T42" s="726"/>
      <c r="U42" s="726"/>
      <c r="V42" s="72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9"/>
      <c r="P43" s="725" t="s">
        <v>40</v>
      </c>
      <c r="Q43" s="726"/>
      <c r="R43" s="726"/>
      <c r="S43" s="726"/>
      <c r="T43" s="726"/>
      <c r="U43" s="726"/>
      <c r="V43" s="72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7" t="s">
        <v>119</v>
      </c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52"/>
      <c r="AB44" s="52"/>
      <c r="AC44" s="52"/>
    </row>
    <row r="45" spans="1:68" ht="16.5" hidden="1" customHeight="1" x14ac:dyDescent="0.25">
      <c r="A45" s="718" t="s">
        <v>120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718"/>
      <c r="O45" s="718"/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  <c r="AA45" s="62"/>
      <c r="AB45" s="62"/>
      <c r="AC45" s="62"/>
    </row>
    <row r="46" spans="1:68" ht="14.25" hidden="1" customHeight="1" x14ac:dyDescent="0.25">
      <c r="A46" s="719" t="s">
        <v>121</v>
      </c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20">
        <v>4607091385670</v>
      </c>
      <c r="E47" s="72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4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2"/>
      <c r="R47" s="722"/>
      <c r="S47" s="722"/>
      <c r="T47" s="72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20">
        <v>4680115887725</v>
      </c>
      <c r="E48" s="72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2"/>
      <c r="R48" s="722"/>
      <c r="S48" s="722"/>
      <c r="T48" s="72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20">
        <v>4607091385687</v>
      </c>
      <c r="E49" s="72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2"/>
      <c r="R49" s="722"/>
      <c r="S49" s="722"/>
      <c r="T49" s="72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20">
        <v>4680115882539</v>
      </c>
      <c r="E50" s="72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2"/>
      <c r="R50" s="722"/>
      <c r="S50" s="722"/>
      <c r="T50" s="72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8"/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8"/>
      <c r="N51" s="728"/>
      <c r="O51" s="729"/>
      <c r="P51" s="725" t="s">
        <v>40</v>
      </c>
      <c r="Q51" s="726"/>
      <c r="R51" s="726"/>
      <c r="S51" s="726"/>
      <c r="T51" s="726"/>
      <c r="U51" s="726"/>
      <c r="V51" s="727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8"/>
      <c r="B52" s="728"/>
      <c r="C52" s="728"/>
      <c r="D52" s="728"/>
      <c r="E52" s="728"/>
      <c r="F52" s="728"/>
      <c r="G52" s="728"/>
      <c r="H52" s="728"/>
      <c r="I52" s="728"/>
      <c r="J52" s="728"/>
      <c r="K52" s="728"/>
      <c r="L52" s="728"/>
      <c r="M52" s="728"/>
      <c r="N52" s="728"/>
      <c r="O52" s="729"/>
      <c r="P52" s="725" t="s">
        <v>40</v>
      </c>
      <c r="Q52" s="726"/>
      <c r="R52" s="726"/>
      <c r="S52" s="726"/>
      <c r="T52" s="726"/>
      <c r="U52" s="726"/>
      <c r="V52" s="727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8" t="s">
        <v>136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62"/>
      <c r="AB53" s="62"/>
      <c r="AC53" s="62"/>
    </row>
    <row r="54" spans="1:68" ht="14.25" hidden="1" customHeight="1" x14ac:dyDescent="0.25">
      <c r="A54" s="719" t="s">
        <v>121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19"/>
      <c r="N54" s="719"/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  <c r="Z54" s="71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20">
        <v>4680115885882</v>
      </c>
      <c r="E55" s="72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2"/>
      <c r="R55" s="722"/>
      <c r="S55" s="722"/>
      <c r="T55" s="72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20">
        <v>4680115881426</v>
      </c>
      <c r="E56" s="72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2"/>
      <c r="R56" s="722"/>
      <c r="S56" s="722"/>
      <c r="T56" s="72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20">
        <v>4680115880283</v>
      </c>
      <c r="E57" s="72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2"/>
      <c r="R57" s="722"/>
      <c r="S57" s="722"/>
      <c r="T57" s="72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20">
        <v>4680115881525</v>
      </c>
      <c r="E58" s="72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2"/>
      <c r="R58" s="722"/>
      <c r="S58" s="722"/>
      <c r="T58" s="72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720">
        <v>4680115885899</v>
      </c>
      <c r="E59" s="72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2"/>
      <c r="R59" s="722"/>
      <c r="S59" s="722"/>
      <c r="T59" s="72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720">
        <v>4680115881419</v>
      </c>
      <c r="E60" s="72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2"/>
      <c r="R60" s="722"/>
      <c r="S60" s="722"/>
      <c r="T60" s="72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8"/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8"/>
      <c r="N61" s="728"/>
      <c r="O61" s="729"/>
      <c r="P61" s="725" t="s">
        <v>40</v>
      </c>
      <c r="Q61" s="726"/>
      <c r="R61" s="726"/>
      <c r="S61" s="726"/>
      <c r="T61" s="726"/>
      <c r="U61" s="726"/>
      <c r="V61" s="727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9"/>
      <c r="P62" s="725" t="s">
        <v>40</v>
      </c>
      <c r="Q62" s="726"/>
      <c r="R62" s="726"/>
      <c r="S62" s="726"/>
      <c r="T62" s="726"/>
      <c r="U62" s="726"/>
      <c r="V62" s="727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9" t="s">
        <v>154</v>
      </c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  <c r="Z63" s="71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720">
        <v>4680115881440</v>
      </c>
      <c r="E64" s="72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2"/>
      <c r="R64" s="722"/>
      <c r="S64" s="722"/>
      <c r="T64" s="72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720">
        <v>4680115885950</v>
      </c>
      <c r="E65" s="72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2"/>
      <c r="R65" s="722"/>
      <c r="S65" s="722"/>
      <c r="T65" s="72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720">
        <v>4680115887688</v>
      </c>
      <c r="E66" s="72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2"/>
      <c r="R66" s="722"/>
      <c r="S66" s="722"/>
      <c r="T66" s="72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720">
        <v>4680115881433</v>
      </c>
      <c r="E67" s="72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2"/>
      <c r="R67" s="722"/>
      <c r="S67" s="722"/>
      <c r="T67" s="72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9"/>
      <c r="P68" s="725" t="s">
        <v>40</v>
      </c>
      <c r="Q68" s="726"/>
      <c r="R68" s="726"/>
      <c r="S68" s="726"/>
      <c r="T68" s="726"/>
      <c r="U68" s="726"/>
      <c r="V68" s="727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9"/>
      <c r="P69" s="725" t="s">
        <v>40</v>
      </c>
      <c r="Q69" s="726"/>
      <c r="R69" s="726"/>
      <c r="S69" s="726"/>
      <c r="T69" s="726"/>
      <c r="U69" s="726"/>
      <c r="V69" s="727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9" t="s">
        <v>85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720">
        <v>4680115884311</v>
      </c>
      <c r="E71" s="72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2"/>
      <c r="R71" s="722"/>
      <c r="S71" s="722"/>
      <c r="T71" s="72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720">
        <v>4680115884403</v>
      </c>
      <c r="E72" s="72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2"/>
      <c r="R72" s="722"/>
      <c r="S72" s="722"/>
      <c r="T72" s="72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720">
        <v>4680115884403</v>
      </c>
      <c r="E73" s="72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2"/>
      <c r="R73" s="722"/>
      <c r="S73" s="722"/>
      <c r="T73" s="72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9"/>
      <c r="P74" s="725" t="s">
        <v>40</v>
      </c>
      <c r="Q74" s="726"/>
      <c r="R74" s="726"/>
      <c r="S74" s="726"/>
      <c r="T74" s="726"/>
      <c r="U74" s="726"/>
      <c r="V74" s="727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9"/>
      <c r="P75" s="725" t="s">
        <v>40</v>
      </c>
      <c r="Q75" s="726"/>
      <c r="R75" s="726"/>
      <c r="S75" s="726"/>
      <c r="T75" s="726"/>
      <c r="U75" s="726"/>
      <c r="V75" s="727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9" t="s">
        <v>172</v>
      </c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20">
        <v>4680115881532</v>
      </c>
      <c r="E77" s="72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2"/>
      <c r="R77" s="722"/>
      <c r="S77" s="722"/>
      <c r="T77" s="72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720">
        <v>4680115881532</v>
      </c>
      <c r="E78" s="72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2"/>
      <c r="R78" s="722"/>
      <c r="S78" s="722"/>
      <c r="T78" s="72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720">
        <v>4680115881464</v>
      </c>
      <c r="E79" s="72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2"/>
      <c r="R79" s="722"/>
      <c r="S79" s="722"/>
      <c r="T79" s="72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720">
        <v>4680115881464</v>
      </c>
      <c r="E80" s="72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2"/>
      <c r="R80" s="722"/>
      <c r="S80" s="722"/>
      <c r="T80" s="72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9"/>
      <c r="P81" s="725" t="s">
        <v>40</v>
      </c>
      <c r="Q81" s="726"/>
      <c r="R81" s="726"/>
      <c r="S81" s="726"/>
      <c r="T81" s="726"/>
      <c r="U81" s="726"/>
      <c r="V81" s="727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9"/>
      <c r="P82" s="725" t="s">
        <v>40</v>
      </c>
      <c r="Q82" s="726"/>
      <c r="R82" s="726"/>
      <c r="S82" s="726"/>
      <c r="T82" s="726"/>
      <c r="U82" s="726"/>
      <c r="V82" s="727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8" t="s">
        <v>181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62"/>
      <c r="AB83" s="62"/>
      <c r="AC83" s="62"/>
    </row>
    <row r="84" spans="1:68" ht="14.25" hidden="1" customHeight="1" x14ac:dyDescent="0.25">
      <c r="A84" s="719" t="s">
        <v>121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720">
        <v>4680115881327</v>
      </c>
      <c r="E85" s="72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2"/>
      <c r="R85" s="722"/>
      <c r="S85" s="722"/>
      <c r="T85" s="72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720">
        <v>4680115887732</v>
      </c>
      <c r="E86" s="72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2"/>
      <c r="R86" s="722"/>
      <c r="S86" s="722"/>
      <c r="T86" s="72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720">
        <v>4680115887732</v>
      </c>
      <c r="E87" s="72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63" t="s">
        <v>189</v>
      </c>
      <c r="Q87" s="722"/>
      <c r="R87" s="722"/>
      <c r="S87" s="722"/>
      <c r="T87" s="72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20">
        <v>4680115881518</v>
      </c>
      <c r="E88" s="7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2"/>
      <c r="R88" s="722"/>
      <c r="S88" s="722"/>
      <c r="T88" s="72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20">
        <v>4680115881303</v>
      </c>
      <c r="E89" s="7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2"/>
      <c r="R89" s="722"/>
      <c r="S89" s="722"/>
      <c r="T89" s="72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8"/>
      <c r="B90" s="728"/>
      <c r="C90" s="728"/>
      <c r="D90" s="728"/>
      <c r="E90" s="728"/>
      <c r="F90" s="728"/>
      <c r="G90" s="728"/>
      <c r="H90" s="728"/>
      <c r="I90" s="728"/>
      <c r="J90" s="728"/>
      <c r="K90" s="728"/>
      <c r="L90" s="728"/>
      <c r="M90" s="728"/>
      <c r="N90" s="728"/>
      <c r="O90" s="729"/>
      <c r="P90" s="725" t="s">
        <v>40</v>
      </c>
      <c r="Q90" s="726"/>
      <c r="R90" s="726"/>
      <c r="S90" s="726"/>
      <c r="T90" s="726"/>
      <c r="U90" s="726"/>
      <c r="V90" s="727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8"/>
      <c r="B91" s="728"/>
      <c r="C91" s="728"/>
      <c r="D91" s="728"/>
      <c r="E91" s="728"/>
      <c r="F91" s="728"/>
      <c r="G91" s="728"/>
      <c r="H91" s="728"/>
      <c r="I91" s="728"/>
      <c r="J91" s="728"/>
      <c r="K91" s="728"/>
      <c r="L91" s="728"/>
      <c r="M91" s="728"/>
      <c r="N91" s="728"/>
      <c r="O91" s="729"/>
      <c r="P91" s="725" t="s">
        <v>40</v>
      </c>
      <c r="Q91" s="726"/>
      <c r="R91" s="726"/>
      <c r="S91" s="726"/>
      <c r="T91" s="726"/>
      <c r="U91" s="726"/>
      <c r="V91" s="727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9" t="s">
        <v>85</v>
      </c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19"/>
      <c r="N92" s="719"/>
      <c r="O92" s="719"/>
      <c r="P92" s="719"/>
      <c r="Q92" s="719"/>
      <c r="R92" s="719"/>
      <c r="S92" s="719"/>
      <c r="T92" s="719"/>
      <c r="U92" s="719"/>
      <c r="V92" s="719"/>
      <c r="W92" s="719"/>
      <c r="X92" s="719"/>
      <c r="Y92" s="719"/>
      <c r="Z92" s="71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720">
        <v>4607091386967</v>
      </c>
      <c r="E93" s="7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2"/>
      <c r="R93" s="722"/>
      <c r="S93" s="722"/>
      <c r="T93" s="72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720">
        <v>4607091386967</v>
      </c>
      <c r="E94" s="72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7" t="s">
        <v>198</v>
      </c>
      <c r="Q94" s="722"/>
      <c r="R94" s="722"/>
      <c r="S94" s="722"/>
      <c r="T94" s="72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720">
        <v>4680115884953</v>
      </c>
      <c r="E95" s="72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2"/>
      <c r="R95" s="722"/>
      <c r="S95" s="722"/>
      <c r="T95" s="72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720">
        <v>4607091385731</v>
      </c>
      <c r="E96" s="72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2"/>
      <c r="R96" s="722"/>
      <c r="S96" s="722"/>
      <c r="T96" s="72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720">
        <v>4607091385731</v>
      </c>
      <c r="E97" s="7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70" t="s">
        <v>204</v>
      </c>
      <c r="Q97" s="722"/>
      <c r="R97" s="722"/>
      <c r="S97" s="722"/>
      <c r="T97" s="72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20">
        <v>4680115880894</v>
      </c>
      <c r="E98" s="7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2"/>
      <c r="R98" s="722"/>
      <c r="S98" s="722"/>
      <c r="T98" s="72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8"/>
      <c r="B99" s="728"/>
      <c r="C99" s="728"/>
      <c r="D99" s="728"/>
      <c r="E99" s="728"/>
      <c r="F99" s="728"/>
      <c r="G99" s="728"/>
      <c r="H99" s="728"/>
      <c r="I99" s="728"/>
      <c r="J99" s="728"/>
      <c r="K99" s="728"/>
      <c r="L99" s="728"/>
      <c r="M99" s="728"/>
      <c r="N99" s="728"/>
      <c r="O99" s="729"/>
      <c r="P99" s="725" t="s">
        <v>40</v>
      </c>
      <c r="Q99" s="726"/>
      <c r="R99" s="726"/>
      <c r="S99" s="726"/>
      <c r="T99" s="726"/>
      <c r="U99" s="726"/>
      <c r="V99" s="727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8"/>
      <c r="B100" s="728"/>
      <c r="C100" s="728"/>
      <c r="D100" s="728"/>
      <c r="E100" s="728"/>
      <c r="F100" s="728"/>
      <c r="G100" s="728"/>
      <c r="H100" s="728"/>
      <c r="I100" s="728"/>
      <c r="J100" s="728"/>
      <c r="K100" s="728"/>
      <c r="L100" s="728"/>
      <c r="M100" s="728"/>
      <c r="N100" s="728"/>
      <c r="O100" s="729"/>
      <c r="P100" s="725" t="s">
        <v>40</v>
      </c>
      <c r="Q100" s="726"/>
      <c r="R100" s="726"/>
      <c r="S100" s="726"/>
      <c r="T100" s="726"/>
      <c r="U100" s="726"/>
      <c r="V100" s="727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8" t="s">
        <v>208</v>
      </c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62"/>
      <c r="AB101" s="62"/>
      <c r="AC101" s="62"/>
    </row>
    <row r="102" spans="1:68" ht="14.25" hidden="1" customHeight="1" x14ac:dyDescent="0.25">
      <c r="A102" s="719" t="s">
        <v>121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20">
        <v>4680115882133</v>
      </c>
      <c r="E103" s="7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2"/>
      <c r="R103" s="722"/>
      <c r="S103" s="722"/>
      <c r="T103" s="72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20">
        <v>4680115887718</v>
      </c>
      <c r="E104" s="7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7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2"/>
      <c r="R104" s="722"/>
      <c r="S104" s="722"/>
      <c r="T104" s="72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20">
        <v>4680115887718</v>
      </c>
      <c r="E105" s="7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2"/>
      <c r="R105" s="722"/>
      <c r="S105" s="722"/>
      <c r="T105" s="72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720">
        <v>4680115887718</v>
      </c>
      <c r="E106" s="72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7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2"/>
      <c r="R106" s="722"/>
      <c r="S106" s="722"/>
      <c r="T106" s="72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720">
        <v>4680115880269</v>
      </c>
      <c r="E107" s="72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2"/>
      <c r="R107" s="722"/>
      <c r="S107" s="722"/>
      <c r="T107" s="72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720">
        <v>4680115880429</v>
      </c>
      <c r="E108" s="72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7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2"/>
      <c r="R108" s="722"/>
      <c r="S108" s="722"/>
      <c r="T108" s="72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720">
        <v>4680115880429</v>
      </c>
      <c r="E109" s="72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778" t="s">
        <v>222</v>
      </c>
      <c r="Q109" s="722"/>
      <c r="R109" s="722"/>
      <c r="S109" s="722"/>
      <c r="T109" s="72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720">
        <v>4680115881457</v>
      </c>
      <c r="E110" s="72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2"/>
      <c r="R110" s="722"/>
      <c r="S110" s="722"/>
      <c r="T110" s="72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9"/>
      <c r="P111" s="725" t="s">
        <v>40</v>
      </c>
      <c r="Q111" s="726"/>
      <c r="R111" s="726"/>
      <c r="S111" s="726"/>
      <c r="T111" s="726"/>
      <c r="U111" s="726"/>
      <c r="V111" s="727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9"/>
      <c r="P112" s="725" t="s">
        <v>40</v>
      </c>
      <c r="Q112" s="726"/>
      <c r="R112" s="726"/>
      <c r="S112" s="726"/>
      <c r="T112" s="726"/>
      <c r="U112" s="726"/>
      <c r="V112" s="727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9" t="s">
        <v>154</v>
      </c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720">
        <v>4680115881488</v>
      </c>
      <c r="E114" s="72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2"/>
      <c r="R114" s="722"/>
      <c r="S114" s="722"/>
      <c r="T114" s="72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720">
        <v>4680115887664</v>
      </c>
      <c r="E115" s="72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7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2"/>
      <c r="R115" s="722"/>
      <c r="S115" s="722"/>
      <c r="T115" s="72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720">
        <v>4680115887664</v>
      </c>
      <c r="E116" s="72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7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2"/>
      <c r="R116" s="722"/>
      <c r="S116" s="722"/>
      <c r="T116" s="72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720">
        <v>4680115882775</v>
      </c>
      <c r="E117" s="72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7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2"/>
      <c r="R117" s="722"/>
      <c r="S117" s="722"/>
      <c r="T117" s="72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720">
        <v>4680115880658</v>
      </c>
      <c r="E118" s="72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2"/>
      <c r="R118" s="722"/>
      <c r="S118" s="722"/>
      <c r="T118" s="72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9"/>
      <c r="P119" s="725" t="s">
        <v>40</v>
      </c>
      <c r="Q119" s="726"/>
      <c r="R119" s="726"/>
      <c r="S119" s="726"/>
      <c r="T119" s="726"/>
      <c r="U119" s="726"/>
      <c r="V119" s="727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9"/>
      <c r="P120" s="725" t="s">
        <v>40</v>
      </c>
      <c r="Q120" s="726"/>
      <c r="R120" s="726"/>
      <c r="S120" s="726"/>
      <c r="T120" s="726"/>
      <c r="U120" s="726"/>
      <c r="V120" s="727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9" t="s">
        <v>85</v>
      </c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720">
        <v>4607091385168</v>
      </c>
      <c r="E122" s="72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2"/>
      <c r="R122" s="722"/>
      <c r="S122" s="722"/>
      <c r="T122" s="72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720">
        <v>4607091385168</v>
      </c>
      <c r="E123" s="72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786" t="s">
        <v>242</v>
      </c>
      <c r="Q123" s="722"/>
      <c r="R123" s="722"/>
      <c r="S123" s="722"/>
      <c r="T123" s="72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720">
        <v>4607091383256</v>
      </c>
      <c r="E124" s="72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2"/>
      <c r="R124" s="722"/>
      <c r="S124" s="722"/>
      <c r="T124" s="72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720">
        <v>4607091385748</v>
      </c>
      <c r="E125" s="72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2"/>
      <c r="R125" s="722"/>
      <c r="S125" s="722"/>
      <c r="T125" s="72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720">
        <v>4607091385748</v>
      </c>
      <c r="E126" s="72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789" t="s">
        <v>248</v>
      </c>
      <c r="Q126" s="722"/>
      <c r="R126" s="722"/>
      <c r="S126" s="722"/>
      <c r="T126" s="72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720">
        <v>4680115884533</v>
      </c>
      <c r="E127" s="72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2"/>
      <c r="R127" s="722"/>
      <c r="S127" s="722"/>
      <c r="T127" s="72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720">
        <v>4680115884533</v>
      </c>
      <c r="E128" s="72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791" t="s">
        <v>253</v>
      </c>
      <c r="Q128" s="722"/>
      <c r="R128" s="722"/>
      <c r="S128" s="722"/>
      <c r="T128" s="72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9"/>
      <c r="P129" s="725" t="s">
        <v>40</v>
      </c>
      <c r="Q129" s="726"/>
      <c r="R129" s="726"/>
      <c r="S129" s="726"/>
      <c r="T129" s="726"/>
      <c r="U129" s="726"/>
      <c r="V129" s="727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9"/>
      <c r="P130" s="725" t="s">
        <v>40</v>
      </c>
      <c r="Q130" s="726"/>
      <c r="R130" s="726"/>
      <c r="S130" s="726"/>
      <c r="T130" s="726"/>
      <c r="U130" s="726"/>
      <c r="V130" s="727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9" t="s">
        <v>172</v>
      </c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720">
        <v>4680115880238</v>
      </c>
      <c r="E132" s="72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7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2"/>
      <c r="R132" s="722"/>
      <c r="S132" s="722"/>
      <c r="T132" s="72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720">
        <v>4680115880238</v>
      </c>
      <c r="E133" s="72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793" t="s">
        <v>258</v>
      </c>
      <c r="Q133" s="722"/>
      <c r="R133" s="722"/>
      <c r="S133" s="722"/>
      <c r="T133" s="72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9"/>
      <c r="P134" s="725" t="s">
        <v>40</v>
      </c>
      <c r="Q134" s="726"/>
      <c r="R134" s="726"/>
      <c r="S134" s="726"/>
      <c r="T134" s="726"/>
      <c r="U134" s="726"/>
      <c r="V134" s="727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9"/>
      <c r="P135" s="725" t="s">
        <v>40</v>
      </c>
      <c r="Q135" s="726"/>
      <c r="R135" s="726"/>
      <c r="S135" s="726"/>
      <c r="T135" s="726"/>
      <c r="U135" s="726"/>
      <c r="V135" s="727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8" t="s">
        <v>259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2"/>
      <c r="AB136" s="62"/>
      <c r="AC136" s="62"/>
    </row>
    <row r="137" spans="1:68" ht="14.25" hidden="1" customHeight="1" x14ac:dyDescent="0.25">
      <c r="A137" s="719" t="s">
        <v>121</v>
      </c>
      <c r="B137" s="719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720">
        <v>4680115882577</v>
      </c>
      <c r="E138" s="72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7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2"/>
      <c r="R138" s="722"/>
      <c r="S138" s="722"/>
      <c r="T138" s="72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720">
        <v>4680115882577</v>
      </c>
      <c r="E139" s="72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2"/>
      <c r="R139" s="722"/>
      <c r="S139" s="722"/>
      <c r="T139" s="72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9"/>
      <c r="P140" s="725" t="s">
        <v>40</v>
      </c>
      <c r="Q140" s="726"/>
      <c r="R140" s="726"/>
      <c r="S140" s="726"/>
      <c r="T140" s="726"/>
      <c r="U140" s="726"/>
      <c r="V140" s="7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9"/>
      <c r="P141" s="725" t="s">
        <v>40</v>
      </c>
      <c r="Q141" s="726"/>
      <c r="R141" s="726"/>
      <c r="S141" s="726"/>
      <c r="T141" s="726"/>
      <c r="U141" s="726"/>
      <c r="V141" s="7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9" t="s">
        <v>76</v>
      </c>
      <c r="B142" s="719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720">
        <v>4680115883444</v>
      </c>
      <c r="E143" s="72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7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2"/>
      <c r="R143" s="722"/>
      <c r="S143" s="722"/>
      <c r="T143" s="72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720">
        <v>4680115883444</v>
      </c>
      <c r="E144" s="72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2"/>
      <c r="R144" s="722"/>
      <c r="S144" s="722"/>
      <c r="T144" s="72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9"/>
      <c r="P145" s="725" t="s">
        <v>40</v>
      </c>
      <c r="Q145" s="726"/>
      <c r="R145" s="726"/>
      <c r="S145" s="726"/>
      <c r="T145" s="726"/>
      <c r="U145" s="726"/>
      <c r="V145" s="727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9"/>
      <c r="P146" s="725" t="s">
        <v>40</v>
      </c>
      <c r="Q146" s="726"/>
      <c r="R146" s="726"/>
      <c r="S146" s="726"/>
      <c r="T146" s="726"/>
      <c r="U146" s="726"/>
      <c r="V146" s="727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9" t="s">
        <v>85</v>
      </c>
      <c r="B147" s="719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720">
        <v>4680115882584</v>
      </c>
      <c r="E148" s="72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2"/>
      <c r="R148" s="722"/>
      <c r="S148" s="722"/>
      <c r="T148" s="72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720">
        <v>4680115882584</v>
      </c>
      <c r="E149" s="72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7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2"/>
      <c r="R149" s="722"/>
      <c r="S149" s="722"/>
      <c r="T149" s="72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9"/>
      <c r="P150" s="725" t="s">
        <v>40</v>
      </c>
      <c r="Q150" s="726"/>
      <c r="R150" s="726"/>
      <c r="S150" s="726"/>
      <c r="T150" s="726"/>
      <c r="U150" s="726"/>
      <c r="V150" s="727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9"/>
      <c r="P151" s="725" t="s">
        <v>40</v>
      </c>
      <c r="Q151" s="726"/>
      <c r="R151" s="726"/>
      <c r="S151" s="726"/>
      <c r="T151" s="726"/>
      <c r="U151" s="726"/>
      <c r="V151" s="727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8" t="s">
        <v>272</v>
      </c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62"/>
      <c r="AB152" s="62"/>
      <c r="AC152" s="62"/>
    </row>
    <row r="153" spans="1:68" ht="14.25" hidden="1" customHeight="1" x14ac:dyDescent="0.25">
      <c r="A153" s="719" t="s">
        <v>85</v>
      </c>
      <c r="B153" s="719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720">
        <v>4680115888203</v>
      </c>
      <c r="E154" s="72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0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2"/>
      <c r="R154" s="722"/>
      <c r="S154" s="722"/>
      <c r="T154" s="72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720">
        <v>4680115888180</v>
      </c>
      <c r="E155" s="72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0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2"/>
      <c r="R155" s="722"/>
      <c r="S155" s="722"/>
      <c r="T155" s="72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720">
        <v>4680115888180</v>
      </c>
      <c r="E156" s="72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0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2"/>
      <c r="R156" s="722"/>
      <c r="S156" s="722"/>
      <c r="T156" s="72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720">
        <v>4680115888197</v>
      </c>
      <c r="E157" s="72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0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2"/>
      <c r="R157" s="722"/>
      <c r="S157" s="722"/>
      <c r="T157" s="72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720">
        <v>4680115888197</v>
      </c>
      <c r="E158" s="72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2"/>
      <c r="R158" s="722"/>
      <c r="S158" s="722"/>
      <c r="T158" s="72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720">
        <v>4680115888210</v>
      </c>
      <c r="E159" s="72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2"/>
      <c r="R159" s="722"/>
      <c r="S159" s="722"/>
      <c r="T159" s="72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720">
        <v>4680115888210</v>
      </c>
      <c r="E160" s="72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2"/>
      <c r="R160" s="722"/>
      <c r="S160" s="722"/>
      <c r="T160" s="72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9"/>
      <c r="P161" s="725" t="s">
        <v>40</v>
      </c>
      <c r="Q161" s="726"/>
      <c r="R161" s="726"/>
      <c r="S161" s="726"/>
      <c r="T161" s="726"/>
      <c r="U161" s="726"/>
      <c r="V161" s="727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9"/>
      <c r="P162" s="725" t="s">
        <v>40</v>
      </c>
      <c r="Q162" s="726"/>
      <c r="R162" s="726"/>
      <c r="S162" s="726"/>
      <c r="T162" s="726"/>
      <c r="U162" s="726"/>
      <c r="V162" s="727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9" t="s">
        <v>288</v>
      </c>
      <c r="B163" s="719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720">
        <v>4680115889132</v>
      </c>
      <c r="E164" s="72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2"/>
      <c r="R164" s="722"/>
      <c r="S164" s="722"/>
      <c r="T164" s="72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9"/>
      <c r="P165" s="725" t="s">
        <v>40</v>
      </c>
      <c r="Q165" s="726"/>
      <c r="R165" s="726"/>
      <c r="S165" s="726"/>
      <c r="T165" s="726"/>
      <c r="U165" s="726"/>
      <c r="V165" s="72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9"/>
      <c r="P166" s="725" t="s">
        <v>40</v>
      </c>
      <c r="Q166" s="726"/>
      <c r="R166" s="726"/>
      <c r="S166" s="726"/>
      <c r="T166" s="726"/>
      <c r="U166" s="726"/>
      <c r="V166" s="72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8" t="s">
        <v>119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2"/>
      <c r="AB167" s="62"/>
      <c r="AC167" s="62"/>
    </row>
    <row r="168" spans="1:68" ht="14.25" hidden="1" customHeight="1" x14ac:dyDescent="0.25">
      <c r="A168" s="719" t="s">
        <v>121</v>
      </c>
      <c r="B168" s="719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720">
        <v>4680115887374</v>
      </c>
      <c r="E169" s="72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2"/>
      <c r="R169" s="722"/>
      <c r="S169" s="722"/>
      <c r="T169" s="72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720">
        <v>4607091384604</v>
      </c>
      <c r="E170" s="72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2"/>
      <c r="R170" s="722"/>
      <c r="S170" s="722"/>
      <c r="T170" s="72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720">
        <v>4680115888876</v>
      </c>
      <c r="E171" s="72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1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2"/>
      <c r="R171" s="722"/>
      <c r="S171" s="722"/>
      <c r="T171" s="72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9"/>
      <c r="P172" s="725" t="s">
        <v>40</v>
      </c>
      <c r="Q172" s="726"/>
      <c r="R172" s="726"/>
      <c r="S172" s="726"/>
      <c r="T172" s="726"/>
      <c r="U172" s="726"/>
      <c r="V172" s="727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9"/>
      <c r="P173" s="725" t="s">
        <v>40</v>
      </c>
      <c r="Q173" s="726"/>
      <c r="R173" s="726"/>
      <c r="S173" s="726"/>
      <c r="T173" s="726"/>
      <c r="U173" s="726"/>
      <c r="V173" s="727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9" t="s">
        <v>154</v>
      </c>
      <c r="B174" s="719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720">
        <v>4680115887695</v>
      </c>
      <c r="E175" s="72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2"/>
      <c r="R175" s="722"/>
      <c r="S175" s="722"/>
      <c r="T175" s="72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720">
        <v>4680115889491</v>
      </c>
      <c r="E176" s="72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1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2"/>
      <c r="R176" s="722"/>
      <c r="S176" s="722"/>
      <c r="T176" s="72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9"/>
      <c r="P177" s="725" t="s">
        <v>40</v>
      </c>
      <c r="Q177" s="726"/>
      <c r="R177" s="726"/>
      <c r="S177" s="726"/>
      <c r="T177" s="726"/>
      <c r="U177" s="726"/>
      <c r="V177" s="727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9"/>
      <c r="P178" s="725" t="s">
        <v>40</v>
      </c>
      <c r="Q178" s="726"/>
      <c r="R178" s="726"/>
      <c r="S178" s="726"/>
      <c r="T178" s="726"/>
      <c r="U178" s="726"/>
      <c r="V178" s="727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9" t="s">
        <v>76</v>
      </c>
      <c r="B179" s="719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720">
        <v>4680115887428</v>
      </c>
      <c r="E180" s="72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2"/>
      <c r="R180" s="722"/>
      <c r="S180" s="722"/>
      <c r="T180" s="72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720">
        <v>4680115889170</v>
      </c>
      <c r="E181" s="72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2"/>
      <c r="R181" s="722"/>
      <c r="S181" s="722"/>
      <c r="T181" s="72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720">
        <v>4680115887398</v>
      </c>
      <c r="E182" s="72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1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2"/>
      <c r="R182" s="722"/>
      <c r="S182" s="722"/>
      <c r="T182" s="72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720">
        <v>4680115887336</v>
      </c>
      <c r="E183" s="72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2"/>
      <c r="R183" s="722"/>
      <c r="S183" s="722"/>
      <c r="T183" s="72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720">
        <v>4680115887336</v>
      </c>
      <c r="E184" s="72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17" t="s">
        <v>323</v>
      </c>
      <c r="Q184" s="722"/>
      <c r="R184" s="722"/>
      <c r="S184" s="722"/>
      <c r="T184" s="72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720">
        <v>4680115887787</v>
      </c>
      <c r="E185" s="72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2"/>
      <c r="R185" s="722"/>
      <c r="S185" s="722"/>
      <c r="T185" s="72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720">
        <v>4680115887787</v>
      </c>
      <c r="E186" s="72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19" t="s">
        <v>329</v>
      </c>
      <c r="Q186" s="722"/>
      <c r="R186" s="722"/>
      <c r="S186" s="722"/>
      <c r="T186" s="72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720">
        <v>4680115887503</v>
      </c>
      <c r="E187" s="72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2"/>
      <c r="R187" s="722"/>
      <c r="S187" s="722"/>
      <c r="T187" s="72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720">
        <v>4680115887763</v>
      </c>
      <c r="E188" s="72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2"/>
      <c r="R188" s="722"/>
      <c r="S188" s="722"/>
      <c r="T188" s="72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720">
        <v>4680115887480</v>
      </c>
      <c r="E189" s="72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2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2"/>
      <c r="R189" s="722"/>
      <c r="S189" s="722"/>
      <c r="T189" s="72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720">
        <v>4680115888067</v>
      </c>
      <c r="E190" s="72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2"/>
      <c r="R190" s="722"/>
      <c r="S190" s="722"/>
      <c r="T190" s="72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720">
        <v>4680115887435</v>
      </c>
      <c r="E191" s="72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2"/>
      <c r="R191" s="722"/>
      <c r="S191" s="722"/>
      <c r="T191" s="72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9"/>
      <c r="P192" s="725" t="s">
        <v>40</v>
      </c>
      <c r="Q192" s="726"/>
      <c r="R192" s="726"/>
      <c r="S192" s="726"/>
      <c r="T192" s="726"/>
      <c r="U192" s="726"/>
      <c r="V192" s="727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9"/>
      <c r="P193" s="725" t="s">
        <v>40</v>
      </c>
      <c r="Q193" s="726"/>
      <c r="R193" s="726"/>
      <c r="S193" s="726"/>
      <c r="T193" s="726"/>
      <c r="U193" s="726"/>
      <c r="V193" s="727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9" t="s">
        <v>85</v>
      </c>
      <c r="B194" s="719"/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720">
        <v>4680115888395</v>
      </c>
      <c r="E195" s="72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2"/>
      <c r="R195" s="722"/>
      <c r="S195" s="722"/>
      <c r="T195" s="72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720">
        <v>4680115888371</v>
      </c>
      <c r="E196" s="72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2"/>
      <c r="R196" s="722"/>
      <c r="S196" s="722"/>
      <c r="T196" s="72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720">
        <v>4680115887459</v>
      </c>
      <c r="E197" s="72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2"/>
      <c r="R197" s="722"/>
      <c r="S197" s="722"/>
      <c r="T197" s="72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9"/>
      <c r="P198" s="725" t="s">
        <v>40</v>
      </c>
      <c r="Q198" s="726"/>
      <c r="R198" s="726"/>
      <c r="S198" s="726"/>
      <c r="T198" s="726"/>
      <c r="U198" s="726"/>
      <c r="V198" s="727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9"/>
      <c r="P199" s="725" t="s">
        <v>40</v>
      </c>
      <c r="Q199" s="726"/>
      <c r="R199" s="726"/>
      <c r="S199" s="726"/>
      <c r="T199" s="726"/>
      <c r="U199" s="726"/>
      <c r="V199" s="727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9" t="s">
        <v>288</v>
      </c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720">
        <v>4680115889026</v>
      </c>
      <c r="E201" s="72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2"/>
      <c r="R201" s="722"/>
      <c r="S201" s="722"/>
      <c r="T201" s="72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9"/>
      <c r="P202" s="725" t="s">
        <v>40</v>
      </c>
      <c r="Q202" s="726"/>
      <c r="R202" s="726"/>
      <c r="S202" s="726"/>
      <c r="T202" s="726"/>
      <c r="U202" s="726"/>
      <c r="V202" s="727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8"/>
      <c r="B203" s="728"/>
      <c r="C203" s="728"/>
      <c r="D203" s="728"/>
      <c r="E203" s="728"/>
      <c r="F203" s="728"/>
      <c r="G203" s="728"/>
      <c r="H203" s="728"/>
      <c r="I203" s="728"/>
      <c r="J203" s="728"/>
      <c r="K203" s="728"/>
      <c r="L203" s="728"/>
      <c r="M203" s="728"/>
      <c r="N203" s="728"/>
      <c r="O203" s="729"/>
      <c r="P203" s="725" t="s">
        <v>40</v>
      </c>
      <c r="Q203" s="726"/>
      <c r="R203" s="726"/>
      <c r="S203" s="726"/>
      <c r="T203" s="726"/>
      <c r="U203" s="726"/>
      <c r="V203" s="727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9" t="s">
        <v>355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720">
        <v>4680115889033</v>
      </c>
      <c r="E205" s="72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2"/>
      <c r="R205" s="722"/>
      <c r="S205" s="722"/>
      <c r="T205" s="72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8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728"/>
      <c r="O206" s="729"/>
      <c r="P206" s="725" t="s">
        <v>40</v>
      </c>
      <c r="Q206" s="726"/>
      <c r="R206" s="726"/>
      <c r="S206" s="726"/>
      <c r="T206" s="726"/>
      <c r="U206" s="726"/>
      <c r="V206" s="727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8"/>
      <c r="B207" s="728"/>
      <c r="C207" s="728"/>
      <c r="D207" s="728"/>
      <c r="E207" s="728"/>
      <c r="F207" s="728"/>
      <c r="G207" s="728"/>
      <c r="H207" s="728"/>
      <c r="I207" s="728"/>
      <c r="J207" s="728"/>
      <c r="K207" s="728"/>
      <c r="L207" s="728"/>
      <c r="M207" s="728"/>
      <c r="N207" s="728"/>
      <c r="O207" s="729"/>
      <c r="P207" s="725" t="s">
        <v>40</v>
      </c>
      <c r="Q207" s="726"/>
      <c r="R207" s="726"/>
      <c r="S207" s="726"/>
      <c r="T207" s="726"/>
      <c r="U207" s="726"/>
      <c r="V207" s="727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7" t="s">
        <v>359</v>
      </c>
      <c r="B208" s="717"/>
      <c r="C208" s="717"/>
      <c r="D208" s="717"/>
      <c r="E208" s="717"/>
      <c r="F208" s="717"/>
      <c r="G208" s="717"/>
      <c r="H208" s="717"/>
      <c r="I208" s="717"/>
      <c r="J208" s="717"/>
      <c r="K208" s="717"/>
      <c r="L208" s="717"/>
      <c r="M208" s="717"/>
      <c r="N208" s="717"/>
      <c r="O208" s="717"/>
      <c r="P208" s="717"/>
      <c r="Q208" s="717"/>
      <c r="R208" s="717"/>
      <c r="S208" s="717"/>
      <c r="T208" s="717"/>
      <c r="U208" s="717"/>
      <c r="V208" s="717"/>
      <c r="W208" s="717"/>
      <c r="X208" s="717"/>
      <c r="Y208" s="717"/>
      <c r="Z208" s="717"/>
      <c r="AA208" s="52"/>
      <c r="AB208" s="52"/>
      <c r="AC208" s="52"/>
    </row>
    <row r="209" spans="1:68" ht="16.5" hidden="1" customHeight="1" x14ac:dyDescent="0.25">
      <c r="A209" s="718" t="s">
        <v>360</v>
      </c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62"/>
      <c r="AB209" s="62"/>
      <c r="AC209" s="62"/>
    </row>
    <row r="210" spans="1:68" ht="14.25" hidden="1" customHeight="1" x14ac:dyDescent="0.25">
      <c r="A210" s="719" t="s">
        <v>121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720">
        <v>4607091383423</v>
      </c>
      <c r="E211" s="72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2"/>
      <c r="R211" s="722"/>
      <c r="S211" s="722"/>
      <c r="T211" s="72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720">
        <v>4680115888760</v>
      </c>
      <c r="E212" s="72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2"/>
      <c r="R212" s="722"/>
      <c r="S212" s="722"/>
      <c r="T212" s="72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720">
        <v>4680115888807</v>
      </c>
      <c r="E213" s="72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2"/>
      <c r="R213" s="722"/>
      <c r="S213" s="722"/>
      <c r="T213" s="72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720">
        <v>4680115888852</v>
      </c>
      <c r="E214" s="72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2"/>
      <c r="R214" s="722"/>
      <c r="S214" s="722"/>
      <c r="T214" s="72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720">
        <v>4680115886957</v>
      </c>
      <c r="E215" s="72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2"/>
      <c r="R215" s="722"/>
      <c r="S215" s="722"/>
      <c r="T215" s="72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720">
        <v>4680115885660</v>
      </c>
      <c r="E216" s="72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2"/>
      <c r="R216" s="722"/>
      <c r="S216" s="722"/>
      <c r="T216" s="72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720">
        <v>4680115886773</v>
      </c>
      <c r="E217" s="72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2"/>
      <c r="R217" s="722"/>
      <c r="S217" s="722"/>
      <c r="T217" s="72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8"/>
      <c r="B218" s="728"/>
      <c r="C218" s="728"/>
      <c r="D218" s="728"/>
      <c r="E218" s="728"/>
      <c r="F218" s="728"/>
      <c r="G218" s="728"/>
      <c r="H218" s="728"/>
      <c r="I218" s="728"/>
      <c r="J218" s="728"/>
      <c r="K218" s="728"/>
      <c r="L218" s="728"/>
      <c r="M218" s="728"/>
      <c r="N218" s="728"/>
      <c r="O218" s="729"/>
      <c r="P218" s="725" t="s">
        <v>40</v>
      </c>
      <c r="Q218" s="726"/>
      <c r="R218" s="726"/>
      <c r="S218" s="726"/>
      <c r="T218" s="726"/>
      <c r="U218" s="726"/>
      <c r="V218" s="727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8"/>
      <c r="B219" s="728"/>
      <c r="C219" s="728"/>
      <c r="D219" s="728"/>
      <c r="E219" s="728"/>
      <c r="F219" s="728"/>
      <c r="G219" s="728"/>
      <c r="H219" s="728"/>
      <c r="I219" s="728"/>
      <c r="J219" s="728"/>
      <c r="K219" s="728"/>
      <c r="L219" s="728"/>
      <c r="M219" s="728"/>
      <c r="N219" s="728"/>
      <c r="O219" s="729"/>
      <c r="P219" s="725" t="s">
        <v>40</v>
      </c>
      <c r="Q219" s="726"/>
      <c r="R219" s="726"/>
      <c r="S219" s="726"/>
      <c r="T219" s="726"/>
      <c r="U219" s="726"/>
      <c r="V219" s="727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8" t="s">
        <v>381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62"/>
      <c r="AB220" s="62"/>
      <c r="AC220" s="62"/>
    </row>
    <row r="221" spans="1:68" ht="14.25" hidden="1" customHeight="1" x14ac:dyDescent="0.25">
      <c r="A221" s="719" t="s">
        <v>154</v>
      </c>
      <c r="B221" s="719"/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720">
        <v>4680115886223</v>
      </c>
      <c r="E222" s="72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2"/>
      <c r="R222" s="722"/>
      <c r="S222" s="722"/>
      <c r="T222" s="72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8"/>
      <c r="B223" s="728"/>
      <c r="C223" s="728"/>
      <c r="D223" s="728"/>
      <c r="E223" s="728"/>
      <c r="F223" s="728"/>
      <c r="G223" s="728"/>
      <c r="H223" s="728"/>
      <c r="I223" s="728"/>
      <c r="J223" s="728"/>
      <c r="K223" s="728"/>
      <c r="L223" s="728"/>
      <c r="M223" s="728"/>
      <c r="N223" s="728"/>
      <c r="O223" s="729"/>
      <c r="P223" s="725" t="s">
        <v>40</v>
      </c>
      <c r="Q223" s="726"/>
      <c r="R223" s="726"/>
      <c r="S223" s="726"/>
      <c r="T223" s="726"/>
      <c r="U223" s="726"/>
      <c r="V223" s="727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8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9"/>
      <c r="P224" s="725" t="s">
        <v>40</v>
      </c>
      <c r="Q224" s="726"/>
      <c r="R224" s="726"/>
      <c r="S224" s="726"/>
      <c r="T224" s="726"/>
      <c r="U224" s="726"/>
      <c r="V224" s="727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9" t="s">
        <v>76</v>
      </c>
      <c r="B225" s="719"/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720">
        <v>4680115880993</v>
      </c>
      <c r="E226" s="72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2"/>
      <c r="R226" s="722"/>
      <c r="S226" s="722"/>
      <c r="T226" s="72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720">
        <v>4680115881761</v>
      </c>
      <c r="E227" s="72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2"/>
      <c r="R227" s="722"/>
      <c r="S227" s="722"/>
      <c r="T227" s="72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720">
        <v>4680115881563</v>
      </c>
      <c r="E228" s="72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2"/>
      <c r="R228" s="722"/>
      <c r="S228" s="722"/>
      <c r="T228" s="72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720">
        <v>4680115887565</v>
      </c>
      <c r="E229" s="72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2"/>
      <c r="R229" s="722"/>
      <c r="S229" s="722"/>
      <c r="T229" s="72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720">
        <v>4680115880986</v>
      </c>
      <c r="E230" s="72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2"/>
      <c r="R230" s="722"/>
      <c r="S230" s="722"/>
      <c r="T230" s="72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720">
        <v>4680115887213</v>
      </c>
      <c r="E231" s="72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2"/>
      <c r="R231" s="722"/>
      <c r="S231" s="722"/>
      <c r="T231" s="72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720">
        <v>4680115881785</v>
      </c>
      <c r="E232" s="72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2"/>
      <c r="R232" s="722"/>
      <c r="S232" s="722"/>
      <c r="T232" s="72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720">
        <v>4680115888432</v>
      </c>
      <c r="E233" s="72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2"/>
      <c r="R233" s="722"/>
      <c r="S233" s="722"/>
      <c r="T233" s="72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720">
        <v>4680115888104</v>
      </c>
      <c r="E234" s="72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2"/>
      <c r="R234" s="722"/>
      <c r="S234" s="722"/>
      <c r="T234" s="72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720">
        <v>4680115886537</v>
      </c>
      <c r="E235" s="72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2"/>
      <c r="R235" s="722"/>
      <c r="S235" s="722"/>
      <c r="T235" s="72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720">
        <v>4680115887596</v>
      </c>
      <c r="E236" s="72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2"/>
      <c r="R236" s="722"/>
      <c r="S236" s="722"/>
      <c r="T236" s="72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720">
        <v>4680115881679</v>
      </c>
      <c r="E237" s="72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2"/>
      <c r="R237" s="722"/>
      <c r="S237" s="722"/>
      <c r="T237" s="72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720">
        <v>4680115880191</v>
      </c>
      <c r="E238" s="72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2"/>
      <c r="R238" s="722"/>
      <c r="S238" s="722"/>
      <c r="T238" s="72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720">
        <v>4680115883963</v>
      </c>
      <c r="E239" s="72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2"/>
      <c r="R239" s="722"/>
      <c r="S239" s="722"/>
      <c r="T239" s="72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8"/>
      <c r="B240" s="728"/>
      <c r="C240" s="728"/>
      <c r="D240" s="728"/>
      <c r="E240" s="728"/>
      <c r="F240" s="728"/>
      <c r="G240" s="728"/>
      <c r="H240" s="728"/>
      <c r="I240" s="728"/>
      <c r="J240" s="728"/>
      <c r="K240" s="728"/>
      <c r="L240" s="728"/>
      <c r="M240" s="728"/>
      <c r="N240" s="728"/>
      <c r="O240" s="729"/>
      <c r="P240" s="725" t="s">
        <v>40</v>
      </c>
      <c r="Q240" s="726"/>
      <c r="R240" s="726"/>
      <c r="S240" s="726"/>
      <c r="T240" s="726"/>
      <c r="U240" s="726"/>
      <c r="V240" s="727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8"/>
      <c r="B241" s="728"/>
      <c r="C241" s="728"/>
      <c r="D241" s="728"/>
      <c r="E241" s="728"/>
      <c r="F241" s="728"/>
      <c r="G241" s="728"/>
      <c r="H241" s="728"/>
      <c r="I241" s="728"/>
      <c r="J241" s="728"/>
      <c r="K241" s="728"/>
      <c r="L241" s="728"/>
      <c r="M241" s="728"/>
      <c r="N241" s="728"/>
      <c r="O241" s="729"/>
      <c r="P241" s="725" t="s">
        <v>40</v>
      </c>
      <c r="Q241" s="726"/>
      <c r="R241" s="726"/>
      <c r="S241" s="726"/>
      <c r="T241" s="726"/>
      <c r="U241" s="726"/>
      <c r="V241" s="727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9" t="s">
        <v>85</v>
      </c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720">
        <v>4680115888692</v>
      </c>
      <c r="E243" s="72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5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2"/>
      <c r="R243" s="722"/>
      <c r="S243" s="722"/>
      <c r="T243" s="72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720">
        <v>4680115888722</v>
      </c>
      <c r="E244" s="72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2"/>
      <c r="R244" s="722"/>
      <c r="S244" s="722"/>
      <c r="T244" s="72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720">
        <v>4680115888951</v>
      </c>
      <c r="E245" s="72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2"/>
      <c r="R245" s="722"/>
      <c r="S245" s="722"/>
      <c r="T245" s="72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720">
        <v>4680115888975</v>
      </c>
      <c r="E246" s="72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2"/>
      <c r="R246" s="722"/>
      <c r="S246" s="722"/>
      <c r="T246" s="72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720">
        <v>4680115888982</v>
      </c>
      <c r="E247" s="72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2"/>
      <c r="R247" s="722"/>
      <c r="S247" s="722"/>
      <c r="T247" s="72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8"/>
      <c r="B248" s="728"/>
      <c r="C248" s="728"/>
      <c r="D248" s="728"/>
      <c r="E248" s="728"/>
      <c r="F248" s="728"/>
      <c r="G248" s="728"/>
      <c r="H248" s="728"/>
      <c r="I248" s="728"/>
      <c r="J248" s="728"/>
      <c r="K248" s="728"/>
      <c r="L248" s="728"/>
      <c r="M248" s="728"/>
      <c r="N248" s="728"/>
      <c r="O248" s="729"/>
      <c r="P248" s="725" t="s">
        <v>40</v>
      </c>
      <c r="Q248" s="726"/>
      <c r="R248" s="726"/>
      <c r="S248" s="726"/>
      <c r="T248" s="726"/>
      <c r="U248" s="726"/>
      <c r="V248" s="727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8"/>
      <c r="B249" s="728"/>
      <c r="C249" s="728"/>
      <c r="D249" s="728"/>
      <c r="E249" s="728"/>
      <c r="F249" s="728"/>
      <c r="G249" s="728"/>
      <c r="H249" s="728"/>
      <c r="I249" s="728"/>
      <c r="J249" s="728"/>
      <c r="K249" s="728"/>
      <c r="L249" s="728"/>
      <c r="M249" s="728"/>
      <c r="N249" s="728"/>
      <c r="O249" s="729"/>
      <c r="P249" s="725" t="s">
        <v>40</v>
      </c>
      <c r="Q249" s="726"/>
      <c r="R249" s="726"/>
      <c r="S249" s="726"/>
      <c r="T249" s="726"/>
      <c r="U249" s="726"/>
      <c r="V249" s="727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9" t="s">
        <v>288</v>
      </c>
      <c r="B250" s="719"/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720">
        <v>4680115886780</v>
      </c>
      <c r="E251" s="72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2"/>
      <c r="R251" s="722"/>
      <c r="S251" s="722"/>
      <c r="T251" s="72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720">
        <v>4680115886742</v>
      </c>
      <c r="E252" s="72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2"/>
      <c r="R252" s="722"/>
      <c r="S252" s="722"/>
      <c r="T252" s="72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720">
        <v>4680115886766</v>
      </c>
      <c r="E253" s="72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2"/>
      <c r="R253" s="722"/>
      <c r="S253" s="722"/>
      <c r="T253" s="72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8"/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9"/>
      <c r="P254" s="725" t="s">
        <v>40</v>
      </c>
      <c r="Q254" s="726"/>
      <c r="R254" s="726"/>
      <c r="S254" s="726"/>
      <c r="T254" s="726"/>
      <c r="U254" s="726"/>
      <c r="V254" s="727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8"/>
      <c r="B255" s="728"/>
      <c r="C255" s="728"/>
      <c r="D255" s="728"/>
      <c r="E255" s="728"/>
      <c r="F255" s="728"/>
      <c r="G255" s="728"/>
      <c r="H255" s="728"/>
      <c r="I255" s="728"/>
      <c r="J255" s="728"/>
      <c r="K255" s="728"/>
      <c r="L255" s="728"/>
      <c r="M255" s="728"/>
      <c r="N255" s="728"/>
      <c r="O255" s="729"/>
      <c r="P255" s="725" t="s">
        <v>40</v>
      </c>
      <c r="Q255" s="726"/>
      <c r="R255" s="726"/>
      <c r="S255" s="726"/>
      <c r="T255" s="726"/>
      <c r="U255" s="726"/>
      <c r="V255" s="727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9" t="s">
        <v>445</v>
      </c>
      <c r="B256" s="719"/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720">
        <v>4680115886797</v>
      </c>
      <c r="E257" s="72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2"/>
      <c r="R257" s="722"/>
      <c r="S257" s="722"/>
      <c r="T257" s="72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8"/>
      <c r="B258" s="728"/>
      <c r="C258" s="728"/>
      <c r="D258" s="728"/>
      <c r="E258" s="728"/>
      <c r="F258" s="728"/>
      <c r="G258" s="728"/>
      <c r="H258" s="728"/>
      <c r="I258" s="728"/>
      <c r="J258" s="728"/>
      <c r="K258" s="728"/>
      <c r="L258" s="728"/>
      <c r="M258" s="728"/>
      <c r="N258" s="728"/>
      <c r="O258" s="729"/>
      <c r="P258" s="725" t="s">
        <v>40</v>
      </c>
      <c r="Q258" s="726"/>
      <c r="R258" s="726"/>
      <c r="S258" s="726"/>
      <c r="T258" s="726"/>
      <c r="U258" s="726"/>
      <c r="V258" s="727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8"/>
      <c r="B259" s="728"/>
      <c r="C259" s="728"/>
      <c r="D259" s="728"/>
      <c r="E259" s="728"/>
      <c r="F259" s="728"/>
      <c r="G259" s="728"/>
      <c r="H259" s="728"/>
      <c r="I259" s="728"/>
      <c r="J259" s="728"/>
      <c r="K259" s="728"/>
      <c r="L259" s="728"/>
      <c r="M259" s="728"/>
      <c r="N259" s="728"/>
      <c r="O259" s="729"/>
      <c r="P259" s="725" t="s">
        <v>40</v>
      </c>
      <c r="Q259" s="726"/>
      <c r="R259" s="726"/>
      <c r="S259" s="726"/>
      <c r="T259" s="726"/>
      <c r="U259" s="726"/>
      <c r="V259" s="727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8" t="s">
        <v>448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2"/>
      <c r="AB260" s="62"/>
      <c r="AC260" s="62"/>
    </row>
    <row r="261" spans="1:68" ht="14.25" hidden="1" customHeight="1" x14ac:dyDescent="0.25">
      <c r="A261" s="719" t="s">
        <v>121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720">
        <v>4680115881402</v>
      </c>
      <c r="E262" s="7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2"/>
      <c r="R262" s="722"/>
      <c r="S262" s="722"/>
      <c r="T262" s="72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720">
        <v>4680115881396</v>
      </c>
      <c r="E263" s="72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2"/>
      <c r="R263" s="722"/>
      <c r="S263" s="722"/>
      <c r="T263" s="72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8"/>
      <c r="B264" s="728"/>
      <c r="C264" s="728"/>
      <c r="D264" s="728"/>
      <c r="E264" s="728"/>
      <c r="F264" s="728"/>
      <c r="G264" s="728"/>
      <c r="H264" s="728"/>
      <c r="I264" s="728"/>
      <c r="J264" s="728"/>
      <c r="K264" s="728"/>
      <c r="L264" s="728"/>
      <c r="M264" s="728"/>
      <c r="N264" s="728"/>
      <c r="O264" s="729"/>
      <c r="P264" s="725" t="s">
        <v>40</v>
      </c>
      <c r="Q264" s="726"/>
      <c r="R264" s="726"/>
      <c r="S264" s="726"/>
      <c r="T264" s="726"/>
      <c r="U264" s="726"/>
      <c r="V264" s="72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8"/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9"/>
      <c r="P265" s="725" t="s">
        <v>40</v>
      </c>
      <c r="Q265" s="726"/>
      <c r="R265" s="726"/>
      <c r="S265" s="726"/>
      <c r="T265" s="726"/>
      <c r="U265" s="726"/>
      <c r="V265" s="72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9" t="s">
        <v>154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720">
        <v>4680115882935</v>
      </c>
      <c r="E267" s="72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2"/>
      <c r="R267" s="722"/>
      <c r="S267" s="722"/>
      <c r="T267" s="72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720">
        <v>4680115880764</v>
      </c>
      <c r="E268" s="72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2"/>
      <c r="R268" s="722"/>
      <c r="S268" s="722"/>
      <c r="T268" s="72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8"/>
      <c r="B269" s="728"/>
      <c r="C269" s="728"/>
      <c r="D269" s="728"/>
      <c r="E269" s="728"/>
      <c r="F269" s="728"/>
      <c r="G269" s="728"/>
      <c r="H269" s="728"/>
      <c r="I269" s="728"/>
      <c r="J269" s="728"/>
      <c r="K269" s="728"/>
      <c r="L269" s="728"/>
      <c r="M269" s="728"/>
      <c r="N269" s="728"/>
      <c r="O269" s="729"/>
      <c r="P269" s="725" t="s">
        <v>40</v>
      </c>
      <c r="Q269" s="726"/>
      <c r="R269" s="726"/>
      <c r="S269" s="726"/>
      <c r="T269" s="726"/>
      <c r="U269" s="726"/>
      <c r="V269" s="727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8"/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9"/>
      <c r="P270" s="725" t="s">
        <v>40</v>
      </c>
      <c r="Q270" s="726"/>
      <c r="R270" s="726"/>
      <c r="S270" s="726"/>
      <c r="T270" s="726"/>
      <c r="U270" s="726"/>
      <c r="V270" s="727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9" t="s">
        <v>76</v>
      </c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720">
        <v>4680115882683</v>
      </c>
      <c r="E272" s="72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2"/>
      <c r="R272" s="722"/>
      <c r="S272" s="722"/>
      <c r="T272" s="72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720">
        <v>4680115882690</v>
      </c>
      <c r="E273" s="72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2"/>
      <c r="R273" s="722"/>
      <c r="S273" s="722"/>
      <c r="T273" s="72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720">
        <v>4680115882669</v>
      </c>
      <c r="E274" s="72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2"/>
      <c r="R274" s="722"/>
      <c r="S274" s="722"/>
      <c r="T274" s="72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720">
        <v>4680115882676</v>
      </c>
      <c r="E275" s="72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2"/>
      <c r="R275" s="722"/>
      <c r="S275" s="722"/>
      <c r="T275" s="72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720">
        <v>4680115884014</v>
      </c>
      <c r="E276" s="72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2"/>
      <c r="R276" s="722"/>
      <c r="S276" s="722"/>
      <c r="T276" s="72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720">
        <v>4680115884007</v>
      </c>
      <c r="E277" s="72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2"/>
      <c r="R277" s="722"/>
      <c r="S277" s="722"/>
      <c r="T277" s="72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720">
        <v>4680115884038</v>
      </c>
      <c r="E278" s="72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2"/>
      <c r="R278" s="722"/>
      <c r="S278" s="722"/>
      <c r="T278" s="72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720">
        <v>4680115884021</v>
      </c>
      <c r="E279" s="72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2"/>
      <c r="R279" s="722"/>
      <c r="S279" s="722"/>
      <c r="T279" s="72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8"/>
      <c r="B280" s="728"/>
      <c r="C280" s="728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9"/>
      <c r="P280" s="725" t="s">
        <v>40</v>
      </c>
      <c r="Q280" s="726"/>
      <c r="R280" s="726"/>
      <c r="S280" s="726"/>
      <c r="T280" s="726"/>
      <c r="U280" s="726"/>
      <c r="V280" s="727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8"/>
      <c r="B281" s="728"/>
      <c r="C281" s="728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9"/>
      <c r="P281" s="725" t="s">
        <v>40</v>
      </c>
      <c r="Q281" s="726"/>
      <c r="R281" s="726"/>
      <c r="S281" s="726"/>
      <c r="T281" s="726"/>
      <c r="U281" s="726"/>
      <c r="V281" s="727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9" t="s">
        <v>85</v>
      </c>
      <c r="B282" s="719"/>
      <c r="C282" s="719"/>
      <c r="D282" s="719"/>
      <c r="E282" s="719"/>
      <c r="F282" s="719"/>
      <c r="G282" s="719"/>
      <c r="H282" s="719"/>
      <c r="I282" s="719"/>
      <c r="J282" s="719"/>
      <c r="K282" s="719"/>
      <c r="L282" s="719"/>
      <c r="M282" s="719"/>
      <c r="N282" s="719"/>
      <c r="O282" s="719"/>
      <c r="P282" s="719"/>
      <c r="Q282" s="719"/>
      <c r="R282" s="719"/>
      <c r="S282" s="719"/>
      <c r="T282" s="719"/>
      <c r="U282" s="719"/>
      <c r="V282" s="719"/>
      <c r="W282" s="719"/>
      <c r="X282" s="719"/>
      <c r="Y282" s="719"/>
      <c r="Z282" s="71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720">
        <v>4680115881594</v>
      </c>
      <c r="E283" s="72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2"/>
      <c r="R283" s="722"/>
      <c r="S283" s="722"/>
      <c r="T283" s="72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720">
        <v>4680115881617</v>
      </c>
      <c r="E284" s="72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2"/>
      <c r="R284" s="722"/>
      <c r="S284" s="722"/>
      <c r="T284" s="72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720">
        <v>4680115880573</v>
      </c>
      <c r="E285" s="72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2"/>
      <c r="R285" s="722"/>
      <c r="S285" s="722"/>
      <c r="T285" s="72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720">
        <v>4680115882195</v>
      </c>
      <c r="E286" s="72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2"/>
      <c r="R286" s="722"/>
      <c r="S286" s="722"/>
      <c r="T286" s="72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720">
        <v>4680115882607</v>
      </c>
      <c r="E287" s="72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2"/>
      <c r="R287" s="722"/>
      <c r="S287" s="722"/>
      <c r="T287" s="72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720">
        <v>4680115882607</v>
      </c>
      <c r="E288" s="72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2"/>
      <c r="R288" s="722"/>
      <c r="S288" s="722"/>
      <c r="T288" s="72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720">
        <v>4680115880092</v>
      </c>
      <c r="E289" s="72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2"/>
      <c r="R289" s="722"/>
      <c r="S289" s="722"/>
      <c r="T289" s="72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720">
        <v>4680115889064</v>
      </c>
      <c r="E290" s="72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2"/>
      <c r="R290" s="722"/>
      <c r="S290" s="722"/>
      <c r="T290" s="72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720">
        <v>4680115880221</v>
      </c>
      <c r="E291" s="72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2"/>
      <c r="R291" s="722"/>
      <c r="S291" s="722"/>
      <c r="T291" s="72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720">
        <v>4680115880504</v>
      </c>
      <c r="E292" s="72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2"/>
      <c r="R292" s="722"/>
      <c r="S292" s="722"/>
      <c r="T292" s="72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720">
        <v>4680115882164</v>
      </c>
      <c r="E293" s="72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2"/>
      <c r="R293" s="722"/>
      <c r="S293" s="722"/>
      <c r="T293" s="72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720">
        <v>4680115888340</v>
      </c>
      <c r="E294" s="72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2"/>
      <c r="R294" s="722"/>
      <c r="S294" s="722"/>
      <c r="T294" s="72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8"/>
      <c r="B295" s="728"/>
      <c r="C295" s="728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9"/>
      <c r="P295" s="725" t="s">
        <v>40</v>
      </c>
      <c r="Q295" s="726"/>
      <c r="R295" s="726"/>
      <c r="S295" s="726"/>
      <c r="T295" s="726"/>
      <c r="U295" s="726"/>
      <c r="V295" s="727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8"/>
      <c r="B296" s="728"/>
      <c r="C296" s="728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9"/>
      <c r="P296" s="725" t="s">
        <v>40</v>
      </c>
      <c r="Q296" s="726"/>
      <c r="R296" s="726"/>
      <c r="S296" s="726"/>
      <c r="T296" s="726"/>
      <c r="U296" s="726"/>
      <c r="V296" s="727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9" t="s">
        <v>172</v>
      </c>
      <c r="B297" s="719"/>
      <c r="C297" s="719"/>
      <c r="D297" s="719"/>
      <c r="E297" s="719"/>
      <c r="F297" s="719"/>
      <c r="G297" s="719"/>
      <c r="H297" s="719"/>
      <c r="I297" s="719"/>
      <c r="J297" s="719"/>
      <c r="K297" s="719"/>
      <c r="L297" s="719"/>
      <c r="M297" s="719"/>
      <c r="N297" s="719"/>
      <c r="O297" s="719"/>
      <c r="P297" s="719"/>
      <c r="Q297" s="719"/>
      <c r="R297" s="719"/>
      <c r="S297" s="719"/>
      <c r="T297" s="719"/>
      <c r="U297" s="719"/>
      <c r="V297" s="719"/>
      <c r="W297" s="719"/>
      <c r="X297" s="719"/>
      <c r="Y297" s="719"/>
      <c r="Z297" s="71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720">
        <v>4680115880818</v>
      </c>
      <c r="E298" s="72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2"/>
      <c r="R298" s="722"/>
      <c r="S298" s="722"/>
      <c r="T298" s="72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720">
        <v>4680115880801</v>
      </c>
      <c r="E299" s="72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2"/>
      <c r="R299" s="722"/>
      <c r="S299" s="722"/>
      <c r="T299" s="72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8"/>
      <c r="B300" s="728"/>
      <c r="C300" s="728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9"/>
      <c r="P300" s="725" t="s">
        <v>40</v>
      </c>
      <c r="Q300" s="726"/>
      <c r="R300" s="726"/>
      <c r="S300" s="726"/>
      <c r="T300" s="726"/>
      <c r="U300" s="726"/>
      <c r="V300" s="727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8"/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9"/>
      <c r="P301" s="725" t="s">
        <v>40</v>
      </c>
      <c r="Q301" s="726"/>
      <c r="R301" s="726"/>
      <c r="S301" s="726"/>
      <c r="T301" s="726"/>
      <c r="U301" s="726"/>
      <c r="V301" s="727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8" t="s">
        <v>516</v>
      </c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62"/>
      <c r="AB302" s="62"/>
      <c r="AC302" s="62"/>
    </row>
    <row r="303" spans="1:68" ht="14.25" hidden="1" customHeight="1" x14ac:dyDescent="0.25">
      <c r="A303" s="719" t="s">
        <v>121</v>
      </c>
      <c r="B303" s="719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19"/>
      <c r="T303" s="719"/>
      <c r="U303" s="719"/>
      <c r="V303" s="719"/>
      <c r="W303" s="719"/>
      <c r="X303" s="719"/>
      <c r="Y303" s="719"/>
      <c r="Z303" s="71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720">
        <v>4680115884137</v>
      </c>
      <c r="E304" s="72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2"/>
      <c r="R304" s="722"/>
      <c r="S304" s="722"/>
      <c r="T304" s="72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720">
        <v>4680115884236</v>
      </c>
      <c r="E305" s="72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2"/>
      <c r="R305" s="722"/>
      <c r="S305" s="722"/>
      <c r="T305" s="72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720">
        <v>4680115884175</v>
      </c>
      <c r="E306" s="72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2"/>
      <c r="R306" s="722"/>
      <c r="S306" s="722"/>
      <c r="T306" s="72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720">
        <v>4680115884144</v>
      </c>
      <c r="E307" s="72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2"/>
      <c r="R307" s="722"/>
      <c r="S307" s="722"/>
      <c r="T307" s="72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720">
        <v>4680115886551</v>
      </c>
      <c r="E308" s="72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2"/>
      <c r="R308" s="722"/>
      <c r="S308" s="722"/>
      <c r="T308" s="72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720">
        <v>4680115887282</v>
      </c>
      <c r="E309" s="72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2"/>
      <c r="R309" s="722"/>
      <c r="S309" s="722"/>
      <c r="T309" s="72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720">
        <v>4680115884205</v>
      </c>
      <c r="E310" s="72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2"/>
      <c r="R310" s="722"/>
      <c r="S310" s="722"/>
      <c r="T310" s="72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8"/>
      <c r="B311" s="728"/>
      <c r="C311" s="728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9"/>
      <c r="P311" s="725" t="s">
        <v>40</v>
      </c>
      <c r="Q311" s="726"/>
      <c r="R311" s="726"/>
      <c r="S311" s="726"/>
      <c r="T311" s="726"/>
      <c r="U311" s="726"/>
      <c r="V311" s="727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8"/>
      <c r="B312" s="728"/>
      <c r="C312" s="728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9"/>
      <c r="P312" s="725" t="s">
        <v>40</v>
      </c>
      <c r="Q312" s="726"/>
      <c r="R312" s="726"/>
      <c r="S312" s="726"/>
      <c r="T312" s="726"/>
      <c r="U312" s="726"/>
      <c r="V312" s="727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9" t="s">
        <v>154</v>
      </c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19"/>
      <c r="P313" s="719"/>
      <c r="Q313" s="719"/>
      <c r="R313" s="719"/>
      <c r="S313" s="719"/>
      <c r="T313" s="719"/>
      <c r="U313" s="719"/>
      <c r="V313" s="719"/>
      <c r="W313" s="719"/>
      <c r="X313" s="719"/>
      <c r="Y313" s="719"/>
      <c r="Z313" s="71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720">
        <v>4680115885981</v>
      </c>
      <c r="E314" s="72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2"/>
      <c r="R314" s="722"/>
      <c r="S314" s="722"/>
      <c r="T314" s="72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8"/>
      <c r="B315" s="728"/>
      <c r="C315" s="728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9"/>
      <c r="P315" s="725" t="s">
        <v>40</v>
      </c>
      <c r="Q315" s="726"/>
      <c r="R315" s="726"/>
      <c r="S315" s="726"/>
      <c r="T315" s="726"/>
      <c r="U315" s="726"/>
      <c r="V315" s="72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8"/>
      <c r="B316" s="728"/>
      <c r="C316" s="728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9"/>
      <c r="P316" s="725" t="s">
        <v>40</v>
      </c>
      <c r="Q316" s="726"/>
      <c r="R316" s="726"/>
      <c r="S316" s="726"/>
      <c r="T316" s="726"/>
      <c r="U316" s="726"/>
      <c r="V316" s="72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9" t="s">
        <v>538</v>
      </c>
      <c r="B317" s="719"/>
      <c r="C317" s="719"/>
      <c r="D317" s="719"/>
      <c r="E317" s="719"/>
      <c r="F317" s="719"/>
      <c r="G317" s="719"/>
      <c r="H317" s="719"/>
      <c r="I317" s="719"/>
      <c r="J317" s="719"/>
      <c r="K317" s="719"/>
      <c r="L317" s="719"/>
      <c r="M317" s="719"/>
      <c r="N317" s="719"/>
      <c r="O317" s="719"/>
      <c r="P317" s="719"/>
      <c r="Q317" s="719"/>
      <c r="R317" s="719"/>
      <c r="S317" s="719"/>
      <c r="T317" s="719"/>
      <c r="U317" s="719"/>
      <c r="V317" s="719"/>
      <c r="W317" s="719"/>
      <c r="X317" s="719"/>
      <c r="Y317" s="719"/>
      <c r="Z317" s="71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720">
        <v>4680115886803</v>
      </c>
      <c r="E318" s="72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2"/>
      <c r="R318" s="722"/>
      <c r="S318" s="722"/>
      <c r="T318" s="72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8"/>
      <c r="B319" s="728"/>
      <c r="C319" s="728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9"/>
      <c r="P319" s="725" t="s">
        <v>40</v>
      </c>
      <c r="Q319" s="726"/>
      <c r="R319" s="726"/>
      <c r="S319" s="726"/>
      <c r="T319" s="726"/>
      <c r="U319" s="726"/>
      <c r="V319" s="727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8"/>
      <c r="B320" s="728"/>
      <c r="C320" s="728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9"/>
      <c r="P320" s="725" t="s">
        <v>40</v>
      </c>
      <c r="Q320" s="726"/>
      <c r="R320" s="726"/>
      <c r="S320" s="726"/>
      <c r="T320" s="726"/>
      <c r="U320" s="726"/>
      <c r="V320" s="727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9" t="s">
        <v>355</v>
      </c>
      <c r="B321" s="719"/>
      <c r="C321" s="719"/>
      <c r="D321" s="719"/>
      <c r="E321" s="719"/>
      <c r="F321" s="719"/>
      <c r="G321" s="719"/>
      <c r="H321" s="719"/>
      <c r="I321" s="719"/>
      <c r="J321" s="719"/>
      <c r="K321" s="719"/>
      <c r="L321" s="719"/>
      <c r="M321" s="719"/>
      <c r="N321" s="719"/>
      <c r="O321" s="719"/>
      <c r="P321" s="719"/>
      <c r="Q321" s="719"/>
      <c r="R321" s="719"/>
      <c r="S321" s="719"/>
      <c r="T321" s="719"/>
      <c r="U321" s="719"/>
      <c r="V321" s="719"/>
      <c r="W321" s="719"/>
      <c r="X321" s="719"/>
      <c r="Y321" s="719"/>
      <c r="Z321" s="71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720">
        <v>4680115886704</v>
      </c>
      <c r="E322" s="72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8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2"/>
      <c r="R322" s="722"/>
      <c r="S322" s="722"/>
      <c r="T322" s="72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720">
        <v>4680115886681</v>
      </c>
      <c r="E323" s="72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8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2"/>
      <c r="R323" s="722"/>
      <c r="S323" s="722"/>
      <c r="T323" s="72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720">
        <v>4680115886735</v>
      </c>
      <c r="E324" s="72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8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2"/>
      <c r="R324" s="722"/>
      <c r="S324" s="722"/>
      <c r="T324" s="72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8"/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9"/>
      <c r="P325" s="725" t="s">
        <v>40</v>
      </c>
      <c r="Q325" s="726"/>
      <c r="R325" s="726"/>
      <c r="S325" s="726"/>
      <c r="T325" s="726"/>
      <c r="U325" s="726"/>
      <c r="V325" s="727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8"/>
      <c r="B326" s="728"/>
      <c r="C326" s="728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9"/>
      <c r="P326" s="725" t="s">
        <v>40</v>
      </c>
      <c r="Q326" s="726"/>
      <c r="R326" s="726"/>
      <c r="S326" s="726"/>
      <c r="T326" s="726"/>
      <c r="U326" s="726"/>
      <c r="V326" s="727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8" t="s">
        <v>549</v>
      </c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62"/>
      <c r="AB327" s="62"/>
      <c r="AC327" s="62"/>
    </row>
    <row r="328" spans="1:68" ht="14.25" hidden="1" customHeight="1" x14ac:dyDescent="0.25">
      <c r="A328" s="719" t="s">
        <v>121</v>
      </c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19"/>
      <c r="P328" s="719"/>
      <c r="Q328" s="719"/>
      <c r="R328" s="719"/>
      <c r="S328" s="719"/>
      <c r="T328" s="719"/>
      <c r="U328" s="719"/>
      <c r="V328" s="719"/>
      <c r="W328" s="719"/>
      <c r="X328" s="719"/>
      <c r="Y328" s="719"/>
      <c r="Z328" s="71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720">
        <v>4680115885837</v>
      </c>
      <c r="E329" s="72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2"/>
      <c r="R329" s="722"/>
      <c r="S329" s="722"/>
      <c r="T329" s="72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720">
        <v>4680115887237</v>
      </c>
      <c r="E330" s="72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90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2"/>
      <c r="R330" s="722"/>
      <c r="S330" s="722"/>
      <c r="T330" s="72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720">
        <v>4680115885806</v>
      </c>
      <c r="E331" s="72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9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2"/>
      <c r="R331" s="722"/>
      <c r="S331" s="722"/>
      <c r="T331" s="72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720">
        <v>4680115885844</v>
      </c>
      <c r="E332" s="72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9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2"/>
      <c r="R332" s="722"/>
      <c r="S332" s="722"/>
      <c r="T332" s="72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720">
        <v>4680115885820</v>
      </c>
      <c r="E333" s="72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9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2"/>
      <c r="R333" s="722"/>
      <c r="S333" s="722"/>
      <c r="T333" s="72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8"/>
      <c r="B334" s="728"/>
      <c r="C334" s="728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9"/>
      <c r="P334" s="725" t="s">
        <v>40</v>
      </c>
      <c r="Q334" s="726"/>
      <c r="R334" s="726"/>
      <c r="S334" s="726"/>
      <c r="T334" s="726"/>
      <c r="U334" s="726"/>
      <c r="V334" s="727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8"/>
      <c r="B335" s="728"/>
      <c r="C335" s="728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9"/>
      <c r="P335" s="725" t="s">
        <v>40</v>
      </c>
      <c r="Q335" s="726"/>
      <c r="R335" s="726"/>
      <c r="S335" s="726"/>
      <c r="T335" s="726"/>
      <c r="U335" s="726"/>
      <c r="V335" s="727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8" t="s">
        <v>565</v>
      </c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62"/>
      <c r="AB336" s="62"/>
      <c r="AC336" s="62"/>
    </row>
    <row r="337" spans="1:68" ht="14.25" hidden="1" customHeight="1" x14ac:dyDescent="0.25">
      <c r="A337" s="719" t="s">
        <v>85</v>
      </c>
      <c r="B337" s="719"/>
      <c r="C337" s="719"/>
      <c r="D337" s="719"/>
      <c r="E337" s="719"/>
      <c r="F337" s="719"/>
      <c r="G337" s="719"/>
      <c r="H337" s="719"/>
      <c r="I337" s="719"/>
      <c r="J337" s="719"/>
      <c r="K337" s="719"/>
      <c r="L337" s="719"/>
      <c r="M337" s="719"/>
      <c r="N337" s="719"/>
      <c r="O337" s="719"/>
      <c r="P337" s="719"/>
      <c r="Q337" s="719"/>
      <c r="R337" s="719"/>
      <c r="S337" s="719"/>
      <c r="T337" s="719"/>
      <c r="U337" s="719"/>
      <c r="V337" s="719"/>
      <c r="W337" s="719"/>
      <c r="X337" s="719"/>
      <c r="Y337" s="719"/>
      <c r="Z337" s="71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720">
        <v>4680115886186</v>
      </c>
      <c r="E338" s="72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2"/>
      <c r="R338" s="722"/>
      <c r="S338" s="722"/>
      <c r="T338" s="72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720">
        <v>4680115881228</v>
      </c>
      <c r="E339" s="72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9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2"/>
      <c r="R339" s="722"/>
      <c r="S339" s="722"/>
      <c r="T339" s="72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720">
        <v>4680115881211</v>
      </c>
      <c r="E340" s="72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2"/>
      <c r="R340" s="722"/>
      <c r="S340" s="722"/>
      <c r="T340" s="72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8"/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9"/>
      <c r="P341" s="725" t="s">
        <v>40</v>
      </c>
      <c r="Q341" s="726"/>
      <c r="R341" s="726"/>
      <c r="S341" s="726"/>
      <c r="T341" s="726"/>
      <c r="U341" s="726"/>
      <c r="V341" s="727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8"/>
      <c r="B342" s="728"/>
      <c r="C342" s="728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9"/>
      <c r="P342" s="725" t="s">
        <v>40</v>
      </c>
      <c r="Q342" s="726"/>
      <c r="R342" s="726"/>
      <c r="S342" s="726"/>
      <c r="T342" s="726"/>
      <c r="U342" s="726"/>
      <c r="V342" s="727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8" t="s">
        <v>574</v>
      </c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62"/>
      <c r="AB343" s="62"/>
      <c r="AC343" s="62"/>
    </row>
    <row r="344" spans="1:68" ht="14.25" hidden="1" customHeight="1" x14ac:dyDescent="0.25">
      <c r="A344" s="719" t="s">
        <v>76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19"/>
      <c r="P344" s="719"/>
      <c r="Q344" s="719"/>
      <c r="R344" s="719"/>
      <c r="S344" s="719"/>
      <c r="T344" s="719"/>
      <c r="U344" s="719"/>
      <c r="V344" s="719"/>
      <c r="W344" s="719"/>
      <c r="X344" s="719"/>
      <c r="Y344" s="719"/>
      <c r="Z344" s="71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720">
        <v>4680115888319</v>
      </c>
      <c r="E345" s="72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2"/>
      <c r="R345" s="722"/>
      <c r="S345" s="722"/>
      <c r="T345" s="72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720">
        <v>4680115884700</v>
      </c>
      <c r="E346" s="72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2"/>
      <c r="R346" s="722"/>
      <c r="S346" s="722"/>
      <c r="T346" s="72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720">
        <v>4680115880344</v>
      </c>
      <c r="E347" s="72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2"/>
      <c r="R347" s="722"/>
      <c r="S347" s="722"/>
      <c r="T347" s="72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720">
        <v>4680115886919</v>
      </c>
      <c r="E348" s="72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91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2"/>
      <c r="R348" s="722"/>
      <c r="S348" s="722"/>
      <c r="T348" s="72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720">
        <v>4680115883970</v>
      </c>
      <c r="E349" s="72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91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2"/>
      <c r="R349" s="722"/>
      <c r="S349" s="722"/>
      <c r="T349" s="72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8"/>
      <c r="B350" s="728"/>
      <c r="C350" s="728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9"/>
      <c r="P350" s="725" t="s">
        <v>40</v>
      </c>
      <c r="Q350" s="726"/>
      <c r="R350" s="726"/>
      <c r="S350" s="726"/>
      <c r="T350" s="726"/>
      <c r="U350" s="726"/>
      <c r="V350" s="727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8"/>
      <c r="B351" s="728"/>
      <c r="C351" s="728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9"/>
      <c r="P351" s="725" t="s">
        <v>40</v>
      </c>
      <c r="Q351" s="726"/>
      <c r="R351" s="726"/>
      <c r="S351" s="726"/>
      <c r="T351" s="726"/>
      <c r="U351" s="726"/>
      <c r="V351" s="727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9" t="s">
        <v>85</v>
      </c>
      <c r="B352" s="719"/>
      <c r="C352" s="719"/>
      <c r="D352" s="719"/>
      <c r="E352" s="719"/>
      <c r="F352" s="719"/>
      <c r="G352" s="719"/>
      <c r="H352" s="719"/>
      <c r="I352" s="719"/>
      <c r="J352" s="719"/>
      <c r="K352" s="719"/>
      <c r="L352" s="719"/>
      <c r="M352" s="719"/>
      <c r="N352" s="719"/>
      <c r="O352" s="719"/>
      <c r="P352" s="719"/>
      <c r="Q352" s="719"/>
      <c r="R352" s="719"/>
      <c r="S352" s="719"/>
      <c r="T352" s="719"/>
      <c r="U352" s="719"/>
      <c r="V352" s="719"/>
      <c r="W352" s="719"/>
      <c r="X352" s="719"/>
      <c r="Y352" s="719"/>
      <c r="Z352" s="71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720">
        <v>4680115884618</v>
      </c>
      <c r="E353" s="72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9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2"/>
      <c r="R353" s="722"/>
      <c r="S353" s="722"/>
      <c r="T353" s="72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720">
        <v>4680115887114</v>
      </c>
      <c r="E354" s="72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91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2"/>
      <c r="R354" s="722"/>
      <c r="S354" s="722"/>
      <c r="T354" s="72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8"/>
      <c r="B355" s="728"/>
      <c r="C355" s="728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9"/>
      <c r="P355" s="725" t="s">
        <v>40</v>
      </c>
      <c r="Q355" s="726"/>
      <c r="R355" s="726"/>
      <c r="S355" s="726"/>
      <c r="T355" s="726"/>
      <c r="U355" s="726"/>
      <c r="V355" s="727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8"/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9"/>
      <c r="P356" s="725" t="s">
        <v>40</v>
      </c>
      <c r="Q356" s="726"/>
      <c r="R356" s="726"/>
      <c r="S356" s="726"/>
      <c r="T356" s="726"/>
      <c r="U356" s="726"/>
      <c r="V356" s="727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8" t="s">
        <v>595</v>
      </c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62"/>
      <c r="AB357" s="62"/>
      <c r="AC357" s="62"/>
    </row>
    <row r="358" spans="1:68" ht="14.25" hidden="1" customHeight="1" x14ac:dyDescent="0.25">
      <c r="A358" s="719" t="s">
        <v>121</v>
      </c>
      <c r="B358" s="719"/>
      <c r="C358" s="719"/>
      <c r="D358" s="719"/>
      <c r="E358" s="719"/>
      <c r="F358" s="719"/>
      <c r="G358" s="719"/>
      <c r="H358" s="719"/>
      <c r="I358" s="719"/>
      <c r="J358" s="719"/>
      <c r="K358" s="719"/>
      <c r="L358" s="719"/>
      <c r="M358" s="719"/>
      <c r="N358" s="719"/>
      <c r="O358" s="719"/>
      <c r="P358" s="719"/>
      <c r="Q358" s="719"/>
      <c r="R358" s="719"/>
      <c r="S358" s="719"/>
      <c r="T358" s="719"/>
      <c r="U358" s="719"/>
      <c r="V358" s="719"/>
      <c r="W358" s="719"/>
      <c r="X358" s="719"/>
      <c r="Y358" s="719"/>
      <c r="Z358" s="71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720">
        <v>4680115887947</v>
      </c>
      <c r="E359" s="72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2"/>
      <c r="R359" s="722"/>
      <c r="S359" s="722"/>
      <c r="T359" s="72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720">
        <v>4680115887978</v>
      </c>
      <c r="E360" s="72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2"/>
      <c r="R360" s="722"/>
      <c r="S360" s="722"/>
      <c r="T360" s="72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720">
        <v>4680115887992</v>
      </c>
      <c r="E361" s="72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91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2"/>
      <c r="R361" s="722"/>
      <c r="S361" s="722"/>
      <c r="T361" s="72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8"/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9"/>
      <c r="P362" s="725" t="s">
        <v>40</v>
      </c>
      <c r="Q362" s="726"/>
      <c r="R362" s="726"/>
      <c r="S362" s="726"/>
      <c r="T362" s="726"/>
      <c r="U362" s="726"/>
      <c r="V362" s="727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8"/>
      <c r="B363" s="728"/>
      <c r="C363" s="728"/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9"/>
      <c r="P363" s="725" t="s">
        <v>40</v>
      </c>
      <c r="Q363" s="726"/>
      <c r="R363" s="726"/>
      <c r="S363" s="726"/>
      <c r="T363" s="726"/>
      <c r="U363" s="726"/>
      <c r="V363" s="727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8" t="s">
        <v>604</v>
      </c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62"/>
      <c r="AB364" s="62"/>
      <c r="AC364" s="62"/>
    </row>
    <row r="365" spans="1:68" ht="14.25" hidden="1" customHeight="1" x14ac:dyDescent="0.25">
      <c r="A365" s="719" t="s">
        <v>121</v>
      </c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19"/>
      <c r="P365" s="719"/>
      <c r="Q365" s="719"/>
      <c r="R365" s="719"/>
      <c r="S365" s="719"/>
      <c r="T365" s="719"/>
      <c r="U365" s="719"/>
      <c r="V365" s="719"/>
      <c r="W365" s="719"/>
      <c r="X365" s="719"/>
      <c r="Y365" s="719"/>
      <c r="Z365" s="71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720">
        <v>4607091386004</v>
      </c>
      <c r="E366" s="72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2"/>
      <c r="R366" s="722"/>
      <c r="S366" s="722"/>
      <c r="T366" s="72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720">
        <v>4680115887190</v>
      </c>
      <c r="E367" s="72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2"/>
      <c r="R367" s="722"/>
      <c r="S367" s="722"/>
      <c r="T367" s="72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720">
        <v>4680115887138</v>
      </c>
      <c r="E368" s="72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9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2"/>
      <c r="R368" s="722"/>
      <c r="S368" s="722"/>
      <c r="T368" s="72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720">
        <v>4680115885554</v>
      </c>
      <c r="E369" s="72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9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2"/>
      <c r="R369" s="722"/>
      <c r="S369" s="722"/>
      <c r="T369" s="72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720">
        <v>4680115887220</v>
      </c>
      <c r="E370" s="72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2"/>
      <c r="R370" s="722"/>
      <c r="S370" s="722"/>
      <c r="T370" s="72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720">
        <v>4680115885608</v>
      </c>
      <c r="E371" s="72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9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2"/>
      <c r="R371" s="722"/>
      <c r="S371" s="722"/>
      <c r="T371" s="72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728"/>
      <c r="B372" s="728"/>
      <c r="C372" s="728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9"/>
      <c r="P372" s="725" t="s">
        <v>40</v>
      </c>
      <c r="Q372" s="726"/>
      <c r="R372" s="726"/>
      <c r="S372" s="726"/>
      <c r="T372" s="726"/>
      <c r="U372" s="726"/>
      <c r="V372" s="727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8"/>
      <c r="B373" s="728"/>
      <c r="C373" s="728"/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9"/>
      <c r="P373" s="725" t="s">
        <v>40</v>
      </c>
      <c r="Q373" s="726"/>
      <c r="R373" s="726"/>
      <c r="S373" s="726"/>
      <c r="T373" s="726"/>
      <c r="U373" s="726"/>
      <c r="V373" s="727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9" t="s">
        <v>76</v>
      </c>
      <c r="B374" s="719"/>
      <c r="C374" s="719"/>
      <c r="D374" s="719"/>
      <c r="E374" s="719"/>
      <c r="F374" s="719"/>
      <c r="G374" s="719"/>
      <c r="H374" s="719"/>
      <c r="I374" s="719"/>
      <c r="J374" s="719"/>
      <c r="K374" s="719"/>
      <c r="L374" s="719"/>
      <c r="M374" s="719"/>
      <c r="N374" s="719"/>
      <c r="O374" s="719"/>
      <c r="P374" s="719"/>
      <c r="Q374" s="719"/>
      <c r="R374" s="719"/>
      <c r="S374" s="719"/>
      <c r="T374" s="719"/>
      <c r="U374" s="719"/>
      <c r="V374" s="719"/>
      <c r="W374" s="719"/>
      <c r="X374" s="719"/>
      <c r="Y374" s="719"/>
      <c r="Z374" s="71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720">
        <v>4607091387193</v>
      </c>
      <c r="E375" s="72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2"/>
      <c r="R375" s="722"/>
      <c r="S375" s="722"/>
      <c r="T375" s="72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720">
        <v>4607091387230</v>
      </c>
      <c r="E376" s="72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2"/>
      <c r="R376" s="722"/>
      <c r="S376" s="722"/>
      <c r="T376" s="72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720">
        <v>4607091387292</v>
      </c>
      <c r="E377" s="72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2"/>
      <c r="R377" s="722"/>
      <c r="S377" s="722"/>
      <c r="T377" s="72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720">
        <v>4607091387285</v>
      </c>
      <c r="E378" s="72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2"/>
      <c r="R378" s="722"/>
      <c r="S378" s="722"/>
      <c r="T378" s="72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720">
        <v>4607091389845</v>
      </c>
      <c r="E379" s="72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9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2"/>
      <c r="R379" s="722"/>
      <c r="S379" s="722"/>
      <c r="T379" s="72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720">
        <v>4680115887442</v>
      </c>
      <c r="E380" s="72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9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2"/>
      <c r="R380" s="722"/>
      <c r="S380" s="722"/>
      <c r="T380" s="72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720">
        <v>4607091383836</v>
      </c>
      <c r="E381" s="72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9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2"/>
      <c r="R381" s="722"/>
      <c r="S381" s="722"/>
      <c r="T381" s="72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728"/>
      <c r="B382" s="728"/>
      <c r="C382" s="728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9"/>
      <c r="P382" s="725" t="s">
        <v>40</v>
      </c>
      <c r="Q382" s="726"/>
      <c r="R382" s="726"/>
      <c r="S382" s="726"/>
      <c r="T382" s="726"/>
      <c r="U382" s="726"/>
      <c r="V382" s="727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28"/>
      <c r="B383" s="728"/>
      <c r="C383" s="728"/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9"/>
      <c r="P383" s="725" t="s">
        <v>40</v>
      </c>
      <c r="Q383" s="726"/>
      <c r="R383" s="726"/>
      <c r="S383" s="726"/>
      <c r="T383" s="726"/>
      <c r="U383" s="726"/>
      <c r="V383" s="727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719" t="s">
        <v>85</v>
      </c>
      <c r="B384" s="719"/>
      <c r="C384" s="719"/>
      <c r="D384" s="719"/>
      <c r="E384" s="719"/>
      <c r="F384" s="719"/>
      <c r="G384" s="719"/>
      <c r="H384" s="719"/>
      <c r="I384" s="719"/>
      <c r="J384" s="719"/>
      <c r="K384" s="719"/>
      <c r="L384" s="719"/>
      <c r="M384" s="719"/>
      <c r="N384" s="719"/>
      <c r="O384" s="719"/>
      <c r="P384" s="719"/>
      <c r="Q384" s="719"/>
      <c r="R384" s="719"/>
      <c r="S384" s="719"/>
      <c r="T384" s="719"/>
      <c r="U384" s="719"/>
      <c r="V384" s="719"/>
      <c r="W384" s="719"/>
      <c r="X384" s="719"/>
      <c r="Y384" s="719"/>
      <c r="Z384" s="71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720">
        <v>4607091387766</v>
      </c>
      <c r="E385" s="72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2"/>
      <c r="R385" s="722"/>
      <c r="S385" s="722"/>
      <c r="T385" s="72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720">
        <v>4607091387957</v>
      </c>
      <c r="E386" s="72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2"/>
      <c r="R386" s="722"/>
      <c r="S386" s="722"/>
      <c r="T386" s="72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720">
        <v>4607091387964</v>
      </c>
      <c r="E387" s="72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9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2"/>
      <c r="R387" s="722"/>
      <c r="S387" s="722"/>
      <c r="T387" s="72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720">
        <v>4680115884588</v>
      </c>
      <c r="E388" s="72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2"/>
      <c r="R388" s="722"/>
      <c r="S388" s="722"/>
      <c r="T388" s="72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8"/>
      <c r="B389" s="728"/>
      <c r="C389" s="728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9"/>
      <c r="P389" s="725" t="s">
        <v>40</v>
      </c>
      <c r="Q389" s="726"/>
      <c r="R389" s="726"/>
      <c r="S389" s="726"/>
      <c r="T389" s="726"/>
      <c r="U389" s="726"/>
      <c r="V389" s="727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8"/>
      <c r="B390" s="728"/>
      <c r="C390" s="728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9"/>
      <c r="P390" s="725" t="s">
        <v>40</v>
      </c>
      <c r="Q390" s="726"/>
      <c r="R390" s="726"/>
      <c r="S390" s="726"/>
      <c r="T390" s="726"/>
      <c r="U390" s="726"/>
      <c r="V390" s="727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9" t="s">
        <v>172</v>
      </c>
      <c r="B391" s="719"/>
      <c r="C391" s="719"/>
      <c r="D391" s="719"/>
      <c r="E391" s="719"/>
      <c r="F391" s="719"/>
      <c r="G391" s="719"/>
      <c r="H391" s="719"/>
      <c r="I391" s="719"/>
      <c r="J391" s="719"/>
      <c r="K391" s="719"/>
      <c r="L391" s="719"/>
      <c r="M391" s="719"/>
      <c r="N391" s="719"/>
      <c r="O391" s="719"/>
      <c r="P391" s="719"/>
      <c r="Q391" s="719"/>
      <c r="R391" s="719"/>
      <c r="S391" s="719"/>
      <c r="T391" s="719"/>
      <c r="U391" s="719"/>
      <c r="V391" s="719"/>
      <c r="W391" s="719"/>
      <c r="X391" s="719"/>
      <c r="Y391" s="719"/>
      <c r="Z391" s="71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720">
        <v>4607091380880</v>
      </c>
      <c r="E392" s="72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2"/>
      <c r="R392" s="722"/>
      <c r="S392" s="722"/>
      <c r="T392" s="72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720">
        <v>4607091384482</v>
      </c>
      <c r="E393" s="72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9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2"/>
      <c r="R393" s="722"/>
      <c r="S393" s="722"/>
      <c r="T393" s="72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720">
        <v>4607091380897</v>
      </c>
      <c r="E394" s="72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9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2"/>
      <c r="R394" s="722"/>
      <c r="S394" s="722"/>
      <c r="T394" s="72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28"/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9"/>
      <c r="P395" s="725" t="s">
        <v>40</v>
      </c>
      <c r="Q395" s="726"/>
      <c r="R395" s="726"/>
      <c r="S395" s="726"/>
      <c r="T395" s="726"/>
      <c r="U395" s="726"/>
      <c r="V395" s="727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28"/>
      <c r="B396" s="728"/>
      <c r="C396" s="728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9"/>
      <c r="P396" s="725" t="s">
        <v>40</v>
      </c>
      <c r="Q396" s="726"/>
      <c r="R396" s="726"/>
      <c r="S396" s="726"/>
      <c r="T396" s="726"/>
      <c r="U396" s="726"/>
      <c r="V396" s="727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719" t="s">
        <v>288</v>
      </c>
      <c r="B397" s="719"/>
      <c r="C397" s="719"/>
      <c r="D397" s="719"/>
      <c r="E397" s="719"/>
      <c r="F397" s="719"/>
      <c r="G397" s="719"/>
      <c r="H397" s="719"/>
      <c r="I397" s="719"/>
      <c r="J397" s="719"/>
      <c r="K397" s="719"/>
      <c r="L397" s="719"/>
      <c r="M397" s="719"/>
      <c r="N397" s="719"/>
      <c r="O397" s="719"/>
      <c r="P397" s="719"/>
      <c r="Q397" s="719"/>
      <c r="R397" s="719"/>
      <c r="S397" s="719"/>
      <c r="T397" s="719"/>
      <c r="U397" s="719"/>
      <c r="V397" s="719"/>
      <c r="W397" s="719"/>
      <c r="X397" s="719"/>
      <c r="Y397" s="719"/>
      <c r="Z397" s="71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720">
        <v>4607091388381</v>
      </c>
      <c r="E398" s="72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9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2"/>
      <c r="R398" s="722"/>
      <c r="S398" s="722"/>
      <c r="T398" s="72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720">
        <v>4607091388374</v>
      </c>
      <c r="E399" s="72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2"/>
      <c r="R399" s="722"/>
      <c r="S399" s="722"/>
      <c r="T399" s="72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720">
        <v>4607091383102</v>
      </c>
      <c r="E400" s="72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9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2"/>
      <c r="R400" s="722"/>
      <c r="S400" s="722"/>
      <c r="T400" s="72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720">
        <v>4607091388404</v>
      </c>
      <c r="E401" s="72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9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2"/>
      <c r="R401" s="722"/>
      <c r="S401" s="722"/>
      <c r="T401" s="72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8"/>
      <c r="B402" s="728"/>
      <c r="C402" s="728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9"/>
      <c r="P402" s="725" t="s">
        <v>40</v>
      </c>
      <c r="Q402" s="726"/>
      <c r="R402" s="726"/>
      <c r="S402" s="726"/>
      <c r="T402" s="726"/>
      <c r="U402" s="726"/>
      <c r="V402" s="727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8"/>
      <c r="B403" s="728"/>
      <c r="C403" s="728"/>
      <c r="D403" s="728"/>
      <c r="E403" s="728"/>
      <c r="F403" s="728"/>
      <c r="G403" s="728"/>
      <c r="H403" s="728"/>
      <c r="I403" s="728"/>
      <c r="J403" s="728"/>
      <c r="K403" s="728"/>
      <c r="L403" s="728"/>
      <c r="M403" s="728"/>
      <c r="N403" s="728"/>
      <c r="O403" s="729"/>
      <c r="P403" s="725" t="s">
        <v>40</v>
      </c>
      <c r="Q403" s="726"/>
      <c r="R403" s="726"/>
      <c r="S403" s="726"/>
      <c r="T403" s="726"/>
      <c r="U403" s="726"/>
      <c r="V403" s="727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9" t="s">
        <v>670</v>
      </c>
      <c r="B404" s="719"/>
      <c r="C404" s="719"/>
      <c r="D404" s="719"/>
      <c r="E404" s="719"/>
      <c r="F404" s="719"/>
      <c r="G404" s="719"/>
      <c r="H404" s="719"/>
      <c r="I404" s="719"/>
      <c r="J404" s="719"/>
      <c r="K404" s="719"/>
      <c r="L404" s="719"/>
      <c r="M404" s="719"/>
      <c r="N404" s="719"/>
      <c r="O404" s="719"/>
      <c r="P404" s="719"/>
      <c r="Q404" s="719"/>
      <c r="R404" s="719"/>
      <c r="S404" s="719"/>
      <c r="T404" s="719"/>
      <c r="U404" s="719"/>
      <c r="V404" s="719"/>
      <c r="W404" s="719"/>
      <c r="X404" s="719"/>
      <c r="Y404" s="719"/>
      <c r="Z404" s="71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720">
        <v>4680115881808</v>
      </c>
      <c r="E405" s="72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9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2"/>
      <c r="R405" s="722"/>
      <c r="S405" s="722"/>
      <c r="T405" s="72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720">
        <v>4680115881822</v>
      </c>
      <c r="E406" s="72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2"/>
      <c r="R406" s="722"/>
      <c r="S406" s="722"/>
      <c r="T406" s="72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720">
        <v>4680115880016</v>
      </c>
      <c r="E407" s="72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9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2"/>
      <c r="R407" s="722"/>
      <c r="S407" s="722"/>
      <c r="T407" s="72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8"/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9"/>
      <c r="P408" s="725" t="s">
        <v>40</v>
      </c>
      <c r="Q408" s="726"/>
      <c r="R408" s="726"/>
      <c r="S408" s="726"/>
      <c r="T408" s="726"/>
      <c r="U408" s="726"/>
      <c r="V408" s="727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8"/>
      <c r="B409" s="728"/>
      <c r="C409" s="728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9"/>
      <c r="P409" s="725" t="s">
        <v>40</v>
      </c>
      <c r="Q409" s="726"/>
      <c r="R409" s="726"/>
      <c r="S409" s="726"/>
      <c r="T409" s="726"/>
      <c r="U409" s="726"/>
      <c r="V409" s="727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19" t="s">
        <v>679</v>
      </c>
      <c r="B410" s="719"/>
      <c r="C410" s="719"/>
      <c r="D410" s="719"/>
      <c r="E410" s="719"/>
      <c r="F410" s="719"/>
      <c r="G410" s="719"/>
      <c r="H410" s="719"/>
      <c r="I410" s="719"/>
      <c r="J410" s="719"/>
      <c r="K410" s="719"/>
      <c r="L410" s="719"/>
      <c r="M410" s="719"/>
      <c r="N410" s="719"/>
      <c r="O410" s="719"/>
      <c r="P410" s="719"/>
      <c r="Q410" s="719"/>
      <c r="R410" s="719"/>
      <c r="S410" s="719"/>
      <c r="T410" s="719"/>
      <c r="U410" s="719"/>
      <c r="V410" s="719"/>
      <c r="W410" s="719"/>
      <c r="X410" s="719"/>
      <c r="Y410" s="719"/>
      <c r="Z410" s="71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720">
        <v>4680115888678</v>
      </c>
      <c r="E411" s="72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2"/>
      <c r="R411" s="722"/>
      <c r="S411" s="722"/>
      <c r="T411" s="72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720">
        <v>4680115888654</v>
      </c>
      <c r="E412" s="72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9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2"/>
      <c r="R412" s="722"/>
      <c r="S412" s="722"/>
      <c r="T412" s="72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720">
        <v>4680115888753</v>
      </c>
      <c r="E413" s="72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2"/>
      <c r="R413" s="722"/>
      <c r="S413" s="722"/>
      <c r="T413" s="72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8"/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9"/>
      <c r="P414" s="725" t="s">
        <v>40</v>
      </c>
      <c r="Q414" s="726"/>
      <c r="R414" s="726"/>
      <c r="S414" s="726"/>
      <c r="T414" s="726"/>
      <c r="U414" s="726"/>
      <c r="V414" s="727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8"/>
      <c r="B415" s="728"/>
      <c r="C415" s="728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9"/>
      <c r="P415" s="725" t="s">
        <v>40</v>
      </c>
      <c r="Q415" s="726"/>
      <c r="R415" s="726"/>
      <c r="S415" s="726"/>
      <c r="T415" s="726"/>
      <c r="U415" s="726"/>
      <c r="V415" s="727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8" t="s">
        <v>688</v>
      </c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62"/>
      <c r="AB416" s="62"/>
      <c r="AC416" s="62"/>
    </row>
    <row r="417" spans="1:68" ht="14.25" hidden="1" customHeight="1" x14ac:dyDescent="0.25">
      <c r="A417" s="719" t="s">
        <v>85</v>
      </c>
      <c r="B417" s="719"/>
      <c r="C417" s="719"/>
      <c r="D417" s="719"/>
      <c r="E417" s="719"/>
      <c r="F417" s="719"/>
      <c r="G417" s="719"/>
      <c r="H417" s="719"/>
      <c r="I417" s="719"/>
      <c r="J417" s="719"/>
      <c r="K417" s="719"/>
      <c r="L417" s="719"/>
      <c r="M417" s="719"/>
      <c r="N417" s="719"/>
      <c r="O417" s="719"/>
      <c r="P417" s="719"/>
      <c r="Q417" s="719"/>
      <c r="R417" s="719"/>
      <c r="S417" s="719"/>
      <c r="T417" s="719"/>
      <c r="U417" s="719"/>
      <c r="V417" s="719"/>
      <c r="W417" s="719"/>
      <c r="X417" s="719"/>
      <c r="Y417" s="719"/>
      <c r="Z417" s="71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720">
        <v>4680115889415</v>
      </c>
      <c r="E418" s="72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2"/>
      <c r="R418" s="722"/>
      <c r="S418" s="722"/>
      <c r="T418" s="72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720">
        <v>4680115889422</v>
      </c>
      <c r="E419" s="72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9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2"/>
      <c r="R419" s="722"/>
      <c r="S419" s="722"/>
      <c r="T419" s="72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28"/>
      <c r="B420" s="728"/>
      <c r="C420" s="728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9"/>
      <c r="P420" s="725" t="s">
        <v>40</v>
      </c>
      <c r="Q420" s="726"/>
      <c r="R420" s="726"/>
      <c r="S420" s="726"/>
      <c r="T420" s="726"/>
      <c r="U420" s="726"/>
      <c r="V420" s="727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728"/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9"/>
      <c r="P421" s="725" t="s">
        <v>40</v>
      </c>
      <c r="Q421" s="726"/>
      <c r="R421" s="726"/>
      <c r="S421" s="726"/>
      <c r="T421" s="726"/>
      <c r="U421" s="726"/>
      <c r="V421" s="727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718" t="s">
        <v>695</v>
      </c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62"/>
      <c r="AB422" s="62"/>
      <c r="AC422" s="62"/>
    </row>
    <row r="423" spans="1:68" ht="14.25" hidden="1" customHeight="1" x14ac:dyDescent="0.25">
      <c r="A423" s="719" t="s">
        <v>85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720">
        <v>4607091387919</v>
      </c>
      <c r="E424" s="72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9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2"/>
      <c r="R424" s="722"/>
      <c r="S424" s="722"/>
      <c r="T424" s="72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720">
        <v>4680115883604</v>
      </c>
      <c r="E425" s="72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9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2"/>
      <c r="R425" s="722"/>
      <c r="S425" s="722"/>
      <c r="T425" s="72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720">
        <v>4680115883567</v>
      </c>
      <c r="E426" s="72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9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2"/>
      <c r="R426" s="722"/>
      <c r="S426" s="722"/>
      <c r="T426" s="72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28"/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9"/>
      <c r="P427" s="725" t="s">
        <v>40</v>
      </c>
      <c r="Q427" s="726"/>
      <c r="R427" s="726"/>
      <c r="S427" s="726"/>
      <c r="T427" s="726"/>
      <c r="U427" s="726"/>
      <c r="V427" s="727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28"/>
      <c r="B428" s="728"/>
      <c r="C428" s="728"/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9"/>
      <c r="P428" s="725" t="s">
        <v>40</v>
      </c>
      <c r="Q428" s="726"/>
      <c r="R428" s="726"/>
      <c r="S428" s="726"/>
      <c r="T428" s="726"/>
      <c r="U428" s="726"/>
      <c r="V428" s="727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717" t="s">
        <v>705</v>
      </c>
      <c r="B429" s="717"/>
      <c r="C429" s="717"/>
      <c r="D429" s="717"/>
      <c r="E429" s="717"/>
      <c r="F429" s="717"/>
      <c r="G429" s="717"/>
      <c r="H429" s="717"/>
      <c r="I429" s="717"/>
      <c r="J429" s="717"/>
      <c r="K429" s="717"/>
      <c r="L429" s="717"/>
      <c r="M429" s="717"/>
      <c r="N429" s="717"/>
      <c r="O429" s="717"/>
      <c r="P429" s="717"/>
      <c r="Q429" s="717"/>
      <c r="R429" s="717"/>
      <c r="S429" s="717"/>
      <c r="T429" s="717"/>
      <c r="U429" s="717"/>
      <c r="V429" s="717"/>
      <c r="W429" s="717"/>
      <c r="X429" s="717"/>
      <c r="Y429" s="717"/>
      <c r="Z429" s="717"/>
      <c r="AA429" s="52"/>
      <c r="AB429" s="52"/>
      <c r="AC429" s="52"/>
    </row>
    <row r="430" spans="1:68" ht="16.5" hidden="1" customHeight="1" x14ac:dyDescent="0.25">
      <c r="A430" s="718" t="s">
        <v>706</v>
      </c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62"/>
      <c r="AB430" s="62"/>
      <c r="AC430" s="62"/>
    </row>
    <row r="431" spans="1:68" ht="14.25" hidden="1" customHeight="1" x14ac:dyDescent="0.25">
      <c r="A431" s="719" t="s">
        <v>121</v>
      </c>
      <c r="B431" s="719"/>
      <c r="C431" s="719"/>
      <c r="D431" s="719"/>
      <c r="E431" s="719"/>
      <c r="F431" s="719"/>
      <c r="G431" s="719"/>
      <c r="H431" s="719"/>
      <c r="I431" s="719"/>
      <c r="J431" s="719"/>
      <c r="K431" s="719"/>
      <c r="L431" s="719"/>
      <c r="M431" s="719"/>
      <c r="N431" s="719"/>
      <c r="O431" s="719"/>
      <c r="P431" s="719"/>
      <c r="Q431" s="719"/>
      <c r="R431" s="719"/>
      <c r="S431" s="719"/>
      <c r="T431" s="719"/>
      <c r="U431" s="719"/>
      <c r="V431" s="719"/>
      <c r="W431" s="719"/>
      <c r="X431" s="719"/>
      <c r="Y431" s="719"/>
      <c r="Z431" s="71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720">
        <v>4680115888401</v>
      </c>
      <c r="E432" s="72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95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2"/>
      <c r="R432" s="722"/>
      <c r="S432" s="722"/>
      <c r="T432" s="72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720">
        <v>4680115884847</v>
      </c>
      <c r="E433" s="72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9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2"/>
      <c r="R433" s="722"/>
      <c r="S433" s="722"/>
      <c r="T433" s="723"/>
      <c r="U433" s="37" t="s">
        <v>46</v>
      </c>
      <c r="V433" s="37" t="s">
        <v>46</v>
      </c>
      <c r="W433" s="38" t="s">
        <v>0</v>
      </c>
      <c r="X433" s="56">
        <v>200</v>
      </c>
      <c r="Y433" s="53">
        <f t="shared" si="68"/>
        <v>210</v>
      </c>
      <c r="Z433" s="39">
        <f>IFERROR(IF(Y433=0,"",ROUNDUP(Y433/H433,0)*0.02175),"")</f>
        <v>0.30449999999999999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206.26666666666668</v>
      </c>
      <c r="BN433" s="75">
        <f t="shared" si="70"/>
        <v>216.58</v>
      </c>
      <c r="BO433" s="75">
        <f t="shared" si="71"/>
        <v>0.27777777777777779</v>
      </c>
      <c r="BP433" s="75">
        <f t="shared" si="72"/>
        <v>0.29166666666666663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720">
        <v>4680115884854</v>
      </c>
      <c r="E434" s="72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9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2"/>
      <c r="R434" s="722"/>
      <c r="S434" s="722"/>
      <c r="T434" s="723"/>
      <c r="U434" s="37" t="s">
        <v>46</v>
      </c>
      <c r="V434" s="37" t="s">
        <v>46</v>
      </c>
      <c r="W434" s="38" t="s">
        <v>0</v>
      </c>
      <c r="X434" s="56">
        <v>150</v>
      </c>
      <c r="Y434" s="53">
        <f t="shared" si="68"/>
        <v>150</v>
      </c>
      <c r="Z434" s="39">
        <f>IFERROR(IF(Y434=0,"",ROUNDUP(Y434/H434,0)*0.02175),"")</f>
        <v>0.21749999999999997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154.69999999999999</v>
      </c>
      <c r="BN434" s="75">
        <f t="shared" si="70"/>
        <v>154.69999999999999</v>
      </c>
      <c r="BO434" s="75">
        <f t="shared" si="71"/>
        <v>0.20833333333333331</v>
      </c>
      <c r="BP434" s="75">
        <f t="shared" si="72"/>
        <v>0.20833333333333331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720">
        <v>4680115884830</v>
      </c>
      <c r="E435" s="72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2"/>
      <c r="R435" s="722"/>
      <c r="S435" s="722"/>
      <c r="T435" s="723"/>
      <c r="U435" s="37" t="s">
        <v>46</v>
      </c>
      <c r="V435" s="37" t="s">
        <v>46</v>
      </c>
      <c r="W435" s="38" t="s">
        <v>0</v>
      </c>
      <c r="X435" s="56">
        <v>200</v>
      </c>
      <c r="Y435" s="53">
        <f t="shared" si="68"/>
        <v>210</v>
      </c>
      <c r="Z435" s="39">
        <f>IFERROR(IF(Y435=0,"",ROUNDUP(Y435/H435,0)*0.02175),"")</f>
        <v>0.30449999999999999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206.26666666666668</v>
      </c>
      <c r="BN435" s="75">
        <f t="shared" si="70"/>
        <v>216.58</v>
      </c>
      <c r="BO435" s="75">
        <f t="shared" si="71"/>
        <v>0.27777777777777779</v>
      </c>
      <c r="BP435" s="75">
        <f t="shared" si="72"/>
        <v>0.29166666666666663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720">
        <v>4680115889231</v>
      </c>
      <c r="E436" s="72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9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2"/>
      <c r="R436" s="722"/>
      <c r="S436" s="722"/>
      <c r="T436" s="723"/>
      <c r="U436" s="37" t="s">
        <v>46</v>
      </c>
      <c r="V436" s="37" t="s">
        <v>46</v>
      </c>
      <c r="W436" s="38" t="s">
        <v>0</v>
      </c>
      <c r="X436" s="56">
        <v>100</v>
      </c>
      <c r="Y436" s="53">
        <f t="shared" si="68"/>
        <v>105</v>
      </c>
      <c r="Z436" s="39">
        <f>IFERROR(IF(Y436=0,"",ROUNDUP(Y436/H436,0)*0.02175),"")</f>
        <v>0.15225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103.13333333333334</v>
      </c>
      <c r="BN436" s="75">
        <f t="shared" si="70"/>
        <v>108.29</v>
      </c>
      <c r="BO436" s="75">
        <f t="shared" si="71"/>
        <v>0.1388888888888889</v>
      </c>
      <c r="BP436" s="75">
        <f t="shared" si="72"/>
        <v>0.14583333333333331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720">
        <v>4680115882638</v>
      </c>
      <c r="E437" s="72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9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2"/>
      <c r="R437" s="722"/>
      <c r="S437" s="722"/>
      <c r="T437" s="72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720">
        <v>4680115884922</v>
      </c>
      <c r="E438" s="72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2"/>
      <c r="R438" s="722"/>
      <c r="S438" s="722"/>
      <c r="T438" s="72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720">
        <v>4680115884861</v>
      </c>
      <c r="E439" s="72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9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2"/>
      <c r="R439" s="722"/>
      <c r="S439" s="722"/>
      <c r="T439" s="72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728"/>
      <c r="B440" s="728"/>
      <c r="C440" s="728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9"/>
      <c r="P440" s="725" t="s">
        <v>40</v>
      </c>
      <c r="Q440" s="726"/>
      <c r="R440" s="726"/>
      <c r="S440" s="726"/>
      <c r="T440" s="726"/>
      <c r="U440" s="726"/>
      <c r="V440" s="727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43.333333333333336</v>
      </c>
      <c r="Y440" s="41">
        <f>IFERROR(Y432/H432,"0")+IFERROR(Y433/H433,"0")+IFERROR(Y434/H434,"0")+IFERROR(Y435/H435,"0")+IFERROR(Y436/H436,"0")+IFERROR(Y437/H437,"0")+IFERROR(Y438/H438,"0")+IFERROR(Y439/H439,"0")</f>
        <v>45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0.97875000000000001</v>
      </c>
      <c r="AA440" s="64"/>
      <c r="AB440" s="64"/>
      <c r="AC440" s="64"/>
    </row>
    <row r="441" spans="1:68" x14ac:dyDescent="0.2">
      <c r="A441" s="728"/>
      <c r="B441" s="728"/>
      <c r="C441" s="728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9"/>
      <c r="P441" s="725" t="s">
        <v>40</v>
      </c>
      <c r="Q441" s="726"/>
      <c r="R441" s="726"/>
      <c r="S441" s="726"/>
      <c r="T441" s="726"/>
      <c r="U441" s="726"/>
      <c r="V441" s="727"/>
      <c r="W441" s="40" t="s">
        <v>0</v>
      </c>
      <c r="X441" s="41">
        <f>IFERROR(SUM(X432:X439),"0")</f>
        <v>650</v>
      </c>
      <c r="Y441" s="41">
        <f>IFERROR(SUM(Y432:Y439),"0")</f>
        <v>675</v>
      </c>
      <c r="Z441" s="40"/>
      <c r="AA441" s="64"/>
      <c r="AB441" s="64"/>
      <c r="AC441" s="64"/>
    </row>
    <row r="442" spans="1:68" ht="14.25" hidden="1" customHeight="1" x14ac:dyDescent="0.25">
      <c r="A442" s="719" t="s">
        <v>154</v>
      </c>
      <c r="B442" s="719"/>
      <c r="C442" s="719"/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719"/>
      <c r="Q442" s="719"/>
      <c r="R442" s="719"/>
      <c r="S442" s="719"/>
      <c r="T442" s="719"/>
      <c r="U442" s="719"/>
      <c r="V442" s="719"/>
      <c r="W442" s="719"/>
      <c r="X442" s="719"/>
      <c r="Y442" s="719"/>
      <c r="Z442" s="71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720">
        <v>4607091383980</v>
      </c>
      <c r="E443" s="72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2"/>
      <c r="R443" s="722"/>
      <c r="S443" s="722"/>
      <c r="T443" s="723"/>
      <c r="U443" s="37" t="s">
        <v>46</v>
      </c>
      <c r="V443" s="37" t="s">
        <v>46</v>
      </c>
      <c r="W443" s="38" t="s">
        <v>0</v>
      </c>
      <c r="X443" s="56">
        <v>150</v>
      </c>
      <c r="Y443" s="53">
        <f>IFERROR(IF(X443="",0,CEILING((X443/$H443),1)*$H443),"")</f>
        <v>150</v>
      </c>
      <c r="Z443" s="39">
        <f>IFERROR(IF(Y443=0,"",ROUNDUP(Y443/H443,0)*0.02175),"")</f>
        <v>0.21749999999999997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154.69999999999999</v>
      </c>
      <c r="BN443" s="75">
        <f>IFERROR(Y443*I443/H443,"0")</f>
        <v>154.69999999999999</v>
      </c>
      <c r="BO443" s="75">
        <f>IFERROR(1/J443*(X443/H443),"0")</f>
        <v>0.20833333333333331</v>
      </c>
      <c r="BP443" s="75">
        <f>IFERROR(1/J443*(Y443/H443),"0")</f>
        <v>0.20833333333333331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720">
        <v>4680115888425</v>
      </c>
      <c r="E444" s="72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96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2"/>
      <c r="R444" s="722"/>
      <c r="S444" s="722"/>
      <c r="T444" s="72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720">
        <v>4607091384178</v>
      </c>
      <c r="E445" s="72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96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2"/>
      <c r="R445" s="722"/>
      <c r="S445" s="722"/>
      <c r="T445" s="72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728"/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9"/>
      <c r="P446" s="725" t="s">
        <v>40</v>
      </c>
      <c r="Q446" s="726"/>
      <c r="R446" s="726"/>
      <c r="S446" s="726"/>
      <c r="T446" s="726"/>
      <c r="U446" s="726"/>
      <c r="V446" s="727"/>
      <c r="W446" s="40" t="s">
        <v>39</v>
      </c>
      <c r="X446" s="41">
        <f>IFERROR(X443/H443,"0")+IFERROR(X444/H444,"0")+IFERROR(X445/H445,"0")</f>
        <v>10</v>
      </c>
      <c r="Y446" s="41">
        <f>IFERROR(Y443/H443,"0")+IFERROR(Y444/H444,"0")+IFERROR(Y445/H445,"0")</f>
        <v>10</v>
      </c>
      <c r="Z446" s="41">
        <f>IFERROR(IF(Z443="",0,Z443),"0")+IFERROR(IF(Z444="",0,Z444),"0")+IFERROR(IF(Z445="",0,Z445),"0")</f>
        <v>0.21749999999999997</v>
      </c>
      <c r="AA446" s="64"/>
      <c r="AB446" s="64"/>
      <c r="AC446" s="64"/>
    </row>
    <row r="447" spans="1:68" x14ac:dyDescent="0.2">
      <c r="A447" s="728"/>
      <c r="B447" s="728"/>
      <c r="C447" s="728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9"/>
      <c r="P447" s="725" t="s">
        <v>40</v>
      </c>
      <c r="Q447" s="726"/>
      <c r="R447" s="726"/>
      <c r="S447" s="726"/>
      <c r="T447" s="726"/>
      <c r="U447" s="726"/>
      <c r="V447" s="727"/>
      <c r="W447" s="40" t="s">
        <v>0</v>
      </c>
      <c r="X447" s="41">
        <f>IFERROR(SUM(X443:X445),"0")</f>
        <v>150</v>
      </c>
      <c r="Y447" s="41">
        <f>IFERROR(SUM(Y443:Y445),"0")</f>
        <v>150</v>
      </c>
      <c r="Z447" s="40"/>
      <c r="AA447" s="64"/>
      <c r="AB447" s="64"/>
      <c r="AC447" s="64"/>
    </row>
    <row r="448" spans="1:68" ht="14.25" hidden="1" customHeight="1" x14ac:dyDescent="0.25">
      <c r="A448" s="719" t="s">
        <v>85</v>
      </c>
      <c r="B448" s="719"/>
      <c r="C448" s="719"/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719"/>
      <c r="R448" s="719"/>
      <c r="S448" s="719"/>
      <c r="T448" s="719"/>
      <c r="U448" s="719"/>
      <c r="V448" s="719"/>
      <c r="W448" s="719"/>
      <c r="X448" s="719"/>
      <c r="Y448" s="719"/>
      <c r="Z448" s="71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720">
        <v>4607091383928</v>
      </c>
      <c r="E449" s="72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2"/>
      <c r="R449" s="722"/>
      <c r="S449" s="722"/>
      <c r="T449" s="72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720">
        <v>4607091384260</v>
      </c>
      <c r="E450" s="7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2"/>
      <c r="R450" s="722"/>
      <c r="S450" s="722"/>
      <c r="T450" s="72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720">
        <v>4680115889538</v>
      </c>
      <c r="E451" s="72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9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2"/>
      <c r="R451" s="722"/>
      <c r="S451" s="722"/>
      <c r="T451" s="72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28"/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9"/>
      <c r="P452" s="725" t="s">
        <v>40</v>
      </c>
      <c r="Q452" s="726"/>
      <c r="R452" s="726"/>
      <c r="S452" s="726"/>
      <c r="T452" s="726"/>
      <c r="U452" s="726"/>
      <c r="V452" s="727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728"/>
      <c r="B453" s="728"/>
      <c r="C453" s="728"/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9"/>
      <c r="P453" s="725" t="s">
        <v>40</v>
      </c>
      <c r="Q453" s="726"/>
      <c r="R453" s="726"/>
      <c r="S453" s="726"/>
      <c r="T453" s="726"/>
      <c r="U453" s="726"/>
      <c r="V453" s="727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719" t="s">
        <v>172</v>
      </c>
      <c r="B454" s="719"/>
      <c r="C454" s="719"/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719"/>
      <c r="W454" s="719"/>
      <c r="X454" s="719"/>
      <c r="Y454" s="719"/>
      <c r="Z454" s="71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720">
        <v>4680115889545</v>
      </c>
      <c r="E455" s="72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9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2"/>
      <c r="R455" s="722"/>
      <c r="S455" s="722"/>
      <c r="T455" s="72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720">
        <v>4607091384673</v>
      </c>
      <c r="E456" s="72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96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2"/>
      <c r="R456" s="722"/>
      <c r="S456" s="722"/>
      <c r="T456" s="72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8"/>
      <c r="B457" s="728"/>
      <c r="C457" s="728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9"/>
      <c r="P457" s="725" t="s">
        <v>40</v>
      </c>
      <c r="Q457" s="726"/>
      <c r="R457" s="726"/>
      <c r="S457" s="726"/>
      <c r="T457" s="726"/>
      <c r="U457" s="726"/>
      <c r="V457" s="727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8"/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9"/>
      <c r="P458" s="725" t="s">
        <v>40</v>
      </c>
      <c r="Q458" s="726"/>
      <c r="R458" s="726"/>
      <c r="S458" s="726"/>
      <c r="T458" s="726"/>
      <c r="U458" s="726"/>
      <c r="V458" s="727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8" t="s">
        <v>755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2"/>
      <c r="AB459" s="62"/>
      <c r="AC459" s="62"/>
    </row>
    <row r="460" spans="1:68" ht="14.25" hidden="1" customHeight="1" x14ac:dyDescent="0.25">
      <c r="A460" s="719" t="s">
        <v>121</v>
      </c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719"/>
      <c r="V460" s="719"/>
      <c r="W460" s="719"/>
      <c r="X460" s="719"/>
      <c r="Y460" s="719"/>
      <c r="Z460" s="71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720">
        <v>4680115884885</v>
      </c>
      <c r="E461" s="72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2"/>
      <c r="R461" s="722"/>
      <c r="S461" s="722"/>
      <c r="T461" s="72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720">
        <v>4680115884908</v>
      </c>
      <c r="E462" s="72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9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2"/>
      <c r="R462" s="722"/>
      <c r="S462" s="722"/>
      <c r="T462" s="72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28"/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9"/>
      <c r="P463" s="725" t="s">
        <v>40</v>
      </c>
      <c r="Q463" s="726"/>
      <c r="R463" s="726"/>
      <c r="S463" s="726"/>
      <c r="T463" s="726"/>
      <c r="U463" s="726"/>
      <c r="V463" s="727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28"/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9"/>
      <c r="P464" s="725" t="s">
        <v>40</v>
      </c>
      <c r="Q464" s="726"/>
      <c r="R464" s="726"/>
      <c r="S464" s="726"/>
      <c r="T464" s="726"/>
      <c r="U464" s="726"/>
      <c r="V464" s="727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719" t="s">
        <v>76</v>
      </c>
      <c r="B465" s="719"/>
      <c r="C465" s="719"/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19"/>
      <c r="W465" s="719"/>
      <c r="X465" s="719"/>
      <c r="Y465" s="719"/>
      <c r="Z465" s="71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720">
        <v>4607091384802</v>
      </c>
      <c r="E466" s="72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9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2"/>
      <c r="R466" s="722"/>
      <c r="S466" s="722"/>
      <c r="T466" s="72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8"/>
      <c r="B467" s="728"/>
      <c r="C467" s="728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9"/>
      <c r="P467" s="725" t="s">
        <v>40</v>
      </c>
      <c r="Q467" s="726"/>
      <c r="R467" s="726"/>
      <c r="S467" s="726"/>
      <c r="T467" s="726"/>
      <c r="U467" s="726"/>
      <c r="V467" s="727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8"/>
      <c r="B468" s="728"/>
      <c r="C468" s="728"/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9"/>
      <c r="P468" s="725" t="s">
        <v>40</v>
      </c>
      <c r="Q468" s="726"/>
      <c r="R468" s="726"/>
      <c r="S468" s="726"/>
      <c r="T468" s="726"/>
      <c r="U468" s="726"/>
      <c r="V468" s="727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9" t="s">
        <v>85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720">
        <v>4607091384246</v>
      </c>
      <c r="E470" s="72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9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2"/>
      <c r="R470" s="722"/>
      <c r="S470" s="722"/>
      <c r="T470" s="72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720">
        <v>4607091384253</v>
      </c>
      <c r="E471" s="72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2"/>
      <c r="R471" s="722"/>
      <c r="S471" s="722"/>
      <c r="T471" s="72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720">
        <v>4607091384253</v>
      </c>
      <c r="E472" s="72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9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2"/>
      <c r="R472" s="722"/>
      <c r="S472" s="722"/>
      <c r="T472" s="72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28"/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9"/>
      <c r="P473" s="725" t="s">
        <v>40</v>
      </c>
      <c r="Q473" s="726"/>
      <c r="R473" s="726"/>
      <c r="S473" s="726"/>
      <c r="T473" s="726"/>
      <c r="U473" s="726"/>
      <c r="V473" s="727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728"/>
      <c r="B474" s="728"/>
      <c r="C474" s="72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9"/>
      <c r="P474" s="725" t="s">
        <v>40</v>
      </c>
      <c r="Q474" s="726"/>
      <c r="R474" s="726"/>
      <c r="S474" s="726"/>
      <c r="T474" s="726"/>
      <c r="U474" s="726"/>
      <c r="V474" s="727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717" t="s">
        <v>771</v>
      </c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7"/>
      <c r="P475" s="717"/>
      <c r="Q475" s="717"/>
      <c r="R475" s="717"/>
      <c r="S475" s="717"/>
      <c r="T475" s="717"/>
      <c r="U475" s="717"/>
      <c r="V475" s="717"/>
      <c r="W475" s="717"/>
      <c r="X475" s="717"/>
      <c r="Y475" s="717"/>
      <c r="Z475" s="717"/>
      <c r="AA475" s="52"/>
      <c r="AB475" s="52"/>
      <c r="AC475" s="52"/>
    </row>
    <row r="476" spans="1:68" ht="16.5" hidden="1" customHeight="1" x14ac:dyDescent="0.25">
      <c r="A476" s="718" t="s">
        <v>772</v>
      </c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62"/>
      <c r="AB476" s="62"/>
      <c r="AC476" s="62"/>
    </row>
    <row r="477" spans="1:68" ht="14.25" hidden="1" customHeight="1" x14ac:dyDescent="0.25">
      <c r="A477" s="719" t="s">
        <v>76</v>
      </c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719"/>
      <c r="W477" s="719"/>
      <c r="X477" s="719"/>
      <c r="Y477" s="719"/>
      <c r="Z477" s="71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720">
        <v>4680115886100</v>
      </c>
      <c r="E478" s="72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2"/>
      <c r="R478" s="722"/>
      <c r="S478" s="722"/>
      <c r="T478" s="72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720">
        <v>4680115886124</v>
      </c>
      <c r="E479" s="72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9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2"/>
      <c r="R479" s="722"/>
      <c r="S479" s="722"/>
      <c r="T479" s="72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720">
        <v>4607091384338</v>
      </c>
      <c r="E480" s="72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2"/>
      <c r="R480" s="722"/>
      <c r="S480" s="722"/>
      <c r="T480" s="72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720">
        <v>4680115883161</v>
      </c>
      <c r="E481" s="72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2"/>
      <c r="R481" s="722"/>
      <c r="S481" s="722"/>
      <c r="T481" s="72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720">
        <v>4607091389531</v>
      </c>
      <c r="E482" s="72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2"/>
      <c r="R482" s="722"/>
      <c r="S482" s="722"/>
      <c r="T482" s="72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720">
        <v>4607091384345</v>
      </c>
      <c r="E483" s="72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9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2"/>
      <c r="R483" s="722"/>
      <c r="S483" s="722"/>
      <c r="T483" s="72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728"/>
      <c r="B484" s="728"/>
      <c r="C484" s="72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9"/>
      <c r="P484" s="725" t="s">
        <v>40</v>
      </c>
      <c r="Q484" s="726"/>
      <c r="R484" s="726"/>
      <c r="S484" s="726"/>
      <c r="T484" s="726"/>
      <c r="U484" s="726"/>
      <c r="V484" s="727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8"/>
      <c r="B485" s="728"/>
      <c r="C485" s="72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9"/>
      <c r="P485" s="725" t="s">
        <v>40</v>
      </c>
      <c r="Q485" s="726"/>
      <c r="R485" s="726"/>
      <c r="S485" s="726"/>
      <c r="T485" s="726"/>
      <c r="U485" s="726"/>
      <c r="V485" s="727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9" t="s">
        <v>85</v>
      </c>
      <c r="B486" s="719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719"/>
      <c r="W486" s="719"/>
      <c r="X486" s="719"/>
      <c r="Y486" s="719"/>
      <c r="Z486" s="71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720">
        <v>4607091384352</v>
      </c>
      <c r="E487" s="72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9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2"/>
      <c r="R487" s="722"/>
      <c r="S487" s="722"/>
      <c r="T487" s="72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720">
        <v>4607091389654</v>
      </c>
      <c r="E488" s="72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2"/>
      <c r="R488" s="722"/>
      <c r="S488" s="722"/>
      <c r="T488" s="72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8"/>
      <c r="B489" s="728"/>
      <c r="C489" s="72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9"/>
      <c r="P489" s="725" t="s">
        <v>40</v>
      </c>
      <c r="Q489" s="726"/>
      <c r="R489" s="726"/>
      <c r="S489" s="726"/>
      <c r="T489" s="726"/>
      <c r="U489" s="726"/>
      <c r="V489" s="727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8"/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9"/>
      <c r="P490" s="725" t="s">
        <v>40</v>
      </c>
      <c r="Q490" s="726"/>
      <c r="R490" s="726"/>
      <c r="S490" s="726"/>
      <c r="T490" s="726"/>
      <c r="U490" s="726"/>
      <c r="V490" s="727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8" t="s">
        <v>795</v>
      </c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62"/>
      <c r="AB491" s="62"/>
      <c r="AC491" s="62"/>
    </row>
    <row r="492" spans="1:68" ht="14.25" hidden="1" customHeight="1" x14ac:dyDescent="0.25">
      <c r="A492" s="719" t="s">
        <v>154</v>
      </c>
      <c r="B492" s="719"/>
      <c r="C492" s="719"/>
      <c r="D492" s="719"/>
      <c r="E492" s="719"/>
      <c r="F492" s="719"/>
      <c r="G492" s="719"/>
      <c r="H492" s="719"/>
      <c r="I492" s="719"/>
      <c r="J492" s="719"/>
      <c r="K492" s="719"/>
      <c r="L492" s="719"/>
      <c r="M492" s="719"/>
      <c r="N492" s="719"/>
      <c r="O492" s="719"/>
      <c r="P492" s="719"/>
      <c r="Q492" s="719"/>
      <c r="R492" s="719"/>
      <c r="S492" s="719"/>
      <c r="T492" s="719"/>
      <c r="U492" s="719"/>
      <c r="V492" s="719"/>
      <c r="W492" s="719"/>
      <c r="X492" s="719"/>
      <c r="Y492" s="719"/>
      <c r="Z492" s="71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720">
        <v>4680115885240</v>
      </c>
      <c r="E493" s="72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9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2"/>
      <c r="R493" s="722"/>
      <c r="S493" s="722"/>
      <c r="T493" s="72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8"/>
      <c r="B494" s="728"/>
      <c r="C494" s="72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9"/>
      <c r="P494" s="725" t="s">
        <v>40</v>
      </c>
      <c r="Q494" s="726"/>
      <c r="R494" s="726"/>
      <c r="S494" s="726"/>
      <c r="T494" s="726"/>
      <c r="U494" s="726"/>
      <c r="V494" s="727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8"/>
      <c r="B495" s="728"/>
      <c r="C495" s="72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9"/>
      <c r="P495" s="725" t="s">
        <v>40</v>
      </c>
      <c r="Q495" s="726"/>
      <c r="R495" s="726"/>
      <c r="S495" s="726"/>
      <c r="T495" s="726"/>
      <c r="U495" s="726"/>
      <c r="V495" s="727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9" t="s">
        <v>76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720">
        <v>4680115886094</v>
      </c>
      <c r="E497" s="72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2"/>
      <c r="R497" s="722"/>
      <c r="S497" s="722"/>
      <c r="T497" s="72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720">
        <v>4680115880771</v>
      </c>
      <c r="E498" s="72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2"/>
      <c r="R498" s="722"/>
      <c r="S498" s="722"/>
      <c r="T498" s="72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720">
        <v>4607091389500</v>
      </c>
      <c r="E499" s="72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9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2"/>
      <c r="R499" s="722"/>
      <c r="S499" s="722"/>
      <c r="T499" s="72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8"/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9"/>
      <c r="P500" s="725" t="s">
        <v>40</v>
      </c>
      <c r="Q500" s="726"/>
      <c r="R500" s="726"/>
      <c r="S500" s="726"/>
      <c r="T500" s="726"/>
      <c r="U500" s="726"/>
      <c r="V500" s="727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8"/>
      <c r="B501" s="728"/>
      <c r="C501" s="72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9"/>
      <c r="P501" s="725" t="s">
        <v>40</v>
      </c>
      <c r="Q501" s="726"/>
      <c r="R501" s="726"/>
      <c r="S501" s="726"/>
      <c r="T501" s="726"/>
      <c r="U501" s="726"/>
      <c r="V501" s="727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7" t="s">
        <v>807</v>
      </c>
      <c r="B502" s="717"/>
      <c r="C502" s="717"/>
      <c r="D502" s="717"/>
      <c r="E502" s="717"/>
      <c r="F502" s="717"/>
      <c r="G502" s="717"/>
      <c r="H502" s="717"/>
      <c r="I502" s="717"/>
      <c r="J502" s="717"/>
      <c r="K502" s="717"/>
      <c r="L502" s="717"/>
      <c r="M502" s="717"/>
      <c r="N502" s="717"/>
      <c r="O502" s="717"/>
      <c r="P502" s="717"/>
      <c r="Q502" s="717"/>
      <c r="R502" s="717"/>
      <c r="S502" s="717"/>
      <c r="T502" s="717"/>
      <c r="U502" s="717"/>
      <c r="V502" s="717"/>
      <c r="W502" s="717"/>
      <c r="X502" s="717"/>
      <c r="Y502" s="717"/>
      <c r="Z502" s="717"/>
      <c r="AA502" s="52"/>
      <c r="AB502" s="52"/>
      <c r="AC502" s="52"/>
    </row>
    <row r="503" spans="1:68" ht="16.5" hidden="1" customHeight="1" x14ac:dyDescent="0.25">
      <c r="A503" s="718" t="s">
        <v>807</v>
      </c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62"/>
      <c r="AB503" s="62"/>
      <c r="AC503" s="62"/>
    </row>
    <row r="504" spans="1:68" ht="14.25" hidden="1" customHeight="1" x14ac:dyDescent="0.25">
      <c r="A504" s="719" t="s">
        <v>121</v>
      </c>
      <c r="B504" s="719"/>
      <c r="C504" s="719"/>
      <c r="D504" s="719"/>
      <c r="E504" s="719"/>
      <c r="F504" s="719"/>
      <c r="G504" s="719"/>
      <c r="H504" s="719"/>
      <c r="I504" s="719"/>
      <c r="J504" s="719"/>
      <c r="K504" s="719"/>
      <c r="L504" s="719"/>
      <c r="M504" s="719"/>
      <c r="N504" s="719"/>
      <c r="O504" s="719"/>
      <c r="P504" s="719"/>
      <c r="Q504" s="719"/>
      <c r="R504" s="719"/>
      <c r="S504" s="719"/>
      <c r="T504" s="719"/>
      <c r="U504" s="719"/>
      <c r="V504" s="719"/>
      <c r="W504" s="719"/>
      <c r="X504" s="719"/>
      <c r="Y504" s="719"/>
      <c r="Z504" s="71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720">
        <v>4607091389067</v>
      </c>
      <c r="E505" s="7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9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2"/>
      <c r="R505" s="722"/>
      <c r="S505" s="722"/>
      <c r="T505" s="72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720">
        <v>4680115889576</v>
      </c>
      <c r="E506" s="72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2"/>
      <c r="R506" s="722"/>
      <c r="S506" s="722"/>
      <c r="T506" s="72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720">
        <v>4680115885271</v>
      </c>
      <c r="E507" s="72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2"/>
      <c r="R507" s="722"/>
      <c r="S507" s="722"/>
      <c r="T507" s="72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720">
        <v>4680115885226</v>
      </c>
      <c r="E508" s="72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9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2"/>
      <c r="R508" s="722"/>
      <c r="S508" s="722"/>
      <c r="T508" s="72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720">
        <v>4680115884502</v>
      </c>
      <c r="E509" s="72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9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2"/>
      <c r="R509" s="722"/>
      <c r="S509" s="722"/>
      <c r="T509" s="72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720">
        <v>4607091389104</v>
      </c>
      <c r="E510" s="72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9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2"/>
      <c r="R510" s="722"/>
      <c r="S510" s="722"/>
      <c r="T510" s="72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720">
        <v>4680115886391</v>
      </c>
      <c r="E511" s="72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9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2"/>
      <c r="R511" s="722"/>
      <c r="S511" s="722"/>
      <c r="T511" s="72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720">
        <v>4680115880603</v>
      </c>
      <c r="E512" s="72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9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2"/>
      <c r="R512" s="722"/>
      <c r="S512" s="722"/>
      <c r="T512" s="72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720">
        <v>4607091389982</v>
      </c>
      <c r="E513" s="72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2"/>
      <c r="R513" s="722"/>
      <c r="S513" s="722"/>
      <c r="T513" s="72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728"/>
      <c r="B514" s="728"/>
      <c r="C514" s="728"/>
      <c r="D514" s="728"/>
      <c r="E514" s="728"/>
      <c r="F514" s="728"/>
      <c r="G514" s="728"/>
      <c r="H514" s="728"/>
      <c r="I514" s="728"/>
      <c r="J514" s="728"/>
      <c r="K514" s="728"/>
      <c r="L514" s="728"/>
      <c r="M514" s="728"/>
      <c r="N514" s="728"/>
      <c r="O514" s="729"/>
      <c r="P514" s="725" t="s">
        <v>40</v>
      </c>
      <c r="Q514" s="726"/>
      <c r="R514" s="726"/>
      <c r="S514" s="726"/>
      <c r="T514" s="726"/>
      <c r="U514" s="726"/>
      <c r="V514" s="727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8"/>
      <c r="B515" s="728"/>
      <c r="C515" s="728"/>
      <c r="D515" s="728"/>
      <c r="E515" s="728"/>
      <c r="F515" s="728"/>
      <c r="G515" s="728"/>
      <c r="H515" s="728"/>
      <c r="I515" s="728"/>
      <c r="J515" s="728"/>
      <c r="K515" s="728"/>
      <c r="L515" s="728"/>
      <c r="M515" s="728"/>
      <c r="N515" s="728"/>
      <c r="O515" s="729"/>
      <c r="P515" s="725" t="s">
        <v>40</v>
      </c>
      <c r="Q515" s="726"/>
      <c r="R515" s="726"/>
      <c r="S515" s="726"/>
      <c r="T515" s="726"/>
      <c r="U515" s="726"/>
      <c r="V515" s="727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9" t="s">
        <v>154</v>
      </c>
      <c r="B516" s="719"/>
      <c r="C516" s="719"/>
      <c r="D516" s="719"/>
      <c r="E516" s="719"/>
      <c r="F516" s="719"/>
      <c r="G516" s="719"/>
      <c r="H516" s="719"/>
      <c r="I516" s="719"/>
      <c r="J516" s="719"/>
      <c r="K516" s="719"/>
      <c r="L516" s="719"/>
      <c r="M516" s="719"/>
      <c r="N516" s="719"/>
      <c r="O516" s="719"/>
      <c r="P516" s="719"/>
      <c r="Q516" s="719"/>
      <c r="R516" s="719"/>
      <c r="S516" s="719"/>
      <c r="T516" s="719"/>
      <c r="U516" s="719"/>
      <c r="V516" s="719"/>
      <c r="W516" s="719"/>
      <c r="X516" s="719"/>
      <c r="Y516" s="719"/>
      <c r="Z516" s="71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720">
        <v>4607091388930</v>
      </c>
      <c r="E517" s="72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9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2"/>
      <c r="R517" s="722"/>
      <c r="S517" s="722"/>
      <c r="T517" s="72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720">
        <v>4680115886407</v>
      </c>
      <c r="E518" s="72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9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2"/>
      <c r="R518" s="722"/>
      <c r="S518" s="722"/>
      <c r="T518" s="72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720">
        <v>4680115880054</v>
      </c>
      <c r="E519" s="72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9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2"/>
      <c r="R519" s="722"/>
      <c r="S519" s="722"/>
      <c r="T519" s="72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728"/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9"/>
      <c r="P520" s="725" t="s">
        <v>40</v>
      </c>
      <c r="Q520" s="726"/>
      <c r="R520" s="726"/>
      <c r="S520" s="726"/>
      <c r="T520" s="726"/>
      <c r="U520" s="726"/>
      <c r="V520" s="727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28"/>
      <c r="B521" s="728"/>
      <c r="C521" s="728"/>
      <c r="D521" s="728"/>
      <c r="E521" s="728"/>
      <c r="F521" s="728"/>
      <c r="G521" s="728"/>
      <c r="H521" s="728"/>
      <c r="I521" s="728"/>
      <c r="J521" s="728"/>
      <c r="K521" s="728"/>
      <c r="L521" s="728"/>
      <c r="M521" s="728"/>
      <c r="N521" s="728"/>
      <c r="O521" s="729"/>
      <c r="P521" s="725" t="s">
        <v>40</v>
      </c>
      <c r="Q521" s="726"/>
      <c r="R521" s="726"/>
      <c r="S521" s="726"/>
      <c r="T521" s="726"/>
      <c r="U521" s="726"/>
      <c r="V521" s="727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719" t="s">
        <v>76</v>
      </c>
      <c r="B522" s="719"/>
      <c r="C522" s="719"/>
      <c r="D522" s="719"/>
      <c r="E522" s="719"/>
      <c r="F522" s="719"/>
      <c r="G522" s="719"/>
      <c r="H522" s="719"/>
      <c r="I522" s="719"/>
      <c r="J522" s="719"/>
      <c r="K522" s="719"/>
      <c r="L522" s="719"/>
      <c r="M522" s="719"/>
      <c r="N522" s="719"/>
      <c r="O522" s="719"/>
      <c r="P522" s="719"/>
      <c r="Q522" s="719"/>
      <c r="R522" s="719"/>
      <c r="S522" s="719"/>
      <c r="T522" s="719"/>
      <c r="U522" s="719"/>
      <c r="V522" s="719"/>
      <c r="W522" s="719"/>
      <c r="X522" s="719"/>
      <c r="Y522" s="719"/>
      <c r="Z522" s="71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720">
        <v>4680115883116</v>
      </c>
      <c r="E523" s="72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9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2"/>
      <c r="R523" s="722"/>
      <c r="S523" s="722"/>
      <c r="T523" s="72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720">
        <v>4680115883093</v>
      </c>
      <c r="E524" s="72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2"/>
      <c r="R524" s="722"/>
      <c r="S524" s="722"/>
      <c r="T524" s="72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720">
        <v>4680115883109</v>
      </c>
      <c r="E525" s="72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10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2"/>
      <c r="R525" s="722"/>
      <c r="S525" s="722"/>
      <c r="T525" s="72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720">
        <v>4680115882072</v>
      </c>
      <c r="E526" s="72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10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2"/>
      <c r="R526" s="722"/>
      <c r="S526" s="722"/>
      <c r="T526" s="72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720">
        <v>4680115882102</v>
      </c>
      <c r="E527" s="72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2"/>
      <c r="R527" s="722"/>
      <c r="S527" s="722"/>
      <c r="T527" s="72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720">
        <v>4680115882102</v>
      </c>
      <c r="E528" s="72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2"/>
      <c r="R528" s="722"/>
      <c r="S528" s="722"/>
      <c r="T528" s="72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720">
        <v>4680115882096</v>
      </c>
      <c r="E529" s="72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10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2"/>
      <c r="R529" s="722"/>
      <c r="S529" s="722"/>
      <c r="T529" s="72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728"/>
      <c r="B530" s="728"/>
      <c r="C530" s="728"/>
      <c r="D530" s="728"/>
      <c r="E530" s="728"/>
      <c r="F530" s="728"/>
      <c r="G530" s="728"/>
      <c r="H530" s="728"/>
      <c r="I530" s="728"/>
      <c r="J530" s="728"/>
      <c r="K530" s="728"/>
      <c r="L530" s="728"/>
      <c r="M530" s="728"/>
      <c r="N530" s="728"/>
      <c r="O530" s="729"/>
      <c r="P530" s="725" t="s">
        <v>40</v>
      </c>
      <c r="Q530" s="726"/>
      <c r="R530" s="726"/>
      <c r="S530" s="726"/>
      <c r="T530" s="726"/>
      <c r="U530" s="726"/>
      <c r="V530" s="727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728"/>
      <c r="B531" s="728"/>
      <c r="C531" s="728"/>
      <c r="D531" s="728"/>
      <c r="E531" s="728"/>
      <c r="F531" s="728"/>
      <c r="G531" s="728"/>
      <c r="H531" s="728"/>
      <c r="I531" s="728"/>
      <c r="J531" s="728"/>
      <c r="K531" s="728"/>
      <c r="L531" s="728"/>
      <c r="M531" s="728"/>
      <c r="N531" s="728"/>
      <c r="O531" s="729"/>
      <c r="P531" s="725" t="s">
        <v>40</v>
      </c>
      <c r="Q531" s="726"/>
      <c r="R531" s="726"/>
      <c r="S531" s="726"/>
      <c r="T531" s="726"/>
      <c r="U531" s="726"/>
      <c r="V531" s="727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717" t="s">
        <v>854</v>
      </c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7"/>
      <c r="P532" s="717"/>
      <c r="Q532" s="717"/>
      <c r="R532" s="717"/>
      <c r="S532" s="717"/>
      <c r="T532" s="717"/>
      <c r="U532" s="717"/>
      <c r="V532" s="717"/>
      <c r="W532" s="717"/>
      <c r="X532" s="717"/>
      <c r="Y532" s="717"/>
      <c r="Z532" s="717"/>
      <c r="AA532" s="52"/>
      <c r="AB532" s="52"/>
      <c r="AC532" s="52"/>
    </row>
    <row r="533" spans="1:68" ht="16.5" hidden="1" customHeight="1" x14ac:dyDescent="0.25">
      <c r="A533" s="718" t="s">
        <v>854</v>
      </c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62"/>
      <c r="AB533" s="62"/>
      <c r="AC533" s="62"/>
    </row>
    <row r="534" spans="1:68" ht="14.25" hidden="1" customHeight="1" x14ac:dyDescent="0.25">
      <c r="A534" s="719" t="s">
        <v>121</v>
      </c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19"/>
      <c r="P534" s="719"/>
      <c r="Q534" s="719"/>
      <c r="R534" s="719"/>
      <c r="S534" s="719"/>
      <c r="T534" s="719"/>
      <c r="U534" s="719"/>
      <c r="V534" s="719"/>
      <c r="W534" s="719"/>
      <c r="X534" s="719"/>
      <c r="Y534" s="719"/>
      <c r="Z534" s="71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720">
        <v>4640242180564</v>
      </c>
      <c r="E535" s="72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10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2"/>
      <c r="R535" s="722"/>
      <c r="S535" s="722"/>
      <c r="T535" s="72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28"/>
      <c r="B536" s="728"/>
      <c r="C536" s="728"/>
      <c r="D536" s="728"/>
      <c r="E536" s="728"/>
      <c r="F536" s="728"/>
      <c r="G536" s="728"/>
      <c r="H536" s="728"/>
      <c r="I536" s="728"/>
      <c r="J536" s="728"/>
      <c r="K536" s="728"/>
      <c r="L536" s="728"/>
      <c r="M536" s="728"/>
      <c r="N536" s="728"/>
      <c r="O536" s="729"/>
      <c r="P536" s="725" t="s">
        <v>40</v>
      </c>
      <c r="Q536" s="726"/>
      <c r="R536" s="726"/>
      <c r="S536" s="726"/>
      <c r="T536" s="726"/>
      <c r="U536" s="726"/>
      <c r="V536" s="727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28"/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9"/>
      <c r="P537" s="725" t="s">
        <v>40</v>
      </c>
      <c r="Q537" s="726"/>
      <c r="R537" s="726"/>
      <c r="S537" s="726"/>
      <c r="T537" s="726"/>
      <c r="U537" s="726"/>
      <c r="V537" s="727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19" t="s">
        <v>154</v>
      </c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19"/>
      <c r="P538" s="719"/>
      <c r="Q538" s="719"/>
      <c r="R538" s="719"/>
      <c r="S538" s="719"/>
      <c r="T538" s="719"/>
      <c r="U538" s="719"/>
      <c r="V538" s="719"/>
      <c r="W538" s="719"/>
      <c r="X538" s="719"/>
      <c r="Y538" s="719"/>
      <c r="Z538" s="71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720">
        <v>4640242180519</v>
      </c>
      <c r="E539" s="72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10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2"/>
      <c r="R539" s="722"/>
      <c r="S539" s="722"/>
      <c r="T539" s="72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8"/>
      <c r="B540" s="728"/>
      <c r="C540" s="728"/>
      <c r="D540" s="728"/>
      <c r="E540" s="728"/>
      <c r="F540" s="728"/>
      <c r="G540" s="728"/>
      <c r="H540" s="728"/>
      <c r="I540" s="728"/>
      <c r="J540" s="728"/>
      <c r="K540" s="728"/>
      <c r="L540" s="728"/>
      <c r="M540" s="728"/>
      <c r="N540" s="728"/>
      <c r="O540" s="729"/>
      <c r="P540" s="725" t="s">
        <v>40</v>
      </c>
      <c r="Q540" s="726"/>
      <c r="R540" s="726"/>
      <c r="S540" s="726"/>
      <c r="T540" s="726"/>
      <c r="U540" s="726"/>
      <c r="V540" s="727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8"/>
      <c r="B541" s="728"/>
      <c r="C541" s="728"/>
      <c r="D541" s="728"/>
      <c r="E541" s="728"/>
      <c r="F541" s="728"/>
      <c r="G541" s="728"/>
      <c r="H541" s="728"/>
      <c r="I541" s="728"/>
      <c r="J541" s="728"/>
      <c r="K541" s="728"/>
      <c r="L541" s="728"/>
      <c r="M541" s="728"/>
      <c r="N541" s="728"/>
      <c r="O541" s="729"/>
      <c r="P541" s="725" t="s">
        <v>40</v>
      </c>
      <c r="Q541" s="726"/>
      <c r="R541" s="726"/>
      <c r="S541" s="726"/>
      <c r="T541" s="726"/>
      <c r="U541" s="726"/>
      <c r="V541" s="727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9" t="s">
        <v>76</v>
      </c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19"/>
      <c r="P542" s="719"/>
      <c r="Q542" s="719"/>
      <c r="R542" s="719"/>
      <c r="S542" s="719"/>
      <c r="T542" s="719"/>
      <c r="U542" s="719"/>
      <c r="V542" s="719"/>
      <c r="W542" s="719"/>
      <c r="X542" s="719"/>
      <c r="Y542" s="719"/>
      <c r="Z542" s="71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720">
        <v>4640242180595</v>
      </c>
      <c r="E543" s="72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100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2"/>
      <c r="R543" s="722"/>
      <c r="S543" s="722"/>
      <c r="T543" s="72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28"/>
      <c r="B544" s="728"/>
      <c r="C544" s="728"/>
      <c r="D544" s="728"/>
      <c r="E544" s="728"/>
      <c r="F544" s="728"/>
      <c r="G544" s="728"/>
      <c r="H544" s="728"/>
      <c r="I544" s="728"/>
      <c r="J544" s="728"/>
      <c r="K544" s="728"/>
      <c r="L544" s="728"/>
      <c r="M544" s="728"/>
      <c r="N544" s="728"/>
      <c r="O544" s="729"/>
      <c r="P544" s="725" t="s">
        <v>40</v>
      </c>
      <c r="Q544" s="726"/>
      <c r="R544" s="726"/>
      <c r="S544" s="726"/>
      <c r="T544" s="726"/>
      <c r="U544" s="726"/>
      <c r="V544" s="7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28"/>
      <c r="B545" s="728"/>
      <c r="C545" s="728"/>
      <c r="D545" s="728"/>
      <c r="E545" s="728"/>
      <c r="F545" s="728"/>
      <c r="G545" s="728"/>
      <c r="H545" s="728"/>
      <c r="I545" s="728"/>
      <c r="J545" s="728"/>
      <c r="K545" s="728"/>
      <c r="L545" s="728"/>
      <c r="M545" s="728"/>
      <c r="N545" s="728"/>
      <c r="O545" s="729"/>
      <c r="P545" s="725" t="s">
        <v>40</v>
      </c>
      <c r="Q545" s="726"/>
      <c r="R545" s="726"/>
      <c r="S545" s="726"/>
      <c r="T545" s="726"/>
      <c r="U545" s="726"/>
      <c r="V545" s="7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19" t="s">
        <v>85</v>
      </c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19"/>
      <c r="P546" s="719"/>
      <c r="Q546" s="719"/>
      <c r="R546" s="719"/>
      <c r="S546" s="719"/>
      <c r="T546" s="719"/>
      <c r="U546" s="719"/>
      <c r="V546" s="719"/>
      <c r="W546" s="719"/>
      <c r="X546" s="719"/>
      <c r="Y546" s="719"/>
      <c r="Z546" s="71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720">
        <v>4640242180533</v>
      </c>
      <c r="E547" s="72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10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2"/>
      <c r="R547" s="722"/>
      <c r="S547" s="722"/>
      <c r="T547" s="72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28"/>
      <c r="B548" s="728"/>
      <c r="C548" s="728"/>
      <c r="D548" s="728"/>
      <c r="E548" s="728"/>
      <c r="F548" s="728"/>
      <c r="G548" s="728"/>
      <c r="H548" s="728"/>
      <c r="I548" s="728"/>
      <c r="J548" s="728"/>
      <c r="K548" s="728"/>
      <c r="L548" s="728"/>
      <c r="M548" s="728"/>
      <c r="N548" s="728"/>
      <c r="O548" s="729"/>
      <c r="P548" s="725" t="s">
        <v>40</v>
      </c>
      <c r="Q548" s="726"/>
      <c r="R548" s="726"/>
      <c r="S548" s="726"/>
      <c r="T548" s="726"/>
      <c r="U548" s="726"/>
      <c r="V548" s="72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28"/>
      <c r="B549" s="728"/>
      <c r="C549" s="728"/>
      <c r="D549" s="728"/>
      <c r="E549" s="728"/>
      <c r="F549" s="728"/>
      <c r="G549" s="728"/>
      <c r="H549" s="728"/>
      <c r="I549" s="728"/>
      <c r="J549" s="728"/>
      <c r="K549" s="728"/>
      <c r="L549" s="728"/>
      <c r="M549" s="728"/>
      <c r="N549" s="728"/>
      <c r="O549" s="729"/>
      <c r="P549" s="725" t="s">
        <v>40</v>
      </c>
      <c r="Q549" s="726"/>
      <c r="R549" s="726"/>
      <c r="S549" s="726"/>
      <c r="T549" s="726"/>
      <c r="U549" s="726"/>
      <c r="V549" s="72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19" t="s">
        <v>172</v>
      </c>
      <c r="B550" s="719"/>
      <c r="C550" s="719"/>
      <c r="D550" s="719"/>
      <c r="E550" s="719"/>
      <c r="F550" s="719"/>
      <c r="G550" s="719"/>
      <c r="H550" s="719"/>
      <c r="I550" s="719"/>
      <c r="J550" s="719"/>
      <c r="K550" s="719"/>
      <c r="L550" s="719"/>
      <c r="M550" s="719"/>
      <c r="N550" s="719"/>
      <c r="O550" s="719"/>
      <c r="P550" s="719"/>
      <c r="Q550" s="719"/>
      <c r="R550" s="719"/>
      <c r="S550" s="719"/>
      <c r="T550" s="719"/>
      <c r="U550" s="719"/>
      <c r="V550" s="719"/>
      <c r="W550" s="719"/>
      <c r="X550" s="719"/>
      <c r="Y550" s="719"/>
      <c r="Z550" s="71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720">
        <v>4640242180120</v>
      </c>
      <c r="E551" s="72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2"/>
      <c r="R551" s="722"/>
      <c r="S551" s="722"/>
      <c r="T551" s="72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720">
        <v>4640242180137</v>
      </c>
      <c r="E552" s="72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10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2"/>
      <c r="R552" s="722"/>
      <c r="S552" s="722"/>
      <c r="T552" s="72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28"/>
      <c r="B553" s="728"/>
      <c r="C553" s="728"/>
      <c r="D553" s="728"/>
      <c r="E553" s="728"/>
      <c r="F553" s="728"/>
      <c r="G553" s="728"/>
      <c r="H553" s="728"/>
      <c r="I553" s="728"/>
      <c r="J553" s="728"/>
      <c r="K553" s="728"/>
      <c r="L553" s="728"/>
      <c r="M553" s="728"/>
      <c r="N553" s="728"/>
      <c r="O553" s="729"/>
      <c r="P553" s="725" t="s">
        <v>40</v>
      </c>
      <c r="Q553" s="726"/>
      <c r="R553" s="726"/>
      <c r="S553" s="726"/>
      <c r="T553" s="726"/>
      <c r="U553" s="726"/>
      <c r="V553" s="727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728"/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9"/>
      <c r="P554" s="725" t="s">
        <v>40</v>
      </c>
      <c r="Q554" s="726"/>
      <c r="R554" s="726"/>
      <c r="S554" s="726"/>
      <c r="T554" s="726"/>
      <c r="U554" s="726"/>
      <c r="V554" s="727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718" t="s">
        <v>873</v>
      </c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62"/>
      <c r="AB555" s="62"/>
      <c r="AC555" s="62"/>
    </row>
    <row r="556" spans="1:68" ht="14.25" hidden="1" customHeight="1" x14ac:dyDescent="0.25">
      <c r="A556" s="719" t="s">
        <v>154</v>
      </c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719"/>
      <c r="P556" s="719"/>
      <c r="Q556" s="719"/>
      <c r="R556" s="719"/>
      <c r="S556" s="719"/>
      <c r="T556" s="719"/>
      <c r="U556" s="719"/>
      <c r="V556" s="719"/>
      <c r="W556" s="719"/>
      <c r="X556" s="719"/>
      <c r="Y556" s="719"/>
      <c r="Z556" s="71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720">
        <v>4640242180090</v>
      </c>
      <c r="E557" s="72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10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2"/>
      <c r="R557" s="722"/>
      <c r="S557" s="722"/>
      <c r="T557" s="72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728"/>
      <c r="B558" s="728"/>
      <c r="C558" s="728"/>
      <c r="D558" s="728"/>
      <c r="E558" s="728"/>
      <c r="F558" s="728"/>
      <c r="G558" s="728"/>
      <c r="H558" s="728"/>
      <c r="I558" s="728"/>
      <c r="J558" s="728"/>
      <c r="K558" s="728"/>
      <c r="L558" s="728"/>
      <c r="M558" s="728"/>
      <c r="N558" s="728"/>
      <c r="O558" s="729"/>
      <c r="P558" s="725" t="s">
        <v>40</v>
      </c>
      <c r="Q558" s="726"/>
      <c r="R558" s="726"/>
      <c r="S558" s="726"/>
      <c r="T558" s="726"/>
      <c r="U558" s="726"/>
      <c r="V558" s="727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728"/>
      <c r="B559" s="728"/>
      <c r="C559" s="728"/>
      <c r="D559" s="728"/>
      <c r="E559" s="728"/>
      <c r="F559" s="728"/>
      <c r="G559" s="728"/>
      <c r="H559" s="728"/>
      <c r="I559" s="728"/>
      <c r="J559" s="728"/>
      <c r="K559" s="728"/>
      <c r="L559" s="728"/>
      <c r="M559" s="728"/>
      <c r="N559" s="728"/>
      <c r="O559" s="729"/>
      <c r="P559" s="725" t="s">
        <v>40</v>
      </c>
      <c r="Q559" s="726"/>
      <c r="R559" s="726"/>
      <c r="S559" s="726"/>
      <c r="T559" s="726"/>
      <c r="U559" s="726"/>
      <c r="V559" s="727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728"/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1016"/>
      <c r="P560" s="1013" t="s">
        <v>33</v>
      </c>
      <c r="Q560" s="1014"/>
      <c r="R560" s="1014"/>
      <c r="S560" s="1014"/>
      <c r="T560" s="1014"/>
      <c r="U560" s="1014"/>
      <c r="V560" s="1015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825</v>
      </c>
      <c r="Z560" s="40"/>
      <c r="AA560" s="64"/>
      <c r="AB560" s="64"/>
      <c r="AC560" s="64"/>
    </row>
    <row r="561" spans="1:32" x14ac:dyDescent="0.2">
      <c r="A561" s="728"/>
      <c r="B561" s="728"/>
      <c r="C561" s="728"/>
      <c r="D561" s="728"/>
      <c r="E561" s="728"/>
      <c r="F561" s="728"/>
      <c r="G561" s="728"/>
      <c r="H561" s="728"/>
      <c r="I561" s="728"/>
      <c r="J561" s="728"/>
      <c r="K561" s="728"/>
      <c r="L561" s="728"/>
      <c r="M561" s="728"/>
      <c r="N561" s="728"/>
      <c r="O561" s="1016"/>
      <c r="P561" s="1013" t="s">
        <v>34</v>
      </c>
      <c r="Q561" s="1014"/>
      <c r="R561" s="1014"/>
      <c r="S561" s="1014"/>
      <c r="T561" s="1014"/>
      <c r="U561" s="1014"/>
      <c r="V561" s="1015"/>
      <c r="W561" s="40" t="s">
        <v>0</v>
      </c>
      <c r="X561" s="41">
        <f>IFERROR(SUM(BM22:BM557),"0")</f>
        <v>825.06666666666661</v>
      </c>
      <c r="Y561" s="41">
        <f>IFERROR(SUM(BN22:BN557),"0")</f>
        <v>850.84999999999991</v>
      </c>
      <c r="Z561" s="40"/>
      <c r="AA561" s="64"/>
      <c r="AB561" s="64"/>
      <c r="AC561" s="64"/>
    </row>
    <row r="562" spans="1:32" x14ac:dyDescent="0.2">
      <c r="A562" s="728"/>
      <c r="B562" s="728"/>
      <c r="C562" s="728"/>
      <c r="D562" s="728"/>
      <c r="E562" s="728"/>
      <c r="F562" s="728"/>
      <c r="G562" s="728"/>
      <c r="H562" s="728"/>
      <c r="I562" s="728"/>
      <c r="J562" s="728"/>
      <c r="K562" s="728"/>
      <c r="L562" s="728"/>
      <c r="M562" s="728"/>
      <c r="N562" s="728"/>
      <c r="O562" s="1016"/>
      <c r="P562" s="1013" t="s">
        <v>35</v>
      </c>
      <c r="Q562" s="1014"/>
      <c r="R562" s="1014"/>
      <c r="S562" s="1014"/>
      <c r="T562" s="1014"/>
      <c r="U562" s="1014"/>
      <c r="V562" s="1015"/>
      <c r="W562" s="40" t="s">
        <v>20</v>
      </c>
      <c r="X562" s="42">
        <f>ROUNDUP(SUM(BO22:BO557),0)</f>
        <v>2</v>
      </c>
      <c r="Y562" s="42">
        <f>ROUNDUP(SUM(BP22:BP557),0)</f>
        <v>2</v>
      </c>
      <c r="Z562" s="40"/>
      <c r="AA562" s="64"/>
      <c r="AB562" s="64"/>
      <c r="AC562" s="64"/>
    </row>
    <row r="563" spans="1:32" x14ac:dyDescent="0.2">
      <c r="A563" s="728"/>
      <c r="B563" s="728"/>
      <c r="C563" s="728"/>
      <c r="D563" s="728"/>
      <c r="E563" s="728"/>
      <c r="F563" s="728"/>
      <c r="G563" s="728"/>
      <c r="H563" s="728"/>
      <c r="I563" s="728"/>
      <c r="J563" s="728"/>
      <c r="K563" s="728"/>
      <c r="L563" s="728"/>
      <c r="M563" s="728"/>
      <c r="N563" s="728"/>
      <c r="O563" s="1016"/>
      <c r="P563" s="1013" t="s">
        <v>36</v>
      </c>
      <c r="Q563" s="1014"/>
      <c r="R563" s="1014"/>
      <c r="S563" s="1014"/>
      <c r="T563" s="1014"/>
      <c r="U563" s="1014"/>
      <c r="V563" s="1015"/>
      <c r="W563" s="40" t="s">
        <v>0</v>
      </c>
      <c r="X563" s="41">
        <f>GrossWeightTotal+PalletQtyTotal*25</f>
        <v>875.06666666666661</v>
      </c>
      <c r="Y563" s="41">
        <f>GrossWeightTotalR+PalletQtyTotalR*25</f>
        <v>900.84999999999991</v>
      </c>
      <c r="Z563" s="40"/>
      <c r="AA563" s="64"/>
      <c r="AB563" s="64"/>
      <c r="AC563" s="64"/>
    </row>
    <row r="564" spans="1:32" x14ac:dyDescent="0.2">
      <c r="A564" s="728"/>
      <c r="B564" s="728"/>
      <c r="C564" s="728"/>
      <c r="D564" s="728"/>
      <c r="E564" s="728"/>
      <c r="F564" s="728"/>
      <c r="G564" s="728"/>
      <c r="H564" s="728"/>
      <c r="I564" s="728"/>
      <c r="J564" s="728"/>
      <c r="K564" s="728"/>
      <c r="L564" s="728"/>
      <c r="M564" s="728"/>
      <c r="N564" s="728"/>
      <c r="O564" s="1016"/>
      <c r="P564" s="1013" t="s">
        <v>37</v>
      </c>
      <c r="Q564" s="1014"/>
      <c r="R564" s="1014"/>
      <c r="S564" s="1014"/>
      <c r="T564" s="1014"/>
      <c r="U564" s="1014"/>
      <c r="V564" s="1015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53.333333333333336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55</v>
      </c>
      <c r="Z564" s="40"/>
      <c r="AA564" s="64"/>
      <c r="AB564" s="64"/>
      <c r="AC564" s="64"/>
    </row>
    <row r="565" spans="1:32" ht="14.25" hidden="1" x14ac:dyDescent="0.2">
      <c r="A565" s="728"/>
      <c r="B565" s="728"/>
      <c r="C565" s="728"/>
      <c r="D565" s="728"/>
      <c r="E565" s="728"/>
      <c r="F565" s="728"/>
      <c r="G565" s="728"/>
      <c r="H565" s="728"/>
      <c r="I565" s="728"/>
      <c r="J565" s="728"/>
      <c r="K565" s="728"/>
      <c r="L565" s="728"/>
      <c r="M565" s="728"/>
      <c r="N565" s="728"/>
      <c r="O565" s="1016"/>
      <c r="P565" s="1013" t="s">
        <v>38</v>
      </c>
      <c r="Q565" s="1014"/>
      <c r="R565" s="1014"/>
      <c r="S565" s="1014"/>
      <c r="T565" s="1014"/>
      <c r="U565" s="1014"/>
      <c r="V565" s="1015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1.19625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1011" t="s">
        <v>119</v>
      </c>
      <c r="E567" s="1011" t="s">
        <v>119</v>
      </c>
      <c r="F567" s="1011" t="s">
        <v>119</v>
      </c>
      <c r="G567" s="1011" t="s">
        <v>119</v>
      </c>
      <c r="H567" s="1011" t="s">
        <v>119</v>
      </c>
      <c r="I567" s="1011" t="s">
        <v>119</v>
      </c>
      <c r="J567" s="1011" t="s">
        <v>119</v>
      </c>
      <c r="K567" s="1011" t="s">
        <v>359</v>
      </c>
      <c r="L567" s="1011" t="s">
        <v>359</v>
      </c>
      <c r="M567" s="1011" t="s">
        <v>359</v>
      </c>
      <c r="N567" s="1017"/>
      <c r="O567" s="1011" t="s">
        <v>359</v>
      </c>
      <c r="P567" s="1011" t="s">
        <v>359</v>
      </c>
      <c r="Q567" s="1011" t="s">
        <v>359</v>
      </c>
      <c r="R567" s="1011" t="s">
        <v>359</v>
      </c>
      <c r="S567" s="1011" t="s">
        <v>359</v>
      </c>
      <c r="T567" s="1011" t="s">
        <v>359</v>
      </c>
      <c r="U567" s="1011" t="s">
        <v>359</v>
      </c>
      <c r="V567" s="1011" t="s">
        <v>359</v>
      </c>
      <c r="W567" s="1011" t="s">
        <v>705</v>
      </c>
      <c r="X567" s="1011" t="s">
        <v>705</v>
      </c>
      <c r="Y567" s="1011" t="s">
        <v>771</v>
      </c>
      <c r="Z567" s="1011" t="s">
        <v>771</v>
      </c>
      <c r="AA567" s="80" t="s">
        <v>807</v>
      </c>
      <c r="AB567" s="1011" t="s">
        <v>854</v>
      </c>
      <c r="AC567" s="1011" t="s">
        <v>854</v>
      </c>
      <c r="AF567" s="1"/>
    </row>
    <row r="568" spans="1:32" ht="14.25" customHeight="1" thickTop="1" x14ac:dyDescent="0.2">
      <c r="A568" s="1018" t="s">
        <v>10</v>
      </c>
      <c r="B568" s="1011" t="s">
        <v>75</v>
      </c>
      <c r="C568" s="1011" t="s">
        <v>103</v>
      </c>
      <c r="D568" s="1011" t="s">
        <v>120</v>
      </c>
      <c r="E568" s="1011" t="s">
        <v>136</v>
      </c>
      <c r="F568" s="1011" t="s">
        <v>181</v>
      </c>
      <c r="G568" s="1011" t="s">
        <v>208</v>
      </c>
      <c r="H568" s="1011" t="s">
        <v>259</v>
      </c>
      <c r="I568" s="1011" t="s">
        <v>272</v>
      </c>
      <c r="J568" s="1011" t="s">
        <v>119</v>
      </c>
      <c r="K568" s="1011" t="s">
        <v>360</v>
      </c>
      <c r="L568" s="1011" t="s">
        <v>381</v>
      </c>
      <c r="M568" s="1011" t="s">
        <v>448</v>
      </c>
      <c r="N568" s="1"/>
      <c r="O568" s="1011" t="s">
        <v>516</v>
      </c>
      <c r="P568" s="1011" t="s">
        <v>549</v>
      </c>
      <c r="Q568" s="1011" t="s">
        <v>565</v>
      </c>
      <c r="R568" s="1011" t="s">
        <v>574</v>
      </c>
      <c r="S568" s="1011" t="s">
        <v>595</v>
      </c>
      <c r="T568" s="1011" t="s">
        <v>604</v>
      </c>
      <c r="U568" s="1011" t="s">
        <v>688</v>
      </c>
      <c r="V568" s="1011" t="s">
        <v>695</v>
      </c>
      <c r="W568" s="1011" t="s">
        <v>706</v>
      </c>
      <c r="X568" s="1011" t="s">
        <v>755</v>
      </c>
      <c r="Y568" s="1011" t="s">
        <v>772</v>
      </c>
      <c r="Z568" s="1011" t="s">
        <v>795</v>
      </c>
      <c r="AA568" s="1011" t="s">
        <v>807</v>
      </c>
      <c r="AB568" s="1011" t="s">
        <v>854</v>
      </c>
      <c r="AC568" s="1011" t="s">
        <v>873</v>
      </c>
      <c r="AF568" s="1"/>
    </row>
    <row r="569" spans="1:32" ht="13.5" thickBot="1" x14ac:dyDescent="0.25">
      <c r="A569" s="1019"/>
      <c r="B569" s="1011"/>
      <c r="C569" s="1011"/>
      <c r="D569" s="1011"/>
      <c r="E569" s="1011"/>
      <c r="F569" s="1011"/>
      <c r="G569" s="1011"/>
      <c r="H569" s="1011"/>
      <c r="I569" s="1011"/>
      <c r="J569" s="1011"/>
      <c r="K569" s="1011"/>
      <c r="L569" s="1011"/>
      <c r="M569" s="1011"/>
      <c r="N569" s="1"/>
      <c r="O569" s="1011"/>
      <c r="P569" s="1011"/>
      <c r="Q569" s="1011"/>
      <c r="R569" s="1011"/>
      <c r="S569" s="1011"/>
      <c r="T569" s="1011"/>
      <c r="U569" s="1011"/>
      <c r="V569" s="1011"/>
      <c r="W569" s="1011"/>
      <c r="X569" s="1011"/>
      <c r="Y569" s="1011"/>
      <c r="Z569" s="1011"/>
      <c r="AA569" s="1011"/>
      <c r="AB569" s="1011"/>
      <c r="AC569" s="1011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825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50,00"/>
        <filter val="2"/>
        <filter val="200,00"/>
        <filter val="43,33"/>
        <filter val="53,33"/>
        <filter val="650,00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