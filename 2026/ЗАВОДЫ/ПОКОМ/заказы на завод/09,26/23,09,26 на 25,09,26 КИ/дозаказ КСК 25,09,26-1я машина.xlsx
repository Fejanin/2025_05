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414B9F-851E-475C-9FF1-32F0A37DE8A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P539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0" i="2" l="1"/>
  <c r="BN80" i="2"/>
  <c r="BP275" i="2"/>
  <c r="BN277" i="2"/>
  <c r="BP385" i="2"/>
  <c r="BN393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553" i="2"/>
  <c r="Z414" i="2"/>
  <c r="Z325" i="2"/>
  <c r="Z177" i="2"/>
  <c r="Z51" i="2"/>
  <c r="Z134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<sst xmlns="http://schemas.openxmlformats.org/spreadsheetml/2006/main" count="4310" uniqueCount="900">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</sst>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46290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Пятница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0.45833333333333331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si="68"/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103.13333333333334</v>
      </c>
      <c r="BN433" s="78">
        <f t="shared" si="70"/>
        <v>108.29</v>
      </c>
      <c r="BO433" s="78">
        <f t="shared" si="71"/>
        <v>0.1388888888888889</v>
      </c>
      <c r="BP433" s="78">
        <f t="shared" si="72"/>
        <v>0.14583333333333331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100</v>
      </c>
      <c r="Y434" s="55">
        <f t="shared" si="68"/>
        <v>105</v>
      </c>
      <c r="Z434" s="41">
        <f>IFERROR(IF(Y434=0,"",ROUNDUP(Y434/H434,0)*0.02175),"")</f>
        <v>0.15225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103.13333333333334</v>
      </c>
      <c r="BN434" s="78">
        <f t="shared" si="70"/>
        <v>108.29</v>
      </c>
      <c r="BO434" s="78">
        <f t="shared" si="71"/>
        <v>0.1388888888888889</v>
      </c>
      <c r="BP434" s="78">
        <f t="shared" si="72"/>
        <v>0.14583333333333331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68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103.13333333333334</v>
      </c>
      <c r="BN435" s="78">
        <f t="shared" si="70"/>
        <v>108.29</v>
      </c>
      <c r="BO435" s="78">
        <f t="shared" si="71"/>
        <v>0.1388888888888889</v>
      </c>
      <c r="BP435" s="78">
        <f t="shared" si="72"/>
        <v>0.14583333333333331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20</v>
      </c>
      <c r="Y440" s="43">
        <f>IFERROR(Y432/H432,"0")+IFERROR(Y433/H433,"0")+IFERROR(Y434/H434,"0")+IFERROR(Y435/H435,"0")+IFERROR(Y436/H436,"0")+IFERROR(Y437/H437,"0")+IFERROR(Y438/H438,"0")+IFERROR(Y439/H439,"0")</f>
        <v>21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0.45674999999999999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300</v>
      </c>
      <c r="Y441" s="43">
        <f>IFERROR(SUM(Y432:Y439),"0")</f>
        <v>315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300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315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309.40000000000003</v>
      </c>
      <c r="Y561" s="43">
        <f>IFERROR(SUM(BN22:BN557),"0")</f>
        <v>324.87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334.40000000000003</v>
      </c>
      <c r="Y563" s="43">
        <f>GrossWeightTotalR+PalletQtyTotalR*25</f>
        <v>349.87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21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0.45674999999999999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315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20,00"/>
        <filter val="300,00"/>
        <filter val="309,40"/>
        <filter val="334,4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2026-09-25T06:56:10Z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