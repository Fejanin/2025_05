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20A2F5-80AE-4858-AA1C-EE618E949CD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N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N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N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N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Y249" i="2"/>
  <c r="Y447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134" i="2" l="1"/>
  <c r="Z140" i="2"/>
  <c r="Z300" i="2"/>
  <c r="Z90" i="2"/>
  <c r="Z51" i="2"/>
  <c r="Z325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<sst xmlns="http://schemas.openxmlformats.org/spreadsheetml/2006/main" count="4310" uniqueCount="900">
  <si>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</si>
  <si>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</si>
  <si>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</si>
  <si>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</si>
  <si>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</si>
  <si>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</si>
  <si>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</si>
  <si>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</si>
  <si>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</si>
  <si>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</si>
  <si>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</si>
  <si>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</si>
  <si>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</si>
  <si>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</si>
  <si>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</si>
  <si>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</si>
  <si>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</si>
  <si>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</si>
  <si>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</si>
  <si>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</si>
  <si>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</si>
  <si>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</si>
  <si>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</si>
  <si>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</si>
  <si>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</si>
  <si>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</si>
  <si>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</si>
  <si>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</si>
  <si>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</si>
  <si>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</si>
  <si>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</si>
  <si>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</si>
  <si>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</si>
  <si>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</si>
  <si>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</si>
  <si>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</si>
  <si>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</si>
  <si>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</si>
  <si>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</si>
  <si>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</si>
  <si>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</si>
  <si>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</si>
  <si>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</si>
  <si>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</si>
  <si>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</si>
  <si>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</si>
  <si>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</si>
  <si>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</si>
  <si>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</si>
  <si>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</si>
  <si>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</si>
  <si>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</si>
  <si>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</si>
  <si>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</si>
  <si>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</si>
  <si>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</si>
  <si>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</si>
  <si>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</si>
  <si>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</si>
  <si>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</si>
  <si>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</si>
  <si>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</si>
  <si>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</si>
  <si>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</si>
  <si>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</si>
  <si>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</si>
  <si>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</si>
  <si>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</si>
  <si>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</si>
  <si>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</si>
  <si>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</si>
  <si>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</si>
  <si>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</si>
  <si>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</si>
  <si>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</si>
  <si>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</si>
  <si>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</si>
  <si>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</si>
  <si>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</si>
  <si>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</si>
  <si>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</si>
  <si>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</si>
  <si>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</si>
  <si>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</si>
  <si>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</si>
  <si>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</si>
  <si>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</si>
  <si>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</si>
  <si>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</si>
  <si>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</si>
  <si>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</si>
  <si>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</si>
  <si>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</si>
  <si>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</si>
  <si>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</si>
  <si>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</si>
  <si>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</si>
  <si>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</si>
  <si>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</si>
  <si>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</si>
  <si>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</si>
  <si>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</si>
  <si>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</si>
  <si>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</si>
  <si>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</si>
  <si>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</si>
  <si>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</si>
  <si>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</si>
  <si>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</si>
  <si>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</si>
  <si>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</si>
  <si>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</si>
  <si>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</si>
  <si>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</si>
  <si>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</si>
  <si>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</si>
  <si>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</si>
  <si>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</si>
  <si>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</si>
  <si>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</si>
  <si>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</si>
  <si>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</si>
  <si>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</si>
  <si>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</si>
  <si>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</si>
  <si>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</si>
  <si>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</si>
  <si>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</si>
  <si>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</si>
  <si>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</si>
  <si>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</si>
  <si>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</si>
  <si>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</si>
  <si>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</si>
  <si>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</si>
  <si>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</si>
  <si>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</si>
  <si>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</si>
  <si>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</si>
  <si>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</si>
  <si>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</si>
  <si>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</si>
  <si>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</si>
  <si>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</si>
  <si>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</si>
  <si>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</si>
  <si>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</si>
  <si>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</si>
  <si>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</si>
  <si>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</si>
  <si>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</si>
  <si>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</si>
  <si>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</si>
  <si>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</si>
  <si>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</si>
  <si>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</si>
  <si>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</si>
  <si>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</si>
  <si>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</si>
  <si>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</si>
  <si>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</si>
  <si>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</si>
  <si>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</si>
  <si>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</si>
  <si>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</si>
  <si>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</si>
  <si>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</si>
  <si>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</si>
  <si>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</si>
  <si>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</si>
  <si>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</si>
  <si>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</si>
  <si>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</si>
  <si>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</si>
  <si>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</si>
  <si>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</si>
  <si>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</si>
  <si>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</si>
  <si>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</si>
  <si>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</si>
  <si>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</si>
  <si>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</si>
  <si>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</si>
  <si>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</si>
  <si>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</si>
  <si>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</si>
  <si>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</si>
  <si>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</si>
  <si>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</si>
  <si>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</si>
  <si>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</si>
  <si>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</si>
  <si>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</si>
  <si>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</si>
  <si>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</si>
  <si>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</si>
  <si>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</si>
  <si>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</si>
  <si>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</si>
  <si>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</si>
  <si>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</si>
  <si>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</si>
  <si>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</si>
  <si>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</si>
  <si>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</si>
  <si>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</si>
  <si>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</si>
  <si>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</si>
  <si>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</si>
  <si>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</si>
  <si>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</si>
  <si>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</si>
  <si>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</si>
  <si>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</si>
  <si>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</si>
  <si>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</si>
  <si>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</si>
  <si>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</si>
  <si>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</si>
  <si>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</si>
  <si>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</si>
  <si>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</si>
  <si>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</si>
  <si>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</si>
  <si>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</si>
  <si>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</si>
  <si>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</si>
  <si>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</si>
  <si>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</si>
  <si>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</si>
  <si>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</si>
  <si>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</si>
  <si>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</si>
  <si>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</si>
  <si>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</si>
  <si>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</si>
  <si>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</si>
  <si>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</si>
  <si>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</si>
  <si>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</si>
  <si>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</si>
  <si>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</si>
  <si>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</si>
  <si>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</si>
  <si>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</si>
  <si>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</si>
  <si>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</si>
  <si>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</si>
  <si>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</si>
  <si>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</si>
  <si>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</si>
  <si>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</si>
  <si>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</si>
  <si>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</si>
  <si>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</si>
  <si>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</si>
  <si>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</si>
  <si>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</si>
  <si>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</si>
  <si>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</si>
  <si>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</si>
  <si>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</si>
  <si>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</si>
  <si>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</si>
  <si>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</si>
  <si>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</si>
  <si>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</si>
  <si>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</si>
  <si>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</si>
  <si>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</si>
  <si>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</si>
  <si>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</si>
  <si>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</si>
  <si>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</si>
  <si>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</si>
  <si>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</si>
  <si>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</si>
  <si>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</si>
  <si>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</si>
  <si>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</si>
  <si>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</si>
  <si>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</si>
  <si>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</si>
  <si>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</si>
  <si>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</si>
  <si>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</si>
  <si>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</si>
  <si>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</si>
  <si>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</si>
  <si>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</si>
  <si>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</si>
  <si>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</si>
  <si>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</si>
  <si>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</si>
  <si>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</si>
  <si>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</si>
  <si>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</si>
  <si>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</si>
  <si>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</si>
  <si>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</si>
  <si>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</si>
  <si>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</si>
  <si>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</si>
  <si>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</si>
  <si>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</si>
  <si>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</si>
  <si>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</si>
  <si>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</si>
  <si>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</si>
  <si>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</si>
  <si>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</si>
  <si>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</si>
  <si>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</si>
  <si>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</si>
  <si>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</si>
  <si>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</si>
  <si>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</si>
  <si>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</si>
  <si>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</si>
  <si>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</si>
  <si>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</si>
  <si>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</si>
  <si>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</si>
  <si>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</si>
  <si>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</si>
  <si>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</si>
  <si>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</si>
  <si>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</si>
  <si>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</si>
  <si>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</si>
  <si>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</si>
  <si>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</si>
  <si>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</si>
  <si>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</si>
  <si>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</si>
  <si>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</si>
  <si>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</si>
  <si>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</si>
  <si>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</si>
  <si>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</si>
  <si>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</si>
  <si>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</si>
  <si>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</si>
  <si>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</si>
  <si>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</si>
  <si>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</si>
  <si>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</si>
  <si>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</si>
  <si>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</si>
  <si>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</si>
  <si>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</si>
  <si>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</si>
  <si>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</si>
  <si>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</si>
  <si>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</si>
  <si>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</si>
  <si>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</si>
  <si>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</si>
  <si>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</si>
  <si>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</si>
  <si>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</si>
  <si>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</si>
  <si>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</si>
  <si>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</si>
  <si>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</si>
  <si>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</si>
  <si>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</si>
  <si>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</si>
  <si>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</si>
  <si>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</si>
  <si>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</si>
  <si>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</si>
  <si>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</si>
  <si>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</si>
  <si>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</si>
  <si>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</si>
  <si>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</si>
  <si>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</si>
  <si>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</si>
  <si>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</si>
  <si>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</si>
  <si>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</si>
  <si>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</si>
  <si>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</si>
  <si>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</si>
  <si>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</si>
  <si>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</si>
  <si>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</si>
  <si>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</si>
  <si>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</si>
  <si>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</si>
  <si>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</si>
  <si>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</si>
  <si>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</si>
  <si>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</si>
  <si>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</si>
  <si>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</si>
  <si>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</si>
  <si>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</si>
  <si>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</si>
  <si>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</si>
  <si>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</si>
  <si>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</si>
  <si>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</si>
  <si>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</si>
  <si>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</si>
  <si>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</si>
  <si>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</si>
  <si>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</si>
  <si>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</si>
  <si>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</si>
  <si>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</si>
  <si>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</si>
  <si>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</si>
  <si>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</si>
  <si>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</si>
  <si>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</si>
  <si>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</si>
  <si>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</si>
  <si>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</si>
  <si>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</si>
  <si>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</si>
  <si>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</si>
  <si>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</si>
  <si>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</si>
  <si>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</si>
  <si>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</si>
  <si>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</si>
  <si>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</si>
  <si>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</si>
  <si>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</si>
  <si>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</si>
  <si>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</si>
  <si>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</si>
  <si>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</si>
  <si>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</si>
  <si>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</si>
  <si>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</si>
  <si>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</si>
  <si>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</si>
  <si>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</si>
  <si>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</si>
  <si>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</si>
  <si>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</si>
  <si>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</si>
  <si>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</si>
  <si>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</si>
  <si>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</si>
  <si>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</si>
  <si>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</si>
  <si>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</si>
  <si>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</si>
  <si>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</si>
  <si>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</si>
  <si>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</si>
  <si>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</si>
  <si>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</si>
  <si>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</si>
  <si>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</si>
  <si>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</si>
  <si>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</si>
  <si>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</si>
  <si>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</si>
  <si>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</si>
  <si>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</si>
  <si>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</si>
  <si>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</si>
  <si>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</si>
  <si>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</si>
  <si>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</si>
  <si>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</si>
  <si>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</si>
  <si>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</si>
  <si>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</si>
  <si>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</si>
  <si>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</si>
  <si>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</si>
  <si>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</si>
  <si>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</si>
  <si>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</si>
  <si>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</si>
  <si>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</si>
  <si>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</si>
  <si>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</si>
  <si>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</si>
  <si>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</si>
  <si>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</si>
  <si>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</si>
  <si>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</si>
  <si>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</si>
  <si>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</si>
  <si>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</si>
  <si>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</si>
  <si>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</si>
  <si>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</si>
  <si>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</si>
  <si>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</si>
  <si>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</si>
  <si>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</si>
  <si>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</si>
  <si>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</si>
  <si>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</si>
  <si>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</si>
  <si>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</si>
  <si>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</si>
  <si>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</si>
  <si>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</si>
  <si>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</si>
  <si>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</si>
  <si>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</si>
  <si>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</si>
  <si>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</si>
  <si>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</si>
  <si>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</si>
  <si>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</si>
  <si>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</si>
  <si>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</si>
  <si>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</si>
  <si>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</si>
  <si>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</si>
  <si>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</si>
  <si>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</si>
  <si>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</si>
  <si>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</si>
  <si>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</si>
  <si>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</si>
  <si>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</si>
  <si>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</si>
  <si>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</si>
  <si>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</si>
  <si>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</si>
  <si>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</si>
  <si>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</si>
  <si>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</si>
  <si>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</si>
  <si>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</si>
  <si>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</si>
  <si>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</si>
  <si>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</si>
  <si>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</si>
  <si>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</si>
  <si>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</si>
  <si>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</si>
  <si>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</si>
  <si>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</si>
  <si>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</si>
  <si>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</si>
  <si>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</si>
  <si>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</si>
  <si>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</si>
  <si>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</si>
  <si>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</si>
  <si>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</si>
  <si>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</si>
  <si>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</si>
  <si>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</si>
  <si>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</si>
  <si>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</si>
  <si>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</si>
  <si>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</si>
  <si>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</si>
  <si>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</si>
  <si>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</si>
  <si>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</si>
  <si>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</si>
  <si>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</si>
  <si>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</si>
  <si>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</si>
  <si>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</si>
  <si>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</si>
  <si>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</si>
  <si>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</si>
  <si>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</si>
  <si>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</si>
  <si>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</si>
  <si>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</si>
  <si>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</si>
  <si>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</si>
  <si>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</si>
  <si>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</si>
  <si>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</si>
  <si>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</si>
  <si>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</si>
  <si>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</si>
  <si>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</si>
  <si>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</si>
  <si>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</si>
  <si>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</si>
  <si>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</si>
  <si>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</si>
  <si>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</si>
  <si>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</si>
  <si>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</si>
  <si>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</si>
  <si>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</si>
  <si>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</si>
  <si>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</si>
  <si>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</si>
  <si>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</si>
  <si>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</si>
  <si>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</si>
  <si>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</si>
  <si>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</si>
  <si>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</si>
  <si>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</si>
  <si>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</si>
  <si>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</si>
  <si>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</si>
  <si>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</si>
  <si>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</si>
  <si>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</si>
  <si>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</si>
  <si>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</si>
  <si>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</si>
  <si>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</si>
  <si>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</si>
  <si>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</si>
  <si>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</si>
  <si>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</si>
  <si>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</si>
  <si>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</si>
  <si>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</si>
  <si>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</si>
  <si>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</si>
  <si>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</si>
  <si>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</si>
  <si>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</si>
  <si>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</si>
  <si>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</si>
  <si>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</si>
  <si>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</si>
  <si>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</si>
  <si>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</si>
  <si>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</si>
  <si>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</si>
  <si>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</si>
  <si>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</si>
  <si>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</si>
  <si>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</si>
  <si>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</si>
  <si>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</si>
  <si>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</si>
  <si>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</si>
  <si>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</si>
  <si>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</si>
  <si>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</si>
  <si>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</si>
  <si>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</si>
  <si>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</si>
  <si>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</si>
  <si>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</si>
  <si>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</si>
  <si>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</si>
  <si>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</si>
  <si>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</si>
  <si>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</si>
  <si>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</si>
  <si>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</si>
  <si>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</si>
  <si>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</si>
  <si>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</si>
  <si>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</si>
  <si>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</si>
  <si>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</si>
  <si>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</si>
  <si>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</si>
  <si>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</si>
  <si>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</si>
  <si>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</si>
  <si>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</si>
  <si>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</si>
  <si>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</si>
  <si>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</si>
  <si>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</si>
  <si>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</si>
  <si>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</si>
  <si>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</si>
  <si>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</si>
  <si>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</si>
  <si>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</si>
  <si>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</si>
  <si>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</si>
  <si>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</si>
  <si>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</si>
  <si>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</si>
  <si>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</si>
  <si>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</si>
  <si>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</si>
  <si>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</si>
  <si>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</si>
  <si>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</si>
  <si>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</si>
  <si>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</si>
  <si>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</si>
  <si>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</si>
  <si>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</si>
  <si>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</si>
  <si>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</si>
  <si>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</si>
  <si>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</si>
  <si>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</si>
  <si>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</si>
  <si>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</si>
  <si>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</si>
  <si>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</si>
  <si>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</si>
  <si>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</si>
  <si>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</si>
  <si>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</si>
  <si>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</si>
  <si>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</si>
  <si>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</si>
  <si>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</si>
  <si>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</si>
  <si>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</si>
  <si>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</si>
  <si>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</si>
  <si>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</si>
  <si>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</si>
  <si>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</si>
  <si>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</si>
  <si>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</si>
  <si>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</si>
  <si>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</si>
  <si>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</si>
  <si>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</si>
  <si>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</si>
  <si>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</si>
  <si>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</si>
  <si>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</si>
  <si>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</si>
  <si>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</si>
  <si>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</si>
  <si>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</si>
  <si>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</si>
  <si>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</si>
  <si>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</si>
  <si>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</si>
  <si>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</si>
  <si>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</si>
  <si>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</si>
  <si>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</si>
  <si>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</si>
  <si>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</si>
  <si>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</si>
  <si>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</si>
  <si>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</si>
  <si>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</si>
  <si>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</si>
  <si>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</si>
  <si>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</si>
  <si>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</si>
  <si>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</si>
  <si>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</si>
  <si>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</si>
  <si>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</si>
  <si>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</si>
  <si>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</si>
  <si>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</si>
  <si>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</si>
  <si>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</si>
  <si>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</si>
  <si>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</si>
  <si>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</si>
  <si>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</si>
  <si>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</si>
  <si>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</si>
  <si>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</si>
  <si>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</si>
  <si>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</si>
  <si>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</si>
  <si>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</si>
  <si>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</si>
  <si>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</si>
  <si>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</si>
  <si>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</si>
  <si>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</si>
  <si>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</si>
  <si>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</si>
  <si>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</si>
  <si>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</si>
  <si>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</si>
  <si>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</si>
  <si>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</si>
  <si>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</si>
  <si>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</si>
  <si>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</si>
  <si>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</si>
  <si>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</si>
  <si>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</si>
  <si>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</si>
  <si>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</si>
  <si>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</si>
  <si>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</si>
  <si>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</si>
  <si>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</si>
  <si>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</si>
  <si>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</si>
  <si>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</si>
  <si>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</si>
  <si>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</si>
  <si>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</si>
  <si>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</si>
  <si>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</si>
  <si>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</si>
  <si>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</si>
  <si>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</si>
  <si>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</si>
  <si>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</si>
  <si>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</si>
  <si>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</si>
  <si>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</si>
  <si>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</si>
  <si>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</si>
  <si>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</si>
  <si>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</si>
  <si>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</si>
  <si>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</si>
  <si>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</si>
  <si>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</si>
  <si>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</si>
  <si>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</si>
  <si>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</si>
  <si>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</si>
  <si>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</si>
  <si>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</si>
  <si>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</si>
  <si>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</si>
  <si>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</si>
  <si>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</si>
  <si>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</si>
  <si>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</si>
  <si>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</si>
  <si>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</si>
  <si>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</si>
  <si>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</si>
  <si>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</si>
  <si>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</si>
  <si>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</si>
  <si>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</si>
  <si>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</si>
  <si>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</si>
  <si>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</si>
  <si>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</si>
  <si>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</si>
  <si>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</si>
  <si>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</si>
  <si>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</si>
  <si>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</si>
  <si>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</si>
  <si>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</si>
  <si>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</si>
  <si>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</si>
  <si>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</si>
  <si>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</si>
  <si>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</si>
  <si>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</si>
  <si>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</si>
  <si>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</si>
  <si>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</si>
  <si>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</si>
  <si>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</si>
  <si>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</si>
  <si>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</si>
  <si>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</si>
  <si>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</si>
  <si>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</si>
  <si>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</si>
  <si>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</si>
  <si>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</si>
  <si>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</si>
  <si>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</si>
  <si>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</si>
  <si>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</si>
  <si>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</si>
  <si>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</si>
  <si>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</si>
  <si>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</si>
  <si>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</si>
  <si>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</si>
  <si>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</si>
  <si>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</si>
  <si>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</si>
  <si>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</si>
  <si>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</si>
  <si>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</si>
  <si>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</si>
  <si>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</si>
  <si>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</si>
  <si>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</si>
  <si>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</si>
  <si>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</si>
  <si>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</si>
  <si>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</si>
  <si>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</si>
  <si>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</si>
  <si>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</si>
  <si>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</si>
  <si>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</si>
  <si>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 за 25,09,26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</si>
</sst>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46291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Суббота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0.41666666666666669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1300</v>
      </c>
      <c r="Y425" s="53">
        <f>IFERROR(IF(X425="",0,CEILING((X425/$H425),1)*$H425),"")</f>
        <v>1302</v>
      </c>
      <c r="Z425" s="39">
        <f>IFERROR(IF(Y425=0,"",ROUNDUP(Y425/H425,0)*0.00651),"")</f>
        <v>4.0362</v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1456</v>
      </c>
      <c r="BN425" s="75">
        <f>IFERROR(Y425*I425/H425,"0")</f>
        <v>1458.2399999999998</v>
      </c>
      <c r="BO425" s="75">
        <f>IFERROR(1/J425*(X425/H425),"0")</f>
        <v>3.4013605442176873</v>
      </c>
      <c r="BP425" s="75">
        <f>IFERROR(1/J425*(Y425/H425),"0")</f>
        <v>3.4065934065934069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619.04761904761904</v>
      </c>
      <c r="Y427" s="41">
        <f>IFERROR(Y424/H424,"0")+IFERROR(Y425/H425,"0")+IFERROR(Y426/H426,"0")</f>
        <v>620</v>
      </c>
      <c r="Z427" s="41">
        <f>IFERROR(IF(Z424="",0,Z424),"0")+IFERROR(IF(Z425="",0,Z425),"0")+IFERROR(IF(Z426="",0,Z426),"0")</f>
        <v>4.0362</v>
      </c>
      <c r="AA427" s="64"/>
      <c r="AB427" s="64"/>
      <c r="AC427" s="64"/>
    </row>
    <row r="428" spans="1:68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1300</v>
      </c>
      <c r="Y428" s="41">
        <f>IFERROR(SUM(Y424:Y426),"0")</f>
        <v>1302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hidden="1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0</v>
      </c>
      <c r="Y440" s="41">
        <f>IFERROR(Y432/H432,"0")+IFERROR(Y433/H433,"0")+IFERROR(Y434/H434,"0")+IFERROR(Y435/H435,"0")+IFERROR(Y436/H436,"0")+IFERROR(Y437/H437,"0")+IFERROR(Y438/H438,"0")+IFERROR(Y439/H439,"0")</f>
        <v>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0</v>
      </c>
      <c r="Y441" s="41">
        <f>IFERROR(SUM(Y432:Y439),"0")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hidden="1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1300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1302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1456</v>
      </c>
      <c r="Y561" s="41">
        <f>IFERROR(SUM(BN22:BN557),"0")</f>
        <v>1458.2399999999998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4</v>
      </c>
      <c r="Y562" s="42">
        <f>ROUNDUP(SUM(BP22:BP557),0)</f>
        <v>4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1556</v>
      </c>
      <c r="Y563" s="41">
        <f>GrossWeightTotalR+PalletQtyTotalR*25</f>
        <v>1558.2399999999998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619.04761904761904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620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4.0362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1302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456,00"/>
        <filter val="1 556,00"/>
        <filter val="4"/>
        <filter val="619,05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