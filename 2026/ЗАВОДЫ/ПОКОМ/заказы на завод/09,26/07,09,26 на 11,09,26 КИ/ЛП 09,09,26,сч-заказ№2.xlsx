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73452D-E030-4074-9EAE-A1F8D8F0BB6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Y465" i="2"/>
  <c r="Z465" i="2" s="1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BP184" i="2" l="1"/>
  <c r="Z185" i="2"/>
  <c r="BN185" i="2"/>
  <c r="Z233" i="2"/>
  <c r="BN233" i="2"/>
  <c r="Z439" i="2"/>
  <c r="BP40" i="2"/>
  <c r="Z86" i="2"/>
  <c r="BN86" i="2"/>
  <c r="Z93" i="2"/>
  <c r="Z267" i="2"/>
  <c r="BN267" i="2"/>
  <c r="Z397" i="2"/>
  <c r="Z411" i="2"/>
  <c r="Z449" i="2"/>
  <c r="Y61" i="2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Z202" i="2" s="1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100" i="2" l="1"/>
  <c r="Z273" i="2"/>
  <c r="Z74" i="2"/>
  <c r="X567" i="2"/>
  <c r="Z456" i="2"/>
  <c r="Z399" i="2"/>
  <c r="Z32" i="2"/>
  <c r="Z81" i="2"/>
  <c r="Z268" i="2"/>
  <c r="Z450" i="2"/>
  <c r="Z366" i="2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<sst xmlns="http://schemas.openxmlformats.org/spreadsheetml/2006/main" count="4374" uniqueCount="915">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</sst>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914</v>
      </c>
      <c r="I5" s="667"/>
      <c r="J5" s="667"/>
      <c r="K5" s="667"/>
      <c r="L5" s="667"/>
      <c r="M5" s="667"/>
      <c r="N5" s="72"/>
      <c r="P5" s="27" t="s">
        <v>4</v>
      </c>
      <c r="Q5" s="669">
        <v>46274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Среда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0.5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60</v>
      </c>
      <c r="Y47" s="55">
        <f>IFERROR(IF(X47="",0,CEILING((X47/$H47),1)*$H47),"")</f>
        <v>64.800000000000011</v>
      </c>
      <c r="Z47" s="41">
        <f>IFERROR(IF(Y47=0,"",ROUNDUP(Y47/H47,0)*0.01898),"")</f>
        <v>0.11388000000000001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62.277777777777779</v>
      </c>
      <c r="BN47" s="78">
        <f>IFERROR(Y47*I47/H47,"0")</f>
        <v>67.260000000000005</v>
      </c>
      <c r="BO47" s="78">
        <f>IFERROR(1/J47*(X47/H47),"0")</f>
        <v>8.6805555555555552E-2</v>
      </c>
      <c r="BP47" s="78">
        <f>IFERROR(1/J47*(Y47/H47),"0")</f>
        <v>9.3750000000000014E-2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12</v>
      </c>
      <c r="Y49" s="55">
        <f>IFERROR(IF(X49="",0,CEILING((X49/$H49),1)*$H49),"")</f>
        <v>12</v>
      </c>
      <c r="Z49" s="41">
        <f>IFERROR(IF(Y49=0,"",ROUNDUP(Y49/H49,0)*0.00902),"")</f>
        <v>2.7060000000000001E-2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12.57</v>
      </c>
      <c r="BN49" s="78">
        <f>IFERROR(Y49*I49/H49,"0")</f>
        <v>12.57</v>
      </c>
      <c r="BO49" s="78">
        <f>IFERROR(1/J49*(X49/H49),"0")</f>
        <v>2.2727272727272728E-2</v>
      </c>
      <c r="BP49" s="78">
        <f>IFERROR(1/J49*(Y49/H49),"0")</f>
        <v>2.2727272727272728E-2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8.5555555555555554</v>
      </c>
      <c r="Y51" s="43">
        <f>IFERROR(Y47/H47,"0")+IFERROR(Y48/H48,"0")+IFERROR(Y49/H49,"0")+IFERROR(Y50/H50,"0")</f>
        <v>9</v>
      </c>
      <c r="Z51" s="43">
        <f>IFERROR(IF(Z47="",0,Z47),"0")+IFERROR(IF(Z48="",0,Z48),"0")+IFERROR(IF(Z49="",0,Z49),"0")+IFERROR(IF(Z50="",0,Z50),"0")</f>
        <v>0.14094000000000001</v>
      </c>
      <c r="AA51" s="67"/>
      <c r="AB51" s="67"/>
      <c r="AC51" s="67"/>
    </row>
    <row r="52" spans="1:68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72</v>
      </c>
      <c r="Y52" s="43">
        <f>IFERROR(SUM(Y47:Y50),"0")</f>
        <v>76.800000000000011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20</v>
      </c>
      <c r="Y55" s="55">
        <f t="shared" ref="Y55:Y60" si="0">IFERROR(IF(X55="",0,CEILING((X55/$H55),1)*$H55),"")</f>
        <v>22.4</v>
      </c>
      <c r="Z55" s="41">
        <f>IFERROR(IF(Y55=0,"",ROUNDUP(Y55/H55,0)*0.01898),"")</f>
        <v>3.7960000000000001E-2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20.732142857142858</v>
      </c>
      <c r="BN55" s="78">
        <f t="shared" ref="BN55:BN60" si="2">IFERROR(Y55*I55/H55,"0")</f>
        <v>23.22</v>
      </c>
      <c r="BO55" s="78">
        <f t="shared" ref="BO55:BO60" si="3">IFERROR(1/J55*(X55/H55),"0")</f>
        <v>2.7901785714285716E-2</v>
      </c>
      <c r="BP55" s="78">
        <f t="shared" ref="BP55:BP60" si="4">IFERROR(1/J55*(Y55/H55),"0")</f>
        <v>3.125E-2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400</v>
      </c>
      <c r="Y56" s="55">
        <f t="shared" si="0"/>
        <v>410.40000000000003</v>
      </c>
      <c r="Z56" s="41">
        <f>IFERROR(IF(Y56=0,"",ROUNDUP(Y56/H56,0)*0.01898),"")</f>
        <v>0.72123999999999999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415.18518518518516</v>
      </c>
      <c r="BN56" s="78">
        <f t="shared" si="2"/>
        <v>425.98</v>
      </c>
      <c r="BO56" s="78">
        <f t="shared" si="3"/>
        <v>0.57870370370370372</v>
      </c>
      <c r="BP56" s="78">
        <f t="shared" si="4"/>
        <v>0.59375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144</v>
      </c>
      <c r="Y60" s="55">
        <f t="shared" si="0"/>
        <v>144</v>
      </c>
      <c r="Z60" s="41">
        <f>IFERROR(IF(Y60=0,"",ROUNDUP(Y60/H60,0)*0.00902),"")</f>
        <v>0.28864000000000001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150.08000000000001</v>
      </c>
      <c r="BN60" s="78">
        <f t="shared" si="2"/>
        <v>150.08000000000001</v>
      </c>
      <c r="BO60" s="78">
        <f t="shared" si="3"/>
        <v>0.24242424242424243</v>
      </c>
      <c r="BP60" s="78">
        <f t="shared" si="4"/>
        <v>0.24242424242424243</v>
      </c>
    </row>
    <row r="61" spans="1:68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70.822751322751316</v>
      </c>
      <c r="Y61" s="43">
        <f>IFERROR(Y55/H55,"0")+IFERROR(Y56/H56,"0")+IFERROR(Y57/H57,"0")+IFERROR(Y58/H58,"0")+IFERROR(Y59/H59,"0")+IFERROR(Y60/H60,"0")</f>
        <v>72</v>
      </c>
      <c r="Z61" s="43">
        <f>IFERROR(IF(Z55="",0,Z55),"0")+IFERROR(IF(Z56="",0,Z56),"0")+IFERROR(IF(Z57="",0,Z57),"0")+IFERROR(IF(Z58="",0,Z58),"0")+IFERROR(IF(Z59="",0,Z59),"0")+IFERROR(IF(Z60="",0,Z60),"0")</f>
        <v>1.0478399999999999</v>
      </c>
      <c r="AA61" s="67"/>
      <c r="AB61" s="67"/>
      <c r="AC61" s="67"/>
    </row>
    <row r="62" spans="1:68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564</v>
      </c>
      <c r="Y62" s="43">
        <f>IFERROR(SUM(Y55:Y60),"0")</f>
        <v>576.79999999999995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650</v>
      </c>
      <c r="Y64" s="55">
        <f>IFERROR(IF(X64="",0,CEILING((X64/$H64),1)*$H64),"")</f>
        <v>658.80000000000007</v>
      </c>
      <c r="Z64" s="41">
        <f>IFERROR(IF(Y64=0,"",ROUNDUP(Y64/H64,0)*0.01898),"")</f>
        <v>1.15778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674.67592592592598</v>
      </c>
      <c r="BN64" s="78">
        <f>IFERROR(Y64*I64/H64,"0")</f>
        <v>683.81000000000006</v>
      </c>
      <c r="BO64" s="78">
        <f>IFERROR(1/J64*(X64/H64),"0")</f>
        <v>0.94039351851851849</v>
      </c>
      <c r="BP64" s="78">
        <f>IFERROR(1/J64*(Y64/H64),"0")</f>
        <v>0.953125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67.5</v>
      </c>
      <c r="Y67" s="55">
        <f>IFERROR(IF(X67="",0,CEILING((X67/$H67),1)*$H67),"")</f>
        <v>67.5</v>
      </c>
      <c r="Z67" s="41">
        <f>IFERROR(IF(Y67=0,"",ROUNDUP(Y67/H67,0)*0.00651),"")</f>
        <v>0.16275000000000001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72</v>
      </c>
      <c r="BN67" s="78">
        <f>IFERROR(Y67*I67/H67,"0")</f>
        <v>72</v>
      </c>
      <c r="BO67" s="78">
        <f>IFERROR(1/J67*(X67/H67),"0")</f>
        <v>0.13736263736263737</v>
      </c>
      <c r="BP67" s="78">
        <f>IFERROR(1/J67*(Y67/H67),"0")</f>
        <v>0.13736263736263737</v>
      </c>
    </row>
    <row r="68" spans="1:68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85.18518518518519</v>
      </c>
      <c r="Y68" s="43">
        <f>IFERROR(Y64/H64,"0")+IFERROR(Y65/H65,"0")+IFERROR(Y66/H66,"0")+IFERROR(Y67/H67,"0")</f>
        <v>86</v>
      </c>
      <c r="Z68" s="43">
        <f>IFERROR(IF(Z64="",0,Z64),"0")+IFERROR(IF(Z65="",0,Z65),"0")+IFERROR(IF(Z66="",0,Z66),"0")+IFERROR(IF(Z67="",0,Z67),"0")</f>
        <v>1.32053</v>
      </c>
      <c r="AA68" s="67"/>
      <c r="AB68" s="67"/>
      <c r="AC68" s="67"/>
    </row>
    <row r="69" spans="1:68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717.5</v>
      </c>
      <c r="Y69" s="43">
        <f>IFERROR(SUM(Y64:Y67),"0")</f>
        <v>726.30000000000007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3.6</v>
      </c>
      <c r="Y72" s="55">
        <f>IFERROR(IF(X72="",0,CEILING((X72/$H72),1)*$H72),"")</f>
        <v>3.6</v>
      </c>
      <c r="Z72" s="41">
        <f>IFERROR(IF(Y72=0,"",ROUNDUP(Y72/H72,0)*0.00651),"")</f>
        <v>1.302E-2</v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3.96</v>
      </c>
      <c r="BN72" s="78">
        <f>IFERROR(Y72*I72/H72,"0")</f>
        <v>3.96</v>
      </c>
      <c r="BO72" s="78">
        <f>IFERROR(1/J72*(X72/H72),"0")</f>
        <v>1.098901098901099E-2</v>
      </c>
      <c r="BP72" s="78">
        <f>IFERROR(1/J72*(Y72/H72),"0")</f>
        <v>1.098901098901099E-2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2</v>
      </c>
      <c r="Y74" s="43">
        <f>IFERROR(Y71/H71,"0")+IFERROR(Y72/H72,"0")+IFERROR(Y73/H73,"0")</f>
        <v>2</v>
      </c>
      <c r="Z74" s="43">
        <f>IFERROR(IF(Z71="",0,Z71),"0")+IFERROR(IF(Z72="",0,Z72),"0")+IFERROR(IF(Z73="",0,Z73),"0")</f>
        <v>1.302E-2</v>
      </c>
      <c r="AA74" s="67"/>
      <c r="AB74" s="67"/>
      <c r="AC74" s="67"/>
    </row>
    <row r="75" spans="1:68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3.6</v>
      </c>
      <c r="Y75" s="43">
        <f>IFERROR(SUM(Y71:Y73),"0")</f>
        <v>3.6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120</v>
      </c>
      <c r="Y85" s="55">
        <f>IFERROR(IF(X85="",0,CEILING((X85/$H85),1)*$H85),"")</f>
        <v>129.60000000000002</v>
      </c>
      <c r="Z85" s="41">
        <f>IFERROR(IF(Y85=0,"",ROUNDUP(Y85/H85,0)*0.01898),"")</f>
        <v>0.22776000000000002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124.55555555555556</v>
      </c>
      <c r="BN85" s="78">
        <f>IFERROR(Y85*I85/H85,"0")</f>
        <v>134.52000000000001</v>
      </c>
      <c r="BO85" s="78">
        <f>IFERROR(1/J85*(X85/H85),"0")</f>
        <v>0.1736111111111111</v>
      </c>
      <c r="BP85" s="78">
        <f>IFERROR(1/J85*(Y85/H85),"0")</f>
        <v>0.18750000000000003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49.5</v>
      </c>
      <c r="Y89" s="55">
        <f>IFERROR(IF(X89="",0,CEILING((X89/$H89),1)*$H89),"")</f>
        <v>49.5</v>
      </c>
      <c r="Z89" s="41">
        <f>IFERROR(IF(Y89=0,"",ROUNDUP(Y89/H89,0)*0.00902),"")</f>
        <v>9.9220000000000003E-2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51.59</v>
      </c>
      <c r="BN89" s="78">
        <f>IFERROR(Y89*I89/H89,"0")</f>
        <v>51.59</v>
      </c>
      <c r="BO89" s="78">
        <f>IFERROR(1/J89*(X89/H89),"0")</f>
        <v>8.3333333333333343E-2</v>
      </c>
      <c r="BP89" s="78">
        <f>IFERROR(1/J89*(Y89/H89),"0")</f>
        <v>8.3333333333333343E-2</v>
      </c>
    </row>
    <row r="90" spans="1:68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22.111111111111111</v>
      </c>
      <c r="Y90" s="43">
        <f>IFERROR(Y85/H85,"0")+IFERROR(Y86/H86,"0")+IFERROR(Y87/H87,"0")+IFERROR(Y88/H88,"0")+IFERROR(Y89/H89,"0")</f>
        <v>23</v>
      </c>
      <c r="Z90" s="43">
        <f>IFERROR(IF(Z85="",0,Z85),"0")+IFERROR(IF(Z86="",0,Z86),"0")+IFERROR(IF(Z87="",0,Z87),"0")+IFERROR(IF(Z88="",0,Z88),"0")+IFERROR(IF(Z89="",0,Z89),"0")</f>
        <v>0.32698000000000005</v>
      </c>
      <c r="AA90" s="67"/>
      <c r="AB90" s="67"/>
      <c r="AC90" s="67"/>
    </row>
    <row r="91" spans="1:68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169.5</v>
      </c>
      <c r="Y91" s="43">
        <f>IFERROR(SUM(Y85:Y89),"0")</f>
        <v>179.10000000000002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175</v>
      </c>
      <c r="Y93" s="55">
        <f t="shared" ref="Y93:Y99" si="5">IFERROR(IF(X93="",0,CEILING((X93/$H93),1)*$H93),"")</f>
        <v>178.2</v>
      </c>
      <c r="Z93" s="41">
        <f>IFERROR(IF(Y93=0,"",ROUNDUP(Y93/H93,0)*0.01898),"")</f>
        <v>0.41755999999999999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185.67283950617283</v>
      </c>
      <c r="BN93" s="78">
        <f t="shared" ref="BN93:BN99" si="7">IFERROR(Y93*I93/H93,"0")</f>
        <v>189.06799999999998</v>
      </c>
      <c r="BO93" s="78">
        <f t="shared" ref="BO93:BO99" si="8">IFERROR(1/J93*(X93/H93),"0")</f>
        <v>0.33757716049382719</v>
      </c>
      <c r="BP93" s="78">
        <f t="shared" ref="BP93:BP99" si="9">IFERROR(1/J93*(Y93/H93),"0")</f>
        <v>0.34375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18</v>
      </c>
      <c r="Y97" s="55">
        <f t="shared" si="5"/>
        <v>18.900000000000002</v>
      </c>
      <c r="Z97" s="41">
        <f>IFERROR(IF(Y97=0,"",ROUNDUP(Y97/H97,0)*0.00651),"")</f>
        <v>4.5569999999999999E-2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19.679999999999996</v>
      </c>
      <c r="BN97" s="78">
        <f t="shared" si="7"/>
        <v>20.664000000000001</v>
      </c>
      <c r="BO97" s="78">
        <f t="shared" si="8"/>
        <v>3.6630036630036632E-2</v>
      </c>
      <c r="BP97" s="78">
        <f t="shared" si="9"/>
        <v>3.8461538461538464E-2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28.271604938271608</v>
      </c>
      <c r="Y100" s="43">
        <f>IFERROR(Y93/H93,"0")+IFERROR(Y94/H94,"0")+IFERROR(Y95/H95,"0")+IFERROR(Y96/H96,"0")+IFERROR(Y97/H97,"0")+IFERROR(Y98/H98,"0")+IFERROR(Y99/H99,"0")</f>
        <v>29</v>
      </c>
      <c r="Z100" s="43">
        <f>IFERROR(IF(Z93="",0,Z93),"0")+IFERROR(IF(Z94="",0,Z94),"0")+IFERROR(IF(Z95="",0,Z95),"0")+IFERROR(IF(Z96="",0,Z96),"0")+IFERROR(IF(Z97="",0,Z97),"0")+IFERROR(IF(Z98="",0,Z98),"0")+IFERROR(IF(Z99="",0,Z99),"0")</f>
        <v>0.46312999999999999</v>
      </c>
      <c r="AA100" s="67"/>
      <c r="AB100" s="67"/>
      <c r="AC100" s="67"/>
    </row>
    <row r="101" spans="1:68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193</v>
      </c>
      <c r="Y101" s="43">
        <f>IFERROR(SUM(Y93:Y99),"0")</f>
        <v>197.1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11.25</v>
      </c>
      <c r="Y108" s="55">
        <f t="shared" si="10"/>
        <v>11.25</v>
      </c>
      <c r="Z108" s="41">
        <f>IFERROR(IF(Y108=0,"",ROUNDUP(Y108/H108,0)*0.00902),"")</f>
        <v>2.7060000000000001E-2</v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11.82</v>
      </c>
      <c r="BN108" s="78">
        <f t="shared" si="12"/>
        <v>11.82</v>
      </c>
      <c r="BO108" s="78">
        <f t="shared" si="13"/>
        <v>2.2727272727272728E-2</v>
      </c>
      <c r="BP108" s="78">
        <f t="shared" si="14"/>
        <v>2.2727272727272728E-2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3</v>
      </c>
      <c r="Y112" s="43">
        <f>IFERROR(Y104/H104,"0")+IFERROR(Y105/H105,"0")+IFERROR(Y106/H106,"0")+IFERROR(Y107/H107,"0")+IFERROR(Y108/H108,"0")+IFERROR(Y109/H109,"0")+IFERROR(Y110/H110,"0")+IFERROR(Y111/H111,"0")</f>
        <v>3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2.7060000000000001E-2</v>
      </c>
      <c r="AA112" s="67"/>
      <c r="AB112" s="67"/>
      <c r="AC112" s="67"/>
    </row>
    <row r="113" spans="1:68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11.25</v>
      </c>
      <c r="Y113" s="43">
        <f>IFERROR(SUM(Y104:Y111),"0")</f>
        <v>11.25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130</v>
      </c>
      <c r="Y123" s="55">
        <f t="shared" ref="Y123:Y130" si="15">IFERROR(IF(X123="",0,CEILING((X123/$H123),1)*$H123),"")</f>
        <v>137.69999999999999</v>
      </c>
      <c r="Z123" s="41">
        <f>IFERROR(IF(Y123=0,"",ROUNDUP(Y123/H123,0)*0.01898),"")</f>
        <v>0.32266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137.83209876543208</v>
      </c>
      <c r="BN123" s="78">
        <f t="shared" ref="BN123:BN130" si="17">IFERROR(Y123*I123/H123,"0")</f>
        <v>145.99599999999998</v>
      </c>
      <c r="BO123" s="78">
        <f t="shared" ref="BO123:BO130" si="18">IFERROR(1/J123*(X123/H123),"0")</f>
        <v>0.25077160493827161</v>
      </c>
      <c r="BP123" s="78">
        <f t="shared" ref="BP123:BP130" si="19">IFERROR(1/J123*(Y123/H123),"0")</f>
        <v>0.265625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22.5</v>
      </c>
      <c r="Y127" s="55">
        <f t="shared" si="15"/>
        <v>24.3</v>
      </c>
      <c r="Z127" s="41">
        <f t="shared" si="20"/>
        <v>5.8590000000000003E-2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24.599999999999998</v>
      </c>
      <c r="BN127" s="78">
        <f t="shared" si="17"/>
        <v>26.567999999999998</v>
      </c>
      <c r="BO127" s="78">
        <f t="shared" si="18"/>
        <v>4.5787545787545784E-2</v>
      </c>
      <c r="BP127" s="78">
        <f t="shared" si="19"/>
        <v>4.9450549450549455E-2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24.382716049382715</v>
      </c>
      <c r="Y131" s="43">
        <f>IFERROR(Y123/H123,"0")+IFERROR(Y124/H124,"0")+IFERROR(Y125/H125,"0")+IFERROR(Y126/H126,"0")+IFERROR(Y127/H127,"0")+IFERROR(Y128/H128,"0")+IFERROR(Y129/H129,"0")+IFERROR(Y130/H130,"0")</f>
        <v>26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0.38124999999999998</v>
      </c>
      <c r="AA131" s="67"/>
      <c r="AB131" s="67"/>
      <c r="AC131" s="67"/>
    </row>
    <row r="132" spans="1:68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152.5</v>
      </c>
      <c r="Y132" s="43">
        <f>IFERROR(SUM(Y123:Y130),"0")</f>
        <v>162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22.4</v>
      </c>
      <c r="Y140" s="55">
        <f>IFERROR(IF(X140="",0,CEILING((X140/$H140),1)*$H140),"")</f>
        <v>22.400000000000002</v>
      </c>
      <c r="Z140" s="41">
        <f>IFERROR(IF(Y140=0,"",ROUNDUP(Y140/H140,0)*0.00651),"")</f>
        <v>4.5569999999999999E-2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23.659999999999997</v>
      </c>
      <c r="BN140" s="78">
        <f>IFERROR(Y140*I140/H140,"0")</f>
        <v>23.66</v>
      </c>
      <c r="BO140" s="78">
        <f>IFERROR(1/J140*(X140/H140),"0")</f>
        <v>3.8461538461538457E-2</v>
      </c>
      <c r="BP140" s="78">
        <f>IFERROR(1/J140*(Y140/H140),"0")</f>
        <v>3.8461538461538464E-2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6.9999999999999991</v>
      </c>
      <c r="Y142" s="43">
        <f>IFERROR(Y140/H140,"0")+IFERROR(Y141/H141,"0")</f>
        <v>7</v>
      </c>
      <c r="Z142" s="43">
        <f>IFERROR(IF(Z140="",0,Z140),"0")+IFERROR(IF(Z141="",0,Z141),"0")</f>
        <v>4.5569999999999999E-2</v>
      </c>
      <c r="AA142" s="67"/>
      <c r="AB142" s="67"/>
      <c r="AC142" s="67"/>
    </row>
    <row r="143" spans="1:68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22.4</v>
      </c>
      <c r="Y143" s="43">
        <f>IFERROR(SUM(Y140:Y141),"0")</f>
        <v>22.400000000000002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14</v>
      </c>
      <c r="Y145" s="55">
        <f>IFERROR(IF(X145="",0,CEILING((X145/$H145),1)*$H145),"")</f>
        <v>14</v>
      </c>
      <c r="Z145" s="41">
        <f>IFERROR(IF(Y145=0,"",ROUNDUP(Y145/H145,0)*0.00651),"")</f>
        <v>3.2550000000000003E-2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15.34</v>
      </c>
      <c r="BN145" s="78">
        <f>IFERROR(Y145*I145/H145,"0")</f>
        <v>15.34</v>
      </c>
      <c r="BO145" s="78">
        <f>IFERROR(1/J145*(X145/H145),"0")</f>
        <v>2.7472527472527476E-2</v>
      </c>
      <c r="BP145" s="78">
        <f>IFERROR(1/J145*(Y145/H145),"0")</f>
        <v>2.7472527472527476E-2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5</v>
      </c>
      <c r="Y147" s="43">
        <f>IFERROR(Y145/H145,"0")+IFERROR(Y146/H146,"0")</f>
        <v>5</v>
      </c>
      <c r="Z147" s="43">
        <f>IFERROR(IF(Z145="",0,Z145),"0")+IFERROR(IF(Z146="",0,Z146),"0")</f>
        <v>3.2550000000000003E-2</v>
      </c>
      <c r="AA147" s="67"/>
      <c r="AB147" s="67"/>
      <c r="AC147" s="67"/>
    </row>
    <row r="148" spans="1:68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14</v>
      </c>
      <c r="Y148" s="43">
        <f>IFERROR(SUM(Y145:Y146),"0")</f>
        <v>14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73</v>
      </c>
      <c r="Y182" s="55">
        <f t="shared" ref="Y182:Y195" si="27">IFERROR(IF(X182="",0,CEILING((X182/$H182),1)*$H182),"")</f>
        <v>73.5</v>
      </c>
      <c r="Z182" s="41">
        <f t="shared" ref="Z182:Z187" si="28">IFERROR(IF(Y182=0,"",ROUNDUP(Y182/H182,0)*0.00902),"")</f>
        <v>0.18942000000000001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76.962857142857146</v>
      </c>
      <c r="BN182" s="78">
        <f t="shared" ref="BN182:BN195" si="30">IFERROR(Y182*I182/H182,"0")</f>
        <v>77.489999999999995</v>
      </c>
      <c r="BO182" s="78">
        <f t="shared" ref="BO182:BO195" si="31">IFERROR(1/J182*(X182/H182),"0")</f>
        <v>0.15800865800865802</v>
      </c>
      <c r="BP182" s="78">
        <f t="shared" ref="BP182:BP195" si="32">IFERROR(1/J182*(Y182/H182),"0")</f>
        <v>0.15909090909090909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20</v>
      </c>
      <c r="Y183" s="55">
        <f t="shared" si="27"/>
        <v>21</v>
      </c>
      <c r="Z183" s="41">
        <f t="shared" si="28"/>
        <v>5.4120000000000001E-2</v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21.514285714285712</v>
      </c>
      <c r="BN183" s="78">
        <f t="shared" si="30"/>
        <v>22.59</v>
      </c>
      <c r="BO183" s="78">
        <f t="shared" si="31"/>
        <v>4.3290043290043295E-2</v>
      </c>
      <c r="BP183" s="78">
        <f t="shared" si="32"/>
        <v>4.5454545454545456E-2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26.571428571428573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27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0.24354000000000001</v>
      </c>
      <c r="AA196" s="67"/>
      <c r="AB196" s="67"/>
      <c r="AC196" s="67"/>
    </row>
    <row r="197" spans="1:68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93</v>
      </c>
      <c r="Y197" s="43">
        <f>IFERROR(SUM(Y182:Y195),"0")</f>
        <v>94.5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20</v>
      </c>
      <c r="Y230" s="55">
        <f t="shared" ref="Y230:Y243" si="39">IFERROR(IF(X230="",0,CEILING((X230/$H230),1)*$H230),"")</f>
        <v>21</v>
      </c>
      <c r="Z230" s="41">
        <f>IFERROR(IF(Y230=0,"",ROUNDUP(Y230/H230,0)*0.00902),"")</f>
        <v>4.5100000000000001E-2</v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21.19047619047619</v>
      </c>
      <c r="BN230" s="78">
        <f t="shared" ref="BN230:BN243" si="41">IFERROR(Y230*I230/H230,"0")</f>
        <v>22.25</v>
      </c>
      <c r="BO230" s="78">
        <f t="shared" ref="BO230:BO243" si="42">IFERROR(1/J230*(X230/H230),"0")</f>
        <v>3.6075036075036072E-2</v>
      </c>
      <c r="BP230" s="78">
        <f t="shared" ref="BP230:BP243" si="43">IFERROR(1/J230*(Y230/H230),"0")</f>
        <v>3.787878787878788E-2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8.4</v>
      </c>
      <c r="Y234" s="55">
        <f t="shared" si="39"/>
        <v>8.4</v>
      </c>
      <c r="Z234" s="41">
        <f t="shared" ref="Z234:Z239" si="44">IFERROR(IF(Y234=0,"",ROUNDUP(Y234/H234,0)*0.00502),"")</f>
        <v>2.0080000000000001E-2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8.92</v>
      </c>
      <c r="BN234" s="78">
        <f t="shared" si="41"/>
        <v>8.92</v>
      </c>
      <c r="BO234" s="78">
        <f t="shared" si="42"/>
        <v>1.7094017094017096E-2</v>
      </c>
      <c r="BP234" s="78">
        <f t="shared" si="43"/>
        <v>1.7094017094017096E-2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8.7619047619047628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9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6.5180000000000002E-2</v>
      </c>
      <c r="AA244" s="67"/>
      <c r="AB244" s="67"/>
      <c r="AC244" s="67"/>
    </row>
    <row r="245" spans="1:68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28.4</v>
      </c>
      <c r="Y245" s="43">
        <f>IFERROR(SUM(Y230:Y243),"0")</f>
        <v>29.4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80</v>
      </c>
      <c r="Y276" s="55">
        <f t="shared" ref="Y276:Y283" si="45">IFERROR(IF(X276="",0,CEILING((X276/$H276),1)*$H276),"")</f>
        <v>81</v>
      </c>
      <c r="Z276" s="41">
        <f>IFERROR(IF(Y276=0,"",ROUNDUP(Y276/H276,0)*0.00902),"")</f>
        <v>0.1353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82.81481481481481</v>
      </c>
      <c r="BN276" s="78">
        <f t="shared" ref="BN276:BN283" si="47">IFERROR(Y276*I276/H276,"0")</f>
        <v>83.85</v>
      </c>
      <c r="BO276" s="78">
        <f t="shared" ref="BO276:BO283" si="48">IFERROR(1/J276*(X276/H276),"0")</f>
        <v>0.11223344556677889</v>
      </c>
      <c r="BP276" s="78">
        <f t="shared" ref="BP276:BP283" si="49">IFERROR(1/J276*(Y276/H276),"0")</f>
        <v>0.11363636363636363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30</v>
      </c>
      <c r="Y277" s="55">
        <f t="shared" si="45"/>
        <v>32.400000000000006</v>
      </c>
      <c r="Z277" s="41">
        <f>IFERROR(IF(Y277=0,"",ROUNDUP(Y277/H277,0)*0.00902),"")</f>
        <v>5.4120000000000001E-2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31.05555555555555</v>
      </c>
      <c r="BN277" s="78">
        <f t="shared" si="47"/>
        <v>33.54</v>
      </c>
      <c r="BO277" s="78">
        <f t="shared" si="48"/>
        <v>4.208754208754209E-2</v>
      </c>
      <c r="BP277" s="78">
        <f t="shared" si="49"/>
        <v>4.5454545454545463E-2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40</v>
      </c>
      <c r="Y278" s="55">
        <f t="shared" si="45"/>
        <v>43.2</v>
      </c>
      <c r="Z278" s="41">
        <f>IFERROR(IF(Y278=0,"",ROUNDUP(Y278/H278,0)*0.00902),"")</f>
        <v>7.2160000000000002E-2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41.407407407407405</v>
      </c>
      <c r="BN278" s="78">
        <f t="shared" si="47"/>
        <v>44.72</v>
      </c>
      <c r="BO278" s="78">
        <f t="shared" si="48"/>
        <v>5.6116722783389444E-2</v>
      </c>
      <c r="BP278" s="78">
        <f t="shared" si="49"/>
        <v>6.0606060606060608E-2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45"/>
        <v>54</v>
      </c>
      <c r="Z279" s="41">
        <f>IFERROR(IF(Y279=0,"",ROUNDUP(Y279/H279,0)*0.00902),"")</f>
        <v>9.0200000000000002E-2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51.759259259259252</v>
      </c>
      <c r="BN279" s="78">
        <f t="shared" si="47"/>
        <v>55.9</v>
      </c>
      <c r="BO279" s="78">
        <f t="shared" si="48"/>
        <v>7.0145903479236812E-2</v>
      </c>
      <c r="BP279" s="78">
        <f t="shared" si="49"/>
        <v>7.575757575757576E-2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9</v>
      </c>
      <c r="Y280" s="55">
        <f t="shared" si="45"/>
        <v>9</v>
      </c>
      <c r="Z280" s="41">
        <f>IFERROR(IF(Y280=0,"",ROUNDUP(Y280/H280,0)*0.00502),"")</f>
        <v>2.5100000000000001E-2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9.65</v>
      </c>
      <c r="BN280" s="78">
        <f t="shared" si="47"/>
        <v>9.65</v>
      </c>
      <c r="BO280" s="78">
        <f t="shared" si="48"/>
        <v>2.1367521367521368E-2</v>
      </c>
      <c r="BP280" s="78">
        <f t="shared" si="49"/>
        <v>2.1367521367521368E-2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9</v>
      </c>
      <c r="Y281" s="55">
        <f t="shared" si="45"/>
        <v>9</v>
      </c>
      <c r="Z281" s="41">
        <f>IFERROR(IF(Y281=0,"",ROUNDUP(Y281/H281,0)*0.00502),"")</f>
        <v>2.5100000000000001E-2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9.4999999999999982</v>
      </c>
      <c r="BN281" s="78">
        <f t="shared" si="47"/>
        <v>9.4999999999999982</v>
      </c>
      <c r="BO281" s="78">
        <f t="shared" si="48"/>
        <v>2.1367521367521368E-2</v>
      </c>
      <c r="BP281" s="78">
        <f t="shared" si="49"/>
        <v>2.1367521367521368E-2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9</v>
      </c>
      <c r="Y283" s="55">
        <f t="shared" si="45"/>
        <v>9</v>
      </c>
      <c r="Z283" s="41">
        <f>IFERROR(IF(Y283=0,"",ROUNDUP(Y283/H283,0)*0.00502),"")</f>
        <v>2.5100000000000001E-2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9.4999999999999982</v>
      </c>
      <c r="BN283" s="78">
        <f t="shared" si="47"/>
        <v>9.4999999999999982</v>
      </c>
      <c r="BO283" s="78">
        <f t="shared" si="48"/>
        <v>2.1367521367521368E-2</v>
      </c>
      <c r="BP283" s="78">
        <f t="shared" si="49"/>
        <v>2.1367521367521368E-2</v>
      </c>
    </row>
    <row r="284" spans="1:68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52.037037037037031</v>
      </c>
      <c r="Y284" s="43">
        <f>IFERROR(Y276/H276,"0")+IFERROR(Y277/H277,"0")+IFERROR(Y278/H278,"0")+IFERROR(Y279/H279,"0")+IFERROR(Y280/H280,"0")+IFERROR(Y281/H281,"0")+IFERROR(Y282/H282,"0")+IFERROR(Y283/H283,"0")</f>
        <v>54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0.42708000000000007</v>
      </c>
      <c r="AA284" s="67"/>
      <c r="AB284" s="67"/>
      <c r="AC284" s="67"/>
    </row>
    <row r="285" spans="1:68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227</v>
      </c>
      <c r="Y285" s="43">
        <f>IFERROR(SUM(Y276:Y283),"0")</f>
        <v>237.60000000000002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16</v>
      </c>
      <c r="Y290" s="55">
        <f t="shared" si="50"/>
        <v>16.8</v>
      </c>
      <c r="Z290" s="41">
        <f>IFERROR(IF(Y290=0,"",ROUNDUP(Y290/H290,0)*0.00651),"")</f>
        <v>4.5569999999999999E-2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17.8</v>
      </c>
      <c r="BN290" s="78">
        <f t="shared" si="52"/>
        <v>18.690000000000001</v>
      </c>
      <c r="BO290" s="78">
        <f t="shared" si="53"/>
        <v>3.6630036630036632E-2</v>
      </c>
      <c r="BP290" s="78">
        <f t="shared" si="54"/>
        <v>3.8461538461538471E-2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23.2</v>
      </c>
      <c r="Y293" s="55">
        <f t="shared" si="50"/>
        <v>24</v>
      </c>
      <c r="Z293" s="41">
        <f>IFERROR(IF(Y293=0,"",ROUNDUP(Y293/H293,0)*0.00651),"")</f>
        <v>6.5100000000000005E-2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25.636000000000003</v>
      </c>
      <c r="BN293" s="78">
        <f t="shared" si="52"/>
        <v>26.520000000000003</v>
      </c>
      <c r="BO293" s="78">
        <f t="shared" si="53"/>
        <v>5.3113553113553112E-2</v>
      </c>
      <c r="BP293" s="78">
        <f t="shared" si="54"/>
        <v>5.4945054945054951E-2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16</v>
      </c>
      <c r="Y295" s="55">
        <f t="shared" si="50"/>
        <v>16.8</v>
      </c>
      <c r="Z295" s="41">
        <f>IFERROR(IF(Y295=0,"",ROUNDUP(Y295/H295,0)*0.00651),"")</f>
        <v>4.5569999999999999E-2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17.680000000000003</v>
      </c>
      <c r="BN295" s="78">
        <f t="shared" si="52"/>
        <v>18.564000000000004</v>
      </c>
      <c r="BO295" s="78">
        <f t="shared" si="53"/>
        <v>3.6630036630036632E-2</v>
      </c>
      <c r="BP295" s="78">
        <f t="shared" si="54"/>
        <v>3.8461538461538471E-2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16</v>
      </c>
      <c r="Y297" s="55">
        <f t="shared" si="50"/>
        <v>16.8</v>
      </c>
      <c r="Z297" s="41">
        <f>IFERROR(IF(Y297=0,"",ROUNDUP(Y297/H297,0)*0.00651),"")</f>
        <v>4.5569999999999999E-2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17.72</v>
      </c>
      <c r="BN297" s="78">
        <f t="shared" si="52"/>
        <v>18.606000000000002</v>
      </c>
      <c r="BO297" s="78">
        <f t="shared" si="53"/>
        <v>3.6630036630036632E-2</v>
      </c>
      <c r="BP297" s="78">
        <f t="shared" si="54"/>
        <v>3.8461538461538471E-2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29.666666666666668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31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0.20180999999999999</v>
      </c>
      <c r="AA299" s="67"/>
      <c r="AB299" s="67"/>
      <c r="AC299" s="67"/>
    </row>
    <row r="300" spans="1:68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71.2</v>
      </c>
      <c r="Y300" s="43">
        <f>IFERROR(SUM(Y287:Y298),"0")</f>
        <v>74.399999999999991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10</v>
      </c>
      <c r="Y333" s="55">
        <f>IFERROR(IF(X333="",0,CEILING((X333/$H333),1)*$H333),"")</f>
        <v>10.8</v>
      </c>
      <c r="Z333" s="41">
        <f>IFERROR(IF(Y333=0,"",ROUNDUP(Y333/H333,0)*0.01898),"")</f>
        <v>1.898E-2</v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10.37962962962963</v>
      </c>
      <c r="BN333" s="78">
        <f>IFERROR(Y333*I333/H333,"0")</f>
        <v>11.21</v>
      </c>
      <c r="BO333" s="78">
        <f>IFERROR(1/J333*(X333/H333),"0")</f>
        <v>1.4467592592592591E-2</v>
      </c>
      <c r="BP333" s="78">
        <f>IFERROR(1/J333*(Y333/H333),"0")</f>
        <v>1.5625E-2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30</v>
      </c>
      <c r="Y334" s="55">
        <f>IFERROR(IF(X334="",0,CEILING((X334/$H334),1)*$H334),"")</f>
        <v>32.400000000000006</v>
      </c>
      <c r="Z334" s="41">
        <f>IFERROR(IF(Y334=0,"",ROUNDUP(Y334/H334,0)*0.01898),"")</f>
        <v>5.6940000000000004E-2</v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31.138888888888889</v>
      </c>
      <c r="BN334" s="78">
        <f>IFERROR(Y334*I334/H334,"0")</f>
        <v>33.630000000000003</v>
      </c>
      <c r="BO334" s="78">
        <f>IFERROR(1/J334*(X334/H334),"0")</f>
        <v>4.3402777777777776E-2</v>
      </c>
      <c r="BP334" s="78">
        <f>IFERROR(1/J334*(Y334/H334),"0")</f>
        <v>4.6875000000000007E-2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210</v>
      </c>
      <c r="Y335" s="55">
        <f>IFERROR(IF(X335="",0,CEILING((X335/$H335),1)*$H335),"")</f>
        <v>216</v>
      </c>
      <c r="Z335" s="41">
        <f>IFERROR(IF(Y335=0,"",ROUNDUP(Y335/H335,0)*0.01898),"")</f>
        <v>0.37959999999999999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217.97222222222223</v>
      </c>
      <c r="BN335" s="78">
        <f>IFERROR(Y335*I335/H335,"0")</f>
        <v>224.2</v>
      </c>
      <c r="BO335" s="78">
        <f>IFERROR(1/J335*(X335/H335),"0")</f>
        <v>0.30381944444444442</v>
      </c>
      <c r="BP335" s="78">
        <f>IFERROR(1/J335*(Y335/H335),"0")</f>
        <v>0.3125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12</v>
      </c>
      <c r="Y336" s="55">
        <f>IFERROR(IF(X336="",0,CEILING((X336/$H336),1)*$H336),"")</f>
        <v>12</v>
      </c>
      <c r="Z336" s="41">
        <f>IFERROR(IF(Y336=0,"",ROUNDUP(Y336/H336,0)*0.00902),"")</f>
        <v>2.7060000000000001E-2</v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12.57</v>
      </c>
      <c r="BN336" s="78">
        <f>IFERROR(Y336*I336/H336,"0")</f>
        <v>12.57</v>
      </c>
      <c r="BO336" s="78">
        <f>IFERROR(1/J336*(X336/H336),"0")</f>
        <v>2.2727272727272728E-2</v>
      </c>
      <c r="BP336" s="78">
        <f>IFERROR(1/J336*(Y336/H336),"0")</f>
        <v>2.2727272727272728E-2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26.148148148148145</v>
      </c>
      <c r="Y338" s="43">
        <f>IFERROR(Y333/H333,"0")+IFERROR(Y334/H334,"0")+IFERROR(Y335/H335,"0")+IFERROR(Y336/H336,"0")+IFERROR(Y337/H337,"0")</f>
        <v>27</v>
      </c>
      <c r="Z338" s="43">
        <f>IFERROR(IF(Z333="",0,Z333),"0")+IFERROR(IF(Z334="",0,Z334),"0")+IFERROR(IF(Z335="",0,Z335),"0")+IFERROR(IF(Z336="",0,Z336),"0")+IFERROR(IF(Z337="",0,Z337),"0")</f>
        <v>0.48258000000000001</v>
      </c>
      <c r="AA338" s="67"/>
      <c r="AB338" s="67"/>
      <c r="AC338" s="67"/>
    </row>
    <row r="339" spans="1:68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262</v>
      </c>
      <c r="Y339" s="43">
        <f>IFERROR(SUM(Y333:Y337),"0")</f>
        <v>271.2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170</v>
      </c>
      <c r="Y371" s="55">
        <f t="shared" si="60"/>
        <v>172.8</v>
      </c>
      <c r="Z371" s="41">
        <f>IFERROR(IF(Y371=0,"",ROUNDUP(Y371/H371,0)*0.01898),"")</f>
        <v>0.30368000000000001</v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176.4537037037037</v>
      </c>
      <c r="BN371" s="78">
        <f t="shared" si="62"/>
        <v>179.36</v>
      </c>
      <c r="BO371" s="78">
        <f t="shared" si="63"/>
        <v>0.24594907407407407</v>
      </c>
      <c r="BP371" s="78">
        <f t="shared" si="64"/>
        <v>0.25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210</v>
      </c>
      <c r="Y372" s="55">
        <f t="shared" si="60"/>
        <v>216</v>
      </c>
      <c r="Z372" s="41">
        <f>IFERROR(IF(Y372=0,"",ROUNDUP(Y372/H372,0)*0.01898),"")</f>
        <v>0.37959999999999999</v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217.97222222222223</v>
      </c>
      <c r="BN372" s="78">
        <f t="shared" si="62"/>
        <v>224.2</v>
      </c>
      <c r="BO372" s="78">
        <f t="shared" si="63"/>
        <v>0.30381944444444442</v>
      </c>
      <c r="BP372" s="78">
        <f t="shared" si="64"/>
        <v>0.3125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800</v>
      </c>
      <c r="Y373" s="55">
        <f t="shared" si="60"/>
        <v>810</v>
      </c>
      <c r="Z373" s="41">
        <f>IFERROR(IF(Y373=0,"",ROUNDUP(Y373/H373,0)*0.01898),"")</f>
        <v>1.4235</v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830.37037037037032</v>
      </c>
      <c r="BN373" s="78">
        <f t="shared" si="62"/>
        <v>840.75</v>
      </c>
      <c r="BO373" s="78">
        <f t="shared" si="63"/>
        <v>1.1574074074074074</v>
      </c>
      <c r="BP373" s="78">
        <f t="shared" si="64"/>
        <v>1.171875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16</v>
      </c>
      <c r="Y374" s="55">
        <f t="shared" si="60"/>
        <v>16</v>
      </c>
      <c r="Z374" s="41">
        <f>IFERROR(IF(Y374=0,"",ROUNDUP(Y374/H374,0)*0.00902),"")</f>
        <v>3.6080000000000001E-2</v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16.760000000000002</v>
      </c>
      <c r="BN374" s="78">
        <f t="shared" si="62"/>
        <v>16.760000000000002</v>
      </c>
      <c r="BO374" s="78">
        <f t="shared" si="63"/>
        <v>3.0303030303030304E-2</v>
      </c>
      <c r="BP374" s="78">
        <f t="shared" si="64"/>
        <v>3.0303030303030304E-2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60</v>
      </c>
      <c r="Y375" s="55">
        <f t="shared" si="60"/>
        <v>60</v>
      </c>
      <c r="Z375" s="41">
        <f>IFERROR(IF(Y375=0,"",ROUNDUP(Y375/H375,0)*0.00902),"")</f>
        <v>0.1353</v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62.850000000000009</v>
      </c>
      <c r="BN375" s="78">
        <f t="shared" si="62"/>
        <v>62.850000000000009</v>
      </c>
      <c r="BO375" s="78">
        <f t="shared" si="63"/>
        <v>0.11363636363636365</v>
      </c>
      <c r="BP375" s="78">
        <f t="shared" si="64"/>
        <v>0.11363636363636365</v>
      </c>
    </row>
    <row r="376" spans="1:68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128.25925925925927</v>
      </c>
      <c r="Y376" s="43">
        <f>IFERROR(Y370/H370,"0")+IFERROR(Y371/H371,"0")+IFERROR(Y372/H372,"0")+IFERROR(Y373/H373,"0")+IFERROR(Y374/H374,"0")+IFERROR(Y375/H375,"0")</f>
        <v>130</v>
      </c>
      <c r="Z376" s="43">
        <f>IFERROR(IF(Z370="",0,Z370),"0")+IFERROR(IF(Z371="",0,Z371),"0")+IFERROR(IF(Z372="",0,Z372),"0")+IFERROR(IF(Z373="",0,Z373),"0")+IFERROR(IF(Z374="",0,Z374),"0")+IFERROR(IF(Z375="",0,Z375),"0")</f>
        <v>2.2781600000000002</v>
      </c>
      <c r="AA376" s="67"/>
      <c r="AB376" s="67"/>
      <c r="AC376" s="67"/>
    </row>
    <row r="377" spans="1:68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1256</v>
      </c>
      <c r="Y377" s="43">
        <f>IFERROR(SUM(Y370:Y375),"0")</f>
        <v>1274.8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100</v>
      </c>
      <c r="Y379" s="55">
        <f t="shared" ref="Y379:Y385" si="65">IFERROR(IF(X379="",0,CEILING((X379/$H379),1)*$H379),"")</f>
        <v>100.80000000000001</v>
      </c>
      <c r="Z379" s="41">
        <f>IFERROR(IF(Y379=0,"",ROUNDUP(Y379/H379,0)*0.00902),"")</f>
        <v>0.21648000000000001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105.95238095238095</v>
      </c>
      <c r="BN379" s="78">
        <f t="shared" ref="BN379:BN385" si="67">IFERROR(Y379*I379/H379,"0")</f>
        <v>106.80000000000001</v>
      </c>
      <c r="BO379" s="78">
        <f t="shared" ref="BO379:BO385" si="68">IFERROR(1/J379*(X379/H379),"0")</f>
        <v>0.18037518037518038</v>
      </c>
      <c r="BP379" s="78">
        <f t="shared" ref="BP379:BP385" si="69">IFERROR(1/J379*(Y379/H379),"0")</f>
        <v>0.18181818181818182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305</v>
      </c>
      <c r="Y380" s="55">
        <f t="shared" si="65"/>
        <v>306.60000000000002</v>
      </c>
      <c r="Z380" s="41">
        <f>IFERROR(IF(Y380=0,"",ROUNDUP(Y380/H380,0)*0.00902),"")</f>
        <v>0.65846000000000005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323.15476190476187</v>
      </c>
      <c r="BN380" s="78">
        <f t="shared" si="67"/>
        <v>324.85000000000002</v>
      </c>
      <c r="BO380" s="78">
        <f t="shared" si="68"/>
        <v>0.55014430014430016</v>
      </c>
      <c r="BP380" s="78">
        <f t="shared" si="69"/>
        <v>0.55303030303030309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42.7</v>
      </c>
      <c r="Y382" s="55">
        <f t="shared" si="65"/>
        <v>44.1</v>
      </c>
      <c r="Z382" s="41">
        <f>IFERROR(IF(Y382=0,"",ROUNDUP(Y382/H382,0)*0.00502),"")</f>
        <v>0.10542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45.343333333333334</v>
      </c>
      <c r="BN382" s="78">
        <f t="shared" si="67"/>
        <v>46.83</v>
      </c>
      <c r="BO382" s="78">
        <f t="shared" si="68"/>
        <v>8.68945868945869E-2</v>
      </c>
      <c r="BP382" s="78">
        <f t="shared" si="69"/>
        <v>8.9743589743589758E-2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6.3</v>
      </c>
      <c r="Y383" s="55">
        <f t="shared" si="65"/>
        <v>6.3000000000000007</v>
      </c>
      <c r="Z383" s="41">
        <f>IFERROR(IF(Y383=0,"",ROUNDUP(Y383/H383,0)*0.00502),"")</f>
        <v>1.506E-2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6.6000000000000005</v>
      </c>
      <c r="BN383" s="78">
        <f t="shared" si="67"/>
        <v>6.6000000000000014</v>
      </c>
      <c r="BO383" s="78">
        <f t="shared" si="68"/>
        <v>1.2820512820512822E-2</v>
      </c>
      <c r="BP383" s="78">
        <f t="shared" si="69"/>
        <v>1.2820512820512822E-2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119.76190476190476</v>
      </c>
      <c r="Y386" s="43">
        <f>IFERROR(Y379/H379,"0")+IFERROR(Y380/H380,"0")+IFERROR(Y381/H381,"0")+IFERROR(Y382/H382,"0")+IFERROR(Y383/H383,"0")+IFERROR(Y384/H384,"0")+IFERROR(Y385/H385,"0")</f>
        <v>121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0.99541999999999997</v>
      </c>
      <c r="AA386" s="67"/>
      <c r="AB386" s="67"/>
      <c r="AC386" s="67"/>
    </row>
    <row r="387" spans="1:68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454</v>
      </c>
      <c r="Y387" s="43">
        <f>IFERROR(SUM(Y379:Y385),"0")</f>
        <v>457.80000000000007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6550</v>
      </c>
      <c r="Y389" s="55">
        <f>IFERROR(IF(X389="",0,CEILING((X389/$H389),1)*$H389),"")</f>
        <v>6552</v>
      </c>
      <c r="Z389" s="41">
        <f>IFERROR(IF(Y389=0,"",ROUNDUP(Y389/H389,0)*0.01898),"")</f>
        <v>15.943200000000001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6959.7948717948721</v>
      </c>
      <c r="BN389" s="78">
        <f>IFERROR(Y389*I389/H389,"0")</f>
        <v>6961.92</v>
      </c>
      <c r="BO389" s="78">
        <f>IFERROR(1/J389*(X389/H389),"0")</f>
        <v>13.120993589743589</v>
      </c>
      <c r="BP389" s="78">
        <f>IFERROR(1/J389*(Y389/H389),"0")</f>
        <v>13.125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50</v>
      </c>
      <c r="Y392" s="55">
        <f>IFERROR(IF(X392="",0,CEILING((X392/$H392),1)*$H392),"")</f>
        <v>51</v>
      </c>
      <c r="Z392" s="41">
        <f>IFERROR(IF(Y392=0,"",ROUNDUP(Y392/H392,0)*0.00651),"")</f>
        <v>0.11067</v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54.1</v>
      </c>
      <c r="BN392" s="78">
        <f>IFERROR(Y392*I392/H392,"0")</f>
        <v>55.181999999999995</v>
      </c>
      <c r="BO392" s="78">
        <f>IFERROR(1/J392*(X392/H392),"0")</f>
        <v>9.1575091575091583E-2</v>
      </c>
      <c r="BP392" s="78">
        <f>IFERROR(1/J392*(Y392/H392),"0")</f>
        <v>9.3406593406593408E-2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856.41025641025635</v>
      </c>
      <c r="Y393" s="43">
        <f>IFERROR(Y389/H389,"0")+IFERROR(Y390/H390,"0")+IFERROR(Y391/H391,"0")+IFERROR(Y392/H392,"0")</f>
        <v>857</v>
      </c>
      <c r="Z393" s="43">
        <f>IFERROR(IF(Z389="",0,Z389),"0")+IFERROR(IF(Z390="",0,Z390),"0")+IFERROR(IF(Z391="",0,Z391),"0")+IFERROR(IF(Z392="",0,Z392),"0")</f>
        <v>16.05387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6600</v>
      </c>
      <c r="Y394" s="43">
        <f>IFERROR(SUM(Y389:Y392),"0")</f>
        <v>6603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35</v>
      </c>
      <c r="Y396" s="55">
        <f>IFERROR(IF(X396="",0,CEILING((X396/$H396),1)*$H396),"")</f>
        <v>42</v>
      </c>
      <c r="Z396" s="41">
        <f>IFERROR(IF(Y396=0,"",ROUNDUP(Y396/H396,0)*0.01898),"")</f>
        <v>9.4899999999999998E-2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37.058333333333337</v>
      </c>
      <c r="BN396" s="78">
        <f>IFERROR(Y396*I396/H396,"0")</f>
        <v>44.47</v>
      </c>
      <c r="BO396" s="78">
        <f>IFERROR(1/J396*(X396/H396),"0")</f>
        <v>6.5104166666666657E-2</v>
      </c>
      <c r="BP396" s="78">
        <f>IFERROR(1/J396*(Y396/H396),"0")</f>
        <v>7.8125E-2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183</v>
      </c>
      <c r="Y397" s="55">
        <f>IFERROR(IF(X397="",0,CEILING((X397/$H397),1)*$H397),"")</f>
        <v>187.2</v>
      </c>
      <c r="Z397" s="41">
        <f>IFERROR(IF(Y397=0,"",ROUNDUP(Y397/H397,0)*0.01898),"")</f>
        <v>0.45552000000000004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194.59000000000003</v>
      </c>
      <c r="BN397" s="78">
        <f>IFERROR(Y397*I397/H397,"0")</f>
        <v>199.05600000000001</v>
      </c>
      <c r="BO397" s="78">
        <f>IFERROR(1/J397*(X397/H397),"0")</f>
        <v>0.36658653846153849</v>
      </c>
      <c r="BP397" s="78">
        <f>IFERROR(1/J397*(Y397/H397),"0")</f>
        <v>0.375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98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103.76333333333332</v>
      </c>
      <c r="BN398" s="78">
        <f>IFERROR(Y398*I398/H398,"0")</f>
        <v>106.72800000000001</v>
      </c>
      <c r="BO398" s="78">
        <f>IFERROR(1/J398*(X398/H398),"0")</f>
        <v>0.18229166666666666</v>
      </c>
      <c r="BP398" s="78">
        <f>IFERROR(1/J398*(Y398/H398),"0")</f>
        <v>0.1875</v>
      </c>
    </row>
    <row r="399" spans="1:68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39.294871794871796</v>
      </c>
      <c r="Y399" s="43">
        <f>IFERROR(Y396/H396,"0")+IFERROR(Y397/H397,"0")+IFERROR(Y398/H398,"0")</f>
        <v>41</v>
      </c>
      <c r="Z399" s="43">
        <f>IFERROR(IF(Z396="",0,Z396),"0")+IFERROR(IF(Z397="",0,Z397),"0")+IFERROR(IF(Z398="",0,Z398),"0")</f>
        <v>0.77818000000000009</v>
      </c>
      <c r="AA399" s="67"/>
      <c r="AB399" s="67"/>
      <c r="AC399" s="67"/>
    </row>
    <row r="400" spans="1:68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316</v>
      </c>
      <c r="Y400" s="43">
        <f>IFERROR(SUM(Y396:Y398),"0")</f>
        <v>330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7.65</v>
      </c>
      <c r="Y405" s="55">
        <f>IFERROR(IF(X405="",0,CEILING((X405/$H405),1)*$H405),"")</f>
        <v>7.6499999999999995</v>
      </c>
      <c r="Z405" s="41">
        <f>IFERROR(IF(Y405=0,"",ROUNDUP(Y405/H405,0)*0.00651),"")</f>
        <v>1.9529999999999999E-2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8.64</v>
      </c>
      <c r="BN405" s="78">
        <f>IFERROR(Y405*I405/H405,"0")</f>
        <v>8.6399999999999988</v>
      </c>
      <c r="BO405" s="78">
        <f>IFERROR(1/J405*(X405/H405),"0")</f>
        <v>1.6483516483516487E-2</v>
      </c>
      <c r="BP405" s="78">
        <f>IFERROR(1/J405*(Y405/H405),"0")</f>
        <v>1.6483516483516484E-2</v>
      </c>
    </row>
    <row r="406" spans="1:68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3.0000000000000004</v>
      </c>
      <c r="Y406" s="43">
        <f>IFERROR(Y402/H402,"0")+IFERROR(Y403/H403,"0")+IFERROR(Y404/H404,"0")+IFERROR(Y405/H405,"0")</f>
        <v>3</v>
      </c>
      <c r="Z406" s="43">
        <f>IFERROR(IF(Z402="",0,Z402),"0")+IFERROR(IF(Z403="",0,Z403),"0")+IFERROR(IF(Z404="",0,Z404),"0")+IFERROR(IF(Z405="",0,Z405),"0")</f>
        <v>1.9529999999999999E-2</v>
      </c>
      <c r="AA406" s="67"/>
      <c r="AB406" s="67"/>
      <c r="AC406" s="67"/>
    </row>
    <row r="407" spans="1:68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7.65</v>
      </c>
      <c r="Y407" s="43">
        <f>IFERROR(SUM(Y402:Y405),"0")</f>
        <v>7.6499999999999995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70</v>
      </c>
      <c r="Y428" s="55">
        <f>IFERROR(IF(X428="",0,CEILING((X428/$H428),1)*$H428),"")</f>
        <v>72.899999999999991</v>
      </c>
      <c r="Z428" s="41">
        <f>IFERROR(IF(Y428=0,"",ROUNDUP(Y428/H428,0)*0.01898),"")</f>
        <v>0.17082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74.269135802469137</v>
      </c>
      <c r="BN428" s="78">
        <f>IFERROR(Y428*I428/H428,"0")</f>
        <v>77.345999999999989</v>
      </c>
      <c r="BO428" s="78">
        <f>IFERROR(1/J428*(X428/H428),"0")</f>
        <v>0.13503086419753088</v>
      </c>
      <c r="BP428" s="78">
        <f>IFERROR(1/J428*(Y428/H428),"0")</f>
        <v>0.140625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46.2</v>
      </c>
      <c r="Y429" s="55">
        <f>IFERROR(IF(X429="",0,CEILING((X429/$H429),1)*$H429),"")</f>
        <v>46.2</v>
      </c>
      <c r="Z429" s="41">
        <f>IFERROR(IF(Y429=0,"",ROUNDUP(Y429/H429,0)*0.00651),"")</f>
        <v>0.14322000000000001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51.744</v>
      </c>
      <c r="BN429" s="78">
        <f>IFERROR(Y429*I429/H429,"0")</f>
        <v>51.744</v>
      </c>
      <c r="BO429" s="78">
        <f>IFERROR(1/J429*(X429/H429),"0")</f>
        <v>0.12087912087912089</v>
      </c>
      <c r="BP429" s="78">
        <f>IFERROR(1/J429*(Y429/H429),"0")</f>
        <v>0.12087912087912089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39.200000000000003</v>
      </c>
      <c r="Y430" s="55">
        <f>IFERROR(IF(X430="",0,CEILING((X430/$H430),1)*$H430),"")</f>
        <v>39.9</v>
      </c>
      <c r="Z430" s="41">
        <f>IFERROR(IF(Y430=0,"",ROUNDUP(Y430/H430,0)*0.00651),"")</f>
        <v>0.12369000000000001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43.679999999999993</v>
      </c>
      <c r="BN430" s="78">
        <f>IFERROR(Y430*I430/H430,"0")</f>
        <v>44.459999999999994</v>
      </c>
      <c r="BO430" s="78">
        <f>IFERROR(1/J430*(X430/H430),"0")</f>
        <v>0.10256410256410257</v>
      </c>
      <c r="BP430" s="78">
        <f>IFERROR(1/J430*(Y430/H430),"0")</f>
        <v>0.1043956043956044</v>
      </c>
    </row>
    <row r="431" spans="1:68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49.308641975308646</v>
      </c>
      <c r="Y431" s="43">
        <f>IFERROR(Y428/H428,"0")+IFERROR(Y429/H429,"0")+IFERROR(Y430/H430,"0")</f>
        <v>50</v>
      </c>
      <c r="Z431" s="43">
        <f>IFERROR(IF(Z428="",0,Z428),"0")+IFERROR(IF(Z429="",0,Z429),"0")+IFERROR(IF(Z430="",0,Z430),"0")</f>
        <v>0.43773000000000001</v>
      </c>
      <c r="AA431" s="67"/>
      <c r="AB431" s="67"/>
      <c r="AC431" s="67"/>
    </row>
    <row r="432" spans="1:68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155.4</v>
      </c>
      <c r="Y432" s="43">
        <f>IFERROR(SUM(Y428:Y430),"0")</f>
        <v>159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145</v>
      </c>
      <c r="Y437" s="55">
        <f t="shared" si="70"/>
        <v>150</v>
      </c>
      <c r="Z437" s="41">
        <f>IFERROR(IF(Y437=0,"",ROUNDUP(Y437/H437,0)*0.02175),"")</f>
        <v>0.21749999999999997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149.54333333333335</v>
      </c>
      <c r="BN437" s="78">
        <f t="shared" si="72"/>
        <v>154.69999999999999</v>
      </c>
      <c r="BO437" s="78">
        <f t="shared" si="73"/>
        <v>0.20138888888888887</v>
      </c>
      <c r="BP437" s="78">
        <f t="shared" si="74"/>
        <v>0.20833333333333331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620</v>
      </c>
      <c r="Y438" s="55">
        <f t="shared" si="70"/>
        <v>630</v>
      </c>
      <c r="Z438" s="41">
        <f>IFERROR(IF(Y438=0,"",ROUNDUP(Y438/H438,0)*0.02175),"")</f>
        <v>0.91349999999999998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639.42666666666662</v>
      </c>
      <c r="BN438" s="78">
        <f t="shared" si="72"/>
        <v>649.74</v>
      </c>
      <c r="BO438" s="78">
        <f t="shared" si="73"/>
        <v>0.86111111111111116</v>
      </c>
      <c r="BP438" s="78">
        <f t="shared" si="74"/>
        <v>0.875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1315</v>
      </c>
      <c r="Y440" s="55">
        <f t="shared" si="70"/>
        <v>1320</v>
      </c>
      <c r="Z440" s="41">
        <f>IFERROR(IF(Y440=0,"",ROUNDUP(Y440/H440,0)*0.02175),"")</f>
        <v>1.9139999999999999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1356.2033333333334</v>
      </c>
      <c r="BN440" s="78">
        <f t="shared" si="72"/>
        <v>1361.3600000000001</v>
      </c>
      <c r="BO440" s="78">
        <f t="shared" si="73"/>
        <v>1.8263888888888888</v>
      </c>
      <c r="BP440" s="78">
        <f t="shared" si="74"/>
        <v>1.8333333333333333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138.66666666666669</v>
      </c>
      <c r="Y444" s="43">
        <f>IFERROR(Y436/H436,"0")+IFERROR(Y437/H437,"0")+IFERROR(Y438/H438,"0")+IFERROR(Y439/H439,"0")+IFERROR(Y440/H440,"0")+IFERROR(Y441/H441,"0")+IFERROR(Y442/H442,"0")+IFERROR(Y443/H443,"0")</f>
        <v>140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3.0449999999999999</v>
      </c>
      <c r="AA444" s="67"/>
      <c r="AB444" s="67"/>
      <c r="AC444" s="67"/>
    </row>
    <row r="445" spans="1:68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2080</v>
      </c>
      <c r="Y445" s="43">
        <f>IFERROR(SUM(Y436:Y443),"0")</f>
        <v>2100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935</v>
      </c>
      <c r="Y447" s="55">
        <f>IFERROR(IF(X447="",0,CEILING((X447/$H447),1)*$H447),"")</f>
        <v>945</v>
      </c>
      <c r="Z447" s="41">
        <f>IFERROR(IF(Y447=0,"",ROUNDUP(Y447/H447,0)*0.02175),"")</f>
        <v>1.37025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964.29666666666674</v>
      </c>
      <c r="BN447" s="78">
        <f>IFERROR(Y447*I447/H447,"0")</f>
        <v>974.61000000000013</v>
      </c>
      <c r="BO447" s="78">
        <f>IFERROR(1/J447*(X447/H447),"0")</f>
        <v>1.2986111111111112</v>
      </c>
      <c r="BP447" s="78">
        <f>IFERROR(1/J447*(Y447/H447),"0")</f>
        <v>1.3125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62.333333333333336</v>
      </c>
      <c r="Y450" s="43">
        <f>IFERROR(Y447/H447,"0")+IFERROR(Y448/H448,"0")+IFERROR(Y449/H449,"0")</f>
        <v>63</v>
      </c>
      <c r="Z450" s="43">
        <f>IFERROR(IF(Z447="",0,Z447),"0")+IFERROR(IF(Z448="",0,Z448),"0")+IFERROR(IF(Z449="",0,Z449),"0")</f>
        <v>1.37025</v>
      </c>
      <c r="AA450" s="67"/>
      <c r="AB450" s="67"/>
      <c r="AC450" s="67"/>
    </row>
    <row r="451" spans="1:68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935</v>
      </c>
      <c r="Y451" s="43">
        <f>IFERROR(SUM(Y447:Y449),"0")</f>
        <v>945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6.3</v>
      </c>
      <c r="Y484" s="55">
        <f t="shared" si="75"/>
        <v>6.3000000000000007</v>
      </c>
      <c r="Z484" s="41">
        <f>IFERROR(IF(Y484=0,"",ROUNDUP(Y484/H484,0)*0.00502),"")</f>
        <v>1.506E-2</v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6.6899999999999995</v>
      </c>
      <c r="BN484" s="78">
        <f t="shared" si="77"/>
        <v>6.69</v>
      </c>
      <c r="BO484" s="78">
        <f t="shared" si="78"/>
        <v>1.2820512820512822E-2</v>
      </c>
      <c r="BP484" s="78">
        <f t="shared" si="79"/>
        <v>1.2820512820512822E-2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4.2</v>
      </c>
      <c r="Y486" s="55">
        <f t="shared" si="75"/>
        <v>4.2</v>
      </c>
      <c r="Z486" s="41">
        <f>IFERROR(IF(Y486=0,"",ROUNDUP(Y486/H486,0)*0.00502),"")</f>
        <v>1.004E-2</v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4.46</v>
      </c>
      <c r="BN486" s="78">
        <f t="shared" si="77"/>
        <v>4.46</v>
      </c>
      <c r="BO486" s="78">
        <f t="shared" si="78"/>
        <v>8.5470085470085479E-3</v>
      </c>
      <c r="BP486" s="78">
        <f t="shared" si="79"/>
        <v>8.5470085470085479E-3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4.2</v>
      </c>
      <c r="Y487" s="55">
        <f t="shared" si="75"/>
        <v>4.2</v>
      </c>
      <c r="Z487" s="41">
        <f>IFERROR(IF(Y487=0,"",ROUNDUP(Y487/H487,0)*0.00502),"")</f>
        <v>1.004E-2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4.46</v>
      </c>
      <c r="BN487" s="78">
        <f t="shared" si="77"/>
        <v>4.46</v>
      </c>
      <c r="BO487" s="78">
        <f t="shared" si="78"/>
        <v>8.5470085470085479E-3</v>
      </c>
      <c r="BP487" s="78">
        <f t="shared" si="79"/>
        <v>8.5470085470085479E-3</v>
      </c>
    </row>
    <row r="488" spans="1:68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7</v>
      </c>
      <c r="Y488" s="43">
        <f>IFERROR(Y482/H482,"0")+IFERROR(Y483/H483,"0")+IFERROR(Y484/H484,"0")+IFERROR(Y485/H485,"0")+IFERROR(Y486/H486,"0")+IFERROR(Y487/H487,"0")</f>
        <v>7</v>
      </c>
      <c r="Z488" s="43">
        <f>IFERROR(IF(Z482="",0,Z482),"0")+IFERROR(IF(Z483="",0,Z483),"0")+IFERROR(IF(Z484="",0,Z484),"0")+IFERROR(IF(Z485="",0,Z485),"0")+IFERROR(IF(Z486="",0,Z486),"0")+IFERROR(IF(Z487="",0,Z487),"0")</f>
        <v>3.5140000000000005E-2</v>
      </c>
      <c r="AA488" s="67"/>
      <c r="AB488" s="67"/>
      <c r="AC488" s="67"/>
    </row>
    <row r="489" spans="1:68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14.7</v>
      </c>
      <c r="Y489" s="43">
        <f>IFERROR(SUM(Y482:Y487),"0")</f>
        <v>14.7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60</v>
      </c>
      <c r="Y509" s="55">
        <f t="shared" ref="Y509:Y517" si="80">IFERROR(IF(X509="",0,CEILING((X509/$H509),1)*$H509),"")</f>
        <v>63.36</v>
      </c>
      <c r="Z509" s="41">
        <f t="shared" ref="Z509:Z514" si="81">IFERROR(IF(Y509=0,"",ROUNDUP(Y509/H509,0)*0.01196),"")</f>
        <v>0.14352000000000001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63.977272727272727</v>
      </c>
      <c r="BN509" s="78">
        <f t="shared" ref="BN509:BN517" si="83">IFERROR(Y509*I509/H509,"0")</f>
        <v>67.559999999999988</v>
      </c>
      <c r="BO509" s="78">
        <f t="shared" ref="BO509:BO517" si="84">IFERROR(1/J509*(X509/H509),"0")</f>
        <v>0.10926573426573427</v>
      </c>
      <c r="BP509" s="78">
        <f t="shared" ref="BP509:BP517" si="85">IFERROR(1/J509*(Y509/H509),"0")</f>
        <v>0.11538461538461539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11.363636363636363</v>
      </c>
      <c r="Y518" s="43">
        <f>IFERROR(Y509/H509,"0")+IFERROR(Y510/H510,"0")+IFERROR(Y511/H511,"0")+IFERROR(Y512/H512,"0")+IFERROR(Y513/H513,"0")+IFERROR(Y514/H514,"0")+IFERROR(Y515/H515,"0")+IFERROR(Y516/H516,"0")+IFERROR(Y517/H517,"0")</f>
        <v>12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0.14352000000000001</v>
      </c>
      <c r="AA518" s="67"/>
      <c r="AB518" s="67"/>
      <c r="AC518" s="67"/>
    </row>
    <row r="519" spans="1:68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60</v>
      </c>
      <c r="Y519" s="43">
        <f>IFERROR(SUM(Y509:Y517),"0")</f>
        <v>63.36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90</v>
      </c>
      <c r="Y521" s="55">
        <f>IFERROR(IF(X521="",0,CEILING((X521/$H521),1)*$H521),"")</f>
        <v>95.04</v>
      </c>
      <c r="Z521" s="41">
        <f>IFERROR(IF(Y521=0,"",ROUNDUP(Y521/H521,0)*0.01196),"")</f>
        <v>0.21528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95.965909090909079</v>
      </c>
      <c r="BN521" s="78">
        <f>IFERROR(Y521*I521/H521,"0")</f>
        <v>101.33999999999999</v>
      </c>
      <c r="BO521" s="78">
        <f>IFERROR(1/J521*(X521/H521),"0")</f>
        <v>0.16389860139860138</v>
      </c>
      <c r="BP521" s="78">
        <f>IFERROR(1/J521*(Y521/H521),"0")</f>
        <v>0.17307692307692307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17.045454545454543</v>
      </c>
      <c r="Y524" s="43">
        <f>IFERROR(Y521/H521,"0")+IFERROR(Y522/H522,"0")+IFERROR(Y523/H523,"0")</f>
        <v>18</v>
      </c>
      <c r="Z524" s="43">
        <f>IFERROR(IF(Z521="",0,Z521),"0")+IFERROR(IF(Z522="",0,Z522),"0")+IFERROR(IF(Z523="",0,Z523),"0")</f>
        <v>0.21528</v>
      </c>
      <c r="AA524" s="67"/>
      <c r="AB524" s="67"/>
      <c r="AC524" s="67"/>
    </row>
    <row r="525" spans="1:68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90</v>
      </c>
      <c r="Y525" s="43">
        <f>IFERROR(SUM(Y521:Y523),"0")</f>
        <v>95.04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20</v>
      </c>
      <c r="Y529" s="55">
        <f t="shared" si="86"/>
        <v>21.12</v>
      </c>
      <c r="Z529" s="41">
        <f>IFERROR(IF(Y529=0,"",ROUNDUP(Y529/H529,0)*0.01196),"")</f>
        <v>4.7840000000000001E-2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21.325757575757574</v>
      </c>
      <c r="BN529" s="78">
        <f t="shared" si="88"/>
        <v>22.52</v>
      </c>
      <c r="BO529" s="78">
        <f t="shared" si="89"/>
        <v>3.6421911421911424E-2</v>
      </c>
      <c r="BP529" s="78">
        <f t="shared" si="90"/>
        <v>3.8461538461538464E-2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7.5757575757575752</v>
      </c>
      <c r="Y534" s="43">
        <f>IFERROR(Y527/H527,"0")+IFERROR(Y528/H528,"0")+IFERROR(Y529/H529,"0")+IFERROR(Y530/H530,"0")+IFERROR(Y531/H531,"0")+IFERROR(Y532/H532,"0")+IFERROR(Y533/H533,"0")</f>
        <v>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9.5680000000000001E-2</v>
      </c>
      <c r="AA534" s="67"/>
      <c r="AB534" s="67"/>
      <c r="AC534" s="67"/>
    </row>
    <row r="535" spans="1:68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40</v>
      </c>
      <c r="Y535" s="43">
        <f>IFERROR(SUM(Y527:Y533),"0")</f>
        <v>42.24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70</v>
      </c>
      <c r="Y539" s="55">
        <f>IFERROR(IF(X539="",0,CEILING((X539/$H539),1)*$H539),"")</f>
        <v>72</v>
      </c>
      <c r="Z539" s="41">
        <f>IFERROR(IF(Y539=0,"",ROUNDUP(Y539/H539,0)*0.01898),"")</f>
        <v>0.11388000000000001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72.391666666666666</v>
      </c>
      <c r="BN539" s="78">
        <f>IFERROR(Y539*I539/H539,"0")</f>
        <v>74.459999999999994</v>
      </c>
      <c r="BO539" s="78">
        <f>IFERROR(1/J539*(X539/H539),"0")</f>
        <v>9.1145833333333329E-2</v>
      </c>
      <c r="BP539" s="78">
        <f>IFERROR(1/J539*(Y539/H539),"0")</f>
        <v>9.375E-2</v>
      </c>
    </row>
    <row r="540" spans="1:68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5.833333333333333</v>
      </c>
      <c r="Y540" s="43">
        <f>IFERROR(Y539/H539,"0")</f>
        <v>6</v>
      </c>
      <c r="Z540" s="43">
        <f>IFERROR(IF(Z539="",0,Z539),"0")</f>
        <v>0.11388000000000001</v>
      </c>
      <c r="AA540" s="67"/>
      <c r="AB540" s="67"/>
      <c r="AC540" s="67"/>
    </row>
    <row r="541" spans="1:68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70</v>
      </c>
      <c r="Y541" s="43">
        <f>IFERROR(SUM(Y539:Y539),"0")</f>
        <v>72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120</v>
      </c>
      <c r="Y547" s="55">
        <f>IFERROR(IF(X547="",0,CEILING((X547/$H547),1)*$H547),"")</f>
        <v>121.80000000000001</v>
      </c>
      <c r="Z547" s="41">
        <f>IFERROR(IF(Y547=0,"",ROUNDUP(Y547/H547,0)*0.00902),"")</f>
        <v>0.26158000000000003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127.14285714285714</v>
      </c>
      <c r="BN547" s="78">
        <f>IFERROR(Y547*I547/H547,"0")</f>
        <v>129.05000000000001</v>
      </c>
      <c r="BO547" s="78">
        <f>IFERROR(1/J547*(X547/H547),"0")</f>
        <v>0.21645021645021645</v>
      </c>
      <c r="BP547" s="78">
        <f>IFERROR(1/J547*(Y547/H547),"0")</f>
        <v>0.2196969696969697</v>
      </c>
    </row>
    <row r="548" spans="1:68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28.571428571428569</v>
      </c>
      <c r="Y548" s="43">
        <f>IFERROR(Y547/H547,"0")</f>
        <v>29</v>
      </c>
      <c r="Z548" s="43">
        <f>IFERROR(IF(Z547="",0,Z547),"0")</f>
        <v>0.26158000000000003</v>
      </c>
      <c r="AA548" s="67"/>
      <c r="AB548" s="67"/>
      <c r="AC548" s="67"/>
    </row>
    <row r="549" spans="1:68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120</v>
      </c>
      <c r="Y549" s="43">
        <f>IFERROR(SUM(Y547:Y547),"0")</f>
        <v>121.80000000000001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100</v>
      </c>
      <c r="Y551" s="55">
        <f>IFERROR(IF(X551="",0,CEILING((X551/$H551),1)*$H551),"")</f>
        <v>108</v>
      </c>
      <c r="Z551" s="41">
        <f>IFERROR(IF(Y551=0,"",ROUNDUP(Y551/H551,0)*0.01898),"")</f>
        <v>0.22776000000000002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105.48888888888888</v>
      </c>
      <c r="BN551" s="78">
        <f>IFERROR(Y551*I551/H551,"0")</f>
        <v>113.92799999999998</v>
      </c>
      <c r="BO551" s="78">
        <f>IFERROR(1/J551*(X551/H551),"0")</f>
        <v>0.1736111111111111</v>
      </c>
      <c r="BP551" s="78">
        <f>IFERROR(1/J551*(Y551/H551),"0")</f>
        <v>0.1875</v>
      </c>
    </row>
    <row r="552" spans="1:68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11.111111111111111</v>
      </c>
      <c r="Y552" s="43">
        <f>IFERROR(Y551/H551,"0")</f>
        <v>12</v>
      </c>
      <c r="Z552" s="43">
        <f>IFERROR(IF(Z551="",0,Z551),"0")</f>
        <v>0.22776000000000002</v>
      </c>
      <c r="AA552" s="67"/>
      <c r="AB552" s="67"/>
      <c r="AC552" s="67"/>
    </row>
    <row r="553" spans="1:68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100</v>
      </c>
      <c r="Y553" s="43">
        <f>IFERROR(SUM(Y551:Y551),"0")</f>
        <v>108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14900.1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15070.84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15667.197478817478</v>
      </c>
      <c r="Y565" s="43">
        <f>IFERROR(SUM(BN22:BN561),"0")</f>
        <v>15845.949999999999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27</v>
      </c>
      <c r="Y566" s="44">
        <f>ROUNDUP(SUM(BP22:BP561),0)</f>
        <v>27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16342.197478817478</v>
      </c>
      <c r="Y567" s="43">
        <f>GrossWeightTotalR+PalletQtyTotalR*25</f>
        <v>16520.949999999997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1885.0497650497648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1907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31.290039999999994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76.800000000000011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1306.6999999999998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376.2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173.25</v>
      </c>
      <c r="H574" s="52">
        <f>IFERROR(Y140*1,"0")+IFERROR(Y141*1,"0")+IFERROR(Y145*1,"0")+IFERROR(Y146*1,"0")+IFERROR(Y150*1,"0")+IFERROR(Y151*1,"0")</f>
        <v>36.400000000000006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94.5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29.4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312.00000000000006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271.2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8673.25</v>
      </c>
      <c r="U574" s="52">
        <f>IFERROR(Y422*1,"0")+IFERROR(Y423*1,"0")</f>
        <v>0</v>
      </c>
      <c r="V574" s="52">
        <f>IFERROR(Y428*1,"0")+IFERROR(Y429*1,"0")+IFERROR(Y430*1,"0")</f>
        <v>159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3045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14.7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200.64000000000001</v>
      </c>
      <c r="AB574" s="52">
        <f>IFERROR(Y539*1,"0")+IFERROR(Y543*1,"0")+IFERROR(Y547*1,"0")+IFERROR(Y551*1,"0")+IFERROR(Y555*1,"0")+IFERROR(Y556*1,"0")</f>
        <v>301.8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6,00"/>
        <filter val="1 315,00"/>
        <filter val="1 885,05"/>
        <filter val="10,00"/>
        <filter val="100,00"/>
        <filter val="11,11"/>
        <filter val="11,25"/>
        <filter val="11,36"/>
        <filter val="119,76"/>
        <filter val="12,00"/>
        <filter val="120,00"/>
        <filter val="128,26"/>
        <filter val="130,00"/>
        <filter val="138,67"/>
        <filter val="14 900,10"/>
        <filter val="14,00"/>
        <filter val="14,70"/>
        <filter val="144,00"/>
        <filter val="145,00"/>
        <filter val="15 667,20"/>
        <filter val="152,50"/>
        <filter val="155,40"/>
        <filter val="16 342,20"/>
        <filter val="16,00"/>
        <filter val="169,50"/>
        <filter val="17,05"/>
        <filter val="170,00"/>
        <filter val="175,00"/>
        <filter val="18,00"/>
        <filter val="183,00"/>
        <filter val="193,00"/>
        <filter val="2 080,00"/>
        <filter val="2,00"/>
        <filter val="20,00"/>
        <filter val="210,00"/>
        <filter val="22,11"/>
        <filter val="22,40"/>
        <filter val="22,50"/>
        <filter val="227,00"/>
        <filter val="23,20"/>
        <filter val="24,38"/>
        <filter val="26,15"/>
        <filter val="26,57"/>
        <filter val="262,00"/>
        <filter val="27"/>
        <filter val="28,27"/>
        <filter val="28,40"/>
        <filter val="28,57"/>
        <filter val="29,67"/>
        <filter val="3,00"/>
        <filter val="3,60"/>
        <filter val="30,00"/>
        <filter val="305,00"/>
        <filter val="316,00"/>
        <filter val="35,00"/>
        <filter val="39,20"/>
        <filter val="39,29"/>
        <filter val="4,20"/>
        <filter val="40,00"/>
        <filter val="400,00"/>
        <filter val="42,70"/>
        <filter val="454,00"/>
        <filter val="46,20"/>
        <filter val="49,31"/>
        <filter val="49,50"/>
        <filter val="5,00"/>
        <filter val="5,83"/>
        <filter val="50,00"/>
        <filter val="52,04"/>
        <filter val="564,00"/>
        <filter val="6 550,00"/>
        <filter val="6 600,00"/>
        <filter val="6,30"/>
        <filter val="60,00"/>
        <filter val="62,33"/>
        <filter val="620,00"/>
        <filter val="650,00"/>
        <filter val="67,50"/>
        <filter val="7,00"/>
        <filter val="7,58"/>
        <filter val="7,65"/>
        <filter val="70,00"/>
        <filter val="70,82"/>
        <filter val="71,20"/>
        <filter val="717,50"/>
        <filter val="72,00"/>
        <filter val="73,00"/>
        <filter val="8,40"/>
        <filter val="8,56"/>
        <filter val="8,76"/>
        <filter val="80,00"/>
        <filter val="800,00"/>
        <filter val="85,19"/>
        <filter val="856,41"/>
        <filter val="9,00"/>
        <filter val="90,00"/>
        <filter val="93,00"/>
        <filter val="935,00"/>
        <filter val="98,00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2026-09-07T11:00:02Z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