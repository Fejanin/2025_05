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UZ\"/>
    </mc:Choice>
  </mc:AlternateContent>
  <xr:revisionPtr revIDLastSave="0" documentId="13_ncr:1_{7475EBBF-6481-493E-8722-11D44443AAC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заказа'!$X$335:$X$335</definedName>
    <definedName name="GrossWeightTotalR">'Бланк заказа'!$Y$335:$Y$335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заказа'!$X$336:$X$336</definedName>
    <definedName name="PalletQtyTotalR">'Бланк заказа'!$Y$336:$Y$336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заказа'!$B$226:$B$226</definedName>
    <definedName name="ProductId101">'Бланк заказа'!$B$227:$B$227</definedName>
    <definedName name="ProductId102">'Бланк заказа'!$B$228:$B$228</definedName>
    <definedName name="ProductId103">'Бланк заказа'!$B$232:$B$232</definedName>
    <definedName name="ProductId104">'Бланк заказа'!$B$233:$B$233</definedName>
    <definedName name="ProductId105">'Бланк заказа'!$B$234:$B$234</definedName>
    <definedName name="ProductId106">'Бланк заказа'!$B$239:$B$239</definedName>
    <definedName name="ProductId107">'Бланк заказа'!$B$240:$B$240</definedName>
    <definedName name="ProductId108">'Бланк заказа'!$B$246:$B$246</definedName>
    <definedName name="ProductId109">'Бланк заказа'!$B$247:$B$247</definedName>
    <definedName name="ProductId11">'Бланк заказа'!$B$44:$B$44</definedName>
    <definedName name="ProductId110">'Бланк заказа'!$B$248:$B$248</definedName>
    <definedName name="ProductId111">'Бланк заказа'!$B$249:$B$249</definedName>
    <definedName name="ProductId112">'Бланк заказа'!$B$250:$B$250</definedName>
    <definedName name="ProductId113">'Бланк заказа'!$B$251:$B$251</definedName>
    <definedName name="ProductId114">'Бланк заказа'!$B$252:$B$252</definedName>
    <definedName name="ProductId115">'Бланк заказа'!$B$256:$B$256</definedName>
    <definedName name="ProductId116">'Бланк заказа'!$B$257:$B$257</definedName>
    <definedName name="ProductId117">'Бланк заказа'!$B$261:$B$261</definedName>
    <definedName name="ProductId118">'Бланк заказа'!$B$262:$B$262</definedName>
    <definedName name="ProductId119">'Бланк заказа'!$B$266:$B$266</definedName>
    <definedName name="ProductId12">'Бланк заказа'!$B$45:$B$45</definedName>
    <definedName name="ProductId120">'Бланк заказа'!$B$271:$B$271</definedName>
    <definedName name="ProductId121">'Бланк заказа'!$B$272:$B$272</definedName>
    <definedName name="ProductId122">'Бланк заказа'!$B$276:$B$276</definedName>
    <definedName name="ProductId123">'Бланк заказа'!$B$277:$B$277</definedName>
    <definedName name="ProductId124">'Бланк заказа'!$B$281:$B$281</definedName>
    <definedName name="ProductId125">'Бланк заказа'!$B$282:$B$282</definedName>
    <definedName name="ProductId126">'Бланк заказа'!$B$283:$B$283</definedName>
    <definedName name="ProductId127">'Бланк заказа'!$B$289:$B$289</definedName>
    <definedName name="ProductId128">'Бланк заказа'!$B$290:$B$290</definedName>
    <definedName name="ProductId129">'Бланк заказа'!$B$291:$B$291</definedName>
    <definedName name="ProductId13">'Бланк заказа'!$B$46:$B$46</definedName>
    <definedName name="ProductId130">'Бланк заказа'!$B$295:$B$295</definedName>
    <definedName name="ProductId131">'Бланк заказа'!$B$296:$B$296</definedName>
    <definedName name="ProductId132">'Бланк заказа'!$B$301:$B$301</definedName>
    <definedName name="ProductId133">'Бланк заказа'!$B$305:$B$305</definedName>
    <definedName name="ProductId134">'Бланк заказа'!$B$311:$B$311</definedName>
    <definedName name="ProductId135">'Бланк заказа'!$B$312:$B$312</definedName>
    <definedName name="ProductId136">'Бланк заказа'!$B$313:$B$313</definedName>
    <definedName name="ProductId137">'Бланк заказа'!$B$314:$B$314</definedName>
    <definedName name="ProductId138">'Бланк заказа'!$B$315:$B$315</definedName>
    <definedName name="ProductId139">'Бланк заказа'!$B$316:$B$316</definedName>
    <definedName name="ProductId14">'Бланк заказа'!$B$50:$B$50</definedName>
    <definedName name="ProductId140">'Бланк заказа'!$B$317:$B$317</definedName>
    <definedName name="ProductId141">'Бланк заказа'!$B$321:$B$321</definedName>
    <definedName name="ProductId142">'Бланк заказа'!$B$322:$B$322</definedName>
    <definedName name="ProductId143">'Бланк заказа'!$B$326:$B$326</definedName>
    <definedName name="ProductId144">'Бланк заказа'!$B$327:$B$327</definedName>
    <definedName name="ProductId145">'Бланк заказа'!$B$328:$B$328</definedName>
    <definedName name="ProductId146">'Бланк заказа'!$B$329:$B$329</definedName>
    <definedName name="ProductId147">'Бланк заказа'!$B$330:$B$330</definedName>
    <definedName name="ProductId148">'Бланк заказа'!$B$331:$B$331</definedName>
    <definedName name="ProductId15">'Бланк заказа'!$B$51:$B$51</definedName>
    <definedName name="ProductId16">'Бланк заказа'!$B$56:$B$56</definedName>
    <definedName name="ProductId17">'Бланк заказа'!$B$57:$B$57</definedName>
    <definedName name="ProductId18">'Бланк заказа'!$B$61:$B$61</definedName>
    <definedName name="ProductId19">'Бланк заказа'!$B$62:$B$62</definedName>
    <definedName name="ProductId2">'Бланк заказа'!$B$28:$B$28</definedName>
    <definedName name="ProductId20">'Бланк заказа'!$B$63:$B$63</definedName>
    <definedName name="ProductId21">'Бланк заказа'!$B$68:$B$68</definedName>
    <definedName name="ProductId22">'Бланк заказа'!$B$69:$B$69</definedName>
    <definedName name="ProductId23">'Бланк заказа'!$B$70:$B$70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заказа'!$B$29:$B$29</definedName>
    <definedName name="ProductId30">'Бланк заказа'!$B$83:$B$83</definedName>
    <definedName name="ProductId31">'Бланк заказа'!$B$87:$B$87</definedName>
    <definedName name="ProductId32">'Бланк заказа'!$B$92:$B$92</definedName>
    <definedName name="ProductId33">'Бланк заказа'!$B$96:$B$96</definedName>
    <definedName name="ProductId34">'Бланк заказа'!$B$97:$B$97</definedName>
    <definedName name="ProductId35">'Бланк заказа'!$B$103:$B$103</definedName>
    <definedName name="ProductId36">'Бланк заказа'!$B$104:$B$104</definedName>
    <definedName name="ProductId37">'Бланк заказа'!$B$105:$B$105</definedName>
    <definedName name="ProductId38">'Бланк заказа'!$B$106:$B$106</definedName>
    <definedName name="ProductId39">'Бланк заказа'!$B$107:$B$107</definedName>
    <definedName name="ProductId4">'Бланк заказа'!$B$30:$B$30</definedName>
    <definedName name="ProductId40">'Бланк заказа'!$B$108:$B$108</definedName>
    <definedName name="ProductId41">'Бланк заказа'!$B$109:$B$109</definedName>
    <definedName name="ProductId42">'Бланк заказа'!$B$110:$B$110</definedName>
    <definedName name="ProductId43">'Бланк заказа'!$B$111:$B$111</definedName>
    <definedName name="ProductId44">'Бланк заказа'!$B$115:$B$115</definedName>
    <definedName name="ProductId45">'Бланк заказа'!$B$116:$B$116</definedName>
    <definedName name="ProductId46">'Бланк заказа'!$B$117:$B$117</definedName>
    <definedName name="ProductId47">'Бланк заказа'!$B$121:$B$121</definedName>
    <definedName name="ProductId48">'Бланк заказа'!$B$126:$B$126</definedName>
    <definedName name="ProductId49">'Бланк заказа'!$B$127:$B$127</definedName>
    <definedName name="ProductId5">'Бланк заказа'!$B$35:$B$35</definedName>
    <definedName name="ProductId50">'Бланк заказа'!$B$131:$B$131</definedName>
    <definedName name="ProductId51">'Бланк заказа'!$B$132:$B$132</definedName>
    <definedName name="ProductId52">'Бланк заказа'!$B$136:$B$136</definedName>
    <definedName name="ProductId53">'Бланк заказа'!$B$137:$B$137</definedName>
    <definedName name="ProductId54">'Бланк заказа'!$B$138:$B$138</definedName>
    <definedName name="ProductId55">'Бланк заказа'!$B$139:$B$139</definedName>
    <definedName name="ProductId56">'Бланк заказа'!$B$143:$B$143</definedName>
    <definedName name="ProductId57">'Бланк заказа'!$B$144:$B$144</definedName>
    <definedName name="ProductId58">'Бланк заказа'!$B$145:$B$145</definedName>
    <definedName name="ProductId59">'Бланк заказа'!$B$146:$B$146</definedName>
    <definedName name="ProductId6">'Бланк заказа'!$B$36:$B$36</definedName>
    <definedName name="ProductId60">'Бланк заказа'!$B$147:$B$147</definedName>
    <definedName name="ProductId61">'Бланк заказа'!$B$148:$B$148</definedName>
    <definedName name="ProductId62">'Бланк заказа'!$B$149:$B$149</definedName>
    <definedName name="ProductId63">'Бланк заказа'!$B$150:$B$150</definedName>
    <definedName name="ProductId64">'Бланк заказа'!$B$154:$B$154</definedName>
    <definedName name="ProductId65">'Бланк заказа'!$B$159:$B$159</definedName>
    <definedName name="ProductId66">'Бланк заказа'!$B$160:$B$160</definedName>
    <definedName name="ProductId67">'Бланк заказа'!$B$161:$B$161</definedName>
    <definedName name="ProductId68">'Бланк заказа'!$B$162:$B$162</definedName>
    <definedName name="ProductId69">'Бланк заказа'!$B$163:$B$163</definedName>
    <definedName name="ProductId7">'Бланк заказа'!$B$37:$B$37</definedName>
    <definedName name="ProductId70">'Бланк заказа'!$B$164:$B$164</definedName>
    <definedName name="ProductId71">'Бланк заказа'!$B$165:$B$165</definedName>
    <definedName name="ProductId72">'Бланк заказа'!$B$170:$B$170</definedName>
    <definedName name="ProductId73">'Бланк заказа'!$B$171:$B$171</definedName>
    <definedName name="ProductId74">'Бланк заказа'!$B$172:$B$172</definedName>
    <definedName name="ProductId75">'Бланк заказа'!$B$173:$B$173</definedName>
    <definedName name="ProductId76">'Бланк заказа'!$B$174:$B$174</definedName>
    <definedName name="ProductId77">'Бланк заказа'!$B$179:$B$179</definedName>
    <definedName name="ProductId78">'Бланк заказа'!$B$180:$B$180</definedName>
    <definedName name="ProductId79">'Бланк заказа'!$B$185:$B$185</definedName>
    <definedName name="ProductId8">'Бланк заказа'!$B$38:$B$38</definedName>
    <definedName name="ProductId80">'Бланк заказа'!$B$190:$B$190</definedName>
    <definedName name="ProductId81">'Бланк заказа'!$B$195:$B$195</definedName>
    <definedName name="ProductId82">'Бланк заказа'!$B$196:$B$196</definedName>
    <definedName name="ProductId83">'Бланк заказа'!$B$197:$B$197</definedName>
    <definedName name="ProductId84">'Бланк заказа'!$B$198:$B$198</definedName>
    <definedName name="ProductId85">'Бланк заказа'!$B$199:$B$199</definedName>
    <definedName name="ProductId86">'Бланк заказа'!$B$203:$B$203</definedName>
    <definedName name="ProductId87">'Бланк заказа'!$B$204:$B$204</definedName>
    <definedName name="ProductId88">'Бланк заказа'!$B$205:$B$205</definedName>
    <definedName name="ProductId89">'Бланк заказа'!$B$206:$B$206</definedName>
    <definedName name="ProductId9">'Бланк заказа'!$B$39:$B$39</definedName>
    <definedName name="ProductId90">'Бланк заказа'!$B$207:$B$207</definedName>
    <definedName name="ProductId91">'Бланк заказа'!$B$208:$B$208</definedName>
    <definedName name="ProductId92">'Бланк заказа'!$B$212:$B$212</definedName>
    <definedName name="ProductId93">'Бланк заказа'!$B$213:$B$213</definedName>
    <definedName name="ProductId94">'Бланк заказа'!$B$214:$B$214</definedName>
    <definedName name="ProductId95">'Бланк заказа'!$B$215:$B$215</definedName>
    <definedName name="ProductId96">'Бланк заказа'!$B$219:$B$219</definedName>
    <definedName name="ProductId97">'Бланк заказа'!$B$220:$B$220</definedName>
    <definedName name="ProductId98">'Бланк заказа'!$B$221:$B$221</definedName>
    <definedName name="ProductId99">'Бланк заказа'!$B$225:$B$225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заказа'!$X$226:$X$226</definedName>
    <definedName name="SalesQty101">'Бланк заказа'!$X$227:$X$227</definedName>
    <definedName name="SalesQty102">'Бланк заказа'!$X$228:$X$228</definedName>
    <definedName name="SalesQty103">'Бланк заказа'!$X$232:$X$232</definedName>
    <definedName name="SalesQty104">'Бланк заказа'!$X$233:$X$233</definedName>
    <definedName name="SalesQty105">'Бланк заказа'!$X$234:$X$234</definedName>
    <definedName name="SalesQty106">'Бланк заказа'!$X$239:$X$239</definedName>
    <definedName name="SalesQty107">'Бланк заказа'!$X$240:$X$240</definedName>
    <definedName name="SalesQty108">'Бланк заказа'!$X$246:$X$246</definedName>
    <definedName name="SalesQty109">'Бланк заказа'!$X$247:$X$247</definedName>
    <definedName name="SalesQty11">'Бланк заказа'!$X$44:$X$44</definedName>
    <definedName name="SalesQty110">'Бланк заказа'!$X$248:$X$248</definedName>
    <definedName name="SalesQty111">'Бланк заказа'!$X$249:$X$249</definedName>
    <definedName name="SalesQty112">'Бланк заказа'!$X$250:$X$250</definedName>
    <definedName name="SalesQty113">'Бланк заказа'!$X$251:$X$251</definedName>
    <definedName name="SalesQty114">'Бланк заказа'!$X$252:$X$252</definedName>
    <definedName name="SalesQty115">'Бланк заказа'!$X$256:$X$256</definedName>
    <definedName name="SalesQty116">'Бланк заказа'!$X$257:$X$257</definedName>
    <definedName name="SalesQty117">'Бланк заказа'!$X$261:$X$261</definedName>
    <definedName name="SalesQty118">'Бланк заказа'!$X$262:$X$262</definedName>
    <definedName name="SalesQty119">'Бланк заказа'!$X$266:$X$266</definedName>
    <definedName name="SalesQty12">'Бланк заказа'!$X$45:$X$45</definedName>
    <definedName name="SalesQty120">'Бланк заказа'!$X$271:$X$271</definedName>
    <definedName name="SalesQty121">'Бланк заказа'!$X$272:$X$272</definedName>
    <definedName name="SalesQty122">'Бланк заказа'!$X$276:$X$276</definedName>
    <definedName name="SalesQty123">'Бланк заказа'!$X$277:$X$277</definedName>
    <definedName name="SalesQty124">'Бланк заказа'!$X$281:$X$281</definedName>
    <definedName name="SalesQty125">'Бланк заказа'!$X$282:$X$282</definedName>
    <definedName name="SalesQty126">'Бланк заказа'!$X$283:$X$283</definedName>
    <definedName name="SalesQty127">'Бланк заказа'!$X$289:$X$289</definedName>
    <definedName name="SalesQty128">'Бланк заказа'!$X$290:$X$290</definedName>
    <definedName name="SalesQty129">'Бланк заказа'!$X$291:$X$291</definedName>
    <definedName name="SalesQty13">'Бланк заказа'!$X$46:$X$46</definedName>
    <definedName name="SalesQty130">'Бланк заказа'!$X$295:$X$295</definedName>
    <definedName name="SalesQty131">'Бланк заказа'!$X$296:$X$296</definedName>
    <definedName name="SalesQty132">'Бланк заказа'!$X$301:$X$301</definedName>
    <definedName name="SalesQty133">'Бланк заказа'!$X$305:$X$305</definedName>
    <definedName name="SalesQty134">'Бланк заказа'!$X$311:$X$311</definedName>
    <definedName name="SalesQty135">'Бланк заказа'!$X$312:$X$312</definedName>
    <definedName name="SalesQty136">'Бланк заказа'!$X$313:$X$313</definedName>
    <definedName name="SalesQty137">'Бланк заказа'!$X$314:$X$314</definedName>
    <definedName name="SalesQty138">'Бланк заказа'!$X$315:$X$315</definedName>
    <definedName name="SalesQty139">'Бланк заказа'!$X$316:$X$316</definedName>
    <definedName name="SalesQty14">'Бланк заказа'!$X$50:$X$50</definedName>
    <definedName name="SalesQty140">'Бланк заказа'!$X$317:$X$317</definedName>
    <definedName name="SalesQty141">'Бланк заказа'!$X$321:$X$321</definedName>
    <definedName name="SalesQty142">'Бланк заказа'!$X$322:$X$322</definedName>
    <definedName name="SalesQty143">'Бланк заказа'!$X$326:$X$326</definedName>
    <definedName name="SalesQty144">'Бланк заказа'!$X$327:$X$327</definedName>
    <definedName name="SalesQty145">'Бланк заказа'!$X$328:$X$328</definedName>
    <definedName name="SalesQty146">'Бланк заказа'!$X$329:$X$329</definedName>
    <definedName name="SalesQty147">'Бланк заказа'!$X$330:$X$330</definedName>
    <definedName name="SalesQty148">'Бланк заказа'!$X$331:$X$331</definedName>
    <definedName name="SalesQty15">'Бланк заказа'!$X$51:$X$51</definedName>
    <definedName name="SalesQty16">'Бланк заказа'!$X$56:$X$56</definedName>
    <definedName name="SalesQty17">'Бланк заказа'!$X$57:$X$57</definedName>
    <definedName name="SalesQty18">'Бланк заказа'!$X$61:$X$61</definedName>
    <definedName name="SalesQty19">'Бланк заказа'!$X$62:$X$62</definedName>
    <definedName name="SalesQty2">'Бланк заказа'!$X$28:$X$28</definedName>
    <definedName name="SalesQty20">'Бланк заказа'!$X$63:$X$63</definedName>
    <definedName name="SalesQty21">'Бланк заказа'!$X$68:$X$68</definedName>
    <definedName name="SalesQty22">'Бланк заказа'!$X$69:$X$69</definedName>
    <definedName name="SalesQty23">'Бланк заказа'!$X$70:$X$70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заказа'!$X$29:$X$29</definedName>
    <definedName name="SalesQty30">'Бланк заказа'!$X$83:$X$83</definedName>
    <definedName name="SalesQty31">'Бланк заказа'!$X$87:$X$87</definedName>
    <definedName name="SalesQty32">'Бланк заказа'!$X$92:$X$92</definedName>
    <definedName name="SalesQty33">'Бланк заказа'!$X$96:$X$96</definedName>
    <definedName name="SalesQty34">'Бланк заказа'!$X$97:$X$97</definedName>
    <definedName name="SalesQty35">'Бланк заказа'!$X$103:$X$103</definedName>
    <definedName name="SalesQty36">'Бланк заказа'!$X$104:$X$104</definedName>
    <definedName name="SalesQty37">'Бланк заказа'!$X$105:$X$105</definedName>
    <definedName name="SalesQty38">'Бланк заказа'!$X$106:$X$106</definedName>
    <definedName name="SalesQty39">'Бланк заказа'!$X$107:$X$107</definedName>
    <definedName name="SalesQty4">'Бланк заказа'!$X$30:$X$30</definedName>
    <definedName name="SalesQty40">'Бланк заказа'!$X$108:$X$108</definedName>
    <definedName name="SalesQty41">'Бланк заказа'!$X$109:$X$109</definedName>
    <definedName name="SalesQty42">'Бланк заказа'!$X$110:$X$110</definedName>
    <definedName name="SalesQty43">'Бланк заказа'!$X$111:$X$111</definedName>
    <definedName name="SalesQty44">'Бланк заказа'!$X$115:$X$115</definedName>
    <definedName name="SalesQty45">'Бланк заказа'!$X$116:$X$116</definedName>
    <definedName name="SalesQty46">'Бланк заказа'!$X$117:$X$117</definedName>
    <definedName name="SalesQty47">'Бланк заказа'!$X$121:$X$121</definedName>
    <definedName name="SalesQty48">'Бланк заказа'!$X$126:$X$126</definedName>
    <definedName name="SalesQty49">'Бланк заказа'!$X$127:$X$127</definedName>
    <definedName name="SalesQty5">'Бланк заказа'!$X$35:$X$35</definedName>
    <definedName name="SalesQty50">'Бланк заказа'!$X$131:$X$131</definedName>
    <definedName name="SalesQty51">'Бланк заказа'!$X$132:$X$132</definedName>
    <definedName name="SalesQty52">'Бланк заказа'!$X$136:$X$136</definedName>
    <definedName name="SalesQty53">'Бланк заказа'!$X$137:$X$137</definedName>
    <definedName name="SalesQty54">'Бланк заказа'!$X$138:$X$138</definedName>
    <definedName name="SalesQty55">'Бланк заказа'!$X$139:$X$139</definedName>
    <definedName name="SalesQty56">'Бланк заказа'!$X$143:$X$143</definedName>
    <definedName name="SalesQty57">'Бланк заказа'!$X$144:$X$144</definedName>
    <definedName name="SalesQty58">'Бланк заказа'!$X$145:$X$145</definedName>
    <definedName name="SalesQty59">'Бланк заказа'!$X$146:$X$146</definedName>
    <definedName name="SalesQty6">'Бланк заказа'!$X$36:$X$36</definedName>
    <definedName name="SalesQty60">'Бланк заказа'!$X$147:$X$147</definedName>
    <definedName name="SalesQty61">'Бланк заказа'!$X$148:$X$148</definedName>
    <definedName name="SalesQty62">'Бланк заказа'!$X$149:$X$149</definedName>
    <definedName name="SalesQty63">'Бланк заказа'!$X$150:$X$150</definedName>
    <definedName name="SalesQty64">'Бланк заказа'!$X$154:$X$154</definedName>
    <definedName name="SalesQty65">'Бланк заказа'!$X$159:$X$159</definedName>
    <definedName name="SalesQty66">'Бланк заказа'!$X$160:$X$160</definedName>
    <definedName name="SalesQty67">'Бланк заказа'!$X$161:$X$161</definedName>
    <definedName name="SalesQty68">'Бланк заказа'!$X$162:$X$162</definedName>
    <definedName name="SalesQty69">'Бланк заказа'!$X$163:$X$163</definedName>
    <definedName name="SalesQty7">'Бланк заказа'!$X$37:$X$37</definedName>
    <definedName name="SalesQty70">'Бланк заказа'!$X$164:$X$164</definedName>
    <definedName name="SalesQty71">'Бланк заказа'!$X$165:$X$165</definedName>
    <definedName name="SalesQty72">'Бланк заказа'!$X$170:$X$170</definedName>
    <definedName name="SalesQty73">'Бланк заказа'!$X$171:$X$171</definedName>
    <definedName name="SalesQty74">'Бланк заказа'!$X$172:$X$172</definedName>
    <definedName name="SalesQty75">'Бланк заказа'!$X$173:$X$173</definedName>
    <definedName name="SalesQty76">'Бланк заказа'!$X$174:$X$174</definedName>
    <definedName name="SalesQty77">'Бланк заказа'!$X$179:$X$179</definedName>
    <definedName name="SalesQty78">'Бланк заказа'!$X$180:$X$180</definedName>
    <definedName name="SalesQty79">'Бланк заказа'!$X$185:$X$185</definedName>
    <definedName name="SalesQty8">'Бланк заказа'!$X$38:$X$38</definedName>
    <definedName name="SalesQty80">'Бланк заказа'!$X$190:$X$190</definedName>
    <definedName name="SalesQty81">'Бланк заказа'!$X$195:$X$195</definedName>
    <definedName name="SalesQty82">'Бланк заказа'!$X$196:$X$196</definedName>
    <definedName name="SalesQty83">'Бланк заказа'!$X$197:$X$197</definedName>
    <definedName name="SalesQty84">'Бланк заказа'!$X$198:$X$198</definedName>
    <definedName name="SalesQty85">'Бланк заказа'!$X$199:$X$199</definedName>
    <definedName name="SalesQty86">'Бланк заказа'!$X$203:$X$203</definedName>
    <definedName name="SalesQty87">'Бланк заказа'!$X$204:$X$204</definedName>
    <definedName name="SalesQty88">'Бланк заказа'!$X$205:$X$205</definedName>
    <definedName name="SalesQty89">'Бланк заказа'!$X$206:$X$206</definedName>
    <definedName name="SalesQty9">'Бланк заказа'!$X$39:$X$39</definedName>
    <definedName name="SalesQty90">'Бланк заказа'!$X$207:$X$207</definedName>
    <definedName name="SalesQty91">'Бланк заказа'!$X$208:$X$208</definedName>
    <definedName name="SalesQty92">'Бланк заказа'!$X$212:$X$212</definedName>
    <definedName name="SalesQty93">'Бланк заказа'!$X$213:$X$213</definedName>
    <definedName name="SalesQty94">'Бланк заказа'!$X$214:$X$214</definedName>
    <definedName name="SalesQty95">'Бланк заказа'!$X$215:$X$215</definedName>
    <definedName name="SalesQty96">'Бланк заказа'!$X$219:$X$219</definedName>
    <definedName name="SalesQty97">'Бланк заказа'!$X$220:$X$220</definedName>
    <definedName name="SalesQty98">'Бланк заказа'!$X$221:$X$221</definedName>
    <definedName name="SalesQty99">'Бланк заказа'!$X$225:$X$225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заказа'!$Y$226:$Y$226</definedName>
    <definedName name="SalesRoundBox101">'Бланк заказа'!$Y$227:$Y$227</definedName>
    <definedName name="SalesRoundBox102">'Бланк заказа'!$Y$228:$Y$228</definedName>
    <definedName name="SalesRoundBox103">'Бланк заказа'!$Y$232:$Y$232</definedName>
    <definedName name="SalesRoundBox104">'Бланк заказа'!$Y$233:$Y$233</definedName>
    <definedName name="SalesRoundBox105">'Бланк заказа'!$Y$234:$Y$234</definedName>
    <definedName name="SalesRoundBox106">'Бланк заказа'!$Y$239:$Y$239</definedName>
    <definedName name="SalesRoundBox107">'Бланк заказа'!$Y$240:$Y$240</definedName>
    <definedName name="SalesRoundBox108">'Бланк заказа'!$Y$246:$Y$246</definedName>
    <definedName name="SalesRoundBox109">'Бланк заказа'!$Y$247:$Y$247</definedName>
    <definedName name="SalesRoundBox11">'Бланк заказа'!$Y$44:$Y$44</definedName>
    <definedName name="SalesRoundBox110">'Бланк заказа'!$Y$248:$Y$248</definedName>
    <definedName name="SalesRoundBox111">'Бланк заказа'!$Y$249:$Y$249</definedName>
    <definedName name="SalesRoundBox112">'Бланк заказа'!$Y$250:$Y$250</definedName>
    <definedName name="SalesRoundBox113">'Бланк заказа'!$Y$251:$Y$251</definedName>
    <definedName name="SalesRoundBox114">'Бланк заказа'!$Y$252:$Y$252</definedName>
    <definedName name="SalesRoundBox115">'Бланк заказа'!$Y$256:$Y$256</definedName>
    <definedName name="SalesRoundBox116">'Бланк заказа'!$Y$257:$Y$257</definedName>
    <definedName name="SalesRoundBox117">'Бланк заказа'!$Y$261:$Y$261</definedName>
    <definedName name="SalesRoundBox118">'Бланк заказа'!$Y$262:$Y$262</definedName>
    <definedName name="SalesRoundBox119">'Бланк заказа'!$Y$266:$Y$266</definedName>
    <definedName name="SalesRoundBox12">'Бланк заказа'!$Y$45:$Y$45</definedName>
    <definedName name="SalesRoundBox120">'Бланк заказа'!$Y$271:$Y$271</definedName>
    <definedName name="SalesRoundBox121">'Бланк заказа'!$Y$272:$Y$272</definedName>
    <definedName name="SalesRoundBox122">'Бланк заказа'!$Y$276:$Y$276</definedName>
    <definedName name="SalesRoundBox123">'Бланк заказа'!$Y$277:$Y$277</definedName>
    <definedName name="SalesRoundBox124">'Бланк заказа'!$Y$281:$Y$281</definedName>
    <definedName name="SalesRoundBox125">'Бланк заказа'!$Y$282:$Y$282</definedName>
    <definedName name="SalesRoundBox126">'Бланк заказа'!$Y$283:$Y$283</definedName>
    <definedName name="SalesRoundBox127">'Бланк заказа'!$Y$289:$Y$289</definedName>
    <definedName name="SalesRoundBox128">'Бланк заказа'!$Y$290:$Y$290</definedName>
    <definedName name="SalesRoundBox129">'Бланк заказа'!$Y$291:$Y$291</definedName>
    <definedName name="SalesRoundBox13">'Бланк заказа'!$Y$46:$Y$46</definedName>
    <definedName name="SalesRoundBox130">'Бланк заказа'!$Y$295:$Y$295</definedName>
    <definedName name="SalesRoundBox131">'Бланк заказа'!$Y$296:$Y$296</definedName>
    <definedName name="SalesRoundBox132">'Бланк заказа'!$Y$301:$Y$301</definedName>
    <definedName name="SalesRoundBox133">'Бланк заказа'!$Y$305:$Y$305</definedName>
    <definedName name="SalesRoundBox134">'Бланк заказа'!$Y$311:$Y$311</definedName>
    <definedName name="SalesRoundBox135">'Бланк заказа'!$Y$312:$Y$312</definedName>
    <definedName name="SalesRoundBox136">'Бланк заказа'!$Y$313:$Y$313</definedName>
    <definedName name="SalesRoundBox137">'Бланк заказа'!$Y$314:$Y$314</definedName>
    <definedName name="SalesRoundBox138">'Бланк заказа'!$Y$315:$Y$315</definedName>
    <definedName name="SalesRoundBox139">'Бланк заказа'!$Y$316:$Y$316</definedName>
    <definedName name="SalesRoundBox14">'Бланк заказа'!$Y$50:$Y$50</definedName>
    <definedName name="SalesRoundBox140">'Бланк заказа'!$Y$317:$Y$317</definedName>
    <definedName name="SalesRoundBox141">'Бланк заказа'!$Y$321:$Y$321</definedName>
    <definedName name="SalesRoundBox142">'Бланк заказа'!$Y$322:$Y$322</definedName>
    <definedName name="SalesRoundBox143">'Бланк заказа'!$Y$326:$Y$326</definedName>
    <definedName name="SalesRoundBox144">'Бланк заказа'!$Y$327:$Y$327</definedName>
    <definedName name="SalesRoundBox145">'Бланк заказа'!$Y$328:$Y$328</definedName>
    <definedName name="SalesRoundBox146">'Бланк заказа'!$Y$329:$Y$329</definedName>
    <definedName name="SalesRoundBox147">'Бланк заказа'!$Y$330:$Y$330</definedName>
    <definedName name="SalesRoundBox148">'Бланк заказа'!$Y$331:$Y$331</definedName>
    <definedName name="SalesRoundBox15">'Бланк заказа'!$Y$51:$Y$51</definedName>
    <definedName name="SalesRoundBox16">'Бланк заказа'!$Y$56:$Y$56</definedName>
    <definedName name="SalesRoundBox17">'Бланк заказа'!$Y$57:$Y$57</definedName>
    <definedName name="SalesRoundBox18">'Бланк заказа'!$Y$61:$Y$61</definedName>
    <definedName name="SalesRoundBox19">'Бланк заказа'!$Y$62:$Y$62</definedName>
    <definedName name="SalesRoundBox2">'Бланк заказа'!$Y$28:$Y$28</definedName>
    <definedName name="SalesRoundBox20">'Бланк заказа'!$Y$63:$Y$63</definedName>
    <definedName name="SalesRoundBox21">'Бланк заказа'!$Y$68:$Y$68</definedName>
    <definedName name="SalesRoundBox22">'Бланк заказа'!$Y$69:$Y$69</definedName>
    <definedName name="SalesRoundBox23">'Бланк заказа'!$Y$70:$Y$70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заказа'!$Y$29:$Y$29</definedName>
    <definedName name="SalesRoundBox30">'Бланк заказа'!$Y$83:$Y$83</definedName>
    <definedName name="SalesRoundBox31">'Бланк заказа'!$Y$87:$Y$87</definedName>
    <definedName name="SalesRoundBox32">'Бланк заказа'!$Y$92:$Y$92</definedName>
    <definedName name="SalesRoundBox33">'Бланк заказа'!$Y$96:$Y$96</definedName>
    <definedName name="SalesRoundBox34">'Бланк заказа'!$Y$97:$Y$97</definedName>
    <definedName name="SalesRoundBox35">'Бланк заказа'!$Y$103:$Y$103</definedName>
    <definedName name="SalesRoundBox36">'Бланк заказа'!$Y$104:$Y$104</definedName>
    <definedName name="SalesRoundBox37">'Бланк заказа'!$Y$105:$Y$105</definedName>
    <definedName name="SalesRoundBox38">'Бланк заказа'!$Y$106:$Y$106</definedName>
    <definedName name="SalesRoundBox39">'Бланк заказа'!$Y$107:$Y$107</definedName>
    <definedName name="SalesRoundBox4">'Бланк заказа'!$Y$30:$Y$30</definedName>
    <definedName name="SalesRoundBox40">'Бланк заказа'!$Y$108:$Y$108</definedName>
    <definedName name="SalesRoundBox41">'Бланк заказа'!$Y$109:$Y$109</definedName>
    <definedName name="SalesRoundBox42">'Бланк заказа'!$Y$110:$Y$110</definedName>
    <definedName name="SalesRoundBox43">'Бланк заказа'!$Y$111:$Y$111</definedName>
    <definedName name="SalesRoundBox44">'Бланк заказа'!$Y$115:$Y$115</definedName>
    <definedName name="SalesRoundBox45">'Бланк заказа'!$Y$116:$Y$116</definedName>
    <definedName name="SalesRoundBox46">'Бланк заказа'!$Y$117:$Y$117</definedName>
    <definedName name="SalesRoundBox47">'Бланк заказа'!$Y$121:$Y$121</definedName>
    <definedName name="SalesRoundBox48">'Бланк заказа'!$Y$126:$Y$126</definedName>
    <definedName name="SalesRoundBox49">'Бланк заказа'!$Y$127:$Y$127</definedName>
    <definedName name="SalesRoundBox5">'Бланк заказа'!$Y$35:$Y$35</definedName>
    <definedName name="SalesRoundBox50">'Бланк заказа'!$Y$131:$Y$131</definedName>
    <definedName name="SalesRoundBox51">'Бланк заказа'!$Y$132:$Y$132</definedName>
    <definedName name="SalesRoundBox52">'Бланк заказа'!$Y$136:$Y$136</definedName>
    <definedName name="SalesRoundBox53">'Бланк заказа'!$Y$137:$Y$137</definedName>
    <definedName name="SalesRoundBox54">'Бланк заказа'!$Y$138:$Y$138</definedName>
    <definedName name="SalesRoundBox55">'Бланк заказа'!$Y$139:$Y$139</definedName>
    <definedName name="SalesRoundBox56">'Бланк заказа'!$Y$143:$Y$143</definedName>
    <definedName name="SalesRoundBox57">'Бланк заказа'!$Y$144:$Y$144</definedName>
    <definedName name="SalesRoundBox58">'Бланк заказа'!$Y$145:$Y$145</definedName>
    <definedName name="SalesRoundBox59">'Бланк заказа'!$Y$146:$Y$146</definedName>
    <definedName name="SalesRoundBox6">'Бланк заказа'!$Y$36:$Y$36</definedName>
    <definedName name="SalesRoundBox60">'Бланк заказа'!$Y$147:$Y$147</definedName>
    <definedName name="SalesRoundBox61">'Бланк заказа'!$Y$148:$Y$148</definedName>
    <definedName name="SalesRoundBox62">'Бланк заказа'!$Y$149:$Y$149</definedName>
    <definedName name="SalesRoundBox63">'Бланк заказа'!$Y$150:$Y$150</definedName>
    <definedName name="SalesRoundBox64">'Бланк заказа'!$Y$154:$Y$154</definedName>
    <definedName name="SalesRoundBox65">'Бланк заказа'!$Y$159:$Y$159</definedName>
    <definedName name="SalesRoundBox66">'Бланк заказа'!$Y$160:$Y$160</definedName>
    <definedName name="SalesRoundBox67">'Бланк заказа'!$Y$161:$Y$161</definedName>
    <definedName name="SalesRoundBox68">'Бланк заказа'!$Y$162:$Y$162</definedName>
    <definedName name="SalesRoundBox69">'Бланк заказа'!$Y$163:$Y$163</definedName>
    <definedName name="SalesRoundBox7">'Бланк заказа'!$Y$37:$Y$37</definedName>
    <definedName name="SalesRoundBox70">'Бланк заказа'!$Y$164:$Y$164</definedName>
    <definedName name="SalesRoundBox71">'Бланк заказа'!$Y$165:$Y$165</definedName>
    <definedName name="SalesRoundBox72">'Бланк заказа'!$Y$170:$Y$170</definedName>
    <definedName name="SalesRoundBox73">'Бланк заказа'!$Y$171:$Y$171</definedName>
    <definedName name="SalesRoundBox74">'Бланк заказа'!$Y$172:$Y$172</definedName>
    <definedName name="SalesRoundBox75">'Бланк заказа'!$Y$173:$Y$173</definedName>
    <definedName name="SalesRoundBox76">'Бланк заказа'!$Y$174:$Y$174</definedName>
    <definedName name="SalesRoundBox77">'Бланк заказа'!$Y$179:$Y$179</definedName>
    <definedName name="SalesRoundBox78">'Бланк заказа'!$Y$180:$Y$180</definedName>
    <definedName name="SalesRoundBox79">'Бланк заказа'!$Y$185:$Y$185</definedName>
    <definedName name="SalesRoundBox8">'Бланк заказа'!$Y$38:$Y$38</definedName>
    <definedName name="SalesRoundBox80">'Бланк заказа'!$Y$190:$Y$190</definedName>
    <definedName name="SalesRoundBox81">'Бланк заказа'!$Y$195:$Y$195</definedName>
    <definedName name="SalesRoundBox82">'Бланк заказа'!$Y$196:$Y$196</definedName>
    <definedName name="SalesRoundBox83">'Бланк заказа'!$Y$197:$Y$197</definedName>
    <definedName name="SalesRoundBox84">'Бланк заказа'!$Y$198:$Y$198</definedName>
    <definedName name="SalesRoundBox85">'Бланк заказа'!$Y$199:$Y$199</definedName>
    <definedName name="SalesRoundBox86">'Бланк заказа'!$Y$203:$Y$203</definedName>
    <definedName name="SalesRoundBox87">'Бланк заказа'!$Y$204:$Y$204</definedName>
    <definedName name="SalesRoundBox88">'Бланк заказа'!$Y$205:$Y$205</definedName>
    <definedName name="SalesRoundBox89">'Бланк заказа'!$Y$206:$Y$206</definedName>
    <definedName name="SalesRoundBox9">'Бланк заказа'!$Y$39:$Y$39</definedName>
    <definedName name="SalesRoundBox90">'Бланк заказа'!$Y$207:$Y$207</definedName>
    <definedName name="SalesRoundBox91">'Бланк заказа'!$Y$208:$Y$208</definedName>
    <definedName name="SalesRoundBox92">'Бланк заказа'!$Y$212:$Y$212</definedName>
    <definedName name="SalesRoundBox93">'Бланк заказа'!$Y$213:$Y$213</definedName>
    <definedName name="SalesRoundBox94">'Бланк заказа'!$Y$214:$Y$214</definedName>
    <definedName name="SalesRoundBox95">'Бланк заказа'!$Y$215:$Y$215</definedName>
    <definedName name="SalesRoundBox96">'Бланк заказа'!$Y$219:$Y$219</definedName>
    <definedName name="SalesRoundBox97">'Бланк заказа'!$Y$220:$Y$220</definedName>
    <definedName name="SalesRoundBox98">'Бланк заказа'!$Y$221:$Y$221</definedName>
    <definedName name="SalesRoundBox99">'Бланк заказа'!$Y$225:$Y$225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заказа'!$W$226:$W$226</definedName>
    <definedName name="UnitOfMeasure101">'Бланк заказа'!$W$227:$W$227</definedName>
    <definedName name="UnitOfMeasure102">'Бланк заказа'!$W$228:$W$228</definedName>
    <definedName name="UnitOfMeasure103">'Бланк заказа'!$W$232:$W$232</definedName>
    <definedName name="UnitOfMeasure104">'Бланк заказа'!$W$233:$W$233</definedName>
    <definedName name="UnitOfMeasure105">'Бланк заказа'!$W$234:$W$234</definedName>
    <definedName name="UnitOfMeasure106">'Бланк заказа'!$W$239:$W$239</definedName>
    <definedName name="UnitOfMeasure107">'Бланк заказа'!$W$240:$W$240</definedName>
    <definedName name="UnitOfMeasure108">'Бланк заказа'!$W$246:$W$246</definedName>
    <definedName name="UnitOfMeasure109">'Бланк заказа'!$W$247:$W$247</definedName>
    <definedName name="UnitOfMeasure11">'Бланк заказа'!$W$44:$W$44</definedName>
    <definedName name="UnitOfMeasure110">'Бланк заказа'!$W$248:$W$248</definedName>
    <definedName name="UnitOfMeasure111">'Бланк заказа'!$W$249:$W$249</definedName>
    <definedName name="UnitOfMeasure112">'Бланк заказа'!$W$250:$W$250</definedName>
    <definedName name="UnitOfMeasure113">'Бланк заказа'!$W$251:$W$251</definedName>
    <definedName name="UnitOfMeasure114">'Бланк заказа'!$W$252:$W$252</definedName>
    <definedName name="UnitOfMeasure115">'Бланк заказа'!$W$256:$W$256</definedName>
    <definedName name="UnitOfMeasure116">'Бланк заказа'!$W$257:$W$257</definedName>
    <definedName name="UnitOfMeasure117">'Бланк заказа'!$W$261:$W$261</definedName>
    <definedName name="UnitOfMeasure118">'Бланк заказа'!$W$262:$W$262</definedName>
    <definedName name="UnitOfMeasure119">'Бланк заказа'!$W$266:$W$266</definedName>
    <definedName name="UnitOfMeasure12">'Бланк заказа'!$W$45:$W$45</definedName>
    <definedName name="UnitOfMeasure120">'Бланк заказа'!$W$271:$W$271</definedName>
    <definedName name="UnitOfMeasure121">'Бланк заказа'!$W$272:$W$272</definedName>
    <definedName name="UnitOfMeasure122">'Бланк заказа'!$W$276:$W$276</definedName>
    <definedName name="UnitOfMeasure123">'Бланк заказа'!$W$277:$W$277</definedName>
    <definedName name="UnitOfMeasure124">'Бланк заказа'!$W$281:$W$281</definedName>
    <definedName name="UnitOfMeasure125">'Бланк заказа'!$W$282:$W$282</definedName>
    <definedName name="UnitOfMeasure126">'Бланк заказа'!$W$283:$W$283</definedName>
    <definedName name="UnitOfMeasure127">'Бланк заказа'!$W$289:$W$289</definedName>
    <definedName name="UnitOfMeasure128">'Бланк заказа'!$W$290:$W$290</definedName>
    <definedName name="UnitOfMeasure129">'Бланк заказа'!$W$291:$W$291</definedName>
    <definedName name="UnitOfMeasure13">'Бланк заказа'!$W$46:$W$46</definedName>
    <definedName name="UnitOfMeasure130">'Бланк заказа'!$W$295:$W$295</definedName>
    <definedName name="UnitOfMeasure131">'Бланк заказа'!$W$296:$W$296</definedName>
    <definedName name="UnitOfMeasure132">'Бланк заказа'!$W$301:$W$301</definedName>
    <definedName name="UnitOfMeasure133">'Бланк заказа'!$W$305:$W$305</definedName>
    <definedName name="UnitOfMeasure134">'Бланк заказа'!$W$311:$W$311</definedName>
    <definedName name="UnitOfMeasure135">'Бланк заказа'!$W$312:$W$312</definedName>
    <definedName name="UnitOfMeasure136">'Бланк заказа'!$W$313:$W$313</definedName>
    <definedName name="UnitOfMeasure137">'Бланк заказа'!$W$314:$W$314</definedName>
    <definedName name="UnitOfMeasure138">'Бланк заказа'!$W$315:$W$315</definedName>
    <definedName name="UnitOfMeasure139">'Бланк заказа'!$W$316:$W$316</definedName>
    <definedName name="UnitOfMeasure14">'Бланк заказа'!$W$50:$W$50</definedName>
    <definedName name="UnitOfMeasure140">'Бланк заказа'!$W$317:$W$317</definedName>
    <definedName name="UnitOfMeasure141">'Бланк заказа'!$W$321:$W$321</definedName>
    <definedName name="UnitOfMeasure142">'Бланк заказа'!$W$322:$W$322</definedName>
    <definedName name="UnitOfMeasure143">'Бланк заказа'!$W$326:$W$326</definedName>
    <definedName name="UnitOfMeasure144">'Бланк заказа'!$W$327:$W$327</definedName>
    <definedName name="UnitOfMeasure145">'Бланк заказа'!$W$328:$W$328</definedName>
    <definedName name="UnitOfMeasure146">'Бланк заказа'!$W$329:$W$329</definedName>
    <definedName name="UnitOfMeasure147">'Бланк заказа'!$W$330:$W$330</definedName>
    <definedName name="UnitOfMeasure148">'Бланк заказа'!$W$331:$W$331</definedName>
    <definedName name="UnitOfMeasure15">'Бланк заказа'!$W$51:$W$51</definedName>
    <definedName name="UnitOfMeasure16">'Бланк заказа'!$W$56:$W$56</definedName>
    <definedName name="UnitOfMeasure17">'Бланк заказа'!$W$57:$W$57</definedName>
    <definedName name="UnitOfMeasure18">'Бланк заказа'!$W$61:$W$61</definedName>
    <definedName name="UnitOfMeasure19">'Бланк заказа'!$W$62:$W$62</definedName>
    <definedName name="UnitOfMeasure2">'Бланк заказа'!$W$28:$W$28</definedName>
    <definedName name="UnitOfMeasure20">'Бланк заказа'!$W$63:$W$63</definedName>
    <definedName name="UnitOfMeasure21">'Бланк заказа'!$W$68:$W$68</definedName>
    <definedName name="UnitOfMeasure22">'Бланк заказа'!$W$69:$W$69</definedName>
    <definedName name="UnitOfMeasure23">'Бланк заказа'!$W$70:$W$70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заказа'!$W$29:$W$29</definedName>
    <definedName name="UnitOfMeasure30">'Бланк заказа'!$W$83:$W$83</definedName>
    <definedName name="UnitOfMeasure31">'Бланк заказа'!$W$87:$W$87</definedName>
    <definedName name="UnitOfMeasure32">'Бланк заказа'!$W$92:$W$92</definedName>
    <definedName name="UnitOfMeasure33">'Бланк заказа'!$W$96:$W$96</definedName>
    <definedName name="UnitOfMeasure34">'Бланк заказа'!$W$97:$W$97</definedName>
    <definedName name="UnitOfMeasure35">'Бланк заказа'!$W$103:$W$103</definedName>
    <definedName name="UnitOfMeasure36">'Бланк заказа'!$W$104:$W$104</definedName>
    <definedName name="UnitOfMeasure37">'Бланк заказа'!$W$105:$W$105</definedName>
    <definedName name="UnitOfMeasure38">'Бланк заказа'!$W$106:$W$106</definedName>
    <definedName name="UnitOfMeasure39">'Бланк заказа'!$W$107:$W$107</definedName>
    <definedName name="UnitOfMeasure4">'Бланк заказа'!$W$30:$W$30</definedName>
    <definedName name="UnitOfMeasure40">'Бланк заказа'!$W$108:$W$108</definedName>
    <definedName name="UnitOfMeasure41">'Бланк заказа'!$W$109:$W$109</definedName>
    <definedName name="UnitOfMeasure42">'Бланк заказа'!$W$110:$W$110</definedName>
    <definedName name="UnitOfMeasure43">'Бланк заказа'!$W$111:$W$111</definedName>
    <definedName name="UnitOfMeasure44">'Бланк заказа'!$W$115:$W$115</definedName>
    <definedName name="UnitOfMeasure45">'Бланк заказа'!$W$116:$W$116</definedName>
    <definedName name="UnitOfMeasure46">'Бланк заказа'!$W$117:$W$117</definedName>
    <definedName name="UnitOfMeasure47">'Бланк заказа'!$W$121:$W$121</definedName>
    <definedName name="UnitOfMeasure48">'Бланк заказа'!$W$126:$W$126</definedName>
    <definedName name="UnitOfMeasure49">'Бланк заказа'!$W$127:$W$127</definedName>
    <definedName name="UnitOfMeasure5">'Бланк заказа'!$W$35:$W$35</definedName>
    <definedName name="UnitOfMeasure50">'Бланк заказа'!$W$131:$W$131</definedName>
    <definedName name="UnitOfMeasure51">'Бланк заказа'!$W$132:$W$132</definedName>
    <definedName name="UnitOfMeasure52">'Бланк заказа'!$W$136:$W$136</definedName>
    <definedName name="UnitOfMeasure53">'Бланк заказа'!$W$137:$W$137</definedName>
    <definedName name="UnitOfMeasure54">'Бланк заказа'!$W$138:$W$138</definedName>
    <definedName name="UnitOfMeasure55">'Бланк заказа'!$W$139:$W$139</definedName>
    <definedName name="UnitOfMeasure56">'Бланк заказа'!$W$143:$W$143</definedName>
    <definedName name="UnitOfMeasure57">'Бланк заказа'!$W$144:$W$144</definedName>
    <definedName name="UnitOfMeasure58">'Бланк заказа'!$W$145:$W$145</definedName>
    <definedName name="UnitOfMeasure59">'Бланк заказа'!$W$146:$W$146</definedName>
    <definedName name="UnitOfMeasure6">'Бланк заказа'!$W$36:$W$36</definedName>
    <definedName name="UnitOfMeasure60">'Бланк заказа'!$W$147:$W$147</definedName>
    <definedName name="UnitOfMeasure61">'Бланк заказа'!$W$148:$W$148</definedName>
    <definedName name="UnitOfMeasure62">'Бланк заказа'!$W$149:$W$149</definedName>
    <definedName name="UnitOfMeasure63">'Бланк заказа'!$W$150:$W$150</definedName>
    <definedName name="UnitOfMeasure64">'Бланк заказа'!$W$154:$W$154</definedName>
    <definedName name="UnitOfMeasure65">'Бланк заказа'!$W$159:$W$159</definedName>
    <definedName name="UnitOfMeasure66">'Бланк заказа'!$W$160:$W$160</definedName>
    <definedName name="UnitOfMeasure67">'Бланк заказа'!$W$161:$W$161</definedName>
    <definedName name="UnitOfMeasure68">'Бланк заказа'!$W$162:$W$162</definedName>
    <definedName name="UnitOfMeasure69">'Бланк заказа'!$W$163:$W$163</definedName>
    <definedName name="UnitOfMeasure7">'Бланк заказа'!$W$37:$W$37</definedName>
    <definedName name="UnitOfMeasure70">'Бланк заказа'!$W$164:$W$164</definedName>
    <definedName name="UnitOfMeasure71">'Бланк заказа'!$W$165:$W$165</definedName>
    <definedName name="UnitOfMeasure72">'Бланк заказа'!$W$170:$W$170</definedName>
    <definedName name="UnitOfMeasure73">'Бланк заказа'!$W$171:$W$171</definedName>
    <definedName name="UnitOfMeasure74">'Бланк заказа'!$W$172:$W$172</definedName>
    <definedName name="UnitOfMeasure75">'Бланк заказа'!$W$173:$W$173</definedName>
    <definedName name="UnitOfMeasure76">'Бланк заказа'!$W$174:$W$174</definedName>
    <definedName name="UnitOfMeasure77">'Бланк заказа'!$W$179:$W$179</definedName>
    <definedName name="UnitOfMeasure78">'Бланк заказа'!$W$180:$W$180</definedName>
    <definedName name="UnitOfMeasure79">'Бланк заказа'!$W$185:$W$185</definedName>
    <definedName name="UnitOfMeasure8">'Бланк заказа'!$W$38:$W$38</definedName>
    <definedName name="UnitOfMeasure80">'Бланк заказа'!$W$190:$W$190</definedName>
    <definedName name="UnitOfMeasure81">'Бланк заказа'!$W$195:$W$195</definedName>
    <definedName name="UnitOfMeasure82">'Бланк заказа'!$W$196:$W$196</definedName>
    <definedName name="UnitOfMeasure83">'Бланк заказа'!$W$197:$W$197</definedName>
    <definedName name="UnitOfMeasure84">'Бланк заказа'!$W$198:$W$198</definedName>
    <definedName name="UnitOfMeasure85">'Бланк заказа'!$W$199:$W$199</definedName>
    <definedName name="UnitOfMeasure86">'Бланк заказа'!$W$203:$W$203</definedName>
    <definedName name="UnitOfMeasure87">'Бланк заказа'!$W$204:$W$204</definedName>
    <definedName name="UnitOfMeasure88">'Бланк заказа'!$W$205:$W$205</definedName>
    <definedName name="UnitOfMeasure89">'Бланк заказа'!$W$206:$W$206</definedName>
    <definedName name="UnitOfMeasure9">'Бланк заказа'!$W$39:$W$39</definedName>
    <definedName name="UnitOfMeasure90">'Бланк заказа'!$W$207:$W$207</definedName>
    <definedName name="UnitOfMeasure91">'Бланк заказа'!$W$208:$W$208</definedName>
    <definedName name="UnitOfMeasure92">'Бланк заказа'!$W$212:$W$212</definedName>
    <definedName name="UnitOfMeasure93">'Бланк заказа'!$W$213:$W$213</definedName>
    <definedName name="UnitOfMeasure94">'Бланк заказа'!$W$214:$W$214</definedName>
    <definedName name="UnitOfMeasure95">'Бланк заказа'!$W$215:$W$215</definedName>
    <definedName name="UnitOfMeasure96">'Бланк заказа'!$W$219:$W$219</definedName>
    <definedName name="UnitOfMeasure97">'Бланк заказа'!$W$220:$W$220</definedName>
    <definedName name="UnitOfMeasure98">'Бланк заказа'!$W$221:$W$221</definedName>
    <definedName name="UnitOfMeasure99">'Бланк заказа'!$W$225:$W$225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344" i="1" l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2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5" i="1"/>
  <c r="Y284" i="1"/>
  <c r="X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Y285" i="1" s="1"/>
  <c r="P281" i="1"/>
  <c r="X279" i="1"/>
  <c r="X278" i="1"/>
  <c r="BP277" i="1"/>
  <c r="BO277" i="1"/>
  <c r="BN277" i="1"/>
  <c r="BM277" i="1"/>
  <c r="Z277" i="1"/>
  <c r="Y277" i="1"/>
  <c r="P277" i="1"/>
  <c r="BO276" i="1"/>
  <c r="BM276" i="1"/>
  <c r="Y276" i="1"/>
  <c r="P276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Y267" i="1"/>
  <c r="X267" i="1"/>
  <c r="BP266" i="1"/>
  <c r="BO266" i="1"/>
  <c r="BN266" i="1"/>
  <c r="BM266" i="1"/>
  <c r="Z266" i="1"/>
  <c r="Z267" i="1" s="1"/>
  <c r="Y266" i="1"/>
  <c r="Y268" i="1" s="1"/>
  <c r="P266" i="1"/>
  <c r="X264" i="1"/>
  <c r="Y263" i="1"/>
  <c r="X263" i="1"/>
  <c r="BP262" i="1"/>
  <c r="BO262" i="1"/>
  <c r="BN262" i="1"/>
  <c r="BM262" i="1"/>
  <c r="Z262" i="1"/>
  <c r="Y262" i="1"/>
  <c r="P262" i="1"/>
  <c r="BO261" i="1"/>
  <c r="BM261" i="1"/>
  <c r="Y261" i="1"/>
  <c r="P261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X254" i="1"/>
  <c r="X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3" i="1"/>
  <c r="Y222" i="1"/>
  <c r="X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Y223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Y209" i="1" s="1"/>
  <c r="P203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O344" i="1" s="1"/>
  <c r="P190" i="1"/>
  <c r="X187" i="1"/>
  <c r="Y186" i="1"/>
  <c r="X186" i="1"/>
  <c r="BP185" i="1"/>
  <c r="BO185" i="1"/>
  <c r="BN185" i="1"/>
  <c r="BM185" i="1"/>
  <c r="Z185" i="1"/>
  <c r="Z186" i="1" s="1"/>
  <c r="Y185" i="1"/>
  <c r="M344" i="1" s="1"/>
  <c r="P185" i="1"/>
  <c r="X182" i="1"/>
  <c r="Y181" i="1"/>
  <c r="X181" i="1"/>
  <c r="BP180" i="1"/>
  <c r="BO180" i="1"/>
  <c r="BN180" i="1"/>
  <c r="BM180" i="1"/>
  <c r="Z180" i="1"/>
  <c r="Y180" i="1"/>
  <c r="P180" i="1"/>
  <c r="BO179" i="1"/>
  <c r="BM179" i="1"/>
  <c r="Y179" i="1"/>
  <c r="P179" i="1"/>
  <c r="X176" i="1"/>
  <c r="X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X167" i="1"/>
  <c r="X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BP160" i="1"/>
  <c r="BO160" i="1"/>
  <c r="BN160" i="1"/>
  <c r="BM160" i="1"/>
  <c r="Z160" i="1"/>
  <c r="Y160" i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P145" i="1"/>
  <c r="BO144" i="1"/>
  <c r="BM144" i="1"/>
  <c r="Y144" i="1"/>
  <c r="P144" i="1"/>
  <c r="BP143" i="1"/>
  <c r="BO143" i="1"/>
  <c r="BN143" i="1"/>
  <c r="BM143" i="1"/>
  <c r="Z143" i="1"/>
  <c r="Y143" i="1"/>
  <c r="Y151" i="1" s="1"/>
  <c r="P143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P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X99" i="1"/>
  <c r="X98" i="1"/>
  <c r="BO97" i="1"/>
  <c r="BM97" i="1"/>
  <c r="Y97" i="1"/>
  <c r="P97" i="1"/>
  <c r="BP96" i="1"/>
  <c r="BO96" i="1"/>
  <c r="BN96" i="1"/>
  <c r="BM96" i="1"/>
  <c r="Z96" i="1"/>
  <c r="Y96" i="1"/>
  <c r="Y98" i="1" s="1"/>
  <c r="P96" i="1"/>
  <c r="X94" i="1"/>
  <c r="Y93" i="1"/>
  <c r="X93" i="1"/>
  <c r="BP92" i="1"/>
  <c r="BO92" i="1"/>
  <c r="BN92" i="1"/>
  <c r="BM92" i="1"/>
  <c r="Z92" i="1"/>
  <c r="Z93" i="1" s="1"/>
  <c r="Y92" i="1"/>
  <c r="P92" i="1"/>
  <c r="X89" i="1"/>
  <c r="Y88" i="1"/>
  <c r="X88" i="1"/>
  <c r="BP87" i="1"/>
  <c r="BO87" i="1"/>
  <c r="BN87" i="1"/>
  <c r="BM87" i="1"/>
  <c r="Z87" i="1"/>
  <c r="Z88" i="1" s="1"/>
  <c r="Y87" i="1"/>
  <c r="Y89" i="1" s="1"/>
  <c r="P87" i="1"/>
  <c r="X85" i="1"/>
  <c r="X84" i="1"/>
  <c r="BP83" i="1"/>
  <c r="BO83" i="1"/>
  <c r="BN83" i="1"/>
  <c r="BM83" i="1"/>
  <c r="Z83" i="1"/>
  <c r="Y83" i="1"/>
  <c r="P83" i="1"/>
  <c r="BO82" i="1"/>
  <c r="BM82" i="1"/>
  <c r="Y82" i="1"/>
  <c r="P82" i="1"/>
  <c r="BP81" i="1"/>
  <c r="BO81" i="1"/>
  <c r="BN81" i="1"/>
  <c r="BM81" i="1"/>
  <c r="Z81" i="1"/>
  <c r="Y81" i="1"/>
  <c r="P81" i="1"/>
  <c r="X79" i="1"/>
  <c r="Y78" i="1"/>
  <c r="X78" i="1"/>
  <c r="BP77" i="1"/>
  <c r="BO77" i="1"/>
  <c r="BN77" i="1"/>
  <c r="BM77" i="1"/>
  <c r="Z77" i="1"/>
  <c r="Y77" i="1"/>
  <c r="P77" i="1"/>
  <c r="BO76" i="1"/>
  <c r="BM76" i="1"/>
  <c r="Y76" i="1"/>
  <c r="P76" i="1"/>
  <c r="BP75" i="1"/>
  <c r="BO75" i="1"/>
  <c r="BN75" i="1"/>
  <c r="BM75" i="1"/>
  <c r="Z75" i="1"/>
  <c r="Y75" i="1"/>
  <c r="Y79" i="1" s="1"/>
  <c r="P75" i="1"/>
  <c r="X73" i="1"/>
  <c r="X72" i="1"/>
  <c r="BP71" i="1"/>
  <c r="BO71" i="1"/>
  <c r="BN71" i="1"/>
  <c r="BM71" i="1"/>
  <c r="Z71" i="1"/>
  <c r="Y71" i="1"/>
  <c r="P71" i="1"/>
  <c r="BO70" i="1"/>
  <c r="BM70" i="1"/>
  <c r="Y70" i="1"/>
  <c r="P70" i="1"/>
  <c r="BP69" i="1"/>
  <c r="BO69" i="1"/>
  <c r="BN69" i="1"/>
  <c r="BM69" i="1"/>
  <c r="Z69" i="1"/>
  <c r="Y69" i="1"/>
  <c r="P69" i="1"/>
  <c r="BO68" i="1"/>
  <c r="BM68" i="1"/>
  <c r="Y68" i="1"/>
  <c r="P68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X53" i="1"/>
  <c r="Y52" i="1"/>
  <c r="X52" i="1"/>
  <c r="BP51" i="1"/>
  <c r="BO51" i="1"/>
  <c r="BN51" i="1"/>
  <c r="BM51" i="1"/>
  <c r="Z51" i="1"/>
  <c r="Y51" i="1"/>
  <c r="P51" i="1"/>
  <c r="BO50" i="1"/>
  <c r="BM50" i="1"/>
  <c r="Y50" i="1"/>
  <c r="P50" i="1"/>
  <c r="X48" i="1"/>
  <c r="X47" i="1"/>
  <c r="BO46" i="1"/>
  <c r="BM46" i="1"/>
  <c r="Y46" i="1"/>
  <c r="P46" i="1"/>
  <c r="BP45" i="1"/>
  <c r="BO45" i="1"/>
  <c r="BN45" i="1"/>
  <c r="BM45" i="1"/>
  <c r="Z45" i="1"/>
  <c r="Y45" i="1"/>
  <c r="P45" i="1"/>
  <c r="BO44" i="1"/>
  <c r="BM44" i="1"/>
  <c r="Z44" i="1"/>
  <c r="Y44" i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BP37" i="1" s="1"/>
  <c r="P37" i="1"/>
  <c r="BP36" i="1"/>
  <c r="BO36" i="1"/>
  <c r="BN36" i="1"/>
  <c r="BM36" i="1"/>
  <c r="Z36" i="1"/>
  <c r="Y36" i="1"/>
  <c r="P36" i="1"/>
  <c r="BO35" i="1"/>
  <c r="BM35" i="1"/>
  <c r="Y35" i="1"/>
  <c r="D344" i="1" s="1"/>
  <c r="P35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C344" i="1" s="1"/>
  <c r="P28" i="1"/>
  <c r="X24" i="1"/>
  <c r="X23" i="1"/>
  <c r="X338" i="1" s="1"/>
  <c r="BO22" i="1"/>
  <c r="X336" i="1" s="1"/>
  <c r="BM22" i="1"/>
  <c r="X335" i="1" s="1"/>
  <c r="X337" i="1" s="1"/>
  <c r="Y22" i="1"/>
  <c r="B344" i="1" s="1"/>
  <c r="P22" i="1"/>
  <c r="H10" i="1"/>
  <c r="A9" i="1"/>
  <c r="F10" i="1" s="1"/>
  <c r="D7" i="1"/>
  <c r="Q6" i="1"/>
  <c r="P2" i="1"/>
  <c r="H9" i="1" l="1"/>
  <c r="A10" i="1"/>
  <c r="Y24" i="1"/>
  <c r="Y32" i="1"/>
  <c r="Y41" i="1"/>
  <c r="BP57" i="1"/>
  <c r="BN57" i="1"/>
  <c r="Z57" i="1"/>
  <c r="Z58" i="1" s="1"/>
  <c r="Y59" i="1"/>
  <c r="Y64" i="1"/>
  <c r="BP61" i="1"/>
  <c r="BN61" i="1"/>
  <c r="Z61" i="1"/>
  <c r="BP70" i="1"/>
  <c r="BN70" i="1"/>
  <c r="Z70" i="1"/>
  <c r="BP82" i="1"/>
  <c r="BN82" i="1"/>
  <c r="Z82" i="1"/>
  <c r="Z84" i="1" s="1"/>
  <c r="BP105" i="1"/>
  <c r="BN105" i="1"/>
  <c r="Z105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I344" i="1"/>
  <c r="Y129" i="1"/>
  <c r="BP126" i="1"/>
  <c r="BN126" i="1"/>
  <c r="Z126" i="1"/>
  <c r="Z128" i="1" s="1"/>
  <c r="BP138" i="1"/>
  <c r="BN138" i="1"/>
  <c r="Z138" i="1"/>
  <c r="BP146" i="1"/>
  <c r="BN146" i="1"/>
  <c r="Z146" i="1"/>
  <c r="BP150" i="1"/>
  <c r="BN150" i="1"/>
  <c r="Z150" i="1"/>
  <c r="Y152" i="1"/>
  <c r="Y155" i="1"/>
  <c r="BP154" i="1"/>
  <c r="BN154" i="1"/>
  <c r="Z154" i="1"/>
  <c r="Z155" i="1" s="1"/>
  <c r="Y156" i="1"/>
  <c r="J344" i="1"/>
  <c r="Y166" i="1"/>
  <c r="BP159" i="1"/>
  <c r="BN159" i="1"/>
  <c r="Z159" i="1"/>
  <c r="BP163" i="1"/>
  <c r="BN163" i="1"/>
  <c r="Z163" i="1"/>
  <c r="BP172" i="1"/>
  <c r="BN172" i="1"/>
  <c r="Z172" i="1"/>
  <c r="BP196" i="1"/>
  <c r="BN196" i="1"/>
  <c r="Z196" i="1"/>
  <c r="Z200" i="1" s="1"/>
  <c r="BP206" i="1"/>
  <c r="BN206" i="1"/>
  <c r="Z206" i="1"/>
  <c r="BP214" i="1"/>
  <c r="BN214" i="1"/>
  <c r="Z214" i="1"/>
  <c r="BP249" i="1"/>
  <c r="BN249" i="1"/>
  <c r="Z249" i="1"/>
  <c r="Y253" i="1"/>
  <c r="BP257" i="1"/>
  <c r="BN257" i="1"/>
  <c r="Z257" i="1"/>
  <c r="Z258" i="1" s="1"/>
  <c r="BP290" i="1"/>
  <c r="BN290" i="1"/>
  <c r="Z290" i="1"/>
  <c r="Z292" i="1" s="1"/>
  <c r="Y292" i="1"/>
  <c r="BP329" i="1"/>
  <c r="BN329" i="1"/>
  <c r="Z329" i="1"/>
  <c r="H344" i="1"/>
  <c r="F9" i="1"/>
  <c r="J9" i="1"/>
  <c r="Z22" i="1"/>
  <c r="Z23" i="1" s="1"/>
  <c r="BN22" i="1"/>
  <c r="BP22" i="1"/>
  <c r="Y23" i="1"/>
  <c r="X334" i="1"/>
  <c r="Z28" i="1"/>
  <c r="Z31" i="1" s="1"/>
  <c r="BN28" i="1"/>
  <c r="BP28" i="1"/>
  <c r="Z30" i="1"/>
  <c r="BN30" i="1"/>
  <c r="Y31" i="1"/>
  <c r="Z35" i="1"/>
  <c r="Z41" i="1" s="1"/>
  <c r="BN35" i="1"/>
  <c r="BP35" i="1"/>
  <c r="Z37" i="1"/>
  <c r="BN37" i="1"/>
  <c r="Z39" i="1"/>
  <c r="BN39" i="1"/>
  <c r="Y42" i="1"/>
  <c r="Y47" i="1"/>
  <c r="BP44" i="1"/>
  <c r="BN44" i="1"/>
  <c r="BP46" i="1"/>
  <c r="BN46" i="1"/>
  <c r="Z46" i="1"/>
  <c r="Z47" i="1" s="1"/>
  <c r="Y48" i="1"/>
  <c r="Y53" i="1"/>
  <c r="BP50" i="1"/>
  <c r="BN50" i="1"/>
  <c r="Z50" i="1"/>
  <c r="Z52" i="1" s="1"/>
  <c r="BP63" i="1"/>
  <c r="BN63" i="1"/>
  <c r="Z63" i="1"/>
  <c r="Y65" i="1"/>
  <c r="F344" i="1"/>
  <c r="Y73" i="1"/>
  <c r="BP68" i="1"/>
  <c r="BN68" i="1"/>
  <c r="Z68" i="1"/>
  <c r="Z72" i="1" s="1"/>
  <c r="Y72" i="1"/>
  <c r="BP76" i="1"/>
  <c r="BN76" i="1"/>
  <c r="Z76" i="1"/>
  <c r="Z78" i="1" s="1"/>
  <c r="Y85" i="1"/>
  <c r="Y84" i="1"/>
  <c r="BP97" i="1"/>
  <c r="BN97" i="1"/>
  <c r="Z97" i="1"/>
  <c r="Z98" i="1" s="1"/>
  <c r="Y99" i="1"/>
  <c r="Y112" i="1"/>
  <c r="BP103" i="1"/>
  <c r="BN103" i="1"/>
  <c r="Z103" i="1"/>
  <c r="BP107" i="1"/>
  <c r="BN107" i="1"/>
  <c r="Z107" i="1"/>
  <c r="BP111" i="1"/>
  <c r="BN111" i="1"/>
  <c r="Z111" i="1"/>
  <c r="Y113" i="1"/>
  <c r="Y118" i="1"/>
  <c r="BP115" i="1"/>
  <c r="BN115" i="1"/>
  <c r="Z115" i="1"/>
  <c r="Z118" i="1" s="1"/>
  <c r="Y128" i="1"/>
  <c r="BP132" i="1"/>
  <c r="BN132" i="1"/>
  <c r="Z132" i="1"/>
  <c r="Z133" i="1" s="1"/>
  <c r="Y134" i="1"/>
  <c r="Y141" i="1"/>
  <c r="BP136" i="1"/>
  <c r="BN136" i="1"/>
  <c r="Z136" i="1"/>
  <c r="Z140" i="1" s="1"/>
  <c r="Y140" i="1"/>
  <c r="BP144" i="1"/>
  <c r="BN144" i="1"/>
  <c r="Z144" i="1"/>
  <c r="Z151" i="1" s="1"/>
  <c r="BP148" i="1"/>
  <c r="BN148" i="1"/>
  <c r="Z148" i="1"/>
  <c r="BP161" i="1"/>
  <c r="BN161" i="1"/>
  <c r="Z161" i="1"/>
  <c r="BP165" i="1"/>
  <c r="BN165" i="1"/>
  <c r="Z165" i="1"/>
  <c r="Y167" i="1"/>
  <c r="K344" i="1"/>
  <c r="Y175" i="1"/>
  <c r="BP170" i="1"/>
  <c r="BN170" i="1"/>
  <c r="Z170" i="1"/>
  <c r="BP174" i="1"/>
  <c r="BN174" i="1"/>
  <c r="Z174" i="1"/>
  <c r="Y176" i="1"/>
  <c r="L344" i="1"/>
  <c r="Y182" i="1"/>
  <c r="BP179" i="1"/>
  <c r="BN179" i="1"/>
  <c r="Z179" i="1"/>
  <c r="Z181" i="1" s="1"/>
  <c r="BP198" i="1"/>
  <c r="BN198" i="1"/>
  <c r="Z198" i="1"/>
  <c r="BP226" i="1"/>
  <c r="BN226" i="1"/>
  <c r="Z226" i="1"/>
  <c r="Z229" i="1" s="1"/>
  <c r="Y230" i="1"/>
  <c r="BP234" i="1"/>
  <c r="BN234" i="1"/>
  <c r="Z234" i="1"/>
  <c r="Y236" i="1"/>
  <c r="Y242" i="1"/>
  <c r="BP239" i="1"/>
  <c r="BN239" i="1"/>
  <c r="Z239" i="1"/>
  <c r="Z241" i="1" s="1"/>
  <c r="Y241" i="1"/>
  <c r="Q344" i="1"/>
  <c r="E344" i="1"/>
  <c r="Y58" i="1"/>
  <c r="G344" i="1"/>
  <c r="Y94" i="1"/>
  <c r="Y187" i="1"/>
  <c r="Y192" i="1"/>
  <c r="P344" i="1"/>
  <c r="Y201" i="1"/>
  <c r="Y200" i="1"/>
  <c r="BP204" i="1"/>
  <c r="BN204" i="1"/>
  <c r="Z204" i="1"/>
  <c r="Z209" i="1" s="1"/>
  <c r="BP208" i="1"/>
  <c r="BN208" i="1"/>
  <c r="Z208" i="1"/>
  <c r="Y210" i="1"/>
  <c r="Y217" i="1"/>
  <c r="BP212" i="1"/>
  <c r="BN212" i="1"/>
  <c r="Z212" i="1"/>
  <c r="Z216" i="1" s="1"/>
  <c r="Y216" i="1"/>
  <c r="Z222" i="1"/>
  <c r="BP220" i="1"/>
  <c r="BN220" i="1"/>
  <c r="Z220" i="1"/>
  <c r="Y229" i="1"/>
  <c r="BP228" i="1"/>
  <c r="BN228" i="1"/>
  <c r="Z228" i="1"/>
  <c r="Y235" i="1"/>
  <c r="BP232" i="1"/>
  <c r="BN232" i="1"/>
  <c r="Z232" i="1"/>
  <c r="Z235" i="1" s="1"/>
  <c r="BP247" i="1"/>
  <c r="BN247" i="1"/>
  <c r="Z247" i="1"/>
  <c r="BP251" i="1"/>
  <c r="BN251" i="1"/>
  <c r="Z251" i="1"/>
  <c r="Z253" i="1" s="1"/>
  <c r="BP272" i="1"/>
  <c r="BN272" i="1"/>
  <c r="Z272" i="1"/>
  <c r="Z273" i="1" s="1"/>
  <c r="S344" i="1"/>
  <c r="Y274" i="1"/>
  <c r="Y279" i="1"/>
  <c r="BP276" i="1"/>
  <c r="BN276" i="1"/>
  <c r="Z276" i="1"/>
  <c r="Z278" i="1" s="1"/>
  <c r="Y278" i="1"/>
  <c r="BP313" i="1"/>
  <c r="BN313" i="1"/>
  <c r="Z313" i="1"/>
  <c r="BP317" i="1"/>
  <c r="BN317" i="1"/>
  <c r="Z317" i="1"/>
  <c r="Y319" i="1"/>
  <c r="Y324" i="1"/>
  <c r="BP321" i="1"/>
  <c r="BN321" i="1"/>
  <c r="Z321" i="1"/>
  <c r="Z323" i="1" s="1"/>
  <c r="Y323" i="1"/>
  <c r="R344" i="1"/>
  <c r="Y254" i="1"/>
  <c r="Y258" i="1"/>
  <c r="Y259" i="1"/>
  <c r="Y264" i="1"/>
  <c r="BP261" i="1"/>
  <c r="BN261" i="1"/>
  <c r="Z261" i="1"/>
  <c r="Z263" i="1" s="1"/>
  <c r="Y273" i="1"/>
  <c r="BP282" i="1"/>
  <c r="BN282" i="1"/>
  <c r="Z282" i="1"/>
  <c r="Z284" i="1" s="1"/>
  <c r="T344" i="1"/>
  <c r="BP296" i="1"/>
  <c r="BN296" i="1"/>
  <c r="Z296" i="1"/>
  <c r="Z297" i="1" s="1"/>
  <c r="Y298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V344" i="1"/>
  <c r="Y318" i="1"/>
  <c r="BP311" i="1"/>
  <c r="BN311" i="1"/>
  <c r="Z311" i="1"/>
  <c r="Z318" i="1" s="1"/>
  <c r="BP315" i="1"/>
  <c r="BN315" i="1"/>
  <c r="Z315" i="1"/>
  <c r="BP327" i="1"/>
  <c r="BN327" i="1"/>
  <c r="Z327" i="1"/>
  <c r="Z332" i="1" s="1"/>
  <c r="BP331" i="1"/>
  <c r="BN331" i="1"/>
  <c r="Z331" i="1"/>
  <c r="Y333" i="1"/>
  <c r="Y293" i="1"/>
  <c r="Z112" i="1" l="1"/>
  <c r="Y338" i="1"/>
  <c r="Y335" i="1"/>
  <c r="Z166" i="1"/>
  <c r="Z175" i="1"/>
  <c r="Z339" i="1" s="1"/>
  <c r="Y336" i="1"/>
  <c r="Z64" i="1"/>
  <c r="Y334" i="1"/>
  <c r="Y337" i="1" l="1"/>
</calcChain>
</file>

<file path=xl/sharedStrings.xml><?xml version="1.0" encoding="utf-8"?>
<sst xmlns="http://schemas.openxmlformats.org/spreadsheetml/2006/main" count="1422" uniqueCount="529">
  <si>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</si>
  <si>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</si>
  <si>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</si>
  <si>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</si>
  <si>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</si>
  <si>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16.01.2026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</si>
  <si>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</si>
  <si>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</si>
  <si>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</si>
  <si>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</si>
  <si>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</si>
  <si>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</si>
  <si>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</si>
  <si>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</si>
  <si>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MOS PROD TORG, ООО, 100155, Сергелийский район, Ташкент г, Хонобод ул, 12, Эшонбулок МФЙ</t>
  </si>
  <si>
    <t>День недели</t>
  </si>
  <si>
    <t>Наименование клиента</t>
  </si>
  <si>
    <t>ОБЩЕСТВО С ОГРАНИЧЕННОЙ ОТВЕТСТВЕННОСТЬЮ "MOS PROD TORG"</t>
  </si>
  <si>
    <t>Адрес сдачи груза:</t>
  </si>
  <si>
    <t>100155, Сергелийский район, Ташкент г, Хонобод ул, 12, Эшонбулок МФЙUZB</t>
  </si>
  <si>
    <t>Время загрузки</t>
  </si>
  <si>
    <t>Дата доставки</t>
  </si>
  <si>
    <t>Время доставки</t>
  </si>
  <si>
    <t>КОД Аксапты Клиента</t>
  </si>
  <si>
    <t>592056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</si>
  <si>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</si>
  <si>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</si>
  <si>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</si>
  <si>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</si>
  <si>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</si>
  <si>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</si>
  <si>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Инкотермс</t>
  </si>
  <si>
    <t>EXW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</si>
  <si>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</si>
  <si>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</si>
  <si>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</si>
  <si>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</si>
  <si>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</si>
  <si>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</si>
  <si>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</si>
  <si>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</si>
  <si>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</si>
  <si>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</si>
  <si>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</si>
  <si>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</si>
  <si>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</si>
  <si>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</si>
  <si>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</si>
  <si>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</si>
  <si>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</si>
  <si>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</si>
  <si>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</si>
  <si>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</si>
  <si>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</si>
  <si>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</si>
  <si>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</si>
  <si>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</si>
  <si>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</si>
  <si>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</si>
  <si>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</si>
  <si>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</si>
  <si>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</si>
  <si>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</si>
  <si>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</si>
  <si>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</si>
  <si>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</si>
  <si>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Сырокопченые колбасы</t>
  </si>
  <si>
    <t>SU002050</t>
  </si>
  <si>
    <t>P002188</t>
  </si>
  <si>
    <t>14</t>
  </si>
  <si>
    <t>АК</t>
  </si>
  <si>
    <t>кг</t>
  </si>
  <si>
    <t>ЕАЭС N RU Д-RU.РА01.В.14797/20</t>
  </si>
  <si>
    <t>СНК</t>
  </si>
  <si>
    <t>Итого</t>
  </si>
  <si>
    <t>кор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</si>
  <si>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</si>
  <si>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</si>
  <si>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</si>
  <si>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</si>
  <si>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</si>
  <si>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</si>
  <si>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</si>
  <si>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</si>
  <si>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SU001485</t>
  </si>
  <si>
    <t>P003008</t>
  </si>
  <si>
    <t>12</t>
  </si>
  <si>
    <t>СК3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</si>
  <si>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</si>
  <si>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</si>
  <si>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</si>
  <si>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</si>
  <si>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</si>
  <si>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</si>
  <si>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</si>
  <si>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</si>
  <si>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</si>
  <si>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</si>
  <si>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</si>
  <si>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</si>
  <si>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</si>
  <si>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</si>
  <si>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</si>
  <si>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</si>
  <si>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</si>
  <si>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СК4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</si>
  <si>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</si>
  <si>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</si>
  <si>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</si>
  <si>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</si>
  <si>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</si>
  <si>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</si>
  <si>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</si>
  <si>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</si>
  <si>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</si>
  <si>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</si>
  <si>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</si>
  <si>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</si>
  <si>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</si>
  <si>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</si>
  <si>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</si>
  <si>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</si>
  <si>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</si>
  <si>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</si>
  <si>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</si>
  <si>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</si>
  <si>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</si>
  <si>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</si>
  <si>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</si>
  <si>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</si>
  <si>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</si>
  <si>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Сосиски</t>
  </si>
  <si>
    <t>SU001523</t>
  </si>
  <si>
    <t>P003986</t>
  </si>
  <si>
    <t>ЕАЭС N RU Д-RU.РА10.В.18211/25, ЕАЭС N RU Д-RU.РА11.В.73895/25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</si>
  <si>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</si>
  <si>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</si>
  <si>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</si>
  <si>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</si>
  <si>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</si>
  <si>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</si>
  <si>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</si>
  <si>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</si>
  <si>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</si>
  <si>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</si>
  <si>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</si>
  <si>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</si>
  <si>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</si>
  <si>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</si>
  <si>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</si>
  <si>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</si>
  <si>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</si>
  <si>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</si>
  <si>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</si>
  <si>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</si>
  <si>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18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</si>
  <si>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</si>
  <si>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</si>
  <si>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</si>
  <si>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</si>
  <si>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</si>
  <si>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</si>
  <si>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</si>
  <si>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</si>
  <si>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</si>
  <si>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SU002367</t>
  </si>
  <si>
    <t>P002644</t>
  </si>
  <si>
    <t>ЕАЭС N RU Д-RU.РА08.В.47013/25</t>
  </si>
  <si>
    <t>SU002312</t>
  </si>
  <si>
    <t>P003913</t>
  </si>
  <si>
    <t>ЕАЭС N RU Д-RU.РА09.В.89339/25</t>
  </si>
  <si>
    <t>Копченые колбасы</t>
  </si>
  <si>
    <t>SU000664</t>
  </si>
  <si>
    <t>P002177</t>
  </si>
  <si>
    <t>СК2</t>
  </si>
  <si>
    <t>ЕАЭС N RU Д-RU.РА08.В.45483/25</t>
  </si>
  <si>
    <t>SU000097</t>
  </si>
  <si>
    <t>P002179</t>
  </si>
  <si>
    <t>ЕАЭС N RU Д-RU.РА08.В.45705/25</t>
  </si>
  <si>
    <t>Стародворье</t>
  </si>
  <si>
    <t>Мясорубская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</si>
  <si>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</si>
  <si>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</si>
  <si>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</si>
  <si>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</si>
  <si>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</si>
  <si>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</si>
  <si>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</si>
  <si>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</si>
  <si>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</si>
  <si>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</si>
  <si>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</si>
  <si>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</si>
  <si>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</si>
  <si>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</si>
  <si>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</si>
  <si>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</si>
  <si>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</si>
  <si>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</si>
  <si>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</si>
  <si>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</si>
  <si>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</si>
  <si>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</si>
  <si>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</si>
  <si>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</si>
  <si>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</si>
  <si>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</si>
  <si>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</si>
  <si>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</si>
  <si>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</si>
  <si>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</si>
  <si>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</si>
  <si>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</si>
  <si>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</si>
  <si>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</si>
  <si>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</si>
  <si>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</si>
  <si>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</si>
  <si>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</si>
  <si>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</si>
  <si>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</si>
  <si>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</si>
  <si>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</si>
  <si>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</si>
  <si>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</si>
  <si>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</si>
  <si>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</si>
  <si>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</si>
  <si>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</si>
  <si>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</si>
  <si>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</si>
  <si>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</si>
  <si>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</si>
  <si>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</si>
  <si>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</si>
  <si>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</si>
  <si>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</si>
  <si>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</si>
  <si>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</si>
  <si>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</si>
  <si>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</si>
  <si>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</si>
  <si>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</si>
  <si>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</si>
  <si>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</si>
  <si>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</si>
  <si>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</si>
  <si>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</si>
  <si>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</si>
  <si>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</si>
  <si>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</si>
  <si>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</si>
  <si>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</si>
  <si>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</si>
  <si>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</si>
  <si>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</si>
  <si>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</si>
  <si>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</si>
  <si>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SU002844</t>
  </si>
  <si>
    <t>P003265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</si>
  <si>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</si>
  <si>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</si>
  <si>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</si>
  <si>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</si>
  <si>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</si>
  <si>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</si>
  <si>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</si>
  <si>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</si>
  <si>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</si>
  <si>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</si>
  <si>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</si>
  <si>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</si>
  <si>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</si>
  <si>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</si>
  <si>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</si>
  <si>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</si>
  <si>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SU003272</t>
  </si>
  <si>
    <t>P003947</t>
  </si>
  <si>
    <t>P005061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</si>
  <si>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</si>
  <si>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</si>
  <si>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</si>
  <si>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</si>
  <si>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</si>
  <si>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</si>
  <si>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</si>
  <si>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</si>
  <si>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</si>
  <si>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</si>
  <si>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</si>
  <si>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</si>
  <si>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</si>
  <si>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</si>
  <si>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</si>
  <si>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</si>
  <si>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</si>
  <si>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</si>
  <si>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</si>
  <si>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</si>
  <si>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</si>
  <si>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</si>
  <si>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Сочинка по-баварски</t>
  </si>
  <si>
    <t>SU002799</t>
  </si>
  <si>
    <t>P003217</t>
  </si>
  <si>
    <t>ЕАЭС N RU Д-RU.РА07.В.46813/25, ЕАЭС N RU Д-RU.РА09.В.38629/25</t>
  </si>
  <si>
    <t>Стародворская EDLP/EDPP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</si>
  <si>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</si>
  <si>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</si>
  <si>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</si>
  <si>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</si>
  <si>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</si>
  <si>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</si>
  <si>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</si>
  <si>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</si>
  <si>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</si>
  <si>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</si>
  <si>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</si>
  <si>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</si>
  <si>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</si>
  <si>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</si>
  <si>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</si>
  <si>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</si>
  <si>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</si>
  <si>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</si>
  <si>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</si>
  <si>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</si>
  <si>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</si>
  <si>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</si>
  <si>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</si>
  <si>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</si>
  <si>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</si>
  <si>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</si>
  <si>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</si>
  <si>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</si>
  <si>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</si>
  <si>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</si>
  <si>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</si>
  <si>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</si>
  <si>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</si>
  <si>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</si>
  <si>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</si>
  <si>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</si>
  <si>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</si>
  <si>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</si>
  <si>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</si>
  <si>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</si>
  <si>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</si>
  <si>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</si>
  <si>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</si>
  <si>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</si>
  <si>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</si>
  <si>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</si>
  <si>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</si>
  <si>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</si>
  <si>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</si>
  <si>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</si>
  <si>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</si>
  <si>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</si>
  <si>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</si>
  <si>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</si>
  <si>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</si>
  <si>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</si>
  <si>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</si>
  <si>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</si>
  <si>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</si>
  <si>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</si>
  <si>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</si>
  <si>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</si>
  <si>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</si>
  <si>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</si>
  <si>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</si>
  <si>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</si>
  <si>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</si>
  <si>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</si>
  <si>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</si>
  <si>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</si>
  <si>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</si>
  <si>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</si>
  <si>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</si>
  <si>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</si>
  <si>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</si>
  <si>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</si>
  <si>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</si>
  <si>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</si>
  <si>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</si>
  <si>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</si>
  <si>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</si>
  <si>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</si>
  <si>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</si>
  <si>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</si>
  <si>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</si>
  <si>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</si>
  <si>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</si>
  <si>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</si>
  <si>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</si>
  <si>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</si>
  <si>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</si>
  <si>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</si>
  <si>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</si>
  <si>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</si>
  <si>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</si>
  <si>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</si>
  <si>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</si>
  <si>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</si>
  <si>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</si>
  <si>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</si>
  <si>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</si>
  <si>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</si>
  <si>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</si>
  <si>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</si>
  <si>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</si>
  <si>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</si>
  <si>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</si>
  <si>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</si>
  <si>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</si>
  <si>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</si>
  <si>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</si>
  <si>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</si>
  <si>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</si>
  <si>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</si>
  <si>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</si>
  <si>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</si>
  <si>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</si>
  <si>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</si>
  <si>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</si>
  <si>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</si>
  <si>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</si>
  <si>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</si>
  <si>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</si>
  <si>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</si>
  <si>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</si>
  <si>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</si>
  <si>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</si>
  <si>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</si>
  <si>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</si>
  <si>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</si>
  <si>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</si>
  <si>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</si>
  <si>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</si>
  <si>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</si>
  <si>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</si>
  <si>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</si>
  <si>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</si>
  <si>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</si>
  <si>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</si>
  <si>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</si>
  <si>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</si>
  <si>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</si>
  <si>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</si>
  <si>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SU002606</t>
  </si>
  <si>
    <t>P004521</t>
  </si>
  <si>
    <t>ЕАЭС N RU Д-RU.РА02.В.66890/23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</si>
  <si>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</si>
  <si>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</si>
  <si>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</si>
  <si>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</si>
  <si>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</si>
  <si>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</si>
  <si>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</si>
  <si>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</si>
  <si>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</si>
  <si>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</si>
  <si>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</si>
  <si>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</si>
  <si>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</si>
  <si>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Дугушка</t>
  </si>
  <si>
    <t>SU002011</t>
  </si>
  <si>
    <t>P004028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</si>
  <si>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</si>
  <si>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</si>
  <si>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</si>
  <si>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</si>
  <si>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</si>
  <si>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</si>
  <si>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</si>
  <si>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</si>
  <si>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</si>
  <si>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SU002632</t>
  </si>
  <si>
    <t>P004689</t>
  </si>
  <si>
    <t>SU002635</t>
  </si>
  <si>
    <t>P004690</t>
  </si>
  <si>
    <t>ЕАЭС N RU Д-RU.РА02.В.51764/24</t>
  </si>
  <si>
    <t>SU002631</t>
  </si>
  <si>
    <t>P004688</t>
  </si>
  <si>
    <t>SU002035</t>
  </si>
  <si>
    <t>P004460</t>
  </si>
  <si>
    <t>ЕАЭС N RU Д-RU.РА04.В.71599/24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</si>
  <si>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</si>
  <si>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</si>
  <si>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</si>
  <si>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</si>
  <si>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</si>
  <si>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</si>
  <si>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</si>
  <si>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</si>
  <si>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</si>
  <si>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</si>
  <si>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</si>
  <si>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</si>
  <si>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</si>
  <si>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</si>
  <si>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</si>
  <si>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</si>
  <si>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</si>
  <si>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</si>
  <si>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</si>
  <si>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</si>
  <si>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</si>
  <si>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</si>
  <si>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</si>
  <si>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</si>
  <si>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</si>
  <si>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</si>
  <si>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</si>
  <si>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</si>
  <si>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</si>
  <si>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</si>
  <si>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592056_2</t>
  </si>
  <si>
    <t>1</t>
  </si>
  <si>
    <t>CFR</t>
  </si>
  <si>
    <t>CIF</t>
  </si>
  <si>
    <t>CIP</t>
  </si>
  <si>
    <t>CPT</t>
  </si>
  <si>
    <t>DAP</t>
  </si>
  <si>
    <t>DAT</t>
  </si>
  <si>
    <t>DDP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</si>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</sst>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50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61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35" fillId="0" borderId="0" xfId="0" applyFont="1" applyProtection="1"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27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70" fillId="0" borderId="43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347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35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8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40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0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98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72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2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7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9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3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91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61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8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9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1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44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3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4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49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0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3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60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1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43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07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1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46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0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4"/>
  <sheetViews>
    <sheetView showGridLines="0" tabSelected="1" topLeftCell="A329" zoomScaleNormal="100" zoomScaleSheetLayoutView="100" workbookViewId="0">
      <selection activeCell="AA341" sqref="AA341"/>
    </sheetView>
  </sheetViews>
  <sheetFormatPr defaultColWidth="9.140625" defaultRowHeight="12.75" x14ac:dyDescent="0.2"/>
  <cols>
    <col min="1" max="1" width="9.140625" style="36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67" customWidth="1"/>
    <col min="19" max="19" width="6.140625" style="36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67" customWidth="1"/>
    <col min="25" max="25" width="11" style="367" customWidth="1"/>
    <col min="26" max="26" width="10" style="367" customWidth="1"/>
    <col min="27" max="27" width="11.5703125" style="367" customWidth="1"/>
    <col min="28" max="28" width="10.42578125" style="367" customWidth="1"/>
    <col min="29" max="29" width="30" style="367" customWidth="1"/>
    <col min="30" max="30" width="11.42578125" style="53" bestFit="1" customWidth="1"/>
    <col min="31" max="31" width="9.140625" style="53" customWidth="1"/>
    <col min="32" max="32" width="8.85546875" style="53" customWidth="1"/>
    <col min="33" max="33" width="13.5703125" style="367" customWidth="1"/>
    <col min="34" max="34" width="9.140625" style="367" customWidth="1"/>
    <col min="35" max="16384" width="9.140625" style="367"/>
  </cols>
  <sheetData>
    <row r="1" spans="1:32" s="23" customFormat="1" ht="45" customHeight="1" x14ac:dyDescent="0.2">
      <c r="A1" s="42"/>
      <c r="B1" s="42"/>
      <c r="C1" s="42"/>
      <c r="D1" s="440" t="s">
        <v>0</v>
      </c>
      <c r="E1" s="399"/>
      <c r="F1" s="399"/>
      <c r="G1" s="12" t="s">
        <v>1</v>
      </c>
      <c r="H1" s="440" t="s">
        <v>2</v>
      </c>
      <c r="I1" s="399"/>
      <c r="J1" s="399"/>
      <c r="K1" s="399"/>
      <c r="L1" s="399"/>
      <c r="M1" s="399"/>
      <c r="N1" s="399"/>
      <c r="O1" s="399"/>
      <c r="P1" s="399"/>
      <c r="Q1" s="399"/>
      <c r="R1" s="398" t="s">
        <v>3</v>
      </c>
      <c r="S1" s="399"/>
      <c r="T1" s="399"/>
      <c r="U1" s="13"/>
      <c r="V1" s="13"/>
      <c r="W1" s="13"/>
      <c r="X1" s="13"/>
      <c r="Y1" s="13"/>
      <c r="Z1" s="13"/>
      <c r="AA1" s="13"/>
      <c r="AB1" s="54"/>
      <c r="AC1" s="54"/>
      <c r="AD1" s="54"/>
      <c r="AE1" s="54"/>
      <c r="AF1" s="54"/>
    </row>
    <row r="2" spans="1:32" s="23" customFormat="1" ht="16.5" customHeight="1" x14ac:dyDescent="0.2">
      <c r="A2" s="30" t="s">
        <v>4</v>
      </c>
      <c r="B2" s="31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84"/>
      <c r="R2" s="384"/>
      <c r="S2" s="384"/>
      <c r="T2" s="384"/>
      <c r="U2" s="384"/>
      <c r="V2" s="384"/>
      <c r="W2" s="384"/>
      <c r="X2" s="16"/>
      <c r="Y2" s="16"/>
      <c r="Z2" s="16"/>
      <c r="AA2" s="16"/>
      <c r="AB2" s="52"/>
      <c r="AC2" s="52"/>
      <c r="AD2" s="52"/>
      <c r="AE2" s="52"/>
    </row>
    <row r="3" spans="1:32" s="23" customFormat="1" ht="11.25" customHeight="1" x14ac:dyDescent="0.2">
      <c r="A3" s="28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84"/>
      <c r="Q3" s="384"/>
      <c r="R3" s="384"/>
      <c r="S3" s="384"/>
      <c r="T3" s="384"/>
      <c r="U3" s="384"/>
      <c r="V3" s="384"/>
      <c r="W3" s="384"/>
      <c r="X3" s="16"/>
      <c r="Y3" s="16"/>
      <c r="Z3" s="16"/>
      <c r="AA3" s="16"/>
      <c r="AB3" s="52"/>
      <c r="AC3" s="52"/>
      <c r="AD3" s="52"/>
      <c r="AE3" s="52"/>
    </row>
    <row r="4" spans="1:32" s="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2"/>
      <c r="AC4" s="52"/>
      <c r="AD4" s="52"/>
      <c r="AE4" s="52"/>
    </row>
    <row r="5" spans="1:32" s="23" customFormat="1" ht="23.45" customHeight="1" x14ac:dyDescent="0.2">
      <c r="A5" s="473" t="s">
        <v>8</v>
      </c>
      <c r="B5" s="449"/>
      <c r="C5" s="450"/>
      <c r="D5" s="444"/>
      <c r="E5" s="445"/>
      <c r="F5" s="589" t="s">
        <v>9</v>
      </c>
      <c r="G5" s="450"/>
      <c r="H5" s="444"/>
      <c r="I5" s="553"/>
      <c r="J5" s="553"/>
      <c r="K5" s="553"/>
      <c r="L5" s="553"/>
      <c r="M5" s="445"/>
      <c r="N5" s="59"/>
      <c r="P5" s="25" t="s">
        <v>10</v>
      </c>
      <c r="Q5" s="600">
        <v>46043</v>
      </c>
      <c r="R5" s="471"/>
      <c r="T5" s="500" t="s">
        <v>11</v>
      </c>
      <c r="U5" s="397"/>
      <c r="V5" s="502" t="s">
        <v>12</v>
      </c>
      <c r="W5" s="471"/>
      <c r="AB5" s="52"/>
      <c r="AC5" s="52"/>
      <c r="AD5" s="52"/>
      <c r="AE5" s="52"/>
    </row>
    <row r="6" spans="1:32" s="23" customFormat="1" ht="24" customHeight="1" x14ac:dyDescent="0.2">
      <c r="A6" s="473" t="s">
        <v>13</v>
      </c>
      <c r="B6" s="449"/>
      <c r="C6" s="450"/>
      <c r="D6" s="555" t="s">
        <v>14</v>
      </c>
      <c r="E6" s="556"/>
      <c r="F6" s="556"/>
      <c r="G6" s="556"/>
      <c r="H6" s="556"/>
      <c r="I6" s="556"/>
      <c r="J6" s="556"/>
      <c r="K6" s="556"/>
      <c r="L6" s="556"/>
      <c r="M6" s="471"/>
      <c r="N6" s="60"/>
      <c r="P6" s="25" t="s">
        <v>15</v>
      </c>
      <c r="Q6" s="606" t="str">
        <f>IF(Q5=0," ",CHOOSE(WEEKDAY(Q5,2),"Понедельник","Вторник","Среда","Четверг","Пятница","Суббота","Воскресенье"))</f>
        <v>Среда</v>
      </c>
      <c r="R6" s="382"/>
      <c r="T6" s="506" t="s">
        <v>16</v>
      </c>
      <c r="U6" s="397"/>
      <c r="V6" s="539" t="s">
        <v>17</v>
      </c>
      <c r="W6" s="417"/>
      <c r="AB6" s="52"/>
      <c r="AC6" s="52"/>
      <c r="AD6" s="52"/>
      <c r="AE6" s="52"/>
    </row>
    <row r="7" spans="1:32" s="23" customFormat="1" ht="21.75" hidden="1" customHeight="1" x14ac:dyDescent="0.2">
      <c r="A7" s="56"/>
      <c r="B7" s="56"/>
      <c r="C7" s="56"/>
      <c r="D7" s="426" t="str">
        <f>IFERROR(VLOOKUP(DeliveryAddress,Table,3,0),1)</f>
        <v>1</v>
      </c>
      <c r="E7" s="427"/>
      <c r="F7" s="427"/>
      <c r="G7" s="427"/>
      <c r="H7" s="427"/>
      <c r="I7" s="427"/>
      <c r="J7" s="427"/>
      <c r="K7" s="427"/>
      <c r="L7" s="427"/>
      <c r="M7" s="428"/>
      <c r="N7" s="61"/>
      <c r="P7" s="25"/>
      <c r="Q7" s="43"/>
      <c r="R7" s="43"/>
      <c r="T7" s="384"/>
      <c r="U7" s="397"/>
      <c r="V7" s="540"/>
      <c r="W7" s="541"/>
      <c r="AB7" s="52"/>
      <c r="AC7" s="52"/>
      <c r="AD7" s="52"/>
      <c r="AE7" s="52"/>
    </row>
    <row r="8" spans="1:32" s="23" customFormat="1" ht="25.5" customHeight="1" x14ac:dyDescent="0.2">
      <c r="A8" s="613" t="s">
        <v>18</v>
      </c>
      <c r="B8" s="388"/>
      <c r="C8" s="389"/>
      <c r="D8" s="433" t="s">
        <v>19</v>
      </c>
      <c r="E8" s="434"/>
      <c r="F8" s="434"/>
      <c r="G8" s="434"/>
      <c r="H8" s="434"/>
      <c r="I8" s="434"/>
      <c r="J8" s="434"/>
      <c r="K8" s="434"/>
      <c r="L8" s="434"/>
      <c r="M8" s="435"/>
      <c r="N8" s="62"/>
      <c r="P8" s="25" t="s">
        <v>20</v>
      </c>
      <c r="Q8" s="476">
        <v>0.41666666666666669</v>
      </c>
      <c r="R8" s="428"/>
      <c r="T8" s="384"/>
      <c r="U8" s="397"/>
      <c r="V8" s="540"/>
      <c r="W8" s="541"/>
      <c r="AB8" s="52"/>
      <c r="AC8" s="52"/>
      <c r="AD8" s="52"/>
      <c r="AE8" s="52"/>
    </row>
    <row r="9" spans="1:32" s="23" customFormat="1" ht="39.950000000000003" customHeight="1" x14ac:dyDescent="0.2">
      <c r="A9" s="4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84"/>
      <c r="C9" s="384"/>
      <c r="D9" s="480"/>
      <c r="E9" s="386"/>
      <c r="F9" s="4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84"/>
      <c r="H9" s="385" t="str">
        <f>IF(AND($A$9="Тип доверенности/получателя при получении в адресе перегруза:",$D$9="Разовая доверенность"),"Введите ФИО","")</f>
        <v/>
      </c>
      <c r="I9" s="386"/>
      <c r="J9" s="3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86"/>
      <c r="L9" s="386"/>
      <c r="M9" s="386"/>
      <c r="N9" s="371"/>
      <c r="P9" s="27" t="s">
        <v>21</v>
      </c>
      <c r="Q9" s="467"/>
      <c r="R9" s="468"/>
      <c r="T9" s="384"/>
      <c r="U9" s="397"/>
      <c r="V9" s="542"/>
      <c r="W9" s="543"/>
      <c r="X9" s="44"/>
      <c r="Y9" s="44"/>
      <c r="Z9" s="44"/>
      <c r="AA9" s="44"/>
      <c r="AB9" s="52"/>
      <c r="AC9" s="52"/>
      <c r="AD9" s="52"/>
      <c r="AE9" s="52"/>
    </row>
    <row r="10" spans="1:32" s="23" customFormat="1" ht="26.45" customHeight="1" x14ac:dyDescent="0.2">
      <c r="A10" s="4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84"/>
      <c r="C10" s="384"/>
      <c r="D10" s="480"/>
      <c r="E10" s="386"/>
      <c r="F10" s="4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84"/>
      <c r="H10" s="532" t="str">
        <f>IFERROR(VLOOKUP($D$10,Proxy,2,FALSE),"")</f>
        <v/>
      </c>
      <c r="I10" s="384"/>
      <c r="J10" s="384"/>
      <c r="K10" s="384"/>
      <c r="L10" s="384"/>
      <c r="M10" s="384"/>
      <c r="N10" s="370"/>
      <c r="P10" s="27" t="s">
        <v>22</v>
      </c>
      <c r="Q10" s="507"/>
      <c r="R10" s="508"/>
      <c r="U10" s="25" t="s">
        <v>23</v>
      </c>
      <c r="V10" s="416" t="s">
        <v>24</v>
      </c>
      <c r="W10" s="417"/>
      <c r="X10" s="45"/>
      <c r="Y10" s="45"/>
      <c r="Z10" s="45"/>
      <c r="AA10" s="45"/>
      <c r="AB10" s="52"/>
      <c r="AC10" s="52"/>
      <c r="AD10" s="52"/>
      <c r="AE10" s="52"/>
    </row>
    <row r="11" spans="1:32" s="23" customFormat="1" ht="15.95" customHeight="1" x14ac:dyDescent="0.2">
      <c r="A11" s="29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26</v>
      </c>
      <c r="Q11" s="470"/>
      <c r="R11" s="471"/>
      <c r="U11" s="25" t="s">
        <v>27</v>
      </c>
      <c r="V11" s="569" t="s">
        <v>28</v>
      </c>
      <c r="W11" s="468"/>
      <c r="X11" s="46"/>
      <c r="Y11" s="46"/>
      <c r="Z11" s="46"/>
      <c r="AA11" s="46"/>
      <c r="AB11" s="52"/>
      <c r="AC11" s="52"/>
      <c r="AD11" s="52"/>
      <c r="AE11" s="52"/>
    </row>
    <row r="12" spans="1:32" s="23" customFormat="1" ht="18.600000000000001" customHeight="1" x14ac:dyDescent="0.2">
      <c r="A12" s="497" t="s">
        <v>29</v>
      </c>
      <c r="B12" s="449"/>
      <c r="C12" s="449"/>
      <c r="D12" s="449"/>
      <c r="E12" s="449"/>
      <c r="F12" s="449"/>
      <c r="G12" s="449"/>
      <c r="H12" s="449"/>
      <c r="I12" s="449"/>
      <c r="J12" s="449"/>
      <c r="K12" s="449"/>
      <c r="L12" s="449"/>
      <c r="M12" s="450"/>
      <c r="N12" s="63"/>
      <c r="P12" s="25" t="s">
        <v>30</v>
      </c>
      <c r="Q12" s="476"/>
      <c r="R12" s="428"/>
      <c r="S12" s="24"/>
      <c r="U12" s="25" t="s">
        <v>31</v>
      </c>
      <c r="V12" s="569" t="s">
        <v>32</v>
      </c>
      <c r="W12" s="468"/>
      <c r="AB12" s="52"/>
      <c r="AC12" s="52"/>
      <c r="AD12" s="52"/>
      <c r="AE12" s="52"/>
    </row>
    <row r="13" spans="1:32" s="23" customFormat="1" ht="23.25" customHeight="1" x14ac:dyDescent="0.2">
      <c r="A13" s="497" t="s">
        <v>33</v>
      </c>
      <c r="B13" s="449"/>
      <c r="C13" s="449"/>
      <c r="D13" s="449"/>
      <c r="E13" s="449"/>
      <c r="F13" s="449"/>
      <c r="G13" s="449"/>
      <c r="H13" s="449"/>
      <c r="I13" s="449"/>
      <c r="J13" s="449"/>
      <c r="K13" s="449"/>
      <c r="L13" s="449"/>
      <c r="M13" s="450"/>
      <c r="N13" s="63"/>
      <c r="O13" s="27"/>
      <c r="P13" s="27" t="s">
        <v>34</v>
      </c>
      <c r="Q13" s="569"/>
      <c r="R13" s="468"/>
      <c r="S13" s="24"/>
      <c r="X13" s="50"/>
      <c r="Y13" s="50"/>
      <c r="Z13" s="50"/>
      <c r="AA13" s="50"/>
      <c r="AB13" s="52"/>
      <c r="AC13" s="52"/>
      <c r="AD13" s="52"/>
      <c r="AE13" s="52"/>
    </row>
    <row r="14" spans="1:32" s="23" customFormat="1" ht="18.600000000000001" customHeight="1" x14ac:dyDescent="0.2">
      <c r="A14" s="497" t="s">
        <v>35</v>
      </c>
      <c r="B14" s="449"/>
      <c r="C14" s="449"/>
      <c r="D14" s="449"/>
      <c r="E14" s="449"/>
      <c r="F14" s="449"/>
      <c r="G14" s="449"/>
      <c r="H14" s="449"/>
      <c r="I14" s="449"/>
      <c r="J14" s="449"/>
      <c r="K14" s="449"/>
      <c r="L14" s="449"/>
      <c r="M14" s="450"/>
      <c r="N14" s="63"/>
      <c r="X14" s="51"/>
      <c r="Y14" s="51"/>
      <c r="Z14" s="51"/>
      <c r="AA14" s="51"/>
      <c r="AB14" s="52"/>
      <c r="AC14" s="52"/>
      <c r="AD14" s="52"/>
      <c r="AE14" s="52"/>
    </row>
    <row r="15" spans="1:32" s="23" customFormat="1" ht="22.5" customHeight="1" x14ac:dyDescent="0.2">
      <c r="A15" s="514" t="s">
        <v>36</v>
      </c>
      <c r="B15" s="449"/>
      <c r="C15" s="449"/>
      <c r="D15" s="449"/>
      <c r="E15" s="449"/>
      <c r="F15" s="449"/>
      <c r="G15" s="449"/>
      <c r="H15" s="449"/>
      <c r="I15" s="449"/>
      <c r="J15" s="449"/>
      <c r="K15" s="449"/>
      <c r="L15" s="449"/>
      <c r="M15" s="450"/>
      <c r="N15" s="64"/>
      <c r="P15" s="490" t="s">
        <v>37</v>
      </c>
      <c r="Q15" s="399"/>
      <c r="R15" s="399"/>
      <c r="S15" s="399"/>
      <c r="T15" s="399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91"/>
      <c r="Q16" s="491"/>
      <c r="R16" s="491"/>
      <c r="S16" s="491"/>
      <c r="T16" s="4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412" t="s">
        <v>38</v>
      </c>
      <c r="B17" s="412" t="s">
        <v>39</v>
      </c>
      <c r="C17" s="478" t="s">
        <v>40</v>
      </c>
      <c r="D17" s="412" t="s">
        <v>41</v>
      </c>
      <c r="E17" s="458"/>
      <c r="F17" s="412" t="s">
        <v>42</v>
      </c>
      <c r="G17" s="412" t="s">
        <v>43</v>
      </c>
      <c r="H17" s="412" t="s">
        <v>44</v>
      </c>
      <c r="I17" s="412" t="s">
        <v>45</v>
      </c>
      <c r="J17" s="412" t="s">
        <v>46</v>
      </c>
      <c r="K17" s="412" t="s">
        <v>47</v>
      </c>
      <c r="L17" s="412" t="s">
        <v>48</v>
      </c>
      <c r="M17" s="412" t="s">
        <v>49</v>
      </c>
      <c r="N17" s="412" t="s">
        <v>50</v>
      </c>
      <c r="O17" s="412" t="s">
        <v>51</v>
      </c>
      <c r="P17" s="412" t="s">
        <v>52</v>
      </c>
      <c r="Q17" s="457"/>
      <c r="R17" s="457"/>
      <c r="S17" s="457"/>
      <c r="T17" s="458"/>
      <c r="U17" s="610" t="s">
        <v>53</v>
      </c>
      <c r="V17" s="450"/>
      <c r="W17" s="412" t="s">
        <v>54</v>
      </c>
      <c r="X17" s="412" t="s">
        <v>55</v>
      </c>
      <c r="Y17" s="611" t="s">
        <v>56</v>
      </c>
      <c r="Z17" s="551" t="s">
        <v>57</v>
      </c>
      <c r="AA17" s="533" t="s">
        <v>58</v>
      </c>
      <c r="AB17" s="533" t="s">
        <v>59</v>
      </c>
      <c r="AC17" s="533" t="s">
        <v>60</v>
      </c>
      <c r="AD17" s="533" t="s">
        <v>61</v>
      </c>
      <c r="AE17" s="584"/>
      <c r="AF17" s="585"/>
      <c r="AG17" s="67"/>
      <c r="BD17" s="66" t="s">
        <v>62</v>
      </c>
    </row>
    <row r="18" spans="1:68" ht="14.25" customHeight="1" x14ac:dyDescent="0.2">
      <c r="A18" s="413"/>
      <c r="B18" s="413"/>
      <c r="C18" s="413"/>
      <c r="D18" s="459"/>
      <c r="E18" s="461"/>
      <c r="F18" s="413"/>
      <c r="G18" s="413"/>
      <c r="H18" s="413"/>
      <c r="I18" s="413"/>
      <c r="J18" s="413"/>
      <c r="K18" s="413"/>
      <c r="L18" s="413"/>
      <c r="M18" s="413"/>
      <c r="N18" s="413"/>
      <c r="O18" s="413"/>
      <c r="P18" s="459"/>
      <c r="Q18" s="460"/>
      <c r="R18" s="460"/>
      <c r="S18" s="460"/>
      <c r="T18" s="461"/>
      <c r="U18" s="68" t="s">
        <v>63</v>
      </c>
      <c r="V18" s="68" t="s">
        <v>64</v>
      </c>
      <c r="W18" s="413"/>
      <c r="X18" s="413"/>
      <c r="Y18" s="612"/>
      <c r="Z18" s="552"/>
      <c r="AA18" s="534"/>
      <c r="AB18" s="534"/>
      <c r="AC18" s="534"/>
      <c r="AD18" s="586"/>
      <c r="AE18" s="587"/>
      <c r="AF18" s="588"/>
      <c r="AG18" s="67"/>
      <c r="BD18" s="66"/>
    </row>
    <row r="19" spans="1:68" ht="27.75" customHeight="1" x14ac:dyDescent="0.2">
      <c r="A19" s="441" t="s">
        <v>65</v>
      </c>
      <c r="B19" s="442"/>
      <c r="C19" s="442"/>
      <c r="D19" s="442"/>
      <c r="E19" s="442"/>
      <c r="F19" s="442"/>
      <c r="G19" s="442"/>
      <c r="H19" s="442"/>
      <c r="I19" s="442"/>
      <c r="J19" s="442"/>
      <c r="K19" s="442"/>
      <c r="L19" s="442"/>
      <c r="M19" s="442"/>
      <c r="N19" s="442"/>
      <c r="O19" s="442"/>
      <c r="P19" s="442"/>
      <c r="Q19" s="442"/>
      <c r="R19" s="442"/>
      <c r="S19" s="442"/>
      <c r="T19" s="442"/>
      <c r="U19" s="442"/>
      <c r="V19" s="442"/>
      <c r="W19" s="442"/>
      <c r="X19" s="442"/>
      <c r="Y19" s="442"/>
      <c r="Z19" s="442"/>
      <c r="AA19" s="49"/>
      <c r="AB19" s="49"/>
      <c r="AC19" s="49"/>
    </row>
    <row r="20" spans="1:68" ht="16.5" customHeight="1" x14ac:dyDescent="0.25">
      <c r="A20" s="419" t="s">
        <v>65</v>
      </c>
      <c r="B20" s="384"/>
      <c r="C20" s="384"/>
      <c r="D20" s="384"/>
      <c r="E20" s="384"/>
      <c r="F20" s="384"/>
      <c r="G20" s="384"/>
      <c r="H20" s="384"/>
      <c r="I20" s="384"/>
      <c r="J20" s="384"/>
      <c r="K20" s="384"/>
      <c r="L20" s="384"/>
      <c r="M20" s="384"/>
      <c r="N20" s="384"/>
      <c r="O20" s="384"/>
      <c r="P20" s="384"/>
      <c r="Q20" s="384"/>
      <c r="R20" s="384"/>
      <c r="S20" s="384"/>
      <c r="T20" s="384"/>
      <c r="U20" s="384"/>
      <c r="V20" s="384"/>
      <c r="W20" s="384"/>
      <c r="X20" s="384"/>
      <c r="Y20" s="384"/>
      <c r="Z20" s="384"/>
      <c r="AA20" s="369"/>
      <c r="AB20" s="369"/>
      <c r="AC20" s="369"/>
    </row>
    <row r="21" spans="1:68" ht="14.25" customHeight="1" x14ac:dyDescent="0.25">
      <c r="A21" s="383" t="s">
        <v>66</v>
      </c>
      <c r="B21" s="384"/>
      <c r="C21" s="384"/>
      <c r="D21" s="384"/>
      <c r="E21" s="384"/>
      <c r="F21" s="384"/>
      <c r="G21" s="384"/>
      <c r="H21" s="384"/>
      <c r="I21" s="384"/>
      <c r="J21" s="384"/>
      <c r="K21" s="384"/>
      <c r="L21" s="384"/>
      <c r="M21" s="384"/>
      <c r="N21" s="384"/>
      <c r="O21" s="384"/>
      <c r="P21" s="384"/>
      <c r="Q21" s="384"/>
      <c r="R21" s="384"/>
      <c r="S21" s="384"/>
      <c r="T21" s="384"/>
      <c r="U21" s="384"/>
      <c r="V21" s="384"/>
      <c r="W21" s="384"/>
      <c r="X21" s="384"/>
      <c r="Y21" s="384"/>
      <c r="Z21" s="384"/>
      <c r="AA21" s="368"/>
      <c r="AB21" s="368"/>
      <c r="AC21" s="368"/>
    </row>
    <row r="22" spans="1:68" ht="27" customHeight="1" x14ac:dyDescent="0.25">
      <c r="A22" s="55" t="s">
        <v>67</v>
      </c>
      <c r="B22" s="55" t="s">
        <v>68</v>
      </c>
      <c r="C22" s="32">
        <v>4301032013</v>
      </c>
      <c r="D22" s="381">
        <v>4607091388503</v>
      </c>
      <c r="E22" s="382"/>
      <c r="F22" s="372">
        <v>0.05</v>
      </c>
      <c r="G22" s="33">
        <v>12</v>
      </c>
      <c r="H22" s="372">
        <v>0.6</v>
      </c>
      <c r="I22" s="372">
        <v>0.82199999999999995</v>
      </c>
      <c r="J22" s="33">
        <v>182</v>
      </c>
      <c r="K22" s="33" t="s">
        <v>69</v>
      </c>
      <c r="L22" s="33"/>
      <c r="M22" s="34" t="s">
        <v>70</v>
      </c>
      <c r="N22" s="34"/>
      <c r="O22" s="33">
        <v>120</v>
      </c>
      <c r="P22" s="54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2" s="378"/>
      <c r="R22" s="378"/>
      <c r="S22" s="378"/>
      <c r="T22" s="379"/>
      <c r="U22" s="35"/>
      <c r="V22" s="35"/>
      <c r="W22" s="36" t="s">
        <v>71</v>
      </c>
      <c r="X22" s="373">
        <v>0</v>
      </c>
      <c r="Y22" s="374">
        <f>IFERROR(IF(X22="",0,CEILING((X22/$H22),1)*$H22),"")</f>
        <v>0</v>
      </c>
      <c r="Z22" s="37" t="str">
        <f>IFERROR(IF(Y22=0,"",ROUNDUP(Y22/H22,0)*0.00651),"")</f>
        <v/>
      </c>
      <c r="AA22" s="57"/>
      <c r="AB22" s="58"/>
      <c r="AC22" s="70" t="s">
        <v>72</v>
      </c>
      <c r="AG22" s="65"/>
      <c r="AJ22" s="69"/>
      <c r="AK22" s="69">
        <v>0</v>
      </c>
      <c r="BB22" s="71" t="s">
        <v>73</v>
      </c>
      <c r="BM22" s="65">
        <f>IFERROR(X22*I22/H22,"0")</f>
        <v>0</v>
      </c>
      <c r="BN22" s="65">
        <f>IFERROR(Y22*I22/H22,"0")</f>
        <v>0</v>
      </c>
      <c r="BO22" s="65">
        <f>IFERROR(1/J22*(X22/H22),"0")</f>
        <v>0</v>
      </c>
      <c r="BP22" s="65">
        <f>IFERROR(1/J22*(Y22/H22),"0")</f>
        <v>0</v>
      </c>
    </row>
    <row r="23" spans="1:68" x14ac:dyDescent="0.2">
      <c r="A23" s="391"/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4"/>
      <c r="M23" s="384"/>
      <c r="N23" s="384"/>
      <c r="O23" s="392"/>
      <c r="P23" s="387" t="s">
        <v>74</v>
      </c>
      <c r="Q23" s="388"/>
      <c r="R23" s="388"/>
      <c r="S23" s="388"/>
      <c r="T23" s="388"/>
      <c r="U23" s="388"/>
      <c r="V23" s="389"/>
      <c r="W23" s="38" t="s">
        <v>75</v>
      </c>
      <c r="X23" s="375">
        <f>IFERROR(X22/H22,"0")</f>
        <v>0</v>
      </c>
      <c r="Y23" s="375">
        <f>IFERROR(Y22/H22,"0")</f>
        <v>0</v>
      </c>
      <c r="Z23" s="375">
        <f>IFERROR(IF(Z22="",0,Z22),"0")</f>
        <v>0</v>
      </c>
      <c r="AA23" s="376"/>
      <c r="AB23" s="376"/>
      <c r="AC23" s="376"/>
    </row>
    <row r="24" spans="1:68" x14ac:dyDescent="0.2">
      <c r="A24" s="384"/>
      <c r="B24" s="384"/>
      <c r="C24" s="384"/>
      <c r="D24" s="384"/>
      <c r="E24" s="384"/>
      <c r="F24" s="384"/>
      <c r="G24" s="384"/>
      <c r="H24" s="384"/>
      <c r="I24" s="384"/>
      <c r="J24" s="384"/>
      <c r="K24" s="384"/>
      <c r="L24" s="384"/>
      <c r="M24" s="384"/>
      <c r="N24" s="384"/>
      <c r="O24" s="392"/>
      <c r="P24" s="387" t="s">
        <v>74</v>
      </c>
      <c r="Q24" s="388"/>
      <c r="R24" s="388"/>
      <c r="S24" s="388"/>
      <c r="T24" s="388"/>
      <c r="U24" s="388"/>
      <c r="V24" s="389"/>
      <c r="W24" s="38" t="s">
        <v>71</v>
      </c>
      <c r="X24" s="375">
        <f>IFERROR(SUM(X22:X22),"0")</f>
        <v>0</v>
      </c>
      <c r="Y24" s="375">
        <f>IFERROR(SUM(Y22:Y22),"0")</f>
        <v>0</v>
      </c>
      <c r="Z24" s="38"/>
      <c r="AA24" s="376"/>
      <c r="AB24" s="376"/>
      <c r="AC24" s="376"/>
    </row>
    <row r="25" spans="1:68" ht="27.75" customHeight="1" x14ac:dyDescent="0.2">
      <c r="A25" s="441" t="s">
        <v>76</v>
      </c>
      <c r="B25" s="442"/>
      <c r="C25" s="442"/>
      <c r="D25" s="442"/>
      <c r="E25" s="442"/>
      <c r="F25" s="442"/>
      <c r="G25" s="442"/>
      <c r="H25" s="442"/>
      <c r="I25" s="442"/>
      <c r="J25" s="442"/>
      <c r="K25" s="442"/>
      <c r="L25" s="442"/>
      <c r="M25" s="442"/>
      <c r="N25" s="442"/>
      <c r="O25" s="442"/>
      <c r="P25" s="442"/>
      <c r="Q25" s="442"/>
      <c r="R25" s="442"/>
      <c r="S25" s="442"/>
      <c r="T25" s="442"/>
      <c r="U25" s="442"/>
      <c r="V25" s="442"/>
      <c r="W25" s="442"/>
      <c r="X25" s="442"/>
      <c r="Y25" s="442"/>
      <c r="Z25" s="442"/>
      <c r="AA25" s="49"/>
      <c r="AB25" s="49"/>
      <c r="AC25" s="49"/>
    </row>
    <row r="26" spans="1:68" ht="16.5" customHeight="1" x14ac:dyDescent="0.25">
      <c r="A26" s="419" t="s">
        <v>77</v>
      </c>
      <c r="B26" s="384"/>
      <c r="C26" s="384"/>
      <c r="D26" s="384"/>
      <c r="E26" s="384"/>
      <c r="F26" s="384"/>
      <c r="G26" s="384"/>
      <c r="H26" s="384"/>
      <c r="I26" s="384"/>
      <c r="J26" s="384"/>
      <c r="K26" s="384"/>
      <c r="L26" s="384"/>
      <c r="M26" s="384"/>
      <c r="N26" s="384"/>
      <c r="O26" s="384"/>
      <c r="P26" s="384"/>
      <c r="Q26" s="384"/>
      <c r="R26" s="384"/>
      <c r="S26" s="384"/>
      <c r="T26" s="384"/>
      <c r="U26" s="384"/>
      <c r="V26" s="384"/>
      <c r="W26" s="384"/>
      <c r="X26" s="384"/>
      <c r="Y26" s="384"/>
      <c r="Z26" s="384"/>
      <c r="AA26" s="369"/>
      <c r="AB26" s="369"/>
      <c r="AC26" s="369"/>
    </row>
    <row r="27" spans="1:68" ht="14.25" customHeight="1" x14ac:dyDescent="0.25">
      <c r="A27" s="383" t="s">
        <v>78</v>
      </c>
      <c r="B27" s="384"/>
      <c r="C27" s="384"/>
      <c r="D27" s="384"/>
      <c r="E27" s="384"/>
      <c r="F27" s="384"/>
      <c r="G27" s="384"/>
      <c r="H27" s="384"/>
      <c r="I27" s="384"/>
      <c r="J27" s="384"/>
      <c r="K27" s="384"/>
      <c r="L27" s="384"/>
      <c r="M27" s="384"/>
      <c r="N27" s="384"/>
      <c r="O27" s="384"/>
      <c r="P27" s="384"/>
      <c r="Q27" s="384"/>
      <c r="R27" s="384"/>
      <c r="S27" s="384"/>
      <c r="T27" s="384"/>
      <c r="U27" s="384"/>
      <c r="V27" s="384"/>
      <c r="W27" s="384"/>
      <c r="X27" s="384"/>
      <c r="Y27" s="384"/>
      <c r="Z27" s="384"/>
      <c r="AA27" s="368"/>
      <c r="AB27" s="368"/>
      <c r="AC27" s="368"/>
    </row>
    <row r="28" spans="1:68" ht="16.5" customHeight="1" x14ac:dyDescent="0.25">
      <c r="A28" s="55" t="s">
        <v>79</v>
      </c>
      <c r="B28" s="55" t="s">
        <v>80</v>
      </c>
      <c r="C28" s="32">
        <v>4301011380</v>
      </c>
      <c r="D28" s="381">
        <v>4607091385670</v>
      </c>
      <c r="E28" s="382"/>
      <c r="F28" s="372">
        <v>1.35</v>
      </c>
      <c r="G28" s="33">
        <v>8</v>
      </c>
      <c r="H28" s="372">
        <v>10.8</v>
      </c>
      <c r="I28" s="372">
        <v>11.21</v>
      </c>
      <c r="J28" s="33">
        <v>64</v>
      </c>
      <c r="K28" s="33" t="s">
        <v>81</v>
      </c>
      <c r="L28" s="33"/>
      <c r="M28" s="34" t="s">
        <v>82</v>
      </c>
      <c r="N28" s="34"/>
      <c r="O28" s="33">
        <v>50</v>
      </c>
      <c r="P28" s="40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28" s="378"/>
      <c r="R28" s="378"/>
      <c r="S28" s="378"/>
      <c r="T28" s="379"/>
      <c r="U28" s="35"/>
      <c r="V28" s="35"/>
      <c r="W28" s="36" t="s">
        <v>71</v>
      </c>
      <c r="X28" s="373">
        <v>0</v>
      </c>
      <c r="Y28" s="374">
        <f>IFERROR(IF(X28="",0,CEILING((X28/$H28),1)*$H28),"")</f>
        <v>0</v>
      </c>
      <c r="Z28" s="37" t="str">
        <f>IFERROR(IF(Y28=0,"",ROUNDUP(Y28/H28,0)*0.01898),"")</f>
        <v/>
      </c>
      <c r="AA28" s="57"/>
      <c r="AB28" s="58"/>
      <c r="AC28" s="72" t="s">
        <v>83</v>
      </c>
      <c r="AG28" s="65"/>
      <c r="AJ28" s="69"/>
      <c r="AK28" s="69">
        <v>0</v>
      </c>
      <c r="BB28" s="73" t="s">
        <v>1</v>
      </c>
      <c r="BM28" s="65">
        <f>IFERROR(X28*I28/H28,"0")</f>
        <v>0</v>
      </c>
      <c r="BN28" s="65">
        <f>IFERROR(Y28*I28/H28,"0")</f>
        <v>0</v>
      </c>
      <c r="BO28" s="65">
        <f>IFERROR(1/J28*(X28/H28),"0")</f>
        <v>0</v>
      </c>
      <c r="BP28" s="65">
        <f>IFERROR(1/J28*(Y28/H28),"0")</f>
        <v>0</v>
      </c>
    </row>
    <row r="29" spans="1:68" ht="27" customHeight="1" x14ac:dyDescent="0.25">
      <c r="A29" s="55" t="s">
        <v>84</v>
      </c>
      <c r="B29" s="55" t="s">
        <v>85</v>
      </c>
      <c r="C29" s="32">
        <v>4301011382</v>
      </c>
      <c r="D29" s="381">
        <v>4607091385687</v>
      </c>
      <c r="E29" s="382"/>
      <c r="F29" s="372">
        <v>0.4</v>
      </c>
      <c r="G29" s="33">
        <v>10</v>
      </c>
      <c r="H29" s="372">
        <v>4</v>
      </c>
      <c r="I29" s="372">
        <v>4.1900000000000004</v>
      </c>
      <c r="J29" s="33">
        <v>132</v>
      </c>
      <c r="K29" s="33" t="s">
        <v>86</v>
      </c>
      <c r="L29" s="33"/>
      <c r="M29" s="34" t="s">
        <v>87</v>
      </c>
      <c r="N29" s="34"/>
      <c r="O29" s="33">
        <v>50</v>
      </c>
      <c r="P29" s="4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29" s="378"/>
      <c r="R29" s="378"/>
      <c r="S29" s="378"/>
      <c r="T29" s="379"/>
      <c r="U29" s="35"/>
      <c r="V29" s="35"/>
      <c r="W29" s="36" t="s">
        <v>71</v>
      </c>
      <c r="X29" s="373">
        <v>160</v>
      </c>
      <c r="Y29" s="374">
        <f>IFERROR(IF(X29="",0,CEILING((X29/$H29),1)*$H29),"")</f>
        <v>160</v>
      </c>
      <c r="Z29" s="37">
        <f>IFERROR(IF(Y29=0,"",ROUNDUP(Y29/H29,0)*0.00902),"")</f>
        <v>0.36080000000000001</v>
      </c>
      <c r="AA29" s="57"/>
      <c r="AB29" s="58"/>
      <c r="AC29" s="74" t="s">
        <v>83</v>
      </c>
      <c r="AG29" s="65"/>
      <c r="AJ29" s="69"/>
      <c r="AK29" s="69">
        <v>0</v>
      </c>
      <c r="BB29" s="75" t="s">
        <v>1</v>
      </c>
      <c r="BM29" s="65">
        <f>IFERROR(X29*I29/H29,"0")</f>
        <v>167.60000000000002</v>
      </c>
      <c r="BN29" s="65">
        <f>IFERROR(Y29*I29/H29,"0")</f>
        <v>167.60000000000002</v>
      </c>
      <c r="BO29" s="65">
        <f>IFERROR(1/J29*(X29/H29),"0")</f>
        <v>0.30303030303030304</v>
      </c>
      <c r="BP29" s="65">
        <f>IFERROR(1/J29*(Y29/H29),"0")</f>
        <v>0.30303030303030304</v>
      </c>
    </row>
    <row r="30" spans="1:68" ht="27" customHeight="1" x14ac:dyDescent="0.25">
      <c r="A30" s="55" t="s">
        <v>88</v>
      </c>
      <c r="B30" s="55" t="s">
        <v>89</v>
      </c>
      <c r="C30" s="32">
        <v>4301011565</v>
      </c>
      <c r="D30" s="381">
        <v>4680115882539</v>
      </c>
      <c r="E30" s="382"/>
      <c r="F30" s="372">
        <v>0.37</v>
      </c>
      <c r="G30" s="33">
        <v>10</v>
      </c>
      <c r="H30" s="372">
        <v>3.7</v>
      </c>
      <c r="I30" s="372">
        <v>3.89</v>
      </c>
      <c r="J30" s="33">
        <v>132</v>
      </c>
      <c r="K30" s="33" t="s">
        <v>86</v>
      </c>
      <c r="L30" s="33"/>
      <c r="M30" s="34" t="s">
        <v>87</v>
      </c>
      <c r="N30" s="34"/>
      <c r="O30" s="33">
        <v>50</v>
      </c>
      <c r="P30" s="40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0" s="378"/>
      <c r="R30" s="378"/>
      <c r="S30" s="378"/>
      <c r="T30" s="379"/>
      <c r="U30" s="35"/>
      <c r="V30" s="35"/>
      <c r="W30" s="36" t="s">
        <v>71</v>
      </c>
      <c r="X30" s="373">
        <v>0</v>
      </c>
      <c r="Y30" s="374">
        <f>IFERROR(IF(X30="",0,CEILING((X30/$H30),1)*$H30),"")</f>
        <v>0</v>
      </c>
      <c r="Z30" s="37" t="str">
        <f>IFERROR(IF(Y30=0,"",ROUNDUP(Y30/H30,0)*0.00902),"")</f>
        <v/>
      </c>
      <c r="AA30" s="57"/>
      <c r="AB30" s="58"/>
      <c r="AC30" s="76" t="s">
        <v>83</v>
      </c>
      <c r="AG30" s="65"/>
      <c r="AJ30" s="69"/>
      <c r="AK30" s="69">
        <v>0</v>
      </c>
      <c r="BB30" s="77" t="s">
        <v>1</v>
      </c>
      <c r="BM30" s="65">
        <f>IFERROR(X30*I30/H30,"0")</f>
        <v>0</v>
      </c>
      <c r="BN30" s="65">
        <f>IFERROR(Y30*I30/H30,"0")</f>
        <v>0</v>
      </c>
      <c r="BO30" s="65">
        <f>IFERROR(1/J30*(X30/H30),"0")</f>
        <v>0</v>
      </c>
      <c r="BP30" s="65">
        <f>IFERROR(1/J30*(Y30/H30),"0")</f>
        <v>0</v>
      </c>
    </row>
    <row r="31" spans="1:68" x14ac:dyDescent="0.2">
      <c r="A31" s="391"/>
      <c r="B31" s="384"/>
      <c r="C31" s="384"/>
      <c r="D31" s="384"/>
      <c r="E31" s="384"/>
      <c r="F31" s="384"/>
      <c r="G31" s="384"/>
      <c r="H31" s="384"/>
      <c r="I31" s="384"/>
      <c r="J31" s="384"/>
      <c r="K31" s="384"/>
      <c r="L31" s="384"/>
      <c r="M31" s="384"/>
      <c r="N31" s="384"/>
      <c r="O31" s="392"/>
      <c r="P31" s="387" t="s">
        <v>74</v>
      </c>
      <c r="Q31" s="388"/>
      <c r="R31" s="388"/>
      <c r="S31" s="388"/>
      <c r="T31" s="388"/>
      <c r="U31" s="388"/>
      <c r="V31" s="389"/>
      <c r="W31" s="38" t="s">
        <v>75</v>
      </c>
      <c r="X31" s="375">
        <f>IFERROR(X28/H28,"0")+IFERROR(X29/H29,"0")+IFERROR(X30/H30,"0")</f>
        <v>40</v>
      </c>
      <c r="Y31" s="375">
        <f>IFERROR(Y28/H28,"0")+IFERROR(Y29/H29,"0")+IFERROR(Y30/H30,"0")</f>
        <v>40</v>
      </c>
      <c r="Z31" s="375">
        <f>IFERROR(IF(Z28="",0,Z28),"0")+IFERROR(IF(Z29="",0,Z29),"0")+IFERROR(IF(Z30="",0,Z30),"0")</f>
        <v>0.36080000000000001</v>
      </c>
      <c r="AA31" s="376"/>
      <c r="AB31" s="376"/>
      <c r="AC31" s="376"/>
    </row>
    <row r="32" spans="1:68" x14ac:dyDescent="0.2">
      <c r="A32" s="384"/>
      <c r="B32" s="384"/>
      <c r="C32" s="384"/>
      <c r="D32" s="384"/>
      <c r="E32" s="384"/>
      <c r="F32" s="384"/>
      <c r="G32" s="384"/>
      <c r="H32" s="384"/>
      <c r="I32" s="384"/>
      <c r="J32" s="384"/>
      <c r="K32" s="384"/>
      <c r="L32" s="384"/>
      <c r="M32" s="384"/>
      <c r="N32" s="384"/>
      <c r="O32" s="392"/>
      <c r="P32" s="387" t="s">
        <v>74</v>
      </c>
      <c r="Q32" s="388"/>
      <c r="R32" s="388"/>
      <c r="S32" s="388"/>
      <c r="T32" s="388"/>
      <c r="U32" s="388"/>
      <c r="V32" s="389"/>
      <c r="W32" s="38" t="s">
        <v>71</v>
      </c>
      <c r="X32" s="375">
        <f>IFERROR(SUM(X28:X30),"0")</f>
        <v>160</v>
      </c>
      <c r="Y32" s="375">
        <f>IFERROR(SUM(Y28:Y30),"0")</f>
        <v>160</v>
      </c>
      <c r="Z32" s="38"/>
      <c r="AA32" s="376"/>
      <c r="AB32" s="376"/>
      <c r="AC32" s="376"/>
    </row>
    <row r="33" spans="1:68" ht="16.5" customHeight="1" x14ac:dyDescent="0.25">
      <c r="A33" s="419" t="s">
        <v>90</v>
      </c>
      <c r="B33" s="384"/>
      <c r="C33" s="384"/>
      <c r="D33" s="384"/>
      <c r="E33" s="384"/>
      <c r="F33" s="384"/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4"/>
      <c r="Z33" s="384"/>
      <c r="AA33" s="369"/>
      <c r="AB33" s="369"/>
      <c r="AC33" s="369"/>
    </row>
    <row r="34" spans="1:68" ht="14.25" customHeight="1" x14ac:dyDescent="0.25">
      <c r="A34" s="383" t="s">
        <v>78</v>
      </c>
      <c r="B34" s="384"/>
      <c r="C34" s="384"/>
      <c r="D34" s="384"/>
      <c r="E34" s="384"/>
      <c r="F34" s="384"/>
      <c r="G34" s="384"/>
      <c r="H34" s="384"/>
      <c r="I34" s="384"/>
      <c r="J34" s="384"/>
      <c r="K34" s="384"/>
      <c r="L34" s="384"/>
      <c r="M34" s="384"/>
      <c r="N34" s="384"/>
      <c r="O34" s="384"/>
      <c r="P34" s="384"/>
      <c r="Q34" s="384"/>
      <c r="R34" s="384"/>
      <c r="S34" s="384"/>
      <c r="T34" s="384"/>
      <c r="U34" s="384"/>
      <c r="V34" s="384"/>
      <c r="W34" s="384"/>
      <c r="X34" s="384"/>
      <c r="Y34" s="384"/>
      <c r="Z34" s="384"/>
      <c r="AA34" s="368"/>
      <c r="AB34" s="368"/>
      <c r="AC34" s="368"/>
    </row>
    <row r="35" spans="1:68" ht="27" customHeight="1" x14ac:dyDescent="0.25">
      <c r="A35" s="55" t="s">
        <v>91</v>
      </c>
      <c r="B35" s="55" t="s">
        <v>92</v>
      </c>
      <c r="C35" s="32">
        <v>4301012030</v>
      </c>
      <c r="D35" s="381">
        <v>4680115885882</v>
      </c>
      <c r="E35" s="382"/>
      <c r="F35" s="372">
        <v>1.4</v>
      </c>
      <c r="G35" s="33">
        <v>8</v>
      </c>
      <c r="H35" s="372">
        <v>11.2</v>
      </c>
      <c r="I35" s="372">
        <v>11.61</v>
      </c>
      <c r="J35" s="33">
        <v>64</v>
      </c>
      <c r="K35" s="33" t="s">
        <v>81</v>
      </c>
      <c r="L35" s="33"/>
      <c r="M35" s="34" t="s">
        <v>87</v>
      </c>
      <c r="N35" s="34"/>
      <c r="O35" s="33">
        <v>50</v>
      </c>
      <c r="P35" s="5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35" s="378"/>
      <c r="R35" s="378"/>
      <c r="S35" s="378"/>
      <c r="T35" s="379"/>
      <c r="U35" s="35"/>
      <c r="V35" s="35"/>
      <c r="W35" s="36" t="s">
        <v>71</v>
      </c>
      <c r="X35" s="373">
        <v>0</v>
      </c>
      <c r="Y35" s="374">
        <f t="shared" ref="Y35:Y40" si="0">IFERROR(IF(X35="",0,CEILING((X35/$H35),1)*$H35),"")</f>
        <v>0</v>
      </c>
      <c r="Z35" s="37" t="str">
        <f>IFERROR(IF(Y35=0,"",ROUNDUP(Y35/H35,0)*0.01898),"")</f>
        <v/>
      </c>
      <c r="AA35" s="57"/>
      <c r="AB35" s="58"/>
      <c r="AC35" s="78" t="s">
        <v>93</v>
      </c>
      <c r="AG35" s="65"/>
      <c r="AJ35" s="69"/>
      <c r="AK35" s="69">
        <v>0</v>
      </c>
      <c r="BB35" s="79" t="s">
        <v>1</v>
      </c>
      <c r="BM35" s="65">
        <f t="shared" ref="BM35:BM40" si="1">IFERROR(X35*I35/H35,"0")</f>
        <v>0</v>
      </c>
      <c r="BN35" s="65">
        <f t="shared" ref="BN35:BN40" si="2">IFERROR(Y35*I35/H35,"0")</f>
        <v>0</v>
      </c>
      <c r="BO35" s="65">
        <f t="shared" ref="BO35:BO40" si="3">IFERROR(1/J35*(X35/H35),"0")</f>
        <v>0</v>
      </c>
      <c r="BP35" s="65">
        <f t="shared" ref="BP35:BP40" si="4">IFERROR(1/J35*(Y35/H35),"0")</f>
        <v>0</v>
      </c>
    </row>
    <row r="36" spans="1:68" ht="27" customHeight="1" x14ac:dyDescent="0.25">
      <c r="A36" s="55" t="s">
        <v>94</v>
      </c>
      <c r="B36" s="55" t="s">
        <v>95</v>
      </c>
      <c r="C36" s="32">
        <v>4301011816</v>
      </c>
      <c r="D36" s="381">
        <v>4680115881426</v>
      </c>
      <c r="E36" s="382"/>
      <c r="F36" s="372">
        <v>1.35</v>
      </c>
      <c r="G36" s="33">
        <v>8</v>
      </c>
      <c r="H36" s="372">
        <v>10.8</v>
      </c>
      <c r="I36" s="372">
        <v>11.21</v>
      </c>
      <c r="J36" s="33">
        <v>64</v>
      </c>
      <c r="K36" s="33" t="s">
        <v>81</v>
      </c>
      <c r="L36" s="33"/>
      <c r="M36" s="34" t="s">
        <v>82</v>
      </c>
      <c r="N36" s="34"/>
      <c r="O36" s="33">
        <v>50</v>
      </c>
      <c r="P36" s="57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36" s="378"/>
      <c r="R36" s="378"/>
      <c r="S36" s="378"/>
      <c r="T36" s="379"/>
      <c r="U36" s="35"/>
      <c r="V36" s="35"/>
      <c r="W36" s="36" t="s">
        <v>71</v>
      </c>
      <c r="X36" s="373">
        <v>100</v>
      </c>
      <c r="Y36" s="374">
        <f t="shared" si="0"/>
        <v>108</v>
      </c>
      <c r="Z36" s="37">
        <f>IFERROR(IF(Y36=0,"",ROUNDUP(Y36/H36,0)*0.01898),"")</f>
        <v>0.1898</v>
      </c>
      <c r="AA36" s="57"/>
      <c r="AB36" s="58"/>
      <c r="AC36" s="80" t="s">
        <v>96</v>
      </c>
      <c r="AG36" s="65"/>
      <c r="AJ36" s="69"/>
      <c r="AK36" s="69">
        <v>0</v>
      </c>
      <c r="BB36" s="81" t="s">
        <v>1</v>
      </c>
      <c r="BM36" s="65">
        <f t="shared" si="1"/>
        <v>103.79629629629629</v>
      </c>
      <c r="BN36" s="65">
        <f t="shared" si="2"/>
        <v>112.1</v>
      </c>
      <c r="BO36" s="65">
        <f t="shared" si="3"/>
        <v>0.14467592592592593</v>
      </c>
      <c r="BP36" s="65">
        <f t="shared" si="4"/>
        <v>0.15625</v>
      </c>
    </row>
    <row r="37" spans="1:68" ht="27" customHeight="1" x14ac:dyDescent="0.25">
      <c r="A37" s="55" t="s">
        <v>97</v>
      </c>
      <c r="B37" s="55" t="s">
        <v>98</v>
      </c>
      <c r="C37" s="32">
        <v>4301011386</v>
      </c>
      <c r="D37" s="381">
        <v>4680115880283</v>
      </c>
      <c r="E37" s="382"/>
      <c r="F37" s="372">
        <v>0.6</v>
      </c>
      <c r="G37" s="33">
        <v>8</v>
      </c>
      <c r="H37" s="372">
        <v>4.8</v>
      </c>
      <c r="I37" s="372">
        <v>4.99</v>
      </c>
      <c r="J37" s="33">
        <v>132</v>
      </c>
      <c r="K37" s="33" t="s">
        <v>86</v>
      </c>
      <c r="L37" s="33"/>
      <c r="M37" s="34" t="s">
        <v>82</v>
      </c>
      <c r="N37" s="34"/>
      <c r="O37" s="33">
        <v>45</v>
      </c>
      <c r="P37" s="52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37" s="378"/>
      <c r="R37" s="378"/>
      <c r="S37" s="378"/>
      <c r="T37" s="379"/>
      <c r="U37" s="35"/>
      <c r="V37" s="35"/>
      <c r="W37" s="36" t="s">
        <v>71</v>
      </c>
      <c r="X37" s="373">
        <v>90</v>
      </c>
      <c r="Y37" s="374">
        <f t="shared" si="0"/>
        <v>91.2</v>
      </c>
      <c r="Z37" s="37">
        <f>IFERROR(IF(Y37=0,"",ROUNDUP(Y37/H37,0)*0.00902),"")</f>
        <v>0.17138</v>
      </c>
      <c r="AA37" s="57"/>
      <c r="AB37" s="58"/>
      <c r="AC37" s="82" t="s">
        <v>99</v>
      </c>
      <c r="AG37" s="65"/>
      <c r="AJ37" s="69"/>
      <c r="AK37" s="69">
        <v>0</v>
      </c>
      <c r="BB37" s="83" t="s">
        <v>1</v>
      </c>
      <c r="BM37" s="65">
        <f t="shared" si="1"/>
        <v>93.562500000000014</v>
      </c>
      <c r="BN37" s="65">
        <f t="shared" si="2"/>
        <v>94.81</v>
      </c>
      <c r="BO37" s="65">
        <f t="shared" si="3"/>
        <v>0.14204545454545456</v>
      </c>
      <c r="BP37" s="65">
        <f t="shared" si="4"/>
        <v>0.14393939393939395</v>
      </c>
    </row>
    <row r="38" spans="1:68" ht="27" customHeight="1" x14ac:dyDescent="0.25">
      <c r="A38" s="55" t="s">
        <v>100</v>
      </c>
      <c r="B38" s="55" t="s">
        <v>101</v>
      </c>
      <c r="C38" s="32">
        <v>4301011806</v>
      </c>
      <c r="D38" s="381">
        <v>4680115881525</v>
      </c>
      <c r="E38" s="382"/>
      <c r="F38" s="372">
        <v>0.4</v>
      </c>
      <c r="G38" s="33">
        <v>10</v>
      </c>
      <c r="H38" s="372">
        <v>4</v>
      </c>
      <c r="I38" s="372">
        <v>4.1900000000000004</v>
      </c>
      <c r="J38" s="33">
        <v>132</v>
      </c>
      <c r="K38" s="33" t="s">
        <v>86</v>
      </c>
      <c r="L38" s="33"/>
      <c r="M38" s="34" t="s">
        <v>82</v>
      </c>
      <c r="N38" s="34"/>
      <c r="O38" s="33">
        <v>50</v>
      </c>
      <c r="P38" s="5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38" s="378"/>
      <c r="R38" s="378"/>
      <c r="S38" s="378"/>
      <c r="T38" s="379"/>
      <c r="U38" s="35"/>
      <c r="V38" s="35"/>
      <c r="W38" s="36" t="s">
        <v>71</v>
      </c>
      <c r="X38" s="373">
        <v>0</v>
      </c>
      <c r="Y38" s="374">
        <f t="shared" si="0"/>
        <v>0</v>
      </c>
      <c r="Z38" s="37" t="str">
        <f>IFERROR(IF(Y38=0,"",ROUNDUP(Y38/H38,0)*0.00902),"")</f>
        <v/>
      </c>
      <c r="AA38" s="57"/>
      <c r="AB38" s="58"/>
      <c r="AC38" s="84" t="s">
        <v>102</v>
      </c>
      <c r="AG38" s="65"/>
      <c r="AJ38" s="69"/>
      <c r="AK38" s="69">
        <v>0</v>
      </c>
      <c r="BB38" s="85" t="s">
        <v>1</v>
      </c>
      <c r="BM38" s="65">
        <f t="shared" si="1"/>
        <v>0</v>
      </c>
      <c r="BN38" s="65">
        <f t="shared" si="2"/>
        <v>0</v>
      </c>
      <c r="BO38" s="65">
        <f t="shared" si="3"/>
        <v>0</v>
      </c>
      <c r="BP38" s="65">
        <f t="shared" si="4"/>
        <v>0</v>
      </c>
    </row>
    <row r="39" spans="1:68" ht="27" customHeight="1" x14ac:dyDescent="0.25">
      <c r="A39" s="55" t="s">
        <v>103</v>
      </c>
      <c r="B39" s="55" t="s">
        <v>104</v>
      </c>
      <c r="C39" s="32">
        <v>4301011589</v>
      </c>
      <c r="D39" s="381">
        <v>4680115885899</v>
      </c>
      <c r="E39" s="382"/>
      <c r="F39" s="372">
        <v>0.35</v>
      </c>
      <c r="G39" s="33">
        <v>6</v>
      </c>
      <c r="H39" s="372">
        <v>2.1</v>
      </c>
      <c r="I39" s="372">
        <v>2.2799999999999998</v>
      </c>
      <c r="J39" s="33">
        <v>182</v>
      </c>
      <c r="K39" s="33" t="s">
        <v>69</v>
      </c>
      <c r="L39" s="33"/>
      <c r="M39" s="34" t="s">
        <v>105</v>
      </c>
      <c r="N39" s="34"/>
      <c r="O39" s="33">
        <v>50</v>
      </c>
      <c r="P39" s="45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39" s="378"/>
      <c r="R39" s="378"/>
      <c r="S39" s="378"/>
      <c r="T39" s="379"/>
      <c r="U39" s="35"/>
      <c r="V39" s="35"/>
      <c r="W39" s="36" t="s">
        <v>71</v>
      </c>
      <c r="X39" s="373">
        <v>0</v>
      </c>
      <c r="Y39" s="374">
        <f t="shared" si="0"/>
        <v>0</v>
      </c>
      <c r="Z39" s="37" t="str">
        <f>IFERROR(IF(Y39=0,"",ROUNDUP(Y39/H39,0)*0.00651),"")</f>
        <v/>
      </c>
      <c r="AA39" s="57"/>
      <c r="AB39" s="58"/>
      <c r="AC39" s="86" t="s">
        <v>106</v>
      </c>
      <c r="AG39" s="65"/>
      <c r="AJ39" s="69"/>
      <c r="AK39" s="69">
        <v>0</v>
      </c>
      <c r="BB39" s="87" t="s">
        <v>1</v>
      </c>
      <c r="BM39" s="65">
        <f t="shared" si="1"/>
        <v>0</v>
      </c>
      <c r="BN39" s="65">
        <f t="shared" si="2"/>
        <v>0</v>
      </c>
      <c r="BO39" s="65">
        <f t="shared" si="3"/>
        <v>0</v>
      </c>
      <c r="BP39" s="65">
        <f t="shared" si="4"/>
        <v>0</v>
      </c>
    </row>
    <row r="40" spans="1:68" ht="37.5" customHeight="1" x14ac:dyDescent="0.25">
      <c r="A40" s="55" t="s">
        <v>107</v>
      </c>
      <c r="B40" s="55" t="s">
        <v>108</v>
      </c>
      <c r="C40" s="32">
        <v>4301011801</v>
      </c>
      <c r="D40" s="381">
        <v>4680115881419</v>
      </c>
      <c r="E40" s="382"/>
      <c r="F40" s="372">
        <v>0.45</v>
      </c>
      <c r="G40" s="33">
        <v>10</v>
      </c>
      <c r="H40" s="372">
        <v>4.5</v>
      </c>
      <c r="I40" s="372">
        <v>4.6900000000000004</v>
      </c>
      <c r="J40" s="33">
        <v>132</v>
      </c>
      <c r="K40" s="33" t="s">
        <v>86</v>
      </c>
      <c r="L40" s="33"/>
      <c r="M40" s="34" t="s">
        <v>82</v>
      </c>
      <c r="N40" s="34"/>
      <c r="O40" s="33">
        <v>50</v>
      </c>
      <c r="P40" s="5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40" s="378"/>
      <c r="R40" s="378"/>
      <c r="S40" s="378"/>
      <c r="T40" s="379"/>
      <c r="U40" s="35"/>
      <c r="V40" s="35"/>
      <c r="W40" s="36" t="s">
        <v>71</v>
      </c>
      <c r="X40" s="373">
        <v>135</v>
      </c>
      <c r="Y40" s="374">
        <f t="shared" si="0"/>
        <v>135</v>
      </c>
      <c r="Z40" s="37">
        <f>IFERROR(IF(Y40=0,"",ROUNDUP(Y40/H40,0)*0.00902),"")</f>
        <v>0.27060000000000001</v>
      </c>
      <c r="AA40" s="57"/>
      <c r="AB40" s="58"/>
      <c r="AC40" s="88" t="s">
        <v>109</v>
      </c>
      <c r="AG40" s="65"/>
      <c r="AJ40" s="69"/>
      <c r="AK40" s="69">
        <v>0</v>
      </c>
      <c r="BB40" s="89" t="s">
        <v>1</v>
      </c>
      <c r="BM40" s="65">
        <f t="shared" si="1"/>
        <v>140.70000000000002</v>
      </c>
      <c r="BN40" s="65">
        <f t="shared" si="2"/>
        <v>140.70000000000002</v>
      </c>
      <c r="BO40" s="65">
        <f t="shared" si="3"/>
        <v>0.22727272727272729</v>
      </c>
      <c r="BP40" s="65">
        <f t="shared" si="4"/>
        <v>0.22727272727272729</v>
      </c>
    </row>
    <row r="41" spans="1:68" x14ac:dyDescent="0.2">
      <c r="A41" s="391"/>
      <c r="B41" s="384"/>
      <c r="C41" s="384"/>
      <c r="D41" s="384"/>
      <c r="E41" s="384"/>
      <c r="F41" s="384"/>
      <c r="G41" s="384"/>
      <c r="H41" s="384"/>
      <c r="I41" s="384"/>
      <c r="J41" s="384"/>
      <c r="K41" s="384"/>
      <c r="L41" s="384"/>
      <c r="M41" s="384"/>
      <c r="N41" s="384"/>
      <c r="O41" s="392"/>
      <c r="P41" s="387" t="s">
        <v>74</v>
      </c>
      <c r="Q41" s="388"/>
      <c r="R41" s="388"/>
      <c r="S41" s="388"/>
      <c r="T41" s="388"/>
      <c r="U41" s="388"/>
      <c r="V41" s="389"/>
      <c r="W41" s="38" t="s">
        <v>75</v>
      </c>
      <c r="X41" s="375">
        <f>IFERROR(X35/H35,"0")+IFERROR(X36/H36,"0")+IFERROR(X37/H37,"0")+IFERROR(X38/H38,"0")+IFERROR(X39/H39,"0")+IFERROR(X40/H40,"0")</f>
        <v>58.00925925925926</v>
      </c>
      <c r="Y41" s="375">
        <f>IFERROR(Y35/H35,"0")+IFERROR(Y36/H36,"0")+IFERROR(Y37/H37,"0")+IFERROR(Y38/H38,"0")+IFERROR(Y39/H39,"0")+IFERROR(Y40/H40,"0")</f>
        <v>59</v>
      </c>
      <c r="Z41" s="375">
        <f>IFERROR(IF(Z35="",0,Z35),"0")+IFERROR(IF(Z36="",0,Z36),"0")+IFERROR(IF(Z37="",0,Z37),"0")+IFERROR(IF(Z38="",0,Z38),"0")+IFERROR(IF(Z39="",0,Z39),"0")+IFERROR(IF(Z40="",0,Z40),"0")</f>
        <v>0.63178000000000001</v>
      </c>
      <c r="AA41" s="376"/>
      <c r="AB41" s="376"/>
      <c r="AC41" s="376"/>
    </row>
    <row r="42" spans="1:68" x14ac:dyDescent="0.2">
      <c r="A42" s="384"/>
      <c r="B42" s="384"/>
      <c r="C42" s="384"/>
      <c r="D42" s="384"/>
      <c r="E42" s="384"/>
      <c r="F42" s="384"/>
      <c r="G42" s="384"/>
      <c r="H42" s="384"/>
      <c r="I42" s="384"/>
      <c r="J42" s="384"/>
      <c r="K42" s="384"/>
      <c r="L42" s="384"/>
      <c r="M42" s="384"/>
      <c r="N42" s="384"/>
      <c r="O42" s="392"/>
      <c r="P42" s="387" t="s">
        <v>74</v>
      </c>
      <c r="Q42" s="388"/>
      <c r="R42" s="388"/>
      <c r="S42" s="388"/>
      <c r="T42" s="388"/>
      <c r="U42" s="388"/>
      <c r="V42" s="389"/>
      <c r="W42" s="38" t="s">
        <v>71</v>
      </c>
      <c r="X42" s="375">
        <f>IFERROR(SUM(X35:X40),"0")</f>
        <v>325</v>
      </c>
      <c r="Y42" s="375">
        <f>IFERROR(SUM(Y35:Y40),"0")</f>
        <v>334.2</v>
      </c>
      <c r="Z42" s="38"/>
      <c r="AA42" s="376"/>
      <c r="AB42" s="376"/>
      <c r="AC42" s="376"/>
    </row>
    <row r="43" spans="1:68" ht="14.25" customHeight="1" x14ac:dyDescent="0.25">
      <c r="A43" s="383" t="s">
        <v>110</v>
      </c>
      <c r="B43" s="384"/>
      <c r="C43" s="384"/>
      <c r="D43" s="384"/>
      <c r="E43" s="384"/>
      <c r="F43" s="384"/>
      <c r="G43" s="384"/>
      <c r="H43" s="384"/>
      <c r="I43" s="384"/>
      <c r="J43" s="384"/>
      <c r="K43" s="384"/>
      <c r="L43" s="384"/>
      <c r="M43" s="384"/>
      <c r="N43" s="384"/>
      <c r="O43" s="384"/>
      <c r="P43" s="384"/>
      <c r="Q43" s="384"/>
      <c r="R43" s="384"/>
      <c r="S43" s="384"/>
      <c r="T43" s="384"/>
      <c r="U43" s="384"/>
      <c r="V43" s="384"/>
      <c r="W43" s="384"/>
      <c r="X43" s="384"/>
      <c r="Y43" s="384"/>
      <c r="Z43" s="384"/>
      <c r="AA43" s="368"/>
      <c r="AB43" s="368"/>
      <c r="AC43" s="368"/>
    </row>
    <row r="44" spans="1:68" ht="16.5" customHeight="1" x14ac:dyDescent="0.25">
      <c r="A44" s="55" t="s">
        <v>111</v>
      </c>
      <c r="B44" s="55" t="s">
        <v>112</v>
      </c>
      <c r="C44" s="32">
        <v>4301020298</v>
      </c>
      <c r="D44" s="381">
        <v>4680115881440</v>
      </c>
      <c r="E44" s="382"/>
      <c r="F44" s="372">
        <v>1.35</v>
      </c>
      <c r="G44" s="33">
        <v>8</v>
      </c>
      <c r="H44" s="372">
        <v>10.8</v>
      </c>
      <c r="I44" s="372">
        <v>11.21</v>
      </c>
      <c r="J44" s="33">
        <v>64</v>
      </c>
      <c r="K44" s="33" t="s">
        <v>81</v>
      </c>
      <c r="L44" s="33"/>
      <c r="M44" s="34" t="s">
        <v>82</v>
      </c>
      <c r="N44" s="34"/>
      <c r="O44" s="33">
        <v>50</v>
      </c>
      <c r="P44" s="43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44" s="378"/>
      <c r="R44" s="378"/>
      <c r="S44" s="378"/>
      <c r="T44" s="379"/>
      <c r="U44" s="35"/>
      <c r="V44" s="35"/>
      <c r="W44" s="36" t="s">
        <v>71</v>
      </c>
      <c r="X44" s="373">
        <v>0</v>
      </c>
      <c r="Y44" s="374">
        <f>IFERROR(IF(X44="",0,CEILING((X44/$H44),1)*$H44),"")</f>
        <v>0</v>
      </c>
      <c r="Z44" s="37" t="str">
        <f>IFERROR(IF(Y44=0,"",ROUNDUP(Y44/H44,0)*0.01898),"")</f>
        <v/>
      </c>
      <c r="AA44" s="57"/>
      <c r="AB44" s="58"/>
      <c r="AC44" s="90" t="s">
        <v>113</v>
      </c>
      <c r="AG44" s="65"/>
      <c r="AJ44" s="69"/>
      <c r="AK44" s="69">
        <v>0</v>
      </c>
      <c r="BB44" s="91" t="s">
        <v>1</v>
      </c>
      <c r="BM44" s="65">
        <f>IFERROR(X44*I44/H44,"0")</f>
        <v>0</v>
      </c>
      <c r="BN44" s="65">
        <f>IFERROR(Y44*I44/H44,"0")</f>
        <v>0</v>
      </c>
      <c r="BO44" s="65">
        <f>IFERROR(1/J44*(X44/H44),"0")</f>
        <v>0</v>
      </c>
      <c r="BP44" s="65">
        <f>IFERROR(1/J44*(Y44/H44),"0")</f>
        <v>0</v>
      </c>
    </row>
    <row r="45" spans="1:68" ht="16.5" customHeight="1" x14ac:dyDescent="0.25">
      <c r="A45" s="55" t="s">
        <v>114</v>
      </c>
      <c r="B45" s="55" t="s">
        <v>115</v>
      </c>
      <c r="C45" s="32">
        <v>4301020358</v>
      </c>
      <c r="D45" s="381">
        <v>4680115885950</v>
      </c>
      <c r="E45" s="382"/>
      <c r="F45" s="372">
        <v>0.37</v>
      </c>
      <c r="G45" s="33">
        <v>6</v>
      </c>
      <c r="H45" s="372">
        <v>2.2200000000000002</v>
      </c>
      <c r="I45" s="372">
        <v>2.4</v>
      </c>
      <c r="J45" s="33">
        <v>182</v>
      </c>
      <c r="K45" s="33" t="s">
        <v>69</v>
      </c>
      <c r="L45" s="33"/>
      <c r="M45" s="34" t="s">
        <v>87</v>
      </c>
      <c r="N45" s="34"/>
      <c r="O45" s="33">
        <v>50</v>
      </c>
      <c r="P45" s="5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45" s="378"/>
      <c r="R45" s="378"/>
      <c r="S45" s="378"/>
      <c r="T45" s="379"/>
      <c r="U45" s="35"/>
      <c r="V45" s="35"/>
      <c r="W45" s="36" t="s">
        <v>71</v>
      </c>
      <c r="X45" s="373">
        <v>0</v>
      </c>
      <c r="Y45" s="374">
        <f>IFERROR(IF(X45="",0,CEILING((X45/$H45),1)*$H45),"")</f>
        <v>0</v>
      </c>
      <c r="Z45" s="37" t="str">
        <f>IFERROR(IF(Y45=0,"",ROUNDUP(Y45/H45,0)*0.00651),"")</f>
        <v/>
      </c>
      <c r="AA45" s="57"/>
      <c r="AB45" s="58"/>
      <c r="AC45" s="92" t="s">
        <v>113</v>
      </c>
      <c r="AG45" s="65"/>
      <c r="AJ45" s="69"/>
      <c r="AK45" s="69">
        <v>0</v>
      </c>
      <c r="BB45" s="93" t="s">
        <v>1</v>
      </c>
      <c r="BM45" s="65">
        <f>IFERROR(X45*I45/H45,"0")</f>
        <v>0</v>
      </c>
      <c r="BN45" s="65">
        <f>IFERROR(Y45*I45/H45,"0")</f>
        <v>0</v>
      </c>
      <c r="BO45" s="65">
        <f>IFERROR(1/J45*(X45/H45),"0")</f>
        <v>0</v>
      </c>
      <c r="BP45" s="65">
        <f>IFERROR(1/J45*(Y45/H45),"0")</f>
        <v>0</v>
      </c>
    </row>
    <row r="46" spans="1:68" ht="27" customHeight="1" x14ac:dyDescent="0.25">
      <c r="A46" s="55" t="s">
        <v>116</v>
      </c>
      <c r="B46" s="55" t="s">
        <v>117</v>
      </c>
      <c r="C46" s="32">
        <v>4301020296</v>
      </c>
      <c r="D46" s="381">
        <v>4680115881433</v>
      </c>
      <c r="E46" s="382"/>
      <c r="F46" s="372">
        <v>0.45</v>
      </c>
      <c r="G46" s="33">
        <v>6</v>
      </c>
      <c r="H46" s="372">
        <v>2.7</v>
      </c>
      <c r="I46" s="372">
        <v>2.88</v>
      </c>
      <c r="J46" s="33">
        <v>182</v>
      </c>
      <c r="K46" s="33" t="s">
        <v>69</v>
      </c>
      <c r="L46" s="33"/>
      <c r="M46" s="34" t="s">
        <v>82</v>
      </c>
      <c r="N46" s="34"/>
      <c r="O46" s="33">
        <v>50</v>
      </c>
      <c r="P46" s="5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46" s="378"/>
      <c r="R46" s="378"/>
      <c r="S46" s="378"/>
      <c r="T46" s="379"/>
      <c r="U46" s="35"/>
      <c r="V46" s="35"/>
      <c r="W46" s="36" t="s">
        <v>71</v>
      </c>
      <c r="X46" s="373">
        <v>0</v>
      </c>
      <c r="Y46" s="374">
        <f>IFERROR(IF(X46="",0,CEILING((X46/$H46),1)*$H46),"")</f>
        <v>0</v>
      </c>
      <c r="Z46" s="37" t="str">
        <f>IFERROR(IF(Y46=0,"",ROUNDUP(Y46/H46,0)*0.00651),"")</f>
        <v/>
      </c>
      <c r="AA46" s="57"/>
      <c r="AB46" s="58"/>
      <c r="AC46" s="94" t="s">
        <v>113</v>
      </c>
      <c r="AG46" s="65"/>
      <c r="AJ46" s="69"/>
      <c r="AK46" s="69">
        <v>0</v>
      </c>
      <c r="BB46" s="95" t="s">
        <v>1</v>
      </c>
      <c r="BM46" s="65">
        <f>IFERROR(X46*I46/H46,"0")</f>
        <v>0</v>
      </c>
      <c r="BN46" s="65">
        <f>IFERROR(Y46*I46/H46,"0")</f>
        <v>0</v>
      </c>
      <c r="BO46" s="65">
        <f>IFERROR(1/J46*(X46/H46),"0")</f>
        <v>0</v>
      </c>
      <c r="BP46" s="65">
        <f>IFERROR(1/J46*(Y46/H46),"0")</f>
        <v>0</v>
      </c>
    </row>
    <row r="47" spans="1:68" x14ac:dyDescent="0.2">
      <c r="A47" s="391"/>
      <c r="B47" s="384"/>
      <c r="C47" s="384"/>
      <c r="D47" s="384"/>
      <c r="E47" s="384"/>
      <c r="F47" s="384"/>
      <c r="G47" s="384"/>
      <c r="H47" s="384"/>
      <c r="I47" s="384"/>
      <c r="J47" s="384"/>
      <c r="K47" s="384"/>
      <c r="L47" s="384"/>
      <c r="M47" s="384"/>
      <c r="N47" s="384"/>
      <c r="O47" s="392"/>
      <c r="P47" s="387" t="s">
        <v>74</v>
      </c>
      <c r="Q47" s="388"/>
      <c r="R47" s="388"/>
      <c r="S47" s="388"/>
      <c r="T47" s="388"/>
      <c r="U47" s="388"/>
      <c r="V47" s="389"/>
      <c r="W47" s="38" t="s">
        <v>75</v>
      </c>
      <c r="X47" s="375">
        <f>IFERROR(X44/H44,"0")+IFERROR(X45/H45,"0")+IFERROR(X46/H46,"0")</f>
        <v>0</v>
      </c>
      <c r="Y47" s="375">
        <f>IFERROR(Y44/H44,"0")+IFERROR(Y45/H45,"0")+IFERROR(Y46/H46,"0")</f>
        <v>0</v>
      </c>
      <c r="Z47" s="375">
        <f>IFERROR(IF(Z44="",0,Z44),"0")+IFERROR(IF(Z45="",0,Z45),"0")+IFERROR(IF(Z46="",0,Z46),"0")</f>
        <v>0</v>
      </c>
      <c r="AA47" s="376"/>
      <c r="AB47" s="376"/>
      <c r="AC47" s="376"/>
    </row>
    <row r="48" spans="1:68" x14ac:dyDescent="0.2">
      <c r="A48" s="384"/>
      <c r="B48" s="384"/>
      <c r="C48" s="384"/>
      <c r="D48" s="384"/>
      <c r="E48" s="384"/>
      <c r="F48" s="384"/>
      <c r="G48" s="384"/>
      <c r="H48" s="384"/>
      <c r="I48" s="384"/>
      <c r="J48" s="384"/>
      <c r="K48" s="384"/>
      <c r="L48" s="384"/>
      <c r="M48" s="384"/>
      <c r="N48" s="384"/>
      <c r="O48" s="392"/>
      <c r="P48" s="387" t="s">
        <v>74</v>
      </c>
      <c r="Q48" s="388"/>
      <c r="R48" s="388"/>
      <c r="S48" s="388"/>
      <c r="T48" s="388"/>
      <c r="U48" s="388"/>
      <c r="V48" s="389"/>
      <c r="W48" s="38" t="s">
        <v>71</v>
      </c>
      <c r="X48" s="375">
        <f>IFERROR(SUM(X44:X46),"0")</f>
        <v>0</v>
      </c>
      <c r="Y48" s="375">
        <f>IFERROR(SUM(Y44:Y46),"0")</f>
        <v>0</v>
      </c>
      <c r="Z48" s="38"/>
      <c r="AA48" s="376"/>
      <c r="AB48" s="376"/>
      <c r="AC48" s="376"/>
    </row>
    <row r="49" spans="1:68" ht="14.25" customHeight="1" x14ac:dyDescent="0.25">
      <c r="A49" s="383" t="s">
        <v>118</v>
      </c>
      <c r="B49" s="384"/>
      <c r="C49" s="384"/>
      <c r="D49" s="384"/>
      <c r="E49" s="384"/>
      <c r="F49" s="384"/>
      <c r="G49" s="384"/>
      <c r="H49" s="384"/>
      <c r="I49" s="384"/>
      <c r="J49" s="384"/>
      <c r="K49" s="384"/>
      <c r="L49" s="384"/>
      <c r="M49" s="384"/>
      <c r="N49" s="384"/>
      <c r="O49" s="384"/>
      <c r="P49" s="384"/>
      <c r="Q49" s="384"/>
      <c r="R49" s="384"/>
      <c r="S49" s="384"/>
      <c r="T49" s="384"/>
      <c r="U49" s="384"/>
      <c r="V49" s="384"/>
      <c r="W49" s="384"/>
      <c r="X49" s="384"/>
      <c r="Y49" s="384"/>
      <c r="Z49" s="384"/>
      <c r="AA49" s="368"/>
      <c r="AB49" s="368"/>
      <c r="AC49" s="368"/>
    </row>
    <row r="50" spans="1:68" ht="27" customHeight="1" x14ac:dyDescent="0.25">
      <c r="A50" s="55" t="s">
        <v>119</v>
      </c>
      <c r="B50" s="55" t="s">
        <v>120</v>
      </c>
      <c r="C50" s="32">
        <v>4301060455</v>
      </c>
      <c r="D50" s="381">
        <v>4680115881532</v>
      </c>
      <c r="E50" s="382"/>
      <c r="F50" s="372">
        <v>1.3</v>
      </c>
      <c r="G50" s="33">
        <v>6</v>
      </c>
      <c r="H50" s="372">
        <v>7.8</v>
      </c>
      <c r="I50" s="372">
        <v>8.2100000000000009</v>
      </c>
      <c r="J50" s="33">
        <v>64</v>
      </c>
      <c r="K50" s="33" t="s">
        <v>81</v>
      </c>
      <c r="L50" s="33"/>
      <c r="M50" s="34" t="s">
        <v>105</v>
      </c>
      <c r="N50" s="34"/>
      <c r="O50" s="33">
        <v>30</v>
      </c>
      <c r="P50" s="4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50" s="378"/>
      <c r="R50" s="378"/>
      <c r="S50" s="378"/>
      <c r="T50" s="379"/>
      <c r="U50" s="35"/>
      <c r="V50" s="35"/>
      <c r="W50" s="36" t="s">
        <v>71</v>
      </c>
      <c r="X50" s="373">
        <v>0</v>
      </c>
      <c r="Y50" s="374">
        <f>IFERROR(IF(X50="",0,CEILING((X50/$H50),1)*$H50),"")</f>
        <v>0</v>
      </c>
      <c r="Z50" s="37" t="str">
        <f>IFERROR(IF(Y50=0,"",ROUNDUP(Y50/H50,0)*0.01898),"")</f>
        <v/>
      </c>
      <c r="AA50" s="57"/>
      <c r="AB50" s="58"/>
      <c r="AC50" s="96" t="s">
        <v>121</v>
      </c>
      <c r="AG50" s="65"/>
      <c r="AJ50" s="69"/>
      <c r="AK50" s="69">
        <v>0</v>
      </c>
      <c r="BB50" s="97" t="s">
        <v>1</v>
      </c>
      <c r="BM50" s="65">
        <f>IFERROR(X50*I50/H50,"0")</f>
        <v>0</v>
      </c>
      <c r="BN50" s="65">
        <f>IFERROR(Y50*I50/H50,"0")</f>
        <v>0</v>
      </c>
      <c r="BO50" s="65">
        <f>IFERROR(1/J50*(X50/H50),"0")</f>
        <v>0</v>
      </c>
      <c r="BP50" s="65">
        <f>IFERROR(1/J50*(Y50/H50),"0")</f>
        <v>0</v>
      </c>
    </row>
    <row r="51" spans="1:68" ht="27" customHeight="1" x14ac:dyDescent="0.25">
      <c r="A51" s="55" t="s">
        <v>122</v>
      </c>
      <c r="B51" s="55" t="s">
        <v>123</v>
      </c>
      <c r="C51" s="32">
        <v>4301060351</v>
      </c>
      <c r="D51" s="381">
        <v>4680115881464</v>
      </c>
      <c r="E51" s="382"/>
      <c r="F51" s="372">
        <v>0.4</v>
      </c>
      <c r="G51" s="33">
        <v>6</v>
      </c>
      <c r="H51" s="372">
        <v>2.4</v>
      </c>
      <c r="I51" s="372">
        <v>2.59</v>
      </c>
      <c r="J51" s="33">
        <v>132</v>
      </c>
      <c r="K51" s="33" t="s">
        <v>86</v>
      </c>
      <c r="L51" s="33"/>
      <c r="M51" s="34" t="s">
        <v>87</v>
      </c>
      <c r="N51" s="34"/>
      <c r="O51" s="33">
        <v>30</v>
      </c>
      <c r="P51" s="5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51" s="378"/>
      <c r="R51" s="378"/>
      <c r="S51" s="378"/>
      <c r="T51" s="379"/>
      <c r="U51" s="35"/>
      <c r="V51" s="35"/>
      <c r="W51" s="36" t="s">
        <v>71</v>
      </c>
      <c r="X51" s="373">
        <v>0</v>
      </c>
      <c r="Y51" s="374">
        <f>IFERROR(IF(X51="",0,CEILING((X51/$H51),1)*$H51),"")</f>
        <v>0</v>
      </c>
      <c r="Z51" s="37" t="str">
        <f>IFERROR(IF(Y51=0,"",ROUNDUP(Y51/H51,0)*0.00902),"")</f>
        <v/>
      </c>
      <c r="AA51" s="57"/>
      <c r="AB51" s="58"/>
      <c r="AC51" s="98" t="s">
        <v>124</v>
      </c>
      <c r="AG51" s="65"/>
      <c r="AJ51" s="69"/>
      <c r="AK51" s="69">
        <v>0</v>
      </c>
      <c r="BB51" s="99" t="s">
        <v>1</v>
      </c>
      <c r="BM51" s="65">
        <f>IFERROR(X51*I51/H51,"0")</f>
        <v>0</v>
      </c>
      <c r="BN51" s="65">
        <f>IFERROR(Y51*I51/H51,"0")</f>
        <v>0</v>
      </c>
      <c r="BO51" s="65">
        <f>IFERROR(1/J51*(X51/H51),"0")</f>
        <v>0</v>
      </c>
      <c r="BP51" s="65">
        <f>IFERROR(1/J51*(Y51/H51),"0")</f>
        <v>0</v>
      </c>
    </row>
    <row r="52" spans="1:68" x14ac:dyDescent="0.2">
      <c r="A52" s="391"/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92"/>
      <c r="P52" s="387" t="s">
        <v>74</v>
      </c>
      <c r="Q52" s="388"/>
      <c r="R52" s="388"/>
      <c r="S52" s="388"/>
      <c r="T52" s="388"/>
      <c r="U52" s="388"/>
      <c r="V52" s="389"/>
      <c r="W52" s="38" t="s">
        <v>75</v>
      </c>
      <c r="X52" s="375">
        <f>IFERROR(X50/H50,"0")+IFERROR(X51/H51,"0")</f>
        <v>0</v>
      </c>
      <c r="Y52" s="375">
        <f>IFERROR(Y50/H50,"0")+IFERROR(Y51/H51,"0")</f>
        <v>0</v>
      </c>
      <c r="Z52" s="375">
        <f>IFERROR(IF(Z50="",0,Z50),"0")+IFERROR(IF(Z51="",0,Z51),"0")</f>
        <v>0</v>
      </c>
      <c r="AA52" s="376"/>
      <c r="AB52" s="376"/>
      <c r="AC52" s="376"/>
    </row>
    <row r="53" spans="1:68" x14ac:dyDescent="0.2">
      <c r="A53" s="384"/>
      <c r="B53" s="384"/>
      <c r="C53" s="384"/>
      <c r="D53" s="384"/>
      <c r="E53" s="384"/>
      <c r="F53" s="384"/>
      <c r="G53" s="384"/>
      <c r="H53" s="384"/>
      <c r="I53" s="384"/>
      <c r="J53" s="384"/>
      <c r="K53" s="384"/>
      <c r="L53" s="384"/>
      <c r="M53" s="384"/>
      <c r="N53" s="384"/>
      <c r="O53" s="392"/>
      <c r="P53" s="387" t="s">
        <v>74</v>
      </c>
      <c r="Q53" s="388"/>
      <c r="R53" s="388"/>
      <c r="S53" s="388"/>
      <c r="T53" s="388"/>
      <c r="U53" s="388"/>
      <c r="V53" s="389"/>
      <c r="W53" s="38" t="s">
        <v>71</v>
      </c>
      <c r="X53" s="375">
        <f>IFERROR(SUM(X50:X51),"0")</f>
        <v>0</v>
      </c>
      <c r="Y53" s="375">
        <f>IFERROR(SUM(Y50:Y51),"0")</f>
        <v>0</v>
      </c>
      <c r="Z53" s="38"/>
      <c r="AA53" s="376"/>
      <c r="AB53" s="376"/>
      <c r="AC53" s="376"/>
    </row>
    <row r="54" spans="1:68" ht="16.5" customHeight="1" x14ac:dyDescent="0.25">
      <c r="A54" s="419" t="s">
        <v>125</v>
      </c>
      <c r="B54" s="384"/>
      <c r="C54" s="384"/>
      <c r="D54" s="384"/>
      <c r="E54" s="384"/>
      <c r="F54" s="384"/>
      <c r="G54" s="384"/>
      <c r="H54" s="384"/>
      <c r="I54" s="384"/>
      <c r="J54" s="384"/>
      <c r="K54" s="384"/>
      <c r="L54" s="384"/>
      <c r="M54" s="384"/>
      <c r="N54" s="384"/>
      <c r="O54" s="384"/>
      <c r="P54" s="384"/>
      <c r="Q54" s="384"/>
      <c r="R54" s="384"/>
      <c r="S54" s="384"/>
      <c r="T54" s="384"/>
      <c r="U54" s="384"/>
      <c r="V54" s="384"/>
      <c r="W54" s="384"/>
      <c r="X54" s="384"/>
      <c r="Y54" s="384"/>
      <c r="Z54" s="384"/>
      <c r="AA54" s="369"/>
      <c r="AB54" s="369"/>
      <c r="AC54" s="369"/>
    </row>
    <row r="55" spans="1:68" ht="14.25" customHeight="1" x14ac:dyDescent="0.25">
      <c r="A55" s="383" t="s">
        <v>78</v>
      </c>
      <c r="B55" s="384"/>
      <c r="C55" s="384"/>
      <c r="D55" s="384"/>
      <c r="E55" s="384"/>
      <c r="F55" s="384"/>
      <c r="G55" s="384"/>
      <c r="H55" s="384"/>
      <c r="I55" s="384"/>
      <c r="J55" s="384"/>
      <c r="K55" s="384"/>
      <c r="L55" s="384"/>
      <c r="M55" s="384"/>
      <c r="N55" s="384"/>
      <c r="O55" s="384"/>
      <c r="P55" s="384"/>
      <c r="Q55" s="384"/>
      <c r="R55" s="384"/>
      <c r="S55" s="384"/>
      <c r="T55" s="384"/>
      <c r="U55" s="384"/>
      <c r="V55" s="384"/>
      <c r="W55" s="384"/>
      <c r="X55" s="384"/>
      <c r="Y55" s="384"/>
      <c r="Z55" s="384"/>
      <c r="AA55" s="368"/>
      <c r="AB55" s="368"/>
      <c r="AC55" s="368"/>
    </row>
    <row r="56" spans="1:68" ht="27" customHeight="1" x14ac:dyDescent="0.25">
      <c r="A56" s="55" t="s">
        <v>126</v>
      </c>
      <c r="B56" s="55" t="s">
        <v>127</v>
      </c>
      <c r="C56" s="32">
        <v>4301011468</v>
      </c>
      <c r="D56" s="381">
        <v>4680115881327</v>
      </c>
      <c r="E56" s="382"/>
      <c r="F56" s="372">
        <v>1.35</v>
      </c>
      <c r="G56" s="33">
        <v>8</v>
      </c>
      <c r="H56" s="372">
        <v>10.8</v>
      </c>
      <c r="I56" s="372">
        <v>11.21</v>
      </c>
      <c r="J56" s="33">
        <v>64</v>
      </c>
      <c r="K56" s="33" t="s">
        <v>81</v>
      </c>
      <c r="L56" s="33"/>
      <c r="M56" s="34" t="s">
        <v>105</v>
      </c>
      <c r="N56" s="34"/>
      <c r="O56" s="33">
        <v>50</v>
      </c>
      <c r="P56" s="41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56" s="378"/>
      <c r="R56" s="378"/>
      <c r="S56" s="378"/>
      <c r="T56" s="379"/>
      <c r="U56" s="35"/>
      <c r="V56" s="35"/>
      <c r="W56" s="36" t="s">
        <v>71</v>
      </c>
      <c r="X56" s="373">
        <v>100</v>
      </c>
      <c r="Y56" s="374">
        <f>IFERROR(IF(X56="",0,CEILING((X56/$H56),1)*$H56),"")</f>
        <v>108</v>
      </c>
      <c r="Z56" s="37">
        <f>IFERROR(IF(Y56=0,"",ROUNDUP(Y56/H56,0)*0.01898),"")</f>
        <v>0.1898</v>
      </c>
      <c r="AA56" s="57"/>
      <c r="AB56" s="58"/>
      <c r="AC56" s="100" t="s">
        <v>128</v>
      </c>
      <c r="AG56" s="65"/>
      <c r="AJ56" s="69"/>
      <c r="AK56" s="69">
        <v>0</v>
      </c>
      <c r="BB56" s="101" t="s">
        <v>1</v>
      </c>
      <c r="BM56" s="65">
        <f>IFERROR(X56*I56/H56,"0")</f>
        <v>103.79629629629629</v>
      </c>
      <c r="BN56" s="65">
        <f>IFERROR(Y56*I56/H56,"0")</f>
        <v>112.1</v>
      </c>
      <c r="BO56" s="65">
        <f>IFERROR(1/J56*(X56/H56),"0")</f>
        <v>0.14467592592592593</v>
      </c>
      <c r="BP56" s="65">
        <f>IFERROR(1/J56*(Y56/H56),"0")</f>
        <v>0.15625</v>
      </c>
    </row>
    <row r="57" spans="1:68" ht="27" customHeight="1" x14ac:dyDescent="0.25">
      <c r="A57" s="55" t="s">
        <v>129</v>
      </c>
      <c r="B57" s="55" t="s">
        <v>130</v>
      </c>
      <c r="C57" s="32">
        <v>4301011476</v>
      </c>
      <c r="D57" s="381">
        <v>4680115881518</v>
      </c>
      <c r="E57" s="382"/>
      <c r="F57" s="372">
        <v>0.4</v>
      </c>
      <c r="G57" s="33">
        <v>10</v>
      </c>
      <c r="H57" s="372">
        <v>4</v>
      </c>
      <c r="I57" s="372">
        <v>4.1900000000000004</v>
      </c>
      <c r="J57" s="33">
        <v>132</v>
      </c>
      <c r="K57" s="33" t="s">
        <v>86</v>
      </c>
      <c r="L57" s="33"/>
      <c r="M57" s="34" t="s">
        <v>87</v>
      </c>
      <c r="N57" s="34"/>
      <c r="O57" s="33">
        <v>50</v>
      </c>
      <c r="P57" s="59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57" s="378"/>
      <c r="R57" s="378"/>
      <c r="S57" s="378"/>
      <c r="T57" s="379"/>
      <c r="U57" s="35"/>
      <c r="V57" s="35"/>
      <c r="W57" s="36" t="s">
        <v>71</v>
      </c>
      <c r="X57" s="373">
        <v>0</v>
      </c>
      <c r="Y57" s="374">
        <f>IFERROR(IF(X57="",0,CEILING((X57/$H57),1)*$H57),"")</f>
        <v>0</v>
      </c>
      <c r="Z57" s="37" t="str">
        <f>IFERROR(IF(Y57=0,"",ROUNDUP(Y57/H57,0)*0.00902),"")</f>
        <v/>
      </c>
      <c r="AA57" s="57"/>
      <c r="AB57" s="58"/>
      <c r="AC57" s="102" t="s">
        <v>128</v>
      </c>
      <c r="AG57" s="65"/>
      <c r="AJ57" s="69"/>
      <c r="AK57" s="69">
        <v>0</v>
      </c>
      <c r="BB57" s="103" t="s">
        <v>1</v>
      </c>
      <c r="BM57" s="65">
        <f>IFERROR(X57*I57/H57,"0")</f>
        <v>0</v>
      </c>
      <c r="BN57" s="65">
        <f>IFERROR(Y57*I57/H57,"0")</f>
        <v>0</v>
      </c>
      <c r="BO57" s="65">
        <f>IFERROR(1/J57*(X57/H57),"0")</f>
        <v>0</v>
      </c>
      <c r="BP57" s="65">
        <f>IFERROR(1/J57*(Y57/H57),"0")</f>
        <v>0</v>
      </c>
    </row>
    <row r="58" spans="1:68" x14ac:dyDescent="0.2">
      <c r="A58" s="391"/>
      <c r="B58" s="384"/>
      <c r="C58" s="384"/>
      <c r="D58" s="384"/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92"/>
      <c r="P58" s="387" t="s">
        <v>74</v>
      </c>
      <c r="Q58" s="388"/>
      <c r="R58" s="388"/>
      <c r="S58" s="388"/>
      <c r="T58" s="388"/>
      <c r="U58" s="388"/>
      <c r="V58" s="389"/>
      <c r="W58" s="38" t="s">
        <v>75</v>
      </c>
      <c r="X58" s="375">
        <f>IFERROR(X56/H56,"0")+IFERROR(X57/H57,"0")</f>
        <v>9.2592592592592595</v>
      </c>
      <c r="Y58" s="375">
        <f>IFERROR(Y56/H56,"0")+IFERROR(Y57/H57,"0")</f>
        <v>10</v>
      </c>
      <c r="Z58" s="375">
        <f>IFERROR(IF(Z56="",0,Z56),"0")+IFERROR(IF(Z57="",0,Z57),"0")</f>
        <v>0.1898</v>
      </c>
      <c r="AA58" s="376"/>
      <c r="AB58" s="376"/>
      <c r="AC58" s="376"/>
    </row>
    <row r="59" spans="1:68" x14ac:dyDescent="0.2">
      <c r="A59" s="384"/>
      <c r="B59" s="384"/>
      <c r="C59" s="384"/>
      <c r="D59" s="384"/>
      <c r="E59" s="384"/>
      <c r="F59" s="384"/>
      <c r="G59" s="384"/>
      <c r="H59" s="384"/>
      <c r="I59" s="384"/>
      <c r="J59" s="384"/>
      <c r="K59" s="384"/>
      <c r="L59" s="384"/>
      <c r="M59" s="384"/>
      <c r="N59" s="384"/>
      <c r="O59" s="392"/>
      <c r="P59" s="387" t="s">
        <v>74</v>
      </c>
      <c r="Q59" s="388"/>
      <c r="R59" s="388"/>
      <c r="S59" s="388"/>
      <c r="T59" s="388"/>
      <c r="U59" s="388"/>
      <c r="V59" s="389"/>
      <c r="W59" s="38" t="s">
        <v>71</v>
      </c>
      <c r="X59" s="375">
        <f>IFERROR(SUM(X56:X57),"0")</f>
        <v>100</v>
      </c>
      <c r="Y59" s="375">
        <f>IFERROR(SUM(Y56:Y57),"0")</f>
        <v>108</v>
      </c>
      <c r="Z59" s="38"/>
      <c r="AA59" s="376"/>
      <c r="AB59" s="376"/>
      <c r="AC59" s="376"/>
    </row>
    <row r="60" spans="1:68" ht="14.25" customHeight="1" x14ac:dyDescent="0.25">
      <c r="A60" s="383" t="s">
        <v>131</v>
      </c>
      <c r="B60" s="384"/>
      <c r="C60" s="384"/>
      <c r="D60" s="384"/>
      <c r="E60" s="384"/>
      <c r="F60" s="384"/>
      <c r="G60" s="384"/>
      <c r="H60" s="384"/>
      <c r="I60" s="384"/>
      <c r="J60" s="384"/>
      <c r="K60" s="384"/>
      <c r="L60" s="384"/>
      <c r="M60" s="384"/>
      <c r="N60" s="384"/>
      <c r="O60" s="384"/>
      <c r="P60" s="384"/>
      <c r="Q60" s="384"/>
      <c r="R60" s="384"/>
      <c r="S60" s="384"/>
      <c r="T60" s="384"/>
      <c r="U60" s="384"/>
      <c r="V60" s="384"/>
      <c r="W60" s="384"/>
      <c r="X60" s="384"/>
      <c r="Y60" s="384"/>
      <c r="Z60" s="384"/>
      <c r="AA60" s="368"/>
      <c r="AB60" s="368"/>
      <c r="AC60" s="368"/>
    </row>
    <row r="61" spans="1:68" ht="27" customHeight="1" x14ac:dyDescent="0.25">
      <c r="A61" s="55" t="s">
        <v>132</v>
      </c>
      <c r="B61" s="55" t="s">
        <v>133</v>
      </c>
      <c r="C61" s="32">
        <v>4301051712</v>
      </c>
      <c r="D61" s="381">
        <v>4607091386967</v>
      </c>
      <c r="E61" s="382"/>
      <c r="F61" s="372">
        <v>1.35</v>
      </c>
      <c r="G61" s="33">
        <v>6</v>
      </c>
      <c r="H61" s="372">
        <v>8.1</v>
      </c>
      <c r="I61" s="372">
        <v>8.5939999999999994</v>
      </c>
      <c r="J61" s="33">
        <v>64</v>
      </c>
      <c r="K61" s="33" t="s">
        <v>81</v>
      </c>
      <c r="L61" s="33"/>
      <c r="M61" s="34" t="s">
        <v>105</v>
      </c>
      <c r="N61" s="34"/>
      <c r="O61" s="33">
        <v>45</v>
      </c>
      <c r="P61" s="56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61" s="378"/>
      <c r="R61" s="378"/>
      <c r="S61" s="378"/>
      <c r="T61" s="379"/>
      <c r="U61" s="35"/>
      <c r="V61" s="35"/>
      <c r="W61" s="36" t="s">
        <v>71</v>
      </c>
      <c r="X61" s="373">
        <v>200</v>
      </c>
      <c r="Y61" s="374">
        <f>IFERROR(IF(X61="",0,CEILING((X61/$H61),1)*$H61),"")</f>
        <v>202.5</v>
      </c>
      <c r="Z61" s="37">
        <f>IFERROR(IF(Y61=0,"",ROUNDUP(Y61/H61,0)*0.01898),"")</f>
        <v>0.47450000000000003</v>
      </c>
      <c r="AA61" s="57"/>
      <c r="AB61" s="58"/>
      <c r="AC61" s="104" t="s">
        <v>134</v>
      </c>
      <c r="AG61" s="65"/>
      <c r="AJ61" s="69"/>
      <c r="AK61" s="69">
        <v>0</v>
      </c>
      <c r="BB61" s="105" t="s">
        <v>1</v>
      </c>
      <c r="BM61" s="65">
        <f>IFERROR(X61*I61/H61,"0")</f>
        <v>212.19753086419755</v>
      </c>
      <c r="BN61" s="65">
        <f>IFERROR(Y61*I61/H61,"0")</f>
        <v>214.85</v>
      </c>
      <c r="BO61" s="65">
        <f>IFERROR(1/J61*(X61/H61),"0")</f>
        <v>0.38580246913580246</v>
      </c>
      <c r="BP61" s="65">
        <f>IFERROR(1/J61*(Y61/H61),"0")</f>
        <v>0.390625</v>
      </c>
    </row>
    <row r="62" spans="1:68" ht="27" customHeight="1" x14ac:dyDescent="0.25">
      <c r="A62" s="55" t="s">
        <v>135</v>
      </c>
      <c r="B62" s="55" t="s">
        <v>136</v>
      </c>
      <c r="C62" s="32">
        <v>4301051718</v>
      </c>
      <c r="D62" s="381">
        <v>4607091385731</v>
      </c>
      <c r="E62" s="382"/>
      <c r="F62" s="372">
        <v>0.45</v>
      </c>
      <c r="G62" s="33">
        <v>6</v>
      </c>
      <c r="H62" s="372">
        <v>2.7</v>
      </c>
      <c r="I62" s="372">
        <v>2.952</v>
      </c>
      <c r="J62" s="33">
        <v>182</v>
      </c>
      <c r="K62" s="33" t="s">
        <v>69</v>
      </c>
      <c r="L62" s="33"/>
      <c r="M62" s="34" t="s">
        <v>105</v>
      </c>
      <c r="N62" s="34"/>
      <c r="O62" s="33">
        <v>45</v>
      </c>
      <c r="P62" s="5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62" s="378"/>
      <c r="R62" s="378"/>
      <c r="S62" s="378"/>
      <c r="T62" s="379"/>
      <c r="U62" s="35"/>
      <c r="V62" s="35"/>
      <c r="W62" s="36" t="s">
        <v>71</v>
      </c>
      <c r="X62" s="373">
        <v>50</v>
      </c>
      <c r="Y62" s="374">
        <f>IFERROR(IF(X62="",0,CEILING((X62/$H62),1)*$H62),"")</f>
        <v>51.300000000000004</v>
      </c>
      <c r="Z62" s="37">
        <f>IFERROR(IF(Y62=0,"",ROUNDUP(Y62/H62,0)*0.00651),"")</f>
        <v>0.12369000000000001</v>
      </c>
      <c r="AA62" s="57"/>
      <c r="AB62" s="58"/>
      <c r="AC62" s="106" t="s">
        <v>134</v>
      </c>
      <c r="AG62" s="65"/>
      <c r="AJ62" s="69"/>
      <c r="AK62" s="69">
        <v>0</v>
      </c>
      <c r="BB62" s="107" t="s">
        <v>1</v>
      </c>
      <c r="BM62" s="65">
        <f>IFERROR(X62*I62/H62,"0")</f>
        <v>54.666666666666664</v>
      </c>
      <c r="BN62" s="65">
        <f>IFERROR(Y62*I62/H62,"0")</f>
        <v>56.088000000000001</v>
      </c>
      <c r="BO62" s="65">
        <f>IFERROR(1/J62*(X62/H62),"0")</f>
        <v>0.10175010175010175</v>
      </c>
      <c r="BP62" s="65">
        <f>IFERROR(1/J62*(Y62/H62),"0")</f>
        <v>0.1043956043956044</v>
      </c>
    </row>
    <row r="63" spans="1:68" ht="16.5" customHeight="1" x14ac:dyDescent="0.25">
      <c r="A63" s="55" t="s">
        <v>137</v>
      </c>
      <c r="B63" s="55" t="s">
        <v>138</v>
      </c>
      <c r="C63" s="32">
        <v>4301051438</v>
      </c>
      <c r="D63" s="381">
        <v>4680115880894</v>
      </c>
      <c r="E63" s="382"/>
      <c r="F63" s="372">
        <v>0.33</v>
      </c>
      <c r="G63" s="33">
        <v>6</v>
      </c>
      <c r="H63" s="372">
        <v>1.98</v>
      </c>
      <c r="I63" s="372">
        <v>2.238</v>
      </c>
      <c r="J63" s="33">
        <v>182</v>
      </c>
      <c r="K63" s="33" t="s">
        <v>69</v>
      </c>
      <c r="L63" s="33"/>
      <c r="M63" s="34" t="s">
        <v>87</v>
      </c>
      <c r="N63" s="34"/>
      <c r="O63" s="33">
        <v>45</v>
      </c>
      <c r="P63" s="46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63" s="378"/>
      <c r="R63" s="378"/>
      <c r="S63" s="378"/>
      <c r="T63" s="379"/>
      <c r="U63" s="35"/>
      <c r="V63" s="35"/>
      <c r="W63" s="36" t="s">
        <v>71</v>
      </c>
      <c r="X63" s="373">
        <v>0</v>
      </c>
      <c r="Y63" s="374">
        <f>IFERROR(IF(X63="",0,CEILING((X63/$H63),1)*$H63),"")</f>
        <v>0</v>
      </c>
      <c r="Z63" s="37" t="str">
        <f>IFERROR(IF(Y63=0,"",ROUNDUP(Y63/H63,0)*0.00651),"")</f>
        <v/>
      </c>
      <c r="AA63" s="57"/>
      <c r="AB63" s="58"/>
      <c r="AC63" s="108" t="s">
        <v>139</v>
      </c>
      <c r="AG63" s="65"/>
      <c r="AJ63" s="69"/>
      <c r="AK63" s="69">
        <v>0</v>
      </c>
      <c r="BB63" s="109" t="s">
        <v>1</v>
      </c>
      <c r="BM63" s="65">
        <f>IFERROR(X63*I63/H63,"0")</f>
        <v>0</v>
      </c>
      <c r="BN63" s="65">
        <f>IFERROR(Y63*I63/H63,"0")</f>
        <v>0</v>
      </c>
      <c r="BO63" s="65">
        <f>IFERROR(1/J63*(X63/H63),"0")</f>
        <v>0</v>
      </c>
      <c r="BP63" s="65">
        <f>IFERROR(1/J63*(Y63/H63),"0")</f>
        <v>0</v>
      </c>
    </row>
    <row r="64" spans="1:68" x14ac:dyDescent="0.2">
      <c r="A64" s="391"/>
      <c r="B64" s="384"/>
      <c r="C64" s="384"/>
      <c r="D64" s="384"/>
      <c r="E64" s="384"/>
      <c r="F64" s="384"/>
      <c r="G64" s="384"/>
      <c r="H64" s="384"/>
      <c r="I64" s="384"/>
      <c r="J64" s="384"/>
      <c r="K64" s="384"/>
      <c r="L64" s="384"/>
      <c r="M64" s="384"/>
      <c r="N64" s="384"/>
      <c r="O64" s="392"/>
      <c r="P64" s="387" t="s">
        <v>74</v>
      </c>
      <c r="Q64" s="388"/>
      <c r="R64" s="388"/>
      <c r="S64" s="388"/>
      <c r="T64" s="388"/>
      <c r="U64" s="388"/>
      <c r="V64" s="389"/>
      <c r="W64" s="38" t="s">
        <v>75</v>
      </c>
      <c r="X64" s="375">
        <f>IFERROR(X61/H61,"0")+IFERROR(X62/H62,"0")+IFERROR(X63/H63,"0")</f>
        <v>43.209876543209873</v>
      </c>
      <c r="Y64" s="375">
        <f>IFERROR(Y61/H61,"0")+IFERROR(Y62/H62,"0")+IFERROR(Y63/H63,"0")</f>
        <v>44</v>
      </c>
      <c r="Z64" s="375">
        <f>IFERROR(IF(Z61="",0,Z61),"0")+IFERROR(IF(Z62="",0,Z62),"0")+IFERROR(IF(Z63="",0,Z63),"0")</f>
        <v>0.59819</v>
      </c>
      <c r="AA64" s="376"/>
      <c r="AB64" s="376"/>
      <c r="AC64" s="376"/>
    </row>
    <row r="65" spans="1:68" x14ac:dyDescent="0.2">
      <c r="A65" s="384"/>
      <c r="B65" s="384"/>
      <c r="C65" s="384"/>
      <c r="D65" s="384"/>
      <c r="E65" s="384"/>
      <c r="F65" s="384"/>
      <c r="G65" s="384"/>
      <c r="H65" s="384"/>
      <c r="I65" s="384"/>
      <c r="J65" s="384"/>
      <c r="K65" s="384"/>
      <c r="L65" s="384"/>
      <c r="M65" s="384"/>
      <c r="N65" s="384"/>
      <c r="O65" s="392"/>
      <c r="P65" s="387" t="s">
        <v>74</v>
      </c>
      <c r="Q65" s="388"/>
      <c r="R65" s="388"/>
      <c r="S65" s="388"/>
      <c r="T65" s="388"/>
      <c r="U65" s="388"/>
      <c r="V65" s="389"/>
      <c r="W65" s="38" t="s">
        <v>71</v>
      </c>
      <c r="X65" s="375">
        <f>IFERROR(SUM(X61:X63),"0")</f>
        <v>250</v>
      </c>
      <c r="Y65" s="375">
        <f>IFERROR(SUM(Y61:Y63),"0")</f>
        <v>253.8</v>
      </c>
      <c r="Z65" s="38"/>
      <c r="AA65" s="376"/>
      <c r="AB65" s="376"/>
      <c r="AC65" s="376"/>
    </row>
    <row r="66" spans="1:68" ht="16.5" customHeight="1" x14ac:dyDescent="0.25">
      <c r="A66" s="419" t="s">
        <v>140</v>
      </c>
      <c r="B66" s="384"/>
      <c r="C66" s="384"/>
      <c r="D66" s="384"/>
      <c r="E66" s="384"/>
      <c r="F66" s="384"/>
      <c r="G66" s="384"/>
      <c r="H66" s="384"/>
      <c r="I66" s="384"/>
      <c r="J66" s="384"/>
      <c r="K66" s="384"/>
      <c r="L66" s="384"/>
      <c r="M66" s="384"/>
      <c r="N66" s="384"/>
      <c r="O66" s="384"/>
      <c r="P66" s="384"/>
      <c r="Q66" s="384"/>
      <c r="R66" s="384"/>
      <c r="S66" s="384"/>
      <c r="T66" s="384"/>
      <c r="U66" s="384"/>
      <c r="V66" s="384"/>
      <c r="W66" s="384"/>
      <c r="X66" s="384"/>
      <c r="Y66" s="384"/>
      <c r="Z66" s="384"/>
      <c r="AA66" s="369"/>
      <c r="AB66" s="369"/>
      <c r="AC66" s="369"/>
    </row>
    <row r="67" spans="1:68" ht="14.25" customHeight="1" x14ac:dyDescent="0.25">
      <c r="A67" s="383" t="s">
        <v>78</v>
      </c>
      <c r="B67" s="384"/>
      <c r="C67" s="384"/>
      <c r="D67" s="384"/>
      <c r="E67" s="384"/>
      <c r="F67" s="384"/>
      <c r="G67" s="384"/>
      <c r="H67" s="384"/>
      <c r="I67" s="384"/>
      <c r="J67" s="384"/>
      <c r="K67" s="384"/>
      <c r="L67" s="384"/>
      <c r="M67" s="384"/>
      <c r="N67" s="384"/>
      <c r="O67" s="384"/>
      <c r="P67" s="384"/>
      <c r="Q67" s="384"/>
      <c r="R67" s="384"/>
      <c r="S67" s="384"/>
      <c r="T67" s="384"/>
      <c r="U67" s="384"/>
      <c r="V67" s="384"/>
      <c r="W67" s="384"/>
      <c r="X67" s="384"/>
      <c r="Y67" s="384"/>
      <c r="Z67" s="384"/>
      <c r="AA67" s="368"/>
      <c r="AB67" s="368"/>
      <c r="AC67" s="368"/>
    </row>
    <row r="68" spans="1:68" ht="37.5" customHeight="1" x14ac:dyDescent="0.25">
      <c r="A68" s="55" t="s">
        <v>141</v>
      </c>
      <c r="B68" s="55" t="s">
        <v>142</v>
      </c>
      <c r="C68" s="32">
        <v>4301011514</v>
      </c>
      <c r="D68" s="381">
        <v>4680115882133</v>
      </c>
      <c r="E68" s="382"/>
      <c r="F68" s="372">
        <v>1.35</v>
      </c>
      <c r="G68" s="33">
        <v>8</v>
      </c>
      <c r="H68" s="372">
        <v>10.8</v>
      </c>
      <c r="I68" s="372">
        <v>11.21</v>
      </c>
      <c r="J68" s="33">
        <v>64</v>
      </c>
      <c r="K68" s="33" t="s">
        <v>81</v>
      </c>
      <c r="L68" s="33"/>
      <c r="M68" s="34" t="s">
        <v>82</v>
      </c>
      <c r="N68" s="34"/>
      <c r="O68" s="33">
        <v>50</v>
      </c>
      <c r="P68" s="48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68" s="378"/>
      <c r="R68" s="378"/>
      <c r="S68" s="378"/>
      <c r="T68" s="379"/>
      <c r="U68" s="35"/>
      <c r="V68" s="35"/>
      <c r="W68" s="36" t="s">
        <v>71</v>
      </c>
      <c r="X68" s="373">
        <v>0</v>
      </c>
      <c r="Y68" s="374">
        <f>IFERROR(IF(X68="",0,CEILING((X68/$H68),1)*$H68),"")</f>
        <v>0</v>
      </c>
      <c r="Z68" s="37" t="str">
        <f>IFERROR(IF(Y68=0,"",ROUNDUP(Y68/H68,0)*0.01898),"")</f>
        <v/>
      </c>
      <c r="AA68" s="57"/>
      <c r="AB68" s="58"/>
      <c r="AC68" s="110" t="s">
        <v>143</v>
      </c>
      <c r="AG68" s="65"/>
      <c r="AJ68" s="69"/>
      <c r="AK68" s="69">
        <v>0</v>
      </c>
      <c r="BB68" s="111" t="s">
        <v>1</v>
      </c>
      <c r="BM68" s="65">
        <f>IFERROR(X68*I68/H68,"0")</f>
        <v>0</v>
      </c>
      <c r="BN68" s="65">
        <f>IFERROR(Y68*I68/H68,"0")</f>
        <v>0</v>
      </c>
      <c r="BO68" s="65">
        <f>IFERROR(1/J68*(X68/H68),"0")</f>
        <v>0</v>
      </c>
      <c r="BP68" s="65">
        <f>IFERROR(1/J68*(Y68/H68),"0")</f>
        <v>0</v>
      </c>
    </row>
    <row r="69" spans="1:68" ht="37.5" customHeight="1" x14ac:dyDescent="0.25">
      <c r="A69" s="55" t="s">
        <v>144</v>
      </c>
      <c r="B69" s="55" t="s">
        <v>145</v>
      </c>
      <c r="C69" s="32">
        <v>4301011417</v>
      </c>
      <c r="D69" s="381">
        <v>4680115880269</v>
      </c>
      <c r="E69" s="382"/>
      <c r="F69" s="372">
        <v>0.375</v>
      </c>
      <c r="G69" s="33">
        <v>10</v>
      </c>
      <c r="H69" s="372">
        <v>3.75</v>
      </c>
      <c r="I69" s="372">
        <v>3.94</v>
      </c>
      <c r="J69" s="33">
        <v>132</v>
      </c>
      <c r="K69" s="33" t="s">
        <v>86</v>
      </c>
      <c r="L69" s="33"/>
      <c r="M69" s="34" t="s">
        <v>87</v>
      </c>
      <c r="N69" s="34"/>
      <c r="O69" s="33">
        <v>50</v>
      </c>
      <c r="P69" s="5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69" s="378"/>
      <c r="R69" s="378"/>
      <c r="S69" s="378"/>
      <c r="T69" s="379"/>
      <c r="U69" s="35"/>
      <c r="V69" s="35"/>
      <c r="W69" s="36" t="s">
        <v>71</v>
      </c>
      <c r="X69" s="373">
        <v>0</v>
      </c>
      <c r="Y69" s="374">
        <f>IFERROR(IF(X69="",0,CEILING((X69/$H69),1)*$H69),"")</f>
        <v>0</v>
      </c>
      <c r="Z69" s="37" t="str">
        <f>IFERROR(IF(Y69=0,"",ROUNDUP(Y69/H69,0)*0.00902),"")</f>
        <v/>
      </c>
      <c r="AA69" s="57"/>
      <c r="AB69" s="58"/>
      <c r="AC69" s="112" t="s">
        <v>143</v>
      </c>
      <c r="AG69" s="65"/>
      <c r="AJ69" s="69"/>
      <c r="AK69" s="69">
        <v>0</v>
      </c>
      <c r="BB69" s="113" t="s">
        <v>1</v>
      </c>
      <c r="BM69" s="65">
        <f>IFERROR(X69*I69/H69,"0")</f>
        <v>0</v>
      </c>
      <c r="BN69" s="65">
        <f>IFERROR(Y69*I69/H69,"0")</f>
        <v>0</v>
      </c>
      <c r="BO69" s="65">
        <f>IFERROR(1/J69*(X69/H69),"0")</f>
        <v>0</v>
      </c>
      <c r="BP69" s="65">
        <f>IFERROR(1/J69*(Y69/H69),"0")</f>
        <v>0</v>
      </c>
    </row>
    <row r="70" spans="1:68" ht="37.5" customHeight="1" x14ac:dyDescent="0.25">
      <c r="A70" s="55" t="s">
        <v>146</v>
      </c>
      <c r="B70" s="55" t="s">
        <v>147</v>
      </c>
      <c r="C70" s="32">
        <v>4301011415</v>
      </c>
      <c r="D70" s="381">
        <v>4680115880429</v>
      </c>
      <c r="E70" s="382"/>
      <c r="F70" s="372">
        <v>0.45</v>
      </c>
      <c r="G70" s="33">
        <v>10</v>
      </c>
      <c r="H70" s="372">
        <v>4.5</v>
      </c>
      <c r="I70" s="372">
        <v>4.6900000000000004</v>
      </c>
      <c r="J70" s="33">
        <v>132</v>
      </c>
      <c r="K70" s="33" t="s">
        <v>86</v>
      </c>
      <c r="L70" s="33"/>
      <c r="M70" s="34" t="s">
        <v>87</v>
      </c>
      <c r="N70" s="34"/>
      <c r="O70" s="33">
        <v>50</v>
      </c>
      <c r="P70" s="60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70" s="378"/>
      <c r="R70" s="378"/>
      <c r="S70" s="378"/>
      <c r="T70" s="379"/>
      <c r="U70" s="35"/>
      <c r="V70" s="35"/>
      <c r="W70" s="36" t="s">
        <v>71</v>
      </c>
      <c r="X70" s="373">
        <v>225</v>
      </c>
      <c r="Y70" s="374">
        <f>IFERROR(IF(X70="",0,CEILING((X70/$H70),1)*$H70),"")</f>
        <v>225</v>
      </c>
      <c r="Z70" s="37">
        <f>IFERROR(IF(Y70=0,"",ROUNDUP(Y70/H70,0)*0.00902),"")</f>
        <v>0.45100000000000001</v>
      </c>
      <c r="AA70" s="57"/>
      <c r="AB70" s="58"/>
      <c r="AC70" s="114" t="s">
        <v>143</v>
      </c>
      <c r="AG70" s="65"/>
      <c r="AJ70" s="69"/>
      <c r="AK70" s="69">
        <v>0</v>
      </c>
      <c r="BB70" s="115" t="s">
        <v>1</v>
      </c>
      <c r="BM70" s="65">
        <f>IFERROR(X70*I70/H70,"0")</f>
        <v>234.5</v>
      </c>
      <c r="BN70" s="65">
        <f>IFERROR(Y70*I70/H70,"0")</f>
        <v>234.5</v>
      </c>
      <c r="BO70" s="65">
        <f>IFERROR(1/J70*(X70/H70),"0")</f>
        <v>0.37878787878787878</v>
      </c>
      <c r="BP70" s="65">
        <f>IFERROR(1/J70*(Y70/H70),"0")</f>
        <v>0.37878787878787878</v>
      </c>
    </row>
    <row r="71" spans="1:68" ht="37.5" customHeight="1" x14ac:dyDescent="0.25">
      <c r="A71" s="55" t="s">
        <v>148</v>
      </c>
      <c r="B71" s="55" t="s">
        <v>149</v>
      </c>
      <c r="C71" s="32">
        <v>4301011462</v>
      </c>
      <c r="D71" s="381">
        <v>4680115881457</v>
      </c>
      <c r="E71" s="382"/>
      <c r="F71" s="372">
        <v>0.75</v>
      </c>
      <c r="G71" s="33">
        <v>6</v>
      </c>
      <c r="H71" s="372">
        <v>4.5</v>
      </c>
      <c r="I71" s="372">
        <v>4.6900000000000004</v>
      </c>
      <c r="J71" s="33">
        <v>132</v>
      </c>
      <c r="K71" s="33" t="s">
        <v>86</v>
      </c>
      <c r="L71" s="33"/>
      <c r="M71" s="34" t="s">
        <v>87</v>
      </c>
      <c r="N71" s="34"/>
      <c r="O71" s="33">
        <v>50</v>
      </c>
      <c r="P71" s="61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71" s="378"/>
      <c r="R71" s="378"/>
      <c r="S71" s="378"/>
      <c r="T71" s="379"/>
      <c r="U71" s="35"/>
      <c r="V71" s="35"/>
      <c r="W71" s="36" t="s">
        <v>71</v>
      </c>
      <c r="X71" s="373">
        <v>113</v>
      </c>
      <c r="Y71" s="374">
        <f>IFERROR(IF(X71="",0,CEILING((X71/$H71),1)*$H71),"")</f>
        <v>117</v>
      </c>
      <c r="Z71" s="37">
        <f>IFERROR(IF(Y71=0,"",ROUNDUP(Y71/H71,0)*0.00902),"")</f>
        <v>0.23452000000000001</v>
      </c>
      <c r="AA71" s="57"/>
      <c r="AB71" s="58"/>
      <c r="AC71" s="116" t="s">
        <v>143</v>
      </c>
      <c r="AG71" s="65"/>
      <c r="AJ71" s="69"/>
      <c r="AK71" s="69">
        <v>0</v>
      </c>
      <c r="BB71" s="117" t="s">
        <v>1</v>
      </c>
      <c r="BM71" s="65">
        <f>IFERROR(X71*I71/H71,"0")</f>
        <v>117.77111111111111</v>
      </c>
      <c r="BN71" s="65">
        <f>IFERROR(Y71*I71/H71,"0")</f>
        <v>121.94</v>
      </c>
      <c r="BO71" s="65">
        <f>IFERROR(1/J71*(X71/H71),"0")</f>
        <v>0.19023569023569023</v>
      </c>
      <c r="BP71" s="65">
        <f>IFERROR(1/J71*(Y71/H71),"0")</f>
        <v>0.19696969696969696</v>
      </c>
    </row>
    <row r="72" spans="1:68" x14ac:dyDescent="0.2">
      <c r="A72" s="391"/>
      <c r="B72" s="384"/>
      <c r="C72" s="384"/>
      <c r="D72" s="384"/>
      <c r="E72" s="384"/>
      <c r="F72" s="384"/>
      <c r="G72" s="384"/>
      <c r="H72" s="384"/>
      <c r="I72" s="384"/>
      <c r="J72" s="384"/>
      <c r="K72" s="384"/>
      <c r="L72" s="384"/>
      <c r="M72" s="384"/>
      <c r="N72" s="384"/>
      <c r="O72" s="392"/>
      <c r="P72" s="387" t="s">
        <v>74</v>
      </c>
      <c r="Q72" s="388"/>
      <c r="R72" s="388"/>
      <c r="S72" s="388"/>
      <c r="T72" s="388"/>
      <c r="U72" s="388"/>
      <c r="V72" s="389"/>
      <c r="W72" s="38" t="s">
        <v>75</v>
      </c>
      <c r="X72" s="375">
        <f>IFERROR(X68/H68,"0")+IFERROR(X69/H69,"0")+IFERROR(X70/H70,"0")+IFERROR(X71/H71,"0")</f>
        <v>75.111111111111114</v>
      </c>
      <c r="Y72" s="375">
        <f>IFERROR(Y68/H68,"0")+IFERROR(Y69/H69,"0")+IFERROR(Y70/H70,"0")+IFERROR(Y71/H71,"0")</f>
        <v>76</v>
      </c>
      <c r="Z72" s="375">
        <f>IFERROR(IF(Z68="",0,Z68),"0")+IFERROR(IF(Z69="",0,Z69),"0")+IFERROR(IF(Z70="",0,Z70),"0")+IFERROR(IF(Z71="",0,Z71),"0")</f>
        <v>0.68552000000000002</v>
      </c>
      <c r="AA72" s="376"/>
      <c r="AB72" s="376"/>
      <c r="AC72" s="376"/>
    </row>
    <row r="73" spans="1:68" x14ac:dyDescent="0.2">
      <c r="A73" s="384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92"/>
      <c r="P73" s="387" t="s">
        <v>74</v>
      </c>
      <c r="Q73" s="388"/>
      <c r="R73" s="388"/>
      <c r="S73" s="388"/>
      <c r="T73" s="388"/>
      <c r="U73" s="388"/>
      <c r="V73" s="389"/>
      <c r="W73" s="38" t="s">
        <v>71</v>
      </c>
      <c r="X73" s="375">
        <f>IFERROR(SUM(X68:X71),"0")</f>
        <v>338</v>
      </c>
      <c r="Y73" s="375">
        <f>IFERROR(SUM(Y68:Y71),"0")</f>
        <v>342</v>
      </c>
      <c r="Z73" s="38"/>
      <c r="AA73" s="376"/>
      <c r="AB73" s="376"/>
      <c r="AC73" s="376"/>
    </row>
    <row r="74" spans="1:68" ht="14.25" customHeight="1" x14ac:dyDescent="0.25">
      <c r="A74" s="383" t="s">
        <v>110</v>
      </c>
      <c r="B74" s="384"/>
      <c r="C74" s="384"/>
      <c r="D74" s="384"/>
      <c r="E74" s="384"/>
      <c r="F74" s="384"/>
      <c r="G74" s="384"/>
      <c r="H74" s="384"/>
      <c r="I74" s="384"/>
      <c r="J74" s="384"/>
      <c r="K74" s="384"/>
      <c r="L74" s="384"/>
      <c r="M74" s="384"/>
      <c r="N74" s="384"/>
      <c r="O74" s="384"/>
      <c r="P74" s="384"/>
      <c r="Q74" s="384"/>
      <c r="R74" s="384"/>
      <c r="S74" s="384"/>
      <c r="T74" s="384"/>
      <c r="U74" s="384"/>
      <c r="V74" s="384"/>
      <c r="W74" s="384"/>
      <c r="X74" s="384"/>
      <c r="Y74" s="384"/>
      <c r="Z74" s="384"/>
      <c r="AA74" s="368"/>
      <c r="AB74" s="368"/>
      <c r="AC74" s="368"/>
    </row>
    <row r="75" spans="1:68" ht="16.5" customHeight="1" x14ac:dyDescent="0.25">
      <c r="A75" s="55" t="s">
        <v>150</v>
      </c>
      <c r="B75" s="55" t="s">
        <v>151</v>
      </c>
      <c r="C75" s="32">
        <v>4301020345</v>
      </c>
      <c r="D75" s="381">
        <v>4680115881488</v>
      </c>
      <c r="E75" s="382"/>
      <c r="F75" s="372">
        <v>1.35</v>
      </c>
      <c r="G75" s="33">
        <v>8</v>
      </c>
      <c r="H75" s="372">
        <v>10.8</v>
      </c>
      <c r="I75" s="372">
        <v>11.21</v>
      </c>
      <c r="J75" s="33">
        <v>64</v>
      </c>
      <c r="K75" s="33" t="s">
        <v>81</v>
      </c>
      <c r="L75" s="33"/>
      <c r="M75" s="34" t="s">
        <v>82</v>
      </c>
      <c r="N75" s="34"/>
      <c r="O75" s="33">
        <v>55</v>
      </c>
      <c r="P75" s="59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75" s="378"/>
      <c r="R75" s="378"/>
      <c r="S75" s="378"/>
      <c r="T75" s="379"/>
      <c r="U75" s="35"/>
      <c r="V75" s="35"/>
      <c r="W75" s="36" t="s">
        <v>71</v>
      </c>
      <c r="X75" s="373">
        <v>0</v>
      </c>
      <c r="Y75" s="374">
        <f>IFERROR(IF(X75="",0,CEILING((X75/$H75),1)*$H75),"")</f>
        <v>0</v>
      </c>
      <c r="Z75" s="37" t="str">
        <f>IFERROR(IF(Y75=0,"",ROUNDUP(Y75/H75,0)*0.01898),"")</f>
        <v/>
      </c>
      <c r="AA75" s="57"/>
      <c r="AB75" s="58"/>
      <c r="AC75" s="118" t="s">
        <v>152</v>
      </c>
      <c r="AG75" s="65"/>
      <c r="AJ75" s="69"/>
      <c r="AK75" s="69">
        <v>0</v>
      </c>
      <c r="BB75" s="119" t="s">
        <v>1</v>
      </c>
      <c r="BM75" s="65">
        <f>IFERROR(X75*I75/H75,"0")</f>
        <v>0</v>
      </c>
      <c r="BN75" s="65">
        <f>IFERROR(Y75*I75/H75,"0")</f>
        <v>0</v>
      </c>
      <c r="BO75" s="65">
        <f>IFERROR(1/J75*(X75/H75),"0")</f>
        <v>0</v>
      </c>
      <c r="BP75" s="65">
        <f>IFERROR(1/J75*(Y75/H75),"0")</f>
        <v>0</v>
      </c>
    </row>
    <row r="76" spans="1:68" ht="16.5" customHeight="1" x14ac:dyDescent="0.25">
      <c r="A76" s="55" t="s">
        <v>153</v>
      </c>
      <c r="B76" s="55" t="s">
        <v>154</v>
      </c>
      <c r="C76" s="32">
        <v>4301020346</v>
      </c>
      <c r="D76" s="381">
        <v>4680115882775</v>
      </c>
      <c r="E76" s="382"/>
      <c r="F76" s="372">
        <v>0.3</v>
      </c>
      <c r="G76" s="33">
        <v>8</v>
      </c>
      <c r="H76" s="372">
        <v>2.4</v>
      </c>
      <c r="I76" s="372">
        <v>2.5</v>
      </c>
      <c r="J76" s="33">
        <v>234</v>
      </c>
      <c r="K76" s="33" t="s">
        <v>155</v>
      </c>
      <c r="L76" s="33"/>
      <c r="M76" s="34" t="s">
        <v>82</v>
      </c>
      <c r="N76" s="34"/>
      <c r="O76" s="33">
        <v>55</v>
      </c>
      <c r="P76" s="5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76" s="378"/>
      <c r="R76" s="378"/>
      <c r="S76" s="378"/>
      <c r="T76" s="379"/>
      <c r="U76" s="35"/>
      <c r="V76" s="35"/>
      <c r="W76" s="36" t="s">
        <v>71</v>
      </c>
      <c r="X76" s="373">
        <v>0</v>
      </c>
      <c r="Y76" s="374">
        <f>IFERROR(IF(X76="",0,CEILING((X76/$H76),1)*$H76),"")</f>
        <v>0</v>
      </c>
      <c r="Z76" s="37" t="str">
        <f>IFERROR(IF(Y76=0,"",ROUNDUP(Y76/H76,0)*0.00502),"")</f>
        <v/>
      </c>
      <c r="AA76" s="57"/>
      <c r="AB76" s="58"/>
      <c r="AC76" s="120" t="s">
        <v>152</v>
      </c>
      <c r="AG76" s="65"/>
      <c r="AJ76" s="69"/>
      <c r="AK76" s="69">
        <v>0</v>
      </c>
      <c r="BB76" s="121" t="s">
        <v>1</v>
      </c>
      <c r="BM76" s="65">
        <f>IFERROR(X76*I76/H76,"0")</f>
        <v>0</v>
      </c>
      <c r="BN76" s="65">
        <f>IFERROR(Y76*I76/H76,"0")</f>
        <v>0</v>
      </c>
      <c r="BO76" s="65">
        <f>IFERROR(1/J76*(X76/H76),"0")</f>
        <v>0</v>
      </c>
      <c r="BP76" s="65">
        <f>IFERROR(1/J76*(Y76/H76),"0")</f>
        <v>0</v>
      </c>
    </row>
    <row r="77" spans="1:68" ht="16.5" customHeight="1" x14ac:dyDescent="0.25">
      <c r="A77" s="55" t="s">
        <v>156</v>
      </c>
      <c r="B77" s="55" t="s">
        <v>157</v>
      </c>
      <c r="C77" s="32">
        <v>4301020344</v>
      </c>
      <c r="D77" s="381">
        <v>4680115880658</v>
      </c>
      <c r="E77" s="382"/>
      <c r="F77" s="372">
        <v>0.4</v>
      </c>
      <c r="G77" s="33">
        <v>6</v>
      </c>
      <c r="H77" s="372">
        <v>2.4</v>
      </c>
      <c r="I77" s="372">
        <v>2.58</v>
      </c>
      <c r="J77" s="33">
        <v>182</v>
      </c>
      <c r="K77" s="33" t="s">
        <v>69</v>
      </c>
      <c r="L77" s="33"/>
      <c r="M77" s="34" t="s">
        <v>82</v>
      </c>
      <c r="N77" s="34"/>
      <c r="O77" s="33">
        <v>55</v>
      </c>
      <c r="P77" s="51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77" s="378"/>
      <c r="R77" s="378"/>
      <c r="S77" s="378"/>
      <c r="T77" s="379"/>
      <c r="U77" s="35"/>
      <c r="V77" s="35"/>
      <c r="W77" s="36" t="s">
        <v>71</v>
      </c>
      <c r="X77" s="373">
        <v>0</v>
      </c>
      <c r="Y77" s="374">
        <f>IFERROR(IF(X77="",0,CEILING((X77/$H77),1)*$H77),"")</f>
        <v>0</v>
      </c>
      <c r="Z77" s="37" t="str">
        <f>IFERROR(IF(Y77=0,"",ROUNDUP(Y77/H77,0)*0.00651),"")</f>
        <v/>
      </c>
      <c r="AA77" s="57"/>
      <c r="AB77" s="58"/>
      <c r="AC77" s="122" t="s">
        <v>152</v>
      </c>
      <c r="AG77" s="65"/>
      <c r="AJ77" s="69"/>
      <c r="AK77" s="69">
        <v>0</v>
      </c>
      <c r="BB77" s="123" t="s">
        <v>1</v>
      </c>
      <c r="BM77" s="65">
        <f>IFERROR(X77*I77/H77,"0")</f>
        <v>0</v>
      </c>
      <c r="BN77" s="65">
        <f>IFERROR(Y77*I77/H77,"0")</f>
        <v>0</v>
      </c>
      <c r="BO77" s="65">
        <f>IFERROR(1/J77*(X77/H77),"0")</f>
        <v>0</v>
      </c>
      <c r="BP77" s="65">
        <f>IFERROR(1/J77*(Y77/H77),"0")</f>
        <v>0</v>
      </c>
    </row>
    <row r="78" spans="1:68" x14ac:dyDescent="0.2">
      <c r="A78" s="391"/>
      <c r="B78" s="384"/>
      <c r="C78" s="384"/>
      <c r="D78" s="384"/>
      <c r="E78" s="384"/>
      <c r="F78" s="384"/>
      <c r="G78" s="384"/>
      <c r="H78" s="384"/>
      <c r="I78" s="384"/>
      <c r="J78" s="384"/>
      <c r="K78" s="384"/>
      <c r="L78" s="384"/>
      <c r="M78" s="384"/>
      <c r="N78" s="384"/>
      <c r="O78" s="392"/>
      <c r="P78" s="387" t="s">
        <v>74</v>
      </c>
      <c r="Q78" s="388"/>
      <c r="R78" s="388"/>
      <c r="S78" s="388"/>
      <c r="T78" s="388"/>
      <c r="U78" s="388"/>
      <c r="V78" s="389"/>
      <c r="W78" s="38" t="s">
        <v>75</v>
      </c>
      <c r="X78" s="375">
        <f>IFERROR(X75/H75,"0")+IFERROR(X76/H76,"0")+IFERROR(X77/H77,"0")</f>
        <v>0</v>
      </c>
      <c r="Y78" s="375">
        <f>IFERROR(Y75/H75,"0")+IFERROR(Y76/H76,"0")+IFERROR(Y77/H77,"0")</f>
        <v>0</v>
      </c>
      <c r="Z78" s="375">
        <f>IFERROR(IF(Z75="",0,Z75),"0")+IFERROR(IF(Z76="",0,Z76),"0")+IFERROR(IF(Z77="",0,Z77),"0")</f>
        <v>0</v>
      </c>
      <c r="AA78" s="376"/>
      <c r="AB78" s="376"/>
      <c r="AC78" s="376"/>
    </row>
    <row r="79" spans="1:68" x14ac:dyDescent="0.2">
      <c r="A79" s="384"/>
      <c r="B79" s="384"/>
      <c r="C79" s="384"/>
      <c r="D79" s="384"/>
      <c r="E79" s="384"/>
      <c r="F79" s="384"/>
      <c r="G79" s="384"/>
      <c r="H79" s="384"/>
      <c r="I79" s="384"/>
      <c r="J79" s="384"/>
      <c r="K79" s="384"/>
      <c r="L79" s="384"/>
      <c r="M79" s="384"/>
      <c r="N79" s="384"/>
      <c r="O79" s="392"/>
      <c r="P79" s="387" t="s">
        <v>74</v>
      </c>
      <c r="Q79" s="388"/>
      <c r="R79" s="388"/>
      <c r="S79" s="388"/>
      <c r="T79" s="388"/>
      <c r="U79" s="388"/>
      <c r="V79" s="389"/>
      <c r="W79" s="38" t="s">
        <v>71</v>
      </c>
      <c r="X79" s="375">
        <f>IFERROR(SUM(X75:X77),"0")</f>
        <v>0</v>
      </c>
      <c r="Y79" s="375">
        <f>IFERROR(SUM(Y75:Y77),"0")</f>
        <v>0</v>
      </c>
      <c r="Z79" s="38"/>
      <c r="AA79" s="376"/>
      <c r="AB79" s="376"/>
      <c r="AC79" s="376"/>
    </row>
    <row r="80" spans="1:68" ht="14.25" customHeight="1" x14ac:dyDescent="0.25">
      <c r="A80" s="383" t="s">
        <v>131</v>
      </c>
      <c r="B80" s="384"/>
      <c r="C80" s="384"/>
      <c r="D80" s="384"/>
      <c r="E80" s="384"/>
      <c r="F80" s="384"/>
      <c r="G80" s="384"/>
      <c r="H80" s="384"/>
      <c r="I80" s="384"/>
      <c r="J80" s="384"/>
      <c r="K80" s="384"/>
      <c r="L80" s="384"/>
      <c r="M80" s="384"/>
      <c r="N80" s="384"/>
      <c r="O80" s="384"/>
      <c r="P80" s="384"/>
      <c r="Q80" s="384"/>
      <c r="R80" s="384"/>
      <c r="S80" s="384"/>
      <c r="T80" s="384"/>
      <c r="U80" s="384"/>
      <c r="V80" s="384"/>
      <c r="W80" s="384"/>
      <c r="X80" s="384"/>
      <c r="Y80" s="384"/>
      <c r="Z80" s="384"/>
      <c r="AA80" s="368"/>
      <c r="AB80" s="368"/>
      <c r="AC80" s="368"/>
    </row>
    <row r="81" spans="1:68" ht="27" customHeight="1" x14ac:dyDescent="0.25">
      <c r="A81" s="55" t="s">
        <v>158</v>
      </c>
      <c r="B81" s="55" t="s">
        <v>159</v>
      </c>
      <c r="C81" s="32">
        <v>4301051724</v>
      </c>
      <c r="D81" s="381">
        <v>4607091385168</v>
      </c>
      <c r="E81" s="382"/>
      <c r="F81" s="372">
        <v>1.35</v>
      </c>
      <c r="G81" s="33">
        <v>6</v>
      </c>
      <c r="H81" s="372">
        <v>8.1</v>
      </c>
      <c r="I81" s="372">
        <v>8.5879999999999992</v>
      </c>
      <c r="J81" s="33">
        <v>64</v>
      </c>
      <c r="K81" s="33" t="s">
        <v>81</v>
      </c>
      <c r="L81" s="33"/>
      <c r="M81" s="34" t="s">
        <v>105</v>
      </c>
      <c r="N81" s="34"/>
      <c r="O81" s="33">
        <v>45</v>
      </c>
      <c r="P81" s="41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81" s="378"/>
      <c r="R81" s="378"/>
      <c r="S81" s="378"/>
      <c r="T81" s="379"/>
      <c r="U81" s="35"/>
      <c r="V81" s="35"/>
      <c r="W81" s="36" t="s">
        <v>71</v>
      </c>
      <c r="X81" s="373">
        <v>800</v>
      </c>
      <c r="Y81" s="374">
        <f>IFERROR(IF(X81="",0,CEILING((X81/$H81),1)*$H81),"")</f>
        <v>801.9</v>
      </c>
      <c r="Z81" s="37">
        <f>IFERROR(IF(Y81=0,"",ROUNDUP(Y81/H81,0)*0.01898),"")</f>
        <v>1.8790200000000001</v>
      </c>
      <c r="AA81" s="57"/>
      <c r="AB81" s="58"/>
      <c r="AC81" s="124" t="s">
        <v>160</v>
      </c>
      <c r="AG81" s="65"/>
      <c r="AJ81" s="69"/>
      <c r="AK81" s="69">
        <v>0</v>
      </c>
      <c r="BB81" s="125" t="s">
        <v>1</v>
      </c>
      <c r="BM81" s="65">
        <f>IFERROR(X81*I81/H81,"0")</f>
        <v>848.19753086419757</v>
      </c>
      <c r="BN81" s="65">
        <f>IFERROR(Y81*I81/H81,"0")</f>
        <v>850.21199999999988</v>
      </c>
      <c r="BO81" s="65">
        <f>IFERROR(1/J81*(X81/H81),"0")</f>
        <v>1.5432098765432098</v>
      </c>
      <c r="BP81" s="65">
        <f>IFERROR(1/J81*(Y81/H81),"0")</f>
        <v>1.546875</v>
      </c>
    </row>
    <row r="82" spans="1:68" ht="27" customHeight="1" x14ac:dyDescent="0.25">
      <c r="A82" s="55" t="s">
        <v>161</v>
      </c>
      <c r="B82" s="55" t="s">
        <v>162</v>
      </c>
      <c r="C82" s="32">
        <v>4301051730</v>
      </c>
      <c r="D82" s="381">
        <v>4607091383256</v>
      </c>
      <c r="E82" s="382"/>
      <c r="F82" s="372">
        <v>0.33</v>
      </c>
      <c r="G82" s="33">
        <v>6</v>
      </c>
      <c r="H82" s="372">
        <v>1.98</v>
      </c>
      <c r="I82" s="372">
        <v>2.226</v>
      </c>
      <c r="J82" s="33">
        <v>182</v>
      </c>
      <c r="K82" s="33" t="s">
        <v>69</v>
      </c>
      <c r="L82" s="33"/>
      <c r="M82" s="34" t="s">
        <v>105</v>
      </c>
      <c r="N82" s="34"/>
      <c r="O82" s="33">
        <v>45</v>
      </c>
      <c r="P82" s="5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82" s="378"/>
      <c r="R82" s="378"/>
      <c r="S82" s="378"/>
      <c r="T82" s="379"/>
      <c r="U82" s="35"/>
      <c r="V82" s="35"/>
      <c r="W82" s="36" t="s">
        <v>71</v>
      </c>
      <c r="X82" s="373">
        <v>0</v>
      </c>
      <c r="Y82" s="374">
        <f>IFERROR(IF(X82="",0,CEILING((X82/$H82),1)*$H82),"")</f>
        <v>0</v>
      </c>
      <c r="Z82" s="37" t="str">
        <f>IFERROR(IF(Y82=0,"",ROUNDUP(Y82/H82,0)*0.00651),"")</f>
        <v/>
      </c>
      <c r="AA82" s="57"/>
      <c r="AB82" s="58"/>
      <c r="AC82" s="126" t="s">
        <v>160</v>
      </c>
      <c r="AG82" s="65"/>
      <c r="AJ82" s="69"/>
      <c r="AK82" s="69">
        <v>0</v>
      </c>
      <c r="BB82" s="127" t="s">
        <v>1</v>
      </c>
      <c r="BM82" s="65">
        <f>IFERROR(X82*I82/H82,"0")</f>
        <v>0</v>
      </c>
      <c r="BN82" s="65">
        <f>IFERROR(Y82*I82/H82,"0")</f>
        <v>0</v>
      </c>
      <c r="BO82" s="65">
        <f>IFERROR(1/J82*(X82/H82),"0")</f>
        <v>0</v>
      </c>
      <c r="BP82" s="65">
        <f>IFERROR(1/J82*(Y82/H82),"0")</f>
        <v>0</v>
      </c>
    </row>
    <row r="83" spans="1:68" ht="27" customHeight="1" x14ac:dyDescent="0.25">
      <c r="A83" s="55" t="s">
        <v>163</v>
      </c>
      <c r="B83" s="55" t="s">
        <v>164</v>
      </c>
      <c r="C83" s="32">
        <v>4301051721</v>
      </c>
      <c r="D83" s="381">
        <v>4607091385748</v>
      </c>
      <c r="E83" s="382"/>
      <c r="F83" s="372">
        <v>0.45</v>
      </c>
      <c r="G83" s="33">
        <v>6</v>
      </c>
      <c r="H83" s="372">
        <v>2.7</v>
      </c>
      <c r="I83" s="372">
        <v>2.952</v>
      </c>
      <c r="J83" s="33">
        <v>182</v>
      </c>
      <c r="K83" s="33" t="s">
        <v>69</v>
      </c>
      <c r="L83" s="33"/>
      <c r="M83" s="34" t="s">
        <v>105</v>
      </c>
      <c r="N83" s="34"/>
      <c r="O83" s="33">
        <v>45</v>
      </c>
      <c r="P83" s="60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83" s="378"/>
      <c r="R83" s="378"/>
      <c r="S83" s="378"/>
      <c r="T83" s="379"/>
      <c r="U83" s="35"/>
      <c r="V83" s="35"/>
      <c r="W83" s="36" t="s">
        <v>71</v>
      </c>
      <c r="X83" s="373">
        <v>135</v>
      </c>
      <c r="Y83" s="374">
        <f>IFERROR(IF(X83="",0,CEILING((X83/$H83),1)*$H83),"")</f>
        <v>135</v>
      </c>
      <c r="Z83" s="37">
        <f>IFERROR(IF(Y83=0,"",ROUNDUP(Y83/H83,0)*0.00651),"")</f>
        <v>0.32550000000000001</v>
      </c>
      <c r="AA83" s="57"/>
      <c r="AB83" s="58"/>
      <c r="AC83" s="128" t="s">
        <v>160</v>
      </c>
      <c r="AG83" s="65"/>
      <c r="AJ83" s="69"/>
      <c r="AK83" s="69">
        <v>0</v>
      </c>
      <c r="BB83" s="129" t="s">
        <v>1</v>
      </c>
      <c r="BM83" s="65">
        <f>IFERROR(X83*I83/H83,"0")</f>
        <v>147.6</v>
      </c>
      <c r="BN83" s="65">
        <f>IFERROR(Y83*I83/H83,"0")</f>
        <v>147.6</v>
      </c>
      <c r="BO83" s="65">
        <f>IFERROR(1/J83*(X83/H83),"0")</f>
        <v>0.27472527472527475</v>
      </c>
      <c r="BP83" s="65">
        <f>IFERROR(1/J83*(Y83/H83),"0")</f>
        <v>0.27472527472527475</v>
      </c>
    </row>
    <row r="84" spans="1:68" x14ac:dyDescent="0.2">
      <c r="A84" s="391"/>
      <c r="B84" s="384"/>
      <c r="C84" s="384"/>
      <c r="D84" s="384"/>
      <c r="E84" s="384"/>
      <c r="F84" s="384"/>
      <c r="G84" s="384"/>
      <c r="H84" s="384"/>
      <c r="I84" s="384"/>
      <c r="J84" s="384"/>
      <c r="K84" s="384"/>
      <c r="L84" s="384"/>
      <c r="M84" s="384"/>
      <c r="N84" s="384"/>
      <c r="O84" s="392"/>
      <c r="P84" s="387" t="s">
        <v>74</v>
      </c>
      <c r="Q84" s="388"/>
      <c r="R84" s="388"/>
      <c r="S84" s="388"/>
      <c r="T84" s="388"/>
      <c r="U84" s="388"/>
      <c r="V84" s="389"/>
      <c r="W84" s="38" t="s">
        <v>75</v>
      </c>
      <c r="X84" s="375">
        <f>IFERROR(X81/H81,"0")+IFERROR(X82/H82,"0")+IFERROR(X83/H83,"0")</f>
        <v>148.76543209876542</v>
      </c>
      <c r="Y84" s="375">
        <f>IFERROR(Y81/H81,"0")+IFERROR(Y82/H82,"0")+IFERROR(Y83/H83,"0")</f>
        <v>149</v>
      </c>
      <c r="Z84" s="375">
        <f>IFERROR(IF(Z81="",0,Z81),"0")+IFERROR(IF(Z82="",0,Z82),"0")+IFERROR(IF(Z83="",0,Z83),"0")</f>
        <v>2.20452</v>
      </c>
      <c r="AA84" s="376"/>
      <c r="AB84" s="376"/>
      <c r="AC84" s="376"/>
    </row>
    <row r="85" spans="1:68" x14ac:dyDescent="0.2">
      <c r="A85" s="384"/>
      <c r="B85" s="384"/>
      <c r="C85" s="384"/>
      <c r="D85" s="384"/>
      <c r="E85" s="384"/>
      <c r="F85" s="384"/>
      <c r="G85" s="384"/>
      <c r="H85" s="384"/>
      <c r="I85" s="384"/>
      <c r="J85" s="384"/>
      <c r="K85" s="384"/>
      <c r="L85" s="384"/>
      <c r="M85" s="384"/>
      <c r="N85" s="384"/>
      <c r="O85" s="392"/>
      <c r="P85" s="387" t="s">
        <v>74</v>
      </c>
      <c r="Q85" s="388"/>
      <c r="R85" s="388"/>
      <c r="S85" s="388"/>
      <c r="T85" s="388"/>
      <c r="U85" s="388"/>
      <c r="V85" s="389"/>
      <c r="W85" s="38" t="s">
        <v>71</v>
      </c>
      <c r="X85" s="375">
        <f>IFERROR(SUM(X81:X83),"0")</f>
        <v>935</v>
      </c>
      <c r="Y85" s="375">
        <f>IFERROR(SUM(Y81:Y83),"0")</f>
        <v>936.9</v>
      </c>
      <c r="Z85" s="38"/>
      <c r="AA85" s="376"/>
      <c r="AB85" s="376"/>
      <c r="AC85" s="376"/>
    </row>
    <row r="86" spans="1:68" ht="14.25" customHeight="1" x14ac:dyDescent="0.25">
      <c r="A86" s="383" t="s">
        <v>118</v>
      </c>
      <c r="B86" s="384"/>
      <c r="C86" s="384"/>
      <c r="D86" s="384"/>
      <c r="E86" s="384"/>
      <c r="F86" s="384"/>
      <c r="G86" s="384"/>
      <c r="H86" s="384"/>
      <c r="I86" s="384"/>
      <c r="J86" s="384"/>
      <c r="K86" s="384"/>
      <c r="L86" s="384"/>
      <c r="M86" s="384"/>
      <c r="N86" s="384"/>
      <c r="O86" s="384"/>
      <c r="P86" s="384"/>
      <c r="Q86" s="384"/>
      <c r="R86" s="384"/>
      <c r="S86" s="384"/>
      <c r="T86" s="384"/>
      <c r="U86" s="384"/>
      <c r="V86" s="384"/>
      <c r="W86" s="384"/>
      <c r="X86" s="384"/>
      <c r="Y86" s="384"/>
      <c r="Z86" s="384"/>
      <c r="AA86" s="368"/>
      <c r="AB86" s="368"/>
      <c r="AC86" s="368"/>
    </row>
    <row r="87" spans="1:68" ht="16.5" customHeight="1" x14ac:dyDescent="0.25">
      <c r="A87" s="55" t="s">
        <v>165</v>
      </c>
      <c r="B87" s="55" t="s">
        <v>166</v>
      </c>
      <c r="C87" s="32">
        <v>4301060317</v>
      </c>
      <c r="D87" s="381">
        <v>4680115880238</v>
      </c>
      <c r="E87" s="382"/>
      <c r="F87" s="372">
        <v>0.33</v>
      </c>
      <c r="G87" s="33">
        <v>6</v>
      </c>
      <c r="H87" s="372">
        <v>1.98</v>
      </c>
      <c r="I87" s="372">
        <v>2.238</v>
      </c>
      <c r="J87" s="33">
        <v>182</v>
      </c>
      <c r="K87" s="33" t="s">
        <v>69</v>
      </c>
      <c r="L87" s="33"/>
      <c r="M87" s="34" t="s">
        <v>87</v>
      </c>
      <c r="N87" s="34"/>
      <c r="O87" s="33">
        <v>40</v>
      </c>
      <c r="P87" s="51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87" s="378"/>
      <c r="R87" s="378"/>
      <c r="S87" s="378"/>
      <c r="T87" s="379"/>
      <c r="U87" s="35"/>
      <c r="V87" s="35"/>
      <c r="W87" s="36" t="s">
        <v>71</v>
      </c>
      <c r="X87" s="373">
        <v>50</v>
      </c>
      <c r="Y87" s="374">
        <f>IFERROR(IF(X87="",0,CEILING((X87/$H87),1)*$H87),"")</f>
        <v>51.48</v>
      </c>
      <c r="Z87" s="37">
        <f>IFERROR(IF(Y87=0,"",ROUNDUP(Y87/H87,0)*0.00651),"")</f>
        <v>0.16925999999999999</v>
      </c>
      <c r="AA87" s="57"/>
      <c r="AB87" s="58"/>
      <c r="AC87" s="130" t="s">
        <v>167</v>
      </c>
      <c r="AG87" s="65"/>
      <c r="AJ87" s="69"/>
      <c r="AK87" s="69">
        <v>0</v>
      </c>
      <c r="BB87" s="131" t="s">
        <v>1</v>
      </c>
      <c r="BM87" s="65">
        <f>IFERROR(X87*I87/H87,"0")</f>
        <v>56.515151515151516</v>
      </c>
      <c r="BN87" s="65">
        <f>IFERROR(Y87*I87/H87,"0")</f>
        <v>58.187999999999995</v>
      </c>
      <c r="BO87" s="65">
        <f>IFERROR(1/J87*(X87/H87),"0")</f>
        <v>0.13875013875013875</v>
      </c>
      <c r="BP87" s="65">
        <f>IFERROR(1/J87*(Y87/H87),"0")</f>
        <v>0.14285714285714288</v>
      </c>
    </row>
    <row r="88" spans="1:68" x14ac:dyDescent="0.2">
      <c r="A88" s="391"/>
      <c r="B88" s="384"/>
      <c r="C88" s="384"/>
      <c r="D88" s="384"/>
      <c r="E88" s="384"/>
      <c r="F88" s="384"/>
      <c r="G88" s="384"/>
      <c r="H88" s="384"/>
      <c r="I88" s="384"/>
      <c r="J88" s="384"/>
      <c r="K88" s="384"/>
      <c r="L88" s="384"/>
      <c r="M88" s="384"/>
      <c r="N88" s="384"/>
      <c r="O88" s="392"/>
      <c r="P88" s="387" t="s">
        <v>74</v>
      </c>
      <c r="Q88" s="388"/>
      <c r="R88" s="388"/>
      <c r="S88" s="388"/>
      <c r="T88" s="388"/>
      <c r="U88" s="388"/>
      <c r="V88" s="389"/>
      <c r="W88" s="38" t="s">
        <v>75</v>
      </c>
      <c r="X88" s="375">
        <f>IFERROR(X87/H87,"0")</f>
        <v>25.252525252525253</v>
      </c>
      <c r="Y88" s="375">
        <f>IFERROR(Y87/H87,"0")</f>
        <v>26</v>
      </c>
      <c r="Z88" s="375">
        <f>IFERROR(IF(Z87="",0,Z87),"0")</f>
        <v>0.16925999999999999</v>
      </c>
      <c r="AA88" s="376"/>
      <c r="AB88" s="376"/>
      <c r="AC88" s="376"/>
    </row>
    <row r="89" spans="1:68" x14ac:dyDescent="0.2">
      <c r="A89" s="384"/>
      <c r="B89" s="384"/>
      <c r="C89" s="384"/>
      <c r="D89" s="384"/>
      <c r="E89" s="384"/>
      <c r="F89" s="384"/>
      <c r="G89" s="384"/>
      <c r="H89" s="384"/>
      <c r="I89" s="384"/>
      <c r="J89" s="384"/>
      <c r="K89" s="384"/>
      <c r="L89" s="384"/>
      <c r="M89" s="384"/>
      <c r="N89" s="384"/>
      <c r="O89" s="392"/>
      <c r="P89" s="387" t="s">
        <v>74</v>
      </c>
      <c r="Q89" s="388"/>
      <c r="R89" s="388"/>
      <c r="S89" s="388"/>
      <c r="T89" s="388"/>
      <c r="U89" s="388"/>
      <c r="V89" s="389"/>
      <c r="W89" s="38" t="s">
        <v>71</v>
      </c>
      <c r="X89" s="375">
        <f>IFERROR(SUM(X87:X87),"0")</f>
        <v>50</v>
      </c>
      <c r="Y89" s="375">
        <f>IFERROR(SUM(Y87:Y87),"0")</f>
        <v>51.48</v>
      </c>
      <c r="Z89" s="38"/>
      <c r="AA89" s="376"/>
      <c r="AB89" s="376"/>
      <c r="AC89" s="376"/>
    </row>
    <row r="90" spans="1:68" ht="16.5" customHeight="1" x14ac:dyDescent="0.25">
      <c r="A90" s="419" t="s">
        <v>76</v>
      </c>
      <c r="B90" s="384"/>
      <c r="C90" s="384"/>
      <c r="D90" s="384"/>
      <c r="E90" s="384"/>
      <c r="F90" s="384"/>
      <c r="G90" s="384"/>
      <c r="H90" s="384"/>
      <c r="I90" s="384"/>
      <c r="J90" s="384"/>
      <c r="K90" s="384"/>
      <c r="L90" s="384"/>
      <c r="M90" s="384"/>
      <c r="N90" s="384"/>
      <c r="O90" s="384"/>
      <c r="P90" s="384"/>
      <c r="Q90" s="384"/>
      <c r="R90" s="384"/>
      <c r="S90" s="384"/>
      <c r="T90" s="384"/>
      <c r="U90" s="384"/>
      <c r="V90" s="384"/>
      <c r="W90" s="384"/>
      <c r="X90" s="384"/>
      <c r="Y90" s="384"/>
      <c r="Z90" s="384"/>
      <c r="AA90" s="369"/>
      <c r="AB90" s="369"/>
      <c r="AC90" s="369"/>
    </row>
    <row r="91" spans="1:68" ht="14.25" customHeight="1" x14ac:dyDescent="0.25">
      <c r="A91" s="383" t="s">
        <v>78</v>
      </c>
      <c r="B91" s="384"/>
      <c r="C91" s="384"/>
      <c r="D91" s="384"/>
      <c r="E91" s="384"/>
      <c r="F91" s="384"/>
      <c r="G91" s="384"/>
      <c r="H91" s="384"/>
      <c r="I91" s="384"/>
      <c r="J91" s="384"/>
      <c r="K91" s="384"/>
      <c r="L91" s="384"/>
      <c r="M91" s="384"/>
      <c r="N91" s="384"/>
      <c r="O91" s="384"/>
      <c r="P91" s="384"/>
      <c r="Q91" s="384"/>
      <c r="R91" s="384"/>
      <c r="S91" s="384"/>
      <c r="T91" s="384"/>
      <c r="U91" s="384"/>
      <c r="V91" s="384"/>
      <c r="W91" s="384"/>
      <c r="X91" s="384"/>
      <c r="Y91" s="384"/>
      <c r="Z91" s="384"/>
      <c r="AA91" s="368"/>
      <c r="AB91" s="368"/>
      <c r="AC91" s="368"/>
    </row>
    <row r="92" spans="1:68" ht="27" customHeight="1" x14ac:dyDescent="0.25">
      <c r="A92" s="55" t="s">
        <v>168</v>
      </c>
      <c r="B92" s="55" t="s">
        <v>169</v>
      </c>
      <c r="C92" s="32">
        <v>4301011705</v>
      </c>
      <c r="D92" s="381">
        <v>4607091384604</v>
      </c>
      <c r="E92" s="382"/>
      <c r="F92" s="372">
        <v>0.4</v>
      </c>
      <c r="G92" s="33">
        <v>10</v>
      </c>
      <c r="H92" s="372">
        <v>4</v>
      </c>
      <c r="I92" s="372">
        <v>4.1900000000000004</v>
      </c>
      <c r="J92" s="33">
        <v>132</v>
      </c>
      <c r="K92" s="33" t="s">
        <v>86</v>
      </c>
      <c r="L92" s="33"/>
      <c r="M92" s="34" t="s">
        <v>82</v>
      </c>
      <c r="N92" s="34"/>
      <c r="O92" s="33">
        <v>50</v>
      </c>
      <c r="P92" s="42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92" s="378"/>
      <c r="R92" s="378"/>
      <c r="S92" s="378"/>
      <c r="T92" s="379"/>
      <c r="U92" s="35"/>
      <c r="V92" s="35"/>
      <c r="W92" s="36" t="s">
        <v>71</v>
      </c>
      <c r="X92" s="373">
        <v>0</v>
      </c>
      <c r="Y92" s="374">
        <f>IFERROR(IF(X92="",0,CEILING((X92/$H92),1)*$H92),"")</f>
        <v>0</v>
      </c>
      <c r="Z92" s="37" t="str">
        <f>IFERROR(IF(Y92=0,"",ROUNDUP(Y92/H92,0)*0.00902),"")</f>
        <v/>
      </c>
      <c r="AA92" s="57"/>
      <c r="AB92" s="58"/>
      <c r="AC92" s="132" t="s">
        <v>170</v>
      </c>
      <c r="AG92" s="65"/>
      <c r="AJ92" s="69"/>
      <c r="AK92" s="69">
        <v>0</v>
      </c>
      <c r="BB92" s="133" t="s">
        <v>1</v>
      </c>
      <c r="BM92" s="65">
        <f>IFERROR(X92*I92/H92,"0")</f>
        <v>0</v>
      </c>
      <c r="BN92" s="65">
        <f>IFERROR(Y92*I92/H92,"0")</f>
        <v>0</v>
      </c>
      <c r="BO92" s="65">
        <f>IFERROR(1/J92*(X92/H92),"0")</f>
        <v>0</v>
      </c>
      <c r="BP92" s="65">
        <f>IFERROR(1/J92*(Y92/H92),"0")</f>
        <v>0</v>
      </c>
    </row>
    <row r="93" spans="1:68" x14ac:dyDescent="0.2">
      <c r="A93" s="391"/>
      <c r="B93" s="384"/>
      <c r="C93" s="384"/>
      <c r="D93" s="384"/>
      <c r="E93" s="384"/>
      <c r="F93" s="384"/>
      <c r="G93" s="384"/>
      <c r="H93" s="384"/>
      <c r="I93" s="384"/>
      <c r="J93" s="384"/>
      <c r="K93" s="384"/>
      <c r="L93" s="384"/>
      <c r="M93" s="384"/>
      <c r="N93" s="384"/>
      <c r="O93" s="392"/>
      <c r="P93" s="387" t="s">
        <v>74</v>
      </c>
      <c r="Q93" s="388"/>
      <c r="R93" s="388"/>
      <c r="S93" s="388"/>
      <c r="T93" s="388"/>
      <c r="U93" s="388"/>
      <c r="V93" s="389"/>
      <c r="W93" s="38" t="s">
        <v>75</v>
      </c>
      <c r="X93" s="375">
        <f>IFERROR(X92/H92,"0")</f>
        <v>0</v>
      </c>
      <c r="Y93" s="375">
        <f>IFERROR(Y92/H92,"0")</f>
        <v>0</v>
      </c>
      <c r="Z93" s="375">
        <f>IFERROR(IF(Z92="",0,Z92),"0")</f>
        <v>0</v>
      </c>
      <c r="AA93" s="376"/>
      <c r="AB93" s="376"/>
      <c r="AC93" s="376"/>
    </row>
    <row r="94" spans="1:68" x14ac:dyDescent="0.2">
      <c r="A94" s="384"/>
      <c r="B94" s="384"/>
      <c r="C94" s="384"/>
      <c r="D94" s="384"/>
      <c r="E94" s="384"/>
      <c r="F94" s="384"/>
      <c r="G94" s="384"/>
      <c r="H94" s="384"/>
      <c r="I94" s="384"/>
      <c r="J94" s="384"/>
      <c r="K94" s="384"/>
      <c r="L94" s="384"/>
      <c r="M94" s="384"/>
      <c r="N94" s="384"/>
      <c r="O94" s="392"/>
      <c r="P94" s="387" t="s">
        <v>74</v>
      </c>
      <c r="Q94" s="388"/>
      <c r="R94" s="388"/>
      <c r="S94" s="388"/>
      <c r="T94" s="388"/>
      <c r="U94" s="388"/>
      <c r="V94" s="389"/>
      <c r="W94" s="38" t="s">
        <v>71</v>
      </c>
      <c r="X94" s="375">
        <f>IFERROR(SUM(X92:X92),"0")</f>
        <v>0</v>
      </c>
      <c r="Y94" s="375">
        <f>IFERROR(SUM(Y92:Y92),"0")</f>
        <v>0</v>
      </c>
      <c r="Z94" s="38"/>
      <c r="AA94" s="376"/>
      <c r="AB94" s="376"/>
      <c r="AC94" s="376"/>
    </row>
    <row r="95" spans="1:68" ht="14.25" customHeight="1" x14ac:dyDescent="0.25">
      <c r="A95" s="383" t="s">
        <v>171</v>
      </c>
      <c r="B95" s="384"/>
      <c r="C95" s="384"/>
      <c r="D95" s="384"/>
      <c r="E95" s="384"/>
      <c r="F95" s="384"/>
      <c r="G95" s="384"/>
      <c r="H95" s="384"/>
      <c r="I95" s="384"/>
      <c r="J95" s="384"/>
      <c r="K95" s="384"/>
      <c r="L95" s="384"/>
      <c r="M95" s="384"/>
      <c r="N95" s="384"/>
      <c r="O95" s="384"/>
      <c r="P95" s="384"/>
      <c r="Q95" s="384"/>
      <c r="R95" s="384"/>
      <c r="S95" s="384"/>
      <c r="T95" s="384"/>
      <c r="U95" s="384"/>
      <c r="V95" s="384"/>
      <c r="W95" s="384"/>
      <c r="X95" s="384"/>
      <c r="Y95" s="384"/>
      <c r="Z95" s="384"/>
      <c r="AA95" s="368"/>
      <c r="AB95" s="368"/>
      <c r="AC95" s="368"/>
    </row>
    <row r="96" spans="1:68" ht="16.5" customHeight="1" x14ac:dyDescent="0.25">
      <c r="A96" s="55" t="s">
        <v>172</v>
      </c>
      <c r="B96" s="55" t="s">
        <v>173</v>
      </c>
      <c r="C96" s="32">
        <v>4301030961</v>
      </c>
      <c r="D96" s="381">
        <v>4607091387636</v>
      </c>
      <c r="E96" s="382"/>
      <c r="F96" s="372">
        <v>0.7</v>
      </c>
      <c r="G96" s="33">
        <v>6</v>
      </c>
      <c r="H96" s="372">
        <v>4.2</v>
      </c>
      <c r="I96" s="372">
        <v>4.47</v>
      </c>
      <c r="J96" s="33">
        <v>182</v>
      </c>
      <c r="K96" s="33" t="s">
        <v>69</v>
      </c>
      <c r="L96" s="33"/>
      <c r="M96" s="34" t="s">
        <v>174</v>
      </c>
      <c r="N96" s="34"/>
      <c r="O96" s="33">
        <v>40</v>
      </c>
      <c r="P96" s="52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96" s="378"/>
      <c r="R96" s="378"/>
      <c r="S96" s="378"/>
      <c r="T96" s="379"/>
      <c r="U96" s="35"/>
      <c r="V96" s="35"/>
      <c r="W96" s="36" t="s">
        <v>71</v>
      </c>
      <c r="X96" s="373">
        <v>0</v>
      </c>
      <c r="Y96" s="374">
        <f>IFERROR(IF(X96="",0,CEILING((X96/$H96),1)*$H96),"")</f>
        <v>0</v>
      </c>
      <c r="Z96" s="37" t="str">
        <f>IFERROR(IF(Y96=0,"",ROUNDUP(Y96/H96,0)*0.00651),"")</f>
        <v/>
      </c>
      <c r="AA96" s="57"/>
      <c r="AB96" s="58"/>
      <c r="AC96" s="134" t="s">
        <v>175</v>
      </c>
      <c r="AG96" s="65"/>
      <c r="AJ96" s="69"/>
      <c r="AK96" s="69">
        <v>0</v>
      </c>
      <c r="BB96" s="135" t="s">
        <v>1</v>
      </c>
      <c r="BM96" s="65">
        <f>IFERROR(X96*I96/H96,"0")</f>
        <v>0</v>
      </c>
      <c r="BN96" s="65">
        <f>IFERROR(Y96*I96/H96,"0")</f>
        <v>0</v>
      </c>
      <c r="BO96" s="65">
        <f>IFERROR(1/J96*(X96/H96),"0")</f>
        <v>0</v>
      </c>
      <c r="BP96" s="65">
        <f>IFERROR(1/J96*(Y96/H96),"0")</f>
        <v>0</v>
      </c>
    </row>
    <row r="97" spans="1:68" ht="27" customHeight="1" x14ac:dyDescent="0.25">
      <c r="A97" s="55" t="s">
        <v>176</v>
      </c>
      <c r="B97" s="55" t="s">
        <v>177</v>
      </c>
      <c r="C97" s="32">
        <v>4301030963</v>
      </c>
      <c r="D97" s="381">
        <v>4607091382426</v>
      </c>
      <c r="E97" s="382"/>
      <c r="F97" s="372">
        <v>0.9</v>
      </c>
      <c r="G97" s="33">
        <v>10</v>
      </c>
      <c r="H97" s="372">
        <v>9</v>
      </c>
      <c r="I97" s="372">
        <v>9.56</v>
      </c>
      <c r="J97" s="33">
        <v>64</v>
      </c>
      <c r="K97" s="33" t="s">
        <v>81</v>
      </c>
      <c r="L97" s="33"/>
      <c r="M97" s="34" t="s">
        <v>174</v>
      </c>
      <c r="N97" s="34"/>
      <c r="O97" s="33">
        <v>40</v>
      </c>
      <c r="P97" s="45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97" s="378"/>
      <c r="R97" s="378"/>
      <c r="S97" s="378"/>
      <c r="T97" s="379"/>
      <c r="U97" s="35"/>
      <c r="V97" s="35"/>
      <c r="W97" s="36" t="s">
        <v>71</v>
      </c>
      <c r="X97" s="373">
        <v>0</v>
      </c>
      <c r="Y97" s="374">
        <f>IFERROR(IF(X97="",0,CEILING((X97/$H97),1)*$H97),"")</f>
        <v>0</v>
      </c>
      <c r="Z97" s="37" t="str">
        <f>IFERROR(IF(Y97=0,"",ROUNDUP(Y97/H97,0)*0.01898),"")</f>
        <v/>
      </c>
      <c r="AA97" s="57"/>
      <c r="AB97" s="58"/>
      <c r="AC97" s="136" t="s">
        <v>178</v>
      </c>
      <c r="AG97" s="65"/>
      <c r="AJ97" s="69"/>
      <c r="AK97" s="69">
        <v>0</v>
      </c>
      <c r="BB97" s="137" t="s">
        <v>1</v>
      </c>
      <c r="BM97" s="65">
        <f>IFERROR(X97*I97/H97,"0")</f>
        <v>0</v>
      </c>
      <c r="BN97" s="65">
        <f>IFERROR(Y97*I97/H97,"0")</f>
        <v>0</v>
      </c>
      <c r="BO97" s="65">
        <f>IFERROR(1/J97*(X97/H97),"0")</f>
        <v>0</v>
      </c>
      <c r="BP97" s="65">
        <f>IFERROR(1/J97*(Y97/H97),"0")</f>
        <v>0</v>
      </c>
    </row>
    <row r="98" spans="1:68" x14ac:dyDescent="0.2">
      <c r="A98" s="391"/>
      <c r="B98" s="384"/>
      <c r="C98" s="384"/>
      <c r="D98" s="384"/>
      <c r="E98" s="384"/>
      <c r="F98" s="384"/>
      <c r="G98" s="384"/>
      <c r="H98" s="384"/>
      <c r="I98" s="384"/>
      <c r="J98" s="384"/>
      <c r="K98" s="384"/>
      <c r="L98" s="384"/>
      <c r="M98" s="384"/>
      <c r="N98" s="384"/>
      <c r="O98" s="392"/>
      <c r="P98" s="387" t="s">
        <v>74</v>
      </c>
      <c r="Q98" s="388"/>
      <c r="R98" s="388"/>
      <c r="S98" s="388"/>
      <c r="T98" s="388"/>
      <c r="U98" s="388"/>
      <c r="V98" s="389"/>
      <c r="W98" s="38" t="s">
        <v>75</v>
      </c>
      <c r="X98" s="375">
        <f>IFERROR(X96/H96,"0")+IFERROR(X97/H97,"0")</f>
        <v>0</v>
      </c>
      <c r="Y98" s="375">
        <f>IFERROR(Y96/H96,"0")+IFERROR(Y97/H97,"0")</f>
        <v>0</v>
      </c>
      <c r="Z98" s="375">
        <f>IFERROR(IF(Z96="",0,Z96),"0")+IFERROR(IF(Z97="",0,Z97),"0")</f>
        <v>0</v>
      </c>
      <c r="AA98" s="376"/>
      <c r="AB98" s="376"/>
      <c r="AC98" s="376"/>
    </row>
    <row r="99" spans="1:68" x14ac:dyDescent="0.2">
      <c r="A99" s="384"/>
      <c r="B99" s="384"/>
      <c r="C99" s="384"/>
      <c r="D99" s="384"/>
      <c r="E99" s="384"/>
      <c r="F99" s="384"/>
      <c r="G99" s="384"/>
      <c r="H99" s="384"/>
      <c r="I99" s="384"/>
      <c r="J99" s="384"/>
      <c r="K99" s="384"/>
      <c r="L99" s="384"/>
      <c r="M99" s="384"/>
      <c r="N99" s="384"/>
      <c r="O99" s="392"/>
      <c r="P99" s="387" t="s">
        <v>74</v>
      </c>
      <c r="Q99" s="388"/>
      <c r="R99" s="388"/>
      <c r="S99" s="388"/>
      <c r="T99" s="388"/>
      <c r="U99" s="388"/>
      <c r="V99" s="389"/>
      <c r="W99" s="38" t="s">
        <v>71</v>
      </c>
      <c r="X99" s="375">
        <f>IFERROR(SUM(X96:X97),"0")</f>
        <v>0</v>
      </c>
      <c r="Y99" s="375">
        <f>IFERROR(SUM(Y96:Y97),"0")</f>
        <v>0</v>
      </c>
      <c r="Z99" s="38"/>
      <c r="AA99" s="376"/>
      <c r="AB99" s="376"/>
      <c r="AC99" s="376"/>
    </row>
    <row r="100" spans="1:68" ht="27.75" customHeight="1" x14ac:dyDescent="0.2">
      <c r="A100" s="441" t="s">
        <v>179</v>
      </c>
      <c r="B100" s="442"/>
      <c r="C100" s="442"/>
      <c r="D100" s="442"/>
      <c r="E100" s="442"/>
      <c r="F100" s="442"/>
      <c r="G100" s="442"/>
      <c r="H100" s="442"/>
      <c r="I100" s="442"/>
      <c r="J100" s="442"/>
      <c r="K100" s="442"/>
      <c r="L100" s="442"/>
      <c r="M100" s="442"/>
      <c r="N100" s="442"/>
      <c r="O100" s="442"/>
      <c r="P100" s="442"/>
      <c r="Q100" s="442"/>
      <c r="R100" s="442"/>
      <c r="S100" s="442"/>
      <c r="T100" s="442"/>
      <c r="U100" s="442"/>
      <c r="V100" s="442"/>
      <c r="W100" s="442"/>
      <c r="X100" s="442"/>
      <c r="Y100" s="442"/>
      <c r="Z100" s="442"/>
      <c r="AA100" s="49"/>
      <c r="AB100" s="49"/>
      <c r="AC100" s="49"/>
    </row>
    <row r="101" spans="1:68" ht="16.5" customHeight="1" x14ac:dyDescent="0.25">
      <c r="A101" s="419" t="s">
        <v>180</v>
      </c>
      <c r="B101" s="384"/>
      <c r="C101" s="384"/>
      <c r="D101" s="384"/>
      <c r="E101" s="384"/>
      <c r="F101" s="384"/>
      <c r="G101" s="384"/>
      <c r="H101" s="384"/>
      <c r="I101" s="384"/>
      <c r="J101" s="384"/>
      <c r="K101" s="384"/>
      <c r="L101" s="384"/>
      <c r="M101" s="384"/>
      <c r="N101" s="384"/>
      <c r="O101" s="384"/>
      <c r="P101" s="384"/>
      <c r="Q101" s="384"/>
      <c r="R101" s="384"/>
      <c r="S101" s="384"/>
      <c r="T101" s="384"/>
      <c r="U101" s="384"/>
      <c r="V101" s="384"/>
      <c r="W101" s="384"/>
      <c r="X101" s="384"/>
      <c r="Y101" s="384"/>
      <c r="Z101" s="384"/>
      <c r="AA101" s="369"/>
      <c r="AB101" s="369"/>
      <c r="AC101" s="369"/>
    </row>
    <row r="102" spans="1:68" ht="14.25" customHeight="1" x14ac:dyDescent="0.25">
      <c r="A102" s="383" t="s">
        <v>171</v>
      </c>
      <c r="B102" s="384"/>
      <c r="C102" s="384"/>
      <c r="D102" s="384"/>
      <c r="E102" s="384"/>
      <c r="F102" s="384"/>
      <c r="G102" s="384"/>
      <c r="H102" s="384"/>
      <c r="I102" s="384"/>
      <c r="J102" s="384"/>
      <c r="K102" s="384"/>
      <c r="L102" s="384"/>
      <c r="M102" s="384"/>
      <c r="N102" s="384"/>
      <c r="O102" s="384"/>
      <c r="P102" s="384"/>
      <c r="Q102" s="384"/>
      <c r="R102" s="384"/>
      <c r="S102" s="384"/>
      <c r="T102" s="384"/>
      <c r="U102" s="384"/>
      <c r="V102" s="384"/>
      <c r="W102" s="384"/>
      <c r="X102" s="384"/>
      <c r="Y102" s="384"/>
      <c r="Z102" s="384"/>
      <c r="AA102" s="368"/>
      <c r="AB102" s="368"/>
      <c r="AC102" s="368"/>
    </row>
    <row r="103" spans="1:68" ht="27" customHeight="1" x14ac:dyDescent="0.25">
      <c r="A103" s="55" t="s">
        <v>181</v>
      </c>
      <c r="B103" s="55" t="s">
        <v>182</v>
      </c>
      <c r="C103" s="32">
        <v>4301031191</v>
      </c>
      <c r="D103" s="381">
        <v>4680115880993</v>
      </c>
      <c r="E103" s="382"/>
      <c r="F103" s="372">
        <v>0.7</v>
      </c>
      <c r="G103" s="33">
        <v>6</v>
      </c>
      <c r="H103" s="372">
        <v>4.2</v>
      </c>
      <c r="I103" s="372">
        <v>4.45</v>
      </c>
      <c r="J103" s="33">
        <v>132</v>
      </c>
      <c r="K103" s="33" t="s">
        <v>86</v>
      </c>
      <c r="L103" s="33"/>
      <c r="M103" s="34" t="s">
        <v>174</v>
      </c>
      <c r="N103" s="34"/>
      <c r="O103" s="33">
        <v>40</v>
      </c>
      <c r="P103" s="4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03" s="378"/>
      <c r="R103" s="378"/>
      <c r="S103" s="378"/>
      <c r="T103" s="379"/>
      <c r="U103" s="35"/>
      <c r="V103" s="35"/>
      <c r="W103" s="36" t="s">
        <v>71</v>
      </c>
      <c r="X103" s="373">
        <v>0</v>
      </c>
      <c r="Y103" s="374">
        <f t="shared" ref="Y103:Y111" si="5">IFERROR(IF(X103="",0,CEILING((X103/$H103),1)*$H103),"")</f>
        <v>0</v>
      </c>
      <c r="Z103" s="37" t="str">
        <f>IFERROR(IF(Y103=0,"",ROUNDUP(Y103/H103,0)*0.00902),"")</f>
        <v/>
      </c>
      <c r="AA103" s="57"/>
      <c r="AB103" s="58"/>
      <c r="AC103" s="138" t="s">
        <v>183</v>
      </c>
      <c r="AG103" s="65"/>
      <c r="AJ103" s="69"/>
      <c r="AK103" s="69">
        <v>0</v>
      </c>
      <c r="BB103" s="139" t="s">
        <v>1</v>
      </c>
      <c r="BM103" s="65">
        <f t="shared" ref="BM103:BM111" si="6">IFERROR(X103*I103/H103,"0")</f>
        <v>0</v>
      </c>
      <c r="BN103" s="65">
        <f t="shared" ref="BN103:BN111" si="7">IFERROR(Y103*I103/H103,"0")</f>
        <v>0</v>
      </c>
      <c r="BO103" s="65">
        <f t="shared" ref="BO103:BO111" si="8">IFERROR(1/J103*(X103/H103),"0")</f>
        <v>0</v>
      </c>
      <c r="BP103" s="65">
        <f t="shared" ref="BP103:BP111" si="9">IFERROR(1/J103*(Y103/H103),"0")</f>
        <v>0</v>
      </c>
    </row>
    <row r="104" spans="1:68" ht="27" customHeight="1" x14ac:dyDescent="0.25">
      <c r="A104" s="55" t="s">
        <v>184</v>
      </c>
      <c r="B104" s="55" t="s">
        <v>185</v>
      </c>
      <c r="C104" s="32">
        <v>4301031204</v>
      </c>
      <c r="D104" s="381">
        <v>4680115881761</v>
      </c>
      <c r="E104" s="382"/>
      <c r="F104" s="372">
        <v>0.7</v>
      </c>
      <c r="G104" s="33">
        <v>6</v>
      </c>
      <c r="H104" s="372">
        <v>4.2</v>
      </c>
      <c r="I104" s="372">
        <v>4.45</v>
      </c>
      <c r="J104" s="33">
        <v>132</v>
      </c>
      <c r="K104" s="33" t="s">
        <v>86</v>
      </c>
      <c r="L104" s="33"/>
      <c r="M104" s="34" t="s">
        <v>174</v>
      </c>
      <c r="N104" s="34"/>
      <c r="O104" s="33">
        <v>40</v>
      </c>
      <c r="P104" s="41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04" s="378"/>
      <c r="R104" s="378"/>
      <c r="S104" s="378"/>
      <c r="T104" s="379"/>
      <c r="U104" s="35"/>
      <c r="V104" s="35"/>
      <c r="W104" s="36" t="s">
        <v>71</v>
      </c>
      <c r="X104" s="373">
        <v>150</v>
      </c>
      <c r="Y104" s="374">
        <f t="shared" si="5"/>
        <v>151.20000000000002</v>
      </c>
      <c r="Z104" s="37">
        <f>IFERROR(IF(Y104=0,"",ROUNDUP(Y104/H104,0)*0.00902),"")</f>
        <v>0.32472000000000001</v>
      </c>
      <c r="AA104" s="57"/>
      <c r="AB104" s="58"/>
      <c r="AC104" s="140" t="s">
        <v>186</v>
      </c>
      <c r="AG104" s="65"/>
      <c r="AJ104" s="69"/>
      <c r="AK104" s="69">
        <v>0</v>
      </c>
      <c r="BB104" s="141" t="s">
        <v>1</v>
      </c>
      <c r="BM104" s="65">
        <f t="shared" si="6"/>
        <v>158.92857142857142</v>
      </c>
      <c r="BN104" s="65">
        <f t="shared" si="7"/>
        <v>160.20000000000002</v>
      </c>
      <c r="BO104" s="65">
        <f t="shared" si="8"/>
        <v>0.27056277056277056</v>
      </c>
      <c r="BP104" s="65">
        <f t="shared" si="9"/>
        <v>0.27272727272727271</v>
      </c>
    </row>
    <row r="105" spans="1:68" ht="27" customHeight="1" x14ac:dyDescent="0.25">
      <c r="A105" s="55" t="s">
        <v>187</v>
      </c>
      <c r="B105" s="55" t="s">
        <v>188</v>
      </c>
      <c r="C105" s="32">
        <v>4301031201</v>
      </c>
      <c r="D105" s="381">
        <v>4680115881563</v>
      </c>
      <c r="E105" s="382"/>
      <c r="F105" s="372">
        <v>0.7</v>
      </c>
      <c r="G105" s="33">
        <v>6</v>
      </c>
      <c r="H105" s="372">
        <v>4.2</v>
      </c>
      <c r="I105" s="372">
        <v>4.3899999999999997</v>
      </c>
      <c r="J105" s="33">
        <v>132</v>
      </c>
      <c r="K105" s="33" t="s">
        <v>86</v>
      </c>
      <c r="L105" s="33"/>
      <c r="M105" s="34" t="s">
        <v>174</v>
      </c>
      <c r="N105" s="34"/>
      <c r="O105" s="33">
        <v>40</v>
      </c>
      <c r="P105" s="57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05" s="378"/>
      <c r="R105" s="378"/>
      <c r="S105" s="378"/>
      <c r="T105" s="379"/>
      <c r="U105" s="35"/>
      <c r="V105" s="35"/>
      <c r="W105" s="36" t="s">
        <v>71</v>
      </c>
      <c r="X105" s="373">
        <v>150</v>
      </c>
      <c r="Y105" s="374">
        <f t="shared" si="5"/>
        <v>151.20000000000002</v>
      </c>
      <c r="Z105" s="37">
        <f>IFERROR(IF(Y105=0,"",ROUNDUP(Y105/H105,0)*0.00902),"")</f>
        <v>0.32472000000000001</v>
      </c>
      <c r="AA105" s="57"/>
      <c r="AB105" s="58"/>
      <c r="AC105" s="142" t="s">
        <v>189</v>
      </c>
      <c r="AG105" s="65"/>
      <c r="AJ105" s="69"/>
      <c r="AK105" s="69">
        <v>0</v>
      </c>
      <c r="BB105" s="143" t="s">
        <v>1</v>
      </c>
      <c r="BM105" s="65">
        <f t="shared" si="6"/>
        <v>156.78571428571428</v>
      </c>
      <c r="BN105" s="65">
        <f t="shared" si="7"/>
        <v>158.04</v>
      </c>
      <c r="BO105" s="65">
        <f t="shared" si="8"/>
        <v>0.27056277056277056</v>
      </c>
      <c r="BP105" s="65">
        <f t="shared" si="9"/>
        <v>0.27272727272727271</v>
      </c>
    </row>
    <row r="106" spans="1:68" ht="27" customHeight="1" x14ac:dyDescent="0.25">
      <c r="A106" s="55" t="s">
        <v>190</v>
      </c>
      <c r="B106" s="55" t="s">
        <v>191</v>
      </c>
      <c r="C106" s="32">
        <v>4301031199</v>
      </c>
      <c r="D106" s="381">
        <v>4680115880986</v>
      </c>
      <c r="E106" s="382"/>
      <c r="F106" s="372">
        <v>0.35</v>
      </c>
      <c r="G106" s="33">
        <v>6</v>
      </c>
      <c r="H106" s="372">
        <v>2.1</v>
      </c>
      <c r="I106" s="372">
        <v>2.23</v>
      </c>
      <c r="J106" s="33">
        <v>234</v>
      </c>
      <c r="K106" s="33" t="s">
        <v>155</v>
      </c>
      <c r="L106" s="33"/>
      <c r="M106" s="34" t="s">
        <v>174</v>
      </c>
      <c r="N106" s="34"/>
      <c r="O106" s="33">
        <v>40</v>
      </c>
      <c r="P106" s="5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06" s="378"/>
      <c r="R106" s="378"/>
      <c r="S106" s="378"/>
      <c r="T106" s="379"/>
      <c r="U106" s="35"/>
      <c r="V106" s="35"/>
      <c r="W106" s="36" t="s">
        <v>71</v>
      </c>
      <c r="X106" s="373">
        <v>0</v>
      </c>
      <c r="Y106" s="374">
        <f t="shared" si="5"/>
        <v>0</v>
      </c>
      <c r="Z106" s="37" t="str">
        <f>IFERROR(IF(Y106=0,"",ROUNDUP(Y106/H106,0)*0.00502),"")</f>
        <v/>
      </c>
      <c r="AA106" s="57"/>
      <c r="AB106" s="58"/>
      <c r="AC106" s="144" t="s">
        <v>183</v>
      </c>
      <c r="AG106" s="65"/>
      <c r="AJ106" s="69"/>
      <c r="AK106" s="69">
        <v>0</v>
      </c>
      <c r="BB106" s="145" t="s">
        <v>1</v>
      </c>
      <c r="BM106" s="65">
        <f t="shared" si="6"/>
        <v>0</v>
      </c>
      <c r="BN106" s="65">
        <f t="shared" si="7"/>
        <v>0</v>
      </c>
      <c r="BO106" s="65">
        <f t="shared" si="8"/>
        <v>0</v>
      </c>
      <c r="BP106" s="65">
        <f t="shared" si="9"/>
        <v>0</v>
      </c>
    </row>
    <row r="107" spans="1:68" ht="27" customHeight="1" x14ac:dyDescent="0.25">
      <c r="A107" s="55" t="s">
        <v>192</v>
      </c>
      <c r="B107" s="55" t="s">
        <v>193</v>
      </c>
      <c r="C107" s="32">
        <v>4301031443</v>
      </c>
      <c r="D107" s="381">
        <v>4680115887213</v>
      </c>
      <c r="E107" s="382"/>
      <c r="F107" s="372">
        <v>0.3</v>
      </c>
      <c r="G107" s="33">
        <v>6</v>
      </c>
      <c r="H107" s="372">
        <v>1.8</v>
      </c>
      <c r="I107" s="372">
        <v>1.9</v>
      </c>
      <c r="J107" s="33">
        <v>234</v>
      </c>
      <c r="K107" s="33" t="s">
        <v>155</v>
      </c>
      <c r="L107" s="33"/>
      <c r="M107" s="34" t="s">
        <v>174</v>
      </c>
      <c r="N107" s="34"/>
      <c r="O107" s="33">
        <v>45</v>
      </c>
      <c r="P107" s="5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07" s="378"/>
      <c r="R107" s="378"/>
      <c r="S107" s="378"/>
      <c r="T107" s="379"/>
      <c r="U107" s="35"/>
      <c r="V107" s="35"/>
      <c r="W107" s="36" t="s">
        <v>71</v>
      </c>
      <c r="X107" s="373">
        <v>0</v>
      </c>
      <c r="Y107" s="374">
        <f t="shared" si="5"/>
        <v>0</v>
      </c>
      <c r="Z107" s="37" t="str">
        <f>IFERROR(IF(Y107=0,"",ROUNDUP(Y107/H107,0)*0.00502),"")</f>
        <v/>
      </c>
      <c r="AA107" s="57"/>
      <c r="AB107" s="58"/>
      <c r="AC107" s="146" t="s">
        <v>194</v>
      </c>
      <c r="AG107" s="65"/>
      <c r="AJ107" s="69"/>
      <c r="AK107" s="69">
        <v>0</v>
      </c>
      <c r="BB107" s="147" t="s">
        <v>1</v>
      </c>
      <c r="BM107" s="65">
        <f t="shared" si="6"/>
        <v>0</v>
      </c>
      <c r="BN107" s="65">
        <f t="shared" si="7"/>
        <v>0</v>
      </c>
      <c r="BO107" s="65">
        <f t="shared" si="8"/>
        <v>0</v>
      </c>
      <c r="BP107" s="65">
        <f t="shared" si="9"/>
        <v>0</v>
      </c>
    </row>
    <row r="108" spans="1:68" ht="27" customHeight="1" x14ac:dyDescent="0.25">
      <c r="A108" s="55" t="s">
        <v>195</v>
      </c>
      <c r="B108" s="55" t="s">
        <v>196</v>
      </c>
      <c r="C108" s="32">
        <v>4301031205</v>
      </c>
      <c r="D108" s="381">
        <v>4680115881785</v>
      </c>
      <c r="E108" s="382"/>
      <c r="F108" s="372">
        <v>0.35</v>
      </c>
      <c r="G108" s="33">
        <v>6</v>
      </c>
      <c r="H108" s="372">
        <v>2.1</v>
      </c>
      <c r="I108" s="372">
        <v>2.23</v>
      </c>
      <c r="J108" s="33">
        <v>234</v>
      </c>
      <c r="K108" s="33" t="s">
        <v>155</v>
      </c>
      <c r="L108" s="33"/>
      <c r="M108" s="34" t="s">
        <v>174</v>
      </c>
      <c r="N108" s="34"/>
      <c r="O108" s="33">
        <v>40</v>
      </c>
      <c r="P108" s="5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08" s="378"/>
      <c r="R108" s="378"/>
      <c r="S108" s="378"/>
      <c r="T108" s="379"/>
      <c r="U108" s="35"/>
      <c r="V108" s="35"/>
      <c r="W108" s="36" t="s">
        <v>71</v>
      </c>
      <c r="X108" s="373">
        <v>175</v>
      </c>
      <c r="Y108" s="374">
        <f t="shared" si="5"/>
        <v>176.4</v>
      </c>
      <c r="Z108" s="37">
        <f>IFERROR(IF(Y108=0,"",ROUNDUP(Y108/H108,0)*0.00502),"")</f>
        <v>0.42168</v>
      </c>
      <c r="AA108" s="57"/>
      <c r="AB108" s="58"/>
      <c r="AC108" s="148" t="s">
        <v>186</v>
      </c>
      <c r="AG108" s="65"/>
      <c r="AJ108" s="69"/>
      <c r="AK108" s="69">
        <v>0</v>
      </c>
      <c r="BB108" s="149" t="s">
        <v>1</v>
      </c>
      <c r="BM108" s="65">
        <f t="shared" si="6"/>
        <v>185.83333333333331</v>
      </c>
      <c r="BN108" s="65">
        <f t="shared" si="7"/>
        <v>187.32</v>
      </c>
      <c r="BO108" s="65">
        <f t="shared" si="8"/>
        <v>0.35612535612535612</v>
      </c>
      <c r="BP108" s="65">
        <f t="shared" si="9"/>
        <v>0.35897435897435903</v>
      </c>
    </row>
    <row r="109" spans="1:68" ht="37.5" customHeight="1" x14ac:dyDescent="0.25">
      <c r="A109" s="55" t="s">
        <v>197</v>
      </c>
      <c r="B109" s="55" t="s">
        <v>198</v>
      </c>
      <c r="C109" s="32">
        <v>4301031202</v>
      </c>
      <c r="D109" s="381">
        <v>4680115881679</v>
      </c>
      <c r="E109" s="382"/>
      <c r="F109" s="372">
        <v>0.35</v>
      </c>
      <c r="G109" s="33">
        <v>6</v>
      </c>
      <c r="H109" s="372">
        <v>2.1</v>
      </c>
      <c r="I109" s="372">
        <v>2.2000000000000002</v>
      </c>
      <c r="J109" s="33">
        <v>234</v>
      </c>
      <c r="K109" s="33" t="s">
        <v>155</v>
      </c>
      <c r="L109" s="33"/>
      <c r="M109" s="34" t="s">
        <v>174</v>
      </c>
      <c r="N109" s="34"/>
      <c r="O109" s="33">
        <v>40</v>
      </c>
      <c r="P109" s="54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09" s="378"/>
      <c r="R109" s="378"/>
      <c r="S109" s="378"/>
      <c r="T109" s="379"/>
      <c r="U109" s="35"/>
      <c r="V109" s="35"/>
      <c r="W109" s="36" t="s">
        <v>71</v>
      </c>
      <c r="X109" s="373">
        <v>175</v>
      </c>
      <c r="Y109" s="374">
        <f t="shared" si="5"/>
        <v>176.4</v>
      </c>
      <c r="Z109" s="37">
        <f>IFERROR(IF(Y109=0,"",ROUNDUP(Y109/H109,0)*0.00502),"")</f>
        <v>0.42168</v>
      </c>
      <c r="AA109" s="57"/>
      <c r="AB109" s="58"/>
      <c r="AC109" s="150" t="s">
        <v>189</v>
      </c>
      <c r="AG109" s="65"/>
      <c r="AJ109" s="69"/>
      <c r="AK109" s="69">
        <v>0</v>
      </c>
      <c r="BB109" s="151" t="s">
        <v>1</v>
      </c>
      <c r="BM109" s="65">
        <f t="shared" si="6"/>
        <v>183.33333333333334</v>
      </c>
      <c r="BN109" s="65">
        <f t="shared" si="7"/>
        <v>184.8</v>
      </c>
      <c r="BO109" s="65">
        <f t="shared" si="8"/>
        <v>0.35612535612535612</v>
      </c>
      <c r="BP109" s="65">
        <f t="shared" si="9"/>
        <v>0.35897435897435903</v>
      </c>
    </row>
    <row r="110" spans="1:68" ht="27" customHeight="1" x14ac:dyDescent="0.25">
      <c r="A110" s="55" t="s">
        <v>199</v>
      </c>
      <c r="B110" s="55" t="s">
        <v>200</v>
      </c>
      <c r="C110" s="32">
        <v>4301031158</v>
      </c>
      <c r="D110" s="381">
        <v>4680115880191</v>
      </c>
      <c r="E110" s="382"/>
      <c r="F110" s="372">
        <v>0.4</v>
      </c>
      <c r="G110" s="33">
        <v>6</v>
      </c>
      <c r="H110" s="372">
        <v>2.4</v>
      </c>
      <c r="I110" s="372">
        <v>2.58</v>
      </c>
      <c r="J110" s="33">
        <v>182</v>
      </c>
      <c r="K110" s="33" t="s">
        <v>69</v>
      </c>
      <c r="L110" s="33"/>
      <c r="M110" s="34" t="s">
        <v>174</v>
      </c>
      <c r="N110" s="34"/>
      <c r="O110" s="33">
        <v>40</v>
      </c>
      <c r="P110" s="59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10" s="378"/>
      <c r="R110" s="378"/>
      <c r="S110" s="378"/>
      <c r="T110" s="379"/>
      <c r="U110" s="35"/>
      <c r="V110" s="35"/>
      <c r="W110" s="36" t="s">
        <v>71</v>
      </c>
      <c r="X110" s="373">
        <v>0</v>
      </c>
      <c r="Y110" s="374">
        <f t="shared" si="5"/>
        <v>0</v>
      </c>
      <c r="Z110" s="37" t="str">
        <f>IFERROR(IF(Y110=0,"",ROUNDUP(Y110/H110,0)*0.00651),"")</f>
        <v/>
      </c>
      <c r="AA110" s="57"/>
      <c r="AB110" s="58"/>
      <c r="AC110" s="152" t="s">
        <v>189</v>
      </c>
      <c r="AG110" s="65"/>
      <c r="AJ110" s="69"/>
      <c r="AK110" s="69">
        <v>0</v>
      </c>
      <c r="BB110" s="153" t="s">
        <v>1</v>
      </c>
      <c r="BM110" s="65">
        <f t="shared" si="6"/>
        <v>0</v>
      </c>
      <c r="BN110" s="65">
        <f t="shared" si="7"/>
        <v>0</v>
      </c>
      <c r="BO110" s="65">
        <f t="shared" si="8"/>
        <v>0</v>
      </c>
      <c r="BP110" s="65">
        <f t="shared" si="9"/>
        <v>0</v>
      </c>
    </row>
    <row r="111" spans="1:68" ht="27" customHeight="1" x14ac:dyDescent="0.25">
      <c r="A111" s="55" t="s">
        <v>201</v>
      </c>
      <c r="B111" s="55" t="s">
        <v>202</v>
      </c>
      <c r="C111" s="32">
        <v>4301031245</v>
      </c>
      <c r="D111" s="381">
        <v>4680115883963</v>
      </c>
      <c r="E111" s="382"/>
      <c r="F111" s="372">
        <v>0.28000000000000003</v>
      </c>
      <c r="G111" s="33">
        <v>6</v>
      </c>
      <c r="H111" s="372">
        <v>1.68</v>
      </c>
      <c r="I111" s="372">
        <v>1.78</v>
      </c>
      <c r="J111" s="33">
        <v>234</v>
      </c>
      <c r="K111" s="33" t="s">
        <v>155</v>
      </c>
      <c r="L111" s="33"/>
      <c r="M111" s="34" t="s">
        <v>174</v>
      </c>
      <c r="N111" s="34"/>
      <c r="O111" s="33">
        <v>40</v>
      </c>
      <c r="P111" s="56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11" s="378"/>
      <c r="R111" s="378"/>
      <c r="S111" s="378"/>
      <c r="T111" s="379"/>
      <c r="U111" s="35"/>
      <c r="V111" s="35"/>
      <c r="W111" s="36" t="s">
        <v>71</v>
      </c>
      <c r="X111" s="373">
        <v>56</v>
      </c>
      <c r="Y111" s="374">
        <f t="shared" si="5"/>
        <v>57.12</v>
      </c>
      <c r="Z111" s="37">
        <f>IFERROR(IF(Y111=0,"",ROUNDUP(Y111/H111,0)*0.00502),"")</f>
        <v>0.17068</v>
      </c>
      <c r="AA111" s="57"/>
      <c r="AB111" s="58"/>
      <c r="AC111" s="154" t="s">
        <v>203</v>
      </c>
      <c r="AG111" s="65"/>
      <c r="AJ111" s="69"/>
      <c r="AK111" s="69">
        <v>0</v>
      </c>
      <c r="BB111" s="155" t="s">
        <v>1</v>
      </c>
      <c r="BM111" s="65">
        <f t="shared" si="6"/>
        <v>59.333333333333343</v>
      </c>
      <c r="BN111" s="65">
        <f t="shared" si="7"/>
        <v>60.519999999999996</v>
      </c>
      <c r="BO111" s="65">
        <f t="shared" si="8"/>
        <v>0.14245014245014248</v>
      </c>
      <c r="BP111" s="65">
        <f t="shared" si="9"/>
        <v>0.14529914529914531</v>
      </c>
    </row>
    <row r="112" spans="1:68" x14ac:dyDescent="0.2">
      <c r="A112" s="391"/>
      <c r="B112" s="384"/>
      <c r="C112" s="384"/>
      <c r="D112" s="384"/>
      <c r="E112" s="384"/>
      <c r="F112" s="384"/>
      <c r="G112" s="384"/>
      <c r="H112" s="384"/>
      <c r="I112" s="384"/>
      <c r="J112" s="384"/>
      <c r="K112" s="384"/>
      <c r="L112" s="384"/>
      <c r="M112" s="384"/>
      <c r="N112" s="384"/>
      <c r="O112" s="392"/>
      <c r="P112" s="387" t="s">
        <v>74</v>
      </c>
      <c r="Q112" s="388"/>
      <c r="R112" s="388"/>
      <c r="S112" s="388"/>
      <c r="T112" s="388"/>
      <c r="U112" s="388"/>
      <c r="V112" s="389"/>
      <c r="W112" s="38" t="s">
        <v>75</v>
      </c>
      <c r="X112" s="375">
        <f>IFERROR(X103/H103,"0")+IFERROR(X104/H104,"0")+IFERROR(X105/H105,"0")+IFERROR(X106/H106,"0")+IFERROR(X107/H107,"0")+IFERROR(X108/H108,"0")+IFERROR(X109/H109,"0")+IFERROR(X110/H110,"0")+IFERROR(X111/H111,"0")</f>
        <v>271.42857142857139</v>
      </c>
      <c r="Y112" s="375">
        <f>IFERROR(Y103/H103,"0")+IFERROR(Y104/H104,"0")+IFERROR(Y105/H105,"0")+IFERROR(Y106/H106,"0")+IFERROR(Y107/H107,"0")+IFERROR(Y108/H108,"0")+IFERROR(Y109/H109,"0")+IFERROR(Y110/H110,"0")+IFERROR(Y111/H111,"0")</f>
        <v>274</v>
      </c>
      <c r="Z112" s="375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1.6634800000000001</v>
      </c>
      <c r="AA112" s="376"/>
      <c r="AB112" s="376"/>
      <c r="AC112" s="376"/>
    </row>
    <row r="113" spans="1:68" x14ac:dyDescent="0.2">
      <c r="A113" s="384"/>
      <c r="B113" s="384"/>
      <c r="C113" s="384"/>
      <c r="D113" s="384"/>
      <c r="E113" s="384"/>
      <c r="F113" s="384"/>
      <c r="G113" s="384"/>
      <c r="H113" s="384"/>
      <c r="I113" s="384"/>
      <c r="J113" s="384"/>
      <c r="K113" s="384"/>
      <c r="L113" s="384"/>
      <c r="M113" s="384"/>
      <c r="N113" s="384"/>
      <c r="O113" s="392"/>
      <c r="P113" s="387" t="s">
        <v>74</v>
      </c>
      <c r="Q113" s="388"/>
      <c r="R113" s="388"/>
      <c r="S113" s="388"/>
      <c r="T113" s="388"/>
      <c r="U113" s="388"/>
      <c r="V113" s="389"/>
      <c r="W113" s="38" t="s">
        <v>71</v>
      </c>
      <c r="X113" s="375">
        <f>IFERROR(SUM(X103:X111),"0")</f>
        <v>706</v>
      </c>
      <c r="Y113" s="375">
        <f>IFERROR(SUM(Y103:Y111),"0")</f>
        <v>712.32</v>
      </c>
      <c r="Z113" s="38"/>
      <c r="AA113" s="376"/>
      <c r="AB113" s="376"/>
      <c r="AC113" s="376"/>
    </row>
    <row r="114" spans="1:68" ht="14.25" customHeight="1" x14ac:dyDescent="0.25">
      <c r="A114" s="383" t="s">
        <v>66</v>
      </c>
      <c r="B114" s="384"/>
      <c r="C114" s="384"/>
      <c r="D114" s="384"/>
      <c r="E114" s="384"/>
      <c r="F114" s="384"/>
      <c r="G114" s="384"/>
      <c r="H114" s="384"/>
      <c r="I114" s="384"/>
      <c r="J114" s="384"/>
      <c r="K114" s="384"/>
      <c r="L114" s="384"/>
      <c r="M114" s="384"/>
      <c r="N114" s="384"/>
      <c r="O114" s="384"/>
      <c r="P114" s="384"/>
      <c r="Q114" s="384"/>
      <c r="R114" s="384"/>
      <c r="S114" s="384"/>
      <c r="T114" s="384"/>
      <c r="U114" s="384"/>
      <c r="V114" s="384"/>
      <c r="W114" s="384"/>
      <c r="X114" s="384"/>
      <c r="Y114" s="384"/>
      <c r="Z114" s="384"/>
      <c r="AA114" s="368"/>
      <c r="AB114" s="368"/>
      <c r="AC114" s="368"/>
    </row>
    <row r="115" spans="1:68" ht="27" customHeight="1" x14ac:dyDescent="0.25">
      <c r="A115" s="55" t="s">
        <v>204</v>
      </c>
      <c r="B115" s="55" t="s">
        <v>205</v>
      </c>
      <c r="C115" s="32">
        <v>4301032053</v>
      </c>
      <c r="D115" s="381">
        <v>4680115886780</v>
      </c>
      <c r="E115" s="382"/>
      <c r="F115" s="372">
        <v>7.0000000000000007E-2</v>
      </c>
      <c r="G115" s="33">
        <v>18</v>
      </c>
      <c r="H115" s="372">
        <v>1.26</v>
      </c>
      <c r="I115" s="372">
        <v>1.45</v>
      </c>
      <c r="J115" s="33">
        <v>216</v>
      </c>
      <c r="K115" s="33" t="s">
        <v>206</v>
      </c>
      <c r="L115" s="33"/>
      <c r="M115" s="34" t="s">
        <v>207</v>
      </c>
      <c r="N115" s="34"/>
      <c r="O115" s="33">
        <v>60</v>
      </c>
      <c r="P115" s="51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15" s="378"/>
      <c r="R115" s="378"/>
      <c r="S115" s="378"/>
      <c r="T115" s="379"/>
      <c r="U115" s="35"/>
      <c r="V115" s="35"/>
      <c r="W115" s="36" t="s">
        <v>71</v>
      </c>
      <c r="X115" s="373">
        <v>0</v>
      </c>
      <c r="Y115" s="374">
        <f>IFERROR(IF(X115="",0,CEILING((X115/$H115),1)*$H115),"")</f>
        <v>0</v>
      </c>
      <c r="Z115" s="37" t="str">
        <f>IFERROR(IF(Y115=0,"",ROUNDUP(Y115/H115,0)*0.0059),"")</f>
        <v/>
      </c>
      <c r="AA115" s="57"/>
      <c r="AB115" s="58"/>
      <c r="AC115" s="156" t="s">
        <v>208</v>
      </c>
      <c r="AG115" s="65"/>
      <c r="AJ115" s="69"/>
      <c r="AK115" s="69">
        <v>0</v>
      </c>
      <c r="BB115" s="157" t="s">
        <v>1</v>
      </c>
      <c r="BM115" s="65">
        <f>IFERROR(X115*I115/H115,"0")</f>
        <v>0</v>
      </c>
      <c r="BN115" s="65">
        <f>IFERROR(Y115*I115/H115,"0")</f>
        <v>0</v>
      </c>
      <c r="BO115" s="65">
        <f>IFERROR(1/J115*(X115/H115),"0")</f>
        <v>0</v>
      </c>
      <c r="BP115" s="65">
        <f>IFERROR(1/J115*(Y115/H115),"0")</f>
        <v>0</v>
      </c>
    </row>
    <row r="116" spans="1:68" ht="27" customHeight="1" x14ac:dyDescent="0.25">
      <c r="A116" s="55" t="s">
        <v>209</v>
      </c>
      <c r="B116" s="55" t="s">
        <v>210</v>
      </c>
      <c r="C116" s="32">
        <v>4301032051</v>
      </c>
      <c r="D116" s="381">
        <v>4680115886742</v>
      </c>
      <c r="E116" s="382"/>
      <c r="F116" s="372">
        <v>7.0000000000000007E-2</v>
      </c>
      <c r="G116" s="33">
        <v>18</v>
      </c>
      <c r="H116" s="372">
        <v>1.26</v>
      </c>
      <c r="I116" s="372">
        <v>1.45</v>
      </c>
      <c r="J116" s="33">
        <v>216</v>
      </c>
      <c r="K116" s="33" t="s">
        <v>206</v>
      </c>
      <c r="L116" s="33"/>
      <c r="M116" s="34" t="s">
        <v>207</v>
      </c>
      <c r="N116" s="34"/>
      <c r="O116" s="33">
        <v>90</v>
      </c>
      <c r="P116" s="4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16" s="378"/>
      <c r="R116" s="378"/>
      <c r="S116" s="378"/>
      <c r="T116" s="379"/>
      <c r="U116" s="35"/>
      <c r="V116" s="35"/>
      <c r="W116" s="36" t="s">
        <v>71</v>
      </c>
      <c r="X116" s="373">
        <v>0</v>
      </c>
      <c r="Y116" s="374">
        <f>IFERROR(IF(X116="",0,CEILING((X116/$H116),1)*$H116),"")</f>
        <v>0</v>
      </c>
      <c r="Z116" s="37" t="str">
        <f>IFERROR(IF(Y116=0,"",ROUNDUP(Y116/H116,0)*0.0059),"")</f>
        <v/>
      </c>
      <c r="AA116" s="57"/>
      <c r="AB116" s="58"/>
      <c r="AC116" s="158" t="s">
        <v>211</v>
      </c>
      <c r="AG116" s="65"/>
      <c r="AJ116" s="69"/>
      <c r="AK116" s="69">
        <v>0</v>
      </c>
      <c r="BB116" s="159" t="s">
        <v>1</v>
      </c>
      <c r="BM116" s="65">
        <f>IFERROR(X116*I116/H116,"0")</f>
        <v>0</v>
      </c>
      <c r="BN116" s="65">
        <f>IFERROR(Y116*I116/H116,"0")</f>
        <v>0</v>
      </c>
      <c r="BO116" s="65">
        <f>IFERROR(1/J116*(X116/H116),"0")</f>
        <v>0</v>
      </c>
      <c r="BP116" s="65">
        <f>IFERROR(1/J116*(Y116/H116),"0")</f>
        <v>0</v>
      </c>
    </row>
    <row r="117" spans="1:68" ht="27" customHeight="1" x14ac:dyDescent="0.25">
      <c r="A117" s="55" t="s">
        <v>212</v>
      </c>
      <c r="B117" s="55" t="s">
        <v>213</v>
      </c>
      <c r="C117" s="32">
        <v>4301032052</v>
      </c>
      <c r="D117" s="381">
        <v>4680115886766</v>
      </c>
      <c r="E117" s="382"/>
      <c r="F117" s="372">
        <v>7.0000000000000007E-2</v>
      </c>
      <c r="G117" s="33">
        <v>18</v>
      </c>
      <c r="H117" s="372">
        <v>1.26</v>
      </c>
      <c r="I117" s="372">
        <v>1.45</v>
      </c>
      <c r="J117" s="33">
        <v>216</v>
      </c>
      <c r="K117" s="33" t="s">
        <v>206</v>
      </c>
      <c r="L117" s="33"/>
      <c r="M117" s="34" t="s">
        <v>207</v>
      </c>
      <c r="N117" s="34"/>
      <c r="O117" s="33">
        <v>90</v>
      </c>
      <c r="P117" s="47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17" s="378"/>
      <c r="R117" s="378"/>
      <c r="S117" s="378"/>
      <c r="T117" s="379"/>
      <c r="U117" s="35"/>
      <c r="V117" s="35"/>
      <c r="W117" s="36" t="s">
        <v>71</v>
      </c>
      <c r="X117" s="373">
        <v>0</v>
      </c>
      <c r="Y117" s="374">
        <f>IFERROR(IF(X117="",0,CEILING((X117/$H117),1)*$H117),"")</f>
        <v>0</v>
      </c>
      <c r="Z117" s="37" t="str">
        <f>IFERROR(IF(Y117=0,"",ROUNDUP(Y117/H117,0)*0.0059),"")</f>
        <v/>
      </c>
      <c r="AA117" s="57"/>
      <c r="AB117" s="58"/>
      <c r="AC117" s="160" t="s">
        <v>211</v>
      </c>
      <c r="AG117" s="65"/>
      <c r="AJ117" s="69"/>
      <c r="AK117" s="69">
        <v>0</v>
      </c>
      <c r="BB117" s="161" t="s">
        <v>1</v>
      </c>
      <c r="BM117" s="65">
        <f>IFERROR(X117*I117/H117,"0")</f>
        <v>0</v>
      </c>
      <c r="BN117" s="65">
        <f>IFERROR(Y117*I117/H117,"0")</f>
        <v>0</v>
      </c>
      <c r="BO117" s="65">
        <f>IFERROR(1/J117*(X117/H117),"0")</f>
        <v>0</v>
      </c>
      <c r="BP117" s="65">
        <f>IFERROR(1/J117*(Y117/H117),"0")</f>
        <v>0</v>
      </c>
    </row>
    <row r="118" spans="1:68" x14ac:dyDescent="0.2">
      <c r="A118" s="391"/>
      <c r="B118" s="384"/>
      <c r="C118" s="384"/>
      <c r="D118" s="384"/>
      <c r="E118" s="384"/>
      <c r="F118" s="384"/>
      <c r="G118" s="384"/>
      <c r="H118" s="384"/>
      <c r="I118" s="384"/>
      <c r="J118" s="384"/>
      <c r="K118" s="384"/>
      <c r="L118" s="384"/>
      <c r="M118" s="384"/>
      <c r="N118" s="384"/>
      <c r="O118" s="392"/>
      <c r="P118" s="387" t="s">
        <v>74</v>
      </c>
      <c r="Q118" s="388"/>
      <c r="R118" s="388"/>
      <c r="S118" s="388"/>
      <c r="T118" s="388"/>
      <c r="U118" s="388"/>
      <c r="V118" s="389"/>
      <c r="W118" s="38" t="s">
        <v>75</v>
      </c>
      <c r="X118" s="375">
        <f>IFERROR(X115/H115,"0")+IFERROR(X116/H116,"0")+IFERROR(X117/H117,"0")</f>
        <v>0</v>
      </c>
      <c r="Y118" s="375">
        <f>IFERROR(Y115/H115,"0")+IFERROR(Y116/H116,"0")+IFERROR(Y117/H117,"0")</f>
        <v>0</v>
      </c>
      <c r="Z118" s="375">
        <f>IFERROR(IF(Z115="",0,Z115),"0")+IFERROR(IF(Z116="",0,Z116),"0")+IFERROR(IF(Z117="",0,Z117),"0")</f>
        <v>0</v>
      </c>
      <c r="AA118" s="376"/>
      <c r="AB118" s="376"/>
      <c r="AC118" s="376"/>
    </row>
    <row r="119" spans="1:68" x14ac:dyDescent="0.2">
      <c r="A119" s="384"/>
      <c r="B119" s="384"/>
      <c r="C119" s="384"/>
      <c r="D119" s="384"/>
      <c r="E119" s="384"/>
      <c r="F119" s="384"/>
      <c r="G119" s="384"/>
      <c r="H119" s="384"/>
      <c r="I119" s="384"/>
      <c r="J119" s="384"/>
      <c r="K119" s="384"/>
      <c r="L119" s="384"/>
      <c r="M119" s="384"/>
      <c r="N119" s="384"/>
      <c r="O119" s="392"/>
      <c r="P119" s="387" t="s">
        <v>74</v>
      </c>
      <c r="Q119" s="388"/>
      <c r="R119" s="388"/>
      <c r="S119" s="388"/>
      <c r="T119" s="388"/>
      <c r="U119" s="388"/>
      <c r="V119" s="389"/>
      <c r="W119" s="38" t="s">
        <v>71</v>
      </c>
      <c r="X119" s="375">
        <f>IFERROR(SUM(X115:X117),"0")</f>
        <v>0</v>
      </c>
      <c r="Y119" s="375">
        <f>IFERROR(SUM(Y115:Y117),"0")</f>
        <v>0</v>
      </c>
      <c r="Z119" s="38"/>
      <c r="AA119" s="376"/>
      <c r="AB119" s="376"/>
      <c r="AC119" s="376"/>
    </row>
    <row r="120" spans="1:68" ht="14.25" customHeight="1" x14ac:dyDescent="0.25">
      <c r="A120" s="383" t="s">
        <v>214</v>
      </c>
      <c r="B120" s="384"/>
      <c r="C120" s="384"/>
      <c r="D120" s="384"/>
      <c r="E120" s="384"/>
      <c r="F120" s="384"/>
      <c r="G120" s="384"/>
      <c r="H120" s="384"/>
      <c r="I120" s="384"/>
      <c r="J120" s="384"/>
      <c r="K120" s="384"/>
      <c r="L120" s="384"/>
      <c r="M120" s="384"/>
      <c r="N120" s="384"/>
      <c r="O120" s="384"/>
      <c r="P120" s="384"/>
      <c r="Q120" s="384"/>
      <c r="R120" s="384"/>
      <c r="S120" s="384"/>
      <c r="T120" s="384"/>
      <c r="U120" s="384"/>
      <c r="V120" s="384"/>
      <c r="W120" s="384"/>
      <c r="X120" s="384"/>
      <c r="Y120" s="384"/>
      <c r="Z120" s="384"/>
      <c r="AA120" s="368"/>
      <c r="AB120" s="368"/>
      <c r="AC120" s="368"/>
    </row>
    <row r="121" spans="1:68" ht="27" customHeight="1" x14ac:dyDescent="0.25">
      <c r="A121" s="55" t="s">
        <v>215</v>
      </c>
      <c r="B121" s="55" t="s">
        <v>216</v>
      </c>
      <c r="C121" s="32">
        <v>4301170013</v>
      </c>
      <c r="D121" s="381">
        <v>4680115886797</v>
      </c>
      <c r="E121" s="382"/>
      <c r="F121" s="372">
        <v>7.0000000000000007E-2</v>
      </c>
      <c r="G121" s="33">
        <v>18</v>
      </c>
      <c r="H121" s="372">
        <v>1.26</v>
      </c>
      <c r="I121" s="372">
        <v>1.45</v>
      </c>
      <c r="J121" s="33">
        <v>216</v>
      </c>
      <c r="K121" s="33" t="s">
        <v>206</v>
      </c>
      <c r="L121" s="33"/>
      <c r="M121" s="34" t="s">
        <v>207</v>
      </c>
      <c r="N121" s="34"/>
      <c r="O121" s="33">
        <v>90</v>
      </c>
      <c r="P121" s="5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21" s="378"/>
      <c r="R121" s="378"/>
      <c r="S121" s="378"/>
      <c r="T121" s="379"/>
      <c r="U121" s="35"/>
      <c r="V121" s="35"/>
      <c r="W121" s="36" t="s">
        <v>71</v>
      </c>
      <c r="X121" s="373">
        <v>0</v>
      </c>
      <c r="Y121" s="374">
        <f>IFERROR(IF(X121="",0,CEILING((X121/$H121),1)*$H121),"")</f>
        <v>0</v>
      </c>
      <c r="Z121" s="37" t="str">
        <f>IFERROR(IF(Y121=0,"",ROUNDUP(Y121/H121,0)*0.0059),"")</f>
        <v/>
      </c>
      <c r="AA121" s="57"/>
      <c r="AB121" s="58"/>
      <c r="AC121" s="162" t="s">
        <v>211</v>
      </c>
      <c r="AG121" s="65"/>
      <c r="AJ121" s="69"/>
      <c r="AK121" s="69">
        <v>0</v>
      </c>
      <c r="BB121" s="163" t="s">
        <v>1</v>
      </c>
      <c r="BM121" s="65">
        <f>IFERROR(X121*I121/H121,"0")</f>
        <v>0</v>
      </c>
      <c r="BN121" s="65">
        <f>IFERROR(Y121*I121/H121,"0")</f>
        <v>0</v>
      </c>
      <c r="BO121" s="65">
        <f>IFERROR(1/J121*(X121/H121),"0")</f>
        <v>0</v>
      </c>
      <c r="BP121" s="65">
        <f>IFERROR(1/J121*(Y121/H121),"0")</f>
        <v>0</v>
      </c>
    </row>
    <row r="122" spans="1:68" x14ac:dyDescent="0.2">
      <c r="A122" s="391"/>
      <c r="B122" s="384"/>
      <c r="C122" s="384"/>
      <c r="D122" s="384"/>
      <c r="E122" s="384"/>
      <c r="F122" s="384"/>
      <c r="G122" s="384"/>
      <c r="H122" s="384"/>
      <c r="I122" s="384"/>
      <c r="J122" s="384"/>
      <c r="K122" s="384"/>
      <c r="L122" s="384"/>
      <c r="M122" s="384"/>
      <c r="N122" s="384"/>
      <c r="O122" s="392"/>
      <c r="P122" s="387" t="s">
        <v>74</v>
      </c>
      <c r="Q122" s="388"/>
      <c r="R122" s="388"/>
      <c r="S122" s="388"/>
      <c r="T122" s="388"/>
      <c r="U122" s="388"/>
      <c r="V122" s="389"/>
      <c r="W122" s="38" t="s">
        <v>75</v>
      </c>
      <c r="X122" s="375">
        <f>IFERROR(X121/H121,"0")</f>
        <v>0</v>
      </c>
      <c r="Y122" s="375">
        <f>IFERROR(Y121/H121,"0")</f>
        <v>0</v>
      </c>
      <c r="Z122" s="375">
        <f>IFERROR(IF(Z121="",0,Z121),"0")</f>
        <v>0</v>
      </c>
      <c r="AA122" s="376"/>
      <c r="AB122" s="376"/>
      <c r="AC122" s="376"/>
    </row>
    <row r="123" spans="1:68" x14ac:dyDescent="0.2">
      <c r="A123" s="384"/>
      <c r="B123" s="384"/>
      <c r="C123" s="384"/>
      <c r="D123" s="384"/>
      <c r="E123" s="384"/>
      <c r="F123" s="384"/>
      <c r="G123" s="384"/>
      <c r="H123" s="384"/>
      <c r="I123" s="384"/>
      <c r="J123" s="384"/>
      <c r="K123" s="384"/>
      <c r="L123" s="384"/>
      <c r="M123" s="384"/>
      <c r="N123" s="384"/>
      <c r="O123" s="392"/>
      <c r="P123" s="387" t="s">
        <v>74</v>
      </c>
      <c r="Q123" s="388"/>
      <c r="R123" s="388"/>
      <c r="S123" s="388"/>
      <c r="T123" s="388"/>
      <c r="U123" s="388"/>
      <c r="V123" s="389"/>
      <c r="W123" s="38" t="s">
        <v>71</v>
      </c>
      <c r="X123" s="375">
        <f>IFERROR(SUM(X121:X121),"0")</f>
        <v>0</v>
      </c>
      <c r="Y123" s="375">
        <f>IFERROR(SUM(Y121:Y121),"0")</f>
        <v>0</v>
      </c>
      <c r="Z123" s="38"/>
      <c r="AA123" s="376"/>
      <c r="AB123" s="376"/>
      <c r="AC123" s="376"/>
    </row>
    <row r="124" spans="1:68" ht="16.5" customHeight="1" x14ac:dyDescent="0.25">
      <c r="A124" s="419" t="s">
        <v>217</v>
      </c>
      <c r="B124" s="384"/>
      <c r="C124" s="384"/>
      <c r="D124" s="384"/>
      <c r="E124" s="384"/>
      <c r="F124" s="384"/>
      <c r="G124" s="384"/>
      <c r="H124" s="384"/>
      <c r="I124" s="384"/>
      <c r="J124" s="384"/>
      <c r="K124" s="384"/>
      <c r="L124" s="384"/>
      <c r="M124" s="384"/>
      <c r="N124" s="384"/>
      <c r="O124" s="384"/>
      <c r="P124" s="384"/>
      <c r="Q124" s="384"/>
      <c r="R124" s="384"/>
      <c r="S124" s="384"/>
      <c r="T124" s="384"/>
      <c r="U124" s="384"/>
      <c r="V124" s="384"/>
      <c r="W124" s="384"/>
      <c r="X124" s="384"/>
      <c r="Y124" s="384"/>
      <c r="Z124" s="384"/>
      <c r="AA124" s="369"/>
      <c r="AB124" s="369"/>
      <c r="AC124" s="369"/>
    </row>
    <row r="125" spans="1:68" ht="14.25" customHeight="1" x14ac:dyDescent="0.25">
      <c r="A125" s="383" t="s">
        <v>78</v>
      </c>
      <c r="B125" s="384"/>
      <c r="C125" s="384"/>
      <c r="D125" s="384"/>
      <c r="E125" s="384"/>
      <c r="F125" s="384"/>
      <c r="G125" s="384"/>
      <c r="H125" s="384"/>
      <c r="I125" s="384"/>
      <c r="J125" s="384"/>
      <c r="K125" s="384"/>
      <c r="L125" s="384"/>
      <c r="M125" s="384"/>
      <c r="N125" s="384"/>
      <c r="O125" s="384"/>
      <c r="P125" s="384"/>
      <c r="Q125" s="384"/>
      <c r="R125" s="384"/>
      <c r="S125" s="384"/>
      <c r="T125" s="384"/>
      <c r="U125" s="384"/>
      <c r="V125" s="384"/>
      <c r="W125" s="384"/>
      <c r="X125" s="384"/>
      <c r="Y125" s="384"/>
      <c r="Z125" s="384"/>
      <c r="AA125" s="368"/>
      <c r="AB125" s="368"/>
      <c r="AC125" s="368"/>
    </row>
    <row r="126" spans="1:68" ht="27" customHeight="1" x14ac:dyDescent="0.25">
      <c r="A126" s="55" t="s">
        <v>218</v>
      </c>
      <c r="B126" s="55" t="s">
        <v>219</v>
      </c>
      <c r="C126" s="32">
        <v>4301011450</v>
      </c>
      <c r="D126" s="381">
        <v>4680115881402</v>
      </c>
      <c r="E126" s="382"/>
      <c r="F126" s="372">
        <v>1.35</v>
      </c>
      <c r="G126" s="33">
        <v>8</v>
      </c>
      <c r="H126" s="372">
        <v>10.8</v>
      </c>
      <c r="I126" s="372">
        <v>11.21</v>
      </c>
      <c r="J126" s="33">
        <v>64</v>
      </c>
      <c r="K126" s="33" t="s">
        <v>81</v>
      </c>
      <c r="L126" s="33"/>
      <c r="M126" s="34" t="s">
        <v>82</v>
      </c>
      <c r="N126" s="34"/>
      <c r="O126" s="33">
        <v>55</v>
      </c>
      <c r="P126" s="6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26" s="378"/>
      <c r="R126" s="378"/>
      <c r="S126" s="378"/>
      <c r="T126" s="379"/>
      <c r="U126" s="35"/>
      <c r="V126" s="35"/>
      <c r="W126" s="36" t="s">
        <v>71</v>
      </c>
      <c r="X126" s="373">
        <v>0</v>
      </c>
      <c r="Y126" s="374">
        <f>IFERROR(IF(X126="",0,CEILING((X126/$H126),1)*$H126),"")</f>
        <v>0</v>
      </c>
      <c r="Z126" s="37" t="str">
        <f>IFERROR(IF(Y126=0,"",ROUNDUP(Y126/H126,0)*0.01898),"")</f>
        <v/>
      </c>
      <c r="AA126" s="57"/>
      <c r="AB126" s="58"/>
      <c r="AC126" s="164" t="s">
        <v>220</v>
      </c>
      <c r="AG126" s="65"/>
      <c r="AJ126" s="69"/>
      <c r="AK126" s="69">
        <v>0</v>
      </c>
      <c r="BB126" s="165" t="s">
        <v>1</v>
      </c>
      <c r="BM126" s="65">
        <f>IFERROR(X126*I126/H126,"0")</f>
        <v>0</v>
      </c>
      <c r="BN126" s="65">
        <f>IFERROR(Y126*I126/H126,"0")</f>
        <v>0</v>
      </c>
      <c r="BO126" s="65">
        <f>IFERROR(1/J126*(X126/H126),"0")</f>
        <v>0</v>
      </c>
      <c r="BP126" s="65">
        <f>IFERROR(1/J126*(Y126/H126),"0")</f>
        <v>0</v>
      </c>
    </row>
    <row r="127" spans="1:68" ht="27" customHeight="1" x14ac:dyDescent="0.25">
      <c r="A127" s="55" t="s">
        <v>221</v>
      </c>
      <c r="B127" s="55" t="s">
        <v>222</v>
      </c>
      <c r="C127" s="32">
        <v>4301011768</v>
      </c>
      <c r="D127" s="381">
        <v>4680115881396</v>
      </c>
      <c r="E127" s="382"/>
      <c r="F127" s="372">
        <v>0.45</v>
      </c>
      <c r="G127" s="33">
        <v>6</v>
      </c>
      <c r="H127" s="372">
        <v>2.7</v>
      </c>
      <c r="I127" s="372">
        <v>2.88</v>
      </c>
      <c r="J127" s="33">
        <v>182</v>
      </c>
      <c r="K127" s="33" t="s">
        <v>69</v>
      </c>
      <c r="L127" s="33"/>
      <c r="M127" s="34" t="s">
        <v>82</v>
      </c>
      <c r="N127" s="34"/>
      <c r="O127" s="33">
        <v>55</v>
      </c>
      <c r="P127" s="58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27" s="378"/>
      <c r="R127" s="378"/>
      <c r="S127" s="378"/>
      <c r="T127" s="379"/>
      <c r="U127" s="35"/>
      <c r="V127" s="35"/>
      <c r="W127" s="36" t="s">
        <v>71</v>
      </c>
      <c r="X127" s="373">
        <v>0</v>
      </c>
      <c r="Y127" s="374">
        <f>IFERROR(IF(X127="",0,CEILING((X127/$H127),1)*$H127),"")</f>
        <v>0</v>
      </c>
      <c r="Z127" s="37" t="str">
        <f>IFERROR(IF(Y127=0,"",ROUNDUP(Y127/H127,0)*0.00651),"")</f>
        <v/>
      </c>
      <c r="AA127" s="57"/>
      <c r="AB127" s="58"/>
      <c r="AC127" s="166" t="s">
        <v>220</v>
      </c>
      <c r="AG127" s="65"/>
      <c r="AJ127" s="69"/>
      <c r="AK127" s="69">
        <v>0</v>
      </c>
      <c r="BB127" s="167" t="s">
        <v>1</v>
      </c>
      <c r="BM127" s="65">
        <f>IFERROR(X127*I127/H127,"0")</f>
        <v>0</v>
      </c>
      <c r="BN127" s="65">
        <f>IFERROR(Y127*I127/H127,"0")</f>
        <v>0</v>
      </c>
      <c r="BO127" s="65">
        <f>IFERROR(1/J127*(X127/H127),"0")</f>
        <v>0</v>
      </c>
      <c r="BP127" s="65">
        <f>IFERROR(1/J127*(Y127/H127),"0")</f>
        <v>0</v>
      </c>
    </row>
    <row r="128" spans="1:68" x14ac:dyDescent="0.2">
      <c r="A128" s="391"/>
      <c r="B128" s="384"/>
      <c r="C128" s="384"/>
      <c r="D128" s="384"/>
      <c r="E128" s="384"/>
      <c r="F128" s="384"/>
      <c r="G128" s="384"/>
      <c r="H128" s="384"/>
      <c r="I128" s="384"/>
      <c r="J128" s="384"/>
      <c r="K128" s="384"/>
      <c r="L128" s="384"/>
      <c r="M128" s="384"/>
      <c r="N128" s="384"/>
      <c r="O128" s="392"/>
      <c r="P128" s="387" t="s">
        <v>74</v>
      </c>
      <c r="Q128" s="388"/>
      <c r="R128" s="388"/>
      <c r="S128" s="388"/>
      <c r="T128" s="388"/>
      <c r="U128" s="388"/>
      <c r="V128" s="389"/>
      <c r="W128" s="38" t="s">
        <v>75</v>
      </c>
      <c r="X128" s="375">
        <f>IFERROR(X126/H126,"0")+IFERROR(X127/H127,"0")</f>
        <v>0</v>
      </c>
      <c r="Y128" s="375">
        <f>IFERROR(Y126/H126,"0")+IFERROR(Y127/H127,"0")</f>
        <v>0</v>
      </c>
      <c r="Z128" s="375">
        <f>IFERROR(IF(Z126="",0,Z126),"0")+IFERROR(IF(Z127="",0,Z127),"0")</f>
        <v>0</v>
      </c>
      <c r="AA128" s="376"/>
      <c r="AB128" s="376"/>
      <c r="AC128" s="376"/>
    </row>
    <row r="129" spans="1:68" x14ac:dyDescent="0.2">
      <c r="A129" s="384"/>
      <c r="B129" s="384"/>
      <c r="C129" s="384"/>
      <c r="D129" s="384"/>
      <c r="E129" s="384"/>
      <c r="F129" s="384"/>
      <c r="G129" s="384"/>
      <c r="H129" s="384"/>
      <c r="I129" s="384"/>
      <c r="J129" s="384"/>
      <c r="K129" s="384"/>
      <c r="L129" s="384"/>
      <c r="M129" s="384"/>
      <c r="N129" s="384"/>
      <c r="O129" s="392"/>
      <c r="P129" s="387" t="s">
        <v>74</v>
      </c>
      <c r="Q129" s="388"/>
      <c r="R129" s="388"/>
      <c r="S129" s="388"/>
      <c r="T129" s="388"/>
      <c r="U129" s="388"/>
      <c r="V129" s="389"/>
      <c r="W129" s="38" t="s">
        <v>71</v>
      </c>
      <c r="X129" s="375">
        <f>IFERROR(SUM(X126:X127),"0")</f>
        <v>0</v>
      </c>
      <c r="Y129" s="375">
        <f>IFERROR(SUM(Y126:Y127),"0")</f>
        <v>0</v>
      </c>
      <c r="Z129" s="38"/>
      <c r="AA129" s="376"/>
      <c r="AB129" s="376"/>
      <c r="AC129" s="376"/>
    </row>
    <row r="130" spans="1:68" ht="14.25" customHeight="1" x14ac:dyDescent="0.25">
      <c r="A130" s="383" t="s">
        <v>110</v>
      </c>
      <c r="B130" s="384"/>
      <c r="C130" s="384"/>
      <c r="D130" s="384"/>
      <c r="E130" s="384"/>
      <c r="F130" s="384"/>
      <c r="G130" s="384"/>
      <c r="H130" s="384"/>
      <c r="I130" s="384"/>
      <c r="J130" s="384"/>
      <c r="K130" s="384"/>
      <c r="L130" s="384"/>
      <c r="M130" s="384"/>
      <c r="N130" s="384"/>
      <c r="O130" s="384"/>
      <c r="P130" s="384"/>
      <c r="Q130" s="384"/>
      <c r="R130" s="384"/>
      <c r="S130" s="384"/>
      <c r="T130" s="384"/>
      <c r="U130" s="384"/>
      <c r="V130" s="384"/>
      <c r="W130" s="384"/>
      <c r="X130" s="384"/>
      <c r="Y130" s="384"/>
      <c r="Z130" s="384"/>
      <c r="AA130" s="368"/>
      <c r="AB130" s="368"/>
      <c r="AC130" s="368"/>
    </row>
    <row r="131" spans="1:68" ht="16.5" customHeight="1" x14ac:dyDescent="0.25">
      <c r="A131" s="55" t="s">
        <v>223</v>
      </c>
      <c r="B131" s="55" t="s">
        <v>224</v>
      </c>
      <c r="C131" s="32">
        <v>4301020261</v>
      </c>
      <c r="D131" s="381">
        <v>4680115882935</v>
      </c>
      <c r="E131" s="382"/>
      <c r="F131" s="372">
        <v>1.35</v>
      </c>
      <c r="G131" s="33">
        <v>8</v>
      </c>
      <c r="H131" s="372">
        <v>10.8</v>
      </c>
      <c r="I131" s="372">
        <v>11.21</v>
      </c>
      <c r="J131" s="33">
        <v>64</v>
      </c>
      <c r="K131" s="33" t="s">
        <v>81</v>
      </c>
      <c r="L131" s="33"/>
      <c r="M131" s="34" t="s">
        <v>82</v>
      </c>
      <c r="N131" s="34"/>
      <c r="O131" s="33">
        <v>50</v>
      </c>
      <c r="P131" s="46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31" s="378"/>
      <c r="R131" s="378"/>
      <c r="S131" s="378"/>
      <c r="T131" s="379"/>
      <c r="U131" s="35"/>
      <c r="V131" s="35"/>
      <c r="W131" s="36" t="s">
        <v>71</v>
      </c>
      <c r="X131" s="373">
        <v>70</v>
      </c>
      <c r="Y131" s="374">
        <f>IFERROR(IF(X131="",0,CEILING((X131/$H131),1)*$H131),"")</f>
        <v>75.600000000000009</v>
      </c>
      <c r="Z131" s="37">
        <f>IFERROR(IF(Y131=0,"",ROUNDUP(Y131/H131,0)*0.01898),"")</f>
        <v>0.13286000000000001</v>
      </c>
      <c r="AA131" s="57"/>
      <c r="AB131" s="58"/>
      <c r="AC131" s="168" t="s">
        <v>225</v>
      </c>
      <c r="AG131" s="65"/>
      <c r="AJ131" s="69"/>
      <c r="AK131" s="69">
        <v>0</v>
      </c>
      <c r="BB131" s="169" t="s">
        <v>1</v>
      </c>
      <c r="BM131" s="65">
        <f>IFERROR(X131*I131/H131,"0")</f>
        <v>72.657407407407405</v>
      </c>
      <c r="BN131" s="65">
        <f>IFERROR(Y131*I131/H131,"0")</f>
        <v>78.47</v>
      </c>
      <c r="BO131" s="65">
        <f>IFERROR(1/J131*(X131/H131),"0")</f>
        <v>0.10127314814814814</v>
      </c>
      <c r="BP131" s="65">
        <f>IFERROR(1/J131*(Y131/H131),"0")</f>
        <v>0.109375</v>
      </c>
    </row>
    <row r="132" spans="1:68" ht="16.5" customHeight="1" x14ac:dyDescent="0.25">
      <c r="A132" s="55" t="s">
        <v>226</v>
      </c>
      <c r="B132" s="55" t="s">
        <v>227</v>
      </c>
      <c r="C132" s="32">
        <v>4301020220</v>
      </c>
      <c r="D132" s="381">
        <v>4680115880764</v>
      </c>
      <c r="E132" s="382"/>
      <c r="F132" s="372">
        <v>0.35</v>
      </c>
      <c r="G132" s="33">
        <v>6</v>
      </c>
      <c r="H132" s="372">
        <v>2.1</v>
      </c>
      <c r="I132" s="372">
        <v>2.2799999999999998</v>
      </c>
      <c r="J132" s="33">
        <v>182</v>
      </c>
      <c r="K132" s="33" t="s">
        <v>69</v>
      </c>
      <c r="L132" s="33"/>
      <c r="M132" s="34" t="s">
        <v>82</v>
      </c>
      <c r="N132" s="34"/>
      <c r="O132" s="33">
        <v>50</v>
      </c>
      <c r="P132" s="4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32" s="378"/>
      <c r="R132" s="378"/>
      <c r="S132" s="378"/>
      <c r="T132" s="379"/>
      <c r="U132" s="35"/>
      <c r="V132" s="35"/>
      <c r="W132" s="36" t="s">
        <v>71</v>
      </c>
      <c r="X132" s="373">
        <v>0</v>
      </c>
      <c r="Y132" s="374">
        <f>IFERROR(IF(X132="",0,CEILING((X132/$H132),1)*$H132),"")</f>
        <v>0</v>
      </c>
      <c r="Z132" s="37" t="str">
        <f>IFERROR(IF(Y132=0,"",ROUNDUP(Y132/H132,0)*0.00651),"")</f>
        <v/>
      </c>
      <c r="AA132" s="57"/>
      <c r="AB132" s="58"/>
      <c r="AC132" s="170" t="s">
        <v>225</v>
      </c>
      <c r="AG132" s="65"/>
      <c r="AJ132" s="69"/>
      <c r="AK132" s="69">
        <v>0</v>
      </c>
      <c r="BB132" s="171" t="s">
        <v>1</v>
      </c>
      <c r="BM132" s="65">
        <f>IFERROR(X132*I132/H132,"0")</f>
        <v>0</v>
      </c>
      <c r="BN132" s="65">
        <f>IFERROR(Y132*I132/H132,"0")</f>
        <v>0</v>
      </c>
      <c r="BO132" s="65">
        <f>IFERROR(1/J132*(X132/H132),"0")</f>
        <v>0</v>
      </c>
      <c r="BP132" s="65">
        <f>IFERROR(1/J132*(Y132/H132),"0")</f>
        <v>0</v>
      </c>
    </row>
    <row r="133" spans="1:68" x14ac:dyDescent="0.2">
      <c r="A133" s="391"/>
      <c r="B133" s="384"/>
      <c r="C133" s="384"/>
      <c r="D133" s="384"/>
      <c r="E133" s="384"/>
      <c r="F133" s="384"/>
      <c r="G133" s="384"/>
      <c r="H133" s="384"/>
      <c r="I133" s="384"/>
      <c r="J133" s="384"/>
      <c r="K133" s="384"/>
      <c r="L133" s="384"/>
      <c r="M133" s="384"/>
      <c r="N133" s="384"/>
      <c r="O133" s="392"/>
      <c r="P133" s="387" t="s">
        <v>74</v>
      </c>
      <c r="Q133" s="388"/>
      <c r="R133" s="388"/>
      <c r="S133" s="388"/>
      <c r="T133" s="388"/>
      <c r="U133" s="388"/>
      <c r="V133" s="389"/>
      <c r="W133" s="38" t="s">
        <v>75</v>
      </c>
      <c r="X133" s="375">
        <f>IFERROR(X131/H131,"0")+IFERROR(X132/H132,"0")</f>
        <v>6.481481481481481</v>
      </c>
      <c r="Y133" s="375">
        <f>IFERROR(Y131/H131,"0")+IFERROR(Y132/H132,"0")</f>
        <v>7</v>
      </c>
      <c r="Z133" s="375">
        <f>IFERROR(IF(Z131="",0,Z131),"0")+IFERROR(IF(Z132="",0,Z132),"0")</f>
        <v>0.13286000000000001</v>
      </c>
      <c r="AA133" s="376"/>
      <c r="AB133" s="376"/>
      <c r="AC133" s="376"/>
    </row>
    <row r="134" spans="1:68" x14ac:dyDescent="0.2">
      <c r="A134" s="384"/>
      <c r="B134" s="384"/>
      <c r="C134" s="384"/>
      <c r="D134" s="384"/>
      <c r="E134" s="384"/>
      <c r="F134" s="384"/>
      <c r="G134" s="384"/>
      <c r="H134" s="384"/>
      <c r="I134" s="384"/>
      <c r="J134" s="384"/>
      <c r="K134" s="384"/>
      <c r="L134" s="384"/>
      <c r="M134" s="384"/>
      <c r="N134" s="384"/>
      <c r="O134" s="392"/>
      <c r="P134" s="387" t="s">
        <v>74</v>
      </c>
      <c r="Q134" s="388"/>
      <c r="R134" s="388"/>
      <c r="S134" s="388"/>
      <c r="T134" s="388"/>
      <c r="U134" s="388"/>
      <c r="V134" s="389"/>
      <c r="W134" s="38" t="s">
        <v>71</v>
      </c>
      <c r="X134" s="375">
        <f>IFERROR(SUM(X131:X132),"0")</f>
        <v>70</v>
      </c>
      <c r="Y134" s="375">
        <f>IFERROR(SUM(Y131:Y132),"0")</f>
        <v>75.600000000000009</v>
      </c>
      <c r="Z134" s="38"/>
      <c r="AA134" s="376"/>
      <c r="AB134" s="376"/>
      <c r="AC134" s="376"/>
    </row>
    <row r="135" spans="1:68" ht="14.25" customHeight="1" x14ac:dyDescent="0.25">
      <c r="A135" s="383" t="s">
        <v>171</v>
      </c>
      <c r="B135" s="384"/>
      <c r="C135" s="384"/>
      <c r="D135" s="384"/>
      <c r="E135" s="384"/>
      <c r="F135" s="384"/>
      <c r="G135" s="384"/>
      <c r="H135" s="384"/>
      <c r="I135" s="384"/>
      <c r="J135" s="384"/>
      <c r="K135" s="384"/>
      <c r="L135" s="384"/>
      <c r="M135" s="384"/>
      <c r="N135" s="384"/>
      <c r="O135" s="384"/>
      <c r="P135" s="384"/>
      <c r="Q135" s="384"/>
      <c r="R135" s="384"/>
      <c r="S135" s="384"/>
      <c r="T135" s="384"/>
      <c r="U135" s="384"/>
      <c r="V135" s="384"/>
      <c r="W135" s="384"/>
      <c r="X135" s="384"/>
      <c r="Y135" s="384"/>
      <c r="Z135" s="384"/>
      <c r="AA135" s="368"/>
      <c r="AB135" s="368"/>
      <c r="AC135" s="368"/>
    </row>
    <row r="136" spans="1:68" ht="27" customHeight="1" x14ac:dyDescent="0.25">
      <c r="A136" s="55" t="s">
        <v>228</v>
      </c>
      <c r="B136" s="55" t="s">
        <v>229</v>
      </c>
      <c r="C136" s="32">
        <v>4301031224</v>
      </c>
      <c r="D136" s="381">
        <v>4680115882683</v>
      </c>
      <c r="E136" s="382"/>
      <c r="F136" s="372">
        <v>0.9</v>
      </c>
      <c r="G136" s="33">
        <v>6</v>
      </c>
      <c r="H136" s="372">
        <v>5.4</v>
      </c>
      <c r="I136" s="372">
        <v>5.59</v>
      </c>
      <c r="J136" s="33">
        <v>132</v>
      </c>
      <c r="K136" s="33" t="s">
        <v>86</v>
      </c>
      <c r="L136" s="33"/>
      <c r="M136" s="34" t="s">
        <v>174</v>
      </c>
      <c r="N136" s="34"/>
      <c r="O136" s="33">
        <v>40</v>
      </c>
      <c r="P136" s="60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36" s="378"/>
      <c r="R136" s="378"/>
      <c r="S136" s="378"/>
      <c r="T136" s="379"/>
      <c r="U136" s="35"/>
      <c r="V136" s="35"/>
      <c r="W136" s="36" t="s">
        <v>71</v>
      </c>
      <c r="X136" s="373">
        <v>100</v>
      </c>
      <c r="Y136" s="374">
        <f>IFERROR(IF(X136="",0,CEILING((X136/$H136),1)*$H136),"")</f>
        <v>102.60000000000001</v>
      </c>
      <c r="Z136" s="37">
        <f>IFERROR(IF(Y136=0,"",ROUNDUP(Y136/H136,0)*0.00902),"")</f>
        <v>0.17138</v>
      </c>
      <c r="AA136" s="57"/>
      <c r="AB136" s="58"/>
      <c r="AC136" s="172" t="s">
        <v>230</v>
      </c>
      <c r="AG136" s="65"/>
      <c r="AJ136" s="69"/>
      <c r="AK136" s="69">
        <v>0</v>
      </c>
      <c r="BB136" s="173" t="s">
        <v>1</v>
      </c>
      <c r="BM136" s="65">
        <f>IFERROR(X136*I136/H136,"0")</f>
        <v>103.5185185185185</v>
      </c>
      <c r="BN136" s="65">
        <f>IFERROR(Y136*I136/H136,"0")</f>
        <v>106.21</v>
      </c>
      <c r="BO136" s="65">
        <f>IFERROR(1/J136*(X136/H136),"0")</f>
        <v>0.14029180695847362</v>
      </c>
      <c r="BP136" s="65">
        <f>IFERROR(1/J136*(Y136/H136),"0")</f>
        <v>0.14393939393939395</v>
      </c>
    </row>
    <row r="137" spans="1:68" ht="27" customHeight="1" x14ac:dyDescent="0.25">
      <c r="A137" s="55" t="s">
        <v>231</v>
      </c>
      <c r="B137" s="55" t="s">
        <v>232</v>
      </c>
      <c r="C137" s="32">
        <v>4301031230</v>
      </c>
      <c r="D137" s="381">
        <v>4680115882690</v>
      </c>
      <c r="E137" s="382"/>
      <c r="F137" s="372">
        <v>0.9</v>
      </c>
      <c r="G137" s="33">
        <v>6</v>
      </c>
      <c r="H137" s="372">
        <v>5.4</v>
      </c>
      <c r="I137" s="372">
        <v>5.59</v>
      </c>
      <c r="J137" s="33">
        <v>132</v>
      </c>
      <c r="K137" s="33" t="s">
        <v>86</v>
      </c>
      <c r="L137" s="33"/>
      <c r="M137" s="34" t="s">
        <v>174</v>
      </c>
      <c r="N137" s="34"/>
      <c r="O137" s="33">
        <v>40</v>
      </c>
      <c r="P137" s="4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37" s="378"/>
      <c r="R137" s="378"/>
      <c r="S137" s="378"/>
      <c r="T137" s="379"/>
      <c r="U137" s="35"/>
      <c r="V137" s="35"/>
      <c r="W137" s="36" t="s">
        <v>71</v>
      </c>
      <c r="X137" s="373">
        <v>0</v>
      </c>
      <c r="Y137" s="374">
        <f>IFERROR(IF(X137="",0,CEILING((X137/$H137),1)*$H137),"")</f>
        <v>0</v>
      </c>
      <c r="Z137" s="37" t="str">
        <f>IFERROR(IF(Y137=0,"",ROUNDUP(Y137/H137,0)*0.00902),"")</f>
        <v/>
      </c>
      <c r="AA137" s="57"/>
      <c r="AB137" s="58"/>
      <c r="AC137" s="174" t="s">
        <v>233</v>
      </c>
      <c r="AG137" s="65"/>
      <c r="AJ137" s="69"/>
      <c r="AK137" s="69">
        <v>0</v>
      </c>
      <c r="BB137" s="175" t="s">
        <v>1</v>
      </c>
      <c r="BM137" s="65">
        <f>IFERROR(X137*I137/H137,"0")</f>
        <v>0</v>
      </c>
      <c r="BN137" s="65">
        <f>IFERROR(Y137*I137/H137,"0")</f>
        <v>0</v>
      </c>
      <c r="BO137" s="65">
        <f>IFERROR(1/J137*(X137/H137),"0")</f>
        <v>0</v>
      </c>
      <c r="BP137" s="65">
        <f>IFERROR(1/J137*(Y137/H137),"0")</f>
        <v>0</v>
      </c>
    </row>
    <row r="138" spans="1:68" ht="27" customHeight="1" x14ac:dyDescent="0.25">
      <c r="A138" s="55" t="s">
        <v>234</v>
      </c>
      <c r="B138" s="55" t="s">
        <v>235</v>
      </c>
      <c r="C138" s="32">
        <v>4301031220</v>
      </c>
      <c r="D138" s="381">
        <v>4680115882669</v>
      </c>
      <c r="E138" s="382"/>
      <c r="F138" s="372">
        <v>0.9</v>
      </c>
      <c r="G138" s="33">
        <v>6</v>
      </c>
      <c r="H138" s="372">
        <v>5.4</v>
      </c>
      <c r="I138" s="372">
        <v>5.59</v>
      </c>
      <c r="J138" s="33">
        <v>132</v>
      </c>
      <c r="K138" s="33" t="s">
        <v>86</v>
      </c>
      <c r="L138" s="33"/>
      <c r="M138" s="34" t="s">
        <v>174</v>
      </c>
      <c r="N138" s="34"/>
      <c r="O138" s="33">
        <v>40</v>
      </c>
      <c r="P138" s="4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38" s="378"/>
      <c r="R138" s="378"/>
      <c r="S138" s="378"/>
      <c r="T138" s="379"/>
      <c r="U138" s="35"/>
      <c r="V138" s="35"/>
      <c r="W138" s="36" t="s">
        <v>71</v>
      </c>
      <c r="X138" s="373">
        <v>0</v>
      </c>
      <c r="Y138" s="374">
        <f>IFERROR(IF(X138="",0,CEILING((X138/$H138),1)*$H138),"")</f>
        <v>0</v>
      </c>
      <c r="Z138" s="37" t="str">
        <f>IFERROR(IF(Y138=0,"",ROUNDUP(Y138/H138,0)*0.00902),"")</f>
        <v/>
      </c>
      <c r="AA138" s="57"/>
      <c r="AB138" s="58"/>
      <c r="AC138" s="176" t="s">
        <v>236</v>
      </c>
      <c r="AG138" s="65"/>
      <c r="AJ138" s="69"/>
      <c r="AK138" s="69">
        <v>0</v>
      </c>
      <c r="BB138" s="177" t="s">
        <v>1</v>
      </c>
      <c r="BM138" s="65">
        <f>IFERROR(X138*I138/H138,"0")</f>
        <v>0</v>
      </c>
      <c r="BN138" s="65">
        <f>IFERROR(Y138*I138/H138,"0")</f>
        <v>0</v>
      </c>
      <c r="BO138" s="65">
        <f>IFERROR(1/J138*(X138/H138),"0")</f>
        <v>0</v>
      </c>
      <c r="BP138" s="65">
        <f>IFERROR(1/J138*(Y138/H138),"0")</f>
        <v>0</v>
      </c>
    </row>
    <row r="139" spans="1:68" ht="27" customHeight="1" x14ac:dyDescent="0.25">
      <c r="A139" s="55" t="s">
        <v>237</v>
      </c>
      <c r="B139" s="55" t="s">
        <v>238</v>
      </c>
      <c r="C139" s="32">
        <v>4301031221</v>
      </c>
      <c r="D139" s="381">
        <v>4680115882676</v>
      </c>
      <c r="E139" s="382"/>
      <c r="F139" s="372">
        <v>0.9</v>
      </c>
      <c r="G139" s="33">
        <v>6</v>
      </c>
      <c r="H139" s="372">
        <v>5.4</v>
      </c>
      <c r="I139" s="372">
        <v>5.59</v>
      </c>
      <c r="J139" s="33">
        <v>132</v>
      </c>
      <c r="K139" s="33" t="s">
        <v>86</v>
      </c>
      <c r="L139" s="33"/>
      <c r="M139" s="34" t="s">
        <v>174</v>
      </c>
      <c r="N139" s="34"/>
      <c r="O139" s="33">
        <v>40</v>
      </c>
      <c r="P139" s="57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39" s="378"/>
      <c r="R139" s="378"/>
      <c r="S139" s="378"/>
      <c r="T139" s="379"/>
      <c r="U139" s="35"/>
      <c r="V139" s="35"/>
      <c r="W139" s="36" t="s">
        <v>71</v>
      </c>
      <c r="X139" s="373">
        <v>0</v>
      </c>
      <c r="Y139" s="374">
        <f>IFERROR(IF(X139="",0,CEILING((X139/$H139),1)*$H139),"")</f>
        <v>0</v>
      </c>
      <c r="Z139" s="37" t="str">
        <f>IFERROR(IF(Y139=0,"",ROUNDUP(Y139/H139,0)*0.00902),"")</f>
        <v/>
      </c>
      <c r="AA139" s="57"/>
      <c r="AB139" s="58"/>
      <c r="AC139" s="178" t="s">
        <v>239</v>
      </c>
      <c r="AG139" s="65"/>
      <c r="AJ139" s="69"/>
      <c r="AK139" s="69">
        <v>0</v>
      </c>
      <c r="BB139" s="179" t="s">
        <v>1</v>
      </c>
      <c r="BM139" s="65">
        <f>IFERROR(X139*I139/H139,"0")</f>
        <v>0</v>
      </c>
      <c r="BN139" s="65">
        <f>IFERROR(Y139*I139/H139,"0")</f>
        <v>0</v>
      </c>
      <c r="BO139" s="65">
        <f>IFERROR(1/J139*(X139/H139),"0")</f>
        <v>0</v>
      </c>
      <c r="BP139" s="65">
        <f>IFERROR(1/J139*(Y139/H139),"0")</f>
        <v>0</v>
      </c>
    </row>
    <row r="140" spans="1:68" x14ac:dyDescent="0.2">
      <c r="A140" s="391"/>
      <c r="B140" s="384"/>
      <c r="C140" s="384"/>
      <c r="D140" s="384"/>
      <c r="E140" s="384"/>
      <c r="F140" s="384"/>
      <c r="G140" s="384"/>
      <c r="H140" s="384"/>
      <c r="I140" s="384"/>
      <c r="J140" s="384"/>
      <c r="K140" s="384"/>
      <c r="L140" s="384"/>
      <c r="M140" s="384"/>
      <c r="N140" s="384"/>
      <c r="O140" s="392"/>
      <c r="P140" s="387" t="s">
        <v>74</v>
      </c>
      <c r="Q140" s="388"/>
      <c r="R140" s="388"/>
      <c r="S140" s="388"/>
      <c r="T140" s="388"/>
      <c r="U140" s="388"/>
      <c r="V140" s="389"/>
      <c r="W140" s="38" t="s">
        <v>75</v>
      </c>
      <c r="X140" s="375">
        <f>IFERROR(X136/H136,"0")+IFERROR(X137/H137,"0")+IFERROR(X138/H138,"0")+IFERROR(X139/H139,"0")</f>
        <v>18.518518518518519</v>
      </c>
      <c r="Y140" s="375">
        <f>IFERROR(Y136/H136,"0")+IFERROR(Y137/H137,"0")+IFERROR(Y138/H138,"0")+IFERROR(Y139/H139,"0")</f>
        <v>19</v>
      </c>
      <c r="Z140" s="375">
        <f>IFERROR(IF(Z136="",0,Z136),"0")+IFERROR(IF(Z137="",0,Z137),"0")+IFERROR(IF(Z138="",0,Z138),"0")+IFERROR(IF(Z139="",0,Z139),"0")</f>
        <v>0.17138</v>
      </c>
      <c r="AA140" s="376"/>
      <c r="AB140" s="376"/>
      <c r="AC140" s="376"/>
    </row>
    <row r="141" spans="1:68" x14ac:dyDescent="0.2">
      <c r="A141" s="384"/>
      <c r="B141" s="384"/>
      <c r="C141" s="384"/>
      <c r="D141" s="384"/>
      <c r="E141" s="384"/>
      <c r="F141" s="384"/>
      <c r="G141" s="384"/>
      <c r="H141" s="384"/>
      <c r="I141" s="384"/>
      <c r="J141" s="384"/>
      <c r="K141" s="384"/>
      <c r="L141" s="384"/>
      <c r="M141" s="384"/>
      <c r="N141" s="384"/>
      <c r="O141" s="392"/>
      <c r="P141" s="387" t="s">
        <v>74</v>
      </c>
      <c r="Q141" s="388"/>
      <c r="R141" s="388"/>
      <c r="S141" s="388"/>
      <c r="T141" s="388"/>
      <c r="U141" s="388"/>
      <c r="V141" s="389"/>
      <c r="W141" s="38" t="s">
        <v>71</v>
      </c>
      <c r="X141" s="375">
        <f>IFERROR(SUM(X136:X139),"0")</f>
        <v>100</v>
      </c>
      <c r="Y141" s="375">
        <f>IFERROR(SUM(Y136:Y139),"0")</f>
        <v>102.60000000000001</v>
      </c>
      <c r="Z141" s="38"/>
      <c r="AA141" s="376"/>
      <c r="AB141" s="376"/>
      <c r="AC141" s="376"/>
    </row>
    <row r="142" spans="1:68" ht="14.25" customHeight="1" x14ac:dyDescent="0.25">
      <c r="A142" s="383" t="s">
        <v>131</v>
      </c>
      <c r="B142" s="384"/>
      <c r="C142" s="384"/>
      <c r="D142" s="384"/>
      <c r="E142" s="384"/>
      <c r="F142" s="384"/>
      <c r="G142" s="384"/>
      <c r="H142" s="384"/>
      <c r="I142" s="384"/>
      <c r="J142" s="384"/>
      <c r="K142" s="384"/>
      <c r="L142" s="384"/>
      <c r="M142" s="384"/>
      <c r="N142" s="384"/>
      <c r="O142" s="384"/>
      <c r="P142" s="384"/>
      <c r="Q142" s="384"/>
      <c r="R142" s="384"/>
      <c r="S142" s="384"/>
      <c r="T142" s="384"/>
      <c r="U142" s="384"/>
      <c r="V142" s="384"/>
      <c r="W142" s="384"/>
      <c r="X142" s="384"/>
      <c r="Y142" s="384"/>
      <c r="Z142" s="384"/>
      <c r="AA142" s="368"/>
      <c r="AB142" s="368"/>
      <c r="AC142" s="368"/>
    </row>
    <row r="143" spans="1:68" ht="27" customHeight="1" x14ac:dyDescent="0.25">
      <c r="A143" s="55" t="s">
        <v>240</v>
      </c>
      <c r="B143" s="55" t="s">
        <v>241</v>
      </c>
      <c r="C143" s="32">
        <v>4301051408</v>
      </c>
      <c r="D143" s="381">
        <v>4680115881594</v>
      </c>
      <c r="E143" s="382"/>
      <c r="F143" s="372">
        <v>1.35</v>
      </c>
      <c r="G143" s="33">
        <v>6</v>
      </c>
      <c r="H143" s="372">
        <v>8.1</v>
      </c>
      <c r="I143" s="372">
        <v>8.5939999999999994</v>
      </c>
      <c r="J143" s="33">
        <v>64</v>
      </c>
      <c r="K143" s="33" t="s">
        <v>81</v>
      </c>
      <c r="L143" s="33"/>
      <c r="M143" s="34" t="s">
        <v>87</v>
      </c>
      <c r="N143" s="34"/>
      <c r="O143" s="33">
        <v>40</v>
      </c>
      <c r="P143" s="5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43" s="378"/>
      <c r="R143" s="378"/>
      <c r="S143" s="378"/>
      <c r="T143" s="379"/>
      <c r="U143" s="35"/>
      <c r="V143" s="35"/>
      <c r="W143" s="36" t="s">
        <v>71</v>
      </c>
      <c r="X143" s="373">
        <v>0</v>
      </c>
      <c r="Y143" s="374">
        <f t="shared" ref="Y143:Y150" si="10">IFERROR(IF(X143="",0,CEILING((X143/$H143),1)*$H143),"")</f>
        <v>0</v>
      </c>
      <c r="Z143" s="37" t="str">
        <f>IFERROR(IF(Y143=0,"",ROUNDUP(Y143/H143,0)*0.01898),"")</f>
        <v/>
      </c>
      <c r="AA143" s="57"/>
      <c r="AB143" s="58"/>
      <c r="AC143" s="180" t="s">
        <v>242</v>
      </c>
      <c r="AG143" s="65"/>
      <c r="AJ143" s="69"/>
      <c r="AK143" s="69">
        <v>0</v>
      </c>
      <c r="BB143" s="181" t="s">
        <v>1</v>
      </c>
      <c r="BM143" s="65">
        <f t="shared" ref="BM143:BM150" si="11">IFERROR(X143*I143/H143,"0")</f>
        <v>0</v>
      </c>
      <c r="BN143" s="65">
        <f t="shared" ref="BN143:BN150" si="12">IFERROR(Y143*I143/H143,"0")</f>
        <v>0</v>
      </c>
      <c r="BO143" s="65">
        <f t="shared" ref="BO143:BO150" si="13">IFERROR(1/J143*(X143/H143),"0")</f>
        <v>0</v>
      </c>
      <c r="BP143" s="65">
        <f t="shared" ref="BP143:BP150" si="14">IFERROR(1/J143*(Y143/H143),"0")</f>
        <v>0</v>
      </c>
    </row>
    <row r="144" spans="1:68" ht="27" customHeight="1" x14ac:dyDescent="0.25">
      <c r="A144" s="55" t="s">
        <v>243</v>
      </c>
      <c r="B144" s="55" t="s">
        <v>244</v>
      </c>
      <c r="C144" s="32">
        <v>4301051411</v>
      </c>
      <c r="D144" s="381">
        <v>4680115881617</v>
      </c>
      <c r="E144" s="382"/>
      <c r="F144" s="372">
        <v>1.35</v>
      </c>
      <c r="G144" s="33">
        <v>6</v>
      </c>
      <c r="H144" s="372">
        <v>8.1</v>
      </c>
      <c r="I144" s="372">
        <v>8.5760000000000005</v>
      </c>
      <c r="J144" s="33">
        <v>64</v>
      </c>
      <c r="K144" s="33" t="s">
        <v>81</v>
      </c>
      <c r="L144" s="33"/>
      <c r="M144" s="34" t="s">
        <v>87</v>
      </c>
      <c r="N144" s="34"/>
      <c r="O144" s="33">
        <v>40</v>
      </c>
      <c r="P144" s="3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44" s="378"/>
      <c r="R144" s="378"/>
      <c r="S144" s="378"/>
      <c r="T144" s="379"/>
      <c r="U144" s="35"/>
      <c r="V144" s="35"/>
      <c r="W144" s="36" t="s">
        <v>71</v>
      </c>
      <c r="X144" s="373">
        <v>250</v>
      </c>
      <c r="Y144" s="374">
        <f t="shared" si="10"/>
        <v>251.1</v>
      </c>
      <c r="Z144" s="37">
        <f>IFERROR(IF(Y144=0,"",ROUNDUP(Y144/H144,0)*0.01898),"")</f>
        <v>0.58838000000000001</v>
      </c>
      <c r="AA144" s="57"/>
      <c r="AB144" s="58"/>
      <c r="AC144" s="182" t="s">
        <v>245</v>
      </c>
      <c r="AG144" s="65"/>
      <c r="AJ144" s="69"/>
      <c r="AK144" s="69">
        <v>0</v>
      </c>
      <c r="BB144" s="183" t="s">
        <v>1</v>
      </c>
      <c r="BM144" s="65">
        <f t="shared" si="11"/>
        <v>264.6913580246914</v>
      </c>
      <c r="BN144" s="65">
        <f t="shared" si="12"/>
        <v>265.85600000000005</v>
      </c>
      <c r="BO144" s="65">
        <f t="shared" si="13"/>
        <v>0.48225308641975312</v>
      </c>
      <c r="BP144" s="65">
        <f t="shared" si="14"/>
        <v>0.484375</v>
      </c>
    </row>
    <row r="145" spans="1:68" ht="27" customHeight="1" x14ac:dyDescent="0.25">
      <c r="A145" s="55" t="s">
        <v>246</v>
      </c>
      <c r="B145" s="55" t="s">
        <v>247</v>
      </c>
      <c r="C145" s="32">
        <v>4301051656</v>
      </c>
      <c r="D145" s="381">
        <v>4680115880573</v>
      </c>
      <c r="E145" s="382"/>
      <c r="F145" s="372">
        <v>1.45</v>
      </c>
      <c r="G145" s="33">
        <v>6</v>
      </c>
      <c r="H145" s="372">
        <v>8.6999999999999993</v>
      </c>
      <c r="I145" s="372">
        <v>9.1940000000000008</v>
      </c>
      <c r="J145" s="33">
        <v>64</v>
      </c>
      <c r="K145" s="33" t="s">
        <v>81</v>
      </c>
      <c r="L145" s="33"/>
      <c r="M145" s="34" t="s">
        <v>87</v>
      </c>
      <c r="N145" s="34"/>
      <c r="O145" s="33">
        <v>45</v>
      </c>
      <c r="P145" s="42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45" s="378"/>
      <c r="R145" s="378"/>
      <c r="S145" s="378"/>
      <c r="T145" s="379"/>
      <c r="U145" s="35"/>
      <c r="V145" s="35"/>
      <c r="W145" s="36" t="s">
        <v>71</v>
      </c>
      <c r="X145" s="373">
        <v>300</v>
      </c>
      <c r="Y145" s="374">
        <f t="shared" si="10"/>
        <v>304.5</v>
      </c>
      <c r="Z145" s="37">
        <f>IFERROR(IF(Y145=0,"",ROUNDUP(Y145/H145,0)*0.01898),"")</f>
        <v>0.6643</v>
      </c>
      <c r="AA145" s="57"/>
      <c r="AB145" s="58"/>
      <c r="AC145" s="184" t="s">
        <v>248</v>
      </c>
      <c r="AG145" s="65"/>
      <c r="AJ145" s="69"/>
      <c r="AK145" s="69">
        <v>0</v>
      </c>
      <c r="BB145" s="185" t="s">
        <v>1</v>
      </c>
      <c r="BM145" s="65">
        <f t="shared" si="11"/>
        <v>317.03448275862075</v>
      </c>
      <c r="BN145" s="65">
        <f t="shared" si="12"/>
        <v>321.79000000000008</v>
      </c>
      <c r="BO145" s="65">
        <f t="shared" si="13"/>
        <v>0.53879310344827591</v>
      </c>
      <c r="BP145" s="65">
        <f t="shared" si="14"/>
        <v>0.546875</v>
      </c>
    </row>
    <row r="146" spans="1:68" ht="37.5" customHeight="1" x14ac:dyDescent="0.25">
      <c r="A146" s="55" t="s">
        <v>249</v>
      </c>
      <c r="B146" s="55" t="s">
        <v>250</v>
      </c>
      <c r="C146" s="32">
        <v>4301051407</v>
      </c>
      <c r="D146" s="381">
        <v>4680115882195</v>
      </c>
      <c r="E146" s="382"/>
      <c r="F146" s="372">
        <v>0.4</v>
      </c>
      <c r="G146" s="33">
        <v>6</v>
      </c>
      <c r="H146" s="372">
        <v>2.4</v>
      </c>
      <c r="I146" s="372">
        <v>2.67</v>
      </c>
      <c r="J146" s="33">
        <v>182</v>
      </c>
      <c r="K146" s="33" t="s">
        <v>69</v>
      </c>
      <c r="L146" s="33"/>
      <c r="M146" s="34" t="s">
        <v>87</v>
      </c>
      <c r="N146" s="34"/>
      <c r="O146" s="33">
        <v>40</v>
      </c>
      <c r="P146" s="5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46" s="378"/>
      <c r="R146" s="378"/>
      <c r="S146" s="378"/>
      <c r="T146" s="379"/>
      <c r="U146" s="35"/>
      <c r="V146" s="35"/>
      <c r="W146" s="36" t="s">
        <v>71</v>
      </c>
      <c r="X146" s="373">
        <v>0</v>
      </c>
      <c r="Y146" s="374">
        <f t="shared" si="10"/>
        <v>0</v>
      </c>
      <c r="Z146" s="37" t="str">
        <f>IFERROR(IF(Y146=0,"",ROUNDUP(Y146/H146,0)*0.00651),"")</f>
        <v/>
      </c>
      <c r="AA146" s="57"/>
      <c r="AB146" s="58"/>
      <c r="AC146" s="186" t="s">
        <v>251</v>
      </c>
      <c r="AG146" s="65"/>
      <c r="AJ146" s="69"/>
      <c r="AK146" s="69">
        <v>0</v>
      </c>
      <c r="BB146" s="187" t="s">
        <v>1</v>
      </c>
      <c r="BM146" s="65">
        <f t="shared" si="11"/>
        <v>0</v>
      </c>
      <c r="BN146" s="65">
        <f t="shared" si="12"/>
        <v>0</v>
      </c>
      <c r="BO146" s="65">
        <f t="shared" si="13"/>
        <v>0</v>
      </c>
      <c r="BP146" s="65">
        <f t="shared" si="14"/>
        <v>0</v>
      </c>
    </row>
    <row r="147" spans="1:68" ht="27" customHeight="1" x14ac:dyDescent="0.25">
      <c r="A147" s="55" t="s">
        <v>252</v>
      </c>
      <c r="B147" s="55" t="s">
        <v>253</v>
      </c>
      <c r="C147" s="32">
        <v>4301051752</v>
      </c>
      <c r="D147" s="381">
        <v>4680115882607</v>
      </c>
      <c r="E147" s="382"/>
      <c r="F147" s="372">
        <v>0.3</v>
      </c>
      <c r="G147" s="33">
        <v>6</v>
      </c>
      <c r="H147" s="372">
        <v>1.8</v>
      </c>
      <c r="I147" s="372">
        <v>2.052</v>
      </c>
      <c r="J147" s="33">
        <v>182</v>
      </c>
      <c r="K147" s="33" t="s">
        <v>69</v>
      </c>
      <c r="L147" s="33"/>
      <c r="M147" s="34" t="s">
        <v>105</v>
      </c>
      <c r="N147" s="34"/>
      <c r="O147" s="33">
        <v>45</v>
      </c>
      <c r="P147" s="4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147" s="378"/>
      <c r="R147" s="378"/>
      <c r="S147" s="378"/>
      <c r="T147" s="379"/>
      <c r="U147" s="35"/>
      <c r="V147" s="35"/>
      <c r="W147" s="36" t="s">
        <v>71</v>
      </c>
      <c r="X147" s="373">
        <v>0</v>
      </c>
      <c r="Y147" s="374">
        <f t="shared" si="10"/>
        <v>0</v>
      </c>
      <c r="Z147" s="37" t="str">
        <f>IFERROR(IF(Y147=0,"",ROUNDUP(Y147/H147,0)*0.00651),"")</f>
        <v/>
      </c>
      <c r="AA147" s="57"/>
      <c r="AB147" s="58"/>
      <c r="AC147" s="188" t="s">
        <v>248</v>
      </c>
      <c r="AG147" s="65"/>
      <c r="AJ147" s="69"/>
      <c r="AK147" s="69">
        <v>0</v>
      </c>
      <c r="BB147" s="189" t="s">
        <v>1</v>
      </c>
      <c r="BM147" s="65">
        <f t="shared" si="11"/>
        <v>0</v>
      </c>
      <c r="BN147" s="65">
        <f t="shared" si="12"/>
        <v>0</v>
      </c>
      <c r="BO147" s="65">
        <f t="shared" si="13"/>
        <v>0</v>
      </c>
      <c r="BP147" s="65">
        <f t="shared" si="14"/>
        <v>0</v>
      </c>
    </row>
    <row r="148" spans="1:68" ht="27" customHeight="1" x14ac:dyDescent="0.25">
      <c r="A148" s="55" t="s">
        <v>254</v>
      </c>
      <c r="B148" s="55" t="s">
        <v>255</v>
      </c>
      <c r="C148" s="32">
        <v>4301051666</v>
      </c>
      <c r="D148" s="381">
        <v>4680115880092</v>
      </c>
      <c r="E148" s="382"/>
      <c r="F148" s="372">
        <v>0.4</v>
      </c>
      <c r="G148" s="33">
        <v>6</v>
      </c>
      <c r="H148" s="372">
        <v>2.4</v>
      </c>
      <c r="I148" s="372">
        <v>2.6520000000000001</v>
      </c>
      <c r="J148" s="33">
        <v>182</v>
      </c>
      <c r="K148" s="33" t="s">
        <v>69</v>
      </c>
      <c r="L148" s="33"/>
      <c r="M148" s="34" t="s">
        <v>87</v>
      </c>
      <c r="N148" s="34"/>
      <c r="O148" s="33">
        <v>45</v>
      </c>
      <c r="P148" s="4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148" s="378"/>
      <c r="R148" s="378"/>
      <c r="S148" s="378"/>
      <c r="T148" s="379"/>
      <c r="U148" s="35"/>
      <c r="V148" s="35"/>
      <c r="W148" s="36" t="s">
        <v>71</v>
      </c>
      <c r="X148" s="373">
        <v>120</v>
      </c>
      <c r="Y148" s="374">
        <f t="shared" si="10"/>
        <v>120</v>
      </c>
      <c r="Z148" s="37">
        <f>IFERROR(IF(Y148=0,"",ROUNDUP(Y148/H148,0)*0.00651),"")</f>
        <v>0.32550000000000001</v>
      </c>
      <c r="AA148" s="57"/>
      <c r="AB148" s="58"/>
      <c r="AC148" s="190" t="s">
        <v>248</v>
      </c>
      <c r="AG148" s="65"/>
      <c r="AJ148" s="69"/>
      <c r="AK148" s="69">
        <v>0</v>
      </c>
      <c r="BB148" s="191" t="s">
        <v>1</v>
      </c>
      <c r="BM148" s="65">
        <f t="shared" si="11"/>
        <v>132.60000000000002</v>
      </c>
      <c r="BN148" s="65">
        <f t="shared" si="12"/>
        <v>132.60000000000002</v>
      </c>
      <c r="BO148" s="65">
        <f t="shared" si="13"/>
        <v>0.27472527472527475</v>
      </c>
      <c r="BP148" s="65">
        <f t="shared" si="14"/>
        <v>0.27472527472527475</v>
      </c>
    </row>
    <row r="149" spans="1:68" ht="27" customHeight="1" x14ac:dyDescent="0.25">
      <c r="A149" s="55" t="s">
        <v>256</v>
      </c>
      <c r="B149" s="55" t="s">
        <v>257</v>
      </c>
      <c r="C149" s="32">
        <v>4301051668</v>
      </c>
      <c r="D149" s="381">
        <v>4680115880221</v>
      </c>
      <c r="E149" s="382"/>
      <c r="F149" s="372">
        <v>0.4</v>
      </c>
      <c r="G149" s="33">
        <v>6</v>
      </c>
      <c r="H149" s="372">
        <v>2.4</v>
      </c>
      <c r="I149" s="372">
        <v>2.6520000000000001</v>
      </c>
      <c r="J149" s="33">
        <v>182</v>
      </c>
      <c r="K149" s="33" t="s">
        <v>69</v>
      </c>
      <c r="L149" s="33"/>
      <c r="M149" s="34" t="s">
        <v>87</v>
      </c>
      <c r="N149" s="34"/>
      <c r="O149" s="33">
        <v>45</v>
      </c>
      <c r="P149" s="6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149" s="378"/>
      <c r="R149" s="378"/>
      <c r="S149" s="378"/>
      <c r="T149" s="379"/>
      <c r="U149" s="35"/>
      <c r="V149" s="35"/>
      <c r="W149" s="36" t="s">
        <v>71</v>
      </c>
      <c r="X149" s="373">
        <v>120</v>
      </c>
      <c r="Y149" s="374">
        <f t="shared" si="10"/>
        <v>120</v>
      </c>
      <c r="Z149" s="37">
        <f>IFERROR(IF(Y149=0,"",ROUNDUP(Y149/H149,0)*0.00651),"")</f>
        <v>0.32550000000000001</v>
      </c>
      <c r="AA149" s="57"/>
      <c r="AB149" s="58"/>
      <c r="AC149" s="192" t="s">
        <v>248</v>
      </c>
      <c r="AG149" s="65"/>
      <c r="AJ149" s="69"/>
      <c r="AK149" s="69">
        <v>0</v>
      </c>
      <c r="BB149" s="193" t="s">
        <v>1</v>
      </c>
      <c r="BM149" s="65">
        <f t="shared" si="11"/>
        <v>132.60000000000002</v>
      </c>
      <c r="BN149" s="65">
        <f t="shared" si="12"/>
        <v>132.60000000000002</v>
      </c>
      <c r="BO149" s="65">
        <f t="shared" si="13"/>
        <v>0.27472527472527475</v>
      </c>
      <c r="BP149" s="65">
        <f t="shared" si="14"/>
        <v>0.27472527472527475</v>
      </c>
    </row>
    <row r="150" spans="1:68" ht="27" customHeight="1" x14ac:dyDescent="0.25">
      <c r="A150" s="55" t="s">
        <v>258</v>
      </c>
      <c r="B150" s="55" t="s">
        <v>259</v>
      </c>
      <c r="C150" s="32">
        <v>4301051410</v>
      </c>
      <c r="D150" s="381">
        <v>4680115882164</v>
      </c>
      <c r="E150" s="382"/>
      <c r="F150" s="372">
        <v>0.4</v>
      </c>
      <c r="G150" s="33">
        <v>6</v>
      </c>
      <c r="H150" s="372">
        <v>2.4</v>
      </c>
      <c r="I150" s="372">
        <v>2.6579999999999999</v>
      </c>
      <c r="J150" s="33">
        <v>182</v>
      </c>
      <c r="K150" s="33" t="s">
        <v>69</v>
      </c>
      <c r="L150" s="33"/>
      <c r="M150" s="34" t="s">
        <v>87</v>
      </c>
      <c r="N150" s="34"/>
      <c r="O150" s="33">
        <v>40</v>
      </c>
      <c r="P150" s="4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150" s="378"/>
      <c r="R150" s="378"/>
      <c r="S150" s="378"/>
      <c r="T150" s="379"/>
      <c r="U150" s="35"/>
      <c r="V150" s="35"/>
      <c r="W150" s="36" t="s">
        <v>71</v>
      </c>
      <c r="X150" s="373">
        <v>0</v>
      </c>
      <c r="Y150" s="374">
        <f t="shared" si="10"/>
        <v>0</v>
      </c>
      <c r="Z150" s="37" t="str">
        <f>IFERROR(IF(Y150=0,"",ROUNDUP(Y150/H150,0)*0.00651),"")</f>
        <v/>
      </c>
      <c r="AA150" s="57"/>
      <c r="AB150" s="58"/>
      <c r="AC150" s="194" t="s">
        <v>245</v>
      </c>
      <c r="AG150" s="65"/>
      <c r="AJ150" s="69"/>
      <c r="AK150" s="69">
        <v>0</v>
      </c>
      <c r="BB150" s="195" t="s">
        <v>1</v>
      </c>
      <c r="BM150" s="65">
        <f t="shared" si="11"/>
        <v>0</v>
      </c>
      <c r="BN150" s="65">
        <f t="shared" si="12"/>
        <v>0</v>
      </c>
      <c r="BO150" s="65">
        <f t="shared" si="13"/>
        <v>0</v>
      </c>
      <c r="BP150" s="65">
        <f t="shared" si="14"/>
        <v>0</v>
      </c>
    </row>
    <row r="151" spans="1:68" x14ac:dyDescent="0.2">
      <c r="A151" s="391"/>
      <c r="B151" s="384"/>
      <c r="C151" s="384"/>
      <c r="D151" s="384"/>
      <c r="E151" s="384"/>
      <c r="F151" s="384"/>
      <c r="G151" s="384"/>
      <c r="H151" s="384"/>
      <c r="I151" s="384"/>
      <c r="J151" s="384"/>
      <c r="K151" s="384"/>
      <c r="L151" s="384"/>
      <c r="M151" s="384"/>
      <c r="N151" s="384"/>
      <c r="O151" s="392"/>
      <c r="P151" s="387" t="s">
        <v>74</v>
      </c>
      <c r="Q151" s="388"/>
      <c r="R151" s="388"/>
      <c r="S151" s="388"/>
      <c r="T151" s="388"/>
      <c r="U151" s="388"/>
      <c r="V151" s="389"/>
      <c r="W151" s="38" t="s">
        <v>75</v>
      </c>
      <c r="X151" s="375">
        <f>IFERROR(X143/H143,"0")+IFERROR(X144/H144,"0")+IFERROR(X145/H145,"0")+IFERROR(X146/H146,"0")+IFERROR(X147/H147,"0")+IFERROR(X148/H148,"0")+IFERROR(X149/H149,"0")+IFERROR(X150/H150,"0")</f>
        <v>165.34695615155385</v>
      </c>
      <c r="Y151" s="375">
        <f>IFERROR(Y143/H143,"0")+IFERROR(Y144/H144,"0")+IFERROR(Y145/H145,"0")+IFERROR(Y146/H146,"0")+IFERROR(Y147/H147,"0")+IFERROR(Y148/H148,"0")+IFERROR(Y149/H149,"0")+IFERROR(Y150/H150,"0")</f>
        <v>166</v>
      </c>
      <c r="Z151" s="375">
        <f>IFERROR(IF(Z143="",0,Z143),"0")+IFERROR(IF(Z144="",0,Z144),"0")+IFERROR(IF(Z145="",0,Z145),"0")+IFERROR(IF(Z146="",0,Z146),"0")+IFERROR(IF(Z147="",0,Z147),"0")+IFERROR(IF(Z148="",0,Z148),"0")+IFERROR(IF(Z149="",0,Z149),"0")+IFERROR(IF(Z150="",0,Z150),"0")</f>
        <v>1.90368</v>
      </c>
      <c r="AA151" s="376"/>
      <c r="AB151" s="376"/>
      <c r="AC151" s="376"/>
    </row>
    <row r="152" spans="1:68" x14ac:dyDescent="0.2">
      <c r="A152" s="384"/>
      <c r="B152" s="384"/>
      <c r="C152" s="384"/>
      <c r="D152" s="384"/>
      <c r="E152" s="384"/>
      <c r="F152" s="384"/>
      <c r="G152" s="384"/>
      <c r="H152" s="384"/>
      <c r="I152" s="384"/>
      <c r="J152" s="384"/>
      <c r="K152" s="384"/>
      <c r="L152" s="384"/>
      <c r="M152" s="384"/>
      <c r="N152" s="384"/>
      <c r="O152" s="392"/>
      <c r="P152" s="387" t="s">
        <v>74</v>
      </c>
      <c r="Q152" s="388"/>
      <c r="R152" s="388"/>
      <c r="S152" s="388"/>
      <c r="T152" s="388"/>
      <c r="U152" s="388"/>
      <c r="V152" s="389"/>
      <c r="W152" s="38" t="s">
        <v>71</v>
      </c>
      <c r="X152" s="375">
        <f>IFERROR(SUM(X143:X150),"0")</f>
        <v>790</v>
      </c>
      <c r="Y152" s="375">
        <f>IFERROR(SUM(Y143:Y150),"0")</f>
        <v>795.6</v>
      </c>
      <c r="Z152" s="38"/>
      <c r="AA152" s="376"/>
      <c r="AB152" s="376"/>
      <c r="AC152" s="376"/>
    </row>
    <row r="153" spans="1:68" ht="14.25" customHeight="1" x14ac:dyDescent="0.25">
      <c r="A153" s="383" t="s">
        <v>118</v>
      </c>
      <c r="B153" s="384"/>
      <c r="C153" s="384"/>
      <c r="D153" s="384"/>
      <c r="E153" s="384"/>
      <c r="F153" s="384"/>
      <c r="G153" s="384"/>
      <c r="H153" s="384"/>
      <c r="I153" s="384"/>
      <c r="J153" s="384"/>
      <c r="K153" s="384"/>
      <c r="L153" s="384"/>
      <c r="M153" s="384"/>
      <c r="N153" s="384"/>
      <c r="O153" s="384"/>
      <c r="P153" s="384"/>
      <c r="Q153" s="384"/>
      <c r="R153" s="384"/>
      <c r="S153" s="384"/>
      <c r="T153" s="384"/>
      <c r="U153" s="384"/>
      <c r="V153" s="384"/>
      <c r="W153" s="384"/>
      <c r="X153" s="384"/>
      <c r="Y153" s="384"/>
      <c r="Z153" s="384"/>
      <c r="AA153" s="368"/>
      <c r="AB153" s="368"/>
      <c r="AC153" s="368"/>
    </row>
    <row r="154" spans="1:68" ht="37.5" customHeight="1" x14ac:dyDescent="0.25">
      <c r="A154" s="55" t="s">
        <v>260</v>
      </c>
      <c r="B154" s="55" t="s">
        <v>261</v>
      </c>
      <c r="C154" s="32">
        <v>4301060389</v>
      </c>
      <c r="D154" s="381">
        <v>4680115880801</v>
      </c>
      <c r="E154" s="382"/>
      <c r="F154" s="372">
        <v>0.4</v>
      </c>
      <c r="G154" s="33">
        <v>6</v>
      </c>
      <c r="H154" s="372">
        <v>2.4</v>
      </c>
      <c r="I154" s="372">
        <v>2.6520000000000001</v>
      </c>
      <c r="J154" s="33">
        <v>182</v>
      </c>
      <c r="K154" s="33" t="s">
        <v>69</v>
      </c>
      <c r="L154" s="33"/>
      <c r="M154" s="34" t="s">
        <v>87</v>
      </c>
      <c r="N154" s="34"/>
      <c r="O154" s="33">
        <v>40</v>
      </c>
      <c r="P154" s="53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154" s="378"/>
      <c r="R154" s="378"/>
      <c r="S154" s="378"/>
      <c r="T154" s="379"/>
      <c r="U154" s="35"/>
      <c r="V154" s="35"/>
      <c r="W154" s="36" t="s">
        <v>71</v>
      </c>
      <c r="X154" s="373">
        <v>0</v>
      </c>
      <c r="Y154" s="374">
        <f>IFERROR(IF(X154="",0,CEILING((X154/$H154),1)*$H154),"")</f>
        <v>0</v>
      </c>
      <c r="Z154" s="37" t="str">
        <f>IFERROR(IF(Y154=0,"",ROUNDUP(Y154/H154,0)*0.00651),"")</f>
        <v/>
      </c>
      <c r="AA154" s="57"/>
      <c r="AB154" s="58"/>
      <c r="AC154" s="196" t="s">
        <v>262</v>
      </c>
      <c r="AG154" s="65"/>
      <c r="AJ154" s="69"/>
      <c r="AK154" s="69">
        <v>0</v>
      </c>
      <c r="BB154" s="197" t="s">
        <v>1</v>
      </c>
      <c r="BM154" s="65">
        <f>IFERROR(X154*I154/H154,"0")</f>
        <v>0</v>
      </c>
      <c r="BN154" s="65">
        <f>IFERROR(Y154*I154/H154,"0")</f>
        <v>0</v>
      </c>
      <c r="BO154" s="65">
        <f>IFERROR(1/J154*(X154/H154),"0")</f>
        <v>0</v>
      </c>
      <c r="BP154" s="65">
        <f>IFERROR(1/J154*(Y154/H154),"0")</f>
        <v>0</v>
      </c>
    </row>
    <row r="155" spans="1:68" x14ac:dyDescent="0.2">
      <c r="A155" s="391"/>
      <c r="B155" s="384"/>
      <c r="C155" s="384"/>
      <c r="D155" s="384"/>
      <c r="E155" s="384"/>
      <c r="F155" s="384"/>
      <c r="G155" s="384"/>
      <c r="H155" s="384"/>
      <c r="I155" s="384"/>
      <c r="J155" s="384"/>
      <c r="K155" s="384"/>
      <c r="L155" s="384"/>
      <c r="M155" s="384"/>
      <c r="N155" s="384"/>
      <c r="O155" s="392"/>
      <c r="P155" s="387" t="s">
        <v>74</v>
      </c>
      <c r="Q155" s="388"/>
      <c r="R155" s="388"/>
      <c r="S155" s="388"/>
      <c r="T155" s="388"/>
      <c r="U155" s="388"/>
      <c r="V155" s="389"/>
      <c r="W155" s="38" t="s">
        <v>75</v>
      </c>
      <c r="X155" s="375">
        <f>IFERROR(X154/H154,"0")</f>
        <v>0</v>
      </c>
      <c r="Y155" s="375">
        <f>IFERROR(Y154/H154,"0")</f>
        <v>0</v>
      </c>
      <c r="Z155" s="375">
        <f>IFERROR(IF(Z154="",0,Z154),"0")</f>
        <v>0</v>
      </c>
      <c r="AA155" s="376"/>
      <c r="AB155" s="376"/>
      <c r="AC155" s="376"/>
    </row>
    <row r="156" spans="1:68" x14ac:dyDescent="0.2">
      <c r="A156" s="384"/>
      <c r="B156" s="384"/>
      <c r="C156" s="384"/>
      <c r="D156" s="384"/>
      <c r="E156" s="384"/>
      <c r="F156" s="384"/>
      <c r="G156" s="384"/>
      <c r="H156" s="384"/>
      <c r="I156" s="384"/>
      <c r="J156" s="384"/>
      <c r="K156" s="384"/>
      <c r="L156" s="384"/>
      <c r="M156" s="384"/>
      <c r="N156" s="384"/>
      <c r="O156" s="392"/>
      <c r="P156" s="387" t="s">
        <v>74</v>
      </c>
      <c r="Q156" s="388"/>
      <c r="R156" s="388"/>
      <c r="S156" s="388"/>
      <c r="T156" s="388"/>
      <c r="U156" s="388"/>
      <c r="V156" s="389"/>
      <c r="W156" s="38" t="s">
        <v>71</v>
      </c>
      <c r="X156" s="375">
        <f>IFERROR(SUM(X154:X154),"0")</f>
        <v>0</v>
      </c>
      <c r="Y156" s="375">
        <f>IFERROR(SUM(Y154:Y154),"0")</f>
        <v>0</v>
      </c>
      <c r="Z156" s="38"/>
      <c r="AA156" s="376"/>
      <c r="AB156" s="376"/>
      <c r="AC156" s="376"/>
    </row>
    <row r="157" spans="1:68" ht="16.5" customHeight="1" x14ac:dyDescent="0.25">
      <c r="A157" s="419" t="s">
        <v>263</v>
      </c>
      <c r="B157" s="384"/>
      <c r="C157" s="384"/>
      <c r="D157" s="384"/>
      <c r="E157" s="384"/>
      <c r="F157" s="384"/>
      <c r="G157" s="384"/>
      <c r="H157" s="384"/>
      <c r="I157" s="384"/>
      <c r="J157" s="384"/>
      <c r="K157" s="384"/>
      <c r="L157" s="384"/>
      <c r="M157" s="384"/>
      <c r="N157" s="384"/>
      <c r="O157" s="384"/>
      <c r="P157" s="384"/>
      <c r="Q157" s="384"/>
      <c r="R157" s="384"/>
      <c r="S157" s="384"/>
      <c r="T157" s="384"/>
      <c r="U157" s="384"/>
      <c r="V157" s="384"/>
      <c r="W157" s="384"/>
      <c r="X157" s="384"/>
      <c r="Y157" s="384"/>
      <c r="Z157" s="384"/>
      <c r="AA157" s="369"/>
      <c r="AB157" s="369"/>
      <c r="AC157" s="369"/>
    </row>
    <row r="158" spans="1:68" ht="14.25" customHeight="1" x14ac:dyDescent="0.25">
      <c r="A158" s="383" t="s">
        <v>78</v>
      </c>
      <c r="B158" s="384"/>
      <c r="C158" s="384"/>
      <c r="D158" s="384"/>
      <c r="E158" s="384"/>
      <c r="F158" s="384"/>
      <c r="G158" s="384"/>
      <c r="H158" s="384"/>
      <c r="I158" s="384"/>
      <c r="J158" s="384"/>
      <c r="K158" s="384"/>
      <c r="L158" s="384"/>
      <c r="M158" s="384"/>
      <c r="N158" s="384"/>
      <c r="O158" s="384"/>
      <c r="P158" s="384"/>
      <c r="Q158" s="384"/>
      <c r="R158" s="384"/>
      <c r="S158" s="384"/>
      <c r="T158" s="384"/>
      <c r="U158" s="384"/>
      <c r="V158" s="384"/>
      <c r="W158" s="384"/>
      <c r="X158" s="384"/>
      <c r="Y158" s="384"/>
      <c r="Z158" s="384"/>
      <c r="AA158" s="368"/>
      <c r="AB158" s="368"/>
      <c r="AC158" s="368"/>
    </row>
    <row r="159" spans="1:68" ht="27" customHeight="1" x14ac:dyDescent="0.25">
      <c r="A159" s="55" t="s">
        <v>264</v>
      </c>
      <c r="B159" s="55" t="s">
        <v>265</v>
      </c>
      <c r="C159" s="32">
        <v>4301011826</v>
      </c>
      <c r="D159" s="381">
        <v>4680115884137</v>
      </c>
      <c r="E159" s="382"/>
      <c r="F159" s="372">
        <v>1.45</v>
      </c>
      <c r="G159" s="33">
        <v>8</v>
      </c>
      <c r="H159" s="372">
        <v>11.6</v>
      </c>
      <c r="I159" s="372">
        <v>12.01</v>
      </c>
      <c r="J159" s="33">
        <v>64</v>
      </c>
      <c r="K159" s="33" t="s">
        <v>81</v>
      </c>
      <c r="L159" s="33"/>
      <c r="M159" s="34" t="s">
        <v>82</v>
      </c>
      <c r="N159" s="34"/>
      <c r="O159" s="33">
        <v>55</v>
      </c>
      <c r="P159" s="5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159" s="378"/>
      <c r="R159" s="378"/>
      <c r="S159" s="378"/>
      <c r="T159" s="379"/>
      <c r="U159" s="35"/>
      <c r="V159" s="35"/>
      <c r="W159" s="36" t="s">
        <v>71</v>
      </c>
      <c r="X159" s="373">
        <v>0</v>
      </c>
      <c r="Y159" s="374">
        <f t="shared" ref="Y159:Y165" si="15">IFERROR(IF(X159="",0,CEILING((X159/$H159),1)*$H159),"")</f>
        <v>0</v>
      </c>
      <c r="Z159" s="37" t="str">
        <f>IFERROR(IF(Y159=0,"",ROUNDUP(Y159/H159,0)*0.01898),"")</f>
        <v/>
      </c>
      <c r="AA159" s="57"/>
      <c r="AB159" s="58"/>
      <c r="AC159" s="198" t="s">
        <v>266</v>
      </c>
      <c r="AG159" s="65"/>
      <c r="AJ159" s="69"/>
      <c r="AK159" s="69">
        <v>0</v>
      </c>
      <c r="BB159" s="199" t="s">
        <v>1</v>
      </c>
      <c r="BM159" s="65">
        <f t="shared" ref="BM159:BM165" si="16">IFERROR(X159*I159/H159,"0")</f>
        <v>0</v>
      </c>
      <c r="BN159" s="65">
        <f t="shared" ref="BN159:BN165" si="17">IFERROR(Y159*I159/H159,"0")</f>
        <v>0</v>
      </c>
      <c r="BO159" s="65">
        <f t="shared" ref="BO159:BO165" si="18">IFERROR(1/J159*(X159/H159),"0")</f>
        <v>0</v>
      </c>
      <c r="BP159" s="65">
        <f t="shared" ref="BP159:BP165" si="19">IFERROR(1/J159*(Y159/H159),"0")</f>
        <v>0</v>
      </c>
    </row>
    <row r="160" spans="1:68" ht="27" customHeight="1" x14ac:dyDescent="0.25">
      <c r="A160" s="55" t="s">
        <v>267</v>
      </c>
      <c r="B160" s="55" t="s">
        <v>268</v>
      </c>
      <c r="C160" s="32">
        <v>4301011724</v>
      </c>
      <c r="D160" s="381">
        <v>4680115884236</v>
      </c>
      <c r="E160" s="382"/>
      <c r="F160" s="372">
        <v>1.45</v>
      </c>
      <c r="G160" s="33">
        <v>8</v>
      </c>
      <c r="H160" s="372">
        <v>11.6</v>
      </c>
      <c r="I160" s="372">
        <v>12.01</v>
      </c>
      <c r="J160" s="33">
        <v>64</v>
      </c>
      <c r="K160" s="33" t="s">
        <v>81</v>
      </c>
      <c r="L160" s="33"/>
      <c r="M160" s="34" t="s">
        <v>82</v>
      </c>
      <c r="N160" s="34"/>
      <c r="O160" s="33">
        <v>55</v>
      </c>
      <c r="P160" s="42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160" s="378"/>
      <c r="R160" s="378"/>
      <c r="S160" s="378"/>
      <c r="T160" s="379"/>
      <c r="U160" s="35"/>
      <c r="V160" s="35"/>
      <c r="W160" s="36" t="s">
        <v>71</v>
      </c>
      <c r="X160" s="373">
        <v>0</v>
      </c>
      <c r="Y160" s="374">
        <f t="shared" si="15"/>
        <v>0</v>
      </c>
      <c r="Z160" s="37" t="str">
        <f>IFERROR(IF(Y160=0,"",ROUNDUP(Y160/H160,0)*0.01898),"")</f>
        <v/>
      </c>
      <c r="AA160" s="57"/>
      <c r="AB160" s="58"/>
      <c r="AC160" s="200" t="s">
        <v>269</v>
      </c>
      <c r="AG160" s="65"/>
      <c r="AJ160" s="69"/>
      <c r="AK160" s="69">
        <v>0</v>
      </c>
      <c r="BB160" s="201" t="s">
        <v>1</v>
      </c>
      <c r="BM160" s="65">
        <f t="shared" si="16"/>
        <v>0</v>
      </c>
      <c r="BN160" s="65">
        <f t="shared" si="17"/>
        <v>0</v>
      </c>
      <c r="BO160" s="65">
        <f t="shared" si="18"/>
        <v>0</v>
      </c>
      <c r="BP160" s="65">
        <f t="shared" si="19"/>
        <v>0</v>
      </c>
    </row>
    <row r="161" spans="1:68" ht="27" customHeight="1" x14ac:dyDescent="0.25">
      <c r="A161" s="55" t="s">
        <v>270</v>
      </c>
      <c r="B161" s="55" t="s">
        <v>271</v>
      </c>
      <c r="C161" s="32">
        <v>4301011721</v>
      </c>
      <c r="D161" s="381">
        <v>4680115884175</v>
      </c>
      <c r="E161" s="382"/>
      <c r="F161" s="372">
        <v>1.45</v>
      </c>
      <c r="G161" s="33">
        <v>8</v>
      </c>
      <c r="H161" s="372">
        <v>11.6</v>
      </c>
      <c r="I161" s="372">
        <v>12.01</v>
      </c>
      <c r="J161" s="33">
        <v>64</v>
      </c>
      <c r="K161" s="33" t="s">
        <v>81</v>
      </c>
      <c r="L161" s="33"/>
      <c r="M161" s="34" t="s">
        <v>82</v>
      </c>
      <c r="N161" s="34"/>
      <c r="O161" s="33">
        <v>55</v>
      </c>
      <c r="P161" s="5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161" s="378"/>
      <c r="R161" s="378"/>
      <c r="S161" s="378"/>
      <c r="T161" s="379"/>
      <c r="U161" s="35"/>
      <c r="V161" s="35"/>
      <c r="W161" s="36" t="s">
        <v>71</v>
      </c>
      <c r="X161" s="373">
        <v>0</v>
      </c>
      <c r="Y161" s="374">
        <f t="shared" si="15"/>
        <v>0</v>
      </c>
      <c r="Z161" s="37" t="str">
        <f>IFERROR(IF(Y161=0,"",ROUNDUP(Y161/H161,0)*0.01898),"")</f>
        <v/>
      </c>
      <c r="AA161" s="57"/>
      <c r="AB161" s="58"/>
      <c r="AC161" s="202" t="s">
        <v>272</v>
      </c>
      <c r="AG161" s="65"/>
      <c r="AJ161" s="69"/>
      <c r="AK161" s="69">
        <v>0</v>
      </c>
      <c r="BB161" s="203" t="s">
        <v>1</v>
      </c>
      <c r="BM161" s="65">
        <f t="shared" si="16"/>
        <v>0</v>
      </c>
      <c r="BN161" s="65">
        <f t="shared" si="17"/>
        <v>0</v>
      </c>
      <c r="BO161" s="65">
        <f t="shared" si="18"/>
        <v>0</v>
      </c>
      <c r="BP161" s="65">
        <f t="shared" si="19"/>
        <v>0</v>
      </c>
    </row>
    <row r="162" spans="1:68" ht="27" customHeight="1" x14ac:dyDescent="0.25">
      <c r="A162" s="55" t="s">
        <v>273</v>
      </c>
      <c r="B162" s="55" t="s">
        <v>274</v>
      </c>
      <c r="C162" s="32">
        <v>4301011824</v>
      </c>
      <c r="D162" s="381">
        <v>4680115884144</v>
      </c>
      <c r="E162" s="382"/>
      <c r="F162" s="372">
        <v>0.4</v>
      </c>
      <c r="G162" s="33">
        <v>10</v>
      </c>
      <c r="H162" s="372">
        <v>4</v>
      </c>
      <c r="I162" s="372">
        <v>4.1900000000000004</v>
      </c>
      <c r="J162" s="33">
        <v>132</v>
      </c>
      <c r="K162" s="33" t="s">
        <v>86</v>
      </c>
      <c r="L162" s="33"/>
      <c r="M162" s="34" t="s">
        <v>82</v>
      </c>
      <c r="N162" s="34"/>
      <c r="O162" s="33">
        <v>55</v>
      </c>
      <c r="P162" s="55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162" s="378"/>
      <c r="R162" s="378"/>
      <c r="S162" s="378"/>
      <c r="T162" s="379"/>
      <c r="U162" s="35"/>
      <c r="V162" s="35"/>
      <c r="W162" s="36" t="s">
        <v>71</v>
      </c>
      <c r="X162" s="373">
        <v>0</v>
      </c>
      <c r="Y162" s="374">
        <f t="shared" si="15"/>
        <v>0</v>
      </c>
      <c r="Z162" s="37" t="str">
        <f>IFERROR(IF(Y162=0,"",ROUNDUP(Y162/H162,0)*0.00902),"")</f>
        <v/>
      </c>
      <c r="AA162" s="57"/>
      <c r="AB162" s="58"/>
      <c r="AC162" s="204" t="s">
        <v>266</v>
      </c>
      <c r="AG162" s="65"/>
      <c r="AJ162" s="69"/>
      <c r="AK162" s="69">
        <v>0</v>
      </c>
      <c r="BB162" s="205" t="s">
        <v>1</v>
      </c>
      <c r="BM162" s="65">
        <f t="shared" si="16"/>
        <v>0</v>
      </c>
      <c r="BN162" s="65">
        <f t="shared" si="17"/>
        <v>0</v>
      </c>
      <c r="BO162" s="65">
        <f t="shared" si="18"/>
        <v>0</v>
      </c>
      <c r="BP162" s="65">
        <f t="shared" si="19"/>
        <v>0</v>
      </c>
    </row>
    <row r="163" spans="1:68" ht="27" customHeight="1" x14ac:dyDescent="0.25">
      <c r="A163" s="55" t="s">
        <v>273</v>
      </c>
      <c r="B163" s="55" t="s">
        <v>275</v>
      </c>
      <c r="C163" s="32">
        <v>4301012196</v>
      </c>
      <c r="D163" s="381">
        <v>4680115884144</v>
      </c>
      <c r="E163" s="382"/>
      <c r="F163" s="372">
        <v>0.4</v>
      </c>
      <c r="G163" s="33">
        <v>10</v>
      </c>
      <c r="H163" s="372">
        <v>4</v>
      </c>
      <c r="I163" s="372">
        <v>4.1900000000000004</v>
      </c>
      <c r="J163" s="33">
        <v>132</v>
      </c>
      <c r="K163" s="33" t="s">
        <v>86</v>
      </c>
      <c r="L163" s="33"/>
      <c r="M163" s="34" t="s">
        <v>82</v>
      </c>
      <c r="N163" s="34"/>
      <c r="O163" s="33">
        <v>55</v>
      </c>
      <c r="P163" s="49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163" s="378"/>
      <c r="R163" s="378"/>
      <c r="S163" s="378"/>
      <c r="T163" s="379"/>
      <c r="U163" s="35"/>
      <c r="V163" s="35"/>
      <c r="W163" s="36" t="s">
        <v>71</v>
      </c>
      <c r="X163" s="373">
        <v>0</v>
      </c>
      <c r="Y163" s="374">
        <f t="shared" si="15"/>
        <v>0</v>
      </c>
      <c r="Z163" s="37" t="str">
        <f>IFERROR(IF(Y163=0,"",ROUNDUP(Y163/H163,0)*0.00902),"")</f>
        <v/>
      </c>
      <c r="AA163" s="57"/>
      <c r="AB163" s="58"/>
      <c r="AC163" s="206" t="s">
        <v>266</v>
      </c>
      <c r="AG163" s="65"/>
      <c r="AJ163" s="69"/>
      <c r="AK163" s="69">
        <v>0</v>
      </c>
      <c r="BB163" s="207" t="s">
        <v>1</v>
      </c>
      <c r="BM163" s="65">
        <f t="shared" si="16"/>
        <v>0</v>
      </c>
      <c r="BN163" s="65">
        <f t="shared" si="17"/>
        <v>0</v>
      </c>
      <c r="BO163" s="65">
        <f t="shared" si="18"/>
        <v>0</v>
      </c>
      <c r="BP163" s="65">
        <f t="shared" si="19"/>
        <v>0</v>
      </c>
    </row>
    <row r="164" spans="1:68" ht="27" customHeight="1" x14ac:dyDescent="0.25">
      <c r="A164" s="55" t="s">
        <v>276</v>
      </c>
      <c r="B164" s="55" t="s">
        <v>277</v>
      </c>
      <c r="C164" s="32">
        <v>4301011722</v>
      </c>
      <c r="D164" s="381">
        <v>4680115884205</v>
      </c>
      <c r="E164" s="382"/>
      <c r="F164" s="372">
        <v>0.4</v>
      </c>
      <c r="G164" s="33">
        <v>10</v>
      </c>
      <c r="H164" s="372">
        <v>4</v>
      </c>
      <c r="I164" s="372">
        <v>4.1900000000000004</v>
      </c>
      <c r="J164" s="33">
        <v>132</v>
      </c>
      <c r="K164" s="33" t="s">
        <v>86</v>
      </c>
      <c r="L164" s="33"/>
      <c r="M164" s="34" t="s">
        <v>82</v>
      </c>
      <c r="N164" s="34"/>
      <c r="O164" s="33">
        <v>55</v>
      </c>
      <c r="P164" s="5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164" s="378"/>
      <c r="R164" s="378"/>
      <c r="S164" s="378"/>
      <c r="T164" s="379"/>
      <c r="U164" s="35"/>
      <c r="V164" s="35"/>
      <c r="W164" s="36" t="s">
        <v>71</v>
      </c>
      <c r="X164" s="373">
        <v>0</v>
      </c>
      <c r="Y164" s="374">
        <f t="shared" si="15"/>
        <v>0</v>
      </c>
      <c r="Z164" s="37" t="str">
        <f>IFERROR(IF(Y164=0,"",ROUNDUP(Y164/H164,0)*0.00902),"")</f>
        <v/>
      </c>
      <c r="AA164" s="57"/>
      <c r="AB164" s="58"/>
      <c r="AC164" s="208" t="s">
        <v>272</v>
      </c>
      <c r="AG164" s="65"/>
      <c r="AJ164" s="69"/>
      <c r="AK164" s="69">
        <v>0</v>
      </c>
      <c r="BB164" s="209" t="s">
        <v>1</v>
      </c>
      <c r="BM164" s="65">
        <f t="shared" si="16"/>
        <v>0</v>
      </c>
      <c r="BN164" s="65">
        <f t="shared" si="17"/>
        <v>0</v>
      </c>
      <c r="BO164" s="65">
        <f t="shared" si="18"/>
        <v>0</v>
      </c>
      <c r="BP164" s="65">
        <f t="shared" si="19"/>
        <v>0</v>
      </c>
    </row>
    <row r="165" spans="1:68" ht="27" customHeight="1" x14ac:dyDescent="0.25">
      <c r="A165" s="55" t="s">
        <v>276</v>
      </c>
      <c r="B165" s="55" t="s">
        <v>278</v>
      </c>
      <c r="C165" s="32">
        <v>4301012195</v>
      </c>
      <c r="D165" s="381">
        <v>4680115884205</v>
      </c>
      <c r="E165" s="382"/>
      <c r="F165" s="372">
        <v>0.4</v>
      </c>
      <c r="G165" s="33">
        <v>10</v>
      </c>
      <c r="H165" s="372">
        <v>4</v>
      </c>
      <c r="I165" s="372">
        <v>4.1900000000000004</v>
      </c>
      <c r="J165" s="33">
        <v>132</v>
      </c>
      <c r="K165" s="33" t="s">
        <v>86</v>
      </c>
      <c r="L165" s="33"/>
      <c r="M165" s="34" t="s">
        <v>82</v>
      </c>
      <c r="N165" s="34"/>
      <c r="O165" s="33">
        <v>55</v>
      </c>
      <c r="P165" s="40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165" s="378"/>
      <c r="R165" s="378"/>
      <c r="S165" s="378"/>
      <c r="T165" s="379"/>
      <c r="U165" s="35"/>
      <c r="V165" s="35"/>
      <c r="W165" s="36" t="s">
        <v>71</v>
      </c>
      <c r="X165" s="373">
        <v>0</v>
      </c>
      <c r="Y165" s="374">
        <f t="shared" si="15"/>
        <v>0</v>
      </c>
      <c r="Z165" s="37" t="str">
        <f>IFERROR(IF(Y165=0,"",ROUNDUP(Y165/H165,0)*0.00902),"")</f>
        <v/>
      </c>
      <c r="AA165" s="57"/>
      <c r="AB165" s="58"/>
      <c r="AC165" s="210" t="s">
        <v>272</v>
      </c>
      <c r="AG165" s="65"/>
      <c r="AJ165" s="69"/>
      <c r="AK165" s="69">
        <v>0</v>
      </c>
      <c r="BB165" s="211" t="s">
        <v>1</v>
      </c>
      <c r="BM165" s="65">
        <f t="shared" si="16"/>
        <v>0</v>
      </c>
      <c r="BN165" s="65">
        <f t="shared" si="17"/>
        <v>0</v>
      </c>
      <c r="BO165" s="65">
        <f t="shared" si="18"/>
        <v>0</v>
      </c>
      <c r="BP165" s="65">
        <f t="shared" si="19"/>
        <v>0</v>
      </c>
    </row>
    <row r="166" spans="1:68" x14ac:dyDescent="0.2">
      <c r="A166" s="391"/>
      <c r="B166" s="384"/>
      <c r="C166" s="384"/>
      <c r="D166" s="384"/>
      <c r="E166" s="384"/>
      <c r="F166" s="384"/>
      <c r="G166" s="384"/>
      <c r="H166" s="384"/>
      <c r="I166" s="384"/>
      <c r="J166" s="384"/>
      <c r="K166" s="384"/>
      <c r="L166" s="384"/>
      <c r="M166" s="384"/>
      <c r="N166" s="384"/>
      <c r="O166" s="392"/>
      <c r="P166" s="387" t="s">
        <v>74</v>
      </c>
      <c r="Q166" s="388"/>
      <c r="R166" s="388"/>
      <c r="S166" s="388"/>
      <c r="T166" s="388"/>
      <c r="U166" s="388"/>
      <c r="V166" s="389"/>
      <c r="W166" s="38" t="s">
        <v>75</v>
      </c>
      <c r="X166" s="375">
        <f>IFERROR(X159/H159,"0")+IFERROR(X160/H160,"0")+IFERROR(X161/H161,"0")+IFERROR(X162/H162,"0")+IFERROR(X163/H163,"0")+IFERROR(X164/H164,"0")+IFERROR(X165/H165,"0")</f>
        <v>0</v>
      </c>
      <c r="Y166" s="375">
        <f>IFERROR(Y159/H159,"0")+IFERROR(Y160/H160,"0")+IFERROR(Y161/H161,"0")+IFERROR(Y162/H162,"0")+IFERROR(Y163/H163,"0")+IFERROR(Y164/H164,"0")+IFERROR(Y165/H165,"0")</f>
        <v>0</v>
      </c>
      <c r="Z166" s="375">
        <f>IFERROR(IF(Z159="",0,Z159),"0")+IFERROR(IF(Z160="",0,Z160),"0")+IFERROR(IF(Z161="",0,Z161),"0")+IFERROR(IF(Z162="",0,Z162),"0")+IFERROR(IF(Z163="",0,Z163),"0")+IFERROR(IF(Z164="",0,Z164),"0")+IFERROR(IF(Z165="",0,Z165),"0")</f>
        <v>0</v>
      </c>
      <c r="AA166" s="376"/>
      <c r="AB166" s="376"/>
      <c r="AC166" s="376"/>
    </row>
    <row r="167" spans="1:68" x14ac:dyDescent="0.2">
      <c r="A167" s="384"/>
      <c r="B167" s="384"/>
      <c r="C167" s="384"/>
      <c r="D167" s="384"/>
      <c r="E167" s="384"/>
      <c r="F167" s="384"/>
      <c r="G167" s="384"/>
      <c r="H167" s="384"/>
      <c r="I167" s="384"/>
      <c r="J167" s="384"/>
      <c r="K167" s="384"/>
      <c r="L167" s="384"/>
      <c r="M167" s="384"/>
      <c r="N167" s="384"/>
      <c r="O167" s="392"/>
      <c r="P167" s="387" t="s">
        <v>74</v>
      </c>
      <c r="Q167" s="388"/>
      <c r="R167" s="388"/>
      <c r="S167" s="388"/>
      <c r="T167" s="388"/>
      <c r="U167" s="388"/>
      <c r="V167" s="389"/>
      <c r="W167" s="38" t="s">
        <v>71</v>
      </c>
      <c r="X167" s="375">
        <f>IFERROR(SUM(X159:X165),"0")</f>
        <v>0</v>
      </c>
      <c r="Y167" s="375">
        <f>IFERROR(SUM(Y159:Y165),"0")</f>
        <v>0</v>
      </c>
      <c r="Z167" s="38"/>
      <c r="AA167" s="376"/>
      <c r="AB167" s="376"/>
      <c r="AC167" s="376"/>
    </row>
    <row r="168" spans="1:68" ht="16.5" customHeight="1" x14ac:dyDescent="0.25">
      <c r="A168" s="419" t="s">
        <v>279</v>
      </c>
      <c r="B168" s="384"/>
      <c r="C168" s="384"/>
      <c r="D168" s="384"/>
      <c r="E168" s="384"/>
      <c r="F168" s="384"/>
      <c r="G168" s="384"/>
      <c r="H168" s="384"/>
      <c r="I168" s="384"/>
      <c r="J168" s="384"/>
      <c r="K168" s="384"/>
      <c r="L168" s="384"/>
      <c r="M168" s="384"/>
      <c r="N168" s="384"/>
      <c r="O168" s="384"/>
      <c r="P168" s="384"/>
      <c r="Q168" s="384"/>
      <c r="R168" s="384"/>
      <c r="S168" s="384"/>
      <c r="T168" s="384"/>
      <c r="U168" s="384"/>
      <c r="V168" s="384"/>
      <c r="W168" s="384"/>
      <c r="X168" s="384"/>
      <c r="Y168" s="384"/>
      <c r="Z168" s="384"/>
      <c r="AA168" s="369"/>
      <c r="AB168" s="369"/>
      <c r="AC168" s="369"/>
    </row>
    <row r="169" spans="1:68" ht="14.25" customHeight="1" x14ac:dyDescent="0.25">
      <c r="A169" s="383" t="s">
        <v>78</v>
      </c>
      <c r="B169" s="384"/>
      <c r="C169" s="384"/>
      <c r="D169" s="384"/>
      <c r="E169" s="384"/>
      <c r="F169" s="384"/>
      <c r="G169" s="384"/>
      <c r="H169" s="384"/>
      <c r="I169" s="384"/>
      <c r="J169" s="384"/>
      <c r="K169" s="384"/>
      <c r="L169" s="384"/>
      <c r="M169" s="384"/>
      <c r="N169" s="384"/>
      <c r="O169" s="384"/>
      <c r="P169" s="384"/>
      <c r="Q169" s="384"/>
      <c r="R169" s="384"/>
      <c r="S169" s="384"/>
      <c r="T169" s="384"/>
      <c r="U169" s="384"/>
      <c r="V169" s="384"/>
      <c r="W169" s="384"/>
      <c r="X169" s="384"/>
      <c r="Y169" s="384"/>
      <c r="Z169" s="384"/>
      <c r="AA169" s="368"/>
      <c r="AB169" s="368"/>
      <c r="AC169" s="368"/>
    </row>
    <row r="170" spans="1:68" ht="27" customHeight="1" x14ac:dyDescent="0.25">
      <c r="A170" s="55" t="s">
        <v>280</v>
      </c>
      <c r="B170" s="55" t="s">
        <v>281</v>
      </c>
      <c r="C170" s="32">
        <v>4301011855</v>
      </c>
      <c r="D170" s="381">
        <v>4680115885837</v>
      </c>
      <c r="E170" s="382"/>
      <c r="F170" s="372">
        <v>1.35</v>
      </c>
      <c r="G170" s="33">
        <v>8</v>
      </c>
      <c r="H170" s="372">
        <v>10.8</v>
      </c>
      <c r="I170" s="372">
        <v>11.21</v>
      </c>
      <c r="J170" s="33">
        <v>64</v>
      </c>
      <c r="K170" s="33" t="s">
        <v>81</v>
      </c>
      <c r="L170" s="33"/>
      <c r="M170" s="34" t="s">
        <v>82</v>
      </c>
      <c r="N170" s="34"/>
      <c r="O170" s="33">
        <v>55</v>
      </c>
      <c r="P170" s="42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170" s="378"/>
      <c r="R170" s="378"/>
      <c r="S170" s="378"/>
      <c r="T170" s="379"/>
      <c r="U170" s="35"/>
      <c r="V170" s="35"/>
      <c r="W170" s="36" t="s">
        <v>71</v>
      </c>
      <c r="X170" s="373">
        <v>0</v>
      </c>
      <c r="Y170" s="374">
        <f>IFERROR(IF(X170="",0,CEILING((X170/$H170),1)*$H170),"")</f>
        <v>0</v>
      </c>
      <c r="Z170" s="37" t="str">
        <f>IFERROR(IF(Y170=0,"",ROUNDUP(Y170/H170,0)*0.01898),"")</f>
        <v/>
      </c>
      <c r="AA170" s="57"/>
      <c r="AB170" s="58"/>
      <c r="AC170" s="212" t="s">
        <v>282</v>
      </c>
      <c r="AG170" s="65"/>
      <c r="AJ170" s="69"/>
      <c r="AK170" s="69">
        <v>0</v>
      </c>
      <c r="BB170" s="213" t="s">
        <v>1</v>
      </c>
      <c r="BM170" s="65">
        <f>IFERROR(X170*I170/H170,"0")</f>
        <v>0</v>
      </c>
      <c r="BN170" s="65">
        <f>IFERROR(Y170*I170/H170,"0")</f>
        <v>0</v>
      </c>
      <c r="BO170" s="65">
        <f>IFERROR(1/J170*(X170/H170),"0")</f>
        <v>0</v>
      </c>
      <c r="BP170" s="65">
        <f>IFERROR(1/J170*(Y170/H170),"0")</f>
        <v>0</v>
      </c>
    </row>
    <row r="171" spans="1:68" ht="37.5" customHeight="1" x14ac:dyDescent="0.25">
      <c r="A171" s="55" t="s">
        <v>283</v>
      </c>
      <c r="B171" s="55" t="s">
        <v>284</v>
      </c>
      <c r="C171" s="32">
        <v>4301011853</v>
      </c>
      <c r="D171" s="381">
        <v>4680115885851</v>
      </c>
      <c r="E171" s="382"/>
      <c r="F171" s="372">
        <v>1.35</v>
      </c>
      <c r="G171" s="33">
        <v>8</v>
      </c>
      <c r="H171" s="372">
        <v>10.8</v>
      </c>
      <c r="I171" s="372">
        <v>11.21</v>
      </c>
      <c r="J171" s="33">
        <v>64</v>
      </c>
      <c r="K171" s="33" t="s">
        <v>81</v>
      </c>
      <c r="L171" s="33"/>
      <c r="M171" s="34" t="s">
        <v>82</v>
      </c>
      <c r="N171" s="34"/>
      <c r="O171" s="33">
        <v>55</v>
      </c>
      <c r="P171" s="44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171" s="378"/>
      <c r="R171" s="378"/>
      <c r="S171" s="378"/>
      <c r="T171" s="379"/>
      <c r="U171" s="35"/>
      <c r="V171" s="35"/>
      <c r="W171" s="36" t="s">
        <v>71</v>
      </c>
      <c r="X171" s="373">
        <v>40</v>
      </c>
      <c r="Y171" s="374">
        <f>IFERROR(IF(X171="",0,CEILING((X171/$H171),1)*$H171),"")</f>
        <v>43.2</v>
      </c>
      <c r="Z171" s="37">
        <f>IFERROR(IF(Y171=0,"",ROUNDUP(Y171/H171,0)*0.01898),"")</f>
        <v>7.5920000000000001E-2</v>
      </c>
      <c r="AA171" s="57"/>
      <c r="AB171" s="58"/>
      <c r="AC171" s="214" t="s">
        <v>285</v>
      </c>
      <c r="AG171" s="65"/>
      <c r="AJ171" s="69"/>
      <c r="AK171" s="69">
        <v>0</v>
      </c>
      <c r="BB171" s="215" t="s">
        <v>1</v>
      </c>
      <c r="BM171" s="65">
        <f>IFERROR(X171*I171/H171,"0")</f>
        <v>41.518518518518519</v>
      </c>
      <c r="BN171" s="65">
        <f>IFERROR(Y171*I171/H171,"0")</f>
        <v>44.84</v>
      </c>
      <c r="BO171" s="65">
        <f>IFERROR(1/J171*(X171/H171),"0")</f>
        <v>5.7870370370370364E-2</v>
      </c>
      <c r="BP171" s="65">
        <f>IFERROR(1/J171*(Y171/H171),"0")</f>
        <v>6.25E-2</v>
      </c>
    </row>
    <row r="172" spans="1:68" ht="27" customHeight="1" x14ac:dyDescent="0.25">
      <c r="A172" s="55" t="s">
        <v>286</v>
      </c>
      <c r="B172" s="55" t="s">
        <v>287</v>
      </c>
      <c r="C172" s="32">
        <v>4301011850</v>
      </c>
      <c r="D172" s="381">
        <v>4680115885806</v>
      </c>
      <c r="E172" s="382"/>
      <c r="F172" s="372">
        <v>1.35</v>
      </c>
      <c r="G172" s="33">
        <v>8</v>
      </c>
      <c r="H172" s="372">
        <v>10.8</v>
      </c>
      <c r="I172" s="372">
        <v>11.21</v>
      </c>
      <c r="J172" s="33">
        <v>64</v>
      </c>
      <c r="K172" s="33" t="s">
        <v>81</v>
      </c>
      <c r="L172" s="33"/>
      <c r="M172" s="34" t="s">
        <v>82</v>
      </c>
      <c r="N172" s="34"/>
      <c r="O172" s="33">
        <v>55</v>
      </c>
      <c r="P172" s="40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172" s="378"/>
      <c r="R172" s="378"/>
      <c r="S172" s="378"/>
      <c r="T172" s="379"/>
      <c r="U172" s="35"/>
      <c r="V172" s="35"/>
      <c r="W172" s="36" t="s">
        <v>71</v>
      </c>
      <c r="X172" s="373">
        <v>0</v>
      </c>
      <c r="Y172" s="374">
        <f>IFERROR(IF(X172="",0,CEILING((X172/$H172),1)*$H172),"")</f>
        <v>0</v>
      </c>
      <c r="Z172" s="37" t="str">
        <f>IFERROR(IF(Y172=0,"",ROUNDUP(Y172/H172,0)*0.01898),"")</f>
        <v/>
      </c>
      <c r="AA172" s="57"/>
      <c r="AB172" s="58"/>
      <c r="AC172" s="216" t="s">
        <v>288</v>
      </c>
      <c r="AG172" s="65"/>
      <c r="AJ172" s="69"/>
      <c r="AK172" s="69">
        <v>0</v>
      </c>
      <c r="BB172" s="217" t="s">
        <v>1</v>
      </c>
      <c r="BM172" s="65">
        <f>IFERROR(X172*I172/H172,"0")</f>
        <v>0</v>
      </c>
      <c r="BN172" s="65">
        <f>IFERROR(Y172*I172/H172,"0")</f>
        <v>0</v>
      </c>
      <c r="BO172" s="65">
        <f>IFERROR(1/J172*(X172/H172),"0")</f>
        <v>0</v>
      </c>
      <c r="BP172" s="65">
        <f>IFERROR(1/J172*(Y172/H172),"0")</f>
        <v>0</v>
      </c>
    </row>
    <row r="173" spans="1:68" ht="27" customHeight="1" x14ac:dyDescent="0.25">
      <c r="A173" s="55" t="s">
        <v>289</v>
      </c>
      <c r="B173" s="55" t="s">
        <v>290</v>
      </c>
      <c r="C173" s="32">
        <v>4301011852</v>
      </c>
      <c r="D173" s="381">
        <v>4680115885844</v>
      </c>
      <c r="E173" s="382"/>
      <c r="F173" s="372">
        <v>0.4</v>
      </c>
      <c r="G173" s="33">
        <v>10</v>
      </c>
      <c r="H173" s="372">
        <v>4</v>
      </c>
      <c r="I173" s="372">
        <v>4.1900000000000004</v>
      </c>
      <c r="J173" s="33">
        <v>132</v>
      </c>
      <c r="K173" s="33" t="s">
        <v>86</v>
      </c>
      <c r="L173" s="33"/>
      <c r="M173" s="34" t="s">
        <v>82</v>
      </c>
      <c r="N173" s="34"/>
      <c r="O173" s="33">
        <v>55</v>
      </c>
      <c r="P173" s="4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173" s="378"/>
      <c r="R173" s="378"/>
      <c r="S173" s="378"/>
      <c r="T173" s="379"/>
      <c r="U173" s="35"/>
      <c r="V173" s="35"/>
      <c r="W173" s="36" t="s">
        <v>71</v>
      </c>
      <c r="X173" s="373">
        <v>0</v>
      </c>
      <c r="Y173" s="374">
        <f>IFERROR(IF(X173="",0,CEILING((X173/$H173),1)*$H173),"")</f>
        <v>0</v>
      </c>
      <c r="Z173" s="37" t="str">
        <f>IFERROR(IF(Y173=0,"",ROUNDUP(Y173/H173,0)*0.00902),"")</f>
        <v/>
      </c>
      <c r="AA173" s="57"/>
      <c r="AB173" s="58"/>
      <c r="AC173" s="218" t="s">
        <v>291</v>
      </c>
      <c r="AG173" s="65"/>
      <c r="AJ173" s="69"/>
      <c r="AK173" s="69">
        <v>0</v>
      </c>
      <c r="BB173" s="219" t="s">
        <v>1</v>
      </c>
      <c r="BM173" s="65">
        <f>IFERROR(X173*I173/H173,"0")</f>
        <v>0</v>
      </c>
      <c r="BN173" s="65">
        <f>IFERROR(Y173*I173/H173,"0")</f>
        <v>0</v>
      </c>
      <c r="BO173" s="65">
        <f>IFERROR(1/J173*(X173/H173),"0")</f>
        <v>0</v>
      </c>
      <c r="BP173" s="65">
        <f>IFERROR(1/J173*(Y173/H173),"0")</f>
        <v>0</v>
      </c>
    </row>
    <row r="174" spans="1:68" ht="37.5" customHeight="1" x14ac:dyDescent="0.25">
      <c r="A174" s="55" t="s">
        <v>292</v>
      </c>
      <c r="B174" s="55" t="s">
        <v>293</v>
      </c>
      <c r="C174" s="32">
        <v>4301011851</v>
      </c>
      <c r="D174" s="381">
        <v>4680115885820</v>
      </c>
      <c r="E174" s="382"/>
      <c r="F174" s="372">
        <v>0.4</v>
      </c>
      <c r="G174" s="33">
        <v>10</v>
      </c>
      <c r="H174" s="372">
        <v>4</v>
      </c>
      <c r="I174" s="372">
        <v>4.1900000000000004</v>
      </c>
      <c r="J174" s="33">
        <v>132</v>
      </c>
      <c r="K174" s="33" t="s">
        <v>86</v>
      </c>
      <c r="L174" s="33"/>
      <c r="M174" s="34" t="s">
        <v>82</v>
      </c>
      <c r="N174" s="34"/>
      <c r="O174" s="33">
        <v>55</v>
      </c>
      <c r="P174" s="6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174" s="378"/>
      <c r="R174" s="378"/>
      <c r="S174" s="378"/>
      <c r="T174" s="379"/>
      <c r="U174" s="35"/>
      <c r="V174" s="35"/>
      <c r="W174" s="36" t="s">
        <v>71</v>
      </c>
      <c r="X174" s="373">
        <v>160</v>
      </c>
      <c r="Y174" s="374">
        <f>IFERROR(IF(X174="",0,CEILING((X174/$H174),1)*$H174),"")</f>
        <v>160</v>
      </c>
      <c r="Z174" s="37">
        <f>IFERROR(IF(Y174=0,"",ROUNDUP(Y174/H174,0)*0.00902),"")</f>
        <v>0.36080000000000001</v>
      </c>
      <c r="AA174" s="57"/>
      <c r="AB174" s="58"/>
      <c r="AC174" s="220" t="s">
        <v>294</v>
      </c>
      <c r="AG174" s="65"/>
      <c r="AJ174" s="69"/>
      <c r="AK174" s="69">
        <v>0</v>
      </c>
      <c r="BB174" s="221" t="s">
        <v>1</v>
      </c>
      <c r="BM174" s="65">
        <f>IFERROR(X174*I174/H174,"0")</f>
        <v>167.60000000000002</v>
      </c>
      <c r="BN174" s="65">
        <f>IFERROR(Y174*I174/H174,"0")</f>
        <v>167.60000000000002</v>
      </c>
      <c r="BO174" s="65">
        <f>IFERROR(1/J174*(X174/H174),"0")</f>
        <v>0.30303030303030304</v>
      </c>
      <c r="BP174" s="65">
        <f>IFERROR(1/J174*(Y174/H174),"0")</f>
        <v>0.30303030303030304</v>
      </c>
    </row>
    <row r="175" spans="1:68" x14ac:dyDescent="0.2">
      <c r="A175" s="391"/>
      <c r="B175" s="384"/>
      <c r="C175" s="384"/>
      <c r="D175" s="384"/>
      <c r="E175" s="384"/>
      <c r="F175" s="384"/>
      <c r="G175" s="384"/>
      <c r="H175" s="384"/>
      <c r="I175" s="384"/>
      <c r="J175" s="384"/>
      <c r="K175" s="384"/>
      <c r="L175" s="384"/>
      <c r="M175" s="384"/>
      <c r="N175" s="384"/>
      <c r="O175" s="392"/>
      <c r="P175" s="387" t="s">
        <v>74</v>
      </c>
      <c r="Q175" s="388"/>
      <c r="R175" s="388"/>
      <c r="S175" s="388"/>
      <c r="T175" s="388"/>
      <c r="U175" s="388"/>
      <c r="V175" s="389"/>
      <c r="W175" s="38" t="s">
        <v>75</v>
      </c>
      <c r="X175" s="375">
        <f>IFERROR(X170/H170,"0")+IFERROR(X171/H171,"0")+IFERROR(X172/H172,"0")+IFERROR(X173/H173,"0")+IFERROR(X174/H174,"0")</f>
        <v>43.703703703703702</v>
      </c>
      <c r="Y175" s="375">
        <f>IFERROR(Y170/H170,"0")+IFERROR(Y171/H171,"0")+IFERROR(Y172/H172,"0")+IFERROR(Y173/H173,"0")+IFERROR(Y174/H174,"0")</f>
        <v>44</v>
      </c>
      <c r="Z175" s="375">
        <f>IFERROR(IF(Z170="",0,Z170),"0")+IFERROR(IF(Z171="",0,Z171),"0")+IFERROR(IF(Z172="",0,Z172),"0")+IFERROR(IF(Z173="",0,Z173),"0")+IFERROR(IF(Z174="",0,Z174),"0")</f>
        <v>0.43672</v>
      </c>
      <c r="AA175" s="376"/>
      <c r="AB175" s="376"/>
      <c r="AC175" s="376"/>
    </row>
    <row r="176" spans="1:68" x14ac:dyDescent="0.2">
      <c r="A176" s="384"/>
      <c r="B176" s="384"/>
      <c r="C176" s="384"/>
      <c r="D176" s="384"/>
      <c r="E176" s="384"/>
      <c r="F176" s="384"/>
      <c r="G176" s="384"/>
      <c r="H176" s="384"/>
      <c r="I176" s="384"/>
      <c r="J176" s="384"/>
      <c r="K176" s="384"/>
      <c r="L176" s="384"/>
      <c r="M176" s="384"/>
      <c r="N176" s="384"/>
      <c r="O176" s="392"/>
      <c r="P176" s="387" t="s">
        <v>74</v>
      </c>
      <c r="Q176" s="388"/>
      <c r="R176" s="388"/>
      <c r="S176" s="388"/>
      <c r="T176" s="388"/>
      <c r="U176" s="388"/>
      <c r="V176" s="389"/>
      <c r="W176" s="38" t="s">
        <v>71</v>
      </c>
      <c r="X176" s="375">
        <f>IFERROR(SUM(X170:X174),"0")</f>
        <v>200</v>
      </c>
      <c r="Y176" s="375">
        <f>IFERROR(SUM(Y170:Y174),"0")</f>
        <v>203.2</v>
      </c>
      <c r="Z176" s="38"/>
      <c r="AA176" s="376"/>
      <c r="AB176" s="376"/>
      <c r="AC176" s="376"/>
    </row>
    <row r="177" spans="1:68" ht="16.5" customHeight="1" x14ac:dyDescent="0.25">
      <c r="A177" s="419" t="s">
        <v>295</v>
      </c>
      <c r="B177" s="384"/>
      <c r="C177" s="384"/>
      <c r="D177" s="384"/>
      <c r="E177" s="384"/>
      <c r="F177" s="384"/>
      <c r="G177" s="384"/>
      <c r="H177" s="384"/>
      <c r="I177" s="384"/>
      <c r="J177" s="384"/>
      <c r="K177" s="384"/>
      <c r="L177" s="384"/>
      <c r="M177" s="384"/>
      <c r="N177" s="384"/>
      <c r="O177" s="384"/>
      <c r="P177" s="384"/>
      <c r="Q177" s="384"/>
      <c r="R177" s="384"/>
      <c r="S177" s="384"/>
      <c r="T177" s="384"/>
      <c r="U177" s="384"/>
      <c r="V177" s="384"/>
      <c r="W177" s="384"/>
      <c r="X177" s="384"/>
      <c r="Y177" s="384"/>
      <c r="Z177" s="384"/>
      <c r="AA177" s="369"/>
      <c r="AB177" s="369"/>
      <c r="AC177" s="369"/>
    </row>
    <row r="178" spans="1:68" ht="14.25" customHeight="1" x14ac:dyDescent="0.25">
      <c r="A178" s="383" t="s">
        <v>78</v>
      </c>
      <c r="B178" s="384"/>
      <c r="C178" s="384"/>
      <c r="D178" s="384"/>
      <c r="E178" s="384"/>
      <c r="F178" s="384"/>
      <c r="G178" s="384"/>
      <c r="H178" s="384"/>
      <c r="I178" s="384"/>
      <c r="J178" s="384"/>
      <c r="K178" s="384"/>
      <c r="L178" s="384"/>
      <c r="M178" s="384"/>
      <c r="N178" s="384"/>
      <c r="O178" s="384"/>
      <c r="P178" s="384"/>
      <c r="Q178" s="384"/>
      <c r="R178" s="384"/>
      <c r="S178" s="384"/>
      <c r="T178" s="384"/>
      <c r="U178" s="384"/>
      <c r="V178" s="384"/>
      <c r="W178" s="384"/>
      <c r="X178" s="384"/>
      <c r="Y178" s="384"/>
      <c r="Z178" s="384"/>
      <c r="AA178" s="368"/>
      <c r="AB178" s="368"/>
      <c r="AC178" s="368"/>
    </row>
    <row r="179" spans="1:68" ht="27" customHeight="1" x14ac:dyDescent="0.25">
      <c r="A179" s="55" t="s">
        <v>296</v>
      </c>
      <c r="B179" s="55" t="s">
        <v>297</v>
      </c>
      <c r="C179" s="32">
        <v>4301011223</v>
      </c>
      <c r="D179" s="381">
        <v>4607091383423</v>
      </c>
      <c r="E179" s="382"/>
      <c r="F179" s="372">
        <v>1.35</v>
      </c>
      <c r="G179" s="33">
        <v>8</v>
      </c>
      <c r="H179" s="372">
        <v>10.8</v>
      </c>
      <c r="I179" s="372">
        <v>11.305999999999999</v>
      </c>
      <c r="J179" s="33">
        <v>64</v>
      </c>
      <c r="K179" s="33" t="s">
        <v>81</v>
      </c>
      <c r="L179" s="33"/>
      <c r="M179" s="34" t="s">
        <v>87</v>
      </c>
      <c r="N179" s="34"/>
      <c r="O179" s="33">
        <v>35</v>
      </c>
      <c r="P179" s="5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79" s="378"/>
      <c r="R179" s="378"/>
      <c r="S179" s="378"/>
      <c r="T179" s="379"/>
      <c r="U179" s="35"/>
      <c r="V179" s="35"/>
      <c r="W179" s="36" t="s">
        <v>71</v>
      </c>
      <c r="X179" s="373">
        <v>100</v>
      </c>
      <c r="Y179" s="374">
        <f>IFERROR(IF(X179="",0,CEILING((X179/$H179),1)*$H179),"")</f>
        <v>108</v>
      </c>
      <c r="Z179" s="37">
        <f>IFERROR(IF(Y179=0,"",ROUNDUP(Y179/H179,0)*0.01898),"")</f>
        <v>0.1898</v>
      </c>
      <c r="AA179" s="57"/>
      <c r="AB179" s="58"/>
      <c r="AC179" s="222" t="s">
        <v>83</v>
      </c>
      <c r="AG179" s="65"/>
      <c r="AJ179" s="69"/>
      <c r="AK179" s="69">
        <v>0</v>
      </c>
      <c r="BB179" s="223" t="s">
        <v>1</v>
      </c>
      <c r="BM179" s="65">
        <f>IFERROR(X179*I179/H179,"0")</f>
        <v>104.68518518518518</v>
      </c>
      <c r="BN179" s="65">
        <f>IFERROR(Y179*I179/H179,"0")</f>
        <v>113.05999999999999</v>
      </c>
      <c r="BO179" s="65">
        <f>IFERROR(1/J179*(X179/H179),"0")</f>
        <v>0.14467592592592593</v>
      </c>
      <c r="BP179" s="65">
        <f>IFERROR(1/J179*(Y179/H179),"0")</f>
        <v>0.15625</v>
      </c>
    </row>
    <row r="180" spans="1:68" ht="37.5" customHeight="1" x14ac:dyDescent="0.25">
      <c r="A180" s="55" t="s">
        <v>298</v>
      </c>
      <c r="B180" s="55" t="s">
        <v>299</v>
      </c>
      <c r="C180" s="32">
        <v>4301012199</v>
      </c>
      <c r="D180" s="381">
        <v>4680115886957</v>
      </c>
      <c r="E180" s="382"/>
      <c r="F180" s="372">
        <v>1.35</v>
      </c>
      <c r="G180" s="33">
        <v>8</v>
      </c>
      <c r="H180" s="372">
        <v>10.8</v>
      </c>
      <c r="I180" s="372">
        <v>11.21</v>
      </c>
      <c r="J180" s="33">
        <v>64</v>
      </c>
      <c r="K180" s="33" t="s">
        <v>81</v>
      </c>
      <c r="L180" s="33"/>
      <c r="M180" s="34" t="s">
        <v>87</v>
      </c>
      <c r="N180" s="34"/>
      <c r="O180" s="33">
        <v>30</v>
      </c>
      <c r="P180" s="4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80" s="378"/>
      <c r="R180" s="378"/>
      <c r="S180" s="378"/>
      <c r="T180" s="379"/>
      <c r="U180" s="35"/>
      <c r="V180" s="35"/>
      <c r="W180" s="36" t="s">
        <v>71</v>
      </c>
      <c r="X180" s="373">
        <v>0</v>
      </c>
      <c r="Y180" s="374">
        <f>IFERROR(IF(X180="",0,CEILING((X180/$H180),1)*$H180),"")</f>
        <v>0</v>
      </c>
      <c r="Z180" s="37" t="str">
        <f>IFERROR(IF(Y180=0,"",ROUNDUP(Y180/H180,0)*0.01898),"")</f>
        <v/>
      </c>
      <c r="AA180" s="57"/>
      <c r="AB180" s="58"/>
      <c r="AC180" s="224" t="s">
        <v>300</v>
      </c>
      <c r="AG180" s="65"/>
      <c r="AJ180" s="69"/>
      <c r="AK180" s="69">
        <v>0</v>
      </c>
      <c r="BB180" s="225" t="s">
        <v>1</v>
      </c>
      <c r="BM180" s="65">
        <f>IFERROR(X180*I180/H180,"0")</f>
        <v>0</v>
      </c>
      <c r="BN180" s="65">
        <f>IFERROR(Y180*I180/H180,"0")</f>
        <v>0</v>
      </c>
      <c r="BO180" s="65">
        <f>IFERROR(1/J180*(X180/H180),"0")</f>
        <v>0</v>
      </c>
      <c r="BP180" s="65">
        <f>IFERROR(1/J180*(Y180/H180),"0")</f>
        <v>0</v>
      </c>
    </row>
    <row r="181" spans="1:68" x14ac:dyDescent="0.2">
      <c r="A181" s="391"/>
      <c r="B181" s="384"/>
      <c r="C181" s="384"/>
      <c r="D181" s="384"/>
      <c r="E181" s="384"/>
      <c r="F181" s="384"/>
      <c r="G181" s="384"/>
      <c r="H181" s="384"/>
      <c r="I181" s="384"/>
      <c r="J181" s="384"/>
      <c r="K181" s="384"/>
      <c r="L181" s="384"/>
      <c r="M181" s="384"/>
      <c r="N181" s="384"/>
      <c r="O181" s="392"/>
      <c r="P181" s="387" t="s">
        <v>74</v>
      </c>
      <c r="Q181" s="388"/>
      <c r="R181" s="388"/>
      <c r="S181" s="388"/>
      <c r="T181" s="388"/>
      <c r="U181" s="388"/>
      <c r="V181" s="389"/>
      <c r="W181" s="38" t="s">
        <v>75</v>
      </c>
      <c r="X181" s="375">
        <f>IFERROR(X179/H179,"0")+IFERROR(X180/H180,"0")</f>
        <v>9.2592592592592595</v>
      </c>
      <c r="Y181" s="375">
        <f>IFERROR(Y179/H179,"0")+IFERROR(Y180/H180,"0")</f>
        <v>10</v>
      </c>
      <c r="Z181" s="375">
        <f>IFERROR(IF(Z179="",0,Z179),"0")+IFERROR(IF(Z180="",0,Z180),"0")</f>
        <v>0.1898</v>
      </c>
      <c r="AA181" s="376"/>
      <c r="AB181" s="376"/>
      <c r="AC181" s="376"/>
    </row>
    <row r="182" spans="1:68" x14ac:dyDescent="0.2">
      <c r="A182" s="384"/>
      <c r="B182" s="384"/>
      <c r="C182" s="384"/>
      <c r="D182" s="384"/>
      <c r="E182" s="384"/>
      <c r="F182" s="384"/>
      <c r="G182" s="384"/>
      <c r="H182" s="384"/>
      <c r="I182" s="384"/>
      <c r="J182" s="384"/>
      <c r="K182" s="384"/>
      <c r="L182" s="384"/>
      <c r="M182" s="384"/>
      <c r="N182" s="384"/>
      <c r="O182" s="392"/>
      <c r="P182" s="387" t="s">
        <v>74</v>
      </c>
      <c r="Q182" s="388"/>
      <c r="R182" s="388"/>
      <c r="S182" s="388"/>
      <c r="T182" s="388"/>
      <c r="U182" s="388"/>
      <c r="V182" s="389"/>
      <c r="W182" s="38" t="s">
        <v>71</v>
      </c>
      <c r="X182" s="375">
        <f>IFERROR(SUM(X179:X180),"0")</f>
        <v>100</v>
      </c>
      <c r="Y182" s="375">
        <f>IFERROR(SUM(Y179:Y180),"0")</f>
        <v>108</v>
      </c>
      <c r="Z182" s="38"/>
      <c r="AA182" s="376"/>
      <c r="AB182" s="376"/>
      <c r="AC182" s="376"/>
    </row>
    <row r="183" spans="1:68" ht="16.5" customHeight="1" x14ac:dyDescent="0.25">
      <c r="A183" s="419" t="s">
        <v>301</v>
      </c>
      <c r="B183" s="384"/>
      <c r="C183" s="384"/>
      <c r="D183" s="384"/>
      <c r="E183" s="384"/>
      <c r="F183" s="384"/>
      <c r="G183" s="384"/>
      <c r="H183" s="384"/>
      <c r="I183" s="384"/>
      <c r="J183" s="384"/>
      <c r="K183" s="384"/>
      <c r="L183" s="384"/>
      <c r="M183" s="384"/>
      <c r="N183" s="384"/>
      <c r="O183" s="384"/>
      <c r="P183" s="384"/>
      <c r="Q183" s="384"/>
      <c r="R183" s="384"/>
      <c r="S183" s="384"/>
      <c r="T183" s="384"/>
      <c r="U183" s="384"/>
      <c r="V183" s="384"/>
      <c r="W183" s="384"/>
      <c r="X183" s="384"/>
      <c r="Y183" s="384"/>
      <c r="Z183" s="384"/>
      <c r="AA183" s="369"/>
      <c r="AB183" s="369"/>
      <c r="AC183" s="369"/>
    </row>
    <row r="184" spans="1:68" ht="14.25" customHeight="1" x14ac:dyDescent="0.25">
      <c r="A184" s="383" t="s">
        <v>131</v>
      </c>
      <c r="B184" s="384"/>
      <c r="C184" s="384"/>
      <c r="D184" s="384"/>
      <c r="E184" s="384"/>
      <c r="F184" s="384"/>
      <c r="G184" s="384"/>
      <c r="H184" s="384"/>
      <c r="I184" s="384"/>
      <c r="J184" s="384"/>
      <c r="K184" s="384"/>
      <c r="L184" s="384"/>
      <c r="M184" s="384"/>
      <c r="N184" s="384"/>
      <c r="O184" s="384"/>
      <c r="P184" s="384"/>
      <c r="Q184" s="384"/>
      <c r="R184" s="384"/>
      <c r="S184" s="384"/>
      <c r="T184" s="384"/>
      <c r="U184" s="384"/>
      <c r="V184" s="384"/>
      <c r="W184" s="384"/>
      <c r="X184" s="384"/>
      <c r="Y184" s="384"/>
      <c r="Z184" s="384"/>
      <c r="AA184" s="368"/>
      <c r="AB184" s="368"/>
      <c r="AC184" s="368"/>
    </row>
    <row r="185" spans="1:68" ht="27" customHeight="1" x14ac:dyDescent="0.25">
      <c r="A185" s="55" t="s">
        <v>302</v>
      </c>
      <c r="B185" s="55" t="s">
        <v>303</v>
      </c>
      <c r="C185" s="32">
        <v>4301051388</v>
      </c>
      <c r="D185" s="381">
        <v>4680115881211</v>
      </c>
      <c r="E185" s="382"/>
      <c r="F185" s="372">
        <v>0.4</v>
      </c>
      <c r="G185" s="33">
        <v>6</v>
      </c>
      <c r="H185" s="372">
        <v>2.4</v>
      </c>
      <c r="I185" s="372">
        <v>2.58</v>
      </c>
      <c r="J185" s="33">
        <v>182</v>
      </c>
      <c r="K185" s="33" t="s">
        <v>69</v>
      </c>
      <c r="L185" s="33"/>
      <c r="M185" s="34" t="s">
        <v>87</v>
      </c>
      <c r="N185" s="34"/>
      <c r="O185" s="33">
        <v>45</v>
      </c>
      <c r="P185" s="4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185" s="378"/>
      <c r="R185" s="378"/>
      <c r="S185" s="378"/>
      <c r="T185" s="379"/>
      <c r="U185" s="35"/>
      <c r="V185" s="35"/>
      <c r="W185" s="36" t="s">
        <v>71</v>
      </c>
      <c r="X185" s="373">
        <v>40</v>
      </c>
      <c r="Y185" s="374">
        <f>IFERROR(IF(X185="",0,CEILING((X185/$H185),1)*$H185),"")</f>
        <v>40.799999999999997</v>
      </c>
      <c r="Z185" s="37">
        <f>IFERROR(IF(Y185=0,"",ROUNDUP(Y185/H185,0)*0.00651),"")</f>
        <v>0.11067</v>
      </c>
      <c r="AA185" s="57"/>
      <c r="AB185" s="58"/>
      <c r="AC185" s="226" t="s">
        <v>304</v>
      </c>
      <c r="AG185" s="65"/>
      <c r="AJ185" s="69"/>
      <c r="AK185" s="69">
        <v>0</v>
      </c>
      <c r="BB185" s="227" t="s">
        <v>1</v>
      </c>
      <c r="BM185" s="65">
        <f>IFERROR(X185*I185/H185,"0")</f>
        <v>43</v>
      </c>
      <c r="BN185" s="65">
        <f>IFERROR(Y185*I185/H185,"0")</f>
        <v>43.86</v>
      </c>
      <c r="BO185" s="65">
        <f>IFERROR(1/J185*(X185/H185),"0")</f>
        <v>9.1575091575091583E-2</v>
      </c>
      <c r="BP185" s="65">
        <f>IFERROR(1/J185*(Y185/H185),"0")</f>
        <v>9.3406593406593408E-2</v>
      </c>
    </row>
    <row r="186" spans="1:68" x14ac:dyDescent="0.2">
      <c r="A186" s="391"/>
      <c r="B186" s="384"/>
      <c r="C186" s="384"/>
      <c r="D186" s="384"/>
      <c r="E186" s="384"/>
      <c r="F186" s="384"/>
      <c r="G186" s="384"/>
      <c r="H186" s="384"/>
      <c r="I186" s="384"/>
      <c r="J186" s="384"/>
      <c r="K186" s="384"/>
      <c r="L186" s="384"/>
      <c r="M186" s="384"/>
      <c r="N186" s="384"/>
      <c r="O186" s="392"/>
      <c r="P186" s="387" t="s">
        <v>74</v>
      </c>
      <c r="Q186" s="388"/>
      <c r="R186" s="388"/>
      <c r="S186" s="388"/>
      <c r="T186" s="388"/>
      <c r="U186" s="388"/>
      <c r="V186" s="389"/>
      <c r="W186" s="38" t="s">
        <v>75</v>
      </c>
      <c r="X186" s="375">
        <f>IFERROR(X185/H185,"0")</f>
        <v>16.666666666666668</v>
      </c>
      <c r="Y186" s="375">
        <f>IFERROR(Y185/H185,"0")</f>
        <v>17</v>
      </c>
      <c r="Z186" s="375">
        <f>IFERROR(IF(Z185="",0,Z185),"0")</f>
        <v>0.11067</v>
      </c>
      <c r="AA186" s="376"/>
      <c r="AB186" s="376"/>
      <c r="AC186" s="376"/>
    </row>
    <row r="187" spans="1:68" x14ac:dyDescent="0.2">
      <c r="A187" s="384"/>
      <c r="B187" s="384"/>
      <c r="C187" s="384"/>
      <c r="D187" s="384"/>
      <c r="E187" s="384"/>
      <c r="F187" s="384"/>
      <c r="G187" s="384"/>
      <c r="H187" s="384"/>
      <c r="I187" s="384"/>
      <c r="J187" s="384"/>
      <c r="K187" s="384"/>
      <c r="L187" s="384"/>
      <c r="M187" s="384"/>
      <c r="N187" s="384"/>
      <c r="O187" s="392"/>
      <c r="P187" s="387" t="s">
        <v>74</v>
      </c>
      <c r="Q187" s="388"/>
      <c r="R187" s="388"/>
      <c r="S187" s="388"/>
      <c r="T187" s="388"/>
      <c r="U187" s="388"/>
      <c r="V187" s="389"/>
      <c r="W187" s="38" t="s">
        <v>71</v>
      </c>
      <c r="X187" s="375">
        <f>IFERROR(SUM(X185:X185),"0")</f>
        <v>40</v>
      </c>
      <c r="Y187" s="375">
        <f>IFERROR(SUM(Y185:Y185),"0")</f>
        <v>40.799999999999997</v>
      </c>
      <c r="Z187" s="38"/>
      <c r="AA187" s="376"/>
      <c r="AB187" s="376"/>
      <c r="AC187" s="376"/>
    </row>
    <row r="188" spans="1:68" ht="16.5" customHeight="1" x14ac:dyDescent="0.25">
      <c r="A188" s="419" t="s">
        <v>305</v>
      </c>
      <c r="B188" s="384"/>
      <c r="C188" s="384"/>
      <c r="D188" s="384"/>
      <c r="E188" s="384"/>
      <c r="F188" s="384"/>
      <c r="G188" s="384"/>
      <c r="H188" s="384"/>
      <c r="I188" s="384"/>
      <c r="J188" s="384"/>
      <c r="K188" s="384"/>
      <c r="L188" s="384"/>
      <c r="M188" s="384"/>
      <c r="N188" s="384"/>
      <c r="O188" s="384"/>
      <c r="P188" s="384"/>
      <c r="Q188" s="384"/>
      <c r="R188" s="384"/>
      <c r="S188" s="384"/>
      <c r="T188" s="384"/>
      <c r="U188" s="384"/>
      <c r="V188" s="384"/>
      <c r="W188" s="384"/>
      <c r="X188" s="384"/>
      <c r="Y188" s="384"/>
      <c r="Z188" s="384"/>
      <c r="AA188" s="369"/>
      <c r="AB188" s="369"/>
      <c r="AC188" s="369"/>
    </row>
    <row r="189" spans="1:68" ht="14.25" customHeight="1" x14ac:dyDescent="0.25">
      <c r="A189" s="383" t="s">
        <v>131</v>
      </c>
      <c r="B189" s="384"/>
      <c r="C189" s="384"/>
      <c r="D189" s="384"/>
      <c r="E189" s="384"/>
      <c r="F189" s="384"/>
      <c r="G189" s="384"/>
      <c r="H189" s="384"/>
      <c r="I189" s="384"/>
      <c r="J189" s="384"/>
      <c r="K189" s="384"/>
      <c r="L189" s="384"/>
      <c r="M189" s="384"/>
      <c r="N189" s="384"/>
      <c r="O189" s="384"/>
      <c r="P189" s="384"/>
      <c r="Q189" s="384"/>
      <c r="R189" s="384"/>
      <c r="S189" s="384"/>
      <c r="T189" s="384"/>
      <c r="U189" s="384"/>
      <c r="V189" s="384"/>
      <c r="W189" s="384"/>
      <c r="X189" s="384"/>
      <c r="Y189" s="384"/>
      <c r="Z189" s="384"/>
      <c r="AA189" s="368"/>
      <c r="AB189" s="368"/>
      <c r="AC189" s="368"/>
    </row>
    <row r="190" spans="1:68" ht="37.5" customHeight="1" x14ac:dyDescent="0.25">
      <c r="A190" s="55" t="s">
        <v>306</v>
      </c>
      <c r="B190" s="55" t="s">
        <v>307</v>
      </c>
      <c r="C190" s="32">
        <v>4301051782</v>
      </c>
      <c r="D190" s="381">
        <v>4680115884618</v>
      </c>
      <c r="E190" s="382"/>
      <c r="F190" s="372">
        <v>0.6</v>
      </c>
      <c r="G190" s="33">
        <v>6</v>
      </c>
      <c r="H190" s="372">
        <v>3.6</v>
      </c>
      <c r="I190" s="372">
        <v>3.79</v>
      </c>
      <c r="J190" s="33">
        <v>132</v>
      </c>
      <c r="K190" s="33" t="s">
        <v>86</v>
      </c>
      <c r="L190" s="33"/>
      <c r="M190" s="34" t="s">
        <v>87</v>
      </c>
      <c r="N190" s="34"/>
      <c r="O190" s="33">
        <v>45</v>
      </c>
      <c r="P190" s="5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190" s="378"/>
      <c r="R190" s="378"/>
      <c r="S190" s="378"/>
      <c r="T190" s="379"/>
      <c r="U190" s="35"/>
      <c r="V190" s="35"/>
      <c r="W190" s="36" t="s">
        <v>71</v>
      </c>
      <c r="X190" s="373">
        <v>120</v>
      </c>
      <c r="Y190" s="374">
        <f>IFERROR(IF(X190="",0,CEILING((X190/$H190),1)*$H190),"")</f>
        <v>122.4</v>
      </c>
      <c r="Z190" s="37">
        <f>IFERROR(IF(Y190=0,"",ROUNDUP(Y190/H190,0)*0.00902),"")</f>
        <v>0.30668000000000001</v>
      </c>
      <c r="AA190" s="57"/>
      <c r="AB190" s="58"/>
      <c r="AC190" s="228" t="s">
        <v>308</v>
      </c>
      <c r="AG190" s="65"/>
      <c r="AJ190" s="69"/>
      <c r="AK190" s="69">
        <v>0</v>
      </c>
      <c r="BB190" s="229" t="s">
        <v>1</v>
      </c>
      <c r="BM190" s="65">
        <f>IFERROR(X190*I190/H190,"0")</f>
        <v>126.33333333333333</v>
      </c>
      <c r="BN190" s="65">
        <f>IFERROR(Y190*I190/H190,"0")</f>
        <v>128.86000000000001</v>
      </c>
      <c r="BO190" s="65">
        <f>IFERROR(1/J190*(X190/H190),"0")</f>
        <v>0.25252525252525254</v>
      </c>
      <c r="BP190" s="65">
        <f>IFERROR(1/J190*(Y190/H190),"0")</f>
        <v>0.25757575757575757</v>
      </c>
    </row>
    <row r="191" spans="1:68" x14ac:dyDescent="0.2">
      <c r="A191" s="391"/>
      <c r="B191" s="384"/>
      <c r="C191" s="384"/>
      <c r="D191" s="384"/>
      <c r="E191" s="384"/>
      <c r="F191" s="384"/>
      <c r="G191" s="384"/>
      <c r="H191" s="384"/>
      <c r="I191" s="384"/>
      <c r="J191" s="384"/>
      <c r="K191" s="384"/>
      <c r="L191" s="384"/>
      <c r="M191" s="384"/>
      <c r="N191" s="384"/>
      <c r="O191" s="392"/>
      <c r="P191" s="387" t="s">
        <v>74</v>
      </c>
      <c r="Q191" s="388"/>
      <c r="R191" s="388"/>
      <c r="S191" s="388"/>
      <c r="T191" s="388"/>
      <c r="U191" s="388"/>
      <c r="V191" s="389"/>
      <c r="W191" s="38" t="s">
        <v>75</v>
      </c>
      <c r="X191" s="375">
        <f>IFERROR(X190/H190,"0")</f>
        <v>33.333333333333336</v>
      </c>
      <c r="Y191" s="375">
        <f>IFERROR(Y190/H190,"0")</f>
        <v>34</v>
      </c>
      <c r="Z191" s="375">
        <f>IFERROR(IF(Z190="",0,Z190),"0")</f>
        <v>0.30668000000000001</v>
      </c>
      <c r="AA191" s="376"/>
      <c r="AB191" s="376"/>
      <c r="AC191" s="376"/>
    </row>
    <row r="192" spans="1:68" x14ac:dyDescent="0.2">
      <c r="A192" s="384"/>
      <c r="B192" s="384"/>
      <c r="C192" s="384"/>
      <c r="D192" s="384"/>
      <c r="E192" s="384"/>
      <c r="F192" s="384"/>
      <c r="G192" s="384"/>
      <c r="H192" s="384"/>
      <c r="I192" s="384"/>
      <c r="J192" s="384"/>
      <c r="K192" s="384"/>
      <c r="L192" s="384"/>
      <c r="M192" s="384"/>
      <c r="N192" s="384"/>
      <c r="O192" s="392"/>
      <c r="P192" s="387" t="s">
        <v>74</v>
      </c>
      <c r="Q192" s="388"/>
      <c r="R192" s="388"/>
      <c r="S192" s="388"/>
      <c r="T192" s="388"/>
      <c r="U192" s="388"/>
      <c r="V192" s="389"/>
      <c r="W192" s="38" t="s">
        <v>71</v>
      </c>
      <c r="X192" s="375">
        <f>IFERROR(SUM(X190:X190),"0")</f>
        <v>120</v>
      </c>
      <c r="Y192" s="375">
        <f>IFERROR(SUM(Y190:Y190),"0")</f>
        <v>122.4</v>
      </c>
      <c r="Z192" s="38"/>
      <c r="AA192" s="376"/>
      <c r="AB192" s="376"/>
      <c r="AC192" s="376"/>
    </row>
    <row r="193" spans="1:68" ht="16.5" customHeight="1" x14ac:dyDescent="0.25">
      <c r="A193" s="419" t="s">
        <v>309</v>
      </c>
      <c r="B193" s="384"/>
      <c r="C193" s="384"/>
      <c r="D193" s="384"/>
      <c r="E193" s="384"/>
      <c r="F193" s="384"/>
      <c r="G193" s="384"/>
      <c r="H193" s="384"/>
      <c r="I193" s="384"/>
      <c r="J193" s="384"/>
      <c r="K193" s="384"/>
      <c r="L193" s="384"/>
      <c r="M193" s="384"/>
      <c r="N193" s="384"/>
      <c r="O193" s="384"/>
      <c r="P193" s="384"/>
      <c r="Q193" s="384"/>
      <c r="R193" s="384"/>
      <c r="S193" s="384"/>
      <c r="T193" s="384"/>
      <c r="U193" s="384"/>
      <c r="V193" s="384"/>
      <c r="W193" s="384"/>
      <c r="X193" s="384"/>
      <c r="Y193" s="384"/>
      <c r="Z193" s="384"/>
      <c r="AA193" s="369"/>
      <c r="AB193" s="369"/>
      <c r="AC193" s="369"/>
    </row>
    <row r="194" spans="1:68" ht="14.25" customHeight="1" x14ac:dyDescent="0.25">
      <c r="A194" s="383" t="s">
        <v>78</v>
      </c>
      <c r="B194" s="384"/>
      <c r="C194" s="384"/>
      <c r="D194" s="384"/>
      <c r="E194" s="384"/>
      <c r="F194" s="384"/>
      <c r="G194" s="384"/>
      <c r="H194" s="384"/>
      <c r="I194" s="384"/>
      <c r="J194" s="384"/>
      <c r="K194" s="384"/>
      <c r="L194" s="384"/>
      <c r="M194" s="384"/>
      <c r="N194" s="384"/>
      <c r="O194" s="384"/>
      <c r="P194" s="384"/>
      <c r="Q194" s="384"/>
      <c r="R194" s="384"/>
      <c r="S194" s="384"/>
      <c r="T194" s="384"/>
      <c r="U194" s="384"/>
      <c r="V194" s="384"/>
      <c r="W194" s="384"/>
      <c r="X194" s="384"/>
      <c r="Y194" s="384"/>
      <c r="Z194" s="384"/>
      <c r="AA194" s="368"/>
      <c r="AB194" s="368"/>
      <c r="AC194" s="368"/>
    </row>
    <row r="195" spans="1:68" ht="27" customHeight="1" x14ac:dyDescent="0.25">
      <c r="A195" s="55" t="s">
        <v>310</v>
      </c>
      <c r="B195" s="55" t="s">
        <v>311</v>
      </c>
      <c r="C195" s="32">
        <v>4301012024</v>
      </c>
      <c r="D195" s="381">
        <v>4680115885615</v>
      </c>
      <c r="E195" s="382"/>
      <c r="F195" s="372">
        <v>1.35</v>
      </c>
      <c r="G195" s="33">
        <v>8</v>
      </c>
      <c r="H195" s="372">
        <v>10.8</v>
      </c>
      <c r="I195" s="372">
        <v>11.21</v>
      </c>
      <c r="J195" s="33">
        <v>64</v>
      </c>
      <c r="K195" s="33" t="s">
        <v>81</v>
      </c>
      <c r="L195" s="33"/>
      <c r="M195" s="34" t="s">
        <v>87</v>
      </c>
      <c r="N195" s="34"/>
      <c r="O195" s="33">
        <v>55</v>
      </c>
      <c r="P195" s="47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195" s="378"/>
      <c r="R195" s="378"/>
      <c r="S195" s="378"/>
      <c r="T195" s="379"/>
      <c r="U195" s="35"/>
      <c r="V195" s="35"/>
      <c r="W195" s="36" t="s">
        <v>71</v>
      </c>
      <c r="X195" s="373">
        <v>0</v>
      </c>
      <c r="Y195" s="374">
        <f>IFERROR(IF(X195="",0,CEILING((X195/$H195),1)*$H195),"")</f>
        <v>0</v>
      </c>
      <c r="Z195" s="37" t="str">
        <f>IFERROR(IF(Y195=0,"",ROUNDUP(Y195/H195,0)*0.01898),"")</f>
        <v/>
      </c>
      <c r="AA195" s="57"/>
      <c r="AB195" s="58"/>
      <c r="AC195" s="230" t="s">
        <v>312</v>
      </c>
      <c r="AG195" s="65"/>
      <c r="AJ195" s="69"/>
      <c r="AK195" s="69">
        <v>0</v>
      </c>
      <c r="BB195" s="231" t="s">
        <v>1</v>
      </c>
      <c r="BM195" s="65">
        <f>IFERROR(X195*I195/H195,"0")</f>
        <v>0</v>
      </c>
      <c r="BN195" s="65">
        <f>IFERROR(Y195*I195/H195,"0")</f>
        <v>0</v>
      </c>
      <c r="BO195" s="65">
        <f>IFERROR(1/J195*(X195/H195),"0")</f>
        <v>0</v>
      </c>
      <c r="BP195" s="65">
        <f>IFERROR(1/J195*(Y195/H195),"0")</f>
        <v>0</v>
      </c>
    </row>
    <row r="196" spans="1:68" ht="37.5" customHeight="1" x14ac:dyDescent="0.25">
      <c r="A196" s="55" t="s">
        <v>313</v>
      </c>
      <c r="B196" s="55" t="s">
        <v>314</v>
      </c>
      <c r="C196" s="32">
        <v>4301011858</v>
      </c>
      <c r="D196" s="381">
        <v>4680115885646</v>
      </c>
      <c r="E196" s="382"/>
      <c r="F196" s="372">
        <v>1.35</v>
      </c>
      <c r="G196" s="33">
        <v>8</v>
      </c>
      <c r="H196" s="372">
        <v>10.8</v>
      </c>
      <c r="I196" s="372">
        <v>11.21</v>
      </c>
      <c r="J196" s="33">
        <v>64</v>
      </c>
      <c r="K196" s="33" t="s">
        <v>81</v>
      </c>
      <c r="L196" s="33"/>
      <c r="M196" s="34" t="s">
        <v>82</v>
      </c>
      <c r="N196" s="34"/>
      <c r="O196" s="33">
        <v>55</v>
      </c>
      <c r="P196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196" s="378"/>
      <c r="R196" s="378"/>
      <c r="S196" s="378"/>
      <c r="T196" s="379"/>
      <c r="U196" s="35"/>
      <c r="V196" s="35"/>
      <c r="W196" s="36" t="s">
        <v>71</v>
      </c>
      <c r="X196" s="373">
        <v>0</v>
      </c>
      <c r="Y196" s="374">
        <f>IFERROR(IF(X196="",0,CEILING((X196/$H196),1)*$H196),"")</f>
        <v>0</v>
      </c>
      <c r="Z196" s="37" t="str">
        <f>IFERROR(IF(Y196=0,"",ROUNDUP(Y196/H196,0)*0.01898),"")</f>
        <v/>
      </c>
      <c r="AA196" s="57"/>
      <c r="AB196" s="58"/>
      <c r="AC196" s="232" t="s">
        <v>315</v>
      </c>
      <c r="AG196" s="65"/>
      <c r="AJ196" s="69"/>
      <c r="AK196" s="69">
        <v>0</v>
      </c>
      <c r="BB196" s="233" t="s">
        <v>1</v>
      </c>
      <c r="BM196" s="65">
        <f>IFERROR(X196*I196/H196,"0")</f>
        <v>0</v>
      </c>
      <c r="BN196" s="65">
        <f>IFERROR(Y196*I196/H196,"0")</f>
        <v>0</v>
      </c>
      <c r="BO196" s="65">
        <f>IFERROR(1/J196*(X196/H196),"0")</f>
        <v>0</v>
      </c>
      <c r="BP196" s="65">
        <f>IFERROR(1/J196*(Y196/H196),"0")</f>
        <v>0</v>
      </c>
    </row>
    <row r="197" spans="1:68" ht="27" customHeight="1" x14ac:dyDescent="0.25">
      <c r="A197" s="55" t="s">
        <v>316</v>
      </c>
      <c r="B197" s="55" t="s">
        <v>317</v>
      </c>
      <c r="C197" s="32">
        <v>4301012016</v>
      </c>
      <c r="D197" s="381">
        <v>4680115885554</v>
      </c>
      <c r="E197" s="382"/>
      <c r="F197" s="372">
        <v>1.35</v>
      </c>
      <c r="G197" s="33">
        <v>8</v>
      </c>
      <c r="H197" s="372">
        <v>10.8</v>
      </c>
      <c r="I197" s="372">
        <v>11.21</v>
      </c>
      <c r="J197" s="33">
        <v>64</v>
      </c>
      <c r="K197" s="33" t="s">
        <v>81</v>
      </c>
      <c r="L197" s="33"/>
      <c r="M197" s="34" t="s">
        <v>87</v>
      </c>
      <c r="N197" s="34"/>
      <c r="O197" s="33">
        <v>55</v>
      </c>
      <c r="P197" s="48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197" s="378"/>
      <c r="R197" s="378"/>
      <c r="S197" s="378"/>
      <c r="T197" s="379"/>
      <c r="U197" s="35"/>
      <c r="V197" s="35"/>
      <c r="W197" s="36" t="s">
        <v>71</v>
      </c>
      <c r="X197" s="373">
        <v>0</v>
      </c>
      <c r="Y197" s="374">
        <f>IFERROR(IF(X197="",0,CEILING((X197/$H197),1)*$H197),"")</f>
        <v>0</v>
      </c>
      <c r="Z197" s="37" t="str">
        <f>IFERROR(IF(Y197=0,"",ROUNDUP(Y197/H197,0)*0.01898),"")</f>
        <v/>
      </c>
      <c r="AA197" s="57"/>
      <c r="AB197" s="58"/>
      <c r="AC197" s="234" t="s">
        <v>318</v>
      </c>
      <c r="AG197" s="65"/>
      <c r="AJ197" s="69"/>
      <c r="AK197" s="69">
        <v>0</v>
      </c>
      <c r="BB197" s="235" t="s">
        <v>1</v>
      </c>
      <c r="BM197" s="65">
        <f>IFERROR(X197*I197/H197,"0")</f>
        <v>0</v>
      </c>
      <c r="BN197" s="65">
        <f>IFERROR(Y197*I197/H197,"0")</f>
        <v>0</v>
      </c>
      <c r="BO197" s="65">
        <f>IFERROR(1/J197*(X197/H197),"0")</f>
        <v>0</v>
      </c>
      <c r="BP197" s="65">
        <f>IFERROR(1/J197*(Y197/H197),"0")</f>
        <v>0</v>
      </c>
    </row>
    <row r="198" spans="1:68" ht="27" customHeight="1" x14ac:dyDescent="0.25">
      <c r="A198" s="55" t="s">
        <v>319</v>
      </c>
      <c r="B198" s="55" t="s">
        <v>320</v>
      </c>
      <c r="C198" s="32">
        <v>4301011857</v>
      </c>
      <c r="D198" s="381">
        <v>4680115885622</v>
      </c>
      <c r="E198" s="382"/>
      <c r="F198" s="372">
        <v>0.4</v>
      </c>
      <c r="G198" s="33">
        <v>10</v>
      </c>
      <c r="H198" s="372">
        <v>4</v>
      </c>
      <c r="I198" s="372">
        <v>4.1900000000000004</v>
      </c>
      <c r="J198" s="33">
        <v>132</v>
      </c>
      <c r="K198" s="33" t="s">
        <v>86</v>
      </c>
      <c r="L198" s="33"/>
      <c r="M198" s="34" t="s">
        <v>82</v>
      </c>
      <c r="N198" s="34"/>
      <c r="O198" s="33">
        <v>55</v>
      </c>
      <c r="P198" s="58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198" s="378"/>
      <c r="R198" s="378"/>
      <c r="S198" s="378"/>
      <c r="T198" s="379"/>
      <c r="U198" s="35"/>
      <c r="V198" s="35"/>
      <c r="W198" s="36" t="s">
        <v>71</v>
      </c>
      <c r="X198" s="373">
        <v>0</v>
      </c>
      <c r="Y198" s="374">
        <f>IFERROR(IF(X198="",0,CEILING((X198/$H198),1)*$H198),"")</f>
        <v>0</v>
      </c>
      <c r="Z198" s="37" t="str">
        <f>IFERROR(IF(Y198=0,"",ROUNDUP(Y198/H198,0)*0.00902),"")</f>
        <v/>
      </c>
      <c r="AA198" s="57"/>
      <c r="AB198" s="58"/>
      <c r="AC198" s="236" t="s">
        <v>312</v>
      </c>
      <c r="AG198" s="65"/>
      <c r="AJ198" s="69"/>
      <c r="AK198" s="69">
        <v>0</v>
      </c>
      <c r="BB198" s="237" t="s">
        <v>1</v>
      </c>
      <c r="BM198" s="65">
        <f>IFERROR(X198*I198/H198,"0")</f>
        <v>0</v>
      </c>
      <c r="BN198" s="65">
        <f>IFERROR(Y198*I198/H198,"0")</f>
        <v>0</v>
      </c>
      <c r="BO198" s="65">
        <f>IFERROR(1/J198*(X198/H198),"0")</f>
        <v>0</v>
      </c>
      <c r="BP198" s="65">
        <f>IFERROR(1/J198*(Y198/H198),"0")</f>
        <v>0</v>
      </c>
    </row>
    <row r="199" spans="1:68" ht="27" customHeight="1" x14ac:dyDescent="0.25">
      <c r="A199" s="55" t="s">
        <v>321</v>
      </c>
      <c r="B199" s="55" t="s">
        <v>322</v>
      </c>
      <c r="C199" s="32">
        <v>4301011859</v>
      </c>
      <c r="D199" s="381">
        <v>4680115885608</v>
      </c>
      <c r="E199" s="382"/>
      <c r="F199" s="372">
        <v>0.4</v>
      </c>
      <c r="G199" s="33">
        <v>10</v>
      </c>
      <c r="H199" s="372">
        <v>4</v>
      </c>
      <c r="I199" s="372">
        <v>4.1900000000000004</v>
      </c>
      <c r="J199" s="33">
        <v>132</v>
      </c>
      <c r="K199" s="33" t="s">
        <v>86</v>
      </c>
      <c r="L199" s="33"/>
      <c r="M199" s="34" t="s">
        <v>82</v>
      </c>
      <c r="N199" s="34"/>
      <c r="O199" s="33">
        <v>55</v>
      </c>
      <c r="P199" s="60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199" s="378"/>
      <c r="R199" s="378"/>
      <c r="S199" s="378"/>
      <c r="T199" s="379"/>
      <c r="U199" s="35"/>
      <c r="V199" s="35"/>
      <c r="W199" s="36" t="s">
        <v>71</v>
      </c>
      <c r="X199" s="373">
        <v>0</v>
      </c>
      <c r="Y199" s="374">
        <f>IFERROR(IF(X199="",0,CEILING((X199/$H199),1)*$H199),"")</f>
        <v>0</v>
      </c>
      <c r="Z199" s="37" t="str">
        <f>IFERROR(IF(Y199=0,"",ROUNDUP(Y199/H199,0)*0.00902),"")</f>
        <v/>
      </c>
      <c r="AA199" s="57"/>
      <c r="AB199" s="58"/>
      <c r="AC199" s="238" t="s">
        <v>323</v>
      </c>
      <c r="AG199" s="65"/>
      <c r="AJ199" s="69"/>
      <c r="AK199" s="69">
        <v>0</v>
      </c>
      <c r="BB199" s="239" t="s">
        <v>1</v>
      </c>
      <c r="BM199" s="65">
        <f>IFERROR(X199*I199/H199,"0")</f>
        <v>0</v>
      </c>
      <c r="BN199" s="65">
        <f>IFERROR(Y199*I199/H199,"0")</f>
        <v>0</v>
      </c>
      <c r="BO199" s="65">
        <f>IFERROR(1/J199*(X199/H199),"0")</f>
        <v>0</v>
      </c>
      <c r="BP199" s="65">
        <f>IFERROR(1/J199*(Y199/H199),"0")</f>
        <v>0</v>
      </c>
    </row>
    <row r="200" spans="1:68" x14ac:dyDescent="0.2">
      <c r="A200" s="391"/>
      <c r="B200" s="384"/>
      <c r="C200" s="384"/>
      <c r="D200" s="384"/>
      <c r="E200" s="384"/>
      <c r="F200" s="384"/>
      <c r="G200" s="384"/>
      <c r="H200" s="384"/>
      <c r="I200" s="384"/>
      <c r="J200" s="384"/>
      <c r="K200" s="384"/>
      <c r="L200" s="384"/>
      <c r="M200" s="384"/>
      <c r="N200" s="384"/>
      <c r="O200" s="392"/>
      <c r="P200" s="387" t="s">
        <v>74</v>
      </c>
      <c r="Q200" s="388"/>
      <c r="R200" s="388"/>
      <c r="S200" s="388"/>
      <c r="T200" s="388"/>
      <c r="U200" s="388"/>
      <c r="V200" s="389"/>
      <c r="W200" s="38" t="s">
        <v>75</v>
      </c>
      <c r="X200" s="375">
        <f>IFERROR(X195/H195,"0")+IFERROR(X196/H196,"0")+IFERROR(X197/H197,"0")+IFERROR(X198/H198,"0")+IFERROR(X199/H199,"0")</f>
        <v>0</v>
      </c>
      <c r="Y200" s="375">
        <f>IFERROR(Y195/H195,"0")+IFERROR(Y196/H196,"0")+IFERROR(Y197/H197,"0")+IFERROR(Y198/H198,"0")+IFERROR(Y199/H199,"0")</f>
        <v>0</v>
      </c>
      <c r="Z200" s="375">
        <f>IFERROR(IF(Z195="",0,Z195),"0")+IFERROR(IF(Z196="",0,Z196),"0")+IFERROR(IF(Z197="",0,Z197),"0")+IFERROR(IF(Z198="",0,Z198),"0")+IFERROR(IF(Z199="",0,Z199),"0")</f>
        <v>0</v>
      </c>
      <c r="AA200" s="376"/>
      <c r="AB200" s="376"/>
      <c r="AC200" s="376"/>
    </row>
    <row r="201" spans="1:68" x14ac:dyDescent="0.2">
      <c r="A201" s="384"/>
      <c r="B201" s="384"/>
      <c r="C201" s="384"/>
      <c r="D201" s="384"/>
      <c r="E201" s="384"/>
      <c r="F201" s="384"/>
      <c r="G201" s="384"/>
      <c r="H201" s="384"/>
      <c r="I201" s="384"/>
      <c r="J201" s="384"/>
      <c r="K201" s="384"/>
      <c r="L201" s="384"/>
      <c r="M201" s="384"/>
      <c r="N201" s="384"/>
      <c r="O201" s="392"/>
      <c r="P201" s="387" t="s">
        <v>74</v>
      </c>
      <c r="Q201" s="388"/>
      <c r="R201" s="388"/>
      <c r="S201" s="388"/>
      <c r="T201" s="388"/>
      <c r="U201" s="388"/>
      <c r="V201" s="389"/>
      <c r="W201" s="38" t="s">
        <v>71</v>
      </c>
      <c r="X201" s="375">
        <f>IFERROR(SUM(X195:X199),"0")</f>
        <v>0</v>
      </c>
      <c r="Y201" s="375">
        <f>IFERROR(SUM(Y195:Y199),"0")</f>
        <v>0</v>
      </c>
      <c r="Z201" s="38"/>
      <c r="AA201" s="376"/>
      <c r="AB201" s="376"/>
      <c r="AC201" s="376"/>
    </row>
    <row r="202" spans="1:68" ht="14.25" customHeight="1" x14ac:dyDescent="0.25">
      <c r="A202" s="383" t="s">
        <v>171</v>
      </c>
      <c r="B202" s="384"/>
      <c r="C202" s="384"/>
      <c r="D202" s="384"/>
      <c r="E202" s="384"/>
      <c r="F202" s="384"/>
      <c r="G202" s="384"/>
      <c r="H202" s="384"/>
      <c r="I202" s="384"/>
      <c r="J202" s="384"/>
      <c r="K202" s="384"/>
      <c r="L202" s="384"/>
      <c r="M202" s="384"/>
      <c r="N202" s="384"/>
      <c r="O202" s="384"/>
      <c r="P202" s="384"/>
      <c r="Q202" s="384"/>
      <c r="R202" s="384"/>
      <c r="S202" s="384"/>
      <c r="T202" s="384"/>
      <c r="U202" s="384"/>
      <c r="V202" s="384"/>
      <c r="W202" s="384"/>
      <c r="X202" s="384"/>
      <c r="Y202" s="384"/>
      <c r="Z202" s="384"/>
      <c r="AA202" s="368"/>
      <c r="AB202" s="368"/>
      <c r="AC202" s="368"/>
    </row>
    <row r="203" spans="1:68" ht="27" customHeight="1" x14ac:dyDescent="0.25">
      <c r="A203" s="55" t="s">
        <v>324</v>
      </c>
      <c r="B203" s="55" t="s">
        <v>325</v>
      </c>
      <c r="C203" s="32">
        <v>4301030878</v>
      </c>
      <c r="D203" s="381">
        <v>4607091387193</v>
      </c>
      <c r="E203" s="382"/>
      <c r="F203" s="372">
        <v>0.7</v>
      </c>
      <c r="G203" s="33">
        <v>6</v>
      </c>
      <c r="H203" s="372">
        <v>4.2</v>
      </c>
      <c r="I203" s="372">
        <v>4.45</v>
      </c>
      <c r="J203" s="33">
        <v>132</v>
      </c>
      <c r="K203" s="33" t="s">
        <v>86</v>
      </c>
      <c r="L203" s="33"/>
      <c r="M203" s="34" t="s">
        <v>174</v>
      </c>
      <c r="N203" s="34"/>
      <c r="O203" s="33">
        <v>35</v>
      </c>
      <c r="P203" s="50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03" s="378"/>
      <c r="R203" s="378"/>
      <c r="S203" s="378"/>
      <c r="T203" s="379"/>
      <c r="U203" s="35"/>
      <c r="V203" s="35"/>
      <c r="W203" s="36" t="s">
        <v>71</v>
      </c>
      <c r="X203" s="373">
        <v>40</v>
      </c>
      <c r="Y203" s="374">
        <f t="shared" ref="Y203:Y208" si="20">IFERROR(IF(X203="",0,CEILING((X203/$H203),1)*$H203),"")</f>
        <v>42</v>
      </c>
      <c r="Z203" s="37">
        <f>IFERROR(IF(Y203=0,"",ROUNDUP(Y203/H203,0)*0.00902),"")</f>
        <v>9.0200000000000002E-2</v>
      </c>
      <c r="AA203" s="57"/>
      <c r="AB203" s="58"/>
      <c r="AC203" s="240" t="s">
        <v>326</v>
      </c>
      <c r="AG203" s="65"/>
      <c r="AJ203" s="69"/>
      <c r="AK203" s="69">
        <v>0</v>
      </c>
      <c r="BB203" s="241" t="s">
        <v>1</v>
      </c>
      <c r="BM203" s="65">
        <f t="shared" ref="BM203:BM208" si="21">IFERROR(X203*I203/H203,"0")</f>
        <v>42.38095238095238</v>
      </c>
      <c r="BN203" s="65">
        <f t="shared" ref="BN203:BN208" si="22">IFERROR(Y203*I203/H203,"0")</f>
        <v>44.5</v>
      </c>
      <c r="BO203" s="65">
        <f t="shared" ref="BO203:BO208" si="23">IFERROR(1/J203*(X203/H203),"0")</f>
        <v>7.2150072150072145E-2</v>
      </c>
      <c r="BP203" s="65">
        <f t="shared" ref="BP203:BP208" si="24">IFERROR(1/J203*(Y203/H203),"0")</f>
        <v>7.575757575757576E-2</v>
      </c>
    </row>
    <row r="204" spans="1:68" ht="27" customHeight="1" x14ac:dyDescent="0.25">
      <c r="A204" s="55" t="s">
        <v>327</v>
      </c>
      <c r="B204" s="55" t="s">
        <v>328</v>
      </c>
      <c r="C204" s="32">
        <v>4301031153</v>
      </c>
      <c r="D204" s="381">
        <v>4607091387230</v>
      </c>
      <c r="E204" s="382"/>
      <c r="F204" s="372">
        <v>0.7</v>
      </c>
      <c r="G204" s="33">
        <v>6</v>
      </c>
      <c r="H204" s="372">
        <v>4.2</v>
      </c>
      <c r="I204" s="372">
        <v>4.45</v>
      </c>
      <c r="J204" s="33">
        <v>132</v>
      </c>
      <c r="K204" s="33" t="s">
        <v>86</v>
      </c>
      <c r="L204" s="33"/>
      <c r="M204" s="34" t="s">
        <v>174</v>
      </c>
      <c r="N204" s="34"/>
      <c r="O204" s="33">
        <v>40</v>
      </c>
      <c r="P204" s="5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04" s="378"/>
      <c r="R204" s="378"/>
      <c r="S204" s="378"/>
      <c r="T204" s="379"/>
      <c r="U204" s="35"/>
      <c r="V204" s="35"/>
      <c r="W204" s="36" t="s">
        <v>71</v>
      </c>
      <c r="X204" s="373">
        <v>0</v>
      </c>
      <c r="Y204" s="374">
        <f t="shared" si="20"/>
        <v>0</v>
      </c>
      <c r="Z204" s="37" t="str">
        <f>IFERROR(IF(Y204=0,"",ROUNDUP(Y204/H204,0)*0.00902),"")</f>
        <v/>
      </c>
      <c r="AA204" s="57"/>
      <c r="AB204" s="58"/>
      <c r="AC204" s="242" t="s">
        <v>329</v>
      </c>
      <c r="AG204" s="65"/>
      <c r="AJ204" s="69"/>
      <c r="AK204" s="69">
        <v>0</v>
      </c>
      <c r="BB204" s="243" t="s">
        <v>1</v>
      </c>
      <c r="BM204" s="65">
        <f t="shared" si="21"/>
        <v>0</v>
      </c>
      <c r="BN204" s="65">
        <f t="shared" si="22"/>
        <v>0</v>
      </c>
      <c r="BO204" s="65">
        <f t="shared" si="23"/>
        <v>0</v>
      </c>
      <c r="BP204" s="65">
        <f t="shared" si="24"/>
        <v>0</v>
      </c>
    </row>
    <row r="205" spans="1:68" ht="27" customHeight="1" x14ac:dyDescent="0.25">
      <c r="A205" s="55" t="s">
        <v>330</v>
      </c>
      <c r="B205" s="55" t="s">
        <v>331</v>
      </c>
      <c r="C205" s="32">
        <v>4301031154</v>
      </c>
      <c r="D205" s="381">
        <v>4607091387292</v>
      </c>
      <c r="E205" s="382"/>
      <c r="F205" s="372">
        <v>0.73</v>
      </c>
      <c r="G205" s="33">
        <v>6</v>
      </c>
      <c r="H205" s="372">
        <v>4.38</v>
      </c>
      <c r="I205" s="372">
        <v>4.63</v>
      </c>
      <c r="J205" s="33">
        <v>132</v>
      </c>
      <c r="K205" s="33" t="s">
        <v>86</v>
      </c>
      <c r="L205" s="33"/>
      <c r="M205" s="34" t="s">
        <v>174</v>
      </c>
      <c r="N205" s="34"/>
      <c r="O205" s="33">
        <v>45</v>
      </c>
      <c r="P205" s="47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05" s="378"/>
      <c r="R205" s="378"/>
      <c r="S205" s="378"/>
      <c r="T205" s="379"/>
      <c r="U205" s="35"/>
      <c r="V205" s="35"/>
      <c r="W205" s="36" t="s">
        <v>71</v>
      </c>
      <c r="X205" s="373">
        <v>0</v>
      </c>
      <c r="Y205" s="374">
        <f t="shared" si="20"/>
        <v>0</v>
      </c>
      <c r="Z205" s="37" t="str">
        <f>IFERROR(IF(Y205=0,"",ROUNDUP(Y205/H205,0)*0.00902),"")</f>
        <v/>
      </c>
      <c r="AA205" s="57"/>
      <c r="AB205" s="58"/>
      <c r="AC205" s="244" t="s">
        <v>332</v>
      </c>
      <c r="AG205" s="65"/>
      <c r="AJ205" s="69"/>
      <c r="AK205" s="69">
        <v>0</v>
      </c>
      <c r="BB205" s="245" t="s">
        <v>1</v>
      </c>
      <c r="BM205" s="65">
        <f t="shared" si="21"/>
        <v>0</v>
      </c>
      <c r="BN205" s="65">
        <f t="shared" si="22"/>
        <v>0</v>
      </c>
      <c r="BO205" s="65">
        <f t="shared" si="23"/>
        <v>0</v>
      </c>
      <c r="BP205" s="65">
        <f t="shared" si="24"/>
        <v>0</v>
      </c>
    </row>
    <row r="206" spans="1:68" ht="27" customHeight="1" x14ac:dyDescent="0.25">
      <c r="A206" s="55" t="s">
        <v>333</v>
      </c>
      <c r="B206" s="55" t="s">
        <v>334</v>
      </c>
      <c r="C206" s="32">
        <v>4301031152</v>
      </c>
      <c r="D206" s="381">
        <v>4607091387285</v>
      </c>
      <c r="E206" s="382"/>
      <c r="F206" s="372">
        <v>0.35</v>
      </c>
      <c r="G206" s="33">
        <v>6</v>
      </c>
      <c r="H206" s="372">
        <v>2.1</v>
      </c>
      <c r="I206" s="372">
        <v>2.23</v>
      </c>
      <c r="J206" s="33">
        <v>234</v>
      </c>
      <c r="K206" s="33" t="s">
        <v>155</v>
      </c>
      <c r="L206" s="33"/>
      <c r="M206" s="34" t="s">
        <v>174</v>
      </c>
      <c r="N206" s="34"/>
      <c r="O206" s="33">
        <v>40</v>
      </c>
      <c r="P206" s="51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06" s="378"/>
      <c r="R206" s="378"/>
      <c r="S206" s="378"/>
      <c r="T206" s="379"/>
      <c r="U206" s="35"/>
      <c r="V206" s="35"/>
      <c r="W206" s="36" t="s">
        <v>71</v>
      </c>
      <c r="X206" s="373">
        <v>0</v>
      </c>
      <c r="Y206" s="374">
        <f t="shared" si="20"/>
        <v>0</v>
      </c>
      <c r="Z206" s="37" t="str">
        <f>IFERROR(IF(Y206=0,"",ROUNDUP(Y206/H206,0)*0.00502),"")</f>
        <v/>
      </c>
      <c r="AA206" s="57"/>
      <c r="AB206" s="58"/>
      <c r="AC206" s="246" t="s">
        <v>329</v>
      </c>
      <c r="AG206" s="65"/>
      <c r="AJ206" s="69"/>
      <c r="AK206" s="69">
        <v>0</v>
      </c>
      <c r="BB206" s="247" t="s">
        <v>1</v>
      </c>
      <c r="BM206" s="65">
        <f t="shared" si="21"/>
        <v>0</v>
      </c>
      <c r="BN206" s="65">
        <f t="shared" si="22"/>
        <v>0</v>
      </c>
      <c r="BO206" s="65">
        <f t="shared" si="23"/>
        <v>0</v>
      </c>
      <c r="BP206" s="65">
        <f t="shared" si="24"/>
        <v>0</v>
      </c>
    </row>
    <row r="207" spans="1:68" ht="27" customHeight="1" x14ac:dyDescent="0.25">
      <c r="A207" s="55" t="s">
        <v>335</v>
      </c>
      <c r="B207" s="55" t="s">
        <v>336</v>
      </c>
      <c r="C207" s="32">
        <v>4301031305</v>
      </c>
      <c r="D207" s="381">
        <v>4607091389845</v>
      </c>
      <c r="E207" s="382"/>
      <c r="F207" s="372">
        <v>0.35</v>
      </c>
      <c r="G207" s="33">
        <v>6</v>
      </c>
      <c r="H207" s="372">
        <v>2.1</v>
      </c>
      <c r="I207" s="372">
        <v>2.2000000000000002</v>
      </c>
      <c r="J207" s="33">
        <v>234</v>
      </c>
      <c r="K207" s="33" t="s">
        <v>155</v>
      </c>
      <c r="L207" s="33"/>
      <c r="M207" s="34" t="s">
        <v>174</v>
      </c>
      <c r="N207" s="34"/>
      <c r="O207" s="33">
        <v>40</v>
      </c>
      <c r="P207" s="5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07" s="378"/>
      <c r="R207" s="378"/>
      <c r="S207" s="378"/>
      <c r="T207" s="379"/>
      <c r="U207" s="35"/>
      <c r="V207" s="35"/>
      <c r="W207" s="36" t="s">
        <v>71</v>
      </c>
      <c r="X207" s="373">
        <v>81</v>
      </c>
      <c r="Y207" s="374">
        <f t="shared" si="20"/>
        <v>81.900000000000006</v>
      </c>
      <c r="Z207" s="37">
        <f>IFERROR(IF(Y207=0,"",ROUNDUP(Y207/H207,0)*0.00502),"")</f>
        <v>0.19578000000000001</v>
      </c>
      <c r="AA207" s="57"/>
      <c r="AB207" s="58"/>
      <c r="AC207" s="248" t="s">
        <v>337</v>
      </c>
      <c r="AG207" s="65"/>
      <c r="AJ207" s="69"/>
      <c r="AK207" s="69">
        <v>0</v>
      </c>
      <c r="BB207" s="249" t="s">
        <v>1</v>
      </c>
      <c r="BM207" s="65">
        <f t="shared" si="21"/>
        <v>84.857142857142861</v>
      </c>
      <c r="BN207" s="65">
        <f t="shared" si="22"/>
        <v>85.800000000000011</v>
      </c>
      <c r="BO207" s="65">
        <f t="shared" si="23"/>
        <v>0.16483516483516483</v>
      </c>
      <c r="BP207" s="65">
        <f t="shared" si="24"/>
        <v>0.16666666666666669</v>
      </c>
    </row>
    <row r="208" spans="1:68" ht="27" customHeight="1" x14ac:dyDescent="0.25">
      <c r="A208" s="55" t="s">
        <v>338</v>
      </c>
      <c r="B208" s="55" t="s">
        <v>339</v>
      </c>
      <c r="C208" s="32">
        <v>4301031066</v>
      </c>
      <c r="D208" s="381">
        <v>4607091383836</v>
      </c>
      <c r="E208" s="382"/>
      <c r="F208" s="372">
        <v>0.3</v>
      </c>
      <c r="G208" s="33">
        <v>6</v>
      </c>
      <c r="H208" s="372">
        <v>1.8</v>
      </c>
      <c r="I208" s="372">
        <v>2.028</v>
      </c>
      <c r="J208" s="33">
        <v>182</v>
      </c>
      <c r="K208" s="33" t="s">
        <v>69</v>
      </c>
      <c r="L208" s="33"/>
      <c r="M208" s="34" t="s">
        <v>174</v>
      </c>
      <c r="N208" s="34"/>
      <c r="O208" s="33">
        <v>40</v>
      </c>
      <c r="P208" s="48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08" s="378"/>
      <c r="R208" s="378"/>
      <c r="S208" s="378"/>
      <c r="T208" s="379"/>
      <c r="U208" s="35"/>
      <c r="V208" s="35"/>
      <c r="W208" s="36" t="s">
        <v>71</v>
      </c>
      <c r="X208" s="373">
        <v>81</v>
      </c>
      <c r="Y208" s="374">
        <f t="shared" si="20"/>
        <v>81</v>
      </c>
      <c r="Z208" s="37">
        <f>IFERROR(IF(Y208=0,"",ROUNDUP(Y208/H208,0)*0.00651),"")</f>
        <v>0.29294999999999999</v>
      </c>
      <c r="AA208" s="57"/>
      <c r="AB208" s="58"/>
      <c r="AC208" s="250" t="s">
        <v>340</v>
      </c>
      <c r="AG208" s="65"/>
      <c r="AJ208" s="69"/>
      <c r="AK208" s="69">
        <v>0</v>
      </c>
      <c r="BB208" s="251" t="s">
        <v>1</v>
      </c>
      <c r="BM208" s="65">
        <f t="shared" si="21"/>
        <v>91.26</v>
      </c>
      <c r="BN208" s="65">
        <f t="shared" si="22"/>
        <v>91.26</v>
      </c>
      <c r="BO208" s="65">
        <f t="shared" si="23"/>
        <v>0.24725274725274726</v>
      </c>
      <c r="BP208" s="65">
        <f t="shared" si="24"/>
        <v>0.24725274725274726</v>
      </c>
    </row>
    <row r="209" spans="1:68" x14ac:dyDescent="0.2">
      <c r="A209" s="391"/>
      <c r="B209" s="384"/>
      <c r="C209" s="384"/>
      <c r="D209" s="384"/>
      <c r="E209" s="384"/>
      <c r="F209" s="384"/>
      <c r="G209" s="384"/>
      <c r="H209" s="384"/>
      <c r="I209" s="384"/>
      <c r="J209" s="384"/>
      <c r="K209" s="384"/>
      <c r="L209" s="384"/>
      <c r="M209" s="384"/>
      <c r="N209" s="384"/>
      <c r="O209" s="392"/>
      <c r="P209" s="387" t="s">
        <v>74</v>
      </c>
      <c r="Q209" s="388"/>
      <c r="R209" s="388"/>
      <c r="S209" s="388"/>
      <c r="T209" s="388"/>
      <c r="U209" s="388"/>
      <c r="V209" s="389"/>
      <c r="W209" s="38" t="s">
        <v>75</v>
      </c>
      <c r="X209" s="375">
        <f>IFERROR(X203/H203,"0")+IFERROR(X204/H204,"0")+IFERROR(X205/H205,"0")+IFERROR(X206/H206,"0")+IFERROR(X207/H207,"0")+IFERROR(X208/H208,"0")</f>
        <v>93.095238095238102</v>
      </c>
      <c r="Y209" s="375">
        <f>IFERROR(Y203/H203,"0")+IFERROR(Y204/H204,"0")+IFERROR(Y205/H205,"0")+IFERROR(Y206/H206,"0")+IFERROR(Y207/H207,"0")+IFERROR(Y208/H208,"0")</f>
        <v>94</v>
      </c>
      <c r="Z209" s="375">
        <f>IFERROR(IF(Z203="",0,Z203),"0")+IFERROR(IF(Z204="",0,Z204),"0")+IFERROR(IF(Z205="",0,Z205),"0")+IFERROR(IF(Z206="",0,Z206),"0")+IFERROR(IF(Z207="",0,Z207),"0")+IFERROR(IF(Z208="",0,Z208),"0")</f>
        <v>0.57892999999999994</v>
      </c>
      <c r="AA209" s="376"/>
      <c r="AB209" s="376"/>
      <c r="AC209" s="376"/>
    </row>
    <row r="210" spans="1:68" x14ac:dyDescent="0.2">
      <c r="A210" s="384"/>
      <c r="B210" s="384"/>
      <c r="C210" s="384"/>
      <c r="D210" s="384"/>
      <c r="E210" s="384"/>
      <c r="F210" s="384"/>
      <c r="G210" s="384"/>
      <c r="H210" s="384"/>
      <c r="I210" s="384"/>
      <c r="J210" s="384"/>
      <c r="K210" s="384"/>
      <c r="L210" s="384"/>
      <c r="M210" s="384"/>
      <c r="N210" s="384"/>
      <c r="O210" s="392"/>
      <c r="P210" s="387" t="s">
        <v>74</v>
      </c>
      <c r="Q210" s="388"/>
      <c r="R210" s="388"/>
      <c r="S210" s="388"/>
      <c r="T210" s="388"/>
      <c r="U210" s="388"/>
      <c r="V210" s="389"/>
      <c r="W210" s="38" t="s">
        <v>71</v>
      </c>
      <c r="X210" s="375">
        <f>IFERROR(SUM(X203:X208),"0")</f>
        <v>202</v>
      </c>
      <c r="Y210" s="375">
        <f>IFERROR(SUM(Y203:Y208),"0")</f>
        <v>204.9</v>
      </c>
      <c r="Z210" s="38"/>
      <c r="AA210" s="376"/>
      <c r="AB210" s="376"/>
      <c r="AC210" s="376"/>
    </row>
    <row r="211" spans="1:68" ht="14.25" customHeight="1" x14ac:dyDescent="0.25">
      <c r="A211" s="383" t="s">
        <v>131</v>
      </c>
      <c r="B211" s="384"/>
      <c r="C211" s="384"/>
      <c r="D211" s="384"/>
      <c r="E211" s="384"/>
      <c r="F211" s="384"/>
      <c r="G211" s="384"/>
      <c r="H211" s="384"/>
      <c r="I211" s="384"/>
      <c r="J211" s="384"/>
      <c r="K211" s="384"/>
      <c r="L211" s="384"/>
      <c r="M211" s="384"/>
      <c r="N211" s="384"/>
      <c r="O211" s="384"/>
      <c r="P211" s="384"/>
      <c r="Q211" s="384"/>
      <c r="R211" s="384"/>
      <c r="S211" s="384"/>
      <c r="T211" s="384"/>
      <c r="U211" s="384"/>
      <c r="V211" s="384"/>
      <c r="W211" s="384"/>
      <c r="X211" s="384"/>
      <c r="Y211" s="384"/>
      <c r="Z211" s="384"/>
      <c r="AA211" s="368"/>
      <c r="AB211" s="368"/>
      <c r="AC211" s="368"/>
    </row>
    <row r="212" spans="1:68" ht="27" customHeight="1" x14ac:dyDescent="0.25">
      <c r="A212" s="55" t="s">
        <v>341</v>
      </c>
      <c r="B212" s="55" t="s">
        <v>342</v>
      </c>
      <c r="C212" s="32">
        <v>4301051100</v>
      </c>
      <c r="D212" s="381">
        <v>4607091387766</v>
      </c>
      <c r="E212" s="382"/>
      <c r="F212" s="372">
        <v>1.3</v>
      </c>
      <c r="G212" s="33">
        <v>6</v>
      </c>
      <c r="H212" s="372">
        <v>7.8</v>
      </c>
      <c r="I212" s="372">
        <v>8.2880000000000003</v>
      </c>
      <c r="J212" s="33">
        <v>64</v>
      </c>
      <c r="K212" s="33" t="s">
        <v>81</v>
      </c>
      <c r="L212" s="33"/>
      <c r="M212" s="34" t="s">
        <v>87</v>
      </c>
      <c r="N212" s="34"/>
      <c r="O212" s="33">
        <v>40</v>
      </c>
      <c r="P212" s="5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12" s="378"/>
      <c r="R212" s="378"/>
      <c r="S212" s="378"/>
      <c r="T212" s="379"/>
      <c r="U212" s="35"/>
      <c r="V212" s="35"/>
      <c r="W212" s="36" t="s">
        <v>71</v>
      </c>
      <c r="X212" s="373">
        <v>0</v>
      </c>
      <c r="Y212" s="374">
        <f>IFERROR(IF(X212="",0,CEILING((X212/$H212),1)*$H212),"")</f>
        <v>0</v>
      </c>
      <c r="Z212" s="37" t="str">
        <f>IFERROR(IF(Y212=0,"",ROUNDUP(Y212/H212,0)*0.01898),"")</f>
        <v/>
      </c>
      <c r="AA212" s="57"/>
      <c r="AB212" s="58"/>
      <c r="AC212" s="252" t="s">
        <v>343</v>
      </c>
      <c r="AG212" s="65"/>
      <c r="AJ212" s="69"/>
      <c r="AK212" s="69">
        <v>0</v>
      </c>
      <c r="BB212" s="253" t="s">
        <v>1</v>
      </c>
      <c r="BM212" s="65">
        <f>IFERROR(X212*I212/H212,"0")</f>
        <v>0</v>
      </c>
      <c r="BN212" s="65">
        <f>IFERROR(Y212*I212/H212,"0")</f>
        <v>0</v>
      </c>
      <c r="BO212" s="65">
        <f>IFERROR(1/J212*(X212/H212),"0")</f>
        <v>0</v>
      </c>
      <c r="BP212" s="65">
        <f>IFERROR(1/J212*(Y212/H212),"0")</f>
        <v>0</v>
      </c>
    </row>
    <row r="213" spans="1:68" ht="27" customHeight="1" x14ac:dyDescent="0.25">
      <c r="A213" s="55" t="s">
        <v>344</v>
      </c>
      <c r="B213" s="55" t="s">
        <v>345</v>
      </c>
      <c r="C213" s="32">
        <v>4301051818</v>
      </c>
      <c r="D213" s="381">
        <v>4607091387957</v>
      </c>
      <c r="E213" s="382"/>
      <c r="F213" s="372">
        <v>1.3</v>
      </c>
      <c r="G213" s="33">
        <v>6</v>
      </c>
      <c r="H213" s="372">
        <v>7.8</v>
      </c>
      <c r="I213" s="372">
        <v>8.2940000000000005</v>
      </c>
      <c r="J213" s="33">
        <v>64</v>
      </c>
      <c r="K213" s="33" t="s">
        <v>81</v>
      </c>
      <c r="L213" s="33"/>
      <c r="M213" s="34" t="s">
        <v>87</v>
      </c>
      <c r="N213" s="34"/>
      <c r="O213" s="33">
        <v>40</v>
      </c>
      <c r="P213" s="39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13" s="378"/>
      <c r="R213" s="378"/>
      <c r="S213" s="378"/>
      <c r="T213" s="379"/>
      <c r="U213" s="35"/>
      <c r="V213" s="35"/>
      <c r="W213" s="36" t="s">
        <v>71</v>
      </c>
      <c r="X213" s="373">
        <v>0</v>
      </c>
      <c r="Y213" s="374">
        <f>IFERROR(IF(X213="",0,CEILING((X213/$H213),1)*$H213),"")</f>
        <v>0</v>
      </c>
      <c r="Z213" s="37" t="str">
        <f>IFERROR(IF(Y213=0,"",ROUNDUP(Y213/H213,0)*0.01898),"")</f>
        <v/>
      </c>
      <c r="AA213" s="57"/>
      <c r="AB213" s="58"/>
      <c r="AC213" s="254" t="s">
        <v>346</v>
      </c>
      <c r="AG213" s="65"/>
      <c r="AJ213" s="69"/>
      <c r="AK213" s="69">
        <v>0</v>
      </c>
      <c r="BB213" s="255" t="s">
        <v>1</v>
      </c>
      <c r="BM213" s="65">
        <f>IFERROR(X213*I213/H213,"0")</f>
        <v>0</v>
      </c>
      <c r="BN213" s="65">
        <f>IFERROR(Y213*I213/H213,"0")</f>
        <v>0</v>
      </c>
      <c r="BO213" s="65">
        <f>IFERROR(1/J213*(X213/H213),"0")</f>
        <v>0</v>
      </c>
      <c r="BP213" s="65">
        <f>IFERROR(1/J213*(Y213/H213),"0")</f>
        <v>0</v>
      </c>
    </row>
    <row r="214" spans="1:68" ht="27" customHeight="1" x14ac:dyDescent="0.25">
      <c r="A214" s="55" t="s">
        <v>347</v>
      </c>
      <c r="B214" s="55" t="s">
        <v>348</v>
      </c>
      <c r="C214" s="32">
        <v>4301051819</v>
      </c>
      <c r="D214" s="381">
        <v>4607091387964</v>
      </c>
      <c r="E214" s="382"/>
      <c r="F214" s="372">
        <v>1.35</v>
      </c>
      <c r="G214" s="33">
        <v>6</v>
      </c>
      <c r="H214" s="372">
        <v>8.1</v>
      </c>
      <c r="I214" s="372">
        <v>8.5760000000000005</v>
      </c>
      <c r="J214" s="33">
        <v>64</v>
      </c>
      <c r="K214" s="33" t="s">
        <v>81</v>
      </c>
      <c r="L214" s="33"/>
      <c r="M214" s="34" t="s">
        <v>87</v>
      </c>
      <c r="N214" s="34"/>
      <c r="O214" s="33">
        <v>40</v>
      </c>
      <c r="P214" s="57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14" s="378"/>
      <c r="R214" s="378"/>
      <c r="S214" s="378"/>
      <c r="T214" s="379"/>
      <c r="U214" s="35"/>
      <c r="V214" s="35"/>
      <c r="W214" s="36" t="s">
        <v>71</v>
      </c>
      <c r="X214" s="373">
        <v>20</v>
      </c>
      <c r="Y214" s="374">
        <f>IFERROR(IF(X214="",0,CEILING((X214/$H214),1)*$H214),"")</f>
        <v>24.299999999999997</v>
      </c>
      <c r="Z214" s="37">
        <f>IFERROR(IF(Y214=0,"",ROUNDUP(Y214/H214,0)*0.01898),"")</f>
        <v>5.6940000000000004E-2</v>
      </c>
      <c r="AA214" s="57"/>
      <c r="AB214" s="58"/>
      <c r="AC214" s="256" t="s">
        <v>349</v>
      </c>
      <c r="AG214" s="65"/>
      <c r="AJ214" s="69"/>
      <c r="AK214" s="69">
        <v>0</v>
      </c>
      <c r="BB214" s="257" t="s">
        <v>1</v>
      </c>
      <c r="BM214" s="65">
        <f>IFERROR(X214*I214/H214,"0")</f>
        <v>21.17530864197531</v>
      </c>
      <c r="BN214" s="65">
        <f>IFERROR(Y214*I214/H214,"0")</f>
        <v>25.727999999999998</v>
      </c>
      <c r="BO214" s="65">
        <f>IFERROR(1/J214*(X214/H214),"0")</f>
        <v>3.8580246913580252E-2</v>
      </c>
      <c r="BP214" s="65">
        <f>IFERROR(1/J214*(Y214/H214),"0")</f>
        <v>4.6875E-2</v>
      </c>
    </row>
    <row r="215" spans="1:68" ht="27" customHeight="1" x14ac:dyDescent="0.25">
      <c r="A215" s="55" t="s">
        <v>350</v>
      </c>
      <c r="B215" s="55" t="s">
        <v>351</v>
      </c>
      <c r="C215" s="32">
        <v>4301051734</v>
      </c>
      <c r="D215" s="381">
        <v>4680115884588</v>
      </c>
      <c r="E215" s="382"/>
      <c r="F215" s="372">
        <v>0.5</v>
      </c>
      <c r="G215" s="33">
        <v>6</v>
      </c>
      <c r="H215" s="372">
        <v>3</v>
      </c>
      <c r="I215" s="372">
        <v>3.246</v>
      </c>
      <c r="J215" s="33">
        <v>182</v>
      </c>
      <c r="K215" s="33" t="s">
        <v>69</v>
      </c>
      <c r="L215" s="33"/>
      <c r="M215" s="34" t="s">
        <v>87</v>
      </c>
      <c r="N215" s="34"/>
      <c r="O215" s="33">
        <v>40</v>
      </c>
      <c r="P215" s="40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15" s="378"/>
      <c r="R215" s="378"/>
      <c r="S215" s="378"/>
      <c r="T215" s="379"/>
      <c r="U215" s="35"/>
      <c r="V215" s="35"/>
      <c r="W215" s="36" t="s">
        <v>71</v>
      </c>
      <c r="X215" s="373">
        <v>100</v>
      </c>
      <c r="Y215" s="374">
        <f>IFERROR(IF(X215="",0,CEILING((X215/$H215),1)*$H215),"")</f>
        <v>102</v>
      </c>
      <c r="Z215" s="37">
        <f>IFERROR(IF(Y215=0,"",ROUNDUP(Y215/H215,0)*0.00651),"")</f>
        <v>0.22134000000000001</v>
      </c>
      <c r="AA215" s="57"/>
      <c r="AB215" s="58"/>
      <c r="AC215" s="258" t="s">
        <v>352</v>
      </c>
      <c r="AG215" s="65"/>
      <c r="AJ215" s="69"/>
      <c r="AK215" s="69">
        <v>0</v>
      </c>
      <c r="BB215" s="259" t="s">
        <v>1</v>
      </c>
      <c r="BM215" s="65">
        <f>IFERROR(X215*I215/H215,"0")</f>
        <v>108.2</v>
      </c>
      <c r="BN215" s="65">
        <f>IFERROR(Y215*I215/H215,"0")</f>
        <v>110.36399999999999</v>
      </c>
      <c r="BO215" s="65">
        <f>IFERROR(1/J215*(X215/H215),"0")</f>
        <v>0.18315018315018317</v>
      </c>
      <c r="BP215" s="65">
        <f>IFERROR(1/J215*(Y215/H215),"0")</f>
        <v>0.18681318681318682</v>
      </c>
    </row>
    <row r="216" spans="1:68" x14ac:dyDescent="0.2">
      <c r="A216" s="391"/>
      <c r="B216" s="384"/>
      <c r="C216" s="384"/>
      <c r="D216" s="384"/>
      <c r="E216" s="384"/>
      <c r="F216" s="384"/>
      <c r="G216" s="384"/>
      <c r="H216" s="384"/>
      <c r="I216" s="384"/>
      <c r="J216" s="384"/>
      <c r="K216" s="384"/>
      <c r="L216" s="384"/>
      <c r="M216" s="384"/>
      <c r="N216" s="384"/>
      <c r="O216" s="392"/>
      <c r="P216" s="387" t="s">
        <v>74</v>
      </c>
      <c r="Q216" s="388"/>
      <c r="R216" s="388"/>
      <c r="S216" s="388"/>
      <c r="T216" s="388"/>
      <c r="U216" s="388"/>
      <c r="V216" s="389"/>
      <c r="W216" s="38" t="s">
        <v>75</v>
      </c>
      <c r="X216" s="375">
        <f>IFERROR(X212/H212,"0")+IFERROR(X213/H213,"0")+IFERROR(X214/H214,"0")+IFERROR(X215/H215,"0")</f>
        <v>35.802469135802468</v>
      </c>
      <c r="Y216" s="375">
        <f>IFERROR(Y212/H212,"0")+IFERROR(Y213/H213,"0")+IFERROR(Y214/H214,"0")+IFERROR(Y215/H215,"0")</f>
        <v>37</v>
      </c>
      <c r="Z216" s="375">
        <f>IFERROR(IF(Z212="",0,Z212),"0")+IFERROR(IF(Z213="",0,Z213),"0")+IFERROR(IF(Z214="",0,Z214),"0")+IFERROR(IF(Z215="",0,Z215),"0")</f>
        <v>0.27828000000000003</v>
      </c>
      <c r="AA216" s="376"/>
      <c r="AB216" s="376"/>
      <c r="AC216" s="376"/>
    </row>
    <row r="217" spans="1:68" x14ac:dyDescent="0.2">
      <c r="A217" s="384"/>
      <c r="B217" s="384"/>
      <c r="C217" s="384"/>
      <c r="D217" s="384"/>
      <c r="E217" s="384"/>
      <c r="F217" s="384"/>
      <c r="G217" s="384"/>
      <c r="H217" s="384"/>
      <c r="I217" s="384"/>
      <c r="J217" s="384"/>
      <c r="K217" s="384"/>
      <c r="L217" s="384"/>
      <c r="M217" s="384"/>
      <c r="N217" s="384"/>
      <c r="O217" s="392"/>
      <c r="P217" s="387" t="s">
        <v>74</v>
      </c>
      <c r="Q217" s="388"/>
      <c r="R217" s="388"/>
      <c r="S217" s="388"/>
      <c r="T217" s="388"/>
      <c r="U217" s="388"/>
      <c r="V217" s="389"/>
      <c r="W217" s="38" t="s">
        <v>71</v>
      </c>
      <c r="X217" s="375">
        <f>IFERROR(SUM(X212:X215),"0")</f>
        <v>120</v>
      </c>
      <c r="Y217" s="375">
        <f>IFERROR(SUM(Y212:Y215),"0")</f>
        <v>126.3</v>
      </c>
      <c r="Z217" s="38"/>
      <c r="AA217" s="376"/>
      <c r="AB217" s="376"/>
      <c r="AC217" s="376"/>
    </row>
    <row r="218" spans="1:68" ht="14.25" customHeight="1" x14ac:dyDescent="0.25">
      <c r="A218" s="383" t="s">
        <v>118</v>
      </c>
      <c r="B218" s="384"/>
      <c r="C218" s="384"/>
      <c r="D218" s="384"/>
      <c r="E218" s="384"/>
      <c r="F218" s="384"/>
      <c r="G218" s="384"/>
      <c r="H218" s="384"/>
      <c r="I218" s="384"/>
      <c r="J218" s="384"/>
      <c r="K218" s="384"/>
      <c r="L218" s="384"/>
      <c r="M218" s="384"/>
      <c r="N218" s="384"/>
      <c r="O218" s="384"/>
      <c r="P218" s="384"/>
      <c r="Q218" s="384"/>
      <c r="R218" s="384"/>
      <c r="S218" s="384"/>
      <c r="T218" s="384"/>
      <c r="U218" s="384"/>
      <c r="V218" s="384"/>
      <c r="W218" s="384"/>
      <c r="X218" s="384"/>
      <c r="Y218" s="384"/>
      <c r="Z218" s="384"/>
      <c r="AA218" s="368"/>
      <c r="AB218" s="368"/>
      <c r="AC218" s="368"/>
    </row>
    <row r="219" spans="1:68" ht="27" customHeight="1" x14ac:dyDescent="0.25">
      <c r="A219" s="55" t="s">
        <v>353</v>
      </c>
      <c r="B219" s="55" t="s">
        <v>354</v>
      </c>
      <c r="C219" s="32">
        <v>4301060387</v>
      </c>
      <c r="D219" s="381">
        <v>4607091380880</v>
      </c>
      <c r="E219" s="382"/>
      <c r="F219" s="372">
        <v>1.4</v>
      </c>
      <c r="G219" s="33">
        <v>6</v>
      </c>
      <c r="H219" s="372">
        <v>8.4</v>
      </c>
      <c r="I219" s="372">
        <v>8.8940000000000001</v>
      </c>
      <c r="J219" s="33">
        <v>64</v>
      </c>
      <c r="K219" s="33" t="s">
        <v>81</v>
      </c>
      <c r="L219" s="33"/>
      <c r="M219" s="34" t="s">
        <v>87</v>
      </c>
      <c r="N219" s="34"/>
      <c r="O219" s="33">
        <v>30</v>
      </c>
      <c r="P219" s="49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219" s="378"/>
      <c r="R219" s="378"/>
      <c r="S219" s="378"/>
      <c r="T219" s="379"/>
      <c r="U219" s="35"/>
      <c r="V219" s="35"/>
      <c r="W219" s="36" t="s">
        <v>71</v>
      </c>
      <c r="X219" s="373">
        <v>0</v>
      </c>
      <c r="Y219" s="374">
        <f>IFERROR(IF(X219="",0,CEILING((X219/$H219),1)*$H219),"")</f>
        <v>0</v>
      </c>
      <c r="Z219" s="37" t="str">
        <f>IFERROR(IF(Y219=0,"",ROUNDUP(Y219/H219,0)*0.01898),"")</f>
        <v/>
      </c>
      <c r="AA219" s="57"/>
      <c r="AB219" s="58"/>
      <c r="AC219" s="260" t="s">
        <v>355</v>
      </c>
      <c r="AG219" s="65"/>
      <c r="AJ219" s="69"/>
      <c r="AK219" s="69">
        <v>0</v>
      </c>
      <c r="BB219" s="261" t="s">
        <v>1</v>
      </c>
      <c r="BM219" s="65">
        <f>IFERROR(X219*I219/H219,"0")</f>
        <v>0</v>
      </c>
      <c r="BN219" s="65">
        <f>IFERROR(Y219*I219/H219,"0")</f>
        <v>0</v>
      </c>
      <c r="BO219" s="65">
        <f>IFERROR(1/J219*(X219/H219),"0")</f>
        <v>0</v>
      </c>
      <c r="BP219" s="65">
        <f>IFERROR(1/J219*(Y219/H219),"0")</f>
        <v>0</v>
      </c>
    </row>
    <row r="220" spans="1:68" ht="27" customHeight="1" x14ac:dyDescent="0.25">
      <c r="A220" s="55" t="s">
        <v>356</v>
      </c>
      <c r="B220" s="55" t="s">
        <v>357</v>
      </c>
      <c r="C220" s="32">
        <v>4301060406</v>
      </c>
      <c r="D220" s="381">
        <v>4607091384482</v>
      </c>
      <c r="E220" s="382"/>
      <c r="F220" s="372">
        <v>1.3</v>
      </c>
      <c r="G220" s="33">
        <v>6</v>
      </c>
      <c r="H220" s="372">
        <v>7.8</v>
      </c>
      <c r="I220" s="372">
        <v>8.2940000000000005</v>
      </c>
      <c r="J220" s="33">
        <v>64</v>
      </c>
      <c r="K220" s="33" t="s">
        <v>81</v>
      </c>
      <c r="L220" s="33"/>
      <c r="M220" s="34" t="s">
        <v>87</v>
      </c>
      <c r="N220" s="34"/>
      <c r="O220" s="33">
        <v>30</v>
      </c>
      <c r="P220" s="3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220" s="378"/>
      <c r="R220" s="378"/>
      <c r="S220" s="378"/>
      <c r="T220" s="379"/>
      <c r="U220" s="35"/>
      <c r="V220" s="35"/>
      <c r="W220" s="36" t="s">
        <v>71</v>
      </c>
      <c r="X220" s="373">
        <v>80</v>
      </c>
      <c r="Y220" s="374">
        <f>IFERROR(IF(X220="",0,CEILING((X220/$H220),1)*$H220),"")</f>
        <v>85.8</v>
      </c>
      <c r="Z220" s="37">
        <f>IFERROR(IF(Y220=0,"",ROUNDUP(Y220/H220,0)*0.01898),"")</f>
        <v>0.20877999999999999</v>
      </c>
      <c r="AA220" s="57"/>
      <c r="AB220" s="58"/>
      <c r="AC220" s="262" t="s">
        <v>358</v>
      </c>
      <c r="AG220" s="65"/>
      <c r="AJ220" s="69"/>
      <c r="AK220" s="69">
        <v>0</v>
      </c>
      <c r="BB220" s="263" t="s">
        <v>1</v>
      </c>
      <c r="BM220" s="65">
        <f>IFERROR(X220*I220/H220,"0")</f>
        <v>85.066666666666663</v>
      </c>
      <c r="BN220" s="65">
        <f>IFERROR(Y220*I220/H220,"0")</f>
        <v>91.234000000000009</v>
      </c>
      <c r="BO220" s="65">
        <f>IFERROR(1/J220*(X220/H220),"0")</f>
        <v>0.16025641025641027</v>
      </c>
      <c r="BP220" s="65">
        <f>IFERROR(1/J220*(Y220/H220),"0")</f>
        <v>0.171875</v>
      </c>
    </row>
    <row r="221" spans="1:68" ht="16.5" customHeight="1" x14ac:dyDescent="0.25">
      <c r="A221" s="55" t="s">
        <v>359</v>
      </c>
      <c r="B221" s="55" t="s">
        <v>360</v>
      </c>
      <c r="C221" s="32">
        <v>4301060484</v>
      </c>
      <c r="D221" s="381">
        <v>4607091380897</v>
      </c>
      <c r="E221" s="382"/>
      <c r="F221" s="372">
        <v>1.4</v>
      </c>
      <c r="G221" s="33">
        <v>6</v>
      </c>
      <c r="H221" s="372">
        <v>8.4</v>
      </c>
      <c r="I221" s="372">
        <v>8.8940000000000001</v>
      </c>
      <c r="J221" s="33">
        <v>64</v>
      </c>
      <c r="K221" s="33" t="s">
        <v>81</v>
      </c>
      <c r="L221" s="33"/>
      <c r="M221" s="34" t="s">
        <v>105</v>
      </c>
      <c r="N221" s="34"/>
      <c r="O221" s="33">
        <v>30</v>
      </c>
      <c r="P221" s="4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221" s="378"/>
      <c r="R221" s="378"/>
      <c r="S221" s="378"/>
      <c r="T221" s="379"/>
      <c r="U221" s="35"/>
      <c r="V221" s="35"/>
      <c r="W221" s="36" t="s">
        <v>71</v>
      </c>
      <c r="X221" s="373">
        <v>0</v>
      </c>
      <c r="Y221" s="374">
        <f>IFERROR(IF(X221="",0,CEILING((X221/$H221),1)*$H221),"")</f>
        <v>0</v>
      </c>
      <c r="Z221" s="37" t="str">
        <f>IFERROR(IF(Y221=0,"",ROUNDUP(Y221/H221,0)*0.01898),"")</f>
        <v/>
      </c>
      <c r="AA221" s="57"/>
      <c r="AB221" s="58"/>
      <c r="AC221" s="264" t="s">
        <v>361</v>
      </c>
      <c r="AG221" s="65"/>
      <c r="AJ221" s="69"/>
      <c r="AK221" s="69">
        <v>0</v>
      </c>
      <c r="BB221" s="265" t="s">
        <v>1</v>
      </c>
      <c r="BM221" s="65">
        <f>IFERROR(X221*I221/H221,"0")</f>
        <v>0</v>
      </c>
      <c r="BN221" s="65">
        <f>IFERROR(Y221*I221/H221,"0")</f>
        <v>0</v>
      </c>
      <c r="BO221" s="65">
        <f>IFERROR(1/J221*(X221/H221),"0")</f>
        <v>0</v>
      </c>
      <c r="BP221" s="65">
        <f>IFERROR(1/J221*(Y221/H221),"0")</f>
        <v>0</v>
      </c>
    </row>
    <row r="222" spans="1:68" x14ac:dyDescent="0.2">
      <c r="A222" s="391"/>
      <c r="B222" s="384"/>
      <c r="C222" s="384"/>
      <c r="D222" s="384"/>
      <c r="E222" s="384"/>
      <c r="F222" s="384"/>
      <c r="G222" s="384"/>
      <c r="H222" s="384"/>
      <c r="I222" s="384"/>
      <c r="J222" s="384"/>
      <c r="K222" s="384"/>
      <c r="L222" s="384"/>
      <c r="M222" s="384"/>
      <c r="N222" s="384"/>
      <c r="O222" s="392"/>
      <c r="P222" s="387" t="s">
        <v>74</v>
      </c>
      <c r="Q222" s="388"/>
      <c r="R222" s="388"/>
      <c r="S222" s="388"/>
      <c r="T222" s="388"/>
      <c r="U222" s="388"/>
      <c r="V222" s="389"/>
      <c r="W222" s="38" t="s">
        <v>75</v>
      </c>
      <c r="X222" s="375">
        <f>IFERROR(X219/H219,"0")+IFERROR(X220/H220,"0")+IFERROR(X221/H221,"0")</f>
        <v>10.256410256410257</v>
      </c>
      <c r="Y222" s="375">
        <f>IFERROR(Y219/H219,"0")+IFERROR(Y220/H220,"0")+IFERROR(Y221/H221,"0")</f>
        <v>11</v>
      </c>
      <c r="Z222" s="375">
        <f>IFERROR(IF(Z219="",0,Z219),"0")+IFERROR(IF(Z220="",0,Z220),"0")+IFERROR(IF(Z221="",0,Z221),"0")</f>
        <v>0.20877999999999999</v>
      </c>
      <c r="AA222" s="376"/>
      <c r="AB222" s="376"/>
      <c r="AC222" s="376"/>
    </row>
    <row r="223" spans="1:68" x14ac:dyDescent="0.2">
      <c r="A223" s="384"/>
      <c r="B223" s="384"/>
      <c r="C223" s="384"/>
      <c r="D223" s="384"/>
      <c r="E223" s="384"/>
      <c r="F223" s="384"/>
      <c r="G223" s="384"/>
      <c r="H223" s="384"/>
      <c r="I223" s="384"/>
      <c r="J223" s="384"/>
      <c r="K223" s="384"/>
      <c r="L223" s="384"/>
      <c r="M223" s="384"/>
      <c r="N223" s="384"/>
      <c r="O223" s="392"/>
      <c r="P223" s="387" t="s">
        <v>74</v>
      </c>
      <c r="Q223" s="388"/>
      <c r="R223" s="388"/>
      <c r="S223" s="388"/>
      <c r="T223" s="388"/>
      <c r="U223" s="388"/>
      <c r="V223" s="389"/>
      <c r="W223" s="38" t="s">
        <v>71</v>
      </c>
      <c r="X223" s="375">
        <f>IFERROR(SUM(X219:X221),"0")</f>
        <v>80</v>
      </c>
      <c r="Y223" s="375">
        <f>IFERROR(SUM(Y219:Y221),"0")</f>
        <v>85.8</v>
      </c>
      <c r="Z223" s="38"/>
      <c r="AA223" s="376"/>
      <c r="AB223" s="376"/>
      <c r="AC223" s="376"/>
    </row>
    <row r="224" spans="1:68" ht="14.25" customHeight="1" x14ac:dyDescent="0.25">
      <c r="A224" s="383" t="s">
        <v>66</v>
      </c>
      <c r="B224" s="384"/>
      <c r="C224" s="384"/>
      <c r="D224" s="384"/>
      <c r="E224" s="384"/>
      <c r="F224" s="384"/>
      <c r="G224" s="384"/>
      <c r="H224" s="384"/>
      <c r="I224" s="384"/>
      <c r="J224" s="384"/>
      <c r="K224" s="384"/>
      <c r="L224" s="384"/>
      <c r="M224" s="384"/>
      <c r="N224" s="384"/>
      <c r="O224" s="384"/>
      <c r="P224" s="384"/>
      <c r="Q224" s="384"/>
      <c r="R224" s="384"/>
      <c r="S224" s="384"/>
      <c r="T224" s="384"/>
      <c r="U224" s="384"/>
      <c r="V224" s="384"/>
      <c r="W224" s="384"/>
      <c r="X224" s="384"/>
      <c r="Y224" s="384"/>
      <c r="Z224" s="384"/>
      <c r="AA224" s="368"/>
      <c r="AB224" s="368"/>
      <c r="AC224" s="368"/>
    </row>
    <row r="225" spans="1:68" ht="27" customHeight="1" x14ac:dyDescent="0.25">
      <c r="A225" s="55" t="s">
        <v>362</v>
      </c>
      <c r="B225" s="55" t="s">
        <v>363</v>
      </c>
      <c r="C225" s="32">
        <v>4301030235</v>
      </c>
      <c r="D225" s="381">
        <v>4607091388381</v>
      </c>
      <c r="E225" s="382"/>
      <c r="F225" s="372">
        <v>0.38</v>
      </c>
      <c r="G225" s="33">
        <v>8</v>
      </c>
      <c r="H225" s="372">
        <v>3.04</v>
      </c>
      <c r="I225" s="372">
        <v>3.31</v>
      </c>
      <c r="J225" s="33">
        <v>132</v>
      </c>
      <c r="K225" s="33" t="s">
        <v>86</v>
      </c>
      <c r="L225" s="33"/>
      <c r="M225" s="34" t="s">
        <v>70</v>
      </c>
      <c r="N225" s="34"/>
      <c r="O225" s="33">
        <v>180</v>
      </c>
      <c r="P225" s="5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225" s="378"/>
      <c r="R225" s="378"/>
      <c r="S225" s="378"/>
      <c r="T225" s="379"/>
      <c r="U225" s="35"/>
      <c r="V225" s="35"/>
      <c r="W225" s="36" t="s">
        <v>71</v>
      </c>
      <c r="X225" s="373">
        <v>0</v>
      </c>
      <c r="Y225" s="374">
        <f>IFERROR(IF(X225="",0,CEILING((X225/$H225),1)*$H225),"")</f>
        <v>0</v>
      </c>
      <c r="Z225" s="37" t="str">
        <f>IFERROR(IF(Y225=0,"",ROUNDUP(Y225/H225,0)*0.00902),"")</f>
        <v/>
      </c>
      <c r="AA225" s="57"/>
      <c r="AB225" s="58"/>
      <c r="AC225" s="266" t="s">
        <v>364</v>
      </c>
      <c r="AG225" s="65"/>
      <c r="AJ225" s="69"/>
      <c r="AK225" s="69">
        <v>0</v>
      </c>
      <c r="BB225" s="267" t="s">
        <v>1</v>
      </c>
      <c r="BM225" s="65">
        <f>IFERROR(X225*I225/H225,"0")</f>
        <v>0</v>
      </c>
      <c r="BN225" s="65">
        <f>IFERROR(Y225*I225/H225,"0")</f>
        <v>0</v>
      </c>
      <c r="BO225" s="65">
        <f>IFERROR(1/J225*(X225/H225),"0")</f>
        <v>0</v>
      </c>
      <c r="BP225" s="65">
        <f>IFERROR(1/J225*(Y225/H225),"0")</f>
        <v>0</v>
      </c>
    </row>
    <row r="226" spans="1:68" ht="27" customHeight="1" x14ac:dyDescent="0.25">
      <c r="A226" s="55" t="s">
        <v>365</v>
      </c>
      <c r="B226" s="55" t="s">
        <v>366</v>
      </c>
      <c r="C226" s="32">
        <v>4301030232</v>
      </c>
      <c r="D226" s="381">
        <v>4607091388374</v>
      </c>
      <c r="E226" s="382"/>
      <c r="F226" s="372">
        <v>0.38</v>
      </c>
      <c r="G226" s="33">
        <v>8</v>
      </c>
      <c r="H226" s="372">
        <v>3.04</v>
      </c>
      <c r="I226" s="372">
        <v>3.27</v>
      </c>
      <c r="J226" s="33">
        <v>132</v>
      </c>
      <c r="K226" s="33" t="s">
        <v>86</v>
      </c>
      <c r="L226" s="33"/>
      <c r="M226" s="34" t="s">
        <v>70</v>
      </c>
      <c r="N226" s="34"/>
      <c r="O226" s="33">
        <v>180</v>
      </c>
      <c r="P226" s="5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226" s="378"/>
      <c r="R226" s="378"/>
      <c r="S226" s="378"/>
      <c r="T226" s="379"/>
      <c r="U226" s="35"/>
      <c r="V226" s="35"/>
      <c r="W226" s="36" t="s">
        <v>71</v>
      </c>
      <c r="X226" s="373">
        <v>20</v>
      </c>
      <c r="Y226" s="374">
        <f>IFERROR(IF(X226="",0,CEILING((X226/$H226),1)*$H226),"")</f>
        <v>21.28</v>
      </c>
      <c r="Z226" s="37">
        <f>IFERROR(IF(Y226=0,"",ROUNDUP(Y226/H226,0)*0.00902),"")</f>
        <v>6.3140000000000002E-2</v>
      </c>
      <c r="AA226" s="57"/>
      <c r="AB226" s="58"/>
      <c r="AC226" s="268" t="s">
        <v>364</v>
      </c>
      <c r="AG226" s="65"/>
      <c r="AJ226" s="69"/>
      <c r="AK226" s="69">
        <v>0</v>
      </c>
      <c r="BB226" s="269" t="s">
        <v>1</v>
      </c>
      <c r="BM226" s="65">
        <f>IFERROR(X226*I226/H226,"0")</f>
        <v>21.513157894736842</v>
      </c>
      <c r="BN226" s="65">
        <f>IFERROR(Y226*I226/H226,"0")</f>
        <v>22.89</v>
      </c>
      <c r="BO226" s="65">
        <f>IFERROR(1/J226*(X226/H226),"0")</f>
        <v>4.9840510366826157E-2</v>
      </c>
      <c r="BP226" s="65">
        <f>IFERROR(1/J226*(Y226/H226),"0")</f>
        <v>5.3030303030303032E-2</v>
      </c>
    </row>
    <row r="227" spans="1:68" ht="27" customHeight="1" x14ac:dyDescent="0.25">
      <c r="A227" s="55" t="s">
        <v>367</v>
      </c>
      <c r="B227" s="55" t="s">
        <v>368</v>
      </c>
      <c r="C227" s="32">
        <v>4301032015</v>
      </c>
      <c r="D227" s="381">
        <v>4607091383102</v>
      </c>
      <c r="E227" s="382"/>
      <c r="F227" s="372">
        <v>0.17</v>
      </c>
      <c r="G227" s="33">
        <v>15</v>
      </c>
      <c r="H227" s="372">
        <v>2.5499999999999998</v>
      </c>
      <c r="I227" s="372">
        <v>2.9550000000000001</v>
      </c>
      <c r="J227" s="33">
        <v>182</v>
      </c>
      <c r="K227" s="33" t="s">
        <v>69</v>
      </c>
      <c r="L227" s="33"/>
      <c r="M227" s="34" t="s">
        <v>70</v>
      </c>
      <c r="N227" s="34"/>
      <c r="O227" s="33">
        <v>180</v>
      </c>
      <c r="P227" s="55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227" s="378"/>
      <c r="R227" s="378"/>
      <c r="S227" s="378"/>
      <c r="T227" s="379"/>
      <c r="U227" s="35"/>
      <c r="V227" s="35"/>
      <c r="W227" s="36" t="s">
        <v>71</v>
      </c>
      <c r="X227" s="373">
        <v>34</v>
      </c>
      <c r="Y227" s="374">
        <f>IFERROR(IF(X227="",0,CEILING((X227/$H227),1)*$H227),"")</f>
        <v>35.699999999999996</v>
      </c>
      <c r="Z227" s="37">
        <f>IFERROR(IF(Y227=0,"",ROUNDUP(Y227/H227,0)*0.00651),"")</f>
        <v>9.1139999999999999E-2</v>
      </c>
      <c r="AA227" s="57"/>
      <c r="AB227" s="58"/>
      <c r="AC227" s="270" t="s">
        <v>364</v>
      </c>
      <c r="AG227" s="65"/>
      <c r="AJ227" s="69"/>
      <c r="AK227" s="69">
        <v>0</v>
      </c>
      <c r="BB227" s="271" t="s">
        <v>1</v>
      </c>
      <c r="BM227" s="65">
        <f>IFERROR(X227*I227/H227,"0")</f>
        <v>39.400000000000006</v>
      </c>
      <c r="BN227" s="65">
        <f>IFERROR(Y227*I227/H227,"0")</f>
        <v>41.37</v>
      </c>
      <c r="BO227" s="65">
        <f>IFERROR(1/J227*(X227/H227),"0")</f>
        <v>7.3260073260073263E-2</v>
      </c>
      <c r="BP227" s="65">
        <f>IFERROR(1/J227*(Y227/H227),"0")</f>
        <v>7.6923076923076927E-2</v>
      </c>
    </row>
    <row r="228" spans="1:68" ht="27" customHeight="1" x14ac:dyDescent="0.25">
      <c r="A228" s="55" t="s">
        <v>369</v>
      </c>
      <c r="B228" s="55" t="s">
        <v>370</v>
      </c>
      <c r="C228" s="32">
        <v>4301030233</v>
      </c>
      <c r="D228" s="381">
        <v>4607091388404</v>
      </c>
      <c r="E228" s="382"/>
      <c r="F228" s="372">
        <v>0.17</v>
      </c>
      <c r="G228" s="33">
        <v>15</v>
      </c>
      <c r="H228" s="372">
        <v>2.5499999999999998</v>
      </c>
      <c r="I228" s="372">
        <v>2.88</v>
      </c>
      <c r="J228" s="33">
        <v>182</v>
      </c>
      <c r="K228" s="33" t="s">
        <v>69</v>
      </c>
      <c r="L228" s="33"/>
      <c r="M228" s="34" t="s">
        <v>70</v>
      </c>
      <c r="N228" s="34"/>
      <c r="O228" s="33">
        <v>180</v>
      </c>
      <c r="P228" s="6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228" s="378"/>
      <c r="R228" s="378"/>
      <c r="S228" s="378"/>
      <c r="T228" s="379"/>
      <c r="U228" s="35"/>
      <c r="V228" s="35"/>
      <c r="W228" s="36" t="s">
        <v>71</v>
      </c>
      <c r="X228" s="373">
        <v>51</v>
      </c>
      <c r="Y228" s="374">
        <f>IFERROR(IF(X228="",0,CEILING((X228/$H228),1)*$H228),"")</f>
        <v>51</v>
      </c>
      <c r="Z228" s="37">
        <f>IFERROR(IF(Y228=0,"",ROUNDUP(Y228/H228,0)*0.00651),"")</f>
        <v>0.13020000000000001</v>
      </c>
      <c r="AA228" s="57"/>
      <c r="AB228" s="58"/>
      <c r="AC228" s="272" t="s">
        <v>364</v>
      </c>
      <c r="AG228" s="65"/>
      <c r="AJ228" s="69"/>
      <c r="AK228" s="69">
        <v>0</v>
      </c>
      <c r="BB228" s="273" t="s">
        <v>1</v>
      </c>
      <c r="BM228" s="65">
        <f>IFERROR(X228*I228/H228,"0")</f>
        <v>57.6</v>
      </c>
      <c r="BN228" s="65">
        <f>IFERROR(Y228*I228/H228,"0")</f>
        <v>57.6</v>
      </c>
      <c r="BO228" s="65">
        <f>IFERROR(1/J228*(X228/H228),"0")</f>
        <v>0.1098901098901099</v>
      </c>
      <c r="BP228" s="65">
        <f>IFERROR(1/J228*(Y228/H228),"0")</f>
        <v>0.1098901098901099</v>
      </c>
    </row>
    <row r="229" spans="1:68" x14ac:dyDescent="0.2">
      <c r="A229" s="391"/>
      <c r="B229" s="384"/>
      <c r="C229" s="384"/>
      <c r="D229" s="384"/>
      <c r="E229" s="384"/>
      <c r="F229" s="384"/>
      <c r="G229" s="384"/>
      <c r="H229" s="384"/>
      <c r="I229" s="384"/>
      <c r="J229" s="384"/>
      <c r="K229" s="384"/>
      <c r="L229" s="384"/>
      <c r="M229" s="384"/>
      <c r="N229" s="384"/>
      <c r="O229" s="392"/>
      <c r="P229" s="387" t="s">
        <v>74</v>
      </c>
      <c r="Q229" s="388"/>
      <c r="R229" s="388"/>
      <c r="S229" s="388"/>
      <c r="T229" s="388"/>
      <c r="U229" s="388"/>
      <c r="V229" s="389"/>
      <c r="W229" s="38" t="s">
        <v>75</v>
      </c>
      <c r="X229" s="375">
        <f>IFERROR(X225/H225,"0")+IFERROR(X226/H226,"0")+IFERROR(X227/H227,"0")+IFERROR(X228/H228,"0")</f>
        <v>39.912280701754383</v>
      </c>
      <c r="Y229" s="375">
        <f>IFERROR(Y225/H225,"0")+IFERROR(Y226/H226,"0")+IFERROR(Y227/H227,"0")+IFERROR(Y228/H228,"0")</f>
        <v>41</v>
      </c>
      <c r="Z229" s="375">
        <f>IFERROR(IF(Z225="",0,Z225),"0")+IFERROR(IF(Z226="",0,Z226),"0")+IFERROR(IF(Z227="",0,Z227),"0")+IFERROR(IF(Z228="",0,Z228),"0")</f>
        <v>0.28448000000000001</v>
      </c>
      <c r="AA229" s="376"/>
      <c r="AB229" s="376"/>
      <c r="AC229" s="376"/>
    </row>
    <row r="230" spans="1:68" x14ac:dyDescent="0.2">
      <c r="A230" s="384"/>
      <c r="B230" s="384"/>
      <c r="C230" s="384"/>
      <c r="D230" s="384"/>
      <c r="E230" s="384"/>
      <c r="F230" s="384"/>
      <c r="G230" s="384"/>
      <c r="H230" s="384"/>
      <c r="I230" s="384"/>
      <c r="J230" s="384"/>
      <c r="K230" s="384"/>
      <c r="L230" s="384"/>
      <c r="M230" s="384"/>
      <c r="N230" s="384"/>
      <c r="O230" s="392"/>
      <c r="P230" s="387" t="s">
        <v>74</v>
      </c>
      <c r="Q230" s="388"/>
      <c r="R230" s="388"/>
      <c r="S230" s="388"/>
      <c r="T230" s="388"/>
      <c r="U230" s="388"/>
      <c r="V230" s="389"/>
      <c r="W230" s="38" t="s">
        <v>71</v>
      </c>
      <c r="X230" s="375">
        <f>IFERROR(SUM(X225:X228),"0")</f>
        <v>105</v>
      </c>
      <c r="Y230" s="375">
        <f>IFERROR(SUM(Y225:Y228),"0")</f>
        <v>107.97999999999999</v>
      </c>
      <c r="Z230" s="38"/>
      <c r="AA230" s="376"/>
      <c r="AB230" s="376"/>
      <c r="AC230" s="376"/>
    </row>
    <row r="231" spans="1:68" ht="14.25" customHeight="1" x14ac:dyDescent="0.25">
      <c r="A231" s="383" t="s">
        <v>371</v>
      </c>
      <c r="B231" s="384"/>
      <c r="C231" s="384"/>
      <c r="D231" s="384"/>
      <c r="E231" s="384"/>
      <c r="F231" s="384"/>
      <c r="G231" s="384"/>
      <c r="H231" s="384"/>
      <c r="I231" s="384"/>
      <c r="J231" s="384"/>
      <c r="K231" s="384"/>
      <c r="L231" s="384"/>
      <c r="M231" s="384"/>
      <c r="N231" s="384"/>
      <c r="O231" s="384"/>
      <c r="P231" s="384"/>
      <c r="Q231" s="384"/>
      <c r="R231" s="384"/>
      <c r="S231" s="384"/>
      <c r="T231" s="384"/>
      <c r="U231" s="384"/>
      <c r="V231" s="384"/>
      <c r="W231" s="384"/>
      <c r="X231" s="384"/>
      <c r="Y231" s="384"/>
      <c r="Z231" s="384"/>
      <c r="AA231" s="368"/>
      <c r="AB231" s="368"/>
      <c r="AC231" s="368"/>
    </row>
    <row r="232" spans="1:68" ht="16.5" customHeight="1" x14ac:dyDescent="0.25">
      <c r="A232" s="55" t="s">
        <v>372</v>
      </c>
      <c r="B232" s="55" t="s">
        <v>373</v>
      </c>
      <c r="C232" s="32">
        <v>4301180007</v>
      </c>
      <c r="D232" s="381">
        <v>4680115881808</v>
      </c>
      <c r="E232" s="382"/>
      <c r="F232" s="372">
        <v>0.1</v>
      </c>
      <c r="G232" s="33">
        <v>20</v>
      </c>
      <c r="H232" s="372">
        <v>2</v>
      </c>
      <c r="I232" s="372">
        <v>2.2400000000000002</v>
      </c>
      <c r="J232" s="33">
        <v>238</v>
      </c>
      <c r="K232" s="33" t="s">
        <v>69</v>
      </c>
      <c r="L232" s="33"/>
      <c r="M232" s="34" t="s">
        <v>374</v>
      </c>
      <c r="N232" s="34"/>
      <c r="O232" s="33">
        <v>730</v>
      </c>
      <c r="P232" s="5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232" s="378"/>
      <c r="R232" s="378"/>
      <c r="S232" s="378"/>
      <c r="T232" s="379"/>
      <c r="U232" s="35"/>
      <c r="V232" s="35"/>
      <c r="W232" s="36" t="s">
        <v>71</v>
      </c>
      <c r="X232" s="373">
        <v>0</v>
      </c>
      <c r="Y232" s="374">
        <f>IFERROR(IF(X232="",0,CEILING((X232/$H232),1)*$H232),"")</f>
        <v>0</v>
      </c>
      <c r="Z232" s="37" t="str">
        <f>IFERROR(IF(Y232=0,"",ROUNDUP(Y232/H232,0)*0.00474),"")</f>
        <v/>
      </c>
      <c r="AA232" s="57"/>
      <c r="AB232" s="58"/>
      <c r="AC232" s="274" t="s">
        <v>375</v>
      </c>
      <c r="AG232" s="65"/>
      <c r="AJ232" s="69"/>
      <c r="AK232" s="69">
        <v>0</v>
      </c>
      <c r="BB232" s="275" t="s">
        <v>1</v>
      </c>
      <c r="BM232" s="65">
        <f>IFERROR(X232*I232/H232,"0")</f>
        <v>0</v>
      </c>
      <c r="BN232" s="65">
        <f>IFERROR(Y232*I232/H232,"0")</f>
        <v>0</v>
      </c>
      <c r="BO232" s="65">
        <f>IFERROR(1/J232*(X232/H232),"0")</f>
        <v>0</v>
      </c>
      <c r="BP232" s="65">
        <f>IFERROR(1/J232*(Y232/H232),"0")</f>
        <v>0</v>
      </c>
    </row>
    <row r="233" spans="1:68" ht="27" customHeight="1" x14ac:dyDescent="0.25">
      <c r="A233" s="55" t="s">
        <v>376</v>
      </c>
      <c r="B233" s="55" t="s">
        <v>377</v>
      </c>
      <c r="C233" s="32">
        <v>4301180006</v>
      </c>
      <c r="D233" s="381">
        <v>4680115881822</v>
      </c>
      <c r="E233" s="382"/>
      <c r="F233" s="372">
        <v>0.1</v>
      </c>
      <c r="G233" s="33">
        <v>20</v>
      </c>
      <c r="H233" s="372">
        <v>2</v>
      </c>
      <c r="I233" s="372">
        <v>2.2400000000000002</v>
      </c>
      <c r="J233" s="33">
        <v>238</v>
      </c>
      <c r="K233" s="33" t="s">
        <v>69</v>
      </c>
      <c r="L233" s="33"/>
      <c r="M233" s="34" t="s">
        <v>374</v>
      </c>
      <c r="N233" s="34"/>
      <c r="O233" s="33">
        <v>730</v>
      </c>
      <c r="P233" s="51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233" s="378"/>
      <c r="R233" s="378"/>
      <c r="S233" s="378"/>
      <c r="T233" s="379"/>
      <c r="U233" s="35"/>
      <c r="V233" s="35"/>
      <c r="W233" s="36" t="s">
        <v>71</v>
      </c>
      <c r="X233" s="373">
        <v>0</v>
      </c>
      <c r="Y233" s="374">
        <f>IFERROR(IF(X233="",0,CEILING((X233/$H233),1)*$H233),"")</f>
        <v>0</v>
      </c>
      <c r="Z233" s="37" t="str">
        <f>IFERROR(IF(Y233=0,"",ROUNDUP(Y233/H233,0)*0.00474),"")</f>
        <v/>
      </c>
      <c r="AA233" s="57"/>
      <c r="AB233" s="58"/>
      <c r="AC233" s="276" t="s">
        <v>375</v>
      </c>
      <c r="AG233" s="65"/>
      <c r="AJ233" s="69"/>
      <c r="AK233" s="69">
        <v>0</v>
      </c>
      <c r="BB233" s="277" t="s">
        <v>1</v>
      </c>
      <c r="BM233" s="65">
        <f>IFERROR(X233*I233/H233,"0")</f>
        <v>0</v>
      </c>
      <c r="BN233" s="65">
        <f>IFERROR(Y233*I233/H233,"0")</f>
        <v>0</v>
      </c>
      <c r="BO233" s="65">
        <f>IFERROR(1/J233*(X233/H233),"0")</f>
        <v>0</v>
      </c>
      <c r="BP233" s="65">
        <f>IFERROR(1/J233*(Y233/H233),"0")</f>
        <v>0</v>
      </c>
    </row>
    <row r="234" spans="1:68" ht="27" customHeight="1" x14ac:dyDescent="0.25">
      <c r="A234" s="55" t="s">
        <v>378</v>
      </c>
      <c r="B234" s="55" t="s">
        <v>379</v>
      </c>
      <c r="C234" s="32">
        <v>4301180001</v>
      </c>
      <c r="D234" s="381">
        <v>4680115880016</v>
      </c>
      <c r="E234" s="382"/>
      <c r="F234" s="372">
        <v>0.1</v>
      </c>
      <c r="G234" s="33">
        <v>20</v>
      </c>
      <c r="H234" s="372">
        <v>2</v>
      </c>
      <c r="I234" s="372">
        <v>2.2400000000000002</v>
      </c>
      <c r="J234" s="33">
        <v>238</v>
      </c>
      <c r="K234" s="33" t="s">
        <v>69</v>
      </c>
      <c r="L234" s="33"/>
      <c r="M234" s="34" t="s">
        <v>374</v>
      </c>
      <c r="N234" s="34"/>
      <c r="O234" s="33">
        <v>730</v>
      </c>
      <c r="P234" s="4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234" s="378"/>
      <c r="R234" s="378"/>
      <c r="S234" s="378"/>
      <c r="T234" s="379"/>
      <c r="U234" s="35"/>
      <c r="V234" s="35"/>
      <c r="W234" s="36" t="s">
        <v>71</v>
      </c>
      <c r="X234" s="373">
        <v>0</v>
      </c>
      <c r="Y234" s="374">
        <f>IFERROR(IF(X234="",0,CEILING((X234/$H234),1)*$H234),"")</f>
        <v>0</v>
      </c>
      <c r="Z234" s="37" t="str">
        <f>IFERROR(IF(Y234=0,"",ROUNDUP(Y234/H234,0)*0.00474),"")</f>
        <v/>
      </c>
      <c r="AA234" s="57"/>
      <c r="AB234" s="58"/>
      <c r="AC234" s="278" t="s">
        <v>375</v>
      </c>
      <c r="AG234" s="65"/>
      <c r="AJ234" s="69"/>
      <c r="AK234" s="69">
        <v>0</v>
      </c>
      <c r="BB234" s="279" t="s">
        <v>1</v>
      </c>
      <c r="BM234" s="65">
        <f>IFERROR(X234*I234/H234,"0")</f>
        <v>0</v>
      </c>
      <c r="BN234" s="65">
        <f>IFERROR(Y234*I234/H234,"0")</f>
        <v>0</v>
      </c>
      <c r="BO234" s="65">
        <f>IFERROR(1/J234*(X234/H234),"0")</f>
        <v>0</v>
      </c>
      <c r="BP234" s="65">
        <f>IFERROR(1/J234*(Y234/H234),"0")</f>
        <v>0</v>
      </c>
    </row>
    <row r="235" spans="1:68" x14ac:dyDescent="0.2">
      <c r="A235" s="391"/>
      <c r="B235" s="384"/>
      <c r="C235" s="384"/>
      <c r="D235" s="384"/>
      <c r="E235" s="384"/>
      <c r="F235" s="384"/>
      <c r="G235" s="384"/>
      <c r="H235" s="384"/>
      <c r="I235" s="384"/>
      <c r="J235" s="384"/>
      <c r="K235" s="384"/>
      <c r="L235" s="384"/>
      <c r="M235" s="384"/>
      <c r="N235" s="384"/>
      <c r="O235" s="392"/>
      <c r="P235" s="387" t="s">
        <v>74</v>
      </c>
      <c r="Q235" s="388"/>
      <c r="R235" s="388"/>
      <c r="S235" s="388"/>
      <c r="T235" s="388"/>
      <c r="U235" s="388"/>
      <c r="V235" s="389"/>
      <c r="W235" s="38" t="s">
        <v>75</v>
      </c>
      <c r="X235" s="375">
        <f>IFERROR(X232/H232,"0")+IFERROR(X233/H233,"0")+IFERROR(X234/H234,"0")</f>
        <v>0</v>
      </c>
      <c r="Y235" s="375">
        <f>IFERROR(Y232/H232,"0")+IFERROR(Y233/H233,"0")+IFERROR(Y234/H234,"0")</f>
        <v>0</v>
      </c>
      <c r="Z235" s="375">
        <f>IFERROR(IF(Z232="",0,Z232),"0")+IFERROR(IF(Z233="",0,Z233),"0")+IFERROR(IF(Z234="",0,Z234),"0")</f>
        <v>0</v>
      </c>
      <c r="AA235" s="376"/>
      <c r="AB235" s="376"/>
      <c r="AC235" s="376"/>
    </row>
    <row r="236" spans="1:68" x14ac:dyDescent="0.2">
      <c r="A236" s="384"/>
      <c r="B236" s="384"/>
      <c r="C236" s="384"/>
      <c r="D236" s="384"/>
      <c r="E236" s="384"/>
      <c r="F236" s="384"/>
      <c r="G236" s="384"/>
      <c r="H236" s="384"/>
      <c r="I236" s="384"/>
      <c r="J236" s="384"/>
      <c r="K236" s="384"/>
      <c r="L236" s="384"/>
      <c r="M236" s="384"/>
      <c r="N236" s="384"/>
      <c r="O236" s="392"/>
      <c r="P236" s="387" t="s">
        <v>74</v>
      </c>
      <c r="Q236" s="388"/>
      <c r="R236" s="388"/>
      <c r="S236" s="388"/>
      <c r="T236" s="388"/>
      <c r="U236" s="388"/>
      <c r="V236" s="389"/>
      <c r="W236" s="38" t="s">
        <v>71</v>
      </c>
      <c r="X236" s="375">
        <f>IFERROR(SUM(X232:X234),"0")</f>
        <v>0</v>
      </c>
      <c r="Y236" s="375">
        <f>IFERROR(SUM(Y232:Y234),"0")</f>
        <v>0</v>
      </c>
      <c r="Z236" s="38"/>
      <c r="AA236" s="376"/>
      <c r="AB236" s="376"/>
      <c r="AC236" s="376"/>
    </row>
    <row r="237" spans="1:68" ht="16.5" customHeight="1" x14ac:dyDescent="0.25">
      <c r="A237" s="419" t="s">
        <v>380</v>
      </c>
      <c r="B237" s="384"/>
      <c r="C237" s="384"/>
      <c r="D237" s="384"/>
      <c r="E237" s="384"/>
      <c r="F237" s="384"/>
      <c r="G237" s="384"/>
      <c r="H237" s="384"/>
      <c r="I237" s="384"/>
      <c r="J237" s="384"/>
      <c r="K237" s="384"/>
      <c r="L237" s="384"/>
      <c r="M237" s="384"/>
      <c r="N237" s="384"/>
      <c r="O237" s="384"/>
      <c r="P237" s="384"/>
      <c r="Q237" s="384"/>
      <c r="R237" s="384"/>
      <c r="S237" s="384"/>
      <c r="T237" s="384"/>
      <c r="U237" s="384"/>
      <c r="V237" s="384"/>
      <c r="W237" s="384"/>
      <c r="X237" s="384"/>
      <c r="Y237" s="384"/>
      <c r="Z237" s="384"/>
      <c r="AA237" s="369"/>
      <c r="AB237" s="369"/>
      <c r="AC237" s="369"/>
    </row>
    <row r="238" spans="1:68" ht="14.25" customHeight="1" x14ac:dyDescent="0.25">
      <c r="A238" s="383" t="s">
        <v>131</v>
      </c>
      <c r="B238" s="384"/>
      <c r="C238" s="384"/>
      <c r="D238" s="384"/>
      <c r="E238" s="384"/>
      <c r="F238" s="384"/>
      <c r="G238" s="384"/>
      <c r="H238" s="384"/>
      <c r="I238" s="384"/>
      <c r="J238" s="384"/>
      <c r="K238" s="384"/>
      <c r="L238" s="384"/>
      <c r="M238" s="384"/>
      <c r="N238" s="384"/>
      <c r="O238" s="384"/>
      <c r="P238" s="384"/>
      <c r="Q238" s="384"/>
      <c r="R238" s="384"/>
      <c r="S238" s="384"/>
      <c r="T238" s="384"/>
      <c r="U238" s="384"/>
      <c r="V238" s="384"/>
      <c r="W238" s="384"/>
      <c r="X238" s="384"/>
      <c r="Y238" s="384"/>
      <c r="Z238" s="384"/>
      <c r="AA238" s="368"/>
      <c r="AB238" s="368"/>
      <c r="AC238" s="368"/>
    </row>
    <row r="239" spans="1:68" ht="27" customHeight="1" x14ac:dyDescent="0.25">
      <c r="A239" s="55" t="s">
        <v>381</v>
      </c>
      <c r="B239" s="55" t="s">
        <v>382</v>
      </c>
      <c r="C239" s="32">
        <v>4301051489</v>
      </c>
      <c r="D239" s="381">
        <v>4607091387919</v>
      </c>
      <c r="E239" s="382"/>
      <c r="F239" s="372">
        <v>1.35</v>
      </c>
      <c r="G239" s="33">
        <v>6</v>
      </c>
      <c r="H239" s="372">
        <v>8.1</v>
      </c>
      <c r="I239" s="372">
        <v>8.5939999999999994</v>
      </c>
      <c r="J239" s="33">
        <v>64</v>
      </c>
      <c r="K239" s="33" t="s">
        <v>81</v>
      </c>
      <c r="L239" s="33"/>
      <c r="M239" s="34" t="s">
        <v>105</v>
      </c>
      <c r="N239" s="34"/>
      <c r="O239" s="33">
        <v>45</v>
      </c>
      <c r="P239" s="4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239" s="378"/>
      <c r="R239" s="378"/>
      <c r="S239" s="378"/>
      <c r="T239" s="379"/>
      <c r="U239" s="35"/>
      <c r="V239" s="35"/>
      <c r="W239" s="36" t="s">
        <v>71</v>
      </c>
      <c r="X239" s="373">
        <v>0</v>
      </c>
      <c r="Y239" s="374">
        <f>IFERROR(IF(X239="",0,CEILING((X239/$H239),1)*$H239),"")</f>
        <v>0</v>
      </c>
      <c r="Z239" s="37" t="str">
        <f>IFERROR(IF(Y239=0,"",ROUNDUP(Y239/H239,0)*0.01898),"")</f>
        <v/>
      </c>
      <c r="AA239" s="57"/>
      <c r="AB239" s="58"/>
      <c r="AC239" s="280" t="s">
        <v>383</v>
      </c>
      <c r="AG239" s="65"/>
      <c r="AJ239" s="69"/>
      <c r="AK239" s="69">
        <v>0</v>
      </c>
      <c r="BB239" s="281" t="s">
        <v>1</v>
      </c>
      <c r="BM239" s="65">
        <f>IFERROR(X239*I239/H239,"0")</f>
        <v>0</v>
      </c>
      <c r="BN239" s="65">
        <f>IFERROR(Y239*I239/H239,"0")</f>
        <v>0</v>
      </c>
      <c r="BO239" s="65">
        <f>IFERROR(1/J239*(X239/H239),"0")</f>
        <v>0</v>
      </c>
      <c r="BP239" s="65">
        <f>IFERROR(1/J239*(Y239/H239),"0")</f>
        <v>0</v>
      </c>
    </row>
    <row r="240" spans="1:68" ht="27" customHeight="1" x14ac:dyDescent="0.25">
      <c r="A240" s="55" t="s">
        <v>384</v>
      </c>
      <c r="B240" s="55" t="s">
        <v>385</v>
      </c>
      <c r="C240" s="32">
        <v>4301051461</v>
      </c>
      <c r="D240" s="381">
        <v>4680115883604</v>
      </c>
      <c r="E240" s="382"/>
      <c r="F240" s="372">
        <v>0.35</v>
      </c>
      <c r="G240" s="33">
        <v>6</v>
      </c>
      <c r="H240" s="372">
        <v>2.1</v>
      </c>
      <c r="I240" s="372">
        <v>2.3519999999999999</v>
      </c>
      <c r="J240" s="33">
        <v>182</v>
      </c>
      <c r="K240" s="33" t="s">
        <v>69</v>
      </c>
      <c r="L240" s="33"/>
      <c r="M240" s="34" t="s">
        <v>87</v>
      </c>
      <c r="N240" s="34"/>
      <c r="O240" s="33">
        <v>45</v>
      </c>
      <c r="P240" s="44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240" s="378"/>
      <c r="R240" s="378"/>
      <c r="S240" s="378"/>
      <c r="T240" s="379"/>
      <c r="U240" s="35"/>
      <c r="V240" s="35"/>
      <c r="W240" s="36" t="s">
        <v>71</v>
      </c>
      <c r="X240" s="373">
        <v>35</v>
      </c>
      <c r="Y240" s="374">
        <f>IFERROR(IF(X240="",0,CEILING((X240/$H240),1)*$H240),"")</f>
        <v>35.700000000000003</v>
      </c>
      <c r="Z240" s="37">
        <f>IFERROR(IF(Y240=0,"",ROUNDUP(Y240/H240,0)*0.00651),"")</f>
        <v>0.11067</v>
      </c>
      <c r="AA240" s="57"/>
      <c r="AB240" s="58"/>
      <c r="AC240" s="282" t="s">
        <v>386</v>
      </c>
      <c r="AG240" s="65"/>
      <c r="AJ240" s="69"/>
      <c r="AK240" s="69">
        <v>0</v>
      </c>
      <c r="BB240" s="283" t="s">
        <v>1</v>
      </c>
      <c r="BM240" s="65">
        <f>IFERROR(X240*I240/H240,"0")</f>
        <v>39.199999999999996</v>
      </c>
      <c r="BN240" s="65">
        <f>IFERROR(Y240*I240/H240,"0")</f>
        <v>39.984000000000002</v>
      </c>
      <c r="BO240" s="65">
        <f>IFERROR(1/J240*(X240/H240),"0")</f>
        <v>9.1575091575091569E-2</v>
      </c>
      <c r="BP240" s="65">
        <f>IFERROR(1/J240*(Y240/H240),"0")</f>
        <v>9.3406593406593408E-2</v>
      </c>
    </row>
    <row r="241" spans="1:68" x14ac:dyDescent="0.2">
      <c r="A241" s="391"/>
      <c r="B241" s="384"/>
      <c r="C241" s="384"/>
      <c r="D241" s="384"/>
      <c r="E241" s="384"/>
      <c r="F241" s="384"/>
      <c r="G241" s="384"/>
      <c r="H241" s="384"/>
      <c r="I241" s="384"/>
      <c r="J241" s="384"/>
      <c r="K241" s="384"/>
      <c r="L241" s="384"/>
      <c r="M241" s="384"/>
      <c r="N241" s="384"/>
      <c r="O241" s="392"/>
      <c r="P241" s="387" t="s">
        <v>74</v>
      </c>
      <c r="Q241" s="388"/>
      <c r="R241" s="388"/>
      <c r="S241" s="388"/>
      <c r="T241" s="388"/>
      <c r="U241" s="388"/>
      <c r="V241" s="389"/>
      <c r="W241" s="38" t="s">
        <v>75</v>
      </c>
      <c r="X241" s="375">
        <f>IFERROR(X239/H239,"0")+IFERROR(X240/H240,"0")</f>
        <v>16.666666666666664</v>
      </c>
      <c r="Y241" s="375">
        <f>IFERROR(Y239/H239,"0")+IFERROR(Y240/H240,"0")</f>
        <v>17</v>
      </c>
      <c r="Z241" s="375">
        <f>IFERROR(IF(Z239="",0,Z239),"0")+IFERROR(IF(Z240="",0,Z240),"0")</f>
        <v>0.11067</v>
      </c>
      <c r="AA241" s="376"/>
      <c r="AB241" s="376"/>
      <c r="AC241" s="376"/>
    </row>
    <row r="242" spans="1:68" x14ac:dyDescent="0.2">
      <c r="A242" s="384"/>
      <c r="B242" s="384"/>
      <c r="C242" s="384"/>
      <c r="D242" s="384"/>
      <c r="E242" s="384"/>
      <c r="F242" s="384"/>
      <c r="G242" s="384"/>
      <c r="H242" s="384"/>
      <c r="I242" s="384"/>
      <c r="J242" s="384"/>
      <c r="K242" s="384"/>
      <c r="L242" s="384"/>
      <c r="M242" s="384"/>
      <c r="N242" s="384"/>
      <c r="O242" s="392"/>
      <c r="P242" s="387" t="s">
        <v>74</v>
      </c>
      <c r="Q242" s="388"/>
      <c r="R242" s="388"/>
      <c r="S242" s="388"/>
      <c r="T242" s="388"/>
      <c r="U242" s="388"/>
      <c r="V242" s="389"/>
      <c r="W242" s="38" t="s">
        <v>71</v>
      </c>
      <c r="X242" s="375">
        <f>IFERROR(SUM(X239:X240),"0")</f>
        <v>35</v>
      </c>
      <c r="Y242" s="375">
        <f>IFERROR(SUM(Y239:Y240),"0")</f>
        <v>35.700000000000003</v>
      </c>
      <c r="Z242" s="38"/>
      <c r="AA242" s="376"/>
      <c r="AB242" s="376"/>
      <c r="AC242" s="376"/>
    </row>
    <row r="243" spans="1:68" ht="27.75" customHeight="1" x14ac:dyDescent="0.2">
      <c r="A243" s="441" t="s">
        <v>387</v>
      </c>
      <c r="B243" s="442"/>
      <c r="C243" s="442"/>
      <c r="D243" s="442"/>
      <c r="E243" s="442"/>
      <c r="F243" s="442"/>
      <c r="G243" s="442"/>
      <c r="H243" s="442"/>
      <c r="I243" s="442"/>
      <c r="J243" s="442"/>
      <c r="K243" s="442"/>
      <c r="L243" s="442"/>
      <c r="M243" s="442"/>
      <c r="N243" s="442"/>
      <c r="O243" s="442"/>
      <c r="P243" s="442"/>
      <c r="Q243" s="442"/>
      <c r="R243" s="442"/>
      <c r="S243" s="442"/>
      <c r="T243" s="442"/>
      <c r="U243" s="442"/>
      <c r="V243" s="442"/>
      <c r="W243" s="442"/>
      <c r="X243" s="442"/>
      <c r="Y243" s="442"/>
      <c r="Z243" s="442"/>
      <c r="AA243" s="49"/>
      <c r="AB243" s="49"/>
      <c r="AC243" s="49"/>
    </row>
    <row r="244" spans="1:68" ht="16.5" customHeight="1" x14ac:dyDescent="0.25">
      <c r="A244" s="419" t="s">
        <v>388</v>
      </c>
      <c r="B244" s="384"/>
      <c r="C244" s="384"/>
      <c r="D244" s="384"/>
      <c r="E244" s="384"/>
      <c r="F244" s="384"/>
      <c r="G244" s="384"/>
      <c r="H244" s="384"/>
      <c r="I244" s="384"/>
      <c r="J244" s="384"/>
      <c r="K244" s="384"/>
      <c r="L244" s="384"/>
      <c r="M244" s="384"/>
      <c r="N244" s="384"/>
      <c r="O244" s="384"/>
      <c r="P244" s="384"/>
      <c r="Q244" s="384"/>
      <c r="R244" s="384"/>
      <c r="S244" s="384"/>
      <c r="T244" s="384"/>
      <c r="U244" s="384"/>
      <c r="V244" s="384"/>
      <c r="W244" s="384"/>
      <c r="X244" s="384"/>
      <c r="Y244" s="384"/>
      <c r="Z244" s="384"/>
      <c r="AA244" s="369"/>
      <c r="AB244" s="369"/>
      <c r="AC244" s="369"/>
    </row>
    <row r="245" spans="1:68" ht="14.25" customHeight="1" x14ac:dyDescent="0.25">
      <c r="A245" s="383" t="s">
        <v>78</v>
      </c>
      <c r="B245" s="384"/>
      <c r="C245" s="384"/>
      <c r="D245" s="384"/>
      <c r="E245" s="384"/>
      <c r="F245" s="384"/>
      <c r="G245" s="384"/>
      <c r="H245" s="384"/>
      <c r="I245" s="384"/>
      <c r="J245" s="384"/>
      <c r="K245" s="384"/>
      <c r="L245" s="384"/>
      <c r="M245" s="384"/>
      <c r="N245" s="384"/>
      <c r="O245" s="384"/>
      <c r="P245" s="384"/>
      <c r="Q245" s="384"/>
      <c r="R245" s="384"/>
      <c r="S245" s="384"/>
      <c r="T245" s="384"/>
      <c r="U245" s="384"/>
      <c r="V245" s="384"/>
      <c r="W245" s="384"/>
      <c r="X245" s="384"/>
      <c r="Y245" s="384"/>
      <c r="Z245" s="384"/>
      <c r="AA245" s="368"/>
      <c r="AB245" s="368"/>
      <c r="AC245" s="368"/>
    </row>
    <row r="246" spans="1:68" ht="37.5" customHeight="1" x14ac:dyDescent="0.25">
      <c r="A246" s="55" t="s">
        <v>389</v>
      </c>
      <c r="B246" s="55" t="s">
        <v>390</v>
      </c>
      <c r="C246" s="32">
        <v>4301011869</v>
      </c>
      <c r="D246" s="381">
        <v>4680115884847</v>
      </c>
      <c r="E246" s="382"/>
      <c r="F246" s="372">
        <v>2.5</v>
      </c>
      <c r="G246" s="33">
        <v>6</v>
      </c>
      <c r="H246" s="372">
        <v>15</v>
      </c>
      <c r="I246" s="372">
        <v>15.47</v>
      </c>
      <c r="J246" s="33">
        <v>48</v>
      </c>
      <c r="K246" s="33" t="s">
        <v>81</v>
      </c>
      <c r="L246" s="33"/>
      <c r="M246" s="34" t="s">
        <v>174</v>
      </c>
      <c r="N246" s="34"/>
      <c r="O246" s="33">
        <v>60</v>
      </c>
      <c r="P246" s="47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246" s="378"/>
      <c r="R246" s="378"/>
      <c r="S246" s="378"/>
      <c r="T246" s="379"/>
      <c r="U246" s="35"/>
      <c r="V246" s="35"/>
      <c r="W246" s="36" t="s">
        <v>71</v>
      </c>
      <c r="X246" s="373">
        <v>900</v>
      </c>
      <c r="Y246" s="374">
        <f t="shared" ref="Y246:Y252" si="25">IFERROR(IF(X246="",0,CEILING((X246/$H246),1)*$H246),"")</f>
        <v>900</v>
      </c>
      <c r="Z246" s="37">
        <f>IFERROR(IF(Y246=0,"",ROUNDUP(Y246/H246,0)*0.02175),"")</f>
        <v>1.3049999999999999</v>
      </c>
      <c r="AA246" s="57"/>
      <c r="AB246" s="58"/>
      <c r="AC246" s="284" t="s">
        <v>391</v>
      </c>
      <c r="AG246" s="65"/>
      <c r="AJ246" s="69"/>
      <c r="AK246" s="69">
        <v>0</v>
      </c>
      <c r="BB246" s="285" t="s">
        <v>1</v>
      </c>
      <c r="BM246" s="65">
        <f t="shared" ref="BM246:BM252" si="26">IFERROR(X246*I246/H246,"0")</f>
        <v>928.2</v>
      </c>
      <c r="BN246" s="65">
        <f t="shared" ref="BN246:BN252" si="27">IFERROR(Y246*I246/H246,"0")</f>
        <v>928.2</v>
      </c>
      <c r="BO246" s="65">
        <f t="shared" ref="BO246:BO252" si="28">IFERROR(1/J246*(X246/H246),"0")</f>
        <v>1.25</v>
      </c>
      <c r="BP246" s="65">
        <f t="shared" ref="BP246:BP252" si="29">IFERROR(1/J246*(Y246/H246),"0")</f>
        <v>1.25</v>
      </c>
    </row>
    <row r="247" spans="1:68" ht="27" customHeight="1" x14ac:dyDescent="0.25">
      <c r="A247" s="55" t="s">
        <v>392</v>
      </c>
      <c r="B247" s="55" t="s">
        <v>393</v>
      </c>
      <c r="C247" s="32">
        <v>4301011870</v>
      </c>
      <c r="D247" s="381">
        <v>4680115884854</v>
      </c>
      <c r="E247" s="382"/>
      <c r="F247" s="372">
        <v>2.5</v>
      </c>
      <c r="G247" s="33">
        <v>6</v>
      </c>
      <c r="H247" s="372">
        <v>15</v>
      </c>
      <c r="I247" s="372">
        <v>15.47</v>
      </c>
      <c r="J247" s="33">
        <v>48</v>
      </c>
      <c r="K247" s="33" t="s">
        <v>81</v>
      </c>
      <c r="L247" s="33"/>
      <c r="M247" s="34" t="s">
        <v>174</v>
      </c>
      <c r="N247" s="34"/>
      <c r="O247" s="33">
        <v>60</v>
      </c>
      <c r="P247" s="5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247" s="378"/>
      <c r="R247" s="378"/>
      <c r="S247" s="378"/>
      <c r="T247" s="379"/>
      <c r="U247" s="35"/>
      <c r="V247" s="35"/>
      <c r="W247" s="36" t="s">
        <v>71</v>
      </c>
      <c r="X247" s="373">
        <v>600</v>
      </c>
      <c r="Y247" s="374">
        <f t="shared" si="25"/>
        <v>600</v>
      </c>
      <c r="Z247" s="37">
        <f>IFERROR(IF(Y247=0,"",ROUNDUP(Y247/H247,0)*0.02175),"")</f>
        <v>0.86999999999999988</v>
      </c>
      <c r="AA247" s="57"/>
      <c r="AB247" s="58"/>
      <c r="AC247" s="286" t="s">
        <v>394</v>
      </c>
      <c r="AG247" s="65"/>
      <c r="AJ247" s="69"/>
      <c r="AK247" s="69">
        <v>0</v>
      </c>
      <c r="BB247" s="287" t="s">
        <v>1</v>
      </c>
      <c r="BM247" s="65">
        <f t="shared" si="26"/>
        <v>618.79999999999995</v>
      </c>
      <c r="BN247" s="65">
        <f t="shared" si="27"/>
        <v>618.79999999999995</v>
      </c>
      <c r="BO247" s="65">
        <f t="shared" si="28"/>
        <v>0.83333333333333326</v>
      </c>
      <c r="BP247" s="65">
        <f t="shared" si="29"/>
        <v>0.83333333333333326</v>
      </c>
    </row>
    <row r="248" spans="1:68" ht="37.5" customHeight="1" x14ac:dyDescent="0.25">
      <c r="A248" s="55" t="s">
        <v>395</v>
      </c>
      <c r="B248" s="55" t="s">
        <v>396</v>
      </c>
      <c r="C248" s="32">
        <v>4301011867</v>
      </c>
      <c r="D248" s="381">
        <v>4680115884830</v>
      </c>
      <c r="E248" s="382"/>
      <c r="F248" s="372">
        <v>2.5</v>
      </c>
      <c r="G248" s="33">
        <v>6</v>
      </c>
      <c r="H248" s="372">
        <v>15</v>
      </c>
      <c r="I248" s="372">
        <v>15.47</v>
      </c>
      <c r="J248" s="33">
        <v>48</v>
      </c>
      <c r="K248" s="33" t="s">
        <v>81</v>
      </c>
      <c r="L248" s="33"/>
      <c r="M248" s="34" t="s">
        <v>174</v>
      </c>
      <c r="N248" s="34"/>
      <c r="O248" s="33">
        <v>60</v>
      </c>
      <c r="P248" s="5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248" s="378"/>
      <c r="R248" s="378"/>
      <c r="S248" s="378"/>
      <c r="T248" s="379"/>
      <c r="U248" s="35"/>
      <c r="V248" s="35"/>
      <c r="W248" s="36" t="s">
        <v>71</v>
      </c>
      <c r="X248" s="373">
        <v>800</v>
      </c>
      <c r="Y248" s="374">
        <f t="shared" si="25"/>
        <v>810</v>
      </c>
      <c r="Z248" s="37">
        <f>IFERROR(IF(Y248=0,"",ROUNDUP(Y248/H248,0)*0.02175),"")</f>
        <v>1.1744999999999999</v>
      </c>
      <c r="AA248" s="57"/>
      <c r="AB248" s="58"/>
      <c r="AC248" s="288" t="s">
        <v>397</v>
      </c>
      <c r="AG248" s="65"/>
      <c r="AJ248" s="69"/>
      <c r="AK248" s="69">
        <v>0</v>
      </c>
      <c r="BB248" s="289" t="s">
        <v>1</v>
      </c>
      <c r="BM248" s="65">
        <f t="shared" si="26"/>
        <v>825.06666666666672</v>
      </c>
      <c r="BN248" s="65">
        <f t="shared" si="27"/>
        <v>835.38</v>
      </c>
      <c r="BO248" s="65">
        <f t="shared" si="28"/>
        <v>1.1111111111111112</v>
      </c>
      <c r="BP248" s="65">
        <f t="shared" si="29"/>
        <v>1.125</v>
      </c>
    </row>
    <row r="249" spans="1:68" ht="27" customHeight="1" x14ac:dyDescent="0.25">
      <c r="A249" s="55" t="s">
        <v>398</v>
      </c>
      <c r="B249" s="55" t="s">
        <v>399</v>
      </c>
      <c r="C249" s="32">
        <v>4301012215</v>
      </c>
      <c r="D249" s="381">
        <v>4680115887046</v>
      </c>
      <c r="E249" s="382"/>
      <c r="F249" s="372">
        <v>2.5</v>
      </c>
      <c r="G249" s="33">
        <v>6</v>
      </c>
      <c r="H249" s="372">
        <v>15</v>
      </c>
      <c r="I249" s="372">
        <v>15.47</v>
      </c>
      <c r="J249" s="33">
        <v>48</v>
      </c>
      <c r="K249" s="33" t="s">
        <v>81</v>
      </c>
      <c r="L249" s="33"/>
      <c r="M249" s="34" t="s">
        <v>105</v>
      </c>
      <c r="N249" s="34"/>
      <c r="O249" s="33">
        <v>60</v>
      </c>
      <c r="P249" s="39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249" s="378"/>
      <c r="R249" s="378"/>
      <c r="S249" s="378"/>
      <c r="T249" s="379"/>
      <c r="U249" s="35"/>
      <c r="V249" s="35"/>
      <c r="W249" s="36" t="s">
        <v>71</v>
      </c>
      <c r="X249" s="373">
        <v>0</v>
      </c>
      <c r="Y249" s="374">
        <f t="shared" si="25"/>
        <v>0</v>
      </c>
      <c r="Z249" s="37" t="str">
        <f>IFERROR(IF(Y249=0,"",ROUNDUP(Y249/H249,0)*0.02175),"")</f>
        <v/>
      </c>
      <c r="AA249" s="57"/>
      <c r="AB249" s="58"/>
      <c r="AC249" s="290" t="s">
        <v>400</v>
      </c>
      <c r="AG249" s="65"/>
      <c r="AJ249" s="69"/>
      <c r="AK249" s="69">
        <v>0</v>
      </c>
      <c r="BB249" s="291" t="s">
        <v>1</v>
      </c>
      <c r="BM249" s="65">
        <f t="shared" si="26"/>
        <v>0</v>
      </c>
      <c r="BN249" s="65">
        <f t="shared" si="27"/>
        <v>0</v>
      </c>
      <c r="BO249" s="65">
        <f t="shared" si="28"/>
        <v>0</v>
      </c>
      <c r="BP249" s="65">
        <f t="shared" si="29"/>
        <v>0</v>
      </c>
    </row>
    <row r="250" spans="1:68" ht="27" customHeight="1" x14ac:dyDescent="0.25">
      <c r="A250" s="55" t="s">
        <v>401</v>
      </c>
      <c r="B250" s="55" t="s">
        <v>402</v>
      </c>
      <c r="C250" s="32">
        <v>4301011433</v>
      </c>
      <c r="D250" s="381">
        <v>4680115882638</v>
      </c>
      <c r="E250" s="382"/>
      <c r="F250" s="372">
        <v>0.4</v>
      </c>
      <c r="G250" s="33">
        <v>10</v>
      </c>
      <c r="H250" s="372">
        <v>4</v>
      </c>
      <c r="I250" s="372">
        <v>4.1900000000000004</v>
      </c>
      <c r="J250" s="33">
        <v>132</v>
      </c>
      <c r="K250" s="33" t="s">
        <v>86</v>
      </c>
      <c r="L250" s="33"/>
      <c r="M250" s="34" t="s">
        <v>82</v>
      </c>
      <c r="N250" s="34"/>
      <c r="O250" s="33">
        <v>90</v>
      </c>
      <c r="P250" s="46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250" s="378"/>
      <c r="R250" s="378"/>
      <c r="S250" s="378"/>
      <c r="T250" s="379"/>
      <c r="U250" s="35"/>
      <c r="V250" s="35"/>
      <c r="W250" s="36" t="s">
        <v>71</v>
      </c>
      <c r="X250" s="373">
        <v>0</v>
      </c>
      <c r="Y250" s="374">
        <f t="shared" si="25"/>
        <v>0</v>
      </c>
      <c r="Z250" s="37" t="str">
        <f>IFERROR(IF(Y250=0,"",ROUNDUP(Y250/H250,0)*0.00902),"")</f>
        <v/>
      </c>
      <c r="AA250" s="57"/>
      <c r="AB250" s="58"/>
      <c r="AC250" s="292" t="s">
        <v>403</v>
      </c>
      <c r="AG250" s="65"/>
      <c r="AJ250" s="69"/>
      <c r="AK250" s="69">
        <v>0</v>
      </c>
      <c r="BB250" s="293" t="s">
        <v>1</v>
      </c>
      <c r="BM250" s="65">
        <f t="shared" si="26"/>
        <v>0</v>
      </c>
      <c r="BN250" s="65">
        <f t="shared" si="27"/>
        <v>0</v>
      </c>
      <c r="BO250" s="65">
        <f t="shared" si="28"/>
        <v>0</v>
      </c>
      <c r="BP250" s="65">
        <f t="shared" si="29"/>
        <v>0</v>
      </c>
    </row>
    <row r="251" spans="1:68" ht="27" customHeight="1" x14ac:dyDescent="0.25">
      <c r="A251" s="55" t="s">
        <v>404</v>
      </c>
      <c r="B251" s="55" t="s">
        <v>405</v>
      </c>
      <c r="C251" s="32">
        <v>4301011952</v>
      </c>
      <c r="D251" s="381">
        <v>4680115884922</v>
      </c>
      <c r="E251" s="382"/>
      <c r="F251" s="372">
        <v>0.5</v>
      </c>
      <c r="G251" s="33">
        <v>10</v>
      </c>
      <c r="H251" s="372">
        <v>5</v>
      </c>
      <c r="I251" s="372">
        <v>5.19</v>
      </c>
      <c r="J251" s="33">
        <v>132</v>
      </c>
      <c r="K251" s="33" t="s">
        <v>86</v>
      </c>
      <c r="L251" s="33"/>
      <c r="M251" s="34" t="s">
        <v>174</v>
      </c>
      <c r="N251" s="34"/>
      <c r="O251" s="33">
        <v>60</v>
      </c>
      <c r="P251" s="5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251" s="378"/>
      <c r="R251" s="378"/>
      <c r="S251" s="378"/>
      <c r="T251" s="379"/>
      <c r="U251" s="35"/>
      <c r="V251" s="35"/>
      <c r="W251" s="36" t="s">
        <v>71</v>
      </c>
      <c r="X251" s="373">
        <v>0</v>
      </c>
      <c r="Y251" s="374">
        <f t="shared" si="25"/>
        <v>0</v>
      </c>
      <c r="Z251" s="37" t="str">
        <f>IFERROR(IF(Y251=0,"",ROUNDUP(Y251/H251,0)*0.00902),"")</f>
        <v/>
      </c>
      <c r="AA251" s="57"/>
      <c r="AB251" s="58"/>
      <c r="AC251" s="294" t="s">
        <v>394</v>
      </c>
      <c r="AG251" s="65"/>
      <c r="AJ251" s="69"/>
      <c r="AK251" s="69">
        <v>0</v>
      </c>
      <c r="BB251" s="295" t="s">
        <v>1</v>
      </c>
      <c r="BM251" s="65">
        <f t="shared" si="26"/>
        <v>0</v>
      </c>
      <c r="BN251" s="65">
        <f t="shared" si="27"/>
        <v>0</v>
      </c>
      <c r="BO251" s="65">
        <f t="shared" si="28"/>
        <v>0</v>
      </c>
      <c r="BP251" s="65">
        <f t="shared" si="29"/>
        <v>0</v>
      </c>
    </row>
    <row r="252" spans="1:68" ht="37.5" customHeight="1" x14ac:dyDescent="0.25">
      <c r="A252" s="55" t="s">
        <v>406</v>
      </c>
      <c r="B252" s="55" t="s">
        <v>407</v>
      </c>
      <c r="C252" s="32">
        <v>4301011868</v>
      </c>
      <c r="D252" s="381">
        <v>4680115884861</v>
      </c>
      <c r="E252" s="382"/>
      <c r="F252" s="372">
        <v>0.5</v>
      </c>
      <c r="G252" s="33">
        <v>10</v>
      </c>
      <c r="H252" s="372">
        <v>5</v>
      </c>
      <c r="I252" s="372">
        <v>5.19</v>
      </c>
      <c r="J252" s="33">
        <v>132</v>
      </c>
      <c r="K252" s="33" t="s">
        <v>86</v>
      </c>
      <c r="L252" s="33"/>
      <c r="M252" s="34" t="s">
        <v>174</v>
      </c>
      <c r="N252" s="34"/>
      <c r="O252" s="33">
        <v>60</v>
      </c>
      <c r="P252" s="4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252" s="378"/>
      <c r="R252" s="378"/>
      <c r="S252" s="378"/>
      <c r="T252" s="379"/>
      <c r="U252" s="35"/>
      <c r="V252" s="35"/>
      <c r="W252" s="36" t="s">
        <v>71</v>
      </c>
      <c r="X252" s="373">
        <v>75</v>
      </c>
      <c r="Y252" s="374">
        <f t="shared" si="25"/>
        <v>75</v>
      </c>
      <c r="Z252" s="37">
        <f>IFERROR(IF(Y252=0,"",ROUNDUP(Y252/H252,0)*0.00902),"")</f>
        <v>0.1353</v>
      </c>
      <c r="AA252" s="57"/>
      <c r="AB252" s="58"/>
      <c r="AC252" s="296" t="s">
        <v>397</v>
      </c>
      <c r="AG252" s="65"/>
      <c r="AJ252" s="69"/>
      <c r="AK252" s="69">
        <v>0</v>
      </c>
      <c r="BB252" s="297" t="s">
        <v>1</v>
      </c>
      <c r="BM252" s="65">
        <f t="shared" si="26"/>
        <v>77.850000000000009</v>
      </c>
      <c r="BN252" s="65">
        <f t="shared" si="27"/>
        <v>77.850000000000009</v>
      </c>
      <c r="BO252" s="65">
        <f t="shared" si="28"/>
        <v>0.11363636363636365</v>
      </c>
      <c r="BP252" s="65">
        <f t="shared" si="29"/>
        <v>0.11363636363636365</v>
      </c>
    </row>
    <row r="253" spans="1:68" x14ac:dyDescent="0.2">
      <c r="A253" s="391"/>
      <c r="B253" s="384"/>
      <c r="C253" s="384"/>
      <c r="D253" s="384"/>
      <c r="E253" s="384"/>
      <c r="F253" s="384"/>
      <c r="G253" s="384"/>
      <c r="H253" s="384"/>
      <c r="I253" s="384"/>
      <c r="J253" s="384"/>
      <c r="K253" s="384"/>
      <c r="L253" s="384"/>
      <c r="M253" s="384"/>
      <c r="N253" s="384"/>
      <c r="O253" s="392"/>
      <c r="P253" s="387" t="s">
        <v>74</v>
      </c>
      <c r="Q253" s="388"/>
      <c r="R253" s="388"/>
      <c r="S253" s="388"/>
      <c r="T253" s="388"/>
      <c r="U253" s="388"/>
      <c r="V253" s="389"/>
      <c r="W253" s="38" t="s">
        <v>75</v>
      </c>
      <c r="X253" s="375">
        <f>IFERROR(X246/H246,"0")+IFERROR(X247/H247,"0")+IFERROR(X248/H248,"0")+IFERROR(X249/H249,"0")+IFERROR(X250/H250,"0")+IFERROR(X251/H251,"0")+IFERROR(X252/H252,"0")</f>
        <v>168.33333333333334</v>
      </c>
      <c r="Y253" s="375">
        <f>IFERROR(Y246/H246,"0")+IFERROR(Y247/H247,"0")+IFERROR(Y248/H248,"0")+IFERROR(Y249/H249,"0")+IFERROR(Y250/H250,"0")+IFERROR(Y251/H251,"0")+IFERROR(Y252/H252,"0")</f>
        <v>169</v>
      </c>
      <c r="Z253" s="375">
        <f>IFERROR(IF(Z246="",0,Z246),"0")+IFERROR(IF(Z247="",0,Z247),"0")+IFERROR(IF(Z248="",0,Z248),"0")+IFERROR(IF(Z249="",0,Z249),"0")+IFERROR(IF(Z250="",0,Z250),"0")+IFERROR(IF(Z251="",0,Z251),"0")+IFERROR(IF(Z252="",0,Z252),"0")</f>
        <v>3.4847999999999999</v>
      </c>
      <c r="AA253" s="376"/>
      <c r="AB253" s="376"/>
      <c r="AC253" s="376"/>
    </row>
    <row r="254" spans="1:68" x14ac:dyDescent="0.2">
      <c r="A254" s="384"/>
      <c r="B254" s="384"/>
      <c r="C254" s="384"/>
      <c r="D254" s="384"/>
      <c r="E254" s="384"/>
      <c r="F254" s="384"/>
      <c r="G254" s="384"/>
      <c r="H254" s="384"/>
      <c r="I254" s="384"/>
      <c r="J254" s="384"/>
      <c r="K254" s="384"/>
      <c r="L254" s="384"/>
      <c r="M254" s="384"/>
      <c r="N254" s="384"/>
      <c r="O254" s="392"/>
      <c r="P254" s="387" t="s">
        <v>74</v>
      </c>
      <c r="Q254" s="388"/>
      <c r="R254" s="388"/>
      <c r="S254" s="388"/>
      <c r="T254" s="388"/>
      <c r="U254" s="388"/>
      <c r="V254" s="389"/>
      <c r="W254" s="38" t="s">
        <v>71</v>
      </c>
      <c r="X254" s="375">
        <f>IFERROR(SUM(X246:X252),"0")</f>
        <v>2375</v>
      </c>
      <c r="Y254" s="375">
        <f>IFERROR(SUM(Y246:Y252),"0")</f>
        <v>2385</v>
      </c>
      <c r="Z254" s="38"/>
      <c r="AA254" s="376"/>
      <c r="AB254" s="376"/>
      <c r="AC254" s="376"/>
    </row>
    <row r="255" spans="1:68" ht="14.25" customHeight="1" x14ac:dyDescent="0.25">
      <c r="A255" s="383" t="s">
        <v>110</v>
      </c>
      <c r="B255" s="384"/>
      <c r="C255" s="384"/>
      <c r="D255" s="384"/>
      <c r="E255" s="384"/>
      <c r="F255" s="384"/>
      <c r="G255" s="384"/>
      <c r="H255" s="384"/>
      <c r="I255" s="384"/>
      <c r="J255" s="384"/>
      <c r="K255" s="384"/>
      <c r="L255" s="384"/>
      <c r="M255" s="384"/>
      <c r="N255" s="384"/>
      <c r="O255" s="384"/>
      <c r="P255" s="384"/>
      <c r="Q255" s="384"/>
      <c r="R255" s="384"/>
      <c r="S255" s="384"/>
      <c r="T255" s="384"/>
      <c r="U255" s="384"/>
      <c r="V255" s="384"/>
      <c r="W255" s="384"/>
      <c r="X255" s="384"/>
      <c r="Y255" s="384"/>
      <c r="Z255" s="384"/>
      <c r="AA255" s="368"/>
      <c r="AB255" s="368"/>
      <c r="AC255" s="368"/>
    </row>
    <row r="256" spans="1:68" ht="27" customHeight="1" x14ac:dyDescent="0.25">
      <c r="A256" s="55" t="s">
        <v>408</v>
      </c>
      <c r="B256" s="55" t="s">
        <v>409</v>
      </c>
      <c r="C256" s="32">
        <v>4301020178</v>
      </c>
      <c r="D256" s="381">
        <v>4607091383980</v>
      </c>
      <c r="E256" s="382"/>
      <c r="F256" s="372">
        <v>2.5</v>
      </c>
      <c r="G256" s="33">
        <v>6</v>
      </c>
      <c r="H256" s="372">
        <v>15</v>
      </c>
      <c r="I256" s="372">
        <v>15.47</v>
      </c>
      <c r="J256" s="33">
        <v>48</v>
      </c>
      <c r="K256" s="33" t="s">
        <v>81</v>
      </c>
      <c r="L256" s="33"/>
      <c r="M256" s="34" t="s">
        <v>82</v>
      </c>
      <c r="N256" s="34"/>
      <c r="O256" s="33">
        <v>50</v>
      </c>
      <c r="P256" s="54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256" s="378"/>
      <c r="R256" s="378"/>
      <c r="S256" s="378"/>
      <c r="T256" s="379"/>
      <c r="U256" s="35"/>
      <c r="V256" s="35"/>
      <c r="W256" s="36" t="s">
        <v>71</v>
      </c>
      <c r="X256" s="373">
        <v>300</v>
      </c>
      <c r="Y256" s="374">
        <f>IFERROR(IF(X256="",0,CEILING((X256/$H256),1)*$H256),"")</f>
        <v>300</v>
      </c>
      <c r="Z256" s="37">
        <f>IFERROR(IF(Y256=0,"",ROUNDUP(Y256/H256,0)*0.02175),"")</f>
        <v>0.43499999999999994</v>
      </c>
      <c r="AA256" s="57"/>
      <c r="AB256" s="58"/>
      <c r="AC256" s="298" t="s">
        <v>410</v>
      </c>
      <c r="AG256" s="65"/>
      <c r="AJ256" s="69"/>
      <c r="AK256" s="69">
        <v>0</v>
      </c>
      <c r="BB256" s="299" t="s">
        <v>1</v>
      </c>
      <c r="BM256" s="65">
        <f>IFERROR(X256*I256/H256,"0")</f>
        <v>309.39999999999998</v>
      </c>
      <c r="BN256" s="65">
        <f>IFERROR(Y256*I256/H256,"0")</f>
        <v>309.39999999999998</v>
      </c>
      <c r="BO256" s="65">
        <f>IFERROR(1/J256*(X256/H256),"0")</f>
        <v>0.41666666666666663</v>
      </c>
      <c r="BP256" s="65">
        <f>IFERROR(1/J256*(Y256/H256),"0")</f>
        <v>0.41666666666666663</v>
      </c>
    </row>
    <row r="257" spans="1:68" ht="27" customHeight="1" x14ac:dyDescent="0.25">
      <c r="A257" s="55" t="s">
        <v>411</v>
      </c>
      <c r="B257" s="55" t="s">
        <v>412</v>
      </c>
      <c r="C257" s="32">
        <v>4301020179</v>
      </c>
      <c r="D257" s="381">
        <v>4607091384178</v>
      </c>
      <c r="E257" s="382"/>
      <c r="F257" s="372">
        <v>0.4</v>
      </c>
      <c r="G257" s="33">
        <v>10</v>
      </c>
      <c r="H257" s="372">
        <v>4</v>
      </c>
      <c r="I257" s="372">
        <v>4.1900000000000004</v>
      </c>
      <c r="J257" s="33">
        <v>132</v>
      </c>
      <c r="K257" s="33" t="s">
        <v>86</v>
      </c>
      <c r="L257" s="33"/>
      <c r="M257" s="34" t="s">
        <v>82</v>
      </c>
      <c r="N257" s="34"/>
      <c r="O257" s="33">
        <v>50</v>
      </c>
      <c r="P257" s="5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257" s="378"/>
      <c r="R257" s="378"/>
      <c r="S257" s="378"/>
      <c r="T257" s="379"/>
      <c r="U257" s="35"/>
      <c r="V257" s="35"/>
      <c r="W257" s="36" t="s">
        <v>71</v>
      </c>
      <c r="X257" s="373">
        <v>40</v>
      </c>
      <c r="Y257" s="374">
        <f>IFERROR(IF(X257="",0,CEILING((X257/$H257),1)*$H257),"")</f>
        <v>40</v>
      </c>
      <c r="Z257" s="37">
        <f>IFERROR(IF(Y257=0,"",ROUNDUP(Y257/H257,0)*0.00902),"")</f>
        <v>9.0200000000000002E-2</v>
      </c>
      <c r="AA257" s="57"/>
      <c r="AB257" s="58"/>
      <c r="AC257" s="300" t="s">
        <v>413</v>
      </c>
      <c r="AG257" s="65"/>
      <c r="AJ257" s="69"/>
      <c r="AK257" s="69">
        <v>0</v>
      </c>
      <c r="BB257" s="301" t="s">
        <v>1</v>
      </c>
      <c r="BM257" s="65">
        <f>IFERROR(X257*I257/H257,"0")</f>
        <v>41.900000000000006</v>
      </c>
      <c r="BN257" s="65">
        <f>IFERROR(Y257*I257/H257,"0")</f>
        <v>41.900000000000006</v>
      </c>
      <c r="BO257" s="65">
        <f>IFERROR(1/J257*(X257/H257),"0")</f>
        <v>7.575757575757576E-2</v>
      </c>
      <c r="BP257" s="65">
        <f>IFERROR(1/J257*(Y257/H257),"0")</f>
        <v>7.575757575757576E-2</v>
      </c>
    </row>
    <row r="258" spans="1:68" x14ac:dyDescent="0.2">
      <c r="A258" s="391"/>
      <c r="B258" s="384"/>
      <c r="C258" s="384"/>
      <c r="D258" s="384"/>
      <c r="E258" s="384"/>
      <c r="F258" s="384"/>
      <c r="G258" s="384"/>
      <c r="H258" s="384"/>
      <c r="I258" s="384"/>
      <c r="J258" s="384"/>
      <c r="K258" s="384"/>
      <c r="L258" s="384"/>
      <c r="M258" s="384"/>
      <c r="N258" s="384"/>
      <c r="O258" s="392"/>
      <c r="P258" s="387" t="s">
        <v>74</v>
      </c>
      <c r="Q258" s="388"/>
      <c r="R258" s="388"/>
      <c r="S258" s="388"/>
      <c r="T258" s="388"/>
      <c r="U258" s="388"/>
      <c r="V258" s="389"/>
      <c r="W258" s="38" t="s">
        <v>75</v>
      </c>
      <c r="X258" s="375">
        <f>IFERROR(X256/H256,"0")+IFERROR(X257/H257,"0")</f>
        <v>30</v>
      </c>
      <c r="Y258" s="375">
        <f>IFERROR(Y256/H256,"0")+IFERROR(Y257/H257,"0")</f>
        <v>30</v>
      </c>
      <c r="Z258" s="375">
        <f>IFERROR(IF(Z256="",0,Z256),"0")+IFERROR(IF(Z257="",0,Z257),"0")</f>
        <v>0.52519999999999989</v>
      </c>
      <c r="AA258" s="376"/>
      <c r="AB258" s="376"/>
      <c r="AC258" s="376"/>
    </row>
    <row r="259" spans="1:68" x14ac:dyDescent="0.2">
      <c r="A259" s="384"/>
      <c r="B259" s="384"/>
      <c r="C259" s="384"/>
      <c r="D259" s="384"/>
      <c r="E259" s="384"/>
      <c r="F259" s="384"/>
      <c r="G259" s="384"/>
      <c r="H259" s="384"/>
      <c r="I259" s="384"/>
      <c r="J259" s="384"/>
      <c r="K259" s="384"/>
      <c r="L259" s="384"/>
      <c r="M259" s="384"/>
      <c r="N259" s="384"/>
      <c r="O259" s="392"/>
      <c r="P259" s="387" t="s">
        <v>74</v>
      </c>
      <c r="Q259" s="388"/>
      <c r="R259" s="388"/>
      <c r="S259" s="388"/>
      <c r="T259" s="388"/>
      <c r="U259" s="388"/>
      <c r="V259" s="389"/>
      <c r="W259" s="38" t="s">
        <v>71</v>
      </c>
      <c r="X259" s="375">
        <f>IFERROR(SUM(X256:X257),"0")</f>
        <v>340</v>
      </c>
      <c r="Y259" s="375">
        <f>IFERROR(SUM(Y256:Y257),"0")</f>
        <v>340</v>
      </c>
      <c r="Z259" s="38"/>
      <c r="AA259" s="376"/>
      <c r="AB259" s="376"/>
      <c r="AC259" s="376"/>
    </row>
    <row r="260" spans="1:68" ht="14.25" customHeight="1" x14ac:dyDescent="0.25">
      <c r="A260" s="383" t="s">
        <v>131</v>
      </c>
      <c r="B260" s="384"/>
      <c r="C260" s="384"/>
      <c r="D260" s="384"/>
      <c r="E260" s="384"/>
      <c r="F260" s="384"/>
      <c r="G260" s="384"/>
      <c r="H260" s="384"/>
      <c r="I260" s="384"/>
      <c r="J260" s="384"/>
      <c r="K260" s="384"/>
      <c r="L260" s="384"/>
      <c r="M260" s="384"/>
      <c r="N260" s="384"/>
      <c r="O260" s="384"/>
      <c r="P260" s="384"/>
      <c r="Q260" s="384"/>
      <c r="R260" s="384"/>
      <c r="S260" s="384"/>
      <c r="T260" s="384"/>
      <c r="U260" s="384"/>
      <c r="V260" s="384"/>
      <c r="W260" s="384"/>
      <c r="X260" s="384"/>
      <c r="Y260" s="384"/>
      <c r="Z260" s="384"/>
      <c r="AA260" s="368"/>
      <c r="AB260" s="368"/>
      <c r="AC260" s="368"/>
    </row>
    <row r="261" spans="1:68" ht="27" customHeight="1" x14ac:dyDescent="0.25">
      <c r="A261" s="55" t="s">
        <v>414</v>
      </c>
      <c r="B261" s="55" t="s">
        <v>415</v>
      </c>
      <c r="C261" s="32">
        <v>4301051903</v>
      </c>
      <c r="D261" s="381">
        <v>4607091383928</v>
      </c>
      <c r="E261" s="382"/>
      <c r="F261" s="372">
        <v>1.5</v>
      </c>
      <c r="G261" s="33">
        <v>6</v>
      </c>
      <c r="H261" s="372">
        <v>9</v>
      </c>
      <c r="I261" s="372">
        <v>9.5</v>
      </c>
      <c r="J261" s="33">
        <v>64</v>
      </c>
      <c r="K261" s="33" t="s">
        <v>81</v>
      </c>
      <c r="L261" s="33"/>
      <c r="M261" s="34" t="s">
        <v>87</v>
      </c>
      <c r="N261" s="34"/>
      <c r="O261" s="33">
        <v>40</v>
      </c>
      <c r="P261" s="5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261" s="378"/>
      <c r="R261" s="378"/>
      <c r="S261" s="378"/>
      <c r="T261" s="379"/>
      <c r="U261" s="35"/>
      <c r="V261" s="35"/>
      <c r="W261" s="36" t="s">
        <v>71</v>
      </c>
      <c r="X261" s="373">
        <v>0</v>
      </c>
      <c r="Y261" s="374">
        <f>IFERROR(IF(X261="",0,CEILING((X261/$H261),1)*$H261),"")</f>
        <v>0</v>
      </c>
      <c r="Z261" s="37" t="str">
        <f>IFERROR(IF(Y261=0,"",ROUNDUP(Y261/H261,0)*0.01898),"")</f>
        <v/>
      </c>
      <c r="AA261" s="57"/>
      <c r="AB261" s="58"/>
      <c r="AC261" s="302" t="s">
        <v>416</v>
      </c>
      <c r="AG261" s="65"/>
      <c r="AJ261" s="69"/>
      <c r="AK261" s="69">
        <v>0</v>
      </c>
      <c r="BB261" s="303" t="s">
        <v>1</v>
      </c>
      <c r="BM261" s="65">
        <f>IFERROR(X261*I261/H261,"0")</f>
        <v>0</v>
      </c>
      <c r="BN261" s="65">
        <f>IFERROR(Y261*I261/H261,"0")</f>
        <v>0</v>
      </c>
      <c r="BO261" s="65">
        <f>IFERROR(1/J261*(X261/H261),"0")</f>
        <v>0</v>
      </c>
      <c r="BP261" s="65">
        <f>IFERROR(1/J261*(Y261/H261),"0")</f>
        <v>0</v>
      </c>
    </row>
    <row r="262" spans="1:68" ht="27" customHeight="1" x14ac:dyDescent="0.25">
      <c r="A262" s="55" t="s">
        <v>417</v>
      </c>
      <c r="B262" s="55" t="s">
        <v>418</v>
      </c>
      <c r="C262" s="32">
        <v>4301051897</v>
      </c>
      <c r="D262" s="381">
        <v>4607091384260</v>
      </c>
      <c r="E262" s="382"/>
      <c r="F262" s="372">
        <v>1.5</v>
      </c>
      <c r="G262" s="33">
        <v>6</v>
      </c>
      <c r="H262" s="372">
        <v>9</v>
      </c>
      <c r="I262" s="372">
        <v>9.4939999999999998</v>
      </c>
      <c r="J262" s="33">
        <v>64</v>
      </c>
      <c r="K262" s="33" t="s">
        <v>81</v>
      </c>
      <c r="L262" s="33"/>
      <c r="M262" s="34" t="s">
        <v>87</v>
      </c>
      <c r="N262" s="34"/>
      <c r="O262" s="33">
        <v>40</v>
      </c>
      <c r="P262" s="5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262" s="378"/>
      <c r="R262" s="378"/>
      <c r="S262" s="378"/>
      <c r="T262" s="379"/>
      <c r="U262" s="35"/>
      <c r="V262" s="35"/>
      <c r="W262" s="36" t="s">
        <v>71</v>
      </c>
      <c r="X262" s="373">
        <v>0</v>
      </c>
      <c r="Y262" s="374">
        <f>IFERROR(IF(X262="",0,CEILING((X262/$H262),1)*$H262),"")</f>
        <v>0</v>
      </c>
      <c r="Z262" s="37" t="str">
        <f>IFERROR(IF(Y262=0,"",ROUNDUP(Y262/H262,0)*0.01898),"")</f>
        <v/>
      </c>
      <c r="AA262" s="57"/>
      <c r="AB262" s="58"/>
      <c r="AC262" s="304" t="s">
        <v>419</v>
      </c>
      <c r="AG262" s="65"/>
      <c r="AJ262" s="69"/>
      <c r="AK262" s="69">
        <v>0</v>
      </c>
      <c r="BB262" s="305" t="s">
        <v>1</v>
      </c>
      <c r="BM262" s="65">
        <f>IFERROR(X262*I262/H262,"0")</f>
        <v>0</v>
      </c>
      <c r="BN262" s="65">
        <f>IFERROR(Y262*I262/H262,"0")</f>
        <v>0</v>
      </c>
      <c r="BO262" s="65">
        <f>IFERROR(1/J262*(X262/H262),"0")</f>
        <v>0</v>
      </c>
      <c r="BP262" s="65">
        <f>IFERROR(1/J262*(Y262/H262),"0")</f>
        <v>0</v>
      </c>
    </row>
    <row r="263" spans="1:68" x14ac:dyDescent="0.2">
      <c r="A263" s="391"/>
      <c r="B263" s="384"/>
      <c r="C263" s="384"/>
      <c r="D263" s="384"/>
      <c r="E263" s="384"/>
      <c r="F263" s="384"/>
      <c r="G263" s="384"/>
      <c r="H263" s="384"/>
      <c r="I263" s="384"/>
      <c r="J263" s="384"/>
      <c r="K263" s="384"/>
      <c r="L263" s="384"/>
      <c r="M263" s="384"/>
      <c r="N263" s="384"/>
      <c r="O263" s="392"/>
      <c r="P263" s="387" t="s">
        <v>74</v>
      </c>
      <c r="Q263" s="388"/>
      <c r="R263" s="388"/>
      <c r="S263" s="388"/>
      <c r="T263" s="388"/>
      <c r="U263" s="388"/>
      <c r="V263" s="389"/>
      <c r="W263" s="38" t="s">
        <v>75</v>
      </c>
      <c r="X263" s="375">
        <f>IFERROR(X261/H261,"0")+IFERROR(X262/H262,"0")</f>
        <v>0</v>
      </c>
      <c r="Y263" s="375">
        <f>IFERROR(Y261/H261,"0")+IFERROR(Y262/H262,"0")</f>
        <v>0</v>
      </c>
      <c r="Z263" s="375">
        <f>IFERROR(IF(Z261="",0,Z261),"0")+IFERROR(IF(Z262="",0,Z262),"0")</f>
        <v>0</v>
      </c>
      <c r="AA263" s="376"/>
      <c r="AB263" s="376"/>
      <c r="AC263" s="376"/>
    </row>
    <row r="264" spans="1:68" x14ac:dyDescent="0.2">
      <c r="A264" s="384"/>
      <c r="B264" s="384"/>
      <c r="C264" s="384"/>
      <c r="D264" s="384"/>
      <c r="E264" s="384"/>
      <c r="F264" s="384"/>
      <c r="G264" s="384"/>
      <c r="H264" s="384"/>
      <c r="I264" s="384"/>
      <c r="J264" s="384"/>
      <c r="K264" s="384"/>
      <c r="L264" s="384"/>
      <c r="M264" s="384"/>
      <c r="N264" s="384"/>
      <c r="O264" s="392"/>
      <c r="P264" s="387" t="s">
        <v>74</v>
      </c>
      <c r="Q264" s="388"/>
      <c r="R264" s="388"/>
      <c r="S264" s="388"/>
      <c r="T264" s="388"/>
      <c r="U264" s="388"/>
      <c r="V264" s="389"/>
      <c r="W264" s="38" t="s">
        <v>71</v>
      </c>
      <c r="X264" s="375">
        <f>IFERROR(SUM(X261:X262),"0")</f>
        <v>0</v>
      </c>
      <c r="Y264" s="375">
        <f>IFERROR(SUM(Y261:Y262),"0")</f>
        <v>0</v>
      </c>
      <c r="Z264" s="38"/>
      <c r="AA264" s="376"/>
      <c r="AB264" s="376"/>
      <c r="AC264" s="376"/>
    </row>
    <row r="265" spans="1:68" ht="14.25" customHeight="1" x14ac:dyDescent="0.25">
      <c r="A265" s="383" t="s">
        <v>118</v>
      </c>
      <c r="B265" s="384"/>
      <c r="C265" s="384"/>
      <c r="D265" s="384"/>
      <c r="E265" s="384"/>
      <c r="F265" s="384"/>
      <c r="G265" s="384"/>
      <c r="H265" s="384"/>
      <c r="I265" s="384"/>
      <c r="J265" s="384"/>
      <c r="K265" s="384"/>
      <c r="L265" s="384"/>
      <c r="M265" s="384"/>
      <c r="N265" s="384"/>
      <c r="O265" s="384"/>
      <c r="P265" s="384"/>
      <c r="Q265" s="384"/>
      <c r="R265" s="384"/>
      <c r="S265" s="384"/>
      <c r="T265" s="384"/>
      <c r="U265" s="384"/>
      <c r="V265" s="384"/>
      <c r="W265" s="384"/>
      <c r="X265" s="384"/>
      <c r="Y265" s="384"/>
      <c r="Z265" s="384"/>
      <c r="AA265" s="368"/>
      <c r="AB265" s="368"/>
      <c r="AC265" s="368"/>
    </row>
    <row r="266" spans="1:68" ht="16.5" customHeight="1" x14ac:dyDescent="0.25">
      <c r="A266" s="55" t="s">
        <v>420</v>
      </c>
      <c r="B266" s="55" t="s">
        <v>421</v>
      </c>
      <c r="C266" s="32">
        <v>4301060524</v>
      </c>
      <c r="D266" s="381">
        <v>4607091384673</v>
      </c>
      <c r="E266" s="382"/>
      <c r="F266" s="372">
        <v>1.5</v>
      </c>
      <c r="G266" s="33">
        <v>6</v>
      </c>
      <c r="H266" s="372">
        <v>9</v>
      </c>
      <c r="I266" s="372">
        <v>9.4939999999999998</v>
      </c>
      <c r="J266" s="33">
        <v>64</v>
      </c>
      <c r="K266" s="33" t="s">
        <v>81</v>
      </c>
      <c r="L266" s="33"/>
      <c r="M266" s="34" t="s">
        <v>87</v>
      </c>
      <c r="N266" s="34"/>
      <c r="O266" s="33">
        <v>40</v>
      </c>
      <c r="P266" s="43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266" s="378"/>
      <c r="R266" s="378"/>
      <c r="S266" s="378"/>
      <c r="T266" s="379"/>
      <c r="U266" s="35"/>
      <c r="V266" s="35"/>
      <c r="W266" s="36" t="s">
        <v>71</v>
      </c>
      <c r="X266" s="373">
        <v>0</v>
      </c>
      <c r="Y266" s="374">
        <f>IFERROR(IF(X266="",0,CEILING((X266/$H266),1)*$H266),"")</f>
        <v>0</v>
      </c>
      <c r="Z266" s="37" t="str">
        <f>IFERROR(IF(Y266=0,"",ROUNDUP(Y266/H266,0)*0.01898),"")</f>
        <v/>
      </c>
      <c r="AA266" s="57"/>
      <c r="AB266" s="58"/>
      <c r="AC266" s="306" t="s">
        <v>422</v>
      </c>
      <c r="AG266" s="65"/>
      <c r="AJ266" s="69"/>
      <c r="AK266" s="69">
        <v>0</v>
      </c>
      <c r="BB266" s="307" t="s">
        <v>1</v>
      </c>
      <c r="BM266" s="65">
        <f>IFERROR(X266*I266/H266,"0")</f>
        <v>0</v>
      </c>
      <c r="BN266" s="65">
        <f>IFERROR(Y266*I266/H266,"0")</f>
        <v>0</v>
      </c>
      <c r="BO266" s="65">
        <f>IFERROR(1/J266*(X266/H266),"0")</f>
        <v>0</v>
      </c>
      <c r="BP266" s="65">
        <f>IFERROR(1/J266*(Y266/H266),"0")</f>
        <v>0</v>
      </c>
    </row>
    <row r="267" spans="1:68" x14ac:dyDescent="0.2">
      <c r="A267" s="391"/>
      <c r="B267" s="384"/>
      <c r="C267" s="384"/>
      <c r="D267" s="384"/>
      <c r="E267" s="384"/>
      <c r="F267" s="384"/>
      <c r="G267" s="384"/>
      <c r="H267" s="384"/>
      <c r="I267" s="384"/>
      <c r="J267" s="384"/>
      <c r="K267" s="384"/>
      <c r="L267" s="384"/>
      <c r="M267" s="384"/>
      <c r="N267" s="384"/>
      <c r="O267" s="392"/>
      <c r="P267" s="387" t="s">
        <v>74</v>
      </c>
      <c r="Q267" s="388"/>
      <c r="R267" s="388"/>
      <c r="S267" s="388"/>
      <c r="T267" s="388"/>
      <c r="U267" s="388"/>
      <c r="V267" s="389"/>
      <c r="W267" s="38" t="s">
        <v>75</v>
      </c>
      <c r="X267" s="375">
        <f>IFERROR(X266/H266,"0")</f>
        <v>0</v>
      </c>
      <c r="Y267" s="375">
        <f>IFERROR(Y266/H266,"0")</f>
        <v>0</v>
      </c>
      <c r="Z267" s="375">
        <f>IFERROR(IF(Z266="",0,Z266),"0")</f>
        <v>0</v>
      </c>
      <c r="AA267" s="376"/>
      <c r="AB267" s="376"/>
      <c r="AC267" s="376"/>
    </row>
    <row r="268" spans="1:68" x14ac:dyDescent="0.2">
      <c r="A268" s="384"/>
      <c r="B268" s="384"/>
      <c r="C268" s="384"/>
      <c r="D268" s="384"/>
      <c r="E268" s="384"/>
      <c r="F268" s="384"/>
      <c r="G268" s="384"/>
      <c r="H268" s="384"/>
      <c r="I268" s="384"/>
      <c r="J268" s="384"/>
      <c r="K268" s="384"/>
      <c r="L268" s="384"/>
      <c r="M268" s="384"/>
      <c r="N268" s="384"/>
      <c r="O268" s="392"/>
      <c r="P268" s="387" t="s">
        <v>74</v>
      </c>
      <c r="Q268" s="388"/>
      <c r="R268" s="388"/>
      <c r="S268" s="388"/>
      <c r="T268" s="388"/>
      <c r="U268" s="388"/>
      <c r="V268" s="389"/>
      <c r="W268" s="38" t="s">
        <v>71</v>
      </c>
      <c r="X268" s="375">
        <f>IFERROR(SUM(X266:X266),"0")</f>
        <v>0</v>
      </c>
      <c r="Y268" s="375">
        <f>IFERROR(SUM(Y266:Y266),"0")</f>
        <v>0</v>
      </c>
      <c r="Z268" s="38"/>
      <c r="AA268" s="376"/>
      <c r="AB268" s="376"/>
      <c r="AC268" s="376"/>
    </row>
    <row r="269" spans="1:68" ht="16.5" customHeight="1" x14ac:dyDescent="0.25">
      <c r="A269" s="419" t="s">
        <v>423</v>
      </c>
      <c r="B269" s="384"/>
      <c r="C269" s="384"/>
      <c r="D269" s="384"/>
      <c r="E269" s="384"/>
      <c r="F269" s="384"/>
      <c r="G269" s="384"/>
      <c r="H269" s="384"/>
      <c r="I269" s="384"/>
      <c r="J269" s="384"/>
      <c r="K269" s="384"/>
      <c r="L269" s="384"/>
      <c r="M269" s="384"/>
      <c r="N269" s="384"/>
      <c r="O269" s="384"/>
      <c r="P269" s="384"/>
      <c r="Q269" s="384"/>
      <c r="R269" s="384"/>
      <c r="S269" s="384"/>
      <c r="T269" s="384"/>
      <c r="U269" s="384"/>
      <c r="V269" s="384"/>
      <c r="W269" s="384"/>
      <c r="X269" s="384"/>
      <c r="Y269" s="384"/>
      <c r="Z269" s="384"/>
      <c r="AA269" s="369"/>
      <c r="AB269" s="369"/>
      <c r="AC269" s="369"/>
    </row>
    <row r="270" spans="1:68" ht="14.25" customHeight="1" x14ac:dyDescent="0.25">
      <c r="A270" s="383" t="s">
        <v>78</v>
      </c>
      <c r="B270" s="384"/>
      <c r="C270" s="384"/>
      <c r="D270" s="384"/>
      <c r="E270" s="384"/>
      <c r="F270" s="384"/>
      <c r="G270" s="384"/>
      <c r="H270" s="384"/>
      <c r="I270" s="384"/>
      <c r="J270" s="384"/>
      <c r="K270" s="384"/>
      <c r="L270" s="384"/>
      <c r="M270" s="384"/>
      <c r="N270" s="384"/>
      <c r="O270" s="384"/>
      <c r="P270" s="384"/>
      <c r="Q270" s="384"/>
      <c r="R270" s="384"/>
      <c r="S270" s="384"/>
      <c r="T270" s="384"/>
      <c r="U270" s="384"/>
      <c r="V270" s="384"/>
      <c r="W270" s="384"/>
      <c r="X270" s="384"/>
      <c r="Y270" s="384"/>
      <c r="Z270" s="384"/>
      <c r="AA270" s="368"/>
      <c r="AB270" s="368"/>
      <c r="AC270" s="368"/>
    </row>
    <row r="271" spans="1:68" ht="37.5" customHeight="1" x14ac:dyDescent="0.25">
      <c r="A271" s="55" t="s">
        <v>424</v>
      </c>
      <c r="B271" s="55" t="s">
        <v>425</v>
      </c>
      <c r="C271" s="32">
        <v>4301011875</v>
      </c>
      <c r="D271" s="381">
        <v>4680115884885</v>
      </c>
      <c r="E271" s="382"/>
      <c r="F271" s="372">
        <v>0.8</v>
      </c>
      <c r="G271" s="33">
        <v>15</v>
      </c>
      <c r="H271" s="372">
        <v>12</v>
      </c>
      <c r="I271" s="372">
        <v>12.41</v>
      </c>
      <c r="J271" s="33">
        <v>64</v>
      </c>
      <c r="K271" s="33" t="s">
        <v>81</v>
      </c>
      <c r="L271" s="33"/>
      <c r="M271" s="34" t="s">
        <v>174</v>
      </c>
      <c r="N271" s="34"/>
      <c r="O271" s="33">
        <v>60</v>
      </c>
      <c r="P271" s="43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271" s="378"/>
      <c r="R271" s="378"/>
      <c r="S271" s="378"/>
      <c r="T271" s="379"/>
      <c r="U271" s="35"/>
      <c r="V271" s="35"/>
      <c r="W271" s="36" t="s">
        <v>71</v>
      </c>
      <c r="X271" s="373">
        <v>600</v>
      </c>
      <c r="Y271" s="374">
        <f>IFERROR(IF(X271="",0,CEILING((X271/$H271),1)*$H271),"")</f>
        <v>600</v>
      </c>
      <c r="Z271" s="37">
        <f>IFERROR(IF(Y271=0,"",ROUNDUP(Y271/H271,0)*0.01898),"")</f>
        <v>0.94900000000000007</v>
      </c>
      <c r="AA271" s="57"/>
      <c r="AB271" s="58"/>
      <c r="AC271" s="308" t="s">
        <v>426</v>
      </c>
      <c r="AG271" s="65"/>
      <c r="AJ271" s="69"/>
      <c r="AK271" s="69">
        <v>0</v>
      </c>
      <c r="BB271" s="309" t="s">
        <v>1</v>
      </c>
      <c r="BM271" s="65">
        <f>IFERROR(X271*I271/H271,"0")</f>
        <v>620.5</v>
      </c>
      <c r="BN271" s="65">
        <f>IFERROR(Y271*I271/H271,"0")</f>
        <v>620.5</v>
      </c>
      <c r="BO271" s="65">
        <f>IFERROR(1/J271*(X271/H271),"0")</f>
        <v>0.78125</v>
      </c>
      <c r="BP271" s="65">
        <f>IFERROR(1/J271*(Y271/H271),"0")</f>
        <v>0.78125</v>
      </c>
    </row>
    <row r="272" spans="1:68" ht="37.5" customHeight="1" x14ac:dyDescent="0.25">
      <c r="A272" s="55" t="s">
        <v>427</v>
      </c>
      <c r="B272" s="55" t="s">
        <v>428</v>
      </c>
      <c r="C272" s="32">
        <v>4301011871</v>
      </c>
      <c r="D272" s="381">
        <v>4680115884908</v>
      </c>
      <c r="E272" s="382"/>
      <c r="F272" s="372">
        <v>0.4</v>
      </c>
      <c r="G272" s="33">
        <v>10</v>
      </c>
      <c r="H272" s="372">
        <v>4</v>
      </c>
      <c r="I272" s="372">
        <v>4.1900000000000004</v>
      </c>
      <c r="J272" s="33">
        <v>132</v>
      </c>
      <c r="K272" s="33" t="s">
        <v>86</v>
      </c>
      <c r="L272" s="33"/>
      <c r="M272" s="34" t="s">
        <v>174</v>
      </c>
      <c r="N272" s="34"/>
      <c r="O272" s="33">
        <v>60</v>
      </c>
      <c r="P272" s="4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272" s="378"/>
      <c r="R272" s="378"/>
      <c r="S272" s="378"/>
      <c r="T272" s="379"/>
      <c r="U272" s="35"/>
      <c r="V272" s="35"/>
      <c r="W272" s="36" t="s">
        <v>71</v>
      </c>
      <c r="X272" s="373">
        <v>80</v>
      </c>
      <c r="Y272" s="374">
        <f>IFERROR(IF(X272="",0,CEILING((X272/$H272),1)*$H272),"")</f>
        <v>80</v>
      </c>
      <c r="Z272" s="37">
        <f>IFERROR(IF(Y272=0,"",ROUNDUP(Y272/H272,0)*0.00902),"")</f>
        <v>0.1804</v>
      </c>
      <c r="AA272" s="57"/>
      <c r="AB272" s="58"/>
      <c r="AC272" s="310" t="s">
        <v>426</v>
      </c>
      <c r="AG272" s="65"/>
      <c r="AJ272" s="69"/>
      <c r="AK272" s="69">
        <v>0</v>
      </c>
      <c r="BB272" s="311" t="s">
        <v>1</v>
      </c>
      <c r="BM272" s="65">
        <f>IFERROR(X272*I272/H272,"0")</f>
        <v>83.800000000000011</v>
      </c>
      <c r="BN272" s="65">
        <f>IFERROR(Y272*I272/H272,"0")</f>
        <v>83.800000000000011</v>
      </c>
      <c r="BO272" s="65">
        <f>IFERROR(1/J272*(X272/H272),"0")</f>
        <v>0.15151515151515152</v>
      </c>
      <c r="BP272" s="65">
        <f>IFERROR(1/J272*(Y272/H272),"0")</f>
        <v>0.15151515151515152</v>
      </c>
    </row>
    <row r="273" spans="1:68" x14ac:dyDescent="0.2">
      <c r="A273" s="391"/>
      <c r="B273" s="384"/>
      <c r="C273" s="384"/>
      <c r="D273" s="384"/>
      <c r="E273" s="384"/>
      <c r="F273" s="384"/>
      <c r="G273" s="384"/>
      <c r="H273" s="384"/>
      <c r="I273" s="384"/>
      <c r="J273" s="384"/>
      <c r="K273" s="384"/>
      <c r="L273" s="384"/>
      <c r="M273" s="384"/>
      <c r="N273" s="384"/>
      <c r="O273" s="392"/>
      <c r="P273" s="387" t="s">
        <v>74</v>
      </c>
      <c r="Q273" s="388"/>
      <c r="R273" s="388"/>
      <c r="S273" s="388"/>
      <c r="T273" s="388"/>
      <c r="U273" s="388"/>
      <c r="V273" s="389"/>
      <c r="W273" s="38" t="s">
        <v>75</v>
      </c>
      <c r="X273" s="375">
        <f>IFERROR(X271/H271,"0")+IFERROR(X272/H272,"0")</f>
        <v>70</v>
      </c>
      <c r="Y273" s="375">
        <f>IFERROR(Y271/H271,"0")+IFERROR(Y272/H272,"0")</f>
        <v>70</v>
      </c>
      <c r="Z273" s="375">
        <f>IFERROR(IF(Z271="",0,Z271),"0")+IFERROR(IF(Z272="",0,Z272),"0")</f>
        <v>1.1294</v>
      </c>
      <c r="AA273" s="376"/>
      <c r="AB273" s="376"/>
      <c r="AC273" s="376"/>
    </row>
    <row r="274" spans="1:68" x14ac:dyDescent="0.2">
      <c r="A274" s="384"/>
      <c r="B274" s="384"/>
      <c r="C274" s="384"/>
      <c r="D274" s="384"/>
      <c r="E274" s="384"/>
      <c r="F274" s="384"/>
      <c r="G274" s="384"/>
      <c r="H274" s="384"/>
      <c r="I274" s="384"/>
      <c r="J274" s="384"/>
      <c r="K274" s="384"/>
      <c r="L274" s="384"/>
      <c r="M274" s="384"/>
      <c r="N274" s="384"/>
      <c r="O274" s="392"/>
      <c r="P274" s="387" t="s">
        <v>74</v>
      </c>
      <c r="Q274" s="388"/>
      <c r="R274" s="388"/>
      <c r="S274" s="388"/>
      <c r="T274" s="388"/>
      <c r="U274" s="388"/>
      <c r="V274" s="389"/>
      <c r="W274" s="38" t="s">
        <v>71</v>
      </c>
      <c r="X274" s="375">
        <f>IFERROR(SUM(X271:X272),"0")</f>
        <v>680</v>
      </c>
      <c r="Y274" s="375">
        <f>IFERROR(SUM(Y271:Y272),"0")</f>
        <v>680</v>
      </c>
      <c r="Z274" s="38"/>
      <c r="AA274" s="376"/>
      <c r="AB274" s="376"/>
      <c r="AC274" s="376"/>
    </row>
    <row r="275" spans="1:68" ht="14.25" customHeight="1" x14ac:dyDescent="0.25">
      <c r="A275" s="383" t="s">
        <v>171</v>
      </c>
      <c r="B275" s="384"/>
      <c r="C275" s="384"/>
      <c r="D275" s="384"/>
      <c r="E275" s="384"/>
      <c r="F275" s="384"/>
      <c r="G275" s="384"/>
      <c r="H275" s="384"/>
      <c r="I275" s="384"/>
      <c r="J275" s="384"/>
      <c r="K275" s="384"/>
      <c r="L275" s="384"/>
      <c r="M275" s="384"/>
      <c r="N275" s="384"/>
      <c r="O275" s="384"/>
      <c r="P275" s="384"/>
      <c r="Q275" s="384"/>
      <c r="R275" s="384"/>
      <c r="S275" s="384"/>
      <c r="T275" s="384"/>
      <c r="U275" s="384"/>
      <c r="V275" s="384"/>
      <c r="W275" s="384"/>
      <c r="X275" s="384"/>
      <c r="Y275" s="384"/>
      <c r="Z275" s="384"/>
      <c r="AA275" s="368"/>
      <c r="AB275" s="368"/>
      <c r="AC275" s="368"/>
    </row>
    <row r="276" spans="1:68" ht="27" customHeight="1" x14ac:dyDescent="0.25">
      <c r="A276" s="55" t="s">
        <v>429</v>
      </c>
      <c r="B276" s="55" t="s">
        <v>430</v>
      </c>
      <c r="C276" s="32">
        <v>4301031303</v>
      </c>
      <c r="D276" s="381">
        <v>4607091384802</v>
      </c>
      <c r="E276" s="382"/>
      <c r="F276" s="372">
        <v>0.73</v>
      </c>
      <c r="G276" s="33">
        <v>6</v>
      </c>
      <c r="H276" s="372">
        <v>4.38</v>
      </c>
      <c r="I276" s="372">
        <v>4.63</v>
      </c>
      <c r="J276" s="33">
        <v>132</v>
      </c>
      <c r="K276" s="33" t="s">
        <v>86</v>
      </c>
      <c r="L276" s="33"/>
      <c r="M276" s="34" t="s">
        <v>174</v>
      </c>
      <c r="N276" s="34"/>
      <c r="O276" s="33">
        <v>35</v>
      </c>
      <c r="P276" s="57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276" s="378"/>
      <c r="R276" s="378"/>
      <c r="S276" s="378"/>
      <c r="T276" s="379"/>
      <c r="U276" s="35"/>
      <c r="V276" s="35"/>
      <c r="W276" s="36" t="s">
        <v>71</v>
      </c>
      <c r="X276" s="373">
        <v>0</v>
      </c>
      <c r="Y276" s="374">
        <f>IFERROR(IF(X276="",0,CEILING((X276/$H276),1)*$H276),"")</f>
        <v>0</v>
      </c>
      <c r="Z276" s="37" t="str">
        <f>IFERROR(IF(Y276=0,"",ROUNDUP(Y276/H276,0)*0.00902),"")</f>
        <v/>
      </c>
      <c r="AA276" s="57"/>
      <c r="AB276" s="58"/>
      <c r="AC276" s="312" t="s">
        <v>431</v>
      </c>
      <c r="AG276" s="65"/>
      <c r="AJ276" s="69"/>
      <c r="AK276" s="69">
        <v>0</v>
      </c>
      <c r="BB276" s="313" t="s">
        <v>1</v>
      </c>
      <c r="BM276" s="65">
        <f>IFERROR(X276*I276/H276,"0")</f>
        <v>0</v>
      </c>
      <c r="BN276" s="65">
        <f>IFERROR(Y276*I276/H276,"0")</f>
        <v>0</v>
      </c>
      <c r="BO276" s="65">
        <f>IFERROR(1/J276*(X276/H276),"0")</f>
        <v>0</v>
      </c>
      <c r="BP276" s="65">
        <f>IFERROR(1/J276*(Y276/H276),"0")</f>
        <v>0</v>
      </c>
    </row>
    <row r="277" spans="1:68" ht="27" customHeight="1" x14ac:dyDescent="0.25">
      <c r="A277" s="55" t="s">
        <v>429</v>
      </c>
      <c r="B277" s="55" t="s">
        <v>432</v>
      </c>
      <c r="C277" s="32">
        <v>4301031457</v>
      </c>
      <c r="D277" s="381">
        <v>4607091384802</v>
      </c>
      <c r="E277" s="382"/>
      <c r="F277" s="372">
        <v>0.7</v>
      </c>
      <c r="G277" s="33">
        <v>6</v>
      </c>
      <c r="H277" s="372">
        <v>4.2</v>
      </c>
      <c r="I277" s="372">
        <v>4.45</v>
      </c>
      <c r="J277" s="33">
        <v>132</v>
      </c>
      <c r="K277" s="33" t="s">
        <v>86</v>
      </c>
      <c r="L277" s="33"/>
      <c r="M277" s="34" t="s">
        <v>174</v>
      </c>
      <c r="N277" s="34"/>
      <c r="O277" s="33">
        <v>50</v>
      </c>
      <c r="P277" s="4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277" s="378"/>
      <c r="R277" s="378"/>
      <c r="S277" s="378"/>
      <c r="T277" s="379"/>
      <c r="U277" s="35"/>
      <c r="V277" s="35"/>
      <c r="W277" s="36" t="s">
        <v>71</v>
      </c>
      <c r="X277" s="373">
        <v>0</v>
      </c>
      <c r="Y277" s="374">
        <f>IFERROR(IF(X277="",0,CEILING((X277/$H277),1)*$H277),"")</f>
        <v>0</v>
      </c>
      <c r="Z277" s="37" t="str">
        <f>IFERROR(IF(Y277=0,"",ROUNDUP(Y277/H277,0)*0.00902),"")</f>
        <v/>
      </c>
      <c r="AA277" s="57"/>
      <c r="AB277" s="58"/>
      <c r="AC277" s="314" t="s">
        <v>433</v>
      </c>
      <c r="AG277" s="65"/>
      <c r="AJ277" s="69"/>
      <c r="AK277" s="69">
        <v>0</v>
      </c>
      <c r="BB277" s="315" t="s">
        <v>1</v>
      </c>
      <c r="BM277" s="65">
        <f>IFERROR(X277*I277/H277,"0")</f>
        <v>0</v>
      </c>
      <c r="BN277" s="65">
        <f>IFERROR(Y277*I277/H277,"0")</f>
        <v>0</v>
      </c>
      <c r="BO277" s="65">
        <f>IFERROR(1/J277*(X277/H277),"0")</f>
        <v>0</v>
      </c>
      <c r="BP277" s="65">
        <f>IFERROR(1/J277*(Y277/H277),"0")</f>
        <v>0</v>
      </c>
    </row>
    <row r="278" spans="1:68" x14ac:dyDescent="0.2">
      <c r="A278" s="391"/>
      <c r="B278" s="384"/>
      <c r="C278" s="384"/>
      <c r="D278" s="384"/>
      <c r="E278" s="384"/>
      <c r="F278" s="384"/>
      <c r="G278" s="384"/>
      <c r="H278" s="384"/>
      <c r="I278" s="384"/>
      <c r="J278" s="384"/>
      <c r="K278" s="384"/>
      <c r="L278" s="384"/>
      <c r="M278" s="384"/>
      <c r="N278" s="384"/>
      <c r="O278" s="392"/>
      <c r="P278" s="387" t="s">
        <v>74</v>
      </c>
      <c r="Q278" s="388"/>
      <c r="R278" s="388"/>
      <c r="S278" s="388"/>
      <c r="T278" s="388"/>
      <c r="U278" s="388"/>
      <c r="V278" s="389"/>
      <c r="W278" s="38" t="s">
        <v>75</v>
      </c>
      <c r="X278" s="375">
        <f>IFERROR(X276/H276,"0")+IFERROR(X277/H277,"0")</f>
        <v>0</v>
      </c>
      <c r="Y278" s="375">
        <f>IFERROR(Y276/H276,"0")+IFERROR(Y277/H277,"0")</f>
        <v>0</v>
      </c>
      <c r="Z278" s="375">
        <f>IFERROR(IF(Z276="",0,Z276),"0")+IFERROR(IF(Z277="",0,Z277),"0")</f>
        <v>0</v>
      </c>
      <c r="AA278" s="376"/>
      <c r="AB278" s="376"/>
      <c r="AC278" s="376"/>
    </row>
    <row r="279" spans="1:68" x14ac:dyDescent="0.2">
      <c r="A279" s="384"/>
      <c r="B279" s="384"/>
      <c r="C279" s="384"/>
      <c r="D279" s="384"/>
      <c r="E279" s="384"/>
      <c r="F279" s="384"/>
      <c r="G279" s="384"/>
      <c r="H279" s="384"/>
      <c r="I279" s="384"/>
      <c r="J279" s="384"/>
      <c r="K279" s="384"/>
      <c r="L279" s="384"/>
      <c r="M279" s="384"/>
      <c r="N279" s="384"/>
      <c r="O279" s="392"/>
      <c r="P279" s="387" t="s">
        <v>74</v>
      </c>
      <c r="Q279" s="388"/>
      <c r="R279" s="388"/>
      <c r="S279" s="388"/>
      <c r="T279" s="388"/>
      <c r="U279" s="388"/>
      <c r="V279" s="389"/>
      <c r="W279" s="38" t="s">
        <v>71</v>
      </c>
      <c r="X279" s="375">
        <f>IFERROR(SUM(X276:X277),"0")</f>
        <v>0</v>
      </c>
      <c r="Y279" s="375">
        <f>IFERROR(SUM(Y276:Y277),"0")</f>
        <v>0</v>
      </c>
      <c r="Z279" s="38"/>
      <c r="AA279" s="376"/>
      <c r="AB279" s="376"/>
      <c r="AC279" s="376"/>
    </row>
    <row r="280" spans="1:68" ht="14.25" customHeight="1" x14ac:dyDescent="0.25">
      <c r="A280" s="383" t="s">
        <v>131</v>
      </c>
      <c r="B280" s="384"/>
      <c r="C280" s="384"/>
      <c r="D280" s="384"/>
      <c r="E280" s="384"/>
      <c r="F280" s="384"/>
      <c r="G280" s="384"/>
      <c r="H280" s="384"/>
      <c r="I280" s="384"/>
      <c r="J280" s="384"/>
      <c r="K280" s="384"/>
      <c r="L280" s="384"/>
      <c r="M280" s="384"/>
      <c r="N280" s="384"/>
      <c r="O280" s="384"/>
      <c r="P280" s="384"/>
      <c r="Q280" s="384"/>
      <c r="R280" s="384"/>
      <c r="S280" s="384"/>
      <c r="T280" s="384"/>
      <c r="U280" s="384"/>
      <c r="V280" s="384"/>
      <c r="W280" s="384"/>
      <c r="X280" s="384"/>
      <c r="Y280" s="384"/>
      <c r="Z280" s="384"/>
      <c r="AA280" s="368"/>
      <c r="AB280" s="368"/>
      <c r="AC280" s="368"/>
    </row>
    <row r="281" spans="1:68" ht="27" customHeight="1" x14ac:dyDescent="0.25">
      <c r="A281" s="55" t="s">
        <v>434</v>
      </c>
      <c r="B281" s="55" t="s">
        <v>435</v>
      </c>
      <c r="C281" s="32">
        <v>4301051899</v>
      </c>
      <c r="D281" s="381">
        <v>4607091384246</v>
      </c>
      <c r="E281" s="382"/>
      <c r="F281" s="372">
        <v>1.5</v>
      </c>
      <c r="G281" s="33">
        <v>6</v>
      </c>
      <c r="H281" s="372">
        <v>9</v>
      </c>
      <c r="I281" s="372">
        <v>9.4939999999999998</v>
      </c>
      <c r="J281" s="33">
        <v>64</v>
      </c>
      <c r="K281" s="33" t="s">
        <v>81</v>
      </c>
      <c r="L281" s="33"/>
      <c r="M281" s="34" t="s">
        <v>87</v>
      </c>
      <c r="N281" s="34"/>
      <c r="O281" s="33">
        <v>40</v>
      </c>
      <c r="P281" s="4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281" s="378"/>
      <c r="R281" s="378"/>
      <c r="S281" s="378"/>
      <c r="T281" s="379"/>
      <c r="U281" s="35"/>
      <c r="V281" s="35"/>
      <c r="W281" s="36" t="s">
        <v>71</v>
      </c>
      <c r="X281" s="373">
        <v>1300</v>
      </c>
      <c r="Y281" s="374">
        <f>IFERROR(IF(X281="",0,CEILING((X281/$H281),1)*$H281),"")</f>
        <v>1305</v>
      </c>
      <c r="Z281" s="37">
        <f>IFERROR(IF(Y281=0,"",ROUNDUP(Y281/H281,0)*0.01898),"")</f>
        <v>2.7521</v>
      </c>
      <c r="AA281" s="57"/>
      <c r="AB281" s="58"/>
      <c r="AC281" s="316" t="s">
        <v>436</v>
      </c>
      <c r="AG281" s="65"/>
      <c r="AJ281" s="69"/>
      <c r="AK281" s="69">
        <v>0</v>
      </c>
      <c r="BB281" s="317" t="s">
        <v>1</v>
      </c>
      <c r="BM281" s="65">
        <f>IFERROR(X281*I281/H281,"0")</f>
        <v>1371.3555555555554</v>
      </c>
      <c r="BN281" s="65">
        <f>IFERROR(Y281*I281/H281,"0")</f>
        <v>1376.63</v>
      </c>
      <c r="BO281" s="65">
        <f>IFERROR(1/J281*(X281/H281),"0")</f>
        <v>2.2569444444444446</v>
      </c>
      <c r="BP281" s="65">
        <f>IFERROR(1/J281*(Y281/H281),"0")</f>
        <v>2.265625</v>
      </c>
    </row>
    <row r="282" spans="1:68" ht="27" customHeight="1" x14ac:dyDescent="0.25">
      <c r="A282" s="55" t="s">
        <v>437</v>
      </c>
      <c r="B282" s="55" t="s">
        <v>438</v>
      </c>
      <c r="C282" s="32">
        <v>4301051660</v>
      </c>
      <c r="D282" s="381">
        <v>4607091384253</v>
      </c>
      <c r="E282" s="382"/>
      <c r="F282" s="372">
        <v>0.4</v>
      </c>
      <c r="G282" s="33">
        <v>6</v>
      </c>
      <c r="H282" s="372">
        <v>2.4</v>
      </c>
      <c r="I282" s="372">
        <v>2.6640000000000001</v>
      </c>
      <c r="J282" s="33">
        <v>182</v>
      </c>
      <c r="K282" s="33" t="s">
        <v>69</v>
      </c>
      <c r="L282" s="33"/>
      <c r="M282" s="34" t="s">
        <v>87</v>
      </c>
      <c r="N282" s="34"/>
      <c r="O282" s="33">
        <v>40</v>
      </c>
      <c r="P282" s="56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282" s="378"/>
      <c r="R282" s="378"/>
      <c r="S282" s="378"/>
      <c r="T282" s="379"/>
      <c r="U282" s="35"/>
      <c r="V282" s="35"/>
      <c r="W282" s="36" t="s">
        <v>71</v>
      </c>
      <c r="X282" s="373">
        <v>280</v>
      </c>
      <c r="Y282" s="374">
        <f>IFERROR(IF(X282="",0,CEILING((X282/$H282),1)*$H282),"")</f>
        <v>280.8</v>
      </c>
      <c r="Z282" s="37">
        <f>IFERROR(IF(Y282=0,"",ROUNDUP(Y282/H282,0)*0.00651),"")</f>
        <v>0.76167000000000007</v>
      </c>
      <c r="AA282" s="57"/>
      <c r="AB282" s="58"/>
      <c r="AC282" s="318" t="s">
        <v>436</v>
      </c>
      <c r="AG282" s="65"/>
      <c r="AJ282" s="69"/>
      <c r="AK282" s="69">
        <v>0</v>
      </c>
      <c r="BB282" s="319" t="s">
        <v>1</v>
      </c>
      <c r="BM282" s="65">
        <f>IFERROR(X282*I282/H282,"0")</f>
        <v>310.80000000000007</v>
      </c>
      <c r="BN282" s="65">
        <f>IFERROR(Y282*I282/H282,"0")</f>
        <v>311.68800000000005</v>
      </c>
      <c r="BO282" s="65">
        <f>IFERROR(1/J282*(X282/H282),"0")</f>
        <v>0.64102564102564108</v>
      </c>
      <c r="BP282" s="65">
        <f>IFERROR(1/J282*(Y282/H282),"0")</f>
        <v>0.64285714285714302</v>
      </c>
    </row>
    <row r="283" spans="1:68" ht="27" customHeight="1" x14ac:dyDescent="0.25">
      <c r="A283" s="55" t="s">
        <v>437</v>
      </c>
      <c r="B283" s="55" t="s">
        <v>439</v>
      </c>
      <c r="C283" s="32">
        <v>4301052069</v>
      </c>
      <c r="D283" s="381">
        <v>4607091384253</v>
      </c>
      <c r="E283" s="382"/>
      <c r="F283" s="372">
        <v>0.4</v>
      </c>
      <c r="G283" s="33">
        <v>6</v>
      </c>
      <c r="H283" s="372">
        <v>2.4</v>
      </c>
      <c r="I283" s="372">
        <v>2.6640000000000001</v>
      </c>
      <c r="J283" s="33">
        <v>182</v>
      </c>
      <c r="K283" s="33" t="s">
        <v>69</v>
      </c>
      <c r="L283" s="33"/>
      <c r="M283" s="34" t="s">
        <v>87</v>
      </c>
      <c r="N283" s="34"/>
      <c r="O283" s="33">
        <v>40</v>
      </c>
      <c r="P283" s="49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283" s="378"/>
      <c r="R283" s="378"/>
      <c r="S283" s="378"/>
      <c r="T283" s="379"/>
      <c r="U283" s="35"/>
      <c r="V283" s="35"/>
      <c r="W283" s="36" t="s">
        <v>71</v>
      </c>
      <c r="X283" s="373">
        <v>0</v>
      </c>
      <c r="Y283" s="374">
        <f>IFERROR(IF(X283="",0,CEILING((X283/$H283),1)*$H283),"")</f>
        <v>0</v>
      </c>
      <c r="Z283" s="37" t="str">
        <f>IFERROR(IF(Y283=0,"",ROUNDUP(Y283/H283,0)*0.00651),"")</f>
        <v/>
      </c>
      <c r="AA283" s="57"/>
      <c r="AB283" s="58"/>
      <c r="AC283" s="320" t="s">
        <v>440</v>
      </c>
      <c r="AG283" s="65"/>
      <c r="AJ283" s="69"/>
      <c r="AK283" s="69">
        <v>0</v>
      </c>
      <c r="BB283" s="321" t="s">
        <v>1</v>
      </c>
      <c r="BM283" s="65">
        <f>IFERROR(X283*I283/H283,"0")</f>
        <v>0</v>
      </c>
      <c r="BN283" s="65">
        <f>IFERROR(Y283*I283/H283,"0")</f>
        <v>0</v>
      </c>
      <c r="BO283" s="65">
        <f>IFERROR(1/J283*(X283/H283),"0")</f>
        <v>0</v>
      </c>
      <c r="BP283" s="65">
        <f>IFERROR(1/J283*(Y283/H283),"0")</f>
        <v>0</v>
      </c>
    </row>
    <row r="284" spans="1:68" x14ac:dyDescent="0.2">
      <c r="A284" s="391"/>
      <c r="B284" s="384"/>
      <c r="C284" s="384"/>
      <c r="D284" s="384"/>
      <c r="E284" s="384"/>
      <c r="F284" s="384"/>
      <c r="G284" s="384"/>
      <c r="H284" s="384"/>
      <c r="I284" s="384"/>
      <c r="J284" s="384"/>
      <c r="K284" s="384"/>
      <c r="L284" s="384"/>
      <c r="M284" s="384"/>
      <c r="N284" s="384"/>
      <c r="O284" s="392"/>
      <c r="P284" s="387" t="s">
        <v>74</v>
      </c>
      <c r="Q284" s="388"/>
      <c r="R284" s="388"/>
      <c r="S284" s="388"/>
      <c r="T284" s="388"/>
      <c r="U284" s="388"/>
      <c r="V284" s="389"/>
      <c r="W284" s="38" t="s">
        <v>75</v>
      </c>
      <c r="X284" s="375">
        <f>IFERROR(X281/H281,"0")+IFERROR(X282/H282,"0")+IFERROR(X283/H283,"0")</f>
        <v>261.11111111111114</v>
      </c>
      <c r="Y284" s="375">
        <f>IFERROR(Y281/H281,"0")+IFERROR(Y282/H282,"0")+IFERROR(Y283/H283,"0")</f>
        <v>262</v>
      </c>
      <c r="Z284" s="375">
        <f>IFERROR(IF(Z281="",0,Z281),"0")+IFERROR(IF(Z282="",0,Z282),"0")+IFERROR(IF(Z283="",0,Z283),"0")</f>
        <v>3.5137700000000001</v>
      </c>
      <c r="AA284" s="376"/>
      <c r="AB284" s="376"/>
      <c r="AC284" s="376"/>
    </row>
    <row r="285" spans="1:68" x14ac:dyDescent="0.2">
      <c r="A285" s="384"/>
      <c r="B285" s="384"/>
      <c r="C285" s="384"/>
      <c r="D285" s="384"/>
      <c r="E285" s="384"/>
      <c r="F285" s="384"/>
      <c r="G285" s="384"/>
      <c r="H285" s="384"/>
      <c r="I285" s="384"/>
      <c r="J285" s="384"/>
      <c r="K285" s="384"/>
      <c r="L285" s="384"/>
      <c r="M285" s="384"/>
      <c r="N285" s="384"/>
      <c r="O285" s="392"/>
      <c r="P285" s="387" t="s">
        <v>74</v>
      </c>
      <c r="Q285" s="388"/>
      <c r="R285" s="388"/>
      <c r="S285" s="388"/>
      <c r="T285" s="388"/>
      <c r="U285" s="388"/>
      <c r="V285" s="389"/>
      <c r="W285" s="38" t="s">
        <v>71</v>
      </c>
      <c r="X285" s="375">
        <f>IFERROR(SUM(X281:X283),"0")</f>
        <v>1580</v>
      </c>
      <c r="Y285" s="375">
        <f>IFERROR(SUM(Y281:Y283),"0")</f>
        <v>1585.8</v>
      </c>
      <c r="Z285" s="38"/>
      <c r="AA285" s="376"/>
      <c r="AB285" s="376"/>
      <c r="AC285" s="376"/>
    </row>
    <row r="286" spans="1:68" ht="27.75" customHeight="1" x14ac:dyDescent="0.2">
      <c r="A286" s="441" t="s">
        <v>441</v>
      </c>
      <c r="B286" s="442"/>
      <c r="C286" s="442"/>
      <c r="D286" s="442"/>
      <c r="E286" s="442"/>
      <c r="F286" s="442"/>
      <c r="G286" s="442"/>
      <c r="H286" s="442"/>
      <c r="I286" s="442"/>
      <c r="J286" s="442"/>
      <c r="K286" s="442"/>
      <c r="L286" s="442"/>
      <c r="M286" s="442"/>
      <c r="N286" s="442"/>
      <c r="O286" s="442"/>
      <c r="P286" s="442"/>
      <c r="Q286" s="442"/>
      <c r="R286" s="442"/>
      <c r="S286" s="442"/>
      <c r="T286" s="442"/>
      <c r="U286" s="442"/>
      <c r="V286" s="442"/>
      <c r="W286" s="442"/>
      <c r="X286" s="442"/>
      <c r="Y286" s="442"/>
      <c r="Z286" s="442"/>
      <c r="AA286" s="49"/>
      <c r="AB286" s="49"/>
      <c r="AC286" s="49"/>
    </row>
    <row r="287" spans="1:68" ht="16.5" customHeight="1" x14ac:dyDescent="0.25">
      <c r="A287" s="419" t="s">
        <v>442</v>
      </c>
      <c r="B287" s="384"/>
      <c r="C287" s="384"/>
      <c r="D287" s="384"/>
      <c r="E287" s="384"/>
      <c r="F287" s="384"/>
      <c r="G287" s="384"/>
      <c r="H287" s="384"/>
      <c r="I287" s="384"/>
      <c r="J287" s="384"/>
      <c r="K287" s="384"/>
      <c r="L287" s="384"/>
      <c r="M287" s="384"/>
      <c r="N287" s="384"/>
      <c r="O287" s="384"/>
      <c r="P287" s="384"/>
      <c r="Q287" s="384"/>
      <c r="R287" s="384"/>
      <c r="S287" s="384"/>
      <c r="T287" s="384"/>
      <c r="U287" s="384"/>
      <c r="V287" s="384"/>
      <c r="W287" s="384"/>
      <c r="X287" s="384"/>
      <c r="Y287" s="384"/>
      <c r="Z287" s="384"/>
      <c r="AA287" s="369"/>
      <c r="AB287" s="369"/>
      <c r="AC287" s="369"/>
    </row>
    <row r="288" spans="1:68" ht="14.25" customHeight="1" x14ac:dyDescent="0.25">
      <c r="A288" s="383" t="s">
        <v>171</v>
      </c>
      <c r="B288" s="384"/>
      <c r="C288" s="384"/>
      <c r="D288" s="384"/>
      <c r="E288" s="384"/>
      <c r="F288" s="384"/>
      <c r="G288" s="384"/>
      <c r="H288" s="384"/>
      <c r="I288" s="384"/>
      <c r="J288" s="384"/>
      <c r="K288" s="384"/>
      <c r="L288" s="384"/>
      <c r="M288" s="384"/>
      <c r="N288" s="384"/>
      <c r="O288" s="384"/>
      <c r="P288" s="384"/>
      <c r="Q288" s="384"/>
      <c r="R288" s="384"/>
      <c r="S288" s="384"/>
      <c r="T288" s="384"/>
      <c r="U288" s="384"/>
      <c r="V288" s="384"/>
      <c r="W288" s="384"/>
      <c r="X288" s="384"/>
      <c r="Y288" s="384"/>
      <c r="Z288" s="384"/>
      <c r="AA288" s="368"/>
      <c r="AB288" s="368"/>
      <c r="AC288" s="368"/>
    </row>
    <row r="289" spans="1:68" ht="27" customHeight="1" x14ac:dyDescent="0.25">
      <c r="A289" s="55" t="s">
        <v>443</v>
      </c>
      <c r="B289" s="55" t="s">
        <v>444</v>
      </c>
      <c r="C289" s="32">
        <v>4301031405</v>
      </c>
      <c r="D289" s="381">
        <v>4680115886100</v>
      </c>
      <c r="E289" s="382"/>
      <c r="F289" s="372">
        <v>0.9</v>
      </c>
      <c r="G289" s="33">
        <v>6</v>
      </c>
      <c r="H289" s="372">
        <v>5.4</v>
      </c>
      <c r="I289" s="372">
        <v>5.59</v>
      </c>
      <c r="J289" s="33">
        <v>132</v>
      </c>
      <c r="K289" s="33" t="s">
        <v>86</v>
      </c>
      <c r="L289" s="33"/>
      <c r="M289" s="34" t="s">
        <v>174</v>
      </c>
      <c r="N289" s="34"/>
      <c r="O289" s="33">
        <v>50</v>
      </c>
      <c r="P289" s="48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289" s="378"/>
      <c r="R289" s="378"/>
      <c r="S289" s="378"/>
      <c r="T289" s="379"/>
      <c r="U289" s="35"/>
      <c r="V289" s="35"/>
      <c r="W289" s="36" t="s">
        <v>71</v>
      </c>
      <c r="X289" s="373">
        <v>70</v>
      </c>
      <c r="Y289" s="374">
        <f>IFERROR(IF(X289="",0,CEILING((X289/$H289),1)*$H289),"")</f>
        <v>70.2</v>
      </c>
      <c r="Z289" s="37">
        <f>IFERROR(IF(Y289=0,"",ROUNDUP(Y289/H289,0)*0.00902),"")</f>
        <v>0.11726</v>
      </c>
      <c r="AA289" s="57"/>
      <c r="AB289" s="58"/>
      <c r="AC289" s="322" t="s">
        <v>445</v>
      </c>
      <c r="AG289" s="65"/>
      <c r="AJ289" s="69"/>
      <c r="AK289" s="69">
        <v>0</v>
      </c>
      <c r="BB289" s="323" t="s">
        <v>1</v>
      </c>
      <c r="BM289" s="65">
        <f>IFERROR(X289*I289/H289,"0")</f>
        <v>72.462962962962962</v>
      </c>
      <c r="BN289" s="65">
        <f>IFERROR(Y289*I289/H289,"0")</f>
        <v>72.67</v>
      </c>
      <c r="BO289" s="65">
        <f>IFERROR(1/J289*(X289/H289),"0")</f>
        <v>9.8204264870931535E-2</v>
      </c>
      <c r="BP289" s="65">
        <f>IFERROR(1/J289*(Y289/H289),"0")</f>
        <v>9.8484848484848481E-2</v>
      </c>
    </row>
    <row r="290" spans="1:68" ht="27" customHeight="1" x14ac:dyDescent="0.25">
      <c r="A290" s="55" t="s">
        <v>446</v>
      </c>
      <c r="B290" s="55" t="s">
        <v>447</v>
      </c>
      <c r="C290" s="32">
        <v>4301031406</v>
      </c>
      <c r="D290" s="381">
        <v>4680115886117</v>
      </c>
      <c r="E290" s="382"/>
      <c r="F290" s="372">
        <v>0.9</v>
      </c>
      <c r="G290" s="33">
        <v>6</v>
      </c>
      <c r="H290" s="372">
        <v>5.4</v>
      </c>
      <c r="I290" s="372">
        <v>5.59</v>
      </c>
      <c r="J290" s="33">
        <v>132</v>
      </c>
      <c r="K290" s="33" t="s">
        <v>86</v>
      </c>
      <c r="L290" s="33"/>
      <c r="M290" s="34" t="s">
        <v>174</v>
      </c>
      <c r="N290" s="34"/>
      <c r="O290" s="33">
        <v>50</v>
      </c>
      <c r="P290" s="41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290" s="378"/>
      <c r="R290" s="378"/>
      <c r="S290" s="378"/>
      <c r="T290" s="379"/>
      <c r="U290" s="35"/>
      <c r="V290" s="35"/>
      <c r="W290" s="36" t="s">
        <v>71</v>
      </c>
      <c r="X290" s="373">
        <v>0</v>
      </c>
      <c r="Y290" s="374">
        <f>IFERROR(IF(X290="",0,CEILING((X290/$H290),1)*$H290),"")</f>
        <v>0</v>
      </c>
      <c r="Z290" s="37" t="str">
        <f>IFERROR(IF(Y290=0,"",ROUNDUP(Y290/H290,0)*0.00902),"")</f>
        <v/>
      </c>
      <c r="AA290" s="57"/>
      <c r="AB290" s="58"/>
      <c r="AC290" s="324" t="s">
        <v>448</v>
      </c>
      <c r="AG290" s="65"/>
      <c r="AJ290" s="69"/>
      <c r="AK290" s="69">
        <v>0</v>
      </c>
      <c r="BB290" s="325" t="s">
        <v>1</v>
      </c>
      <c r="BM290" s="65">
        <f>IFERROR(X290*I290/H290,"0")</f>
        <v>0</v>
      </c>
      <c r="BN290" s="65">
        <f>IFERROR(Y290*I290/H290,"0")</f>
        <v>0</v>
      </c>
      <c r="BO290" s="65">
        <f>IFERROR(1/J290*(X290/H290),"0")</f>
        <v>0</v>
      </c>
      <c r="BP290" s="65">
        <f>IFERROR(1/J290*(Y290/H290),"0")</f>
        <v>0</v>
      </c>
    </row>
    <row r="291" spans="1:68" ht="27" customHeight="1" x14ac:dyDescent="0.25">
      <c r="A291" s="55" t="s">
        <v>449</v>
      </c>
      <c r="B291" s="55" t="s">
        <v>450</v>
      </c>
      <c r="C291" s="32">
        <v>4301031358</v>
      </c>
      <c r="D291" s="381">
        <v>4607091389531</v>
      </c>
      <c r="E291" s="382"/>
      <c r="F291" s="372">
        <v>0.35</v>
      </c>
      <c r="G291" s="33">
        <v>6</v>
      </c>
      <c r="H291" s="372">
        <v>2.1</v>
      </c>
      <c r="I291" s="372">
        <v>2.23</v>
      </c>
      <c r="J291" s="33">
        <v>234</v>
      </c>
      <c r="K291" s="33" t="s">
        <v>155</v>
      </c>
      <c r="L291" s="33"/>
      <c r="M291" s="34" t="s">
        <v>174</v>
      </c>
      <c r="N291" s="34"/>
      <c r="O291" s="33">
        <v>50</v>
      </c>
      <c r="P291" s="60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291" s="378"/>
      <c r="R291" s="378"/>
      <c r="S291" s="378"/>
      <c r="T291" s="379"/>
      <c r="U291" s="35"/>
      <c r="V291" s="35"/>
      <c r="W291" s="36" t="s">
        <v>71</v>
      </c>
      <c r="X291" s="373">
        <v>70</v>
      </c>
      <c r="Y291" s="374">
        <f>IFERROR(IF(X291="",0,CEILING((X291/$H291),1)*$H291),"")</f>
        <v>71.400000000000006</v>
      </c>
      <c r="Z291" s="37">
        <f>IFERROR(IF(Y291=0,"",ROUNDUP(Y291/H291,0)*0.00502),"")</f>
        <v>0.17068</v>
      </c>
      <c r="AA291" s="57"/>
      <c r="AB291" s="58"/>
      <c r="AC291" s="326" t="s">
        <v>451</v>
      </c>
      <c r="AG291" s="65"/>
      <c r="AJ291" s="69"/>
      <c r="AK291" s="69">
        <v>0</v>
      </c>
      <c r="BB291" s="327" t="s">
        <v>1</v>
      </c>
      <c r="BM291" s="65">
        <f>IFERROR(X291*I291/H291,"0")</f>
        <v>74.333333333333329</v>
      </c>
      <c r="BN291" s="65">
        <f>IFERROR(Y291*I291/H291,"0")</f>
        <v>75.820000000000007</v>
      </c>
      <c r="BO291" s="65">
        <f>IFERROR(1/J291*(X291/H291),"0")</f>
        <v>0.14245014245014245</v>
      </c>
      <c r="BP291" s="65">
        <f>IFERROR(1/J291*(Y291/H291),"0")</f>
        <v>0.14529914529914531</v>
      </c>
    </row>
    <row r="292" spans="1:68" x14ac:dyDescent="0.2">
      <c r="A292" s="391"/>
      <c r="B292" s="384"/>
      <c r="C292" s="384"/>
      <c r="D292" s="384"/>
      <c r="E292" s="384"/>
      <c r="F292" s="384"/>
      <c r="G292" s="384"/>
      <c r="H292" s="384"/>
      <c r="I292" s="384"/>
      <c r="J292" s="384"/>
      <c r="K292" s="384"/>
      <c r="L292" s="384"/>
      <c r="M292" s="384"/>
      <c r="N292" s="384"/>
      <c r="O292" s="392"/>
      <c r="P292" s="387" t="s">
        <v>74</v>
      </c>
      <c r="Q292" s="388"/>
      <c r="R292" s="388"/>
      <c r="S292" s="388"/>
      <c r="T292" s="388"/>
      <c r="U292" s="388"/>
      <c r="V292" s="389"/>
      <c r="W292" s="38" t="s">
        <v>75</v>
      </c>
      <c r="X292" s="375">
        <f>IFERROR(X289/H289,"0")+IFERROR(X290/H290,"0")+IFERROR(X291/H291,"0")</f>
        <v>46.296296296296291</v>
      </c>
      <c r="Y292" s="375">
        <f>IFERROR(Y289/H289,"0")+IFERROR(Y290/H290,"0")+IFERROR(Y291/H291,"0")</f>
        <v>47</v>
      </c>
      <c r="Z292" s="375">
        <f>IFERROR(IF(Z289="",0,Z289),"0")+IFERROR(IF(Z290="",0,Z290),"0")+IFERROR(IF(Z291="",0,Z291),"0")</f>
        <v>0.28793999999999997</v>
      </c>
      <c r="AA292" s="376"/>
      <c r="AB292" s="376"/>
      <c r="AC292" s="376"/>
    </row>
    <row r="293" spans="1:68" x14ac:dyDescent="0.2">
      <c r="A293" s="384"/>
      <c r="B293" s="384"/>
      <c r="C293" s="384"/>
      <c r="D293" s="384"/>
      <c r="E293" s="384"/>
      <c r="F293" s="384"/>
      <c r="G293" s="384"/>
      <c r="H293" s="384"/>
      <c r="I293" s="384"/>
      <c r="J293" s="384"/>
      <c r="K293" s="384"/>
      <c r="L293" s="384"/>
      <c r="M293" s="384"/>
      <c r="N293" s="384"/>
      <c r="O293" s="392"/>
      <c r="P293" s="387" t="s">
        <v>74</v>
      </c>
      <c r="Q293" s="388"/>
      <c r="R293" s="388"/>
      <c r="S293" s="388"/>
      <c r="T293" s="388"/>
      <c r="U293" s="388"/>
      <c r="V293" s="389"/>
      <c r="W293" s="38" t="s">
        <v>71</v>
      </c>
      <c r="X293" s="375">
        <f>IFERROR(SUM(X289:X291),"0")</f>
        <v>140</v>
      </c>
      <c r="Y293" s="375">
        <f>IFERROR(SUM(Y289:Y291),"0")</f>
        <v>141.60000000000002</v>
      </c>
      <c r="Z293" s="38"/>
      <c r="AA293" s="376"/>
      <c r="AB293" s="376"/>
      <c r="AC293" s="376"/>
    </row>
    <row r="294" spans="1:68" ht="14.25" customHeight="1" x14ac:dyDescent="0.25">
      <c r="A294" s="383" t="s">
        <v>131</v>
      </c>
      <c r="B294" s="384"/>
      <c r="C294" s="384"/>
      <c r="D294" s="384"/>
      <c r="E294" s="384"/>
      <c r="F294" s="384"/>
      <c r="G294" s="384"/>
      <c r="H294" s="384"/>
      <c r="I294" s="384"/>
      <c r="J294" s="384"/>
      <c r="K294" s="384"/>
      <c r="L294" s="384"/>
      <c r="M294" s="384"/>
      <c r="N294" s="384"/>
      <c r="O294" s="384"/>
      <c r="P294" s="384"/>
      <c r="Q294" s="384"/>
      <c r="R294" s="384"/>
      <c r="S294" s="384"/>
      <c r="T294" s="384"/>
      <c r="U294" s="384"/>
      <c r="V294" s="384"/>
      <c r="W294" s="384"/>
      <c r="X294" s="384"/>
      <c r="Y294" s="384"/>
      <c r="Z294" s="384"/>
      <c r="AA294" s="368"/>
      <c r="AB294" s="368"/>
      <c r="AC294" s="368"/>
    </row>
    <row r="295" spans="1:68" ht="27" customHeight="1" x14ac:dyDescent="0.25">
      <c r="A295" s="55" t="s">
        <v>452</v>
      </c>
      <c r="B295" s="55" t="s">
        <v>453</v>
      </c>
      <c r="C295" s="32">
        <v>4301051284</v>
      </c>
      <c r="D295" s="381">
        <v>4607091384352</v>
      </c>
      <c r="E295" s="382"/>
      <c r="F295" s="372">
        <v>0.6</v>
      </c>
      <c r="G295" s="33">
        <v>4</v>
      </c>
      <c r="H295" s="372">
        <v>2.4</v>
      </c>
      <c r="I295" s="372">
        <v>2.6259999999999999</v>
      </c>
      <c r="J295" s="33">
        <v>132</v>
      </c>
      <c r="K295" s="33" t="s">
        <v>86</v>
      </c>
      <c r="L295" s="33"/>
      <c r="M295" s="34" t="s">
        <v>87</v>
      </c>
      <c r="N295" s="34"/>
      <c r="O295" s="33">
        <v>45</v>
      </c>
      <c r="P295" s="57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295" s="378"/>
      <c r="R295" s="378"/>
      <c r="S295" s="378"/>
      <c r="T295" s="379"/>
      <c r="U295" s="35"/>
      <c r="V295" s="35"/>
      <c r="W295" s="36" t="s">
        <v>71</v>
      </c>
      <c r="X295" s="373">
        <v>0</v>
      </c>
      <c r="Y295" s="374">
        <f>IFERROR(IF(X295="",0,CEILING((X295/$H295),1)*$H295),"")</f>
        <v>0</v>
      </c>
      <c r="Z295" s="37" t="str">
        <f>IFERROR(IF(Y295=0,"",ROUNDUP(Y295/H295,0)*0.00902),"")</f>
        <v/>
      </c>
      <c r="AA295" s="57"/>
      <c r="AB295" s="58"/>
      <c r="AC295" s="328" t="s">
        <v>454</v>
      </c>
      <c r="AG295" s="65"/>
      <c r="AJ295" s="69"/>
      <c r="AK295" s="69">
        <v>0</v>
      </c>
      <c r="BB295" s="329" t="s">
        <v>1</v>
      </c>
      <c r="BM295" s="65">
        <f>IFERROR(X295*I295/H295,"0")</f>
        <v>0</v>
      </c>
      <c r="BN295" s="65">
        <f>IFERROR(Y295*I295/H295,"0")</f>
        <v>0</v>
      </c>
      <c r="BO295" s="65">
        <f>IFERROR(1/J295*(X295/H295),"0")</f>
        <v>0</v>
      </c>
      <c r="BP295" s="65">
        <f>IFERROR(1/J295*(Y295/H295),"0")</f>
        <v>0</v>
      </c>
    </row>
    <row r="296" spans="1:68" ht="27" customHeight="1" x14ac:dyDescent="0.25">
      <c r="A296" s="55" t="s">
        <v>455</v>
      </c>
      <c r="B296" s="55" t="s">
        <v>456</v>
      </c>
      <c r="C296" s="32">
        <v>4301051431</v>
      </c>
      <c r="D296" s="381">
        <v>4607091389654</v>
      </c>
      <c r="E296" s="382"/>
      <c r="F296" s="372">
        <v>0.33</v>
      </c>
      <c r="G296" s="33">
        <v>6</v>
      </c>
      <c r="H296" s="372">
        <v>1.98</v>
      </c>
      <c r="I296" s="372">
        <v>2.238</v>
      </c>
      <c r="J296" s="33">
        <v>182</v>
      </c>
      <c r="K296" s="33" t="s">
        <v>69</v>
      </c>
      <c r="L296" s="33"/>
      <c r="M296" s="34" t="s">
        <v>87</v>
      </c>
      <c r="N296" s="34"/>
      <c r="O296" s="33">
        <v>45</v>
      </c>
      <c r="P296" s="50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296" s="378"/>
      <c r="R296" s="378"/>
      <c r="S296" s="378"/>
      <c r="T296" s="379"/>
      <c r="U296" s="35"/>
      <c r="V296" s="35"/>
      <c r="W296" s="36" t="s">
        <v>71</v>
      </c>
      <c r="X296" s="373">
        <v>0</v>
      </c>
      <c r="Y296" s="374">
        <f>IFERROR(IF(X296="",0,CEILING((X296/$H296),1)*$H296),"")</f>
        <v>0</v>
      </c>
      <c r="Z296" s="37" t="str">
        <f>IFERROR(IF(Y296=0,"",ROUNDUP(Y296/H296,0)*0.00651),"")</f>
        <v/>
      </c>
      <c r="AA296" s="57"/>
      <c r="AB296" s="58"/>
      <c r="AC296" s="330" t="s">
        <v>457</v>
      </c>
      <c r="AG296" s="65"/>
      <c r="AJ296" s="69"/>
      <c r="AK296" s="69">
        <v>0</v>
      </c>
      <c r="BB296" s="331" t="s">
        <v>1</v>
      </c>
      <c r="BM296" s="65">
        <f>IFERROR(X296*I296/H296,"0")</f>
        <v>0</v>
      </c>
      <c r="BN296" s="65">
        <f>IFERROR(Y296*I296/H296,"0")</f>
        <v>0</v>
      </c>
      <c r="BO296" s="65">
        <f>IFERROR(1/J296*(X296/H296),"0")</f>
        <v>0</v>
      </c>
      <c r="BP296" s="65">
        <f>IFERROR(1/J296*(Y296/H296),"0")</f>
        <v>0</v>
      </c>
    </row>
    <row r="297" spans="1:68" x14ac:dyDescent="0.2">
      <c r="A297" s="391"/>
      <c r="B297" s="384"/>
      <c r="C297" s="384"/>
      <c r="D297" s="384"/>
      <c r="E297" s="384"/>
      <c r="F297" s="384"/>
      <c r="G297" s="384"/>
      <c r="H297" s="384"/>
      <c r="I297" s="384"/>
      <c r="J297" s="384"/>
      <c r="K297" s="384"/>
      <c r="L297" s="384"/>
      <c r="M297" s="384"/>
      <c r="N297" s="384"/>
      <c r="O297" s="392"/>
      <c r="P297" s="387" t="s">
        <v>74</v>
      </c>
      <c r="Q297" s="388"/>
      <c r="R297" s="388"/>
      <c r="S297" s="388"/>
      <c r="T297" s="388"/>
      <c r="U297" s="388"/>
      <c r="V297" s="389"/>
      <c r="W297" s="38" t="s">
        <v>75</v>
      </c>
      <c r="X297" s="375">
        <f>IFERROR(X295/H295,"0")+IFERROR(X296/H296,"0")</f>
        <v>0</v>
      </c>
      <c r="Y297" s="375">
        <f>IFERROR(Y295/H295,"0")+IFERROR(Y296/H296,"0")</f>
        <v>0</v>
      </c>
      <c r="Z297" s="375">
        <f>IFERROR(IF(Z295="",0,Z295),"0")+IFERROR(IF(Z296="",0,Z296),"0")</f>
        <v>0</v>
      </c>
      <c r="AA297" s="376"/>
      <c r="AB297" s="376"/>
      <c r="AC297" s="376"/>
    </row>
    <row r="298" spans="1:68" x14ac:dyDescent="0.2">
      <c r="A298" s="384"/>
      <c r="B298" s="384"/>
      <c r="C298" s="384"/>
      <c r="D298" s="384"/>
      <c r="E298" s="384"/>
      <c r="F298" s="384"/>
      <c r="G298" s="384"/>
      <c r="H298" s="384"/>
      <c r="I298" s="384"/>
      <c r="J298" s="384"/>
      <c r="K298" s="384"/>
      <c r="L298" s="384"/>
      <c r="M298" s="384"/>
      <c r="N298" s="384"/>
      <c r="O298" s="392"/>
      <c r="P298" s="387" t="s">
        <v>74</v>
      </c>
      <c r="Q298" s="388"/>
      <c r="R298" s="388"/>
      <c r="S298" s="388"/>
      <c r="T298" s="388"/>
      <c r="U298" s="388"/>
      <c r="V298" s="389"/>
      <c r="W298" s="38" t="s">
        <v>71</v>
      </c>
      <c r="X298" s="375">
        <f>IFERROR(SUM(X295:X296),"0")</f>
        <v>0</v>
      </c>
      <c r="Y298" s="375">
        <f>IFERROR(SUM(Y295:Y296),"0")</f>
        <v>0</v>
      </c>
      <c r="Z298" s="38"/>
      <c r="AA298" s="376"/>
      <c r="AB298" s="376"/>
      <c r="AC298" s="376"/>
    </row>
    <row r="299" spans="1:68" ht="16.5" customHeight="1" x14ac:dyDescent="0.25">
      <c r="A299" s="419" t="s">
        <v>458</v>
      </c>
      <c r="B299" s="384"/>
      <c r="C299" s="384"/>
      <c r="D299" s="384"/>
      <c r="E299" s="384"/>
      <c r="F299" s="384"/>
      <c r="G299" s="384"/>
      <c r="H299" s="384"/>
      <c r="I299" s="384"/>
      <c r="J299" s="384"/>
      <c r="K299" s="384"/>
      <c r="L299" s="384"/>
      <c r="M299" s="384"/>
      <c r="N299" s="384"/>
      <c r="O299" s="384"/>
      <c r="P299" s="384"/>
      <c r="Q299" s="384"/>
      <c r="R299" s="384"/>
      <c r="S299" s="384"/>
      <c r="T299" s="384"/>
      <c r="U299" s="384"/>
      <c r="V299" s="384"/>
      <c r="W299" s="384"/>
      <c r="X299" s="384"/>
      <c r="Y299" s="384"/>
      <c r="Z299" s="384"/>
      <c r="AA299" s="369"/>
      <c r="AB299" s="369"/>
      <c r="AC299" s="369"/>
    </row>
    <row r="300" spans="1:68" ht="14.25" customHeight="1" x14ac:dyDescent="0.25">
      <c r="A300" s="383" t="s">
        <v>110</v>
      </c>
      <c r="B300" s="384"/>
      <c r="C300" s="384"/>
      <c r="D300" s="384"/>
      <c r="E300" s="384"/>
      <c r="F300" s="384"/>
      <c r="G300" s="384"/>
      <c r="H300" s="384"/>
      <c r="I300" s="384"/>
      <c r="J300" s="384"/>
      <c r="K300" s="384"/>
      <c r="L300" s="384"/>
      <c r="M300" s="384"/>
      <c r="N300" s="384"/>
      <c r="O300" s="384"/>
      <c r="P300" s="384"/>
      <c r="Q300" s="384"/>
      <c r="R300" s="384"/>
      <c r="S300" s="384"/>
      <c r="T300" s="384"/>
      <c r="U300" s="384"/>
      <c r="V300" s="384"/>
      <c r="W300" s="384"/>
      <c r="X300" s="384"/>
      <c r="Y300" s="384"/>
      <c r="Z300" s="384"/>
      <c r="AA300" s="368"/>
      <c r="AB300" s="368"/>
      <c r="AC300" s="368"/>
    </row>
    <row r="301" spans="1:68" ht="27" customHeight="1" x14ac:dyDescent="0.25">
      <c r="A301" s="55" t="s">
        <v>459</v>
      </c>
      <c r="B301" s="55" t="s">
        <v>460</v>
      </c>
      <c r="C301" s="32">
        <v>4301020319</v>
      </c>
      <c r="D301" s="381">
        <v>4680115885240</v>
      </c>
      <c r="E301" s="382"/>
      <c r="F301" s="372">
        <v>0.35</v>
      </c>
      <c r="G301" s="33">
        <v>6</v>
      </c>
      <c r="H301" s="372">
        <v>2.1</v>
      </c>
      <c r="I301" s="372">
        <v>2.31</v>
      </c>
      <c r="J301" s="33">
        <v>182</v>
      </c>
      <c r="K301" s="33" t="s">
        <v>69</v>
      </c>
      <c r="L301" s="33"/>
      <c r="M301" s="34" t="s">
        <v>174</v>
      </c>
      <c r="N301" s="34"/>
      <c r="O301" s="33">
        <v>40</v>
      </c>
      <c r="P301" s="5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01" s="378"/>
      <c r="R301" s="378"/>
      <c r="S301" s="378"/>
      <c r="T301" s="379"/>
      <c r="U301" s="35"/>
      <c r="V301" s="35"/>
      <c r="W301" s="36" t="s">
        <v>71</v>
      </c>
      <c r="X301" s="373">
        <v>0</v>
      </c>
      <c r="Y301" s="374">
        <f>IFERROR(IF(X301="",0,CEILING((X301/$H301),1)*$H301),"")</f>
        <v>0</v>
      </c>
      <c r="Z301" s="37" t="str">
        <f>IFERROR(IF(Y301=0,"",ROUNDUP(Y301/H301,0)*0.00651),"")</f>
        <v/>
      </c>
      <c r="AA301" s="57"/>
      <c r="AB301" s="58"/>
      <c r="AC301" s="332" t="s">
        <v>461</v>
      </c>
      <c r="AG301" s="65"/>
      <c r="AJ301" s="69"/>
      <c r="AK301" s="69">
        <v>0</v>
      </c>
      <c r="BB301" s="333" t="s">
        <v>1</v>
      </c>
      <c r="BM301" s="65">
        <f>IFERROR(X301*I301/H301,"0")</f>
        <v>0</v>
      </c>
      <c r="BN301" s="65">
        <f>IFERROR(Y301*I301/H301,"0")</f>
        <v>0</v>
      </c>
      <c r="BO301" s="65">
        <f>IFERROR(1/J301*(X301/H301),"0")</f>
        <v>0</v>
      </c>
      <c r="BP301" s="65">
        <f>IFERROR(1/J301*(Y301/H301),"0")</f>
        <v>0</v>
      </c>
    </row>
    <row r="302" spans="1:68" x14ac:dyDescent="0.2">
      <c r="A302" s="391"/>
      <c r="B302" s="384"/>
      <c r="C302" s="384"/>
      <c r="D302" s="384"/>
      <c r="E302" s="384"/>
      <c r="F302" s="384"/>
      <c r="G302" s="384"/>
      <c r="H302" s="384"/>
      <c r="I302" s="384"/>
      <c r="J302" s="384"/>
      <c r="K302" s="384"/>
      <c r="L302" s="384"/>
      <c r="M302" s="384"/>
      <c r="N302" s="384"/>
      <c r="O302" s="392"/>
      <c r="P302" s="387" t="s">
        <v>74</v>
      </c>
      <c r="Q302" s="388"/>
      <c r="R302" s="388"/>
      <c r="S302" s="388"/>
      <c r="T302" s="388"/>
      <c r="U302" s="388"/>
      <c r="V302" s="389"/>
      <c r="W302" s="38" t="s">
        <v>75</v>
      </c>
      <c r="X302" s="375">
        <f>IFERROR(X301/H301,"0")</f>
        <v>0</v>
      </c>
      <c r="Y302" s="375">
        <f>IFERROR(Y301/H301,"0")</f>
        <v>0</v>
      </c>
      <c r="Z302" s="375">
        <f>IFERROR(IF(Z301="",0,Z301),"0")</f>
        <v>0</v>
      </c>
      <c r="AA302" s="376"/>
      <c r="AB302" s="376"/>
      <c r="AC302" s="376"/>
    </row>
    <row r="303" spans="1:68" x14ac:dyDescent="0.2">
      <c r="A303" s="384"/>
      <c r="B303" s="384"/>
      <c r="C303" s="384"/>
      <c r="D303" s="384"/>
      <c r="E303" s="384"/>
      <c r="F303" s="384"/>
      <c r="G303" s="384"/>
      <c r="H303" s="384"/>
      <c r="I303" s="384"/>
      <c r="J303" s="384"/>
      <c r="K303" s="384"/>
      <c r="L303" s="384"/>
      <c r="M303" s="384"/>
      <c r="N303" s="384"/>
      <c r="O303" s="392"/>
      <c r="P303" s="387" t="s">
        <v>74</v>
      </c>
      <c r="Q303" s="388"/>
      <c r="R303" s="388"/>
      <c r="S303" s="388"/>
      <c r="T303" s="388"/>
      <c r="U303" s="388"/>
      <c r="V303" s="389"/>
      <c r="W303" s="38" t="s">
        <v>71</v>
      </c>
      <c r="X303" s="375">
        <f>IFERROR(SUM(X301:X301),"0")</f>
        <v>0</v>
      </c>
      <c r="Y303" s="375">
        <f>IFERROR(SUM(Y301:Y301),"0")</f>
        <v>0</v>
      </c>
      <c r="Z303" s="38"/>
      <c r="AA303" s="376"/>
      <c r="AB303" s="376"/>
      <c r="AC303" s="376"/>
    </row>
    <row r="304" spans="1:68" ht="14.25" customHeight="1" x14ac:dyDescent="0.25">
      <c r="A304" s="383" t="s">
        <v>171</v>
      </c>
      <c r="B304" s="384"/>
      <c r="C304" s="384"/>
      <c r="D304" s="384"/>
      <c r="E304" s="384"/>
      <c r="F304" s="384"/>
      <c r="G304" s="384"/>
      <c r="H304" s="384"/>
      <c r="I304" s="384"/>
      <c r="J304" s="384"/>
      <c r="K304" s="384"/>
      <c r="L304" s="384"/>
      <c r="M304" s="384"/>
      <c r="N304" s="384"/>
      <c r="O304" s="384"/>
      <c r="P304" s="384"/>
      <c r="Q304" s="384"/>
      <c r="R304" s="384"/>
      <c r="S304" s="384"/>
      <c r="T304" s="384"/>
      <c r="U304" s="384"/>
      <c r="V304" s="384"/>
      <c r="W304" s="384"/>
      <c r="X304" s="384"/>
      <c r="Y304" s="384"/>
      <c r="Z304" s="384"/>
      <c r="AA304" s="368"/>
      <c r="AB304" s="368"/>
      <c r="AC304" s="368"/>
    </row>
    <row r="305" spans="1:68" ht="27" customHeight="1" x14ac:dyDescent="0.25">
      <c r="A305" s="55" t="s">
        <v>462</v>
      </c>
      <c r="B305" s="55" t="s">
        <v>463</v>
      </c>
      <c r="C305" s="32">
        <v>4301031403</v>
      </c>
      <c r="D305" s="381">
        <v>4680115886094</v>
      </c>
      <c r="E305" s="382"/>
      <c r="F305" s="372">
        <v>0.9</v>
      </c>
      <c r="G305" s="33">
        <v>6</v>
      </c>
      <c r="H305" s="372">
        <v>5.4</v>
      </c>
      <c r="I305" s="372">
        <v>5.59</v>
      </c>
      <c r="J305" s="33">
        <v>132</v>
      </c>
      <c r="K305" s="33" t="s">
        <v>86</v>
      </c>
      <c r="L305" s="33"/>
      <c r="M305" s="34" t="s">
        <v>82</v>
      </c>
      <c r="N305" s="34"/>
      <c r="O305" s="33">
        <v>50</v>
      </c>
      <c r="P305" s="4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05" s="378"/>
      <c r="R305" s="378"/>
      <c r="S305" s="378"/>
      <c r="T305" s="379"/>
      <c r="U305" s="35"/>
      <c r="V305" s="35"/>
      <c r="W305" s="36" t="s">
        <v>71</v>
      </c>
      <c r="X305" s="373">
        <v>0</v>
      </c>
      <c r="Y305" s="374">
        <f>IFERROR(IF(X305="",0,CEILING((X305/$H305),1)*$H305),"")</f>
        <v>0</v>
      </c>
      <c r="Z305" s="37" t="str">
        <f>IFERROR(IF(Y305=0,"",ROUNDUP(Y305/H305,0)*0.00902),"")</f>
        <v/>
      </c>
      <c r="AA305" s="57"/>
      <c r="AB305" s="58"/>
      <c r="AC305" s="334" t="s">
        <v>464</v>
      </c>
      <c r="AG305" s="65"/>
      <c r="AJ305" s="69"/>
      <c r="AK305" s="69">
        <v>0</v>
      </c>
      <c r="BB305" s="335" t="s">
        <v>1</v>
      </c>
      <c r="BM305" s="65">
        <f>IFERROR(X305*I305/H305,"0")</f>
        <v>0</v>
      </c>
      <c r="BN305" s="65">
        <f>IFERROR(Y305*I305/H305,"0")</f>
        <v>0</v>
      </c>
      <c r="BO305" s="65">
        <f>IFERROR(1/J305*(X305/H305),"0")</f>
        <v>0</v>
      </c>
      <c r="BP305" s="65">
        <f>IFERROR(1/J305*(Y305/H305),"0")</f>
        <v>0</v>
      </c>
    </row>
    <row r="306" spans="1:68" x14ac:dyDescent="0.2">
      <c r="A306" s="391"/>
      <c r="B306" s="384"/>
      <c r="C306" s="384"/>
      <c r="D306" s="384"/>
      <c r="E306" s="384"/>
      <c r="F306" s="384"/>
      <c r="G306" s="384"/>
      <c r="H306" s="384"/>
      <c r="I306" s="384"/>
      <c r="J306" s="384"/>
      <c r="K306" s="384"/>
      <c r="L306" s="384"/>
      <c r="M306" s="384"/>
      <c r="N306" s="384"/>
      <c r="O306" s="392"/>
      <c r="P306" s="387" t="s">
        <v>74</v>
      </c>
      <c r="Q306" s="388"/>
      <c r="R306" s="388"/>
      <c r="S306" s="388"/>
      <c r="T306" s="388"/>
      <c r="U306" s="388"/>
      <c r="V306" s="389"/>
      <c r="W306" s="38" t="s">
        <v>75</v>
      </c>
      <c r="X306" s="375">
        <f>IFERROR(X305/H305,"0")</f>
        <v>0</v>
      </c>
      <c r="Y306" s="375">
        <f>IFERROR(Y305/H305,"0")</f>
        <v>0</v>
      </c>
      <c r="Z306" s="375">
        <f>IFERROR(IF(Z305="",0,Z305),"0")</f>
        <v>0</v>
      </c>
      <c r="AA306" s="376"/>
      <c r="AB306" s="376"/>
      <c r="AC306" s="376"/>
    </row>
    <row r="307" spans="1:68" x14ac:dyDescent="0.2">
      <c r="A307" s="384"/>
      <c r="B307" s="384"/>
      <c r="C307" s="384"/>
      <c r="D307" s="384"/>
      <c r="E307" s="384"/>
      <c r="F307" s="384"/>
      <c r="G307" s="384"/>
      <c r="H307" s="384"/>
      <c r="I307" s="384"/>
      <c r="J307" s="384"/>
      <c r="K307" s="384"/>
      <c r="L307" s="384"/>
      <c r="M307" s="384"/>
      <c r="N307" s="384"/>
      <c r="O307" s="392"/>
      <c r="P307" s="387" t="s">
        <v>74</v>
      </c>
      <c r="Q307" s="388"/>
      <c r="R307" s="388"/>
      <c r="S307" s="388"/>
      <c r="T307" s="388"/>
      <c r="U307" s="388"/>
      <c r="V307" s="389"/>
      <c r="W307" s="38" t="s">
        <v>71</v>
      </c>
      <c r="X307" s="375">
        <f>IFERROR(SUM(X305:X305),"0")</f>
        <v>0</v>
      </c>
      <c r="Y307" s="375">
        <f>IFERROR(SUM(Y305:Y305),"0")</f>
        <v>0</v>
      </c>
      <c r="Z307" s="38"/>
      <c r="AA307" s="376"/>
      <c r="AB307" s="376"/>
      <c r="AC307" s="376"/>
    </row>
    <row r="308" spans="1:68" ht="27.75" customHeight="1" x14ac:dyDescent="0.2">
      <c r="A308" s="441" t="s">
        <v>465</v>
      </c>
      <c r="B308" s="442"/>
      <c r="C308" s="442"/>
      <c r="D308" s="442"/>
      <c r="E308" s="442"/>
      <c r="F308" s="442"/>
      <c r="G308" s="442"/>
      <c r="H308" s="442"/>
      <c r="I308" s="442"/>
      <c r="J308" s="442"/>
      <c r="K308" s="442"/>
      <c r="L308" s="442"/>
      <c r="M308" s="442"/>
      <c r="N308" s="442"/>
      <c r="O308" s="442"/>
      <c r="P308" s="442"/>
      <c r="Q308" s="442"/>
      <c r="R308" s="442"/>
      <c r="S308" s="442"/>
      <c r="T308" s="442"/>
      <c r="U308" s="442"/>
      <c r="V308" s="442"/>
      <c r="W308" s="442"/>
      <c r="X308" s="442"/>
      <c r="Y308" s="442"/>
      <c r="Z308" s="442"/>
      <c r="AA308" s="49"/>
      <c r="AB308" s="49"/>
      <c r="AC308" s="49"/>
    </row>
    <row r="309" spans="1:68" ht="16.5" customHeight="1" x14ac:dyDescent="0.25">
      <c r="A309" s="419" t="s">
        <v>465</v>
      </c>
      <c r="B309" s="384"/>
      <c r="C309" s="384"/>
      <c r="D309" s="384"/>
      <c r="E309" s="384"/>
      <c r="F309" s="384"/>
      <c r="G309" s="384"/>
      <c r="H309" s="384"/>
      <c r="I309" s="384"/>
      <c r="J309" s="384"/>
      <c r="K309" s="384"/>
      <c r="L309" s="384"/>
      <c r="M309" s="384"/>
      <c r="N309" s="384"/>
      <c r="O309" s="384"/>
      <c r="P309" s="384"/>
      <c r="Q309" s="384"/>
      <c r="R309" s="384"/>
      <c r="S309" s="384"/>
      <c r="T309" s="384"/>
      <c r="U309" s="384"/>
      <c r="V309" s="384"/>
      <c r="W309" s="384"/>
      <c r="X309" s="384"/>
      <c r="Y309" s="384"/>
      <c r="Z309" s="384"/>
      <c r="AA309" s="369"/>
      <c r="AB309" s="369"/>
      <c r="AC309" s="369"/>
    </row>
    <row r="310" spans="1:68" ht="14.25" customHeight="1" x14ac:dyDescent="0.25">
      <c r="A310" s="383" t="s">
        <v>78</v>
      </c>
      <c r="B310" s="384"/>
      <c r="C310" s="384"/>
      <c r="D310" s="384"/>
      <c r="E310" s="384"/>
      <c r="F310" s="384"/>
      <c r="G310" s="384"/>
      <c r="H310" s="384"/>
      <c r="I310" s="384"/>
      <c r="J310" s="384"/>
      <c r="K310" s="384"/>
      <c r="L310" s="384"/>
      <c r="M310" s="384"/>
      <c r="N310" s="384"/>
      <c r="O310" s="384"/>
      <c r="P310" s="384"/>
      <c r="Q310" s="384"/>
      <c r="R310" s="384"/>
      <c r="S310" s="384"/>
      <c r="T310" s="384"/>
      <c r="U310" s="384"/>
      <c r="V310" s="384"/>
      <c r="W310" s="384"/>
      <c r="X310" s="384"/>
      <c r="Y310" s="384"/>
      <c r="Z310" s="384"/>
      <c r="AA310" s="368"/>
      <c r="AB310" s="368"/>
      <c r="AC310" s="368"/>
    </row>
    <row r="311" spans="1:68" ht="27" customHeight="1" x14ac:dyDescent="0.25">
      <c r="A311" s="55" t="s">
        <v>466</v>
      </c>
      <c r="B311" s="55" t="s">
        <v>467</v>
      </c>
      <c r="C311" s="32">
        <v>4301011795</v>
      </c>
      <c r="D311" s="381">
        <v>4607091389067</v>
      </c>
      <c r="E311" s="382"/>
      <c r="F311" s="372">
        <v>0.88</v>
      </c>
      <c r="G311" s="33">
        <v>6</v>
      </c>
      <c r="H311" s="372">
        <v>5.28</v>
      </c>
      <c r="I311" s="372">
        <v>5.63</v>
      </c>
      <c r="J311" s="33">
        <v>104</v>
      </c>
      <c r="K311" s="33" t="s">
        <v>81</v>
      </c>
      <c r="L311" s="33"/>
      <c r="M311" s="34" t="s">
        <v>82</v>
      </c>
      <c r="N311" s="34"/>
      <c r="O311" s="33">
        <v>60</v>
      </c>
      <c r="P311" s="5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311" s="378"/>
      <c r="R311" s="378"/>
      <c r="S311" s="378"/>
      <c r="T311" s="379"/>
      <c r="U311" s="35"/>
      <c r="V311" s="35"/>
      <c r="W311" s="36" t="s">
        <v>71</v>
      </c>
      <c r="X311" s="373">
        <v>0</v>
      </c>
      <c r="Y311" s="374">
        <f t="shared" ref="Y311:Y317" si="30">IFERROR(IF(X311="",0,CEILING((X311/$H311),1)*$H311),"")</f>
        <v>0</v>
      </c>
      <c r="Z311" s="37" t="str">
        <f>IFERROR(IF(Y311=0,"",ROUNDUP(Y311/H311,0)*0.01196),"")</f>
        <v/>
      </c>
      <c r="AA311" s="57"/>
      <c r="AB311" s="58"/>
      <c r="AC311" s="336" t="s">
        <v>83</v>
      </c>
      <c r="AG311" s="65"/>
      <c r="AJ311" s="69"/>
      <c r="AK311" s="69">
        <v>0</v>
      </c>
      <c r="BB311" s="337" t="s">
        <v>1</v>
      </c>
      <c r="BM311" s="65">
        <f t="shared" ref="BM311:BM317" si="31">IFERROR(X311*I311/H311,"0")</f>
        <v>0</v>
      </c>
      <c r="BN311" s="65">
        <f t="shared" ref="BN311:BN317" si="32">IFERROR(Y311*I311/H311,"0")</f>
        <v>0</v>
      </c>
      <c r="BO311" s="65">
        <f t="shared" ref="BO311:BO317" si="33">IFERROR(1/J311*(X311/H311),"0")</f>
        <v>0</v>
      </c>
      <c r="BP311" s="65">
        <f t="shared" ref="BP311:BP317" si="34">IFERROR(1/J311*(Y311/H311),"0")</f>
        <v>0</v>
      </c>
    </row>
    <row r="312" spans="1:68" ht="27" customHeight="1" x14ac:dyDescent="0.25">
      <c r="A312" s="55" t="s">
        <v>468</v>
      </c>
      <c r="B312" s="55" t="s">
        <v>469</v>
      </c>
      <c r="C312" s="32">
        <v>4301011376</v>
      </c>
      <c r="D312" s="381">
        <v>4680115885226</v>
      </c>
      <c r="E312" s="382"/>
      <c r="F312" s="372">
        <v>0.88</v>
      </c>
      <c r="G312" s="33">
        <v>6</v>
      </c>
      <c r="H312" s="372">
        <v>5.28</v>
      </c>
      <c r="I312" s="372">
        <v>5.63</v>
      </c>
      <c r="J312" s="33">
        <v>104</v>
      </c>
      <c r="K312" s="33" t="s">
        <v>81</v>
      </c>
      <c r="L312" s="33"/>
      <c r="M312" s="34" t="s">
        <v>87</v>
      </c>
      <c r="N312" s="34"/>
      <c r="O312" s="33">
        <v>60</v>
      </c>
      <c r="P312" s="4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312" s="378"/>
      <c r="R312" s="378"/>
      <c r="S312" s="378"/>
      <c r="T312" s="379"/>
      <c r="U312" s="35"/>
      <c r="V312" s="35"/>
      <c r="W312" s="36" t="s">
        <v>71</v>
      </c>
      <c r="X312" s="373">
        <v>400</v>
      </c>
      <c r="Y312" s="374">
        <f t="shared" si="30"/>
        <v>401.28000000000003</v>
      </c>
      <c r="Z312" s="37">
        <f>IFERROR(IF(Y312=0,"",ROUNDUP(Y312/H312,0)*0.01196),"")</f>
        <v>0.90895999999999999</v>
      </c>
      <c r="AA312" s="57"/>
      <c r="AB312" s="58"/>
      <c r="AC312" s="338" t="s">
        <v>470</v>
      </c>
      <c r="AG312" s="65"/>
      <c r="AJ312" s="69"/>
      <c r="AK312" s="69">
        <v>0</v>
      </c>
      <c r="BB312" s="339" t="s">
        <v>1</v>
      </c>
      <c r="BM312" s="65">
        <f t="shared" si="31"/>
        <v>426.5151515151515</v>
      </c>
      <c r="BN312" s="65">
        <f t="shared" si="32"/>
        <v>427.88</v>
      </c>
      <c r="BO312" s="65">
        <f t="shared" si="33"/>
        <v>0.72843822843822836</v>
      </c>
      <c r="BP312" s="65">
        <f t="shared" si="34"/>
        <v>0.73076923076923084</v>
      </c>
    </row>
    <row r="313" spans="1:68" ht="16.5" customHeight="1" x14ac:dyDescent="0.25">
      <c r="A313" s="55" t="s">
        <v>471</v>
      </c>
      <c r="B313" s="55" t="s">
        <v>472</v>
      </c>
      <c r="C313" s="32">
        <v>4301011774</v>
      </c>
      <c r="D313" s="381">
        <v>4680115884502</v>
      </c>
      <c r="E313" s="382"/>
      <c r="F313" s="372">
        <v>0.88</v>
      </c>
      <c r="G313" s="33">
        <v>6</v>
      </c>
      <c r="H313" s="372">
        <v>5.28</v>
      </c>
      <c r="I313" s="372">
        <v>5.63</v>
      </c>
      <c r="J313" s="33">
        <v>104</v>
      </c>
      <c r="K313" s="33" t="s">
        <v>81</v>
      </c>
      <c r="L313" s="33"/>
      <c r="M313" s="34" t="s">
        <v>82</v>
      </c>
      <c r="N313" s="34"/>
      <c r="O313" s="33">
        <v>60</v>
      </c>
      <c r="P313" s="61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313" s="378"/>
      <c r="R313" s="378"/>
      <c r="S313" s="378"/>
      <c r="T313" s="379"/>
      <c r="U313" s="35"/>
      <c r="V313" s="35"/>
      <c r="W313" s="36" t="s">
        <v>71</v>
      </c>
      <c r="X313" s="373">
        <v>0</v>
      </c>
      <c r="Y313" s="374">
        <f t="shared" si="30"/>
        <v>0</v>
      </c>
      <c r="Z313" s="37" t="str">
        <f>IFERROR(IF(Y313=0,"",ROUNDUP(Y313/H313,0)*0.01196),"")</f>
        <v/>
      </c>
      <c r="AA313" s="57"/>
      <c r="AB313" s="58"/>
      <c r="AC313" s="340" t="s">
        <v>473</v>
      </c>
      <c r="AG313" s="65"/>
      <c r="AJ313" s="69"/>
      <c r="AK313" s="69">
        <v>0</v>
      </c>
      <c r="BB313" s="341" t="s">
        <v>1</v>
      </c>
      <c r="BM313" s="65">
        <f t="shared" si="31"/>
        <v>0</v>
      </c>
      <c r="BN313" s="65">
        <f t="shared" si="32"/>
        <v>0</v>
      </c>
      <c r="BO313" s="65">
        <f t="shared" si="33"/>
        <v>0</v>
      </c>
      <c r="BP313" s="65">
        <f t="shared" si="34"/>
        <v>0</v>
      </c>
    </row>
    <row r="314" spans="1:68" ht="27" customHeight="1" x14ac:dyDescent="0.25">
      <c r="A314" s="55" t="s">
        <v>474</v>
      </c>
      <c r="B314" s="55" t="s">
        <v>475</v>
      </c>
      <c r="C314" s="32">
        <v>4301011771</v>
      </c>
      <c r="D314" s="381">
        <v>4607091389104</v>
      </c>
      <c r="E314" s="382"/>
      <c r="F314" s="372">
        <v>0.88</v>
      </c>
      <c r="G314" s="33">
        <v>6</v>
      </c>
      <c r="H314" s="372">
        <v>5.28</v>
      </c>
      <c r="I314" s="372">
        <v>5.63</v>
      </c>
      <c r="J314" s="33">
        <v>104</v>
      </c>
      <c r="K314" s="33" t="s">
        <v>81</v>
      </c>
      <c r="L314" s="33"/>
      <c r="M314" s="34" t="s">
        <v>82</v>
      </c>
      <c r="N314" s="34"/>
      <c r="O314" s="33">
        <v>60</v>
      </c>
      <c r="P314" s="5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314" s="378"/>
      <c r="R314" s="378"/>
      <c r="S314" s="378"/>
      <c r="T314" s="379"/>
      <c r="U314" s="35"/>
      <c r="V314" s="35"/>
      <c r="W314" s="36" t="s">
        <v>71</v>
      </c>
      <c r="X314" s="373">
        <v>0</v>
      </c>
      <c r="Y314" s="374">
        <f t="shared" si="30"/>
        <v>0</v>
      </c>
      <c r="Z314" s="37" t="str">
        <f>IFERROR(IF(Y314=0,"",ROUNDUP(Y314/H314,0)*0.01196),"")</f>
        <v/>
      </c>
      <c r="AA314" s="57"/>
      <c r="AB314" s="58"/>
      <c r="AC314" s="342" t="s">
        <v>476</v>
      </c>
      <c r="AG314" s="65"/>
      <c r="AJ314" s="69"/>
      <c r="AK314" s="69">
        <v>0</v>
      </c>
      <c r="BB314" s="343" t="s">
        <v>1</v>
      </c>
      <c r="BM314" s="65">
        <f t="shared" si="31"/>
        <v>0</v>
      </c>
      <c r="BN314" s="65">
        <f t="shared" si="32"/>
        <v>0</v>
      </c>
      <c r="BO314" s="65">
        <f t="shared" si="33"/>
        <v>0</v>
      </c>
      <c r="BP314" s="65">
        <f t="shared" si="34"/>
        <v>0</v>
      </c>
    </row>
    <row r="315" spans="1:68" ht="27" customHeight="1" x14ac:dyDescent="0.25">
      <c r="A315" s="55" t="s">
        <v>477</v>
      </c>
      <c r="B315" s="55" t="s">
        <v>478</v>
      </c>
      <c r="C315" s="32">
        <v>4301012035</v>
      </c>
      <c r="D315" s="381">
        <v>4680115880603</v>
      </c>
      <c r="E315" s="382"/>
      <c r="F315" s="372">
        <v>0.6</v>
      </c>
      <c r="G315" s="33">
        <v>8</v>
      </c>
      <c r="H315" s="372">
        <v>4.8</v>
      </c>
      <c r="I315" s="372">
        <v>6.91</v>
      </c>
      <c r="J315" s="33">
        <v>132</v>
      </c>
      <c r="K315" s="33" t="s">
        <v>86</v>
      </c>
      <c r="L315" s="33"/>
      <c r="M315" s="34" t="s">
        <v>82</v>
      </c>
      <c r="N315" s="34"/>
      <c r="O315" s="33">
        <v>60</v>
      </c>
      <c r="P315" s="38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315" s="378"/>
      <c r="R315" s="378"/>
      <c r="S315" s="378"/>
      <c r="T315" s="379"/>
      <c r="U315" s="35"/>
      <c r="V315" s="35"/>
      <c r="W315" s="36" t="s">
        <v>71</v>
      </c>
      <c r="X315" s="373">
        <v>0</v>
      </c>
      <c r="Y315" s="374">
        <f t="shared" si="30"/>
        <v>0</v>
      </c>
      <c r="Z315" s="37" t="str">
        <f>IFERROR(IF(Y315=0,"",ROUNDUP(Y315/H315,0)*0.00902),"")</f>
        <v/>
      </c>
      <c r="AA315" s="57"/>
      <c r="AB315" s="58"/>
      <c r="AC315" s="344" t="s">
        <v>83</v>
      </c>
      <c r="AG315" s="65"/>
      <c r="AJ315" s="69"/>
      <c r="AK315" s="69">
        <v>0</v>
      </c>
      <c r="BB315" s="345" t="s">
        <v>1</v>
      </c>
      <c r="BM315" s="65">
        <f t="shared" si="31"/>
        <v>0</v>
      </c>
      <c r="BN315" s="65">
        <f t="shared" si="32"/>
        <v>0</v>
      </c>
      <c r="BO315" s="65">
        <f t="shared" si="33"/>
        <v>0</v>
      </c>
      <c r="BP315" s="65">
        <f t="shared" si="34"/>
        <v>0</v>
      </c>
    </row>
    <row r="316" spans="1:68" ht="27" customHeight="1" x14ac:dyDescent="0.25">
      <c r="A316" s="55" t="s">
        <v>479</v>
      </c>
      <c r="B316" s="55" t="s">
        <v>480</v>
      </c>
      <c r="C316" s="32">
        <v>4301012036</v>
      </c>
      <c r="D316" s="381">
        <v>4680115882782</v>
      </c>
      <c r="E316" s="382"/>
      <c r="F316" s="372">
        <v>0.6</v>
      </c>
      <c r="G316" s="33">
        <v>8</v>
      </c>
      <c r="H316" s="372">
        <v>4.8</v>
      </c>
      <c r="I316" s="372">
        <v>6.96</v>
      </c>
      <c r="J316" s="33">
        <v>120</v>
      </c>
      <c r="K316" s="33" t="s">
        <v>86</v>
      </c>
      <c r="L316" s="33"/>
      <c r="M316" s="34" t="s">
        <v>82</v>
      </c>
      <c r="N316" s="34"/>
      <c r="O316" s="33">
        <v>60</v>
      </c>
      <c r="P316" s="42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316" s="378"/>
      <c r="R316" s="378"/>
      <c r="S316" s="378"/>
      <c r="T316" s="379"/>
      <c r="U316" s="35"/>
      <c r="V316" s="35"/>
      <c r="W316" s="36" t="s">
        <v>71</v>
      </c>
      <c r="X316" s="373">
        <v>180</v>
      </c>
      <c r="Y316" s="374">
        <f t="shared" si="30"/>
        <v>182.4</v>
      </c>
      <c r="Z316" s="37">
        <f>IFERROR(IF(Y316=0,"",ROUNDUP(Y316/H316,0)*0.00937),"")</f>
        <v>0.35605999999999999</v>
      </c>
      <c r="AA316" s="57"/>
      <c r="AB316" s="58"/>
      <c r="AC316" s="346" t="s">
        <v>481</v>
      </c>
      <c r="AG316" s="65"/>
      <c r="AJ316" s="69"/>
      <c r="AK316" s="69">
        <v>0</v>
      </c>
      <c r="BB316" s="347" t="s">
        <v>1</v>
      </c>
      <c r="BM316" s="65">
        <f t="shared" si="31"/>
        <v>261</v>
      </c>
      <c r="BN316" s="65">
        <f t="shared" si="32"/>
        <v>264.48</v>
      </c>
      <c r="BO316" s="65">
        <f t="shared" si="33"/>
        <v>0.3125</v>
      </c>
      <c r="BP316" s="65">
        <f t="shared" si="34"/>
        <v>0.31666666666666665</v>
      </c>
    </row>
    <row r="317" spans="1:68" ht="27" customHeight="1" x14ac:dyDescent="0.25">
      <c r="A317" s="55" t="s">
        <v>482</v>
      </c>
      <c r="B317" s="55" t="s">
        <v>483</v>
      </c>
      <c r="C317" s="32">
        <v>4301012034</v>
      </c>
      <c r="D317" s="381">
        <v>4607091389982</v>
      </c>
      <c r="E317" s="382"/>
      <c r="F317" s="372">
        <v>0.6</v>
      </c>
      <c r="G317" s="33">
        <v>8</v>
      </c>
      <c r="H317" s="372">
        <v>4.8</v>
      </c>
      <c r="I317" s="372">
        <v>6.91</v>
      </c>
      <c r="J317" s="33">
        <v>132</v>
      </c>
      <c r="K317" s="33" t="s">
        <v>86</v>
      </c>
      <c r="L317" s="33"/>
      <c r="M317" s="34" t="s">
        <v>82</v>
      </c>
      <c r="N317" s="34"/>
      <c r="O317" s="33">
        <v>60</v>
      </c>
      <c r="P317" s="5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317" s="378"/>
      <c r="R317" s="378"/>
      <c r="S317" s="378"/>
      <c r="T317" s="379"/>
      <c r="U317" s="35"/>
      <c r="V317" s="35"/>
      <c r="W317" s="36" t="s">
        <v>71</v>
      </c>
      <c r="X317" s="373">
        <v>0</v>
      </c>
      <c r="Y317" s="374">
        <f t="shared" si="30"/>
        <v>0</v>
      </c>
      <c r="Z317" s="37" t="str">
        <f>IFERROR(IF(Y317=0,"",ROUNDUP(Y317/H317,0)*0.00902),"")</f>
        <v/>
      </c>
      <c r="AA317" s="57"/>
      <c r="AB317" s="58"/>
      <c r="AC317" s="348" t="s">
        <v>476</v>
      </c>
      <c r="AG317" s="65"/>
      <c r="AJ317" s="69"/>
      <c r="AK317" s="69">
        <v>0</v>
      </c>
      <c r="BB317" s="349" t="s">
        <v>1</v>
      </c>
      <c r="BM317" s="65">
        <f t="shared" si="31"/>
        <v>0</v>
      </c>
      <c r="BN317" s="65">
        <f t="shared" si="32"/>
        <v>0</v>
      </c>
      <c r="BO317" s="65">
        <f t="shared" si="33"/>
        <v>0</v>
      </c>
      <c r="BP317" s="65">
        <f t="shared" si="34"/>
        <v>0</v>
      </c>
    </row>
    <row r="318" spans="1:68" x14ac:dyDescent="0.2">
      <c r="A318" s="391"/>
      <c r="B318" s="384"/>
      <c r="C318" s="384"/>
      <c r="D318" s="384"/>
      <c r="E318" s="384"/>
      <c r="F318" s="384"/>
      <c r="G318" s="384"/>
      <c r="H318" s="384"/>
      <c r="I318" s="384"/>
      <c r="J318" s="384"/>
      <c r="K318" s="384"/>
      <c r="L318" s="384"/>
      <c r="M318" s="384"/>
      <c r="N318" s="384"/>
      <c r="O318" s="392"/>
      <c r="P318" s="387" t="s">
        <v>74</v>
      </c>
      <c r="Q318" s="388"/>
      <c r="R318" s="388"/>
      <c r="S318" s="388"/>
      <c r="T318" s="388"/>
      <c r="U318" s="388"/>
      <c r="V318" s="389"/>
      <c r="W318" s="38" t="s">
        <v>75</v>
      </c>
      <c r="X318" s="375">
        <f>IFERROR(X311/H311,"0")+IFERROR(X312/H312,"0")+IFERROR(X313/H313,"0")+IFERROR(X314/H314,"0")+IFERROR(X315/H315,"0")+IFERROR(X316/H316,"0")+IFERROR(X317/H317,"0")</f>
        <v>113.25757575757575</v>
      </c>
      <c r="Y318" s="375">
        <f>IFERROR(Y311/H311,"0")+IFERROR(Y312/H312,"0")+IFERROR(Y313/H313,"0")+IFERROR(Y314/H314,"0")+IFERROR(Y315/H315,"0")+IFERROR(Y316/H316,"0")+IFERROR(Y317/H317,"0")</f>
        <v>114</v>
      </c>
      <c r="Z318" s="375">
        <f>IFERROR(IF(Z311="",0,Z311),"0")+IFERROR(IF(Z312="",0,Z312),"0")+IFERROR(IF(Z313="",0,Z313),"0")+IFERROR(IF(Z314="",0,Z314),"0")+IFERROR(IF(Z315="",0,Z315),"0")+IFERROR(IF(Z316="",0,Z316),"0")+IFERROR(IF(Z317="",0,Z317),"0")</f>
        <v>1.26502</v>
      </c>
      <c r="AA318" s="376"/>
      <c r="AB318" s="376"/>
      <c r="AC318" s="376"/>
    </row>
    <row r="319" spans="1:68" x14ac:dyDescent="0.2">
      <c r="A319" s="384"/>
      <c r="B319" s="384"/>
      <c r="C319" s="384"/>
      <c r="D319" s="384"/>
      <c r="E319" s="384"/>
      <c r="F319" s="384"/>
      <c r="G319" s="384"/>
      <c r="H319" s="384"/>
      <c r="I319" s="384"/>
      <c r="J319" s="384"/>
      <c r="K319" s="384"/>
      <c r="L319" s="384"/>
      <c r="M319" s="384"/>
      <c r="N319" s="384"/>
      <c r="O319" s="392"/>
      <c r="P319" s="387" t="s">
        <v>74</v>
      </c>
      <c r="Q319" s="388"/>
      <c r="R319" s="388"/>
      <c r="S319" s="388"/>
      <c r="T319" s="388"/>
      <c r="U319" s="388"/>
      <c r="V319" s="389"/>
      <c r="W319" s="38" t="s">
        <v>71</v>
      </c>
      <c r="X319" s="375">
        <f>IFERROR(SUM(X311:X317),"0")</f>
        <v>580</v>
      </c>
      <c r="Y319" s="375">
        <f>IFERROR(SUM(Y311:Y317),"0")</f>
        <v>583.68000000000006</v>
      </c>
      <c r="Z319" s="38"/>
      <c r="AA319" s="376"/>
      <c r="AB319" s="376"/>
      <c r="AC319" s="376"/>
    </row>
    <row r="320" spans="1:68" ht="14.25" customHeight="1" x14ac:dyDescent="0.25">
      <c r="A320" s="383" t="s">
        <v>110</v>
      </c>
      <c r="B320" s="384"/>
      <c r="C320" s="384"/>
      <c r="D320" s="384"/>
      <c r="E320" s="384"/>
      <c r="F320" s="384"/>
      <c r="G320" s="384"/>
      <c r="H320" s="384"/>
      <c r="I320" s="384"/>
      <c r="J320" s="384"/>
      <c r="K320" s="384"/>
      <c r="L320" s="384"/>
      <c r="M320" s="384"/>
      <c r="N320" s="384"/>
      <c r="O320" s="384"/>
      <c r="P320" s="384"/>
      <c r="Q320" s="384"/>
      <c r="R320" s="384"/>
      <c r="S320" s="384"/>
      <c r="T320" s="384"/>
      <c r="U320" s="384"/>
      <c r="V320" s="384"/>
      <c r="W320" s="384"/>
      <c r="X320" s="384"/>
      <c r="Y320" s="384"/>
      <c r="Z320" s="384"/>
      <c r="AA320" s="368"/>
      <c r="AB320" s="368"/>
      <c r="AC320" s="368"/>
    </row>
    <row r="321" spans="1:68" ht="16.5" customHeight="1" x14ac:dyDescent="0.25">
      <c r="A321" s="55" t="s">
        <v>484</v>
      </c>
      <c r="B321" s="55" t="s">
        <v>485</v>
      </c>
      <c r="C321" s="32">
        <v>4301020334</v>
      </c>
      <c r="D321" s="381">
        <v>4607091388930</v>
      </c>
      <c r="E321" s="382"/>
      <c r="F321" s="372">
        <v>0.88</v>
      </c>
      <c r="G321" s="33">
        <v>6</v>
      </c>
      <c r="H321" s="372">
        <v>5.28</v>
      </c>
      <c r="I321" s="372">
        <v>5.63</v>
      </c>
      <c r="J321" s="33">
        <v>104</v>
      </c>
      <c r="K321" s="33" t="s">
        <v>81</v>
      </c>
      <c r="L321" s="33"/>
      <c r="M321" s="34" t="s">
        <v>87</v>
      </c>
      <c r="N321" s="34"/>
      <c r="O321" s="33">
        <v>70</v>
      </c>
      <c r="P321" s="56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321" s="378"/>
      <c r="R321" s="378"/>
      <c r="S321" s="378"/>
      <c r="T321" s="379"/>
      <c r="U321" s="35"/>
      <c r="V321" s="35"/>
      <c r="W321" s="36" t="s">
        <v>71</v>
      </c>
      <c r="X321" s="373">
        <v>300</v>
      </c>
      <c r="Y321" s="374">
        <f>IFERROR(IF(X321="",0,CEILING((X321/$H321),1)*$H321),"")</f>
        <v>300.96000000000004</v>
      </c>
      <c r="Z321" s="37">
        <f>IFERROR(IF(Y321=0,"",ROUNDUP(Y321/H321,0)*0.01196),"")</f>
        <v>0.68171999999999999</v>
      </c>
      <c r="AA321" s="57"/>
      <c r="AB321" s="58"/>
      <c r="AC321" s="350" t="s">
        <v>486</v>
      </c>
      <c r="AG321" s="65"/>
      <c r="AJ321" s="69"/>
      <c r="AK321" s="69">
        <v>0</v>
      </c>
      <c r="BB321" s="351" t="s">
        <v>1</v>
      </c>
      <c r="BM321" s="65">
        <f>IFERROR(X321*I321/H321,"0")</f>
        <v>319.88636363636363</v>
      </c>
      <c r="BN321" s="65">
        <f>IFERROR(Y321*I321/H321,"0")</f>
        <v>320.91000000000003</v>
      </c>
      <c r="BO321" s="65">
        <f>IFERROR(1/J321*(X321/H321),"0")</f>
        <v>0.54632867132867136</v>
      </c>
      <c r="BP321" s="65">
        <f>IFERROR(1/J321*(Y321/H321),"0")</f>
        <v>0.54807692307692313</v>
      </c>
    </row>
    <row r="322" spans="1:68" ht="16.5" customHeight="1" x14ac:dyDescent="0.25">
      <c r="A322" s="55" t="s">
        <v>487</v>
      </c>
      <c r="B322" s="55" t="s">
        <v>488</v>
      </c>
      <c r="C322" s="32">
        <v>4301020385</v>
      </c>
      <c r="D322" s="381">
        <v>4680115880054</v>
      </c>
      <c r="E322" s="382"/>
      <c r="F322" s="372">
        <v>0.6</v>
      </c>
      <c r="G322" s="33">
        <v>8</v>
      </c>
      <c r="H322" s="372">
        <v>4.8</v>
      </c>
      <c r="I322" s="372">
        <v>6.91</v>
      </c>
      <c r="J322" s="33">
        <v>132</v>
      </c>
      <c r="K322" s="33" t="s">
        <v>86</v>
      </c>
      <c r="L322" s="33"/>
      <c r="M322" s="34" t="s">
        <v>82</v>
      </c>
      <c r="N322" s="34"/>
      <c r="O322" s="33">
        <v>70</v>
      </c>
      <c r="P322" s="51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322" s="378"/>
      <c r="R322" s="378"/>
      <c r="S322" s="378"/>
      <c r="T322" s="379"/>
      <c r="U322" s="35"/>
      <c r="V322" s="35"/>
      <c r="W322" s="36" t="s">
        <v>71</v>
      </c>
      <c r="X322" s="373">
        <v>0</v>
      </c>
      <c r="Y322" s="374">
        <f>IFERROR(IF(X322="",0,CEILING((X322/$H322),1)*$H322),"")</f>
        <v>0</v>
      </c>
      <c r="Z322" s="37" t="str">
        <f>IFERROR(IF(Y322=0,"",ROUNDUP(Y322/H322,0)*0.00902),"")</f>
        <v/>
      </c>
      <c r="AA322" s="57"/>
      <c r="AB322" s="58"/>
      <c r="AC322" s="352" t="s">
        <v>486</v>
      </c>
      <c r="AG322" s="65"/>
      <c r="AJ322" s="69"/>
      <c r="AK322" s="69">
        <v>0</v>
      </c>
      <c r="BB322" s="353" t="s">
        <v>1</v>
      </c>
      <c r="BM322" s="65">
        <f>IFERROR(X322*I322/H322,"0")</f>
        <v>0</v>
      </c>
      <c r="BN322" s="65">
        <f>IFERROR(Y322*I322/H322,"0")</f>
        <v>0</v>
      </c>
      <c r="BO322" s="65">
        <f>IFERROR(1/J322*(X322/H322),"0")</f>
        <v>0</v>
      </c>
      <c r="BP322" s="65">
        <f>IFERROR(1/J322*(Y322/H322),"0")</f>
        <v>0</v>
      </c>
    </row>
    <row r="323" spans="1:68" x14ac:dyDescent="0.2">
      <c r="A323" s="391"/>
      <c r="B323" s="384"/>
      <c r="C323" s="384"/>
      <c r="D323" s="384"/>
      <c r="E323" s="384"/>
      <c r="F323" s="384"/>
      <c r="G323" s="384"/>
      <c r="H323" s="384"/>
      <c r="I323" s="384"/>
      <c r="J323" s="384"/>
      <c r="K323" s="384"/>
      <c r="L323" s="384"/>
      <c r="M323" s="384"/>
      <c r="N323" s="384"/>
      <c r="O323" s="392"/>
      <c r="P323" s="387" t="s">
        <v>74</v>
      </c>
      <c r="Q323" s="388"/>
      <c r="R323" s="388"/>
      <c r="S323" s="388"/>
      <c r="T323" s="388"/>
      <c r="U323" s="388"/>
      <c r="V323" s="389"/>
      <c r="W323" s="38" t="s">
        <v>75</v>
      </c>
      <c r="X323" s="375">
        <f>IFERROR(X321/H321,"0")+IFERROR(X322/H322,"0")</f>
        <v>56.818181818181813</v>
      </c>
      <c r="Y323" s="375">
        <f>IFERROR(Y321/H321,"0")+IFERROR(Y322/H322,"0")</f>
        <v>57.000000000000007</v>
      </c>
      <c r="Z323" s="375">
        <f>IFERROR(IF(Z321="",0,Z321),"0")+IFERROR(IF(Z322="",0,Z322),"0")</f>
        <v>0.68171999999999999</v>
      </c>
      <c r="AA323" s="376"/>
      <c r="AB323" s="376"/>
      <c r="AC323" s="376"/>
    </row>
    <row r="324" spans="1:68" x14ac:dyDescent="0.2">
      <c r="A324" s="384"/>
      <c r="B324" s="384"/>
      <c r="C324" s="384"/>
      <c r="D324" s="384"/>
      <c r="E324" s="384"/>
      <c r="F324" s="384"/>
      <c r="G324" s="384"/>
      <c r="H324" s="384"/>
      <c r="I324" s="384"/>
      <c r="J324" s="384"/>
      <c r="K324" s="384"/>
      <c r="L324" s="384"/>
      <c r="M324" s="384"/>
      <c r="N324" s="384"/>
      <c r="O324" s="392"/>
      <c r="P324" s="387" t="s">
        <v>74</v>
      </c>
      <c r="Q324" s="388"/>
      <c r="R324" s="388"/>
      <c r="S324" s="388"/>
      <c r="T324" s="388"/>
      <c r="U324" s="388"/>
      <c r="V324" s="389"/>
      <c r="W324" s="38" t="s">
        <v>71</v>
      </c>
      <c r="X324" s="375">
        <f>IFERROR(SUM(X321:X322),"0")</f>
        <v>300</v>
      </c>
      <c r="Y324" s="375">
        <f>IFERROR(SUM(Y321:Y322),"0")</f>
        <v>300.96000000000004</v>
      </c>
      <c r="Z324" s="38"/>
      <c r="AA324" s="376"/>
      <c r="AB324" s="376"/>
      <c r="AC324" s="376"/>
    </row>
    <row r="325" spans="1:68" ht="14.25" customHeight="1" x14ac:dyDescent="0.25">
      <c r="A325" s="383" t="s">
        <v>171</v>
      </c>
      <c r="B325" s="384"/>
      <c r="C325" s="384"/>
      <c r="D325" s="384"/>
      <c r="E325" s="384"/>
      <c r="F325" s="384"/>
      <c r="G325" s="384"/>
      <c r="H325" s="384"/>
      <c r="I325" s="384"/>
      <c r="J325" s="384"/>
      <c r="K325" s="384"/>
      <c r="L325" s="384"/>
      <c r="M325" s="384"/>
      <c r="N325" s="384"/>
      <c r="O325" s="384"/>
      <c r="P325" s="384"/>
      <c r="Q325" s="384"/>
      <c r="R325" s="384"/>
      <c r="S325" s="384"/>
      <c r="T325" s="384"/>
      <c r="U325" s="384"/>
      <c r="V325" s="384"/>
      <c r="W325" s="384"/>
      <c r="X325" s="384"/>
      <c r="Y325" s="384"/>
      <c r="Z325" s="384"/>
      <c r="AA325" s="368"/>
      <c r="AB325" s="368"/>
      <c r="AC325" s="368"/>
    </row>
    <row r="326" spans="1:68" ht="27" customHeight="1" x14ac:dyDescent="0.25">
      <c r="A326" s="55" t="s">
        <v>489</v>
      </c>
      <c r="B326" s="55" t="s">
        <v>490</v>
      </c>
      <c r="C326" s="32">
        <v>4301031349</v>
      </c>
      <c r="D326" s="381">
        <v>4680115883116</v>
      </c>
      <c r="E326" s="382"/>
      <c r="F326" s="372">
        <v>0.88</v>
      </c>
      <c r="G326" s="33">
        <v>6</v>
      </c>
      <c r="H326" s="372">
        <v>5.28</v>
      </c>
      <c r="I326" s="372">
        <v>5.63</v>
      </c>
      <c r="J326" s="33">
        <v>104</v>
      </c>
      <c r="K326" s="33" t="s">
        <v>81</v>
      </c>
      <c r="L326" s="33"/>
      <c r="M326" s="34" t="s">
        <v>82</v>
      </c>
      <c r="N326" s="34"/>
      <c r="O326" s="33">
        <v>70</v>
      </c>
      <c r="P326" s="40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326" s="378"/>
      <c r="R326" s="378"/>
      <c r="S326" s="378"/>
      <c r="T326" s="379"/>
      <c r="U326" s="35"/>
      <c r="V326" s="35"/>
      <c r="W326" s="36" t="s">
        <v>71</v>
      </c>
      <c r="X326" s="373">
        <v>250</v>
      </c>
      <c r="Y326" s="374">
        <f t="shared" ref="Y326:Y331" si="35">IFERROR(IF(X326="",0,CEILING((X326/$H326),1)*$H326),"")</f>
        <v>253.44</v>
      </c>
      <c r="Z326" s="37">
        <f>IFERROR(IF(Y326=0,"",ROUNDUP(Y326/H326,0)*0.01196),"")</f>
        <v>0.57408000000000003</v>
      </c>
      <c r="AA326" s="57"/>
      <c r="AB326" s="58"/>
      <c r="AC326" s="354" t="s">
        <v>491</v>
      </c>
      <c r="AG326" s="65"/>
      <c r="AJ326" s="69"/>
      <c r="AK326" s="69">
        <v>0</v>
      </c>
      <c r="BB326" s="355" t="s">
        <v>1</v>
      </c>
      <c r="BM326" s="65">
        <f t="shared" ref="BM326:BM331" si="36">IFERROR(X326*I326/H326,"0")</f>
        <v>266.57196969696969</v>
      </c>
      <c r="BN326" s="65">
        <f t="shared" ref="BN326:BN331" si="37">IFERROR(Y326*I326/H326,"0")</f>
        <v>270.23999999999995</v>
      </c>
      <c r="BO326" s="65">
        <f t="shared" ref="BO326:BO331" si="38">IFERROR(1/J326*(X326/H326),"0")</f>
        <v>0.45527389277389274</v>
      </c>
      <c r="BP326" s="65">
        <f t="shared" ref="BP326:BP331" si="39">IFERROR(1/J326*(Y326/H326),"0")</f>
        <v>0.46153846153846156</v>
      </c>
    </row>
    <row r="327" spans="1:68" ht="27" customHeight="1" x14ac:dyDescent="0.25">
      <c r="A327" s="55" t="s">
        <v>492</v>
      </c>
      <c r="B327" s="55" t="s">
        <v>493</v>
      </c>
      <c r="C327" s="32">
        <v>4301031350</v>
      </c>
      <c r="D327" s="381">
        <v>4680115883093</v>
      </c>
      <c r="E327" s="382"/>
      <c r="F327" s="372">
        <v>0.88</v>
      </c>
      <c r="G327" s="33">
        <v>6</v>
      </c>
      <c r="H327" s="372">
        <v>5.28</v>
      </c>
      <c r="I327" s="372">
        <v>5.63</v>
      </c>
      <c r="J327" s="33">
        <v>104</v>
      </c>
      <c r="K327" s="33" t="s">
        <v>81</v>
      </c>
      <c r="L327" s="33"/>
      <c r="M327" s="34" t="s">
        <v>174</v>
      </c>
      <c r="N327" s="34"/>
      <c r="O327" s="33">
        <v>70</v>
      </c>
      <c r="P327" s="53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327" s="378"/>
      <c r="R327" s="378"/>
      <c r="S327" s="378"/>
      <c r="T327" s="379"/>
      <c r="U327" s="35"/>
      <c r="V327" s="35"/>
      <c r="W327" s="36" t="s">
        <v>71</v>
      </c>
      <c r="X327" s="373">
        <v>200</v>
      </c>
      <c r="Y327" s="374">
        <f t="shared" si="35"/>
        <v>200.64000000000001</v>
      </c>
      <c r="Z327" s="37">
        <f>IFERROR(IF(Y327=0,"",ROUNDUP(Y327/H327,0)*0.01196),"")</f>
        <v>0.45448</v>
      </c>
      <c r="AA327" s="57"/>
      <c r="AB327" s="58"/>
      <c r="AC327" s="356" t="s">
        <v>494</v>
      </c>
      <c r="AG327" s="65"/>
      <c r="AJ327" s="69"/>
      <c r="AK327" s="69">
        <v>0</v>
      </c>
      <c r="BB327" s="357" t="s">
        <v>1</v>
      </c>
      <c r="BM327" s="65">
        <f t="shared" si="36"/>
        <v>213.25757575757575</v>
      </c>
      <c r="BN327" s="65">
        <f t="shared" si="37"/>
        <v>213.94</v>
      </c>
      <c r="BO327" s="65">
        <f t="shared" si="38"/>
        <v>0.36421911421911418</v>
      </c>
      <c r="BP327" s="65">
        <f t="shared" si="39"/>
        <v>0.36538461538461542</v>
      </c>
    </row>
    <row r="328" spans="1:68" ht="27" customHeight="1" x14ac:dyDescent="0.25">
      <c r="A328" s="55" t="s">
        <v>495</v>
      </c>
      <c r="B328" s="55" t="s">
        <v>496</v>
      </c>
      <c r="C328" s="32">
        <v>4301031353</v>
      </c>
      <c r="D328" s="381">
        <v>4680115883109</v>
      </c>
      <c r="E328" s="382"/>
      <c r="F328" s="372">
        <v>0.88</v>
      </c>
      <c r="G328" s="33">
        <v>6</v>
      </c>
      <c r="H328" s="372">
        <v>5.28</v>
      </c>
      <c r="I328" s="372">
        <v>5.63</v>
      </c>
      <c r="J328" s="33">
        <v>104</v>
      </c>
      <c r="K328" s="33" t="s">
        <v>81</v>
      </c>
      <c r="L328" s="33"/>
      <c r="M328" s="34" t="s">
        <v>174</v>
      </c>
      <c r="N328" s="34"/>
      <c r="O328" s="33">
        <v>70</v>
      </c>
      <c r="P328" s="3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328" s="378"/>
      <c r="R328" s="378"/>
      <c r="S328" s="378"/>
      <c r="T328" s="379"/>
      <c r="U328" s="35"/>
      <c r="V328" s="35"/>
      <c r="W328" s="36" t="s">
        <v>71</v>
      </c>
      <c r="X328" s="373">
        <v>200</v>
      </c>
      <c r="Y328" s="374">
        <f t="shared" si="35"/>
        <v>200.64000000000001</v>
      </c>
      <c r="Z328" s="37">
        <f>IFERROR(IF(Y328=0,"",ROUNDUP(Y328/H328,0)*0.01196),"")</f>
        <v>0.45448</v>
      </c>
      <c r="AA328" s="57"/>
      <c r="AB328" s="58"/>
      <c r="AC328" s="358" t="s">
        <v>497</v>
      </c>
      <c r="AG328" s="65"/>
      <c r="AJ328" s="69"/>
      <c r="AK328" s="69">
        <v>0</v>
      </c>
      <c r="BB328" s="359" t="s">
        <v>1</v>
      </c>
      <c r="BM328" s="65">
        <f t="shared" si="36"/>
        <v>213.25757575757575</v>
      </c>
      <c r="BN328" s="65">
        <f t="shared" si="37"/>
        <v>213.94</v>
      </c>
      <c r="BO328" s="65">
        <f t="shared" si="38"/>
        <v>0.36421911421911418</v>
      </c>
      <c r="BP328" s="65">
        <f t="shared" si="39"/>
        <v>0.36538461538461542</v>
      </c>
    </row>
    <row r="329" spans="1:68" ht="27" customHeight="1" x14ac:dyDescent="0.25">
      <c r="A329" s="55" t="s">
        <v>498</v>
      </c>
      <c r="B329" s="55" t="s">
        <v>499</v>
      </c>
      <c r="C329" s="32">
        <v>4301031419</v>
      </c>
      <c r="D329" s="381">
        <v>4680115882072</v>
      </c>
      <c r="E329" s="382"/>
      <c r="F329" s="372">
        <v>0.6</v>
      </c>
      <c r="G329" s="33">
        <v>8</v>
      </c>
      <c r="H329" s="372">
        <v>4.8</v>
      </c>
      <c r="I329" s="372">
        <v>6.91</v>
      </c>
      <c r="J329" s="33">
        <v>132</v>
      </c>
      <c r="K329" s="33" t="s">
        <v>86</v>
      </c>
      <c r="L329" s="33"/>
      <c r="M329" s="34" t="s">
        <v>82</v>
      </c>
      <c r="N329" s="34"/>
      <c r="O329" s="33">
        <v>70</v>
      </c>
      <c r="P329" s="4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329" s="378"/>
      <c r="R329" s="378"/>
      <c r="S329" s="378"/>
      <c r="T329" s="379"/>
      <c r="U329" s="35"/>
      <c r="V329" s="35"/>
      <c r="W329" s="36" t="s">
        <v>71</v>
      </c>
      <c r="X329" s="373">
        <v>0</v>
      </c>
      <c r="Y329" s="374">
        <f t="shared" si="35"/>
        <v>0</v>
      </c>
      <c r="Z329" s="37" t="str">
        <f>IFERROR(IF(Y329=0,"",ROUNDUP(Y329/H329,0)*0.00902),"")</f>
        <v/>
      </c>
      <c r="AA329" s="57"/>
      <c r="AB329" s="58"/>
      <c r="AC329" s="360" t="s">
        <v>491</v>
      </c>
      <c r="AG329" s="65"/>
      <c r="AJ329" s="69"/>
      <c r="AK329" s="69">
        <v>0</v>
      </c>
      <c r="BB329" s="361" t="s">
        <v>1</v>
      </c>
      <c r="BM329" s="65">
        <f t="shared" si="36"/>
        <v>0</v>
      </c>
      <c r="BN329" s="65">
        <f t="shared" si="37"/>
        <v>0</v>
      </c>
      <c r="BO329" s="65">
        <f t="shared" si="38"/>
        <v>0</v>
      </c>
      <c r="BP329" s="65">
        <f t="shared" si="39"/>
        <v>0</v>
      </c>
    </row>
    <row r="330" spans="1:68" ht="27" customHeight="1" x14ac:dyDescent="0.25">
      <c r="A330" s="55" t="s">
        <v>500</v>
      </c>
      <c r="B330" s="55" t="s">
        <v>501</v>
      </c>
      <c r="C330" s="32">
        <v>4301031418</v>
      </c>
      <c r="D330" s="381">
        <v>4680115882102</v>
      </c>
      <c r="E330" s="382"/>
      <c r="F330" s="372">
        <v>0.6</v>
      </c>
      <c r="G330" s="33">
        <v>8</v>
      </c>
      <c r="H330" s="372">
        <v>4.8</v>
      </c>
      <c r="I330" s="372">
        <v>6.67</v>
      </c>
      <c r="J330" s="33">
        <v>132</v>
      </c>
      <c r="K330" s="33" t="s">
        <v>86</v>
      </c>
      <c r="L330" s="33"/>
      <c r="M330" s="34" t="s">
        <v>174</v>
      </c>
      <c r="N330" s="34"/>
      <c r="O330" s="33">
        <v>70</v>
      </c>
      <c r="P330" s="52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330" s="378"/>
      <c r="R330" s="378"/>
      <c r="S330" s="378"/>
      <c r="T330" s="379"/>
      <c r="U330" s="35"/>
      <c r="V330" s="35"/>
      <c r="W330" s="36" t="s">
        <v>71</v>
      </c>
      <c r="X330" s="373">
        <v>0</v>
      </c>
      <c r="Y330" s="374">
        <f t="shared" si="35"/>
        <v>0</v>
      </c>
      <c r="Z330" s="37" t="str">
        <f>IFERROR(IF(Y330=0,"",ROUNDUP(Y330/H330,0)*0.00902),"")</f>
        <v/>
      </c>
      <c r="AA330" s="57"/>
      <c r="AB330" s="58"/>
      <c r="AC330" s="362" t="s">
        <v>494</v>
      </c>
      <c r="AG330" s="65"/>
      <c r="AJ330" s="69"/>
      <c r="AK330" s="69">
        <v>0</v>
      </c>
      <c r="BB330" s="363" t="s">
        <v>1</v>
      </c>
      <c r="BM330" s="65">
        <f t="shared" si="36"/>
        <v>0</v>
      </c>
      <c r="BN330" s="65">
        <f t="shared" si="37"/>
        <v>0</v>
      </c>
      <c r="BO330" s="65">
        <f t="shared" si="38"/>
        <v>0</v>
      </c>
      <c r="BP330" s="65">
        <f t="shared" si="39"/>
        <v>0</v>
      </c>
    </row>
    <row r="331" spans="1:68" ht="27" customHeight="1" x14ac:dyDescent="0.25">
      <c r="A331" s="55" t="s">
        <v>502</v>
      </c>
      <c r="B331" s="55" t="s">
        <v>503</v>
      </c>
      <c r="C331" s="32">
        <v>4301031417</v>
      </c>
      <c r="D331" s="381">
        <v>4680115882096</v>
      </c>
      <c r="E331" s="382"/>
      <c r="F331" s="372">
        <v>0.6</v>
      </c>
      <c r="G331" s="33">
        <v>8</v>
      </c>
      <c r="H331" s="372">
        <v>4.8</v>
      </c>
      <c r="I331" s="372">
        <v>6.67</v>
      </c>
      <c r="J331" s="33">
        <v>132</v>
      </c>
      <c r="K331" s="33" t="s">
        <v>86</v>
      </c>
      <c r="L331" s="33"/>
      <c r="M331" s="34" t="s">
        <v>174</v>
      </c>
      <c r="N331" s="34"/>
      <c r="O331" s="33">
        <v>70</v>
      </c>
      <c r="P331" s="4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331" s="378"/>
      <c r="R331" s="378"/>
      <c r="S331" s="378"/>
      <c r="T331" s="379"/>
      <c r="U331" s="35"/>
      <c r="V331" s="35"/>
      <c r="W331" s="36" t="s">
        <v>71</v>
      </c>
      <c r="X331" s="373">
        <v>0</v>
      </c>
      <c r="Y331" s="374">
        <f t="shared" si="35"/>
        <v>0</v>
      </c>
      <c r="Z331" s="37" t="str">
        <f>IFERROR(IF(Y331=0,"",ROUNDUP(Y331/H331,0)*0.00902),"")</f>
        <v/>
      </c>
      <c r="AA331" s="57"/>
      <c r="AB331" s="58"/>
      <c r="AC331" s="364" t="s">
        <v>497</v>
      </c>
      <c r="AG331" s="65"/>
      <c r="AJ331" s="69"/>
      <c r="AK331" s="69">
        <v>0</v>
      </c>
      <c r="BB331" s="365" t="s">
        <v>1</v>
      </c>
      <c r="BM331" s="65">
        <f t="shared" si="36"/>
        <v>0</v>
      </c>
      <c r="BN331" s="65">
        <f t="shared" si="37"/>
        <v>0</v>
      </c>
      <c r="BO331" s="65">
        <f t="shared" si="38"/>
        <v>0</v>
      </c>
      <c r="BP331" s="65">
        <f t="shared" si="39"/>
        <v>0</v>
      </c>
    </row>
    <row r="332" spans="1:68" x14ac:dyDescent="0.2">
      <c r="A332" s="391"/>
      <c r="B332" s="384"/>
      <c r="C332" s="384"/>
      <c r="D332" s="384"/>
      <c r="E332" s="384"/>
      <c r="F332" s="384"/>
      <c r="G332" s="384"/>
      <c r="H332" s="384"/>
      <c r="I332" s="384"/>
      <c r="J332" s="384"/>
      <c r="K332" s="384"/>
      <c r="L332" s="384"/>
      <c r="M332" s="384"/>
      <c r="N332" s="384"/>
      <c r="O332" s="392"/>
      <c r="P332" s="387" t="s">
        <v>74</v>
      </c>
      <c r="Q332" s="388"/>
      <c r="R332" s="388"/>
      <c r="S332" s="388"/>
      <c r="T332" s="388"/>
      <c r="U332" s="388"/>
      <c r="V332" s="389"/>
      <c r="W332" s="38" t="s">
        <v>75</v>
      </c>
      <c r="X332" s="375">
        <f>IFERROR(X326/H326,"0")+IFERROR(X327/H327,"0")+IFERROR(X328/H328,"0")+IFERROR(X329/H329,"0")+IFERROR(X330/H330,"0")+IFERROR(X331/H331,"0")</f>
        <v>123.10606060606059</v>
      </c>
      <c r="Y332" s="375">
        <f>IFERROR(Y326/H326,"0")+IFERROR(Y327/H327,"0")+IFERROR(Y328/H328,"0")+IFERROR(Y329/H329,"0")+IFERROR(Y330/H330,"0")+IFERROR(Y331/H331,"0")</f>
        <v>124</v>
      </c>
      <c r="Z332" s="375">
        <f>IFERROR(IF(Z326="",0,Z326),"0")+IFERROR(IF(Z327="",0,Z327),"0")+IFERROR(IF(Z328="",0,Z328),"0")+IFERROR(IF(Z329="",0,Z329),"0")+IFERROR(IF(Z330="",0,Z330),"0")+IFERROR(IF(Z331="",0,Z331),"0")</f>
        <v>1.4830400000000001</v>
      </c>
      <c r="AA332" s="376"/>
      <c r="AB332" s="376"/>
      <c r="AC332" s="376"/>
    </row>
    <row r="333" spans="1:68" x14ac:dyDescent="0.2">
      <c r="A333" s="384"/>
      <c r="B333" s="384"/>
      <c r="C333" s="384"/>
      <c r="D333" s="384"/>
      <c r="E333" s="384"/>
      <c r="F333" s="384"/>
      <c r="G333" s="384"/>
      <c r="H333" s="384"/>
      <c r="I333" s="384"/>
      <c r="J333" s="384"/>
      <c r="K333" s="384"/>
      <c r="L333" s="384"/>
      <c r="M333" s="384"/>
      <c r="N333" s="384"/>
      <c r="O333" s="392"/>
      <c r="P333" s="387" t="s">
        <v>74</v>
      </c>
      <c r="Q333" s="388"/>
      <c r="R333" s="388"/>
      <c r="S333" s="388"/>
      <c r="T333" s="388"/>
      <c r="U333" s="388"/>
      <c r="V333" s="389"/>
      <c r="W333" s="38" t="s">
        <v>71</v>
      </c>
      <c r="X333" s="375">
        <f>IFERROR(SUM(X326:X331),"0")</f>
        <v>650</v>
      </c>
      <c r="Y333" s="375">
        <f>IFERROR(SUM(Y326:Y331),"0")</f>
        <v>654.72</v>
      </c>
      <c r="Z333" s="38"/>
      <c r="AA333" s="376"/>
      <c r="AB333" s="376"/>
      <c r="AC333" s="376"/>
    </row>
    <row r="334" spans="1:68" ht="15" customHeight="1" x14ac:dyDescent="0.2">
      <c r="A334" s="396"/>
      <c r="B334" s="384"/>
      <c r="C334" s="384"/>
      <c r="D334" s="384"/>
      <c r="E334" s="384"/>
      <c r="F334" s="384"/>
      <c r="G334" s="384"/>
      <c r="H334" s="384"/>
      <c r="I334" s="384"/>
      <c r="J334" s="384"/>
      <c r="K334" s="384"/>
      <c r="L334" s="384"/>
      <c r="M334" s="384"/>
      <c r="N334" s="384"/>
      <c r="O334" s="397"/>
      <c r="P334" s="448" t="s">
        <v>504</v>
      </c>
      <c r="Q334" s="449"/>
      <c r="R334" s="449"/>
      <c r="S334" s="449"/>
      <c r="T334" s="449"/>
      <c r="U334" s="449"/>
      <c r="V334" s="450"/>
      <c r="W334" s="38" t="s">
        <v>71</v>
      </c>
      <c r="X334" s="375">
        <f>IFERROR(X24+X32+X42+X48+X53+X59+X65+X73+X79+X85+X89+X94+X99+X113+X119+X123+X129+X134+X141+X152+X156+X167+X176+X182+X187+X192+X201+X210+X217+X223+X230+X236+X242+X254+X259+X264+X268+X274+X279+X285+X293+X298+X303+X307+X319+X324+X333,"0")</f>
        <v>11471</v>
      </c>
      <c r="Y334" s="375">
        <f>IFERROR(Y24+Y32+Y42+Y48+Y53+Y59+Y65+Y73+Y79+Y85+Y89+Y94+Y99+Y113+Y119+Y123+Y129+Y134+Y141+Y152+Y156+Y167+Y176+Y182+Y187+Y192+Y201+Y210+Y217+Y223+Y230+Y236+Y242+Y254+Y259+Y264+Y268+Y274+Y279+Y285+Y293+Y298+Y303+Y307+Y319+Y324+Y333,"0")</f>
        <v>11579.339999999998</v>
      </c>
      <c r="Z334" s="38"/>
      <c r="AA334" s="376"/>
      <c r="AB334" s="376"/>
      <c r="AC334" s="376"/>
    </row>
    <row r="335" spans="1:68" x14ac:dyDescent="0.2">
      <c r="A335" s="384"/>
      <c r="B335" s="384"/>
      <c r="C335" s="384"/>
      <c r="D335" s="384"/>
      <c r="E335" s="384"/>
      <c r="F335" s="384"/>
      <c r="G335" s="384"/>
      <c r="H335" s="384"/>
      <c r="I335" s="384"/>
      <c r="J335" s="384"/>
      <c r="K335" s="384"/>
      <c r="L335" s="384"/>
      <c r="M335" s="384"/>
      <c r="N335" s="384"/>
      <c r="O335" s="397"/>
      <c r="P335" s="448" t="s">
        <v>505</v>
      </c>
      <c r="Q335" s="449"/>
      <c r="R335" s="449"/>
      <c r="S335" s="449"/>
      <c r="T335" s="449"/>
      <c r="U335" s="449"/>
      <c r="V335" s="450"/>
      <c r="W335" s="38" t="s">
        <v>71</v>
      </c>
      <c r="X335" s="375">
        <f>IFERROR(SUM(BM22:BM331),"0")</f>
        <v>12156.966556398109</v>
      </c>
      <c r="Y335" s="375">
        <f>IFERROR(SUM(BN22:BN331),"0")</f>
        <v>12272.072</v>
      </c>
      <c r="Z335" s="38"/>
      <c r="AA335" s="376"/>
      <c r="AB335" s="376"/>
      <c r="AC335" s="376"/>
    </row>
    <row r="336" spans="1:68" x14ac:dyDescent="0.2">
      <c r="A336" s="384"/>
      <c r="B336" s="384"/>
      <c r="C336" s="384"/>
      <c r="D336" s="384"/>
      <c r="E336" s="384"/>
      <c r="F336" s="384"/>
      <c r="G336" s="384"/>
      <c r="H336" s="384"/>
      <c r="I336" s="384"/>
      <c r="J336" s="384"/>
      <c r="K336" s="384"/>
      <c r="L336" s="384"/>
      <c r="M336" s="384"/>
      <c r="N336" s="384"/>
      <c r="O336" s="397"/>
      <c r="P336" s="448" t="s">
        <v>506</v>
      </c>
      <c r="Q336" s="449"/>
      <c r="R336" s="449"/>
      <c r="S336" s="449"/>
      <c r="T336" s="449"/>
      <c r="U336" s="449"/>
      <c r="V336" s="450"/>
      <c r="W336" s="38" t="s">
        <v>507</v>
      </c>
      <c r="X336" s="39">
        <f>ROUNDUP(SUM(BO22:BO331),0)</f>
        <v>20</v>
      </c>
      <c r="Y336" s="39">
        <f>ROUNDUP(SUM(BP22:BP331),0)</f>
        <v>21</v>
      </c>
      <c r="Z336" s="38"/>
      <c r="AA336" s="376"/>
      <c r="AB336" s="376"/>
      <c r="AC336" s="376"/>
    </row>
    <row r="337" spans="1:32" x14ac:dyDescent="0.2">
      <c r="A337" s="384"/>
      <c r="B337" s="384"/>
      <c r="C337" s="384"/>
      <c r="D337" s="384"/>
      <c r="E337" s="384"/>
      <c r="F337" s="384"/>
      <c r="G337" s="384"/>
      <c r="H337" s="384"/>
      <c r="I337" s="384"/>
      <c r="J337" s="384"/>
      <c r="K337" s="384"/>
      <c r="L337" s="384"/>
      <c r="M337" s="384"/>
      <c r="N337" s="384"/>
      <c r="O337" s="397"/>
      <c r="P337" s="448" t="s">
        <v>508</v>
      </c>
      <c r="Q337" s="449"/>
      <c r="R337" s="449"/>
      <c r="S337" s="449"/>
      <c r="T337" s="449"/>
      <c r="U337" s="449"/>
      <c r="V337" s="450"/>
      <c r="W337" s="38" t="s">
        <v>71</v>
      </c>
      <c r="X337" s="375">
        <f>GrossWeightTotal+PalletQtyTotal*25</f>
        <v>12656.966556398109</v>
      </c>
      <c r="Y337" s="375">
        <f>GrossWeightTotalR+PalletQtyTotalR*25</f>
        <v>12797.072</v>
      </c>
      <c r="Z337" s="38"/>
      <c r="AA337" s="376"/>
      <c r="AB337" s="376"/>
      <c r="AC337" s="376"/>
    </row>
    <row r="338" spans="1:32" x14ac:dyDescent="0.2">
      <c r="A338" s="384"/>
      <c r="B338" s="384"/>
      <c r="C338" s="384"/>
      <c r="D338" s="384"/>
      <c r="E338" s="384"/>
      <c r="F338" s="384"/>
      <c r="G338" s="384"/>
      <c r="H338" s="384"/>
      <c r="I338" s="384"/>
      <c r="J338" s="384"/>
      <c r="K338" s="384"/>
      <c r="L338" s="384"/>
      <c r="M338" s="384"/>
      <c r="N338" s="384"/>
      <c r="O338" s="397"/>
      <c r="P338" s="448" t="s">
        <v>509</v>
      </c>
      <c r="Q338" s="449"/>
      <c r="R338" s="449"/>
      <c r="S338" s="449"/>
      <c r="T338" s="449"/>
      <c r="U338" s="449"/>
      <c r="V338" s="450"/>
      <c r="W338" s="38" t="s">
        <v>507</v>
      </c>
      <c r="X338" s="375">
        <f>IFERROR(X23+X31+X41+X47+X52+X58+X64+X72+X78+X84+X88+X93+X98+X112+X118+X122+X128+X133+X140+X151+X155+X166+X175+X181+X186+X191+X200+X209+X216+X222+X229+X235+X241+X253+X258+X263+X267+X273+X278+X284+X292+X297+X302+X306+X318+X323+X332,"0")</f>
        <v>2029.0015778456489</v>
      </c>
      <c r="Y338" s="375">
        <f>IFERROR(Y23+Y31+Y41+Y47+Y52+Y58+Y64+Y72+Y78+Y84+Y88+Y93+Y98+Y112+Y118+Y122+Y128+Y133+Y140+Y151+Y155+Y166+Y175+Y181+Y186+Y191+Y200+Y209+Y216+Y222+Y229+Y235+Y241+Y253+Y258+Y263+Y267+Y273+Y278+Y284+Y292+Y297+Y302+Y306+Y318+Y323+Y332,"0")</f>
        <v>2048</v>
      </c>
      <c r="Z338" s="38"/>
      <c r="AA338" s="376"/>
      <c r="AB338" s="376"/>
      <c r="AC338" s="376"/>
    </row>
    <row r="339" spans="1:32" ht="14.25" customHeight="1" x14ac:dyDescent="0.2">
      <c r="A339" s="384"/>
      <c r="B339" s="384"/>
      <c r="C339" s="384"/>
      <c r="D339" s="384"/>
      <c r="E339" s="384"/>
      <c r="F339" s="384"/>
      <c r="G339" s="384"/>
      <c r="H339" s="384"/>
      <c r="I339" s="384"/>
      <c r="J339" s="384"/>
      <c r="K339" s="384"/>
      <c r="L339" s="384"/>
      <c r="M339" s="384"/>
      <c r="N339" s="384"/>
      <c r="O339" s="397"/>
      <c r="P339" s="448" t="s">
        <v>510</v>
      </c>
      <c r="Q339" s="449"/>
      <c r="R339" s="449"/>
      <c r="S339" s="449"/>
      <c r="T339" s="449"/>
      <c r="U339" s="449"/>
      <c r="V339" s="450"/>
      <c r="W339" s="40" t="s">
        <v>511</v>
      </c>
      <c r="X339" s="38"/>
      <c r="Y339" s="38"/>
      <c r="Z339" s="38">
        <f>IFERROR(Z23+Z31+Z41+Z47+Z52+Z58+Z64+Z72+Z78+Z84+Z88+Z93+Z98+Z112+Z118+Z122+Z128+Z133+Z140+Z151+Z155+Z166+Z175+Z181+Z186+Z191+Z200+Z209+Z216+Z222+Z229+Z235+Z241+Z253+Z258+Z263+Z267+Z273+Z278+Z284+Z292+Z297+Z302+Z306+Z318+Z323+Z332,"0")</f>
        <v>23.58717</v>
      </c>
      <c r="AA339" s="376"/>
      <c r="AB339" s="376"/>
      <c r="AC339" s="376"/>
    </row>
    <row r="340" spans="1:32" ht="13.5" customHeight="1" thickBot="1" x14ac:dyDescent="0.25"/>
    <row r="341" spans="1:32" ht="27" customHeight="1" thickTop="1" thickBot="1" x14ac:dyDescent="0.25">
      <c r="A341" s="41" t="s">
        <v>512</v>
      </c>
      <c r="B341" s="366" t="s">
        <v>65</v>
      </c>
      <c r="C341" s="408" t="s">
        <v>76</v>
      </c>
      <c r="D341" s="452"/>
      <c r="E341" s="452"/>
      <c r="F341" s="452"/>
      <c r="G341" s="453"/>
      <c r="H341" s="408" t="s">
        <v>179</v>
      </c>
      <c r="I341" s="452"/>
      <c r="J341" s="452"/>
      <c r="K341" s="452"/>
      <c r="L341" s="452"/>
      <c r="M341" s="452"/>
      <c r="N341" s="452"/>
      <c r="O341" s="452"/>
      <c r="P341" s="452"/>
      <c r="Q341" s="453"/>
      <c r="R341" s="408" t="s">
        <v>387</v>
      </c>
      <c r="S341" s="453"/>
      <c r="T341" s="408" t="s">
        <v>441</v>
      </c>
      <c r="U341" s="453"/>
      <c r="V341" s="366" t="s">
        <v>465</v>
      </c>
      <c r="W341" s="367"/>
      <c r="AB341" s="53"/>
      <c r="AC341" s="53"/>
      <c r="AF341" s="367"/>
    </row>
    <row r="342" spans="1:32" ht="14.25" customHeight="1" thickTop="1" x14ac:dyDescent="0.2">
      <c r="A342" s="591" t="s">
        <v>513</v>
      </c>
      <c r="B342" s="408" t="s">
        <v>65</v>
      </c>
      <c r="C342" s="408" t="s">
        <v>77</v>
      </c>
      <c r="D342" s="408" t="s">
        <v>90</v>
      </c>
      <c r="E342" s="408" t="s">
        <v>125</v>
      </c>
      <c r="F342" s="408" t="s">
        <v>140</v>
      </c>
      <c r="G342" s="408" t="s">
        <v>76</v>
      </c>
      <c r="H342" s="408" t="s">
        <v>180</v>
      </c>
      <c r="I342" s="408" t="s">
        <v>217</v>
      </c>
      <c r="J342" s="408" t="s">
        <v>263</v>
      </c>
      <c r="K342" s="408" t="s">
        <v>279</v>
      </c>
      <c r="L342" s="408" t="s">
        <v>295</v>
      </c>
      <c r="M342" s="408" t="s">
        <v>301</v>
      </c>
      <c r="N342" s="367"/>
      <c r="O342" s="408" t="s">
        <v>305</v>
      </c>
      <c r="P342" s="408" t="s">
        <v>309</v>
      </c>
      <c r="Q342" s="408" t="s">
        <v>380</v>
      </c>
      <c r="R342" s="408" t="s">
        <v>388</v>
      </c>
      <c r="S342" s="408" t="s">
        <v>423</v>
      </c>
      <c r="T342" s="408" t="s">
        <v>442</v>
      </c>
      <c r="U342" s="408" t="s">
        <v>458</v>
      </c>
      <c r="V342" s="408" t="s">
        <v>465</v>
      </c>
      <c r="W342" s="367"/>
      <c r="AB342" s="53"/>
      <c r="AC342" s="53"/>
      <c r="AF342" s="367"/>
    </row>
    <row r="343" spans="1:32" ht="13.5" customHeight="1" thickBot="1" x14ac:dyDescent="0.25">
      <c r="A343" s="592"/>
      <c r="B343" s="409"/>
      <c r="C343" s="409"/>
      <c r="D343" s="409"/>
      <c r="E343" s="409"/>
      <c r="F343" s="409"/>
      <c r="G343" s="409"/>
      <c r="H343" s="409"/>
      <c r="I343" s="409"/>
      <c r="J343" s="409"/>
      <c r="K343" s="409"/>
      <c r="L343" s="409"/>
      <c r="M343" s="409"/>
      <c r="N343" s="367"/>
      <c r="O343" s="409"/>
      <c r="P343" s="409"/>
      <c r="Q343" s="409"/>
      <c r="R343" s="409"/>
      <c r="S343" s="409"/>
      <c r="T343" s="409"/>
      <c r="U343" s="409"/>
      <c r="V343" s="409"/>
      <c r="W343" s="367"/>
      <c r="AB343" s="53"/>
      <c r="AC343" s="53"/>
      <c r="AF343" s="367"/>
    </row>
    <row r="344" spans="1:32" ht="18" customHeight="1" thickTop="1" thickBot="1" x14ac:dyDescent="0.25">
      <c r="A344" s="41" t="s">
        <v>514</v>
      </c>
      <c r="B344" s="47">
        <f>IFERROR(Y22*1,"0")</f>
        <v>0</v>
      </c>
      <c r="C344" s="47">
        <f>IFERROR(Y28*1,"0")+IFERROR(Y29*1,"0")+IFERROR(Y30*1,"0")</f>
        <v>160</v>
      </c>
      <c r="D344" s="47">
        <f>IFERROR(Y35*1,"0")+IFERROR(Y36*1,"0")+IFERROR(Y37*1,"0")+IFERROR(Y38*1,"0")+IFERROR(Y39*1,"0")+IFERROR(Y40*1,"0")+IFERROR(Y44*1,"0")+IFERROR(Y45*1,"0")+IFERROR(Y46*1,"0")+IFERROR(Y50*1,"0")+IFERROR(Y51*1,"0")</f>
        <v>334.2</v>
      </c>
      <c r="E344" s="47">
        <f>IFERROR(Y56*1,"0")+IFERROR(Y57*1,"0")+IFERROR(Y61*1,"0")+IFERROR(Y62*1,"0")+IFERROR(Y63*1,"0")</f>
        <v>361.8</v>
      </c>
      <c r="F344" s="47">
        <f>IFERROR(Y68*1,"0")+IFERROR(Y69*1,"0")+IFERROR(Y70*1,"0")+IFERROR(Y71*1,"0")+IFERROR(Y75*1,"0")+IFERROR(Y76*1,"0")+IFERROR(Y77*1,"0")+IFERROR(Y81*1,"0")+IFERROR(Y82*1,"0")+IFERROR(Y83*1,"0")+IFERROR(Y87*1,"0")</f>
        <v>1330.38</v>
      </c>
      <c r="G344" s="47">
        <f>IFERROR(Y92*1,"0")+IFERROR(Y96*1,"0")+IFERROR(Y97*1,"0")</f>
        <v>0</v>
      </c>
      <c r="H344" s="47">
        <f>IFERROR(Y103*1,"0")+IFERROR(Y104*1,"0")+IFERROR(Y105*1,"0")+IFERROR(Y106*1,"0")+IFERROR(Y107*1,"0")+IFERROR(Y108*1,"0")+IFERROR(Y109*1,"0")+IFERROR(Y110*1,"0")+IFERROR(Y111*1,"0")+IFERROR(Y115*1,"0")+IFERROR(Y116*1,"0")+IFERROR(Y117*1,"0")+IFERROR(Y121*1,"0")</f>
        <v>712.32</v>
      </c>
      <c r="I344" s="47">
        <f>IFERROR(Y126*1,"0")+IFERROR(Y127*1,"0")+IFERROR(Y131*1,"0")+IFERROR(Y132*1,"0")+IFERROR(Y136*1,"0")+IFERROR(Y137*1,"0")+IFERROR(Y138*1,"0")+IFERROR(Y139*1,"0")+IFERROR(Y143*1,"0")+IFERROR(Y144*1,"0")+IFERROR(Y145*1,"0")+IFERROR(Y146*1,"0")+IFERROR(Y147*1,"0")+IFERROR(Y148*1,"0")+IFERROR(Y149*1,"0")+IFERROR(Y150*1,"0")+IFERROR(Y154*1,"0")</f>
        <v>973.8</v>
      </c>
      <c r="J344" s="47">
        <f>IFERROR(Y159*1,"0")+IFERROR(Y160*1,"0")+IFERROR(Y161*1,"0")+IFERROR(Y162*1,"0")+IFERROR(Y163*1,"0")+IFERROR(Y164*1,"0")+IFERROR(Y165*1,"0")</f>
        <v>0</v>
      </c>
      <c r="K344" s="47">
        <f>IFERROR(Y170*1,"0")+IFERROR(Y171*1,"0")+IFERROR(Y172*1,"0")+IFERROR(Y173*1,"0")+IFERROR(Y174*1,"0")</f>
        <v>203.2</v>
      </c>
      <c r="L344" s="47">
        <f>IFERROR(Y179*1,"0")+IFERROR(Y180*1,"0")</f>
        <v>108</v>
      </c>
      <c r="M344" s="47">
        <f>IFERROR(Y185*1,"0")</f>
        <v>40.799999999999997</v>
      </c>
      <c r="N344" s="367"/>
      <c r="O344" s="47">
        <f>IFERROR(Y190*1,"0")</f>
        <v>122.4</v>
      </c>
      <c r="P344" s="47">
        <f>IFERROR(Y195*1,"0")+IFERROR(Y196*1,"0")+IFERROR(Y197*1,"0")+IFERROR(Y198*1,"0")+IFERROR(Y199*1,"0")+IFERROR(Y203*1,"0")+IFERROR(Y204*1,"0")+IFERROR(Y205*1,"0")+IFERROR(Y206*1,"0")+IFERROR(Y207*1,"0")+IFERROR(Y208*1,"0")+IFERROR(Y212*1,"0")+IFERROR(Y213*1,"0")+IFERROR(Y214*1,"0")+IFERROR(Y215*1,"0")+IFERROR(Y219*1,"0")+IFERROR(Y220*1,"0")+IFERROR(Y221*1,"0")+IFERROR(Y225*1,"0")+IFERROR(Y226*1,"0")+IFERROR(Y227*1,"0")+IFERROR(Y228*1,"0")+IFERROR(Y232*1,"0")+IFERROR(Y233*1,"0")+IFERROR(Y234*1,"0")</f>
        <v>524.98</v>
      </c>
      <c r="Q344" s="47">
        <f>IFERROR(Y239*1,"0")+IFERROR(Y240*1,"0")</f>
        <v>35.700000000000003</v>
      </c>
      <c r="R344" s="47">
        <f>IFERROR(Y246*1,"0")+IFERROR(Y247*1,"0")+IFERROR(Y248*1,"0")+IFERROR(Y249*1,"0")+IFERROR(Y250*1,"0")+IFERROR(Y251*1,"0")+IFERROR(Y252*1,"0")+IFERROR(Y256*1,"0")+IFERROR(Y257*1,"0")+IFERROR(Y261*1,"0")+IFERROR(Y262*1,"0")+IFERROR(Y266*1,"0")</f>
        <v>2725</v>
      </c>
      <c r="S344" s="47">
        <f>IFERROR(Y271*1,"0")+IFERROR(Y272*1,"0")+IFERROR(Y276*1,"0")+IFERROR(Y277*1,"0")+IFERROR(Y281*1,"0")+IFERROR(Y282*1,"0")+IFERROR(Y283*1,"0")</f>
        <v>2265.8000000000002</v>
      </c>
      <c r="T344" s="47">
        <f>IFERROR(Y289*1,"0")+IFERROR(Y290*1,"0")+IFERROR(Y291*1,"0")+IFERROR(Y295*1,"0")+IFERROR(Y296*1,"0")</f>
        <v>141.60000000000002</v>
      </c>
      <c r="U344" s="47">
        <f>IFERROR(Y301*1,"0")+IFERROR(Y305*1,"0")</f>
        <v>0</v>
      </c>
      <c r="V344" s="47">
        <f>IFERROR(Y311*1,"0")+IFERROR(Y312*1,"0")+IFERROR(Y313*1,"0")+IFERROR(Y314*1,"0")+IFERROR(Y315*1,"0")+IFERROR(Y316*1,"0")+IFERROR(Y317*1,"0")+IFERROR(Y321*1,"0")+IFERROR(Y322*1,"0")+IFERROR(Y326*1,"0")+IFERROR(Y327*1,"0")+IFERROR(Y328*1,"0")+IFERROR(Y329*1,"0")+IFERROR(Y330*1,"0")+IFERROR(Y331*1,"0")</f>
        <v>1539.3600000000004</v>
      </c>
      <c r="W344" s="367"/>
      <c r="AB344" s="53"/>
      <c r="AC344" s="53"/>
      <c r="AF344" s="367"/>
    </row>
  </sheetData>
  <sheetProtection algorithmName="SHA-512" hashValue="SeyBskf0Z9ZLaWwkko3vxhVjAGNBomYG8U1pvrg0lwzregTxZ6MgxQRpWnXQG4/IpXx0jUfYVL4J/c1fl7FnNQ==" saltValue="nQY5rl5T47LjwNGtHctGC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08">
    <mergeCell ref="A310:Z310"/>
    <mergeCell ref="I342:I343"/>
    <mergeCell ref="D291:E291"/>
    <mergeCell ref="D239:E239"/>
    <mergeCell ref="P174:T174"/>
    <mergeCell ref="P149:T149"/>
    <mergeCell ref="D266:E266"/>
    <mergeCell ref="U17:V17"/>
    <mergeCell ref="Y17:Y18"/>
    <mergeCell ref="D331:E331"/>
    <mergeCell ref="D57:E57"/>
    <mergeCell ref="A153:Z153"/>
    <mergeCell ref="D97:E97"/>
    <mergeCell ref="A255:Z255"/>
    <mergeCell ref="P126:T126"/>
    <mergeCell ref="P140:V140"/>
    <mergeCell ref="A21:Z21"/>
    <mergeCell ref="D121:E121"/>
    <mergeCell ref="A194:Z194"/>
    <mergeCell ref="D17:E18"/>
    <mergeCell ref="D173:E173"/>
    <mergeCell ref="A151:O152"/>
    <mergeCell ref="P71:T71"/>
    <mergeCell ref="P313:T313"/>
    <mergeCell ref="Q6:R6"/>
    <mergeCell ref="A118:O119"/>
    <mergeCell ref="A33:Z33"/>
    <mergeCell ref="D196:E196"/>
    <mergeCell ref="A269:Z269"/>
    <mergeCell ref="P23:V23"/>
    <mergeCell ref="P210:V210"/>
    <mergeCell ref="A231:Z231"/>
    <mergeCell ref="P83:T83"/>
    <mergeCell ref="V12:W12"/>
    <mergeCell ref="A200:O201"/>
    <mergeCell ref="D262:E262"/>
    <mergeCell ref="P122:V122"/>
    <mergeCell ref="A245:Z245"/>
    <mergeCell ref="A8:C8"/>
    <mergeCell ref="A10:C10"/>
    <mergeCell ref="X17:X18"/>
    <mergeCell ref="D250:E250"/>
    <mergeCell ref="D50:E50"/>
    <mergeCell ref="D110:E110"/>
    <mergeCell ref="D44:E44"/>
    <mergeCell ref="P216:V216"/>
    <mergeCell ref="AD17:AF18"/>
    <mergeCell ref="P167:V167"/>
    <mergeCell ref="D76:E76"/>
    <mergeCell ref="F5:G5"/>
    <mergeCell ref="A25:Z25"/>
    <mergeCell ref="P119:V119"/>
    <mergeCell ref="P82:T82"/>
    <mergeCell ref="D221:E221"/>
    <mergeCell ref="V11:W11"/>
    <mergeCell ref="P57:T57"/>
    <mergeCell ref="D165:E165"/>
    <mergeCell ref="P75:T75"/>
    <mergeCell ref="P146:T146"/>
    <mergeCell ref="P121:T121"/>
    <mergeCell ref="D29:E29"/>
    <mergeCell ref="A20:Z20"/>
    <mergeCell ref="A125:Z125"/>
    <mergeCell ref="P110:T110"/>
    <mergeCell ref="P53:V53"/>
    <mergeCell ref="A114:Z114"/>
    <mergeCell ref="D105:E105"/>
    <mergeCell ref="A178:Z178"/>
    <mergeCell ref="D170:E170"/>
    <mergeCell ref="A31:O32"/>
    <mergeCell ref="P2:W3"/>
    <mergeCell ref="P127:T127"/>
    <mergeCell ref="P198:T198"/>
    <mergeCell ref="A43:Z43"/>
    <mergeCell ref="D35:E35"/>
    <mergeCell ref="D228:E228"/>
    <mergeCell ref="D10:E10"/>
    <mergeCell ref="A23:O24"/>
    <mergeCell ref="F10:G10"/>
    <mergeCell ref="A181:O182"/>
    <mergeCell ref="P78:V78"/>
    <mergeCell ref="A130:Z130"/>
    <mergeCell ref="A52:O53"/>
    <mergeCell ref="N17:N18"/>
    <mergeCell ref="A58:O59"/>
    <mergeCell ref="Q5:R5"/>
    <mergeCell ref="F17:F18"/>
    <mergeCell ref="P199:T199"/>
    <mergeCell ref="D107:E107"/>
    <mergeCell ref="D163:E163"/>
    <mergeCell ref="P136:T136"/>
    <mergeCell ref="P70:T70"/>
    <mergeCell ref="P228:T228"/>
    <mergeCell ref="D171:E171"/>
    <mergeCell ref="M17:M18"/>
    <mergeCell ref="O17:O18"/>
    <mergeCell ref="P187:V187"/>
    <mergeCell ref="P258:V258"/>
    <mergeCell ref="P52:V52"/>
    <mergeCell ref="P223:V223"/>
    <mergeCell ref="P196:T196"/>
    <mergeCell ref="D226:E226"/>
    <mergeCell ref="D164:E164"/>
    <mergeCell ref="P62:T62"/>
    <mergeCell ref="D252:E252"/>
    <mergeCell ref="A258:O259"/>
    <mergeCell ref="D247:E247"/>
    <mergeCell ref="D249:E249"/>
    <mergeCell ref="D234:E234"/>
    <mergeCell ref="U342:U343"/>
    <mergeCell ref="P284:V284"/>
    <mergeCell ref="A166:O167"/>
    <mergeCell ref="P36:T36"/>
    <mergeCell ref="P107:T107"/>
    <mergeCell ref="D150:E150"/>
    <mergeCell ref="P129:V129"/>
    <mergeCell ref="D321:E321"/>
    <mergeCell ref="A128:O129"/>
    <mergeCell ref="D215:E215"/>
    <mergeCell ref="D305:E305"/>
    <mergeCell ref="A294:Z294"/>
    <mergeCell ref="A342:A343"/>
    <mergeCell ref="H342:H343"/>
    <mergeCell ref="P317:T317"/>
    <mergeCell ref="A263:O264"/>
    <mergeCell ref="A320:Z320"/>
    <mergeCell ref="T342:T343"/>
    <mergeCell ref="P262:T262"/>
    <mergeCell ref="D276:E276"/>
    <mergeCell ref="G342:G343"/>
    <mergeCell ref="P303:V303"/>
    <mergeCell ref="P291:T291"/>
    <mergeCell ref="J342:J343"/>
    <mergeCell ref="S342:S343"/>
    <mergeCell ref="P61:T61"/>
    <mergeCell ref="D227:E227"/>
    <mergeCell ref="A9:C9"/>
    <mergeCell ref="P321:T321"/>
    <mergeCell ref="H341:Q341"/>
    <mergeCell ref="P273:V273"/>
    <mergeCell ref="A91:Z91"/>
    <mergeCell ref="P337:V337"/>
    <mergeCell ref="P32:V32"/>
    <mergeCell ref="A299:Z299"/>
    <mergeCell ref="Q13:R13"/>
    <mergeCell ref="P134:V134"/>
    <mergeCell ref="P268:V268"/>
    <mergeCell ref="P339:V339"/>
    <mergeCell ref="P139:T139"/>
    <mergeCell ref="A318:O319"/>
    <mergeCell ref="P47:V47"/>
    <mergeCell ref="P247:T247"/>
    <mergeCell ref="D22:E22"/>
    <mergeCell ref="A157:Z157"/>
    <mergeCell ref="D149:E149"/>
    <mergeCell ref="P301:T301"/>
    <mergeCell ref="P295:T295"/>
    <mergeCell ref="H5:M5"/>
    <mergeCell ref="P31:V31"/>
    <mergeCell ref="A27:Z27"/>
    <mergeCell ref="D212:E212"/>
    <mergeCell ref="D146:E146"/>
    <mergeCell ref="P225:T225"/>
    <mergeCell ref="D317:E317"/>
    <mergeCell ref="D6:M6"/>
    <mergeCell ref="A292:O293"/>
    <mergeCell ref="D83:E83"/>
    <mergeCell ref="P162:T162"/>
    <mergeCell ref="D143:E143"/>
    <mergeCell ref="P227:T227"/>
    <mergeCell ref="P106:T106"/>
    <mergeCell ref="P226:T226"/>
    <mergeCell ref="P164:T164"/>
    <mergeCell ref="D207:E207"/>
    <mergeCell ref="D256:E256"/>
    <mergeCell ref="P35:T35"/>
    <mergeCell ref="G17:G18"/>
    <mergeCell ref="D314:E314"/>
    <mergeCell ref="P242:V242"/>
    <mergeCell ref="D159:E159"/>
    <mergeCell ref="P42:V42"/>
    <mergeCell ref="V6:W9"/>
    <mergeCell ref="A112:O113"/>
    <mergeCell ref="D199:E199"/>
    <mergeCell ref="P38:T38"/>
    <mergeCell ref="P256:T256"/>
    <mergeCell ref="P109:T109"/>
    <mergeCell ref="A155:O156"/>
    <mergeCell ref="A93:O94"/>
    <mergeCell ref="P22:T22"/>
    <mergeCell ref="P40:T40"/>
    <mergeCell ref="P236:V236"/>
    <mergeCell ref="A54:Z54"/>
    <mergeCell ref="P94:V94"/>
    <mergeCell ref="A90:Z90"/>
    <mergeCell ref="A169:Z169"/>
    <mergeCell ref="P123:V123"/>
    <mergeCell ref="D136:E136"/>
    <mergeCell ref="P190:T190"/>
    <mergeCell ref="P46:T46"/>
    <mergeCell ref="A241:O242"/>
    <mergeCell ref="P111:T111"/>
    <mergeCell ref="D154:E154"/>
    <mergeCell ref="D225:E225"/>
    <mergeCell ref="P105:T105"/>
    <mergeCell ref="K342:K343"/>
    <mergeCell ref="M342:M343"/>
    <mergeCell ref="P99:V99"/>
    <mergeCell ref="D39:E39"/>
    <mergeCell ref="V342:V343"/>
    <mergeCell ref="H10:M10"/>
    <mergeCell ref="AA17:AA18"/>
    <mergeCell ref="A135:Z135"/>
    <mergeCell ref="AC17:AC18"/>
    <mergeCell ref="P212:T212"/>
    <mergeCell ref="P108:T108"/>
    <mergeCell ref="A224:Z224"/>
    <mergeCell ref="P209:V209"/>
    <mergeCell ref="P251:T251"/>
    <mergeCell ref="A175:O176"/>
    <mergeCell ref="P45:T45"/>
    <mergeCell ref="A235:O236"/>
    <mergeCell ref="A297:O298"/>
    <mergeCell ref="A288:Z288"/>
    <mergeCell ref="P314:T314"/>
    <mergeCell ref="P334:V334"/>
    <mergeCell ref="P257:T257"/>
    <mergeCell ref="Z17:Z18"/>
    <mergeCell ref="AB17:AB18"/>
    <mergeCell ref="P330:T330"/>
    <mergeCell ref="A275:Z275"/>
    <mergeCell ref="P96:T96"/>
    <mergeCell ref="H17:H18"/>
    <mergeCell ref="P261:T261"/>
    <mergeCell ref="P161:T161"/>
    <mergeCell ref="D204:E204"/>
    <mergeCell ref="D198:E198"/>
    <mergeCell ref="D296:E296"/>
    <mergeCell ref="A284:O285"/>
    <mergeCell ref="D75:E75"/>
    <mergeCell ref="A84:O85"/>
    <mergeCell ref="P154:T154"/>
    <mergeCell ref="A78:O79"/>
    <mergeCell ref="D206:E206"/>
    <mergeCell ref="A222:O223"/>
    <mergeCell ref="P241:V241"/>
    <mergeCell ref="P41:V41"/>
    <mergeCell ref="A66:Z66"/>
    <mergeCell ref="A158:Z158"/>
    <mergeCell ref="P327:T327"/>
    <mergeCell ref="A323:O324"/>
    <mergeCell ref="P282:T282"/>
    <mergeCell ref="P276:T276"/>
    <mergeCell ref="D51:E51"/>
    <mergeCell ref="A280:Z280"/>
    <mergeCell ref="P207:T207"/>
    <mergeCell ref="A302:O303"/>
    <mergeCell ref="D138:E138"/>
    <mergeCell ref="A211:Z211"/>
    <mergeCell ref="A67:Z67"/>
    <mergeCell ref="D203:E203"/>
    <mergeCell ref="P232:T232"/>
    <mergeCell ref="P152:V152"/>
    <mergeCell ref="P159:T159"/>
    <mergeCell ref="P214:T214"/>
    <mergeCell ref="D257:E257"/>
    <mergeCell ref="D213:E213"/>
    <mergeCell ref="A64:O65"/>
    <mergeCell ref="P192:V192"/>
    <mergeCell ref="A191:O192"/>
    <mergeCell ref="D271:E271"/>
    <mergeCell ref="P285:V285"/>
    <mergeCell ref="P338:V338"/>
    <mergeCell ref="D36:E36"/>
    <mergeCell ref="L342:L343"/>
    <mergeCell ref="P307:V307"/>
    <mergeCell ref="P58:V58"/>
    <mergeCell ref="A13:M13"/>
    <mergeCell ref="A325:Z325"/>
    <mergeCell ref="P79:V79"/>
    <mergeCell ref="P73:V73"/>
    <mergeCell ref="D61:E61"/>
    <mergeCell ref="P115:T115"/>
    <mergeCell ref="A15:M15"/>
    <mergeCell ref="P302:V302"/>
    <mergeCell ref="A183:Z183"/>
    <mergeCell ref="A88:O89"/>
    <mergeCell ref="P77:T77"/>
    <mergeCell ref="A193:Z193"/>
    <mergeCell ref="P204:T204"/>
    <mergeCell ref="P179:T179"/>
    <mergeCell ref="D283:E283"/>
    <mergeCell ref="D62:E62"/>
    <mergeCell ref="D56:E56"/>
    <mergeCell ref="D127:E127"/>
    <mergeCell ref="P206:T206"/>
    <mergeCell ref="T5:U5"/>
    <mergeCell ref="P76:T76"/>
    <mergeCell ref="V5:W5"/>
    <mergeCell ref="D190:E190"/>
    <mergeCell ref="D46:E46"/>
    <mergeCell ref="P203:T203"/>
    <mergeCell ref="D246:E246"/>
    <mergeCell ref="D40:E40"/>
    <mergeCell ref="D111:E111"/>
    <mergeCell ref="D233:E233"/>
    <mergeCell ref="A142:Z142"/>
    <mergeCell ref="Q8:R8"/>
    <mergeCell ref="P69:T69"/>
    <mergeCell ref="A186:O187"/>
    <mergeCell ref="D219:E219"/>
    <mergeCell ref="D104:E104"/>
    <mergeCell ref="T6:U9"/>
    <mergeCell ref="Q10:R10"/>
    <mergeCell ref="D185:E185"/>
    <mergeCell ref="P85:V85"/>
    <mergeCell ref="P84:V84"/>
    <mergeCell ref="D137:E137"/>
    <mergeCell ref="P87:T87"/>
    <mergeCell ref="P151:V151"/>
    <mergeCell ref="D342:D343"/>
    <mergeCell ref="P208:T208"/>
    <mergeCell ref="P15:T16"/>
    <mergeCell ref="F342:F343"/>
    <mergeCell ref="D116:E116"/>
    <mergeCell ref="A177:Z177"/>
    <mergeCell ref="P219:T219"/>
    <mergeCell ref="D162:E162"/>
    <mergeCell ref="P272:T272"/>
    <mergeCell ref="D327:E327"/>
    <mergeCell ref="A267:O268"/>
    <mergeCell ref="D106:E106"/>
    <mergeCell ref="A41:O42"/>
    <mergeCell ref="P185:T185"/>
    <mergeCell ref="P283:T283"/>
    <mergeCell ref="P277:T277"/>
    <mergeCell ref="P72:V72"/>
    <mergeCell ref="A133:O134"/>
    <mergeCell ref="D220:E220"/>
    <mergeCell ref="P297:V297"/>
    <mergeCell ref="A309:Z309"/>
    <mergeCell ref="P65:V65"/>
    <mergeCell ref="D328:E328"/>
    <mergeCell ref="A188:Z188"/>
    <mergeCell ref="A5:C5"/>
    <mergeCell ref="A237:Z237"/>
    <mergeCell ref="P64:V64"/>
    <mergeCell ref="P191:V191"/>
    <mergeCell ref="D179:E179"/>
    <mergeCell ref="B342:B343"/>
    <mergeCell ref="P128:V128"/>
    <mergeCell ref="A17:A18"/>
    <mergeCell ref="K17:K18"/>
    <mergeCell ref="A189:Z189"/>
    <mergeCell ref="C17:C18"/>
    <mergeCell ref="P195:T195"/>
    <mergeCell ref="D103:E103"/>
    <mergeCell ref="D37:E37"/>
    <mergeCell ref="A238:Z238"/>
    <mergeCell ref="D9:E9"/>
    <mergeCell ref="P137:T137"/>
    <mergeCell ref="D180:E180"/>
    <mergeCell ref="F9:G9"/>
    <mergeCell ref="P197:T197"/>
    <mergeCell ref="D161:E161"/>
    <mergeCell ref="P289:T289"/>
    <mergeCell ref="D232:E232"/>
    <mergeCell ref="P68:T68"/>
    <mergeCell ref="A6:C6"/>
    <mergeCell ref="T341:U341"/>
    <mergeCell ref="P180:T180"/>
    <mergeCell ref="P336:V336"/>
    <mergeCell ref="D148:E148"/>
    <mergeCell ref="P117:T117"/>
    <mergeCell ref="A253:O254"/>
    <mergeCell ref="D311:E311"/>
    <mergeCell ref="D115:E115"/>
    <mergeCell ref="Q12:R12"/>
    <mergeCell ref="D261:E261"/>
    <mergeCell ref="P246:T246"/>
    <mergeCell ref="P133:V133"/>
    <mergeCell ref="P298:V298"/>
    <mergeCell ref="P239:T239"/>
    <mergeCell ref="P186:V186"/>
    <mergeCell ref="D38:E38"/>
    <mergeCell ref="P253:V253"/>
    <mergeCell ref="A265:Z265"/>
    <mergeCell ref="P132:T132"/>
    <mergeCell ref="A122:O123"/>
    <mergeCell ref="D63:E63"/>
    <mergeCell ref="D330:E330"/>
    <mergeCell ref="P181:V181"/>
    <mergeCell ref="D1:F1"/>
    <mergeCell ref="C342:C343"/>
    <mergeCell ref="J17:J18"/>
    <mergeCell ref="D82:E82"/>
    <mergeCell ref="L17:L18"/>
    <mergeCell ref="A184:Z184"/>
    <mergeCell ref="D240:E240"/>
    <mergeCell ref="P48:V48"/>
    <mergeCell ref="A244:Z244"/>
    <mergeCell ref="A100:Z100"/>
    <mergeCell ref="P112:V112"/>
    <mergeCell ref="A308:Z308"/>
    <mergeCell ref="A102:Z102"/>
    <mergeCell ref="P17:T18"/>
    <mergeCell ref="P323:V323"/>
    <mergeCell ref="P63:T63"/>
    <mergeCell ref="P250:T250"/>
    <mergeCell ref="P50:T50"/>
    <mergeCell ref="D329:E329"/>
    <mergeCell ref="D77:E77"/>
    <mergeCell ref="P131:T131"/>
    <mergeCell ref="D108:E108"/>
    <mergeCell ref="A168:Z168"/>
    <mergeCell ref="D160:E160"/>
    <mergeCell ref="C341:G341"/>
    <mergeCell ref="P342:P343"/>
    <mergeCell ref="D301:E301"/>
    <mergeCell ref="R342:R343"/>
    <mergeCell ref="P116:T116"/>
    <mergeCell ref="A26:Z26"/>
    <mergeCell ref="P103:T103"/>
    <mergeCell ref="P59:V59"/>
    <mergeCell ref="P97:T97"/>
    <mergeCell ref="P201:V201"/>
    <mergeCell ref="P176:V176"/>
    <mergeCell ref="P281:T281"/>
    <mergeCell ref="A120:Z120"/>
    <mergeCell ref="E342:E343"/>
    <mergeCell ref="A95:Z95"/>
    <mergeCell ref="P267:V267"/>
    <mergeCell ref="P312:T312"/>
    <mergeCell ref="P278:V278"/>
    <mergeCell ref="P205:T205"/>
    <mergeCell ref="D322:E322"/>
    <mergeCell ref="R341:S341"/>
    <mergeCell ref="P305:T305"/>
    <mergeCell ref="A304:Z304"/>
    <mergeCell ref="D96:E96"/>
    <mergeCell ref="A332:O333"/>
    <mergeCell ref="P93:V93"/>
    <mergeCell ref="P264:V264"/>
    <mergeCell ref="A300:Z300"/>
    <mergeCell ref="P335:V335"/>
    <mergeCell ref="A287:Z287"/>
    <mergeCell ref="P333:V333"/>
    <mergeCell ref="D145:E145"/>
    <mergeCell ref="D316:E316"/>
    <mergeCell ref="A218:Z218"/>
    <mergeCell ref="D272:E272"/>
    <mergeCell ref="D147:E147"/>
    <mergeCell ref="P306:V306"/>
    <mergeCell ref="P263:V263"/>
    <mergeCell ref="D251:E251"/>
    <mergeCell ref="P293:V293"/>
    <mergeCell ref="P200:V200"/>
    <mergeCell ref="P292:V292"/>
    <mergeCell ref="D109:E109"/>
    <mergeCell ref="P163:T163"/>
    <mergeCell ref="P138:T138"/>
    <mergeCell ref="D282:E282"/>
    <mergeCell ref="P311:T311"/>
    <mergeCell ref="D248:E248"/>
    <mergeCell ref="P329:T329"/>
    <mergeCell ref="D139:E139"/>
    <mergeCell ref="P118:V118"/>
    <mergeCell ref="A98:O99"/>
    <mergeCell ref="P266:T266"/>
    <mergeCell ref="P331:T331"/>
    <mergeCell ref="P182:V182"/>
    <mergeCell ref="H1:Q1"/>
    <mergeCell ref="A243:Z243"/>
    <mergeCell ref="P274:V274"/>
    <mergeCell ref="D214:E214"/>
    <mergeCell ref="P222:V222"/>
    <mergeCell ref="A286:Z286"/>
    <mergeCell ref="A74:Z74"/>
    <mergeCell ref="D28:E28"/>
    <mergeCell ref="A101:Z101"/>
    <mergeCell ref="D326:E326"/>
    <mergeCell ref="D313:E313"/>
    <mergeCell ref="D117:E117"/>
    <mergeCell ref="D92:E92"/>
    <mergeCell ref="P171:T171"/>
    <mergeCell ref="D30:E30"/>
    <mergeCell ref="D5:E5"/>
    <mergeCell ref="D290:E290"/>
    <mergeCell ref="D7:M7"/>
    <mergeCell ref="P156:V156"/>
    <mergeCell ref="P92:T92"/>
    <mergeCell ref="D144:E144"/>
    <mergeCell ref="A209:O210"/>
    <mergeCell ref="D315:E315"/>
    <mergeCell ref="P173:T173"/>
    <mergeCell ref="P29:T29"/>
    <mergeCell ref="P271:T271"/>
    <mergeCell ref="D81:E81"/>
    <mergeCell ref="D208:E208"/>
    <mergeCell ref="D8:M8"/>
    <mergeCell ref="P44:T44"/>
    <mergeCell ref="P279:V279"/>
    <mergeCell ref="P98:V98"/>
    <mergeCell ref="A278:O279"/>
    <mergeCell ref="D69:E69"/>
    <mergeCell ref="P148:T148"/>
    <mergeCell ref="A47:O48"/>
    <mergeCell ref="P175:V175"/>
    <mergeCell ref="P240:T240"/>
    <mergeCell ref="P39:T39"/>
    <mergeCell ref="D87:E87"/>
    <mergeCell ref="I17:I18"/>
    <mergeCell ref="O342:O343"/>
    <mergeCell ref="P290:T290"/>
    <mergeCell ref="Q342:Q343"/>
    <mergeCell ref="P141:V141"/>
    <mergeCell ref="A140:O141"/>
    <mergeCell ref="A202:Z202"/>
    <mergeCell ref="P230:V230"/>
    <mergeCell ref="P104:T104"/>
    <mergeCell ref="B17:B18"/>
    <mergeCell ref="D131:E131"/>
    <mergeCell ref="P235:V235"/>
    <mergeCell ref="A60:Z60"/>
    <mergeCell ref="A260:Z260"/>
    <mergeCell ref="P81:T81"/>
    <mergeCell ref="P56:T56"/>
    <mergeCell ref="D195:E195"/>
    <mergeCell ref="P252:T252"/>
    <mergeCell ref="A124:Z124"/>
    <mergeCell ref="A229:O230"/>
    <mergeCell ref="P170:T170"/>
    <mergeCell ref="P145:T145"/>
    <mergeCell ref="P113:V113"/>
    <mergeCell ref="D126:E126"/>
    <mergeCell ref="P316:T316"/>
    <mergeCell ref="A334:O339"/>
    <mergeCell ref="R1:T1"/>
    <mergeCell ref="P172:T172"/>
    <mergeCell ref="P28:T28"/>
    <mergeCell ref="D71:E71"/>
    <mergeCell ref="P150:T150"/>
    <mergeCell ref="P221:T221"/>
    <mergeCell ref="P326:T326"/>
    <mergeCell ref="P215:T215"/>
    <mergeCell ref="P165:T165"/>
    <mergeCell ref="P229:V229"/>
    <mergeCell ref="P30:T30"/>
    <mergeCell ref="P166:V166"/>
    <mergeCell ref="V10:W10"/>
    <mergeCell ref="D197:E197"/>
    <mergeCell ref="D289:E289"/>
    <mergeCell ref="P160:T160"/>
    <mergeCell ref="P147:T147"/>
    <mergeCell ref="W17:W18"/>
    <mergeCell ref="A86:Z86"/>
    <mergeCell ref="P332:V332"/>
    <mergeCell ref="P217:V217"/>
    <mergeCell ref="A306:O307"/>
    <mergeCell ref="P234:T234"/>
    <mergeCell ref="P324:V324"/>
    <mergeCell ref="D70:E70"/>
    <mergeCell ref="P220:T220"/>
    <mergeCell ref="D312:E312"/>
    <mergeCell ref="A216:O217"/>
    <mergeCell ref="A80:Z80"/>
    <mergeCell ref="P213:T213"/>
    <mergeCell ref="P328:T328"/>
    <mergeCell ref="D205:E205"/>
    <mergeCell ref="P249:T249"/>
    <mergeCell ref="P254:V254"/>
    <mergeCell ref="P319:V319"/>
    <mergeCell ref="P296:T296"/>
    <mergeCell ref="D277:E277"/>
    <mergeCell ref="P318:V318"/>
    <mergeCell ref="P322:T322"/>
    <mergeCell ref="D132:E132"/>
    <mergeCell ref="D295:E295"/>
    <mergeCell ref="D172:E172"/>
    <mergeCell ref="A72:O73"/>
    <mergeCell ref="P233:T233"/>
    <mergeCell ref="P155:V155"/>
    <mergeCell ref="A273:O274"/>
    <mergeCell ref="P143:T143"/>
    <mergeCell ref="P144:T144"/>
    <mergeCell ref="P315:T315"/>
    <mergeCell ref="D174:E174"/>
    <mergeCell ref="A34:Z34"/>
    <mergeCell ref="A270:Z270"/>
    <mergeCell ref="D45:E45"/>
    <mergeCell ref="H9:I9"/>
    <mergeCell ref="A49:Z49"/>
    <mergeCell ref="P24:V24"/>
    <mergeCell ref="D281:E281"/>
    <mergeCell ref="P89:V89"/>
    <mergeCell ref="P88:V88"/>
    <mergeCell ref="P259:V259"/>
    <mergeCell ref="A55:Z55"/>
    <mergeCell ref="Q9:R9"/>
    <mergeCell ref="Q11:R11"/>
    <mergeCell ref="A12:M12"/>
    <mergeCell ref="A19:Z19"/>
    <mergeCell ref="A14:M14"/>
    <mergeCell ref="D68:E68"/>
    <mergeCell ref="P51:T51"/>
    <mergeCell ref="J9:M9"/>
    <mergeCell ref="P37:T37"/>
    <mergeCell ref="P248:T2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515</v>
      </c>
      <c r="H1" s="53"/>
    </row>
    <row r="3" spans="2:8" x14ac:dyDescent="0.2">
      <c r="B3" s="48" t="s">
        <v>516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14</v>
      </c>
      <c r="C6" s="48" t="s">
        <v>517</v>
      </c>
      <c r="D6" s="48" t="s">
        <v>518</v>
      </c>
      <c r="E6" s="48"/>
    </row>
    <row r="8" spans="2:8" x14ac:dyDescent="0.2">
      <c r="B8" s="48" t="s">
        <v>19</v>
      </c>
      <c r="C8" s="48" t="s">
        <v>517</v>
      </c>
      <c r="D8" s="48"/>
      <c r="E8" s="48"/>
    </row>
    <row r="10" spans="2:8" x14ac:dyDescent="0.2">
      <c r="B10" s="48" t="s">
        <v>519</v>
      </c>
      <c r="C10" s="48"/>
      <c r="D10" s="48"/>
      <c r="E10" s="48"/>
    </row>
    <row r="11" spans="2:8" x14ac:dyDescent="0.2">
      <c r="B11" s="48" t="s">
        <v>520</v>
      </c>
      <c r="C11" s="48"/>
      <c r="D11" s="48"/>
      <c r="E11" s="48"/>
    </row>
    <row r="12" spans="2:8" x14ac:dyDescent="0.2">
      <c r="B12" s="48" t="s">
        <v>521</v>
      </c>
      <c r="C12" s="48"/>
      <c r="D12" s="48"/>
      <c r="E12" s="48"/>
    </row>
    <row r="13" spans="2:8" x14ac:dyDescent="0.2">
      <c r="B13" s="48" t="s">
        <v>522</v>
      </c>
      <c r="C13" s="48"/>
      <c r="D13" s="48"/>
      <c r="E13" s="48"/>
    </row>
    <row r="14" spans="2:8" x14ac:dyDescent="0.2">
      <c r="B14" s="48" t="s">
        <v>523</v>
      </c>
      <c r="C14" s="48"/>
      <c r="D14" s="48"/>
      <c r="E14" s="48"/>
    </row>
    <row r="15" spans="2:8" x14ac:dyDescent="0.2">
      <c r="B15" s="48" t="s">
        <v>524</v>
      </c>
      <c r="C15" s="48"/>
      <c r="D15" s="48"/>
      <c r="E15" s="48"/>
    </row>
    <row r="16" spans="2:8" x14ac:dyDescent="0.2">
      <c r="B16" s="48" t="s">
        <v>525</v>
      </c>
      <c r="C16" s="48"/>
      <c r="D16" s="48"/>
      <c r="E16" s="48"/>
    </row>
    <row r="17" spans="2:5" x14ac:dyDescent="0.2">
      <c r="B17" s="48" t="s">
        <v>32</v>
      </c>
      <c r="C17" s="48"/>
      <c r="D17" s="48"/>
      <c r="E17" s="48"/>
    </row>
    <row r="18" spans="2:5" x14ac:dyDescent="0.2">
      <c r="B18" s="48" t="s">
        <v>526</v>
      </c>
      <c r="C18" s="48"/>
      <c r="D18" s="48"/>
      <c r="E18" s="48"/>
    </row>
    <row r="19" spans="2:5" x14ac:dyDescent="0.2">
      <c r="B19" s="48" t="s">
        <v>527</v>
      </c>
      <c r="C19" s="48"/>
      <c r="D19" s="48"/>
      <c r="E19" s="48"/>
    </row>
    <row r="20" spans="2:5" x14ac:dyDescent="0.2">
      <c r="B20" s="48" t="s">
        <v>528</v>
      </c>
      <c r="C20" s="48"/>
      <c r="D20" s="48"/>
      <c r="E20" s="48"/>
    </row>
  </sheetData>
  <sheetProtection algorithmName="SHA-512" hashValue="XsSPPefkngo8kL26iXBdAQfsR26b+Lzul/boOEPWOHUcal236UmJX8VlQOYJ92n0Hfk0HgyuOhW07UXEB8FFhw==" saltValue="MURLz9EF33+hveKZAA5W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633</vt:i4>
      </vt:variant>
    </vt:vector>
  </HeadingPairs>
  <TitlesOfParts>
    <vt:vector size="63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2026-01-16T13:36:53Z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