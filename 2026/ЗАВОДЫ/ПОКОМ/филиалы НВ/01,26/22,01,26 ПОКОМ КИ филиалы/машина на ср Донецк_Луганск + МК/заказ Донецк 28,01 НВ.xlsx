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2C5E38A-CEB8-4647-A85C-5D1267635A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Y405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Y387" i="1" s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Y344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Y310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Q498" i="1" s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82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Y257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Z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2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5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9" i="1" s="1"/>
  <c r="P165" i="1"/>
  <c r="X163" i="1"/>
  <c r="X162" i="1"/>
  <c r="BO161" i="1"/>
  <c r="BM161" i="1"/>
  <c r="Y161" i="1"/>
  <c r="I498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3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498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E498" i="1" s="1"/>
  <c r="P84" i="1"/>
  <c r="X81" i="1"/>
  <c r="X80" i="1"/>
  <c r="BO79" i="1"/>
  <c r="BM79" i="1"/>
  <c r="Y79" i="1"/>
  <c r="Y81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N53" i="1"/>
  <c r="BM53" i="1"/>
  <c r="Z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488" i="1" s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Y25" i="1" s="1"/>
  <c r="P22" i="1"/>
  <c r="H10" i="1"/>
  <c r="A9" i="1"/>
  <c r="A10" i="1" s="1"/>
  <c r="D7" i="1"/>
  <c r="Q6" i="1"/>
  <c r="P2" i="1"/>
  <c r="F9" i="1" l="1"/>
  <c r="J9" i="1"/>
  <c r="F10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H9" i="1"/>
  <c r="B498" i="1"/>
  <c r="X489" i="1"/>
  <c r="X490" i="1"/>
  <c r="Z23" i="1"/>
  <c r="Z24" i="1" s="1"/>
  <c r="BN23" i="1"/>
  <c r="Y489" i="1" s="1"/>
  <c r="Y24" i="1"/>
  <c r="Z27" i="1"/>
  <c r="BN27" i="1"/>
  <c r="BP27" i="1"/>
  <c r="Y490" i="1" s="1"/>
  <c r="Z29" i="1"/>
  <c r="BN29" i="1"/>
  <c r="C498" i="1"/>
  <c r="Z41" i="1"/>
  <c r="Z43" i="1" s="1"/>
  <c r="BN41" i="1"/>
  <c r="Y44" i="1"/>
  <c r="Y488" i="1" s="1"/>
  <c r="D498" i="1"/>
  <c r="Y58" i="1"/>
  <c r="Z52" i="1"/>
  <c r="Z57" i="1" s="1"/>
  <c r="BN52" i="1"/>
  <c r="Y57" i="1"/>
  <c r="BP61" i="1"/>
  <c r="BN61" i="1"/>
  <c r="Z61" i="1"/>
  <c r="Z63" i="1" s="1"/>
  <c r="Y68" i="1"/>
  <c r="BP73" i="1"/>
  <c r="BN73" i="1"/>
  <c r="Z73" i="1"/>
  <c r="Z79" i="1"/>
  <c r="Z80" i="1" s="1"/>
  <c r="BN79" i="1"/>
  <c r="BP79" i="1"/>
  <c r="Z84" i="1"/>
  <c r="Z88" i="1" s="1"/>
  <c r="BN84" i="1"/>
  <c r="BP84" i="1"/>
  <c r="Z86" i="1"/>
  <c r="BN86" i="1"/>
  <c r="Y89" i="1"/>
  <c r="Z92" i="1"/>
  <c r="Z95" i="1" s="1"/>
  <c r="BN92" i="1"/>
  <c r="BP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Y112" i="1"/>
  <c r="Z115" i="1"/>
  <c r="Z118" i="1" s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Z133" i="1" s="1"/>
  <c r="BN132" i="1"/>
  <c r="BP132" i="1"/>
  <c r="Z136" i="1"/>
  <c r="Z138" i="1" s="1"/>
  <c r="BN136" i="1"/>
  <c r="BP136" i="1"/>
  <c r="Y139" i="1"/>
  <c r="H498" i="1"/>
  <c r="Z143" i="1"/>
  <c r="Z144" i="1" s="1"/>
  <c r="BN143" i="1"/>
  <c r="BP143" i="1"/>
  <c r="Y144" i="1"/>
  <c r="Z147" i="1"/>
  <c r="Z152" i="1" s="1"/>
  <c r="BN147" i="1"/>
  <c r="BP147" i="1"/>
  <c r="Z149" i="1"/>
  <c r="BN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5" i="1"/>
  <c r="Z179" i="1" s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Y186" i="1"/>
  <c r="J498" i="1"/>
  <c r="Z194" i="1"/>
  <c r="Z195" i="1" s="1"/>
  <c r="BN194" i="1"/>
  <c r="BP194" i="1"/>
  <c r="Y195" i="1"/>
  <c r="Z198" i="1"/>
  <c r="Z200" i="1" s="1"/>
  <c r="BN198" i="1"/>
  <c r="BP198" i="1"/>
  <c r="Y201" i="1"/>
  <c r="Z204" i="1"/>
  <c r="Z211" i="1" s="1"/>
  <c r="BN204" i="1"/>
  <c r="Z206" i="1"/>
  <c r="BN206" i="1"/>
  <c r="Z208" i="1"/>
  <c r="BN208" i="1"/>
  <c r="Z210" i="1"/>
  <c r="BN210" i="1"/>
  <c r="Y211" i="1"/>
  <c r="Z214" i="1"/>
  <c r="BN214" i="1"/>
  <c r="BP220" i="1"/>
  <c r="BN220" i="1"/>
  <c r="Z220" i="1"/>
  <c r="Y88" i="1"/>
  <c r="Y105" i="1"/>
  <c r="Y128" i="1"/>
  <c r="Y163" i="1"/>
  <c r="Y224" i="1"/>
  <c r="Y223" i="1"/>
  <c r="BP216" i="1"/>
  <c r="BN216" i="1"/>
  <c r="BP218" i="1"/>
  <c r="BN218" i="1"/>
  <c r="Z218" i="1"/>
  <c r="Z241" i="1"/>
  <c r="Z222" i="1"/>
  <c r="BN222" i="1"/>
  <c r="Z226" i="1"/>
  <c r="Z228" i="1" s="1"/>
  <c r="BN226" i="1"/>
  <c r="BP226" i="1"/>
  <c r="Y229" i="1"/>
  <c r="K498" i="1"/>
  <c r="Z233" i="1"/>
  <c r="BN233" i="1"/>
  <c r="Z235" i="1"/>
  <c r="BN235" i="1"/>
  <c r="Z237" i="1"/>
  <c r="BN237" i="1"/>
  <c r="Z239" i="1"/>
  <c r="BN239" i="1"/>
  <c r="Y242" i="1"/>
  <c r="Z253" i="1"/>
  <c r="Z257" i="1" s="1"/>
  <c r="BN253" i="1"/>
  <c r="Z255" i="1"/>
  <c r="BN255" i="1"/>
  <c r="Y258" i="1"/>
  <c r="L498" i="1"/>
  <c r="Y266" i="1"/>
  <c r="Z262" i="1"/>
  <c r="Z266" i="1" s="1"/>
  <c r="BN262" i="1"/>
  <c r="BP263" i="1"/>
  <c r="BN263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Z323" i="1"/>
  <c r="BP321" i="1"/>
  <c r="BN321" i="1"/>
  <c r="Z321" i="1"/>
  <c r="Y330" i="1"/>
  <c r="BP329" i="1"/>
  <c r="BN329" i="1"/>
  <c r="Z329" i="1"/>
  <c r="Y336" i="1"/>
  <c r="BP333" i="1"/>
  <c r="BN333" i="1"/>
  <c r="Z333" i="1"/>
  <c r="BP342" i="1"/>
  <c r="BN342" i="1"/>
  <c r="Z342" i="1"/>
  <c r="Y355" i="1"/>
  <c r="BP348" i="1"/>
  <c r="BN348" i="1"/>
  <c r="Z348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Y380" i="1"/>
  <c r="BP385" i="1"/>
  <c r="BN385" i="1"/>
  <c r="Z385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S498" i="1"/>
  <c r="Y241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BP315" i="1"/>
  <c r="BN315" i="1"/>
  <c r="Z315" i="1"/>
  <c r="BP327" i="1"/>
  <c r="BN327" i="1"/>
  <c r="Z327" i="1"/>
  <c r="Z330" i="1" s="1"/>
  <c r="BP335" i="1"/>
  <c r="BN335" i="1"/>
  <c r="Z335" i="1"/>
  <c r="Y337" i="1"/>
  <c r="R498" i="1"/>
  <c r="Y343" i="1"/>
  <c r="BP340" i="1"/>
  <c r="BN340" i="1"/>
  <c r="Z340" i="1"/>
  <c r="Z343" i="1" s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BP379" i="1"/>
  <c r="BN379" i="1"/>
  <c r="Z379" i="1"/>
  <c r="Z380" i="1" s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BP414" i="1"/>
  <c r="BN414" i="1"/>
  <c r="Z414" i="1"/>
  <c r="Z417" i="1" s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Z445" i="1" s="1"/>
  <c r="Y446" i="1"/>
  <c r="BP450" i="1"/>
  <c r="BN450" i="1"/>
  <c r="Z450" i="1"/>
  <c r="Y454" i="1"/>
  <c r="BP460" i="1"/>
  <c r="BN460" i="1"/>
  <c r="Z460" i="1"/>
  <c r="Y498" i="1"/>
  <c r="Y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Z439" i="1" s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BP452" i="1"/>
  <c r="BN452" i="1"/>
  <c r="Z452" i="1"/>
  <c r="Y463" i="1"/>
  <c r="BP462" i="1"/>
  <c r="BN462" i="1"/>
  <c r="Z462" i="1"/>
  <c r="Z463" i="1" s="1"/>
  <c r="Y469" i="1"/>
  <c r="BP466" i="1"/>
  <c r="BN466" i="1"/>
  <c r="Z466" i="1"/>
  <c r="Z468" i="1" s="1"/>
  <c r="Y481" i="1"/>
  <c r="Y439" i="1"/>
  <c r="Y491" i="1" l="1"/>
  <c r="Z454" i="1"/>
  <c r="Z336" i="1"/>
  <c r="Z274" i="1"/>
  <c r="Z223" i="1"/>
  <c r="Z111" i="1"/>
  <c r="Z104" i="1"/>
  <c r="Z31" i="1"/>
  <c r="Z493" i="1" s="1"/>
  <c r="Z400" i="1"/>
  <c r="Z355" i="1"/>
  <c r="Z317" i="1"/>
  <c r="Y492" i="1"/>
  <c r="X491" i="1"/>
  <c r="Z75" i="1"/>
</calcChain>
</file>

<file path=xl/sharedStrings.xml><?xml version="1.0" encoding="utf-8"?>
<sst xmlns="http://schemas.openxmlformats.org/spreadsheetml/2006/main" count="2283" uniqueCount="767">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</sst>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184</v>
      </c>
      <c r="Y40" s="546">
        <f>IFERROR(IF(X40="",0,CEILING((X40/$H40),1)*$H40),"")</f>
        <v>194.4</v>
      </c>
      <c r="Z40" s="36">
        <f>IFERROR(IF(Y40=0,"",ROUNDUP(Y40/H40,0)*0.01898),"")</f>
        <v>0.34164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190.9851851851852</v>
      </c>
      <c r="BN40" s="64">
        <f>IFERROR(Y40*I40/H40,"0")</f>
        <v>201.78</v>
      </c>
      <c r="BO40" s="64">
        <f>IFERROR(1/J40*(X40/H40),"0")</f>
        <v>0.26620370370370366</v>
      </c>
      <c r="BP40" s="64">
        <f>IFERROR(1/J40*(Y40/H40),"0")</f>
        <v>0.28125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17.037037037037035</v>
      </c>
      <c r="Y43" s="547">
        <f>IFERROR(Y40/H40,"0")+IFERROR(Y41/H41,"0")+IFERROR(Y42/H42,"0")</f>
        <v>18</v>
      </c>
      <c r="Z43" s="547">
        <f>IFERROR(IF(Z40="",0,Z40),"0")+IFERROR(IF(Z41="",0,Z41),"0")+IFERROR(IF(Z42="",0,Z42),"0")</f>
        <v>0.34164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184</v>
      </c>
      <c r="Y44" s="547">
        <f>IFERROR(SUM(Y40:Y42),"0")</f>
        <v>194.4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197</v>
      </c>
      <c r="Y84" s="546">
        <f>IFERROR(IF(X84="",0,CEILING((X84/$H84),1)*$H84),"")</f>
        <v>205.20000000000002</v>
      </c>
      <c r="Z84" s="36">
        <f>IFERROR(IF(Y84=0,"",ROUNDUP(Y84/H84,0)*0.01898),"")</f>
        <v>0.36062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204.47870370370373</v>
      </c>
      <c r="BN84" s="64">
        <f>IFERROR(Y84*I84/H84,"0")</f>
        <v>212.99</v>
      </c>
      <c r="BO84" s="64">
        <f>IFERROR(1/J84*(X84/H84),"0")</f>
        <v>0.28501157407407407</v>
      </c>
      <c r="BP84" s="64">
        <f>IFERROR(1/J84*(Y84/H84),"0")</f>
        <v>0.296875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45</v>
      </c>
      <c r="Y87" s="546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28.24074074074074</v>
      </c>
      <c r="Y88" s="547">
        <f>IFERROR(Y84/H84,"0")+IFERROR(Y85/H85,"0")+IFERROR(Y86/H86,"0")+IFERROR(Y87/H87,"0")</f>
        <v>29</v>
      </c>
      <c r="Z88" s="547">
        <f>IFERROR(IF(Z84="",0,Z84),"0")+IFERROR(IF(Z85="",0,Z85),"0")+IFERROR(IF(Z86="",0,Z86),"0")+IFERROR(IF(Z87="",0,Z87),"0")</f>
        <v>0.45082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242</v>
      </c>
      <c r="Y89" s="547">
        <f>IFERROR(SUM(Y84:Y87),"0")</f>
        <v>250.20000000000002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213</v>
      </c>
      <c r="Y99" s="546">
        <f>IFERROR(IF(X99="",0,CEILING((X99/$H99),1)*$H99),"")</f>
        <v>216</v>
      </c>
      <c r="Z99" s="36">
        <f>IFERROR(IF(Y99=0,"",ROUNDUP(Y99/H99,0)*0.01898),"")</f>
        <v>0.37959999999999999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221.08611111111111</v>
      </c>
      <c r="BN99" s="64">
        <f>IFERROR(Y99*I99/H99,"0")</f>
        <v>224.2</v>
      </c>
      <c r="BO99" s="64">
        <f>IFERROR(1/J99*(X99/H99),"0")</f>
        <v>0.30815972222222221</v>
      </c>
      <c r="BP99" s="64">
        <f>IFERROR(1/J99*(Y99/H99),"0")</f>
        <v>0.3125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59</v>
      </c>
      <c r="Y102" s="546">
        <f>IFERROR(IF(X102="",0,CEILING((X102/$H102),1)*$H102),"")</f>
        <v>63</v>
      </c>
      <c r="Z102" s="36">
        <f>IFERROR(IF(Y102=0,"",ROUNDUP(Y102/H102,0)*0.00902),"")</f>
        <v>0.12628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61.491111111111117</v>
      </c>
      <c r="BN102" s="64">
        <f>IFERROR(Y102*I102/H102,"0")</f>
        <v>65.660000000000011</v>
      </c>
      <c r="BO102" s="64">
        <f>IFERROR(1/J102*(X102/H102),"0")</f>
        <v>9.9326599326599332E-2</v>
      </c>
      <c r="BP102" s="64">
        <f>IFERROR(1/J102*(Y102/H102),"0")</f>
        <v>0.10606060606060606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32.833333333333329</v>
      </c>
      <c r="Y104" s="547">
        <f>IFERROR(Y99/H99,"0")+IFERROR(Y100/H100,"0")+IFERROR(Y101/H101,"0")+IFERROR(Y102/H102,"0")+IFERROR(Y103/H103,"0")</f>
        <v>34</v>
      </c>
      <c r="Z104" s="547">
        <f>IFERROR(IF(Z99="",0,Z99),"0")+IFERROR(IF(Z100="",0,Z100),"0")+IFERROR(IF(Z101="",0,Z101),"0")+IFERROR(IF(Z102="",0,Z102),"0")+IFERROR(IF(Z103="",0,Z103),"0")</f>
        <v>0.50588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272</v>
      </c>
      <c r="Y105" s="547">
        <f>IFERROR(SUM(Y99:Y103),"0")</f>
        <v>279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0</v>
      </c>
      <c r="Y118" s="547">
        <f>IFERROR(Y114/H114,"0")+IFERROR(Y115/H115,"0")+IFERROR(Y116/H116,"0")+IFERROR(Y117/H117,"0")</f>
        <v>0</v>
      </c>
      <c r="Z118" s="547">
        <f>IFERROR(IF(Z114="",0,Z114),"0")+IFERROR(IF(Z115="",0,Z115),"0")+IFERROR(IF(Z116="",0,Z116),"0")+IFERROR(IF(Z117="",0,Z117),"0")</f>
        <v>0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0</v>
      </c>
      <c r="Y119" s="547">
        <f>IFERROR(SUM(Y114:Y117),"0")</f>
        <v>0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0</v>
      </c>
      <c r="Y223" s="547">
        <f>IFERROR(Y214/H214,"0")+IFERROR(Y215/H215,"0")+IFERROR(Y216/H216,"0")+IFERROR(Y217/H217,"0")+IFERROR(Y218/H218,"0")+IFERROR(Y219/H219,"0")+IFERROR(Y220/H220,"0")+IFERROR(Y221/H221,"0")+IFERROR(Y222/H222,"0")</f>
        <v>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0</v>
      </c>
      <c r="Y224" s="547">
        <f>IFERROR(SUM(Y214:Y222),"0")</f>
        <v>0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685</v>
      </c>
      <c r="Y348" s="546">
        <f t="shared" ref="Y348:Y354" si="31">IFERROR(IF(X348="",0,CEILING((X348/$H348),1)*$H348),"")</f>
        <v>690</v>
      </c>
      <c r="Z348" s="36">
        <f>IFERROR(IF(Y348=0,"",ROUNDUP(Y348/H348,0)*0.02175),"")</f>
        <v>1.0004999999999999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706.46333333333337</v>
      </c>
      <c r="BN348" s="64">
        <f t="shared" ref="BN348:BN354" si="33">IFERROR(Y348*I348/H348,"0")</f>
        <v>711.62000000000012</v>
      </c>
      <c r="BO348" s="64">
        <f t="shared" ref="BO348:BO354" si="34">IFERROR(1/J348*(X348/H348),"0")</f>
        <v>0.95138888888888884</v>
      </c>
      <c r="BP348" s="64">
        <f t="shared" ref="BP348:BP354" si="35">IFERROR(1/J348*(Y348/H348),"0")</f>
        <v>0.95833333333333326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235</v>
      </c>
      <c r="Y349" s="546">
        <f t="shared" si="31"/>
        <v>240</v>
      </c>
      <c r="Z349" s="36">
        <f>IFERROR(IF(Y349=0,"",ROUNDUP(Y349/H349,0)*0.02175),"")</f>
        <v>0.34799999999999998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242.36333333333334</v>
      </c>
      <c r="BN349" s="64">
        <f t="shared" si="33"/>
        <v>247.52</v>
      </c>
      <c r="BO349" s="64">
        <f t="shared" si="34"/>
        <v>0.32638888888888884</v>
      </c>
      <c r="BP349" s="64">
        <f t="shared" si="35"/>
        <v>0.33333333333333331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441</v>
      </c>
      <c r="Y350" s="546">
        <f t="shared" si="31"/>
        <v>450</v>
      </c>
      <c r="Z350" s="36">
        <f>IFERROR(IF(Y350=0,"",ROUNDUP(Y350/H350,0)*0.02175),"")</f>
        <v>0.65249999999999997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454.81800000000004</v>
      </c>
      <c r="BN350" s="64">
        <f t="shared" si="33"/>
        <v>464.1</v>
      </c>
      <c r="BO350" s="64">
        <f t="shared" si="34"/>
        <v>0.61249999999999993</v>
      </c>
      <c r="BP350" s="64">
        <f t="shared" si="35"/>
        <v>0.625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121</v>
      </c>
      <c r="Y351" s="546">
        <f t="shared" si="31"/>
        <v>135</v>
      </c>
      <c r="Z351" s="36">
        <f>IFERROR(IF(Y351=0,"",ROUNDUP(Y351/H351,0)*0.02175),"")</f>
        <v>0.19574999999999998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124.79133333333334</v>
      </c>
      <c r="BN351" s="64">
        <f t="shared" si="33"/>
        <v>139.23000000000002</v>
      </c>
      <c r="BO351" s="64">
        <f t="shared" si="34"/>
        <v>0.16805555555555554</v>
      </c>
      <c r="BP351" s="64">
        <f t="shared" si="35"/>
        <v>0.1875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98.799999999999983</v>
      </c>
      <c r="Y355" s="547">
        <f>IFERROR(Y348/H348,"0")+IFERROR(Y349/H349,"0")+IFERROR(Y350/H350,"0")+IFERROR(Y351/H351,"0")+IFERROR(Y352/H352,"0")+IFERROR(Y353/H353,"0")+IFERROR(Y354/H354,"0")</f>
        <v>101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2.1967499999999998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1482</v>
      </c>
      <c r="Y356" s="547">
        <f>IFERROR(SUM(Y348:Y354),"0")</f>
        <v>1515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607</v>
      </c>
      <c r="Y358" s="546">
        <f>IFERROR(IF(X358="",0,CEILING((X358/$H358),1)*$H358),"")</f>
        <v>615</v>
      </c>
      <c r="Z358" s="36">
        <f>IFERROR(IF(Y358=0,"",ROUNDUP(Y358/H358,0)*0.02175),"")</f>
        <v>0.89174999999999993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626.01933333333341</v>
      </c>
      <c r="BN358" s="64">
        <f>IFERROR(Y358*I358/H358,"0")</f>
        <v>634.2700000000001</v>
      </c>
      <c r="BO358" s="64">
        <f>IFERROR(1/J358*(X358/H358),"0")</f>
        <v>0.84305555555555556</v>
      </c>
      <c r="BP358" s="64">
        <f>IFERROR(1/J358*(Y358/H358),"0")</f>
        <v>0.85416666666666663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40.466666666666669</v>
      </c>
      <c r="Y360" s="547">
        <f>IFERROR(Y358/H358,"0")+IFERROR(Y359/H359,"0")</f>
        <v>41</v>
      </c>
      <c r="Z360" s="547">
        <f>IFERROR(IF(Z358="",0,Z358),"0")+IFERROR(IF(Z359="",0,Z359),"0")</f>
        <v>0.89174999999999993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607</v>
      </c>
      <c r="Y361" s="547">
        <f>IFERROR(SUM(Y358:Y359),"0")</f>
        <v>615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697</v>
      </c>
      <c r="Y431" s="546">
        <f t="shared" si="42"/>
        <v>702.24</v>
      </c>
      <c r="Z431" s="36">
        <f t="shared" si="43"/>
        <v>1.5906800000000001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743.2026515151515</v>
      </c>
      <c r="BN431" s="64">
        <f t="shared" si="45"/>
        <v>748.79</v>
      </c>
      <c r="BO431" s="64">
        <f t="shared" si="46"/>
        <v>1.2693036130536131</v>
      </c>
      <c r="BP431" s="64">
        <f t="shared" si="47"/>
        <v>1.278846153846154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924</v>
      </c>
      <c r="Y433" s="546">
        <f t="shared" si="42"/>
        <v>924</v>
      </c>
      <c r="Z433" s="36">
        <f t="shared" si="43"/>
        <v>2.093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985.24999999999989</v>
      </c>
      <c r="BN433" s="64">
        <f t="shared" si="45"/>
        <v>985.24999999999989</v>
      </c>
      <c r="BO433" s="64">
        <f t="shared" si="46"/>
        <v>1.6826923076923077</v>
      </c>
      <c r="BP433" s="64">
        <f t="shared" si="47"/>
        <v>1.6826923076923077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307.00757575757575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308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3.6836799999999998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1621</v>
      </c>
      <c r="Y440" s="547">
        <f>IFERROR(SUM(Y427:Y438),"0")</f>
        <v>1626.24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617</v>
      </c>
      <c r="Y442" s="546">
        <f>IFERROR(IF(X442="",0,CEILING((X442/$H442),1)*$H442),"")</f>
        <v>617.76</v>
      </c>
      <c r="Z442" s="36">
        <f>IFERROR(IF(Y442=0,"",ROUNDUP(Y442/H442,0)*0.01196),"")</f>
        <v>1.3993200000000001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657.89962121212113</v>
      </c>
      <c r="BN442" s="64">
        <f>IFERROR(Y442*I442/H442,"0")</f>
        <v>658.71</v>
      </c>
      <c r="BO442" s="64">
        <f>IFERROR(1/J442*(X442/H442),"0")</f>
        <v>1.1236159673659674</v>
      </c>
      <c r="BP442" s="64">
        <f>IFERROR(1/J442*(Y442/H442),"0")</f>
        <v>1.125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116.85606060606059</v>
      </c>
      <c r="Y445" s="547">
        <f>IFERROR(Y442/H442,"0")+IFERROR(Y443/H443,"0")+IFERROR(Y444/H444,"0")</f>
        <v>116.99999999999999</v>
      </c>
      <c r="Z445" s="547">
        <f>IFERROR(IF(Z442="",0,Z442),"0")+IFERROR(IF(Z443="",0,Z443),"0")+IFERROR(IF(Z444="",0,Z444),"0")</f>
        <v>1.3993200000000001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617</v>
      </c>
      <c r="Y446" s="547">
        <f>IFERROR(SUM(Y442:Y444),"0")</f>
        <v>617.76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143</v>
      </c>
      <c r="Y448" s="546">
        <f t="shared" ref="Y448:Y453" si="48">IFERROR(IF(X448="",0,CEILING((X448/$H448),1)*$H448),"")</f>
        <v>147.84</v>
      </c>
      <c r="Z448" s="36">
        <f>IFERROR(IF(Y448=0,"",ROUNDUP(Y448/H448,0)*0.01196),"")</f>
        <v>0.33488000000000001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152.47916666666666</v>
      </c>
      <c r="BN448" s="64">
        <f t="shared" ref="BN448:BN453" si="50">IFERROR(Y448*I448/H448,"0")</f>
        <v>157.63999999999999</v>
      </c>
      <c r="BO448" s="64">
        <f t="shared" ref="BO448:BO453" si="51">IFERROR(1/J448*(X448/H448),"0")</f>
        <v>0.26041666666666669</v>
      </c>
      <c r="BP448" s="64">
        <f t="shared" ref="BP448:BP453" si="52">IFERROR(1/J448*(Y448/H448),"0")</f>
        <v>0.26923076923076927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166</v>
      </c>
      <c r="Y449" s="546">
        <f t="shared" si="48"/>
        <v>168.96</v>
      </c>
      <c r="Z449" s="36">
        <f>IFERROR(IF(Y449=0,"",ROUNDUP(Y449/H449,0)*0.01196),"")</f>
        <v>0.38272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177.00378787878785</v>
      </c>
      <c r="BN449" s="64">
        <f t="shared" si="50"/>
        <v>180.16</v>
      </c>
      <c r="BO449" s="64">
        <f t="shared" si="51"/>
        <v>0.30230186480186483</v>
      </c>
      <c r="BP449" s="64">
        <f t="shared" si="52"/>
        <v>0.30769230769230771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449</v>
      </c>
      <c r="Y450" s="546">
        <f t="shared" si="48"/>
        <v>454.08000000000004</v>
      </c>
      <c r="Z450" s="36">
        <f>IFERROR(IF(Y450=0,"",ROUNDUP(Y450/H450,0)*0.01196),"")</f>
        <v>1.0285599999999999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478.76325757575751</v>
      </c>
      <c r="BN450" s="64">
        <f t="shared" si="50"/>
        <v>484.18</v>
      </c>
      <c r="BO450" s="64">
        <f t="shared" si="51"/>
        <v>0.81767191142191142</v>
      </c>
      <c r="BP450" s="64">
        <f t="shared" si="52"/>
        <v>0.82692307692307698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143.56060606060606</v>
      </c>
      <c r="Y454" s="547">
        <f>IFERROR(Y448/H448,"0")+IFERROR(Y449/H449,"0")+IFERROR(Y450/H450,"0")+IFERROR(Y451/H451,"0")+IFERROR(Y452/H452,"0")+IFERROR(Y453/H453,"0")</f>
        <v>146</v>
      </c>
      <c r="Z454" s="547">
        <f>IFERROR(IF(Z448="",0,Z448),"0")+IFERROR(IF(Z449="",0,Z449),"0")+IFERROR(IF(Z450="",0,Z450),"0")+IFERROR(IF(Z451="",0,Z451),"0")+IFERROR(IF(Z452="",0,Z452),"0")+IFERROR(IF(Z453="",0,Z453),"0")</f>
        <v>1.7461599999999999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758</v>
      </c>
      <c r="Y455" s="547">
        <f>IFERROR(SUM(Y448:Y453),"0")</f>
        <v>770.88000000000011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5783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5868.4800000000005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6073.9949292929286</v>
      </c>
      <c r="Y489" s="547">
        <f>IFERROR(SUM(BN22:BN485),"0")</f>
        <v>6163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10</v>
      </c>
      <c r="Y490" s="38">
        <f>ROUNDUP(SUM(BP22:BP485),0)</f>
        <v>10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6323.9949292929286</v>
      </c>
      <c r="Y491" s="547">
        <f>GrossWeightTotalR+PalletQtyTotalR*25</f>
        <v>6413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784.80202020202023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794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11.215999999999998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194.4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250.20000000000002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279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2130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3014.88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2026-01-26T07:22:54Z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