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FE9136E6-BA6D-40A7-82D6-DB242A580F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Y468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498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Z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U498" i="1" s="1"/>
  <c r="P391" i="1"/>
  <c r="X387" i="1"/>
  <c r="X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BO383" i="1"/>
  <c r="BM383" i="1"/>
  <c r="Y383" i="1"/>
  <c r="Y386" i="1" s="1"/>
  <c r="P383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T498" i="1" s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P363" i="1"/>
  <c r="BO363" i="1"/>
  <c r="BN363" i="1"/>
  <c r="BM363" i="1"/>
  <c r="Z363" i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Y355" i="1" s="1"/>
  <c r="P348" i="1"/>
  <c r="X344" i="1"/>
  <c r="X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R498" i="1" s="1"/>
  <c r="P340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BO313" i="1"/>
  <c r="BM313" i="1"/>
  <c r="Y313" i="1"/>
  <c r="Y318" i="1" s="1"/>
  <c r="P313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Y310" i="1" s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Q498" i="1" s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82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Y257" i="1" s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4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Y196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80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2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498" i="1" s="1"/>
  <c r="P142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Y129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8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Y43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Y25" i="1" s="1"/>
  <c r="P22" i="1"/>
  <c r="H10" i="1"/>
  <c r="A9" i="1"/>
  <c r="A10" i="1" s="1"/>
  <c r="D7" i="1"/>
  <c r="Q6" i="1"/>
  <c r="P2" i="1"/>
  <c r="F9" i="1" l="1"/>
  <c r="J9" i="1"/>
  <c r="F10" i="1"/>
  <c r="Y32" i="1"/>
  <c r="Y488" i="1" s="1"/>
  <c r="BP27" i="1"/>
  <c r="Y490" i="1" s="1"/>
  <c r="BN27" i="1"/>
  <c r="Z27" i="1"/>
  <c r="Y31" i="1"/>
  <c r="BP41" i="1"/>
  <c r="BN41" i="1"/>
  <c r="Z41" i="1"/>
  <c r="Z43" i="1" s="1"/>
  <c r="H9" i="1"/>
  <c r="B498" i="1"/>
  <c r="X489" i="1"/>
  <c r="X490" i="1"/>
  <c r="Z23" i="1"/>
  <c r="Z24" i="1" s="1"/>
  <c r="BN23" i="1"/>
  <c r="Y489" i="1" s="1"/>
  <c r="Y491" i="1" s="1"/>
  <c r="Y24" i="1"/>
  <c r="BP29" i="1"/>
  <c r="BN29" i="1"/>
  <c r="Z29" i="1"/>
  <c r="Y58" i="1"/>
  <c r="BP52" i="1"/>
  <c r="BN52" i="1"/>
  <c r="Z52" i="1"/>
  <c r="Z57" i="1" s="1"/>
  <c r="X488" i="1"/>
  <c r="C498" i="1"/>
  <c r="Y44" i="1"/>
  <c r="D498" i="1"/>
  <c r="Z54" i="1"/>
  <c r="BN54" i="1"/>
  <c r="Z56" i="1"/>
  <c r="BN56" i="1"/>
  <c r="Y57" i="1"/>
  <c r="Z60" i="1"/>
  <c r="BN60" i="1"/>
  <c r="BP60" i="1"/>
  <c r="Z62" i="1"/>
  <c r="BN62" i="1"/>
  <c r="Y63" i="1"/>
  <c r="Z66" i="1"/>
  <c r="Z68" i="1" s="1"/>
  <c r="BN66" i="1"/>
  <c r="BP66" i="1"/>
  <c r="Y69" i="1"/>
  <c r="Z72" i="1"/>
  <c r="Z75" i="1" s="1"/>
  <c r="BN72" i="1"/>
  <c r="BP72" i="1"/>
  <c r="Z74" i="1"/>
  <c r="BN74" i="1"/>
  <c r="Z78" i="1"/>
  <c r="Z80" i="1" s="1"/>
  <c r="BN78" i="1"/>
  <c r="BP78" i="1"/>
  <c r="Y81" i="1"/>
  <c r="E498" i="1"/>
  <c r="Z85" i="1"/>
  <c r="Z88" i="1" s="1"/>
  <c r="BN85" i="1"/>
  <c r="BP85" i="1"/>
  <c r="Z87" i="1"/>
  <c r="BN87" i="1"/>
  <c r="Y88" i="1"/>
  <c r="Z91" i="1"/>
  <c r="BN91" i="1"/>
  <c r="BP91" i="1"/>
  <c r="Z93" i="1"/>
  <c r="BN93" i="1"/>
  <c r="Y96" i="1"/>
  <c r="F498" i="1"/>
  <c r="Z100" i="1"/>
  <c r="Z104" i="1" s="1"/>
  <c r="BN100" i="1"/>
  <c r="BP100" i="1"/>
  <c r="Z102" i="1"/>
  <c r="BN102" i="1"/>
  <c r="Y105" i="1"/>
  <c r="Z108" i="1"/>
  <c r="Z111" i="1" s="1"/>
  <c r="BN108" i="1"/>
  <c r="BP108" i="1"/>
  <c r="Z110" i="1"/>
  <c r="BN110" i="1"/>
  <c r="Z114" i="1"/>
  <c r="BN114" i="1"/>
  <c r="BP114" i="1"/>
  <c r="Z116" i="1"/>
  <c r="BN116" i="1"/>
  <c r="Y119" i="1"/>
  <c r="G498" i="1"/>
  <c r="Z127" i="1"/>
  <c r="Z128" i="1" s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Z144" i="1" s="1"/>
  <c r="BN142" i="1"/>
  <c r="BP142" i="1"/>
  <c r="Y145" i="1"/>
  <c r="Z148" i="1"/>
  <c r="Z152" i="1" s="1"/>
  <c r="BN148" i="1"/>
  <c r="BP148" i="1"/>
  <c r="Z150" i="1"/>
  <c r="BN150" i="1"/>
  <c r="I498" i="1"/>
  <c r="Y163" i="1"/>
  <c r="Z166" i="1"/>
  <c r="Z179" i="1" s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Y179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201" i="1"/>
  <c r="BP198" i="1"/>
  <c r="BN198" i="1"/>
  <c r="Z198" i="1"/>
  <c r="Z200" i="1" s="1"/>
  <c r="Y212" i="1"/>
  <c r="Y144" i="1"/>
  <c r="J498" i="1"/>
  <c r="Y195" i="1"/>
  <c r="BP204" i="1"/>
  <c r="BN204" i="1"/>
  <c r="Z204" i="1"/>
  <c r="Z211" i="1" s="1"/>
  <c r="Z206" i="1"/>
  <c r="BN206" i="1"/>
  <c r="Z208" i="1"/>
  <c r="BN208" i="1"/>
  <c r="Z210" i="1"/>
  <c r="BN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Y223" i="1"/>
  <c r="Z226" i="1"/>
  <c r="Z228" i="1" s="1"/>
  <c r="BN226" i="1"/>
  <c r="BP226" i="1"/>
  <c r="Y229" i="1"/>
  <c r="K498" i="1"/>
  <c r="Z233" i="1"/>
  <c r="Z241" i="1" s="1"/>
  <c r="BN233" i="1"/>
  <c r="Z235" i="1"/>
  <c r="BN235" i="1"/>
  <c r="Z237" i="1"/>
  <c r="BN237" i="1"/>
  <c r="Z239" i="1"/>
  <c r="BN239" i="1"/>
  <c r="Y242" i="1"/>
  <c r="Z253" i="1"/>
  <c r="Z257" i="1" s="1"/>
  <c r="BN253" i="1"/>
  <c r="Z255" i="1"/>
  <c r="BN255" i="1"/>
  <c r="Y258" i="1"/>
  <c r="L498" i="1"/>
  <c r="Y266" i="1"/>
  <c r="Z262" i="1"/>
  <c r="Z266" i="1" s="1"/>
  <c r="BN262" i="1"/>
  <c r="BP263" i="1"/>
  <c r="BN263" i="1"/>
  <c r="BP265" i="1"/>
  <c r="BN265" i="1"/>
  <c r="Z265" i="1"/>
  <c r="Y267" i="1"/>
  <c r="M498" i="1"/>
  <c r="Y275" i="1"/>
  <c r="BP270" i="1"/>
  <c r="BN270" i="1"/>
  <c r="Z270" i="1"/>
  <c r="Y274" i="1"/>
  <c r="Z281" i="1"/>
  <c r="BP279" i="1"/>
  <c r="BN279" i="1"/>
  <c r="Z279" i="1"/>
  <c r="BP297" i="1"/>
  <c r="BN297" i="1"/>
  <c r="Z297" i="1"/>
  <c r="Y301" i="1"/>
  <c r="Y241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11" i="1"/>
  <c r="Y317" i="1"/>
  <c r="Y323" i="1"/>
  <c r="Y331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BP450" i="1"/>
  <c r="BN450" i="1"/>
  <c r="Z450" i="1"/>
  <c r="Y454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S498" i="1"/>
  <c r="P498" i="1"/>
  <c r="Y287" i="1"/>
  <c r="Z299" i="1"/>
  <c r="Z301" i="1" s="1"/>
  <c r="BN299" i="1"/>
  <c r="Y302" i="1"/>
  <c r="Z305" i="1"/>
  <c r="Z310" i="1" s="1"/>
  <c r="BN305" i="1"/>
  <c r="Z307" i="1"/>
  <c r="BN307" i="1"/>
  <c r="Z309" i="1"/>
  <c r="BN309" i="1"/>
  <c r="Z313" i="1"/>
  <c r="Z317" i="1" s="1"/>
  <c r="BN313" i="1"/>
  <c r="BP313" i="1"/>
  <c r="Z315" i="1"/>
  <c r="BN315" i="1"/>
  <c r="Z321" i="1"/>
  <c r="Z323" i="1" s="1"/>
  <c r="BN321" i="1"/>
  <c r="Z327" i="1"/>
  <c r="Z330" i="1" s="1"/>
  <c r="BN327" i="1"/>
  <c r="Z329" i="1"/>
  <c r="BN329" i="1"/>
  <c r="Z333" i="1"/>
  <c r="BN333" i="1"/>
  <c r="BP333" i="1"/>
  <c r="Z335" i="1"/>
  <c r="BN335" i="1"/>
  <c r="Z340" i="1"/>
  <c r="Z343" i="1" s="1"/>
  <c r="BN340" i="1"/>
  <c r="BP340" i="1"/>
  <c r="Z342" i="1"/>
  <c r="BN342" i="1"/>
  <c r="Y343" i="1"/>
  <c r="Z348" i="1"/>
  <c r="Z355" i="1" s="1"/>
  <c r="BN348" i="1"/>
  <c r="BP348" i="1"/>
  <c r="Z350" i="1"/>
  <c r="BN350" i="1"/>
  <c r="Z352" i="1"/>
  <c r="BN352" i="1"/>
  <c r="Z354" i="1"/>
  <c r="BN354" i="1"/>
  <c r="Z358" i="1"/>
  <c r="Z360" i="1" s="1"/>
  <c r="BN358" i="1"/>
  <c r="BP358" i="1"/>
  <c r="Z364" i="1"/>
  <c r="Z365" i="1" s="1"/>
  <c r="BN364" i="1"/>
  <c r="Z368" i="1"/>
  <c r="Z369" i="1" s="1"/>
  <c r="BN368" i="1"/>
  <c r="BP368" i="1"/>
  <c r="Z373" i="1"/>
  <c r="Z375" i="1" s="1"/>
  <c r="BN373" i="1"/>
  <c r="BP373" i="1"/>
  <c r="Y376" i="1"/>
  <c r="Z379" i="1"/>
  <c r="Z380" i="1" s="1"/>
  <c r="BN379" i="1"/>
  <c r="Z383" i="1"/>
  <c r="BN383" i="1"/>
  <c r="BP383" i="1"/>
  <c r="Z385" i="1"/>
  <c r="BN385" i="1"/>
  <c r="Z391" i="1"/>
  <c r="Z400" i="1" s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Z405" i="1" s="1"/>
  <c r="BN403" i="1"/>
  <c r="BP403" i="1"/>
  <c r="V498" i="1"/>
  <c r="Y411" i="1"/>
  <c r="Y418" i="1"/>
  <c r="Z414" i="1"/>
  <c r="Z417" i="1" s="1"/>
  <c r="BN414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BP452" i="1"/>
  <c r="BN452" i="1"/>
  <c r="Z452" i="1"/>
  <c r="Y463" i="1"/>
  <c r="BP462" i="1"/>
  <c r="BN462" i="1"/>
  <c r="Z462" i="1"/>
  <c r="Y464" i="1"/>
  <c r="Y469" i="1"/>
  <c r="BP466" i="1"/>
  <c r="BN466" i="1"/>
  <c r="Z466" i="1"/>
  <c r="Z468" i="1" s="1"/>
  <c r="Y481" i="1"/>
  <c r="Y498" i="1"/>
  <c r="Y439" i="1"/>
  <c r="Z274" i="1" l="1"/>
  <c r="Y492" i="1"/>
  <c r="X491" i="1"/>
  <c r="Z454" i="1"/>
  <c r="Z439" i="1"/>
  <c r="Z386" i="1"/>
  <c r="Z336" i="1"/>
  <c r="Z445" i="1"/>
  <c r="Z223" i="1"/>
  <c r="Z185" i="1"/>
  <c r="Z118" i="1"/>
  <c r="Z95" i="1"/>
  <c r="Z63" i="1"/>
  <c r="Z31" i="1"/>
  <c r="Z493" i="1" s="1"/>
</calcChain>
</file>

<file path=xl/sharedStrings.xml><?xml version="1.0" encoding="utf-8"?>
<sst xmlns="http://schemas.openxmlformats.org/spreadsheetml/2006/main" count="2255" uniqueCount="767">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</sst>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7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386</v>
      </c>
      <c r="Y40" s="546">
        <f>IFERROR(IF(X40="",0,CEILING((X40/$H40),1)*$H40),"")</f>
        <v>388.8</v>
      </c>
      <c r="Z40" s="36">
        <f>IFERROR(IF(Y40=0,"",ROUNDUP(Y40/H40,0)*0.01898),"")</f>
        <v>0.68328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400.65370370370374</v>
      </c>
      <c r="BN40" s="64">
        <f>IFERROR(Y40*I40/H40,"0")</f>
        <v>403.56</v>
      </c>
      <c r="BO40" s="64">
        <f>IFERROR(1/J40*(X40/H40),"0")</f>
        <v>0.55844907407407407</v>
      </c>
      <c r="BP40" s="64">
        <f>IFERROR(1/J40*(Y40/H40),"0")</f>
        <v>0.5625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110</v>
      </c>
      <c r="Y42" s="546">
        <f>IFERROR(IF(X42="",0,CEILING((X42/$H42),1)*$H42),"")</f>
        <v>111</v>
      </c>
      <c r="Z42" s="36">
        <f>IFERROR(IF(Y42=0,"",ROUNDUP(Y42/H42,0)*0.00902),"")</f>
        <v>0.27060000000000001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115.64864864864865</v>
      </c>
      <c r="BN42" s="64">
        <f>IFERROR(Y42*I42/H42,"0")</f>
        <v>116.7</v>
      </c>
      <c r="BO42" s="64">
        <f>IFERROR(1/J42*(X42/H42),"0")</f>
        <v>0.22522522522522523</v>
      </c>
      <c r="BP42" s="64">
        <f>IFERROR(1/J42*(Y42/H42),"0")</f>
        <v>0.22727272727272729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65.470470470470474</v>
      </c>
      <c r="Y43" s="547">
        <f>IFERROR(Y40/H40,"0")+IFERROR(Y41/H41,"0")+IFERROR(Y42/H42,"0")</f>
        <v>66</v>
      </c>
      <c r="Z43" s="547">
        <f>IFERROR(IF(Z40="",0,Z40),"0")+IFERROR(IF(Z41="",0,Z41),"0")+IFERROR(IF(Z42="",0,Z42),"0")</f>
        <v>0.95388000000000006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496</v>
      </c>
      <c r="Y44" s="547">
        <f>IFERROR(SUM(Y40:Y42),"0")</f>
        <v>499.8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137</v>
      </c>
      <c r="Y52" s="546">
        <f t="shared" si="0"/>
        <v>140.4</v>
      </c>
      <c r="Z52" s="36">
        <f>IFERROR(IF(Y52=0,"",ROUNDUP(Y52/H52,0)*0.01898),"")</f>
        <v>0.24674000000000001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142.20092592592593</v>
      </c>
      <c r="BN52" s="64">
        <f t="shared" si="2"/>
        <v>145.73000000000002</v>
      </c>
      <c r="BO52" s="64">
        <f t="shared" si="3"/>
        <v>0.19820601851851852</v>
      </c>
      <c r="BP52" s="64">
        <f t="shared" si="4"/>
        <v>0.203125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94</v>
      </c>
      <c r="Y54" s="546">
        <f t="shared" si="0"/>
        <v>96</v>
      </c>
      <c r="Z54" s="36">
        <f>IFERROR(IF(Y54=0,"",ROUNDUP(Y54/H54,0)*0.00902),"")</f>
        <v>0.21648000000000001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98.465000000000003</v>
      </c>
      <c r="BN54" s="64">
        <f t="shared" si="2"/>
        <v>100.56</v>
      </c>
      <c r="BO54" s="64">
        <f t="shared" si="3"/>
        <v>0.17803030303030304</v>
      </c>
      <c r="BP54" s="64">
        <f t="shared" si="4"/>
        <v>0.18181818181818182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36.185185185185183</v>
      </c>
      <c r="Y57" s="547">
        <f>IFERROR(Y51/H51,"0")+IFERROR(Y52/H52,"0")+IFERROR(Y53/H53,"0")+IFERROR(Y54/H54,"0")+IFERROR(Y55/H55,"0")+IFERROR(Y56/H56,"0")</f>
        <v>37</v>
      </c>
      <c r="Z57" s="547">
        <f>IFERROR(IF(Z51="",0,Z51),"0")+IFERROR(IF(Z52="",0,Z52),"0")+IFERROR(IF(Z53="",0,Z53),"0")+IFERROR(IF(Z54="",0,Z54),"0")+IFERROR(IF(Z55="",0,Z55),"0")+IFERROR(IF(Z56="",0,Z56),"0")</f>
        <v>0.46322000000000002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231</v>
      </c>
      <c r="Y58" s="547">
        <f>IFERROR(SUM(Y51:Y56),"0")</f>
        <v>236.4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150</v>
      </c>
      <c r="Y60" s="546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13.888888888888888</v>
      </c>
      <c r="Y63" s="547">
        <f>IFERROR(Y60/H60,"0")+IFERROR(Y61/H61,"0")+IFERROR(Y62/H62,"0")</f>
        <v>14</v>
      </c>
      <c r="Z63" s="547">
        <f>IFERROR(IF(Z60="",0,Z60),"0")+IFERROR(IF(Z61="",0,Z61),"0")+IFERROR(IF(Z62="",0,Z62),"0")</f>
        <v>0.26572000000000001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150</v>
      </c>
      <c r="Y64" s="547">
        <f>IFERROR(SUM(Y60:Y62),"0")</f>
        <v>151.20000000000002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249</v>
      </c>
      <c r="Y84" s="546">
        <f>IFERROR(IF(X84="",0,CEILING((X84/$H84),1)*$H84),"")</f>
        <v>259.20000000000005</v>
      </c>
      <c r="Z84" s="36">
        <f>IFERROR(IF(Y84=0,"",ROUNDUP(Y84/H84,0)*0.01898),"")</f>
        <v>0.45552000000000004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258.45277777777778</v>
      </c>
      <c r="BN84" s="64">
        <f>IFERROR(Y84*I84/H84,"0")</f>
        <v>269.04000000000002</v>
      </c>
      <c r="BO84" s="64">
        <f>IFERROR(1/J84*(X84/H84),"0")</f>
        <v>0.36024305555555552</v>
      </c>
      <c r="BP84" s="64">
        <f>IFERROR(1/J84*(Y84/H84),"0")</f>
        <v>0.37500000000000006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122</v>
      </c>
      <c r="Y87" s="546">
        <f>IFERROR(IF(X87="",0,CEILING((X87/$H87),1)*$H87),"")</f>
        <v>126</v>
      </c>
      <c r="Z87" s="36">
        <f>IFERROR(IF(Y87=0,"",ROUNDUP(Y87/H87,0)*0.00902),"")</f>
        <v>0.25256000000000001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127.15111111111112</v>
      </c>
      <c r="BN87" s="64">
        <f>IFERROR(Y87*I87/H87,"0")</f>
        <v>131.32000000000002</v>
      </c>
      <c r="BO87" s="64">
        <f>IFERROR(1/J87*(X87/H87),"0")</f>
        <v>0.2053872053872054</v>
      </c>
      <c r="BP87" s="64">
        <f>IFERROR(1/J87*(Y87/H87),"0")</f>
        <v>0.21212121212121213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50.166666666666664</v>
      </c>
      <c r="Y88" s="547">
        <f>IFERROR(Y84/H84,"0")+IFERROR(Y85/H85,"0")+IFERROR(Y86/H86,"0")+IFERROR(Y87/H87,"0")</f>
        <v>52</v>
      </c>
      <c r="Z88" s="547">
        <f>IFERROR(IF(Z84="",0,Z84),"0")+IFERROR(IF(Z85="",0,Z85),"0")+IFERROR(IF(Z86="",0,Z86),"0")+IFERROR(IF(Z87="",0,Z87),"0")</f>
        <v>0.70808000000000004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371</v>
      </c>
      <c r="Y89" s="547">
        <f>IFERROR(SUM(Y84:Y87),"0")</f>
        <v>385.20000000000005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283</v>
      </c>
      <c r="Y99" s="546">
        <f>IFERROR(IF(X99="",0,CEILING((X99/$H99),1)*$H99),"")</f>
        <v>291.60000000000002</v>
      </c>
      <c r="Z99" s="36">
        <f>IFERROR(IF(Y99=0,"",ROUNDUP(Y99/H99,0)*0.01898),"")</f>
        <v>0.51246000000000003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293.7435185185185</v>
      </c>
      <c r="BN99" s="64">
        <f>IFERROR(Y99*I99/H99,"0")</f>
        <v>302.67000000000007</v>
      </c>
      <c r="BO99" s="64">
        <f>IFERROR(1/J99*(X99/H99),"0")</f>
        <v>0.40943287037037035</v>
      </c>
      <c r="BP99" s="64">
        <f>IFERROR(1/J99*(Y99/H99),"0")</f>
        <v>0.421875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115</v>
      </c>
      <c r="Y102" s="546">
        <f>IFERROR(IF(X102="",0,CEILING((X102/$H102),1)*$H102),"")</f>
        <v>117</v>
      </c>
      <c r="Z102" s="36">
        <f>IFERROR(IF(Y102=0,"",ROUNDUP(Y102/H102,0)*0.00902),"")</f>
        <v>0.23452000000000001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119.85555555555555</v>
      </c>
      <c r="BN102" s="64">
        <f>IFERROR(Y102*I102/H102,"0")</f>
        <v>121.94</v>
      </c>
      <c r="BO102" s="64">
        <f>IFERROR(1/J102*(X102/H102),"0")</f>
        <v>0.19360269360269361</v>
      </c>
      <c r="BP102" s="64">
        <f>IFERROR(1/J102*(Y102/H102),"0")</f>
        <v>0.19696969696969696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51.75925925925926</v>
      </c>
      <c r="Y104" s="547">
        <f>IFERROR(Y99/H99,"0")+IFERROR(Y100/H100,"0")+IFERROR(Y101/H101,"0")+IFERROR(Y102/H102,"0")+IFERROR(Y103/H103,"0")</f>
        <v>53</v>
      </c>
      <c r="Z104" s="547">
        <f>IFERROR(IF(Z99="",0,Z99),"0")+IFERROR(IF(Z100="",0,Z100),"0")+IFERROR(IF(Z101="",0,Z101),"0")+IFERROR(IF(Z102="",0,Z102),"0")+IFERROR(IF(Z103="",0,Z103),"0")</f>
        <v>0.74697999999999998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398</v>
      </c>
      <c r="Y105" s="547">
        <f>IFERROR(SUM(Y99:Y103),"0")</f>
        <v>408.6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74</v>
      </c>
      <c r="Y110" s="546">
        <f>IFERROR(IF(X110="",0,CEILING((X110/$H110),1)*$H110),"")</f>
        <v>74.399999999999991</v>
      </c>
      <c r="Z110" s="36">
        <f>IFERROR(IF(Y110=0,"",ROUNDUP(Y110/H110,0)*0.00651),"")</f>
        <v>0.20181000000000002</v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79.550000000000011</v>
      </c>
      <c r="BN110" s="64">
        <f>IFERROR(Y110*I110/H110,"0")</f>
        <v>79.97999999999999</v>
      </c>
      <c r="BO110" s="64">
        <f>IFERROR(1/J110*(X110/H110),"0")</f>
        <v>0.16941391941391945</v>
      </c>
      <c r="BP110" s="64">
        <f>IFERROR(1/J110*(Y110/H110),"0")</f>
        <v>0.17032967032967034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30.833333333333336</v>
      </c>
      <c r="Y111" s="547">
        <f>IFERROR(Y107/H107,"0")+IFERROR(Y108/H108,"0")+IFERROR(Y109/H109,"0")+IFERROR(Y110/H110,"0")</f>
        <v>30.999999999999996</v>
      </c>
      <c r="Z111" s="547">
        <f>IFERROR(IF(Z107="",0,Z107),"0")+IFERROR(IF(Z108="",0,Z108),"0")+IFERROR(IF(Z109="",0,Z109),"0")+IFERROR(IF(Z110="",0,Z110),"0")</f>
        <v>0.20181000000000002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74</v>
      </c>
      <c r="Y112" s="547">
        <f>IFERROR(SUM(Y107:Y110),"0")</f>
        <v>74.399999999999991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0</v>
      </c>
      <c r="Y118" s="547">
        <f>IFERROR(Y114/H114,"0")+IFERROR(Y115/H115,"0")+IFERROR(Y116/H116,"0")+IFERROR(Y117/H117,"0")</f>
        <v>0</v>
      </c>
      <c r="Z118" s="547">
        <f>IFERROR(IF(Z114="",0,Z114),"0")+IFERROR(IF(Z115="",0,Z115),"0")+IFERROR(IF(Z116="",0,Z116),"0")+IFERROR(IF(Z117="",0,Z117),"0")</f>
        <v>0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0</v>
      </c>
      <c r="Y119" s="547">
        <f>IFERROR(SUM(Y114:Y117),"0")</f>
        <v>0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0</v>
      </c>
      <c r="Y223" s="547">
        <f>IFERROR(Y214/H214,"0")+IFERROR(Y215/H215,"0")+IFERROR(Y216/H216,"0")+IFERROR(Y217/H217,"0")+IFERROR(Y218/H218,"0")+IFERROR(Y219/H219,"0")+IFERROR(Y220/H220,"0")+IFERROR(Y221/H221,"0")+IFERROR(Y222/H222,"0")</f>
        <v>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0</v>
      </c>
      <c r="Y224" s="547">
        <f>IFERROR(SUM(Y214:Y222),"0")</f>
        <v>0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157</v>
      </c>
      <c r="Y232" s="546">
        <f t="shared" ref="Y232:Y240" si="21">IFERROR(IF(X232="",0,CEILING((X232/$H232),1)*$H232),"")</f>
        <v>162.4</v>
      </c>
      <c r="Z232" s="36">
        <f>IFERROR(IF(Y232=0,"",ROUNDUP(Y232/H232,0)*0.01898),"")</f>
        <v>0.26572000000000001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162.54913793103449</v>
      </c>
      <c r="BN232" s="64">
        <f t="shared" ref="BN232:BN240" si="23">IFERROR(Y232*I232/H232,"0")</f>
        <v>168.14000000000001</v>
      </c>
      <c r="BO232" s="64">
        <f t="shared" ref="BO232:BO240" si="24">IFERROR(1/J232*(X232/H232),"0")</f>
        <v>0.21147629310344829</v>
      </c>
      <c r="BP232" s="64">
        <f t="shared" ref="BP232:BP240" si="25">IFERROR(1/J232*(Y232/H232),"0")</f>
        <v>0.21875000000000003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13.53448275862069</v>
      </c>
      <c r="Y241" s="547">
        <f>IFERROR(Y232/H232,"0")+IFERROR(Y233/H233,"0")+IFERROR(Y234/H234,"0")+IFERROR(Y235/H235,"0")+IFERROR(Y236/H236,"0")+IFERROR(Y237/H237,"0")+IFERROR(Y238/H238,"0")+IFERROR(Y239/H239,"0")+IFERROR(Y240/H240,"0")</f>
        <v>14.000000000000002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0.26572000000000001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157</v>
      </c>
      <c r="Y242" s="547">
        <f>IFERROR(SUM(Y232:Y240),"0")</f>
        <v>162.4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663</v>
      </c>
      <c r="Y348" s="546">
        <f t="shared" ref="Y348:Y354" si="31">IFERROR(IF(X348="",0,CEILING((X348/$H348),1)*$H348),"")</f>
        <v>675</v>
      </c>
      <c r="Z348" s="36">
        <f>IFERROR(IF(Y348=0,"",ROUNDUP(Y348/H348,0)*0.02175),"")</f>
        <v>0.9787499999999999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683.774</v>
      </c>
      <c r="BN348" s="64">
        <f t="shared" ref="BN348:BN354" si="33">IFERROR(Y348*I348/H348,"0")</f>
        <v>696.15</v>
      </c>
      <c r="BO348" s="64">
        <f t="shared" ref="BO348:BO354" si="34">IFERROR(1/J348*(X348/H348),"0")</f>
        <v>0.92083333333333339</v>
      </c>
      <c r="BP348" s="64">
        <f t="shared" ref="BP348:BP354" si="35">IFERROR(1/J348*(Y348/H348),"0")</f>
        <v>0.9375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334</v>
      </c>
      <c r="Y349" s="546">
        <f t="shared" si="31"/>
        <v>345</v>
      </c>
      <c r="Z349" s="36">
        <f>IFERROR(IF(Y349=0,"",ROUNDUP(Y349/H349,0)*0.02175),"")</f>
        <v>0.50024999999999997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344.46533333333338</v>
      </c>
      <c r="BN349" s="64">
        <f t="shared" si="33"/>
        <v>355.81000000000006</v>
      </c>
      <c r="BO349" s="64">
        <f t="shared" si="34"/>
        <v>0.46388888888888885</v>
      </c>
      <c r="BP349" s="64">
        <f t="shared" si="35"/>
        <v>0.47916666666666663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519</v>
      </c>
      <c r="Y350" s="546">
        <f t="shared" si="31"/>
        <v>525</v>
      </c>
      <c r="Z350" s="36">
        <f>IFERROR(IF(Y350=0,"",ROUNDUP(Y350/H350,0)*0.02175),"")</f>
        <v>0.76124999999999998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535.26200000000006</v>
      </c>
      <c r="BN350" s="64">
        <f t="shared" si="33"/>
        <v>541.45000000000005</v>
      </c>
      <c r="BO350" s="64">
        <f t="shared" si="34"/>
        <v>0.72083333333333333</v>
      </c>
      <c r="BP350" s="64">
        <f t="shared" si="35"/>
        <v>0.72916666666666663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101.06666666666666</v>
      </c>
      <c r="Y355" s="547">
        <f>IFERROR(Y348/H348,"0")+IFERROR(Y349/H349,"0")+IFERROR(Y350/H350,"0")+IFERROR(Y351/H351,"0")+IFERROR(Y352/H352,"0")+IFERROR(Y353/H353,"0")+IFERROR(Y354/H354,"0")</f>
        <v>103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2.2402499999999996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1516</v>
      </c>
      <c r="Y356" s="547">
        <f>IFERROR(SUM(Y348:Y354),"0")</f>
        <v>1545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753</v>
      </c>
      <c r="Y358" s="546">
        <f>IFERROR(IF(X358="",0,CEILING((X358/$H358),1)*$H358),"")</f>
        <v>765</v>
      </c>
      <c r="Z358" s="36">
        <f>IFERROR(IF(Y358=0,"",ROUNDUP(Y358/H358,0)*0.02175),"")</f>
        <v>1.1092499999999998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776.59399999999994</v>
      </c>
      <c r="BN358" s="64">
        <f>IFERROR(Y358*I358/H358,"0")</f>
        <v>788.97</v>
      </c>
      <c r="BO358" s="64">
        <f>IFERROR(1/J358*(X358/H358),"0")</f>
        <v>1.0458333333333334</v>
      </c>
      <c r="BP358" s="64">
        <f>IFERROR(1/J358*(Y358/H358),"0")</f>
        <v>1.0625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50.2</v>
      </c>
      <c r="Y360" s="547">
        <f>IFERROR(Y358/H358,"0")+IFERROR(Y359/H359,"0")</f>
        <v>51</v>
      </c>
      <c r="Z360" s="547">
        <f>IFERROR(IF(Z358="",0,Z358),"0")+IFERROR(IF(Z359="",0,Z359),"0")</f>
        <v>1.1092499999999998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753</v>
      </c>
      <c r="Y361" s="547">
        <f>IFERROR(SUM(Y358:Y359),"0")</f>
        <v>765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253</v>
      </c>
      <c r="Y431" s="546">
        <f t="shared" si="42"/>
        <v>253.44</v>
      </c>
      <c r="Z431" s="36">
        <f t="shared" si="43"/>
        <v>0.57408000000000003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269.77083333333331</v>
      </c>
      <c r="BN431" s="64">
        <f t="shared" si="45"/>
        <v>270.23999999999995</v>
      </c>
      <c r="BO431" s="64">
        <f t="shared" si="46"/>
        <v>0.46073717948717952</v>
      </c>
      <c r="BP431" s="64">
        <f t="shared" si="47"/>
        <v>0.46153846153846156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449</v>
      </c>
      <c r="Y433" s="546">
        <f t="shared" si="42"/>
        <v>454.08000000000004</v>
      </c>
      <c r="Z433" s="36">
        <f t="shared" si="43"/>
        <v>1.0285599999999999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478.76325757575751</v>
      </c>
      <c r="BN433" s="64">
        <f t="shared" si="45"/>
        <v>484.18</v>
      </c>
      <c r="BO433" s="64">
        <f t="shared" si="46"/>
        <v>0.81767191142191142</v>
      </c>
      <c r="BP433" s="64">
        <f t="shared" si="47"/>
        <v>0.82692307692307698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132.95454545454544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134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1.6026400000000001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702</v>
      </c>
      <c r="Y440" s="547">
        <f>IFERROR(SUM(Y427:Y438),"0")</f>
        <v>707.52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245</v>
      </c>
      <c r="Y442" s="546">
        <f>IFERROR(IF(X442="",0,CEILING((X442/$H442),1)*$H442),"")</f>
        <v>248.16000000000003</v>
      </c>
      <c r="Z442" s="36">
        <f>IFERROR(IF(Y442=0,"",ROUNDUP(Y442/H442,0)*0.01196),"")</f>
        <v>0.56211999999999995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261.24053030303025</v>
      </c>
      <c r="BN442" s="64">
        <f>IFERROR(Y442*I442/H442,"0")</f>
        <v>264.61</v>
      </c>
      <c r="BO442" s="64">
        <f>IFERROR(1/J442*(X442/H442),"0")</f>
        <v>0.44616841491841491</v>
      </c>
      <c r="BP442" s="64">
        <f>IFERROR(1/J442*(Y442/H442),"0")</f>
        <v>0.45192307692307693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46.401515151515149</v>
      </c>
      <c r="Y445" s="547">
        <f>IFERROR(Y442/H442,"0")+IFERROR(Y443/H443,"0")+IFERROR(Y444/H444,"0")</f>
        <v>47</v>
      </c>
      <c r="Z445" s="547">
        <f>IFERROR(IF(Z442="",0,Z442),"0")+IFERROR(IF(Z443="",0,Z443),"0")+IFERROR(IF(Z444="",0,Z444),"0")</f>
        <v>0.56211999999999995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245</v>
      </c>
      <c r="Y446" s="547">
        <f>IFERROR(SUM(Y442:Y444),"0")</f>
        <v>248.16000000000003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171</v>
      </c>
      <c r="Y450" s="546">
        <f t="shared" si="48"/>
        <v>174.24</v>
      </c>
      <c r="Z450" s="36">
        <f>IFERROR(IF(Y450=0,"",ROUNDUP(Y450/H450,0)*0.01196),"")</f>
        <v>0.39468000000000003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182.33522727272728</v>
      </c>
      <c r="BN450" s="64">
        <f t="shared" si="50"/>
        <v>185.79</v>
      </c>
      <c r="BO450" s="64">
        <f t="shared" si="51"/>
        <v>0.31140734265734266</v>
      </c>
      <c r="BP450" s="64">
        <f t="shared" si="52"/>
        <v>0.31730769230769235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32.386363636363633</v>
      </c>
      <c r="Y454" s="547">
        <f>IFERROR(Y448/H448,"0")+IFERROR(Y449/H449,"0")+IFERROR(Y450/H450,"0")+IFERROR(Y451/H451,"0")+IFERROR(Y452/H452,"0")+IFERROR(Y453/H453,"0")</f>
        <v>33</v>
      </c>
      <c r="Z454" s="547">
        <f>IFERROR(IF(Z448="",0,Z448),"0")+IFERROR(IF(Z449="",0,Z449),"0")+IFERROR(IF(Z450="",0,Z450),"0")+IFERROR(IF(Z451="",0,Z451),"0")+IFERROR(IF(Z452="",0,Z452),"0")+IFERROR(IF(Z453="",0,Z453),"0")</f>
        <v>0.39468000000000003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171</v>
      </c>
      <c r="Y455" s="547">
        <f>IFERROR(SUM(Y448:Y453),"0")</f>
        <v>174.24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5264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5357.92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5486.1700054349012</v>
      </c>
      <c r="Y489" s="547">
        <f>IFERROR(SUM(BN22:BN485),"0")</f>
        <v>5583.78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9</v>
      </c>
      <c r="Y490" s="38">
        <f>ROUNDUP(SUM(BP22:BP485),0)</f>
        <v>9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5711.1700054349012</v>
      </c>
      <c r="Y491" s="547">
        <f>GrossWeightTotalR+PalletQtyTotalR*25</f>
        <v>5808.78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624.8473774715153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635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9.5143499999999985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499.8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387.6</v>
      </c>
      <c r="E498" s="46">
        <f>IFERROR(Y84*1,"0")+IFERROR(Y85*1,"0")+IFERROR(Y86*1,"0")+IFERROR(Y87*1,"0")+IFERROR(Y91*1,"0")+IFERROR(Y92*1,"0")+IFERROR(Y93*1,"0")+IFERROR(Y94*1,"0")</f>
        <v>385.20000000000005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483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162.4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2310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1129.92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2026-01-26T07:24:47Z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