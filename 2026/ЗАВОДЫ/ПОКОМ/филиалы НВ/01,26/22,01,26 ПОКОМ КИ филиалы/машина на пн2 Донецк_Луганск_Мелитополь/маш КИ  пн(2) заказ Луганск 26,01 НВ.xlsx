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F391A611-41BD-4E78-BF68-AF29190236B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98" i="1" l="1"/>
  <c r="X487" i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Y472" i="1"/>
  <c r="X472" i="1"/>
  <c r="BP471" i="1"/>
  <c r="BO471" i="1"/>
  <c r="BN471" i="1"/>
  <c r="BM471" i="1"/>
  <c r="Z471" i="1"/>
  <c r="Z472" i="1" s="1"/>
  <c r="Y471" i="1"/>
  <c r="Y473" i="1" s="1"/>
  <c r="P471" i="1"/>
  <c r="X469" i="1"/>
  <c r="X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Y343" i="1"/>
  <c r="X343" i="1"/>
  <c r="BP342" i="1"/>
  <c r="BO342" i="1"/>
  <c r="BN342" i="1"/>
  <c r="BM342" i="1"/>
  <c r="Z342" i="1"/>
  <c r="Y342" i="1"/>
  <c r="P342" i="1"/>
  <c r="BO341" i="1"/>
  <c r="BN341" i="1"/>
  <c r="BM341" i="1"/>
  <c r="Z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P148" i="1"/>
  <c r="BO148" i="1"/>
  <c r="BN148" i="1"/>
  <c r="BM148" i="1"/>
  <c r="Z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P78" i="1"/>
  <c r="BO78" i="1"/>
  <c r="BN78" i="1"/>
  <c r="BM78" i="1"/>
  <c r="Z78" i="1"/>
  <c r="Y78" i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BO71" i="1"/>
  <c r="BM71" i="1"/>
  <c r="Y71" i="1"/>
  <c r="P71" i="1"/>
  <c r="X69" i="1"/>
  <c r="X68" i="1"/>
  <c r="BO67" i="1"/>
  <c r="BM67" i="1"/>
  <c r="Y67" i="1"/>
  <c r="P67" i="1"/>
  <c r="BP66" i="1"/>
  <c r="BO66" i="1"/>
  <c r="BN66" i="1"/>
  <c r="BM66" i="1"/>
  <c r="Z66" i="1"/>
  <c r="Y66" i="1"/>
  <c r="P66" i="1"/>
  <c r="X64" i="1"/>
  <c r="Y63" i="1"/>
  <c r="X63" i="1"/>
  <c r="BP62" i="1"/>
  <c r="BO62" i="1"/>
  <c r="BN62" i="1"/>
  <c r="BM62" i="1"/>
  <c r="Z62" i="1"/>
  <c r="Y62" i="1"/>
  <c r="P62" i="1"/>
  <c r="BO61" i="1"/>
  <c r="BM61" i="1"/>
  <c r="Y61" i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2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1" i="1"/>
  <c r="Y43" i="1"/>
  <c r="BP55" i="1"/>
  <c r="BN55" i="1"/>
  <c r="Z55" i="1"/>
  <c r="BP67" i="1"/>
  <c r="BN67" i="1"/>
  <c r="Z67" i="1"/>
  <c r="Z68" i="1" s="1"/>
  <c r="Y69" i="1"/>
  <c r="Y76" i="1"/>
  <c r="BP71" i="1"/>
  <c r="BN71" i="1"/>
  <c r="Z71" i="1"/>
  <c r="Y75" i="1"/>
  <c r="BP79" i="1"/>
  <c r="BN79" i="1"/>
  <c r="Z79" i="1"/>
  <c r="Z80" i="1" s="1"/>
  <c r="Y81" i="1"/>
  <c r="E498" i="1"/>
  <c r="Y89" i="1"/>
  <c r="BP84" i="1"/>
  <c r="BN84" i="1"/>
  <c r="Z84" i="1"/>
  <c r="Y88" i="1"/>
  <c r="BP92" i="1"/>
  <c r="BN92" i="1"/>
  <c r="Z92" i="1"/>
  <c r="Z95" i="1" s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Z301" i="1" s="1"/>
  <c r="Q498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498" i="1"/>
  <c r="H9" i="1"/>
  <c r="B498" i="1"/>
  <c r="X489" i="1"/>
  <c r="X490" i="1"/>
  <c r="Z23" i="1"/>
  <c r="Z24" i="1" s="1"/>
  <c r="BN23" i="1"/>
  <c r="Y489" i="1" s="1"/>
  <c r="Y24" i="1"/>
  <c r="X488" i="1"/>
  <c r="Z27" i="1"/>
  <c r="BN27" i="1"/>
  <c r="BP27" i="1"/>
  <c r="Y490" i="1" s="1"/>
  <c r="Z29" i="1"/>
  <c r="BN29" i="1"/>
  <c r="C498" i="1"/>
  <c r="Z41" i="1"/>
  <c r="Z43" i="1" s="1"/>
  <c r="BN41" i="1"/>
  <c r="Y44" i="1"/>
  <c r="D498" i="1"/>
  <c r="Y58" i="1"/>
  <c r="BP51" i="1"/>
  <c r="BN51" i="1"/>
  <c r="BP53" i="1"/>
  <c r="BN53" i="1"/>
  <c r="Z53" i="1"/>
  <c r="Z57" i="1" s="1"/>
  <c r="Y57" i="1"/>
  <c r="Z63" i="1"/>
  <c r="BP61" i="1"/>
  <c r="BN61" i="1"/>
  <c r="Z61" i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Z400" i="1" s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Z439" i="1" s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Z223" i="1" s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498" i="1"/>
  <c r="Y344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498" i="1"/>
  <c r="Y282" i="1"/>
  <c r="P498" i="1"/>
  <c r="Y287" i="1"/>
  <c r="S498" i="1"/>
  <c r="BP351" i="1"/>
  <c r="BN351" i="1"/>
  <c r="Z351" i="1"/>
  <c r="Z355" i="1" s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0" i="1"/>
  <c r="BN460" i="1"/>
  <c r="Z460" i="1"/>
  <c r="Z463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Y491" i="1" l="1"/>
  <c r="Z454" i="1"/>
  <c r="Z417" i="1"/>
  <c r="Z274" i="1"/>
  <c r="Z257" i="1"/>
  <c r="Z211" i="1"/>
  <c r="Z104" i="1"/>
  <c r="Z31" i="1"/>
  <c r="Z493" i="1" s="1"/>
  <c r="Y492" i="1"/>
  <c r="X491" i="1"/>
  <c r="Z317" i="1"/>
  <c r="Z179" i="1"/>
  <c r="Z336" i="1"/>
  <c r="Z266" i="1"/>
  <c r="Z241" i="1"/>
  <c r="Z152" i="1"/>
  <c r="Z88" i="1"/>
  <c r="Z75" i="1"/>
  <c r="Y488" i="1"/>
</calcChain>
</file>

<file path=xl/sharedStrings.xml><?xml version="1.0" encoding="utf-8"?>
<sst xmlns="http://schemas.openxmlformats.org/spreadsheetml/2006/main" count="2255" uniqueCount="767">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</sst>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1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7" t="s">
        <v>0</v>
      </c>
      <c r="E1" s="576"/>
      <c r="F1" s="576"/>
      <c r="G1" s="12" t="s">
        <v>1</v>
      </c>
      <c r="H1" s="627" t="s">
        <v>2</v>
      </c>
      <c r="I1" s="576"/>
      <c r="J1" s="576"/>
      <c r="K1" s="576"/>
      <c r="L1" s="576"/>
      <c r="M1" s="576"/>
      <c r="N1" s="576"/>
      <c r="O1" s="576"/>
      <c r="P1" s="576"/>
      <c r="Q1" s="576"/>
      <c r="R1" s="575" t="s">
        <v>3</v>
      </c>
      <c r="S1" s="576"/>
      <c r="T1" s="57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1" t="s">
        <v>8</v>
      </c>
      <c r="B5" s="647"/>
      <c r="C5" s="648"/>
      <c r="D5" s="631"/>
      <c r="E5" s="632"/>
      <c r="F5" s="833" t="s">
        <v>9</v>
      </c>
      <c r="G5" s="648"/>
      <c r="H5" s="631"/>
      <c r="I5" s="779"/>
      <c r="J5" s="779"/>
      <c r="K5" s="779"/>
      <c r="L5" s="779"/>
      <c r="M5" s="632"/>
      <c r="N5" s="58"/>
      <c r="P5" s="24" t="s">
        <v>10</v>
      </c>
      <c r="Q5" s="844">
        <v>46048</v>
      </c>
      <c r="R5" s="670"/>
      <c r="T5" s="716" t="s">
        <v>11</v>
      </c>
      <c r="U5" s="717"/>
      <c r="V5" s="718" t="s">
        <v>12</v>
      </c>
      <c r="W5" s="670"/>
      <c r="AB5" s="51"/>
      <c r="AC5" s="51"/>
      <c r="AD5" s="51"/>
      <c r="AE5" s="51"/>
    </row>
    <row r="6" spans="1:32" s="539" customFormat="1" ht="24" customHeight="1" x14ac:dyDescent="0.2">
      <c r="A6" s="671" t="s">
        <v>13</v>
      </c>
      <c r="B6" s="647"/>
      <c r="C6" s="648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70"/>
      <c r="N6" s="59"/>
      <c r="P6" s="24" t="s">
        <v>15</v>
      </c>
      <c r="Q6" s="852" t="str">
        <f>IF(Q5=0," ",CHOOSE(WEEKDAY(Q5,2),"Понедельник","Вторник","Среда","Четверг","Пятница","Суббота","Воскресенье"))</f>
        <v>Понедельник</v>
      </c>
      <c r="R6" s="553"/>
      <c r="T6" s="722" t="s">
        <v>16</v>
      </c>
      <c r="U6" s="717"/>
      <c r="V6" s="764" t="s">
        <v>17</v>
      </c>
      <c r="W6" s="597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59"/>
      <c r="U7" s="717"/>
      <c r="V7" s="765"/>
      <c r="W7" s="766"/>
      <c r="AB7" s="51"/>
      <c r="AC7" s="51"/>
      <c r="AD7" s="51"/>
      <c r="AE7" s="51"/>
    </row>
    <row r="8" spans="1:32" s="539" customFormat="1" ht="25.5" customHeight="1" x14ac:dyDescent="0.2">
      <c r="A8" s="864" t="s">
        <v>18</v>
      </c>
      <c r="B8" s="562"/>
      <c r="C8" s="563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2">
        <v>0.41666666666666669</v>
      </c>
      <c r="R8" s="609"/>
      <c r="T8" s="559"/>
      <c r="U8" s="717"/>
      <c r="V8" s="765"/>
      <c r="W8" s="766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3"/>
      <c r="E9" s="565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4" t="str">
        <f>IF(AND($A$9="Тип доверенности/получателя при получении в адресе перегруза:",$D$9="Разовая доверенность"),"Введите ФИО","")</f>
        <v/>
      </c>
      <c r="I9" s="565"/>
      <c r="J9" s="5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5"/>
      <c r="L9" s="565"/>
      <c r="M9" s="565"/>
      <c r="N9" s="537"/>
      <c r="P9" s="26" t="s">
        <v>21</v>
      </c>
      <c r="Q9" s="665"/>
      <c r="R9" s="666"/>
      <c r="T9" s="559"/>
      <c r="U9" s="717"/>
      <c r="V9" s="767"/>
      <c r="W9" s="768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3"/>
      <c r="E10" s="565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3"/>
      <c r="R10" s="724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9"/>
      <c r="R11" s="670"/>
      <c r="U11" s="24" t="s">
        <v>27</v>
      </c>
      <c r="V11" s="803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3" t="s">
        <v>29</v>
      </c>
      <c r="B12" s="647"/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8"/>
      <c r="N12" s="62"/>
      <c r="P12" s="24" t="s">
        <v>30</v>
      </c>
      <c r="Q12" s="682"/>
      <c r="R12" s="609"/>
      <c r="S12" s="23"/>
      <c r="U12" s="24"/>
      <c r="V12" s="576"/>
      <c r="W12" s="559"/>
      <c r="AB12" s="51"/>
      <c r="AC12" s="51"/>
      <c r="AD12" s="51"/>
      <c r="AE12" s="51"/>
    </row>
    <row r="13" spans="1:32" s="539" customFormat="1" ht="23.25" customHeight="1" x14ac:dyDescent="0.2">
      <c r="A13" s="713" t="s">
        <v>31</v>
      </c>
      <c r="B13" s="647"/>
      <c r="C13" s="647"/>
      <c r="D13" s="647"/>
      <c r="E13" s="647"/>
      <c r="F13" s="647"/>
      <c r="G13" s="647"/>
      <c r="H13" s="647"/>
      <c r="I13" s="647"/>
      <c r="J13" s="647"/>
      <c r="K13" s="647"/>
      <c r="L13" s="647"/>
      <c r="M13" s="648"/>
      <c r="N13" s="62"/>
      <c r="O13" s="26"/>
      <c r="P13" s="26" t="s">
        <v>32</v>
      </c>
      <c r="Q13" s="803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3" t="s">
        <v>33</v>
      </c>
      <c r="B14" s="647"/>
      <c r="C14" s="647"/>
      <c r="D14" s="647"/>
      <c r="E14" s="647"/>
      <c r="F14" s="647"/>
      <c r="G14" s="647"/>
      <c r="H14" s="647"/>
      <c r="I14" s="647"/>
      <c r="J14" s="647"/>
      <c r="K14" s="647"/>
      <c r="L14" s="647"/>
      <c r="M14" s="64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4" t="s">
        <v>34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8"/>
      <c r="N15" s="63"/>
      <c r="P15" s="704" t="s">
        <v>35</v>
      </c>
      <c r="Q15" s="576"/>
      <c r="R15" s="576"/>
      <c r="S15" s="576"/>
      <c r="T15" s="57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8" t="s">
        <v>38</v>
      </c>
      <c r="D17" s="590" t="s">
        <v>39</v>
      </c>
      <c r="E17" s="652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1"/>
      <c r="R17" s="651"/>
      <c r="S17" s="651"/>
      <c r="T17" s="652"/>
      <c r="U17" s="860" t="s">
        <v>51</v>
      </c>
      <c r="V17" s="648"/>
      <c r="W17" s="590" t="s">
        <v>52</v>
      </c>
      <c r="X17" s="590" t="s">
        <v>53</v>
      </c>
      <c r="Y17" s="861" t="s">
        <v>54</v>
      </c>
      <c r="Z17" s="777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3"/>
      <c r="E18" s="655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91"/>
      <c r="X18" s="591"/>
      <c r="Y18" s="862"/>
      <c r="Z18" s="778"/>
      <c r="AA18" s="757"/>
      <c r="AB18" s="757"/>
      <c r="AC18" s="757"/>
      <c r="AD18" s="830"/>
      <c r="AE18" s="831"/>
      <c r="AF18" s="832"/>
      <c r="AG18" s="66"/>
      <c r="BD18" s="65"/>
    </row>
    <row r="19" spans="1:68" ht="27.75" customHeight="1" x14ac:dyDescent="0.2">
      <c r="A19" s="639" t="s">
        <v>63</v>
      </c>
      <c r="B19" s="640"/>
      <c r="C19" s="640"/>
      <c r="D19" s="640"/>
      <c r="E19" s="640"/>
      <c r="F19" s="640"/>
      <c r="G19" s="640"/>
      <c r="H19" s="640"/>
      <c r="I19" s="640"/>
      <c r="J19" s="640"/>
      <c r="K19" s="640"/>
      <c r="L19" s="640"/>
      <c r="M19" s="640"/>
      <c r="N19" s="640"/>
      <c r="O19" s="640"/>
      <c r="P19" s="640"/>
      <c r="Q19" s="640"/>
      <c r="R19" s="640"/>
      <c r="S19" s="640"/>
      <c r="T19" s="640"/>
      <c r="U19" s="640"/>
      <c r="V19" s="640"/>
      <c r="W19" s="640"/>
      <c r="X19" s="640"/>
      <c r="Y19" s="640"/>
      <c r="Z19" s="640"/>
      <c r="AA19" s="48"/>
      <c r="AB19" s="48"/>
      <c r="AC19" s="48"/>
    </row>
    <row r="20" spans="1:68" ht="16.5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70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71"/>
      <c r="P31" s="561" t="s">
        <v>75</v>
      </c>
      <c r="Q31" s="562"/>
      <c r="R31" s="562"/>
      <c r="S31" s="562"/>
      <c r="T31" s="562"/>
      <c r="U31" s="562"/>
      <c r="V31" s="563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75</v>
      </c>
      <c r="Q32" s="562"/>
      <c r="R32" s="562"/>
      <c r="S32" s="562"/>
      <c r="T32" s="562"/>
      <c r="U32" s="562"/>
      <c r="V32" s="563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70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71"/>
      <c r="P35" s="561" t="s">
        <v>75</v>
      </c>
      <c r="Q35" s="562"/>
      <c r="R35" s="562"/>
      <c r="S35" s="562"/>
      <c r="T35" s="562"/>
      <c r="U35" s="562"/>
      <c r="V35" s="563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75</v>
      </c>
      <c r="Q36" s="562"/>
      <c r="R36" s="562"/>
      <c r="S36" s="562"/>
      <c r="T36" s="562"/>
      <c r="U36" s="562"/>
      <c r="V36" s="563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customHeight="1" x14ac:dyDescent="0.2">
      <c r="A37" s="639" t="s">
        <v>97</v>
      </c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48"/>
      <c r="AB37" s="48"/>
      <c r="AC37" s="48"/>
    </row>
    <row r="38" spans="1:68" ht="16.5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200</v>
      </c>
      <c r="Y40" s="546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0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71"/>
      <c r="P43" s="561" t="s">
        <v>75</v>
      </c>
      <c r="Q43" s="562"/>
      <c r="R43" s="562"/>
      <c r="S43" s="562"/>
      <c r="T43" s="562"/>
      <c r="U43" s="562"/>
      <c r="V43" s="563"/>
      <c r="W43" s="37" t="s">
        <v>76</v>
      </c>
      <c r="X43" s="547">
        <f>IFERROR(X40/H40,"0")+IFERROR(X41/H41,"0")+IFERROR(X42/H42,"0")</f>
        <v>18.518518518518519</v>
      </c>
      <c r="Y43" s="547">
        <f>IFERROR(Y40/H40,"0")+IFERROR(Y41/H41,"0")+IFERROR(Y42/H42,"0")</f>
        <v>19</v>
      </c>
      <c r="Z43" s="547">
        <f>IFERROR(IF(Z40="",0,Z40),"0")+IFERROR(IF(Z41="",0,Z41),"0")+IFERROR(IF(Z42="",0,Z42),"0")</f>
        <v>0.36062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75</v>
      </c>
      <c r="Q44" s="562"/>
      <c r="R44" s="562"/>
      <c r="S44" s="562"/>
      <c r="T44" s="562"/>
      <c r="U44" s="562"/>
      <c r="V44" s="563"/>
      <c r="W44" s="37" t="s">
        <v>69</v>
      </c>
      <c r="X44" s="547">
        <f>IFERROR(SUM(X40:X42),"0")</f>
        <v>200</v>
      </c>
      <c r="Y44" s="547">
        <f>IFERROR(SUM(Y40:Y42),"0")</f>
        <v>205.20000000000002</v>
      </c>
      <c r="Z44" s="37"/>
      <c r="AA44" s="548"/>
      <c r="AB44" s="548"/>
      <c r="AC44" s="548"/>
    </row>
    <row r="45" spans="1:68" ht="14.25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70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71"/>
      <c r="P47" s="561" t="s">
        <v>75</v>
      </c>
      <c r="Q47" s="562"/>
      <c r="R47" s="562"/>
      <c r="S47" s="562"/>
      <c r="T47" s="562"/>
      <c r="U47" s="562"/>
      <c r="V47" s="563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75</v>
      </c>
      <c r="Q48" s="562"/>
      <c r="R48" s="562"/>
      <c r="S48" s="562"/>
      <c r="T48" s="562"/>
      <c r="U48" s="562"/>
      <c r="V48" s="563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3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7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0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71"/>
      <c r="P57" s="561" t="s">
        <v>75</v>
      </c>
      <c r="Q57" s="562"/>
      <c r="R57" s="562"/>
      <c r="S57" s="562"/>
      <c r="T57" s="562"/>
      <c r="U57" s="562"/>
      <c r="V57" s="563"/>
      <c r="W57" s="37" t="s">
        <v>76</v>
      </c>
      <c r="X57" s="547">
        <f>IFERROR(X51/H51,"0")+IFERROR(X52/H52,"0")+IFERROR(X53/H53,"0")+IFERROR(X54/H54,"0")+IFERROR(X55/H55,"0")+IFERROR(X56/H56,"0")</f>
        <v>0</v>
      </c>
      <c r="Y57" s="547">
        <f>IFERROR(Y51/H51,"0")+IFERROR(Y52/H52,"0")+IFERROR(Y53/H53,"0")+IFERROR(Y54/H54,"0")+IFERROR(Y55/H55,"0")+IFERROR(Y56/H56,"0")</f>
        <v>0</v>
      </c>
      <c r="Z57" s="547">
        <f>IFERROR(IF(Z51="",0,Z51),"0")+IFERROR(IF(Z52="",0,Z52),"0")+IFERROR(IF(Z53="",0,Z53),"0")+IFERROR(IF(Z54="",0,Z54),"0")+IFERROR(IF(Z55="",0,Z55),"0")+IFERROR(IF(Z56="",0,Z56),"0")</f>
        <v>0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75</v>
      </c>
      <c r="Q58" s="562"/>
      <c r="R58" s="562"/>
      <c r="S58" s="562"/>
      <c r="T58" s="562"/>
      <c r="U58" s="562"/>
      <c r="V58" s="563"/>
      <c r="W58" s="37" t="s">
        <v>69</v>
      </c>
      <c r="X58" s="547">
        <f>IFERROR(SUM(X51:X56),"0")</f>
        <v>0</v>
      </c>
      <c r="Y58" s="547">
        <f>IFERROR(SUM(Y51:Y56),"0")</f>
        <v>0</v>
      </c>
      <c r="Z58" s="37"/>
      <c r="AA58" s="548"/>
      <c r="AB58" s="548"/>
      <c r="AC58" s="548"/>
    </row>
    <row r="59" spans="1:68" ht="14.25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0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71"/>
      <c r="P63" s="561" t="s">
        <v>75</v>
      </c>
      <c r="Q63" s="562"/>
      <c r="R63" s="562"/>
      <c r="S63" s="562"/>
      <c r="T63" s="562"/>
      <c r="U63" s="562"/>
      <c r="V63" s="563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75</v>
      </c>
      <c r="Q64" s="562"/>
      <c r="R64" s="562"/>
      <c r="S64" s="562"/>
      <c r="T64" s="562"/>
      <c r="U64" s="562"/>
      <c r="V64" s="563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70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71"/>
      <c r="P68" s="561" t="s">
        <v>75</v>
      </c>
      <c r="Q68" s="562"/>
      <c r="R68" s="562"/>
      <c r="S68" s="562"/>
      <c r="T68" s="562"/>
      <c r="U68" s="562"/>
      <c r="V68" s="563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71"/>
      <c r="P69" s="561" t="s">
        <v>75</v>
      </c>
      <c r="Q69" s="562"/>
      <c r="R69" s="562"/>
      <c r="S69" s="562"/>
      <c r="T69" s="562"/>
      <c r="U69" s="562"/>
      <c r="V69" s="563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4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70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71"/>
      <c r="P75" s="561" t="s">
        <v>75</v>
      </c>
      <c r="Q75" s="562"/>
      <c r="R75" s="562"/>
      <c r="S75" s="562"/>
      <c r="T75" s="562"/>
      <c r="U75" s="562"/>
      <c r="V75" s="563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71"/>
      <c r="P76" s="561" t="s">
        <v>75</v>
      </c>
      <c r="Q76" s="562"/>
      <c r="R76" s="562"/>
      <c r="S76" s="562"/>
      <c r="T76" s="562"/>
      <c r="U76" s="562"/>
      <c r="V76" s="563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70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71"/>
      <c r="P80" s="561" t="s">
        <v>75</v>
      </c>
      <c r="Q80" s="562"/>
      <c r="R80" s="562"/>
      <c r="S80" s="562"/>
      <c r="T80" s="562"/>
      <c r="U80" s="562"/>
      <c r="V80" s="563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71"/>
      <c r="P81" s="561" t="s">
        <v>75</v>
      </c>
      <c r="Q81" s="562"/>
      <c r="R81" s="562"/>
      <c r="S81" s="562"/>
      <c r="T81" s="562"/>
      <c r="U81" s="562"/>
      <c r="V81" s="563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0</v>
      </c>
      <c r="Y84" s="546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0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71"/>
      <c r="P88" s="561" t="s">
        <v>75</v>
      </c>
      <c r="Q88" s="562"/>
      <c r="R88" s="562"/>
      <c r="S88" s="562"/>
      <c r="T88" s="562"/>
      <c r="U88" s="562"/>
      <c r="V88" s="563"/>
      <c r="W88" s="37" t="s">
        <v>76</v>
      </c>
      <c r="X88" s="547">
        <f>IFERROR(X84/H84,"0")+IFERROR(X85/H85,"0")+IFERROR(X86/H86,"0")+IFERROR(X87/H87,"0")</f>
        <v>0</v>
      </c>
      <c r="Y88" s="547">
        <f>IFERROR(Y84/H84,"0")+IFERROR(Y85/H85,"0")+IFERROR(Y86/H86,"0")+IFERROR(Y87/H87,"0")</f>
        <v>0</v>
      </c>
      <c r="Z88" s="547">
        <f>IFERROR(IF(Z84="",0,Z84),"0")+IFERROR(IF(Z85="",0,Z85),"0")+IFERROR(IF(Z86="",0,Z86),"0")+IFERROR(IF(Z87="",0,Z87),"0")</f>
        <v>0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75</v>
      </c>
      <c r="Q89" s="562"/>
      <c r="R89" s="562"/>
      <c r="S89" s="562"/>
      <c r="T89" s="562"/>
      <c r="U89" s="562"/>
      <c r="V89" s="563"/>
      <c r="W89" s="37" t="s">
        <v>69</v>
      </c>
      <c r="X89" s="547">
        <f>IFERROR(SUM(X84:X87),"0")</f>
        <v>0</v>
      </c>
      <c r="Y89" s="547">
        <f>IFERROR(SUM(Y84:Y87),"0")</f>
        <v>0</v>
      </c>
      <c r="Z89" s="37"/>
      <c r="AA89" s="548"/>
      <c r="AB89" s="548"/>
      <c r="AC89" s="548"/>
    </row>
    <row r="90" spans="1:68" ht="14.25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100</v>
      </c>
      <c r="Y91" s="546">
        <f>IFERROR(IF(X91="",0,CEILING((X91/$H91),1)*$H91),"")</f>
        <v>105.3</v>
      </c>
      <c r="Z91" s="36">
        <f>IFERROR(IF(Y91=0,"",ROUNDUP(Y91/H91,0)*0.01898),"")</f>
        <v>0.24674000000000001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106.09876543209877</v>
      </c>
      <c r="BN91" s="64">
        <f>IFERROR(Y91*I91/H91,"0")</f>
        <v>111.72199999999999</v>
      </c>
      <c r="BO91" s="64">
        <f>IFERROR(1/J91*(X91/H91),"0")</f>
        <v>0.19290123456790123</v>
      </c>
      <c r="BP91" s="64">
        <f>IFERROR(1/J91*(Y91/H91),"0")</f>
        <v>0.203125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0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71"/>
      <c r="P95" s="561" t="s">
        <v>75</v>
      </c>
      <c r="Q95" s="562"/>
      <c r="R95" s="562"/>
      <c r="S95" s="562"/>
      <c r="T95" s="562"/>
      <c r="U95" s="562"/>
      <c r="V95" s="563"/>
      <c r="W95" s="37" t="s">
        <v>76</v>
      </c>
      <c r="X95" s="547">
        <f>IFERROR(X91/H91,"0")+IFERROR(X92/H92,"0")+IFERROR(X93/H93,"0")+IFERROR(X94/H94,"0")</f>
        <v>12.345679012345679</v>
      </c>
      <c r="Y95" s="547">
        <f>IFERROR(Y91/H91,"0")+IFERROR(Y92/H92,"0")+IFERROR(Y93/H93,"0")+IFERROR(Y94/H94,"0")</f>
        <v>13</v>
      </c>
      <c r="Z95" s="547">
        <f>IFERROR(IF(Z91="",0,Z91),"0")+IFERROR(IF(Z92="",0,Z92),"0")+IFERROR(IF(Z93="",0,Z93),"0")+IFERROR(IF(Z94="",0,Z94),"0")</f>
        <v>0.24674000000000001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75</v>
      </c>
      <c r="Q96" s="562"/>
      <c r="R96" s="562"/>
      <c r="S96" s="562"/>
      <c r="T96" s="562"/>
      <c r="U96" s="562"/>
      <c r="V96" s="563"/>
      <c r="W96" s="37" t="s">
        <v>69</v>
      </c>
      <c r="X96" s="547">
        <f>IFERROR(SUM(X91:X94),"0")</f>
        <v>100</v>
      </c>
      <c r="Y96" s="547">
        <f>IFERROR(SUM(Y91:Y94),"0")</f>
        <v>105.3</v>
      </c>
      <c r="Z96" s="37"/>
      <c r="AA96" s="548"/>
      <c r="AB96" s="548"/>
      <c r="AC96" s="548"/>
    </row>
    <row r="97" spans="1:68" ht="16.5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0</v>
      </c>
      <c r="Y99" s="546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75</v>
      </c>
      <c r="Q104" s="562"/>
      <c r="R104" s="562"/>
      <c r="S104" s="562"/>
      <c r="T104" s="562"/>
      <c r="U104" s="562"/>
      <c r="V104" s="563"/>
      <c r="W104" s="37" t="s">
        <v>76</v>
      </c>
      <c r="X104" s="547">
        <f>IFERROR(X99/H99,"0")+IFERROR(X100/H100,"0")+IFERROR(X101/H101,"0")+IFERROR(X102/H102,"0")+IFERROR(X103/H103,"0")</f>
        <v>0</v>
      </c>
      <c r="Y104" s="547">
        <f>IFERROR(Y99/H99,"0")+IFERROR(Y100/H100,"0")+IFERROR(Y101/H101,"0")+IFERROR(Y102/H102,"0")+IFERROR(Y103/H103,"0")</f>
        <v>0</v>
      </c>
      <c r="Z104" s="547">
        <f>IFERROR(IF(Z99="",0,Z99),"0")+IFERROR(IF(Z100="",0,Z100),"0")+IFERROR(IF(Z101="",0,Z101),"0")+IFERROR(IF(Z102="",0,Z102),"0")+IFERROR(IF(Z103="",0,Z103),"0")</f>
        <v>0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75</v>
      </c>
      <c r="Q105" s="562"/>
      <c r="R105" s="562"/>
      <c r="S105" s="562"/>
      <c r="T105" s="562"/>
      <c r="U105" s="562"/>
      <c r="V105" s="563"/>
      <c r="W105" s="37" t="s">
        <v>69</v>
      </c>
      <c r="X105" s="547">
        <f>IFERROR(SUM(X99:X103),"0")</f>
        <v>0</v>
      </c>
      <c r="Y105" s="547">
        <f>IFERROR(SUM(Y99:Y103),"0")</f>
        <v>0</v>
      </c>
      <c r="Z105" s="37"/>
      <c r="AA105" s="548"/>
      <c r="AB105" s="548"/>
      <c r="AC105" s="548"/>
    </row>
    <row r="106" spans="1:68" ht="14.25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4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70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75</v>
      </c>
      <c r="Q111" s="562"/>
      <c r="R111" s="562"/>
      <c r="S111" s="562"/>
      <c r="T111" s="562"/>
      <c r="U111" s="562"/>
      <c r="V111" s="563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71"/>
      <c r="P112" s="561" t="s">
        <v>75</v>
      </c>
      <c r="Q112" s="562"/>
      <c r="R112" s="562"/>
      <c r="S112" s="562"/>
      <c r="T112" s="562"/>
      <c r="U112" s="562"/>
      <c r="V112" s="563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100</v>
      </c>
      <c r="Y114" s="546">
        <f>IFERROR(IF(X114="",0,CEILING((X114/$H114),1)*$H114),"")</f>
        <v>105.3</v>
      </c>
      <c r="Z114" s="36">
        <f>IFERROR(IF(Y114=0,"",ROUNDUP(Y114/H114,0)*0.01898),"")</f>
        <v>0.24674000000000001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106.0246913580247</v>
      </c>
      <c r="BN114" s="64">
        <f>IFERROR(Y114*I114/H114,"0")</f>
        <v>111.64399999999999</v>
      </c>
      <c r="BO114" s="64">
        <f>IFERROR(1/J114*(X114/H114),"0")</f>
        <v>0.19290123456790123</v>
      </c>
      <c r="BP114" s="64">
        <f>IFERROR(1/J114*(Y114/H114),"0")</f>
        <v>0.203125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360</v>
      </c>
      <c r="Y116" s="546">
        <f>IFERROR(IF(X116="",0,CEILING((X116/$H116),1)*$H116),"")</f>
        <v>361.8</v>
      </c>
      <c r="Z116" s="36">
        <f>IFERROR(IF(Y116=0,"",ROUNDUP(Y116/H116,0)*0.00651),"")</f>
        <v>0.87234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393.59999999999997</v>
      </c>
      <c r="BN116" s="64">
        <f>IFERROR(Y116*I116/H116,"0")</f>
        <v>395.56799999999998</v>
      </c>
      <c r="BO116" s="64">
        <f>IFERROR(1/J116*(X116/H116),"0")</f>
        <v>0.73260073260073255</v>
      </c>
      <c r="BP116" s="64">
        <f>IFERROR(1/J116*(Y116/H116),"0")</f>
        <v>0.73626373626373631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70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75</v>
      </c>
      <c r="Q118" s="562"/>
      <c r="R118" s="562"/>
      <c r="S118" s="562"/>
      <c r="T118" s="562"/>
      <c r="U118" s="562"/>
      <c r="V118" s="563"/>
      <c r="W118" s="37" t="s">
        <v>76</v>
      </c>
      <c r="X118" s="547">
        <f>IFERROR(X114/H114,"0")+IFERROR(X115/H115,"0")+IFERROR(X116/H116,"0")+IFERROR(X117/H117,"0")</f>
        <v>145.67901234567898</v>
      </c>
      <c r="Y118" s="547">
        <f>IFERROR(Y114/H114,"0")+IFERROR(Y115/H115,"0")+IFERROR(Y116/H116,"0")+IFERROR(Y117/H117,"0")</f>
        <v>147</v>
      </c>
      <c r="Z118" s="547">
        <f>IFERROR(IF(Z114="",0,Z114),"0")+IFERROR(IF(Z115="",0,Z115),"0")+IFERROR(IF(Z116="",0,Z116),"0")+IFERROR(IF(Z117="",0,Z117),"0")</f>
        <v>1.1190800000000001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71"/>
      <c r="P119" s="561" t="s">
        <v>75</v>
      </c>
      <c r="Q119" s="562"/>
      <c r="R119" s="562"/>
      <c r="S119" s="562"/>
      <c r="T119" s="562"/>
      <c r="U119" s="562"/>
      <c r="V119" s="563"/>
      <c r="W119" s="37" t="s">
        <v>69</v>
      </c>
      <c r="X119" s="547">
        <f>IFERROR(SUM(X114:X117),"0")</f>
        <v>460</v>
      </c>
      <c r="Y119" s="547">
        <f>IFERROR(SUM(Y114:Y117),"0")</f>
        <v>467.1</v>
      </c>
      <c r="Z119" s="37"/>
      <c r="AA119" s="548"/>
      <c r="AB119" s="548"/>
      <c r="AC119" s="548"/>
    </row>
    <row r="120" spans="1:68" ht="14.25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70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75</v>
      </c>
      <c r="Q122" s="562"/>
      <c r="R122" s="562"/>
      <c r="S122" s="562"/>
      <c r="T122" s="562"/>
      <c r="U122" s="562"/>
      <c r="V122" s="563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71"/>
      <c r="P123" s="561" t="s">
        <v>75</v>
      </c>
      <c r="Q123" s="562"/>
      <c r="R123" s="562"/>
      <c r="S123" s="562"/>
      <c r="T123" s="562"/>
      <c r="U123" s="562"/>
      <c r="V123" s="563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70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75</v>
      </c>
      <c r="Q128" s="562"/>
      <c r="R128" s="562"/>
      <c r="S128" s="562"/>
      <c r="T128" s="562"/>
      <c r="U128" s="562"/>
      <c r="V128" s="563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71"/>
      <c r="P129" s="561" t="s">
        <v>75</v>
      </c>
      <c r="Q129" s="562"/>
      <c r="R129" s="562"/>
      <c r="S129" s="562"/>
      <c r="T129" s="562"/>
      <c r="U129" s="562"/>
      <c r="V129" s="563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70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75</v>
      </c>
      <c r="Q133" s="562"/>
      <c r="R133" s="562"/>
      <c r="S133" s="562"/>
      <c r="T133" s="562"/>
      <c r="U133" s="562"/>
      <c r="V133" s="563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71"/>
      <c r="P134" s="561" t="s">
        <v>75</v>
      </c>
      <c r="Q134" s="562"/>
      <c r="R134" s="562"/>
      <c r="S134" s="562"/>
      <c r="T134" s="562"/>
      <c r="U134" s="562"/>
      <c r="V134" s="563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70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75</v>
      </c>
      <c r="Q138" s="562"/>
      <c r="R138" s="562"/>
      <c r="S138" s="562"/>
      <c r="T138" s="562"/>
      <c r="U138" s="562"/>
      <c r="V138" s="563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71"/>
      <c r="P139" s="561" t="s">
        <v>75</v>
      </c>
      <c r="Q139" s="562"/>
      <c r="R139" s="562"/>
      <c r="S139" s="562"/>
      <c r="T139" s="562"/>
      <c r="U139" s="562"/>
      <c r="V139" s="563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4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70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75</v>
      </c>
      <c r="Q144" s="562"/>
      <c r="R144" s="562"/>
      <c r="S144" s="562"/>
      <c r="T144" s="562"/>
      <c r="U144" s="562"/>
      <c r="V144" s="563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71"/>
      <c r="P145" s="561" t="s">
        <v>75</v>
      </c>
      <c r="Q145" s="562"/>
      <c r="R145" s="562"/>
      <c r="S145" s="562"/>
      <c r="T145" s="562"/>
      <c r="U145" s="562"/>
      <c r="V145" s="563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0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5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6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70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71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70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71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71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639" t="s">
        <v>263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48"/>
      <c r="AB158" s="48"/>
      <c r="AC158" s="48"/>
    </row>
    <row r="159" spans="1:68" ht="16.5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70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71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71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70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75</v>
      </c>
      <c r="Q179" s="562"/>
      <c r="R179" s="562"/>
      <c r="S179" s="562"/>
      <c r="T179" s="562"/>
      <c r="U179" s="562"/>
      <c r="V179" s="563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71"/>
      <c r="P180" s="561" t="s">
        <v>75</v>
      </c>
      <c r="Q180" s="562"/>
      <c r="R180" s="562"/>
      <c r="S180" s="562"/>
      <c r="T180" s="562"/>
      <c r="U180" s="562"/>
      <c r="V180" s="563"/>
      <c r="W180" s="37" t="s">
        <v>69</v>
      </c>
      <c r="X180" s="547">
        <f>IFERROR(SUM(X165:X178),"0")</f>
        <v>0</v>
      </c>
      <c r="Y180" s="547">
        <f>IFERROR(SUM(Y165:Y178),"0")</f>
        <v>0</v>
      </c>
      <c r="Z180" s="37"/>
      <c r="AA180" s="548"/>
      <c r="AB180" s="548"/>
      <c r="AC180" s="548"/>
    </row>
    <row r="181" spans="1:68" ht="14.25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2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70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71"/>
      <c r="P185" s="561" t="s">
        <v>75</v>
      </c>
      <c r="Q185" s="562"/>
      <c r="R185" s="562"/>
      <c r="S185" s="562"/>
      <c r="T185" s="562"/>
      <c r="U185" s="562"/>
      <c r="V185" s="563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71"/>
      <c r="P186" s="561" t="s">
        <v>75</v>
      </c>
      <c r="Q186" s="562"/>
      <c r="R186" s="562"/>
      <c r="S186" s="562"/>
      <c r="T186" s="562"/>
      <c r="U186" s="562"/>
      <c r="V186" s="563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70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75</v>
      </c>
      <c r="Q189" s="562"/>
      <c r="R189" s="562"/>
      <c r="S189" s="562"/>
      <c r="T189" s="562"/>
      <c r="U189" s="562"/>
      <c r="V189" s="563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71"/>
      <c r="P190" s="561" t="s">
        <v>75</v>
      </c>
      <c r="Q190" s="562"/>
      <c r="R190" s="562"/>
      <c r="S190" s="562"/>
      <c r="T190" s="562"/>
      <c r="U190" s="562"/>
      <c r="V190" s="563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5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70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71"/>
      <c r="P195" s="561" t="s">
        <v>75</v>
      </c>
      <c r="Q195" s="562"/>
      <c r="R195" s="562"/>
      <c r="S195" s="562"/>
      <c r="T195" s="562"/>
      <c r="U195" s="562"/>
      <c r="V195" s="563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71"/>
      <c r="P196" s="561" t="s">
        <v>75</v>
      </c>
      <c r="Q196" s="562"/>
      <c r="R196" s="562"/>
      <c r="S196" s="562"/>
      <c r="T196" s="562"/>
      <c r="U196" s="562"/>
      <c r="V196" s="563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70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71"/>
      <c r="P200" s="561" t="s">
        <v>75</v>
      </c>
      <c r="Q200" s="562"/>
      <c r="R200" s="562"/>
      <c r="S200" s="562"/>
      <c r="T200" s="562"/>
      <c r="U200" s="562"/>
      <c r="V200" s="563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71"/>
      <c r="P201" s="561" t="s">
        <v>75</v>
      </c>
      <c r="Q201" s="562"/>
      <c r="R201" s="562"/>
      <c r="S201" s="562"/>
      <c r="T201" s="562"/>
      <c r="U201" s="562"/>
      <c r="V201" s="563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0</v>
      </c>
      <c r="Y203" s="546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0</v>
      </c>
      <c r="Y210" s="546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70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71"/>
      <c r="P211" s="561" t="s">
        <v>75</v>
      </c>
      <c r="Q211" s="562"/>
      <c r="R211" s="562"/>
      <c r="S211" s="562"/>
      <c r="T211" s="562"/>
      <c r="U211" s="562"/>
      <c r="V211" s="563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0</v>
      </c>
      <c r="Y211" s="547">
        <f>IFERROR(Y203/H203,"0")+IFERROR(Y204/H204,"0")+IFERROR(Y205/H205,"0")+IFERROR(Y206/H206,"0")+IFERROR(Y207/H207,"0")+IFERROR(Y208/H208,"0")+IFERROR(Y209/H209,"0")+IFERROR(Y210/H210,"0")</f>
        <v>0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71"/>
      <c r="P212" s="561" t="s">
        <v>75</v>
      </c>
      <c r="Q212" s="562"/>
      <c r="R212" s="562"/>
      <c r="S212" s="562"/>
      <c r="T212" s="562"/>
      <c r="U212" s="562"/>
      <c r="V212" s="563"/>
      <c r="W212" s="37" t="s">
        <v>69</v>
      </c>
      <c r="X212" s="547">
        <f>IFERROR(SUM(X203:X210),"0")</f>
        <v>0</v>
      </c>
      <c r="Y212" s="547">
        <f>IFERROR(SUM(Y203:Y210),"0")</f>
        <v>0</v>
      </c>
      <c r="Z212" s="37"/>
      <c r="AA212" s="548"/>
      <c r="AB212" s="548"/>
      <c r="AC212" s="548"/>
    </row>
    <row r="213" spans="1:68" ht="14.25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1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5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200</v>
      </c>
      <c r="Y217" s="546">
        <f t="shared" si="15"/>
        <v>201.6</v>
      </c>
      <c r="Z217" s="36">
        <f t="shared" ref="Z217:Z222" si="20">IFERROR(IF(Y217=0,"",ROUNDUP(Y217/H217,0)*0.00651),"")</f>
        <v>0.54683999999999999</v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222.5</v>
      </c>
      <c r="BN217" s="64">
        <f t="shared" si="17"/>
        <v>224.27999999999997</v>
      </c>
      <c r="BO217" s="64">
        <f t="shared" si="18"/>
        <v>0.45787545787545797</v>
      </c>
      <c r="BP217" s="64">
        <f t="shared" si="19"/>
        <v>0.46153846153846156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0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400</v>
      </c>
      <c r="Y219" s="546">
        <f t="shared" si="15"/>
        <v>400.8</v>
      </c>
      <c r="Z219" s="36">
        <f t="shared" si="20"/>
        <v>1.08717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442</v>
      </c>
      <c r="BN219" s="64">
        <f t="shared" si="17"/>
        <v>442.88400000000007</v>
      </c>
      <c r="BO219" s="64">
        <f t="shared" si="18"/>
        <v>0.91575091575091594</v>
      </c>
      <c r="BP219" s="64">
        <f t="shared" si="19"/>
        <v>0.91758241758241765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6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400</v>
      </c>
      <c r="Y220" s="546">
        <f t="shared" si="15"/>
        <v>400.8</v>
      </c>
      <c r="Z220" s="36">
        <f t="shared" si="20"/>
        <v>1.08717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442</v>
      </c>
      <c r="BN220" s="64">
        <f t="shared" si="17"/>
        <v>442.88400000000007</v>
      </c>
      <c r="BO220" s="64">
        <f t="shared" si="18"/>
        <v>0.91575091575091594</v>
      </c>
      <c r="BP220" s="64">
        <f t="shared" si="19"/>
        <v>0.91758241758241765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5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77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70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71"/>
      <c r="P223" s="561" t="s">
        <v>75</v>
      </c>
      <c r="Q223" s="562"/>
      <c r="R223" s="562"/>
      <c r="S223" s="562"/>
      <c r="T223" s="562"/>
      <c r="U223" s="562"/>
      <c r="V223" s="563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416.66666666666674</v>
      </c>
      <c r="Y223" s="547">
        <f>IFERROR(Y214/H214,"0")+IFERROR(Y215/H215,"0")+IFERROR(Y216/H216,"0")+IFERROR(Y217/H217,"0")+IFERROR(Y218/H218,"0")+IFERROR(Y219/H219,"0")+IFERROR(Y220/H220,"0")+IFERROR(Y221/H221,"0")+IFERROR(Y222/H222,"0")</f>
        <v>418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2.7211799999999999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71"/>
      <c r="P224" s="561" t="s">
        <v>75</v>
      </c>
      <c r="Q224" s="562"/>
      <c r="R224" s="562"/>
      <c r="S224" s="562"/>
      <c r="T224" s="562"/>
      <c r="U224" s="562"/>
      <c r="V224" s="563"/>
      <c r="W224" s="37" t="s">
        <v>69</v>
      </c>
      <c r="X224" s="547">
        <f>IFERROR(SUM(X214:X222),"0")</f>
        <v>1000</v>
      </c>
      <c r="Y224" s="547">
        <f>IFERROR(SUM(Y214:Y222),"0")</f>
        <v>1003.2</v>
      </c>
      <c r="Z224" s="37"/>
      <c r="AA224" s="548"/>
      <c r="AB224" s="548"/>
      <c r="AC224" s="548"/>
    </row>
    <row r="225" spans="1:68" ht="14.25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0</v>
      </c>
      <c r="Y227" s="546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70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71"/>
      <c r="P228" s="561" t="s">
        <v>75</v>
      </c>
      <c r="Q228" s="562"/>
      <c r="R228" s="562"/>
      <c r="S228" s="562"/>
      <c r="T228" s="562"/>
      <c r="U228" s="562"/>
      <c r="V228" s="563"/>
      <c r="W228" s="37" t="s">
        <v>76</v>
      </c>
      <c r="X228" s="547">
        <f>IFERROR(X226/H226,"0")+IFERROR(X227/H227,"0")</f>
        <v>0</v>
      </c>
      <c r="Y228" s="547">
        <f>IFERROR(Y226/H226,"0")+IFERROR(Y227/H227,"0")</f>
        <v>0</v>
      </c>
      <c r="Z228" s="547">
        <f>IFERROR(IF(Z226="",0,Z226),"0")+IFERROR(IF(Z227="",0,Z227),"0")</f>
        <v>0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71"/>
      <c r="P229" s="561" t="s">
        <v>75</v>
      </c>
      <c r="Q229" s="562"/>
      <c r="R229" s="562"/>
      <c r="S229" s="562"/>
      <c r="T229" s="562"/>
      <c r="U229" s="562"/>
      <c r="V229" s="563"/>
      <c r="W229" s="37" t="s">
        <v>69</v>
      </c>
      <c r="X229" s="547">
        <f>IFERROR(SUM(X226:X227),"0")</f>
        <v>0</v>
      </c>
      <c r="Y229" s="547">
        <f>IFERROR(SUM(Y226:Y227),"0")</f>
        <v>0</v>
      </c>
      <c r="Z229" s="37"/>
      <c r="AA229" s="548"/>
      <c r="AB229" s="548"/>
      <c r="AC229" s="548"/>
    </row>
    <row r="230" spans="1:68" ht="16.5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200</v>
      </c>
      <c r="Y232" s="546">
        <f t="shared" ref="Y232:Y240" si="21">IFERROR(IF(X232="",0,CEILING((X232/$H232),1)*$H232),"")</f>
        <v>208.79999999999998</v>
      </c>
      <c r="Z232" s="36">
        <f>IFERROR(IF(Y232=0,"",ROUNDUP(Y232/H232,0)*0.01898),"")</f>
        <v>0.34164</v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207.06896551724139</v>
      </c>
      <c r="BN232" s="64">
        <f t="shared" ref="BN232:BN240" si="23">IFERROR(Y232*I232/H232,"0")</f>
        <v>216.17999999999998</v>
      </c>
      <c r="BO232" s="64">
        <f t="shared" ref="BO232:BO240" si="24">IFERROR(1/J232*(X232/H232),"0")</f>
        <v>0.26939655172413796</v>
      </c>
      <c r="BP232" s="64">
        <f t="shared" ref="BP232:BP240" si="25">IFERROR(1/J232*(Y232/H232),"0")</f>
        <v>0.28125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4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6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70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71"/>
      <c r="P241" s="561" t="s">
        <v>75</v>
      </c>
      <c r="Q241" s="562"/>
      <c r="R241" s="562"/>
      <c r="S241" s="562"/>
      <c r="T241" s="562"/>
      <c r="U241" s="562"/>
      <c r="V241" s="563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17.241379310344829</v>
      </c>
      <c r="Y241" s="547">
        <f>IFERROR(Y232/H232,"0")+IFERROR(Y233/H233,"0")+IFERROR(Y234/H234,"0")+IFERROR(Y235/H235,"0")+IFERROR(Y236/H236,"0")+IFERROR(Y237/H237,"0")+IFERROR(Y238/H238,"0")+IFERROR(Y239/H239,"0")+IFERROR(Y240/H240,"0")</f>
        <v>18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0.34164</v>
      </c>
      <c r="AA241" s="548"/>
      <c r="AB241" s="548"/>
      <c r="AC241" s="548"/>
    </row>
    <row r="242" spans="1:68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71"/>
      <c r="P242" s="561" t="s">
        <v>75</v>
      </c>
      <c r="Q242" s="562"/>
      <c r="R242" s="562"/>
      <c r="S242" s="562"/>
      <c r="T242" s="562"/>
      <c r="U242" s="562"/>
      <c r="V242" s="563"/>
      <c r="W242" s="37" t="s">
        <v>69</v>
      </c>
      <c r="X242" s="547">
        <f>IFERROR(SUM(X232:X240),"0")</f>
        <v>200</v>
      </c>
      <c r="Y242" s="547">
        <f>IFERROR(SUM(Y232:Y240),"0")</f>
        <v>208.79999999999998</v>
      </c>
      <c r="Z242" s="37"/>
      <c r="AA242" s="548"/>
      <c r="AB242" s="548"/>
      <c r="AC242" s="548"/>
    </row>
    <row r="243" spans="1:68" ht="14.25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70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71"/>
      <c r="P245" s="561" t="s">
        <v>75</v>
      </c>
      <c r="Q245" s="562"/>
      <c r="R245" s="562"/>
      <c r="S245" s="562"/>
      <c r="T245" s="562"/>
      <c r="U245" s="562"/>
      <c r="V245" s="563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71"/>
      <c r="P246" s="561" t="s">
        <v>75</v>
      </c>
      <c r="Q246" s="562"/>
      <c r="R246" s="562"/>
      <c r="S246" s="562"/>
      <c r="T246" s="562"/>
      <c r="U246" s="562"/>
      <c r="V246" s="563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70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71"/>
      <c r="P249" s="561" t="s">
        <v>75</v>
      </c>
      <c r="Q249" s="562"/>
      <c r="R249" s="562"/>
      <c r="S249" s="562"/>
      <c r="T249" s="562"/>
      <c r="U249" s="562"/>
      <c r="V249" s="563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71"/>
      <c r="P250" s="561" t="s">
        <v>75</v>
      </c>
      <c r="Q250" s="562"/>
      <c r="R250" s="562"/>
      <c r="S250" s="562"/>
      <c r="T250" s="562"/>
      <c r="U250" s="562"/>
      <c r="V250" s="563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70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71"/>
      <c r="P257" s="561" t="s">
        <v>75</v>
      </c>
      <c r="Q257" s="562"/>
      <c r="R257" s="562"/>
      <c r="S257" s="562"/>
      <c r="T257" s="562"/>
      <c r="U257" s="562"/>
      <c r="V257" s="563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71"/>
      <c r="P258" s="561" t="s">
        <v>75</v>
      </c>
      <c r="Q258" s="562"/>
      <c r="R258" s="562"/>
      <c r="S258" s="562"/>
      <c r="T258" s="562"/>
      <c r="U258" s="562"/>
      <c r="V258" s="563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4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5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6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70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71"/>
      <c r="P266" s="561" t="s">
        <v>75</v>
      </c>
      <c r="Q266" s="562"/>
      <c r="R266" s="562"/>
      <c r="S266" s="562"/>
      <c r="T266" s="562"/>
      <c r="U266" s="562"/>
      <c r="V266" s="563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71"/>
      <c r="P267" s="561" t="s">
        <v>75</v>
      </c>
      <c r="Q267" s="562"/>
      <c r="R267" s="562"/>
      <c r="S267" s="562"/>
      <c r="T267" s="562"/>
      <c r="U267" s="562"/>
      <c r="V267" s="563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70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71"/>
      <c r="P274" s="561" t="s">
        <v>75</v>
      </c>
      <c r="Q274" s="562"/>
      <c r="R274" s="562"/>
      <c r="S274" s="562"/>
      <c r="T274" s="562"/>
      <c r="U274" s="562"/>
      <c r="V274" s="563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75</v>
      </c>
      <c r="Q275" s="562"/>
      <c r="R275" s="562"/>
      <c r="S275" s="562"/>
      <c r="T275" s="562"/>
      <c r="U275" s="562"/>
      <c r="V275" s="563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1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76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68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75</v>
      </c>
      <c r="Q281" s="562"/>
      <c r="R281" s="562"/>
      <c r="S281" s="562"/>
      <c r="T281" s="562"/>
      <c r="U281" s="562"/>
      <c r="V281" s="563"/>
      <c r="W281" s="37" t="s">
        <v>76</v>
      </c>
      <c r="X281" s="547">
        <f>IFERROR(X278/H278,"0")+IFERROR(X279/H279,"0")+IFERROR(X280/H280,"0")</f>
        <v>0</v>
      </c>
      <c r="Y281" s="547">
        <f>IFERROR(Y278/H278,"0")+IFERROR(Y279/H279,"0")+IFERROR(Y280/H280,"0")</f>
        <v>0</v>
      </c>
      <c r="Z281" s="547">
        <f>IFERROR(IF(Z278="",0,Z278),"0")+IFERROR(IF(Z279="",0,Z279),"0")+IFERROR(IF(Z280="",0,Z280),"0")</f>
        <v>0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75</v>
      </c>
      <c r="Q282" s="562"/>
      <c r="R282" s="562"/>
      <c r="S282" s="562"/>
      <c r="T282" s="562"/>
      <c r="U282" s="562"/>
      <c r="V282" s="563"/>
      <c r="W282" s="37" t="s">
        <v>69</v>
      </c>
      <c r="X282" s="547">
        <f>IFERROR(SUM(X278:X280),"0")</f>
        <v>0</v>
      </c>
      <c r="Y282" s="547">
        <f>IFERROR(SUM(Y278:Y280),"0")</f>
        <v>0</v>
      </c>
      <c r="Z282" s="37"/>
      <c r="AA282" s="548"/>
      <c r="AB282" s="548"/>
      <c r="AC282" s="548"/>
    </row>
    <row r="283" spans="1:68" ht="16.5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70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75</v>
      </c>
      <c r="Q287" s="562"/>
      <c r="R287" s="562"/>
      <c r="S287" s="562"/>
      <c r="T287" s="562"/>
      <c r="U287" s="562"/>
      <c r="V287" s="563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71"/>
      <c r="P288" s="561" t="s">
        <v>75</v>
      </c>
      <c r="Q288" s="562"/>
      <c r="R288" s="562"/>
      <c r="S288" s="562"/>
      <c r="T288" s="562"/>
      <c r="U288" s="562"/>
      <c r="V288" s="563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70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71"/>
      <c r="P292" s="561" t="s">
        <v>75</v>
      </c>
      <c r="Q292" s="562"/>
      <c r="R292" s="562"/>
      <c r="S292" s="562"/>
      <c r="T292" s="562"/>
      <c r="U292" s="562"/>
      <c r="V292" s="563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71"/>
      <c r="P293" s="561" t="s">
        <v>75</v>
      </c>
      <c r="Q293" s="562"/>
      <c r="R293" s="562"/>
      <c r="S293" s="562"/>
      <c r="T293" s="562"/>
      <c r="U293" s="562"/>
      <c r="V293" s="563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4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8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70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71"/>
      <c r="P301" s="561" t="s">
        <v>75</v>
      </c>
      <c r="Q301" s="562"/>
      <c r="R301" s="562"/>
      <c r="S301" s="562"/>
      <c r="T301" s="562"/>
      <c r="U301" s="562"/>
      <c r="V301" s="563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71"/>
      <c r="P302" s="561" t="s">
        <v>75</v>
      </c>
      <c r="Q302" s="562"/>
      <c r="R302" s="562"/>
      <c r="S302" s="562"/>
      <c r="T302" s="562"/>
      <c r="U302" s="562"/>
      <c r="V302" s="563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x14ac:dyDescent="0.2">
      <c r="A310" s="570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71"/>
      <c r="P310" s="561" t="s">
        <v>75</v>
      </c>
      <c r="Q310" s="562"/>
      <c r="R310" s="562"/>
      <c r="S310" s="562"/>
      <c r="T310" s="562"/>
      <c r="U310" s="562"/>
      <c r="V310" s="563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71"/>
      <c r="P311" s="561" t="s">
        <v>75</v>
      </c>
      <c r="Q311" s="562"/>
      <c r="R311" s="562"/>
      <c r="S311" s="562"/>
      <c r="T311" s="562"/>
      <c r="U311" s="562"/>
      <c r="V311" s="563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0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71"/>
      <c r="P317" s="561" t="s">
        <v>75</v>
      </c>
      <c r="Q317" s="562"/>
      <c r="R317" s="562"/>
      <c r="S317" s="562"/>
      <c r="T317" s="562"/>
      <c r="U317" s="562"/>
      <c r="V317" s="563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75</v>
      </c>
      <c r="Q318" s="562"/>
      <c r="R318" s="562"/>
      <c r="S318" s="562"/>
      <c r="T318" s="562"/>
      <c r="U318" s="562"/>
      <c r="V318" s="563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2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70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71"/>
      <c r="P323" s="561" t="s">
        <v>75</v>
      </c>
      <c r="Q323" s="562"/>
      <c r="R323" s="562"/>
      <c r="S323" s="562"/>
      <c r="T323" s="562"/>
      <c r="U323" s="562"/>
      <c r="V323" s="563"/>
      <c r="W323" s="37" t="s">
        <v>76</v>
      </c>
      <c r="X323" s="547">
        <f>IFERROR(X320/H320,"0")+IFERROR(X321/H321,"0")+IFERROR(X322/H322,"0")</f>
        <v>0</v>
      </c>
      <c r="Y323" s="547">
        <f>IFERROR(Y320/H320,"0")+IFERROR(Y321/H321,"0")+IFERROR(Y322/H322,"0")</f>
        <v>0</v>
      </c>
      <c r="Z323" s="547">
        <f>IFERROR(IF(Z320="",0,Z320),"0")+IFERROR(IF(Z321="",0,Z321),"0")+IFERROR(IF(Z322="",0,Z322),"0")</f>
        <v>0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71"/>
      <c r="P324" s="561" t="s">
        <v>75</v>
      </c>
      <c r="Q324" s="562"/>
      <c r="R324" s="562"/>
      <c r="S324" s="562"/>
      <c r="T324" s="562"/>
      <c r="U324" s="562"/>
      <c r="V324" s="563"/>
      <c r="W324" s="37" t="s">
        <v>69</v>
      </c>
      <c r="X324" s="547">
        <f>IFERROR(SUM(X320:X322),"0")</f>
        <v>0</v>
      </c>
      <c r="Y324" s="547">
        <f>IFERROR(SUM(Y320:Y322),"0")</f>
        <v>0</v>
      </c>
      <c r="Z324" s="37"/>
      <c r="AA324" s="548"/>
      <c r="AB324" s="548"/>
      <c r="AC324" s="548"/>
    </row>
    <row r="325" spans="1:68" ht="14.25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70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71"/>
      <c r="P330" s="561" t="s">
        <v>75</v>
      </c>
      <c r="Q330" s="562"/>
      <c r="R330" s="562"/>
      <c r="S330" s="562"/>
      <c r="T330" s="562"/>
      <c r="U330" s="562"/>
      <c r="V330" s="563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75</v>
      </c>
      <c r="Q331" s="562"/>
      <c r="R331" s="562"/>
      <c r="S331" s="562"/>
      <c r="T331" s="562"/>
      <c r="U331" s="562"/>
      <c r="V331" s="563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70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71"/>
      <c r="P336" s="561" t="s">
        <v>75</v>
      </c>
      <c r="Q336" s="562"/>
      <c r="R336" s="562"/>
      <c r="S336" s="562"/>
      <c r="T336" s="562"/>
      <c r="U336" s="562"/>
      <c r="V336" s="563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71"/>
      <c r="P337" s="561" t="s">
        <v>75</v>
      </c>
      <c r="Q337" s="562"/>
      <c r="R337" s="562"/>
      <c r="S337" s="562"/>
      <c r="T337" s="562"/>
      <c r="U337" s="562"/>
      <c r="V337" s="563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1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70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71"/>
      <c r="P343" s="561" t="s">
        <v>75</v>
      </c>
      <c r="Q343" s="562"/>
      <c r="R343" s="562"/>
      <c r="S343" s="562"/>
      <c r="T343" s="562"/>
      <c r="U343" s="562"/>
      <c r="V343" s="563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71"/>
      <c r="P344" s="561" t="s">
        <v>75</v>
      </c>
      <c r="Q344" s="562"/>
      <c r="R344" s="562"/>
      <c r="S344" s="562"/>
      <c r="T344" s="562"/>
      <c r="U344" s="562"/>
      <c r="V344" s="563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customHeight="1" x14ac:dyDescent="0.2">
      <c r="A345" s="639" t="s">
        <v>550</v>
      </c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40"/>
      <c r="P345" s="640"/>
      <c r="Q345" s="640"/>
      <c r="R345" s="640"/>
      <c r="S345" s="640"/>
      <c r="T345" s="640"/>
      <c r="U345" s="640"/>
      <c r="V345" s="640"/>
      <c r="W345" s="640"/>
      <c r="X345" s="640"/>
      <c r="Y345" s="640"/>
      <c r="Z345" s="640"/>
      <c r="AA345" s="48"/>
      <c r="AB345" s="48"/>
      <c r="AC345" s="48"/>
    </row>
    <row r="346" spans="1:68" ht="16.5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300</v>
      </c>
      <c r="Y348" s="546">
        <f t="shared" ref="Y348:Y354" si="31">IFERROR(IF(X348="",0,CEILING((X348/$H348),1)*$H348),"")</f>
        <v>300</v>
      </c>
      <c r="Z348" s="36">
        <f>IFERROR(IF(Y348=0,"",ROUNDUP(Y348/H348,0)*0.02175),"")</f>
        <v>0.43499999999999994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309.39999999999998</v>
      </c>
      <c r="BN348" s="64">
        <f t="shared" ref="BN348:BN354" si="33">IFERROR(Y348*I348/H348,"0")</f>
        <v>309.39999999999998</v>
      </c>
      <c r="BO348" s="64">
        <f t="shared" ref="BO348:BO354" si="34">IFERROR(1/J348*(X348/H348),"0")</f>
        <v>0.41666666666666663</v>
      </c>
      <c r="BP348" s="64">
        <f t="shared" ref="BP348:BP354" si="35">IFERROR(1/J348*(Y348/H348),"0")</f>
        <v>0.41666666666666663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250</v>
      </c>
      <c r="Y349" s="546">
        <f t="shared" si="31"/>
        <v>255</v>
      </c>
      <c r="Z349" s="36">
        <f>IFERROR(IF(Y349=0,"",ROUNDUP(Y349/H349,0)*0.02175),"")</f>
        <v>0.36974999999999997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257.83333333333331</v>
      </c>
      <c r="BN349" s="64">
        <f t="shared" si="33"/>
        <v>262.99</v>
      </c>
      <c r="BO349" s="64">
        <f t="shared" si="34"/>
        <v>0.34722222222222221</v>
      </c>
      <c r="BP349" s="64">
        <f t="shared" si="35"/>
        <v>0.35416666666666663</v>
      </c>
    </row>
    <row r="350" spans="1:68" ht="37.5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800</v>
      </c>
      <c r="Y350" s="546">
        <f t="shared" si="31"/>
        <v>810</v>
      </c>
      <c r="Z350" s="36">
        <f>IFERROR(IF(Y350=0,"",ROUNDUP(Y350/H350,0)*0.02175),"")</f>
        <v>1.1744999999999999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825.06666666666672</v>
      </c>
      <c r="BN350" s="64">
        <f t="shared" si="33"/>
        <v>835.38</v>
      </c>
      <c r="BO350" s="64">
        <f t="shared" si="34"/>
        <v>1.1111111111111112</v>
      </c>
      <c r="BP350" s="64">
        <f t="shared" si="35"/>
        <v>1.125</v>
      </c>
    </row>
    <row r="351" spans="1:68" ht="27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75</v>
      </c>
      <c r="Q355" s="562"/>
      <c r="R355" s="562"/>
      <c r="S355" s="562"/>
      <c r="T355" s="562"/>
      <c r="U355" s="562"/>
      <c r="V355" s="563"/>
      <c r="W355" s="37" t="s">
        <v>76</v>
      </c>
      <c r="X355" s="547">
        <f>IFERROR(X348/H348,"0")+IFERROR(X349/H349,"0")+IFERROR(X350/H350,"0")+IFERROR(X351/H351,"0")+IFERROR(X352/H352,"0")+IFERROR(X353/H353,"0")+IFERROR(X354/H354,"0")</f>
        <v>90</v>
      </c>
      <c r="Y355" s="547">
        <f>IFERROR(Y348/H348,"0")+IFERROR(Y349/H349,"0")+IFERROR(Y350/H350,"0")+IFERROR(Y351/H351,"0")+IFERROR(Y352/H352,"0")+IFERROR(Y353/H353,"0")+IFERROR(Y354/H354,"0")</f>
        <v>91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1.9792499999999997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75</v>
      </c>
      <c r="Q356" s="562"/>
      <c r="R356" s="562"/>
      <c r="S356" s="562"/>
      <c r="T356" s="562"/>
      <c r="U356" s="562"/>
      <c r="V356" s="563"/>
      <c r="W356" s="37" t="s">
        <v>69</v>
      </c>
      <c r="X356" s="547">
        <f>IFERROR(SUM(X348:X354),"0")</f>
        <v>1350</v>
      </c>
      <c r="Y356" s="547">
        <f>IFERROR(SUM(Y348:Y354),"0")</f>
        <v>1365</v>
      </c>
      <c r="Z356" s="37"/>
      <c r="AA356" s="548"/>
      <c r="AB356" s="548"/>
      <c r="AC356" s="548"/>
    </row>
    <row r="357" spans="1:68" ht="14.25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700</v>
      </c>
      <c r="Y358" s="546">
        <f>IFERROR(IF(X358="",0,CEILING((X358/$H358),1)*$H358),"")</f>
        <v>705</v>
      </c>
      <c r="Z358" s="36">
        <f>IFERROR(IF(Y358=0,"",ROUNDUP(Y358/H358,0)*0.02175),"")</f>
        <v>1.0222499999999999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721.93333333333328</v>
      </c>
      <c r="BN358" s="64">
        <f>IFERROR(Y358*I358/H358,"0")</f>
        <v>727.09</v>
      </c>
      <c r="BO358" s="64">
        <f>IFERROR(1/J358*(X358/H358),"0")</f>
        <v>0.9722222222222221</v>
      </c>
      <c r="BP358" s="64">
        <f>IFERROR(1/J358*(Y358/H358),"0")</f>
        <v>0.97916666666666663</v>
      </c>
    </row>
    <row r="359" spans="1:68" ht="27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75</v>
      </c>
      <c r="Q360" s="562"/>
      <c r="R360" s="562"/>
      <c r="S360" s="562"/>
      <c r="T360" s="562"/>
      <c r="U360" s="562"/>
      <c r="V360" s="563"/>
      <c r="W360" s="37" t="s">
        <v>76</v>
      </c>
      <c r="X360" s="547">
        <f>IFERROR(X358/H358,"0")+IFERROR(X359/H359,"0")</f>
        <v>46.666666666666664</v>
      </c>
      <c r="Y360" s="547">
        <f>IFERROR(Y358/H358,"0")+IFERROR(Y359/H359,"0")</f>
        <v>47</v>
      </c>
      <c r="Z360" s="547">
        <f>IFERROR(IF(Z358="",0,Z358),"0")+IFERROR(IF(Z359="",0,Z359),"0")</f>
        <v>1.0222499999999999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75</v>
      </c>
      <c r="Q361" s="562"/>
      <c r="R361" s="562"/>
      <c r="S361" s="562"/>
      <c r="T361" s="562"/>
      <c r="U361" s="562"/>
      <c r="V361" s="563"/>
      <c r="W361" s="37" t="s">
        <v>69</v>
      </c>
      <c r="X361" s="547">
        <f>IFERROR(SUM(X358:X359),"0")</f>
        <v>700</v>
      </c>
      <c r="Y361" s="547">
        <f>IFERROR(SUM(Y358:Y359),"0")</f>
        <v>705</v>
      </c>
      <c r="Z361" s="37"/>
      <c r="AA361" s="548"/>
      <c r="AB361" s="548"/>
      <c r="AC361" s="548"/>
    </row>
    <row r="362" spans="1:68" ht="14.25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70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75</v>
      </c>
      <c r="Q365" s="562"/>
      <c r="R365" s="562"/>
      <c r="S365" s="562"/>
      <c r="T365" s="562"/>
      <c r="U365" s="562"/>
      <c r="V365" s="563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71"/>
      <c r="P366" s="561" t="s">
        <v>75</v>
      </c>
      <c r="Q366" s="562"/>
      <c r="R366" s="562"/>
      <c r="S366" s="562"/>
      <c r="T366" s="562"/>
      <c r="U366" s="562"/>
      <c r="V366" s="563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70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71"/>
      <c r="P369" s="561" t="s">
        <v>75</v>
      </c>
      <c r="Q369" s="562"/>
      <c r="R369" s="562"/>
      <c r="S369" s="562"/>
      <c r="T369" s="562"/>
      <c r="U369" s="562"/>
      <c r="V369" s="563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75</v>
      </c>
      <c r="Q370" s="562"/>
      <c r="R370" s="562"/>
      <c r="S370" s="562"/>
      <c r="T370" s="562"/>
      <c r="U370" s="562"/>
      <c r="V370" s="563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1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75</v>
      </c>
      <c r="Q375" s="562"/>
      <c r="R375" s="562"/>
      <c r="S375" s="562"/>
      <c r="T375" s="562"/>
      <c r="U375" s="562"/>
      <c r="V375" s="563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75</v>
      </c>
      <c r="Q376" s="562"/>
      <c r="R376" s="562"/>
      <c r="S376" s="562"/>
      <c r="T376" s="562"/>
      <c r="U376" s="562"/>
      <c r="V376" s="563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7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59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70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71"/>
      <c r="P380" s="561" t="s">
        <v>75</v>
      </c>
      <c r="Q380" s="562"/>
      <c r="R380" s="562"/>
      <c r="S380" s="562"/>
      <c r="T380" s="562"/>
      <c r="U380" s="562"/>
      <c r="V380" s="563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75</v>
      </c>
      <c r="Q381" s="562"/>
      <c r="R381" s="562"/>
      <c r="S381" s="562"/>
      <c r="T381" s="562"/>
      <c r="U381" s="562"/>
      <c r="V381" s="563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85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1000</v>
      </c>
      <c r="Y383" s="546">
        <f>IFERROR(IF(X383="",0,CEILING((X383/$H383),1)*$H383),"")</f>
        <v>1008</v>
      </c>
      <c r="Z383" s="36">
        <f>IFERROR(IF(Y383=0,"",ROUNDUP(Y383/H383,0)*0.01898),"")</f>
        <v>2.1257600000000001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1054.8888888888889</v>
      </c>
      <c r="BN383" s="64">
        <f>IFERROR(Y383*I383/H383,"0")</f>
        <v>1063.328</v>
      </c>
      <c r="BO383" s="64">
        <f>IFERROR(1/J383*(X383/H383),"0")</f>
        <v>1.7361111111111112</v>
      </c>
      <c r="BP383" s="64">
        <f>IFERROR(1/J383*(Y383/H383),"0")</f>
        <v>1.75</v>
      </c>
    </row>
    <row r="384" spans="1:68" ht="27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5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70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71"/>
      <c r="P386" s="561" t="s">
        <v>75</v>
      </c>
      <c r="Q386" s="562"/>
      <c r="R386" s="562"/>
      <c r="S386" s="562"/>
      <c r="T386" s="562"/>
      <c r="U386" s="562"/>
      <c r="V386" s="563"/>
      <c r="W386" s="37" t="s">
        <v>76</v>
      </c>
      <c r="X386" s="547">
        <f>IFERROR(X383/H383,"0")+IFERROR(X384/H384,"0")+IFERROR(X385/H385,"0")</f>
        <v>111.11111111111111</v>
      </c>
      <c r="Y386" s="547">
        <f>IFERROR(Y383/H383,"0")+IFERROR(Y384/H384,"0")+IFERROR(Y385/H385,"0")</f>
        <v>112</v>
      </c>
      <c r="Z386" s="547">
        <f>IFERROR(IF(Z383="",0,Z383),"0")+IFERROR(IF(Z384="",0,Z384),"0")+IFERROR(IF(Z385="",0,Z385),"0")</f>
        <v>2.1257600000000001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71"/>
      <c r="P387" s="561" t="s">
        <v>75</v>
      </c>
      <c r="Q387" s="562"/>
      <c r="R387" s="562"/>
      <c r="S387" s="562"/>
      <c r="T387" s="562"/>
      <c r="U387" s="562"/>
      <c r="V387" s="563"/>
      <c r="W387" s="37" t="s">
        <v>69</v>
      </c>
      <c r="X387" s="547">
        <f>IFERROR(SUM(X383:X385),"0")</f>
        <v>1000</v>
      </c>
      <c r="Y387" s="547">
        <f>IFERROR(SUM(Y383:Y385),"0")</f>
        <v>1008</v>
      </c>
      <c r="Z387" s="37"/>
      <c r="AA387" s="548"/>
      <c r="AB387" s="548"/>
      <c r="AC387" s="548"/>
    </row>
    <row r="388" spans="1:68" ht="27.75" customHeight="1" x14ac:dyDescent="0.2">
      <c r="A388" s="639" t="s">
        <v>604</v>
      </c>
      <c r="B388" s="640"/>
      <c r="C388" s="640"/>
      <c r="D388" s="640"/>
      <c r="E388" s="640"/>
      <c r="F388" s="640"/>
      <c r="G388" s="640"/>
      <c r="H388" s="640"/>
      <c r="I388" s="640"/>
      <c r="J388" s="640"/>
      <c r="K388" s="640"/>
      <c r="L388" s="640"/>
      <c r="M388" s="640"/>
      <c r="N388" s="640"/>
      <c r="O388" s="640"/>
      <c r="P388" s="640"/>
      <c r="Q388" s="640"/>
      <c r="R388" s="640"/>
      <c r="S388" s="640"/>
      <c r="T388" s="640"/>
      <c r="U388" s="640"/>
      <c r="V388" s="640"/>
      <c r="W388" s="640"/>
      <c r="X388" s="640"/>
      <c r="Y388" s="640"/>
      <c r="Z388" s="640"/>
      <c r="AA388" s="48"/>
      <c r="AB388" s="48"/>
      <c r="AC388" s="48"/>
    </row>
    <row r="389" spans="1:68" ht="16.5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6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4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75</v>
      </c>
      <c r="Q400" s="562"/>
      <c r="R400" s="562"/>
      <c r="S400" s="562"/>
      <c r="T400" s="562"/>
      <c r="U400" s="562"/>
      <c r="V400" s="563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75</v>
      </c>
      <c r="Q401" s="562"/>
      <c r="R401" s="562"/>
      <c r="S401" s="562"/>
      <c r="T401" s="562"/>
      <c r="U401" s="562"/>
      <c r="V401" s="563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75</v>
      </c>
      <c r="Q405" s="562"/>
      <c r="R405" s="562"/>
      <c r="S405" s="562"/>
      <c r="T405" s="562"/>
      <c r="U405" s="562"/>
      <c r="V405" s="563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75</v>
      </c>
      <c r="Q406" s="562"/>
      <c r="R406" s="562"/>
      <c r="S406" s="562"/>
      <c r="T406" s="562"/>
      <c r="U406" s="562"/>
      <c r="V406" s="563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70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71"/>
      <c r="P410" s="561" t="s">
        <v>75</v>
      </c>
      <c r="Q410" s="562"/>
      <c r="R410" s="562"/>
      <c r="S410" s="562"/>
      <c r="T410" s="562"/>
      <c r="U410" s="562"/>
      <c r="V410" s="563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71"/>
      <c r="P411" s="561" t="s">
        <v>75</v>
      </c>
      <c r="Q411" s="562"/>
      <c r="R411" s="562"/>
      <c r="S411" s="562"/>
      <c r="T411" s="562"/>
      <c r="U411" s="562"/>
      <c r="V411" s="563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2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75</v>
      </c>
      <c r="Q417" s="562"/>
      <c r="R417" s="562"/>
      <c r="S417" s="562"/>
      <c r="T417" s="562"/>
      <c r="U417" s="562"/>
      <c r="V417" s="563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75</v>
      </c>
      <c r="Q418" s="562"/>
      <c r="R418" s="562"/>
      <c r="S418" s="562"/>
      <c r="T418" s="562"/>
      <c r="U418" s="562"/>
      <c r="V418" s="563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70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71"/>
      <c r="P422" s="561" t="s">
        <v>75</v>
      </c>
      <c r="Q422" s="562"/>
      <c r="R422" s="562"/>
      <c r="S422" s="562"/>
      <c r="T422" s="562"/>
      <c r="U422" s="562"/>
      <c r="V422" s="563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71"/>
      <c r="P423" s="561" t="s">
        <v>75</v>
      </c>
      <c r="Q423" s="562"/>
      <c r="R423" s="562"/>
      <c r="S423" s="562"/>
      <c r="T423" s="562"/>
      <c r="U423" s="562"/>
      <c r="V423" s="563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customHeight="1" x14ac:dyDescent="0.2">
      <c r="A424" s="639" t="s">
        <v>655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48"/>
      <c r="AB424" s="48"/>
      <c r="AC424" s="48"/>
    </row>
    <row r="425" spans="1:68" ht="16.5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71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300</v>
      </c>
      <c r="Y431" s="546">
        <f t="shared" si="42"/>
        <v>300.96000000000004</v>
      </c>
      <c r="Z431" s="36">
        <f t="shared" si="43"/>
        <v>0.68171999999999999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319.88636363636363</v>
      </c>
      <c r="BN431" s="64">
        <f t="shared" si="45"/>
        <v>320.91000000000003</v>
      </c>
      <c r="BO431" s="64">
        <f t="shared" si="46"/>
        <v>0.54632867132867136</v>
      </c>
      <c r="BP431" s="64">
        <f t="shared" si="47"/>
        <v>0.54807692307692313</v>
      </c>
    </row>
    <row r="432" spans="1:68" ht="16.5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5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200</v>
      </c>
      <c r="Y433" s="546">
        <f t="shared" si="42"/>
        <v>200.64000000000001</v>
      </c>
      <c r="Z433" s="36">
        <f t="shared" si="43"/>
        <v>0.45448</v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213.25757575757575</v>
      </c>
      <c r="BN433" s="64">
        <f t="shared" si="45"/>
        <v>213.94</v>
      </c>
      <c r="BO433" s="64">
        <f t="shared" si="46"/>
        <v>0.36421911421911418</v>
      </c>
      <c r="BP433" s="64">
        <f t="shared" si="47"/>
        <v>0.36538461538461542</v>
      </c>
    </row>
    <row r="434" spans="1:68" ht="27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2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70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71"/>
      <c r="P439" s="561" t="s">
        <v>75</v>
      </c>
      <c r="Q439" s="562"/>
      <c r="R439" s="562"/>
      <c r="S439" s="562"/>
      <c r="T439" s="562"/>
      <c r="U439" s="562"/>
      <c r="V439" s="563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94.696969696969688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95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1.1362000000000001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75</v>
      </c>
      <c r="Q440" s="562"/>
      <c r="R440" s="562"/>
      <c r="S440" s="562"/>
      <c r="T440" s="562"/>
      <c r="U440" s="562"/>
      <c r="V440" s="563"/>
      <c r="W440" s="37" t="s">
        <v>69</v>
      </c>
      <c r="X440" s="547">
        <f>IFERROR(SUM(X427:X438),"0")</f>
        <v>500</v>
      </c>
      <c r="Y440" s="547">
        <f>IFERROR(SUM(Y427:Y438),"0")</f>
        <v>501.6</v>
      </c>
      <c r="Z440" s="37"/>
      <c r="AA440" s="548"/>
      <c r="AB440" s="548"/>
      <c r="AC440" s="548"/>
    </row>
    <row r="441" spans="1:68" ht="14.25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300</v>
      </c>
      <c r="Y442" s="546">
        <f>IFERROR(IF(X442="",0,CEILING((X442/$H442),1)*$H442),"")</f>
        <v>300.96000000000004</v>
      </c>
      <c r="Z442" s="36">
        <f>IFERROR(IF(Y442=0,"",ROUNDUP(Y442/H442,0)*0.01196),"")</f>
        <v>0.68171999999999999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319.88636363636363</v>
      </c>
      <c r="BN442" s="64">
        <f>IFERROR(Y442*I442/H442,"0")</f>
        <v>320.91000000000003</v>
      </c>
      <c r="BO442" s="64">
        <f>IFERROR(1/J442*(X442/H442),"0")</f>
        <v>0.54632867132867136</v>
      </c>
      <c r="BP442" s="64">
        <f>IFERROR(1/J442*(Y442/H442),"0")</f>
        <v>0.54807692307692313</v>
      </c>
    </row>
    <row r="443" spans="1:68" ht="16.5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87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70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71"/>
      <c r="P445" s="561" t="s">
        <v>75</v>
      </c>
      <c r="Q445" s="562"/>
      <c r="R445" s="562"/>
      <c r="S445" s="562"/>
      <c r="T445" s="562"/>
      <c r="U445" s="562"/>
      <c r="V445" s="563"/>
      <c r="W445" s="37" t="s">
        <v>76</v>
      </c>
      <c r="X445" s="547">
        <f>IFERROR(X442/H442,"0")+IFERROR(X443/H443,"0")+IFERROR(X444/H444,"0")</f>
        <v>56.818181818181813</v>
      </c>
      <c r="Y445" s="547">
        <f>IFERROR(Y442/H442,"0")+IFERROR(Y443/H443,"0")+IFERROR(Y444/H444,"0")</f>
        <v>57.000000000000007</v>
      </c>
      <c r="Z445" s="547">
        <f>IFERROR(IF(Z442="",0,Z442),"0")+IFERROR(IF(Z443="",0,Z443),"0")+IFERROR(IF(Z444="",0,Z444),"0")</f>
        <v>0.68171999999999999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71"/>
      <c r="P446" s="561" t="s">
        <v>75</v>
      </c>
      <c r="Q446" s="562"/>
      <c r="R446" s="562"/>
      <c r="S446" s="562"/>
      <c r="T446" s="562"/>
      <c r="U446" s="562"/>
      <c r="V446" s="563"/>
      <c r="W446" s="37" t="s">
        <v>69</v>
      </c>
      <c r="X446" s="547">
        <f>IFERROR(SUM(X442:X444),"0")</f>
        <v>300</v>
      </c>
      <c r="Y446" s="547">
        <f>IFERROR(SUM(Y442:Y444),"0")</f>
        <v>300.96000000000004</v>
      </c>
      <c r="Z446" s="37"/>
      <c r="AA446" s="548"/>
      <c r="AB446" s="548"/>
      <c r="AC446" s="548"/>
    </row>
    <row r="447" spans="1:68" ht="14.25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0</v>
      </c>
      <c r="Y448" s="546">
        <f t="shared" ref="Y448:Y453" si="48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0</v>
      </c>
      <c r="BN448" s="64">
        <f t="shared" ref="BN448:BN453" si="50">IFERROR(Y448*I448/H448,"0")</f>
        <v>0</v>
      </c>
      <c r="BO448" s="64">
        <f t="shared" ref="BO448:BO453" si="51">IFERROR(1/J448*(X448/H448),"0")</f>
        <v>0</v>
      </c>
      <c r="BP448" s="64">
        <f t="shared" ref="BP448:BP453" si="52">IFERROR(1/J448*(Y448/H448),"0")</f>
        <v>0</v>
      </c>
    </row>
    <row r="449" spans="1:68" ht="27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6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5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3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70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71"/>
      <c r="P454" s="561" t="s">
        <v>75</v>
      </c>
      <c r="Q454" s="562"/>
      <c r="R454" s="562"/>
      <c r="S454" s="562"/>
      <c r="T454" s="562"/>
      <c r="U454" s="562"/>
      <c r="V454" s="563"/>
      <c r="W454" s="37" t="s">
        <v>76</v>
      </c>
      <c r="X454" s="547">
        <f>IFERROR(X448/H448,"0")+IFERROR(X449/H449,"0")+IFERROR(X450/H450,"0")+IFERROR(X451/H451,"0")+IFERROR(X452/H452,"0")+IFERROR(X453/H453,"0")</f>
        <v>0</v>
      </c>
      <c r="Y454" s="547">
        <f>IFERROR(Y448/H448,"0")+IFERROR(Y449/H449,"0")+IFERROR(Y450/H450,"0")+IFERROR(Y451/H451,"0")+IFERROR(Y452/H452,"0")+IFERROR(Y453/H453,"0")</f>
        <v>0</v>
      </c>
      <c r="Z454" s="547">
        <f>IFERROR(IF(Z448="",0,Z448),"0")+IFERROR(IF(Z449="",0,Z449),"0")+IFERROR(IF(Z450="",0,Z450),"0")+IFERROR(IF(Z451="",0,Z451),"0")+IFERROR(IF(Z452="",0,Z452),"0")+IFERROR(IF(Z453="",0,Z453),"0")</f>
        <v>0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75</v>
      </c>
      <c r="Q455" s="562"/>
      <c r="R455" s="562"/>
      <c r="S455" s="562"/>
      <c r="T455" s="562"/>
      <c r="U455" s="562"/>
      <c r="V455" s="563"/>
      <c r="W455" s="37" t="s">
        <v>69</v>
      </c>
      <c r="X455" s="547">
        <f>IFERROR(SUM(X448:X453),"0")</f>
        <v>0</v>
      </c>
      <c r="Y455" s="547">
        <f>IFERROR(SUM(Y448:Y453),"0")</f>
        <v>0</v>
      </c>
      <c r="Z455" s="37"/>
      <c r="AA455" s="548"/>
      <c r="AB455" s="548"/>
      <c r="AC455" s="548"/>
    </row>
    <row r="456" spans="1:68" ht="27.75" customHeight="1" x14ac:dyDescent="0.2">
      <c r="A456" s="639" t="s">
        <v>707</v>
      </c>
      <c r="B456" s="640"/>
      <c r="C456" s="640"/>
      <c r="D456" s="640"/>
      <c r="E456" s="640"/>
      <c r="F456" s="640"/>
      <c r="G456" s="640"/>
      <c r="H456" s="640"/>
      <c r="I456" s="640"/>
      <c r="J456" s="640"/>
      <c r="K456" s="640"/>
      <c r="L456" s="640"/>
      <c r="M456" s="640"/>
      <c r="N456" s="640"/>
      <c r="O456" s="640"/>
      <c r="P456" s="640"/>
      <c r="Q456" s="640"/>
      <c r="R456" s="640"/>
      <c r="S456" s="640"/>
      <c r="T456" s="640"/>
      <c r="U456" s="640"/>
      <c r="V456" s="640"/>
      <c r="W456" s="640"/>
      <c r="X456" s="640"/>
      <c r="Y456" s="640"/>
      <c r="Z456" s="640"/>
      <c r="AA456" s="48"/>
      <c r="AB456" s="48"/>
      <c r="AC456" s="48"/>
    </row>
    <row r="457" spans="1:68" ht="16.5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7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8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70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71"/>
      <c r="P463" s="561" t="s">
        <v>75</v>
      </c>
      <c r="Q463" s="562"/>
      <c r="R463" s="562"/>
      <c r="S463" s="562"/>
      <c r="T463" s="562"/>
      <c r="U463" s="562"/>
      <c r="V463" s="563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75</v>
      </c>
      <c r="Q464" s="562"/>
      <c r="R464" s="562"/>
      <c r="S464" s="562"/>
      <c r="T464" s="562"/>
      <c r="U464" s="562"/>
      <c r="V464" s="563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70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71"/>
      <c r="P468" s="561" t="s">
        <v>75</v>
      </c>
      <c r="Q468" s="562"/>
      <c r="R468" s="562"/>
      <c r="S468" s="562"/>
      <c r="T468" s="562"/>
      <c r="U468" s="562"/>
      <c r="V468" s="563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71"/>
      <c r="P469" s="561" t="s">
        <v>75</v>
      </c>
      <c r="Q469" s="562"/>
      <c r="R469" s="562"/>
      <c r="S469" s="562"/>
      <c r="T469" s="562"/>
      <c r="U469" s="562"/>
      <c r="V469" s="563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5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70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71"/>
      <c r="P472" s="561" t="s">
        <v>75</v>
      </c>
      <c r="Q472" s="562"/>
      <c r="R472" s="562"/>
      <c r="S472" s="562"/>
      <c r="T472" s="562"/>
      <c r="U472" s="562"/>
      <c r="V472" s="563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71"/>
      <c r="P473" s="561" t="s">
        <v>75</v>
      </c>
      <c r="Q473" s="562"/>
      <c r="R473" s="562"/>
      <c r="S473" s="562"/>
      <c r="T473" s="562"/>
      <c r="U473" s="562"/>
      <c r="V473" s="563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70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75</v>
      </c>
      <c r="Q476" s="562"/>
      <c r="R476" s="562"/>
      <c r="S476" s="562"/>
      <c r="T476" s="562"/>
      <c r="U476" s="562"/>
      <c r="V476" s="563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71"/>
      <c r="P477" s="561" t="s">
        <v>75</v>
      </c>
      <c r="Q477" s="562"/>
      <c r="R477" s="562"/>
      <c r="S477" s="562"/>
      <c r="T477" s="562"/>
      <c r="U477" s="562"/>
      <c r="V477" s="563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8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70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71"/>
      <c r="P481" s="561" t="s">
        <v>75</v>
      </c>
      <c r="Q481" s="562"/>
      <c r="R481" s="562"/>
      <c r="S481" s="562"/>
      <c r="T481" s="562"/>
      <c r="U481" s="562"/>
      <c r="V481" s="563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71"/>
      <c r="P482" s="561" t="s">
        <v>75</v>
      </c>
      <c r="Q482" s="562"/>
      <c r="R482" s="562"/>
      <c r="S482" s="562"/>
      <c r="T482" s="562"/>
      <c r="U482" s="562"/>
      <c r="V482" s="563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70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71"/>
      <c r="P486" s="561" t="s">
        <v>75</v>
      </c>
      <c r="Q486" s="562"/>
      <c r="R486" s="562"/>
      <c r="S486" s="562"/>
      <c r="T486" s="562"/>
      <c r="U486" s="562"/>
      <c r="V486" s="563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71"/>
      <c r="P487" s="561" t="s">
        <v>75</v>
      </c>
      <c r="Q487" s="562"/>
      <c r="R487" s="562"/>
      <c r="S487" s="562"/>
      <c r="T487" s="562"/>
      <c r="U487" s="562"/>
      <c r="V487" s="563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6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17"/>
      <c r="P488" s="646" t="s">
        <v>741</v>
      </c>
      <c r="Q488" s="647"/>
      <c r="R488" s="647"/>
      <c r="S488" s="647"/>
      <c r="T488" s="647"/>
      <c r="U488" s="647"/>
      <c r="V488" s="648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5810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5870.1600000000008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17"/>
      <c r="P489" s="646" t="s">
        <v>742</v>
      </c>
      <c r="Q489" s="647"/>
      <c r="R489" s="647"/>
      <c r="S489" s="647"/>
      <c r="T489" s="647"/>
      <c r="U489" s="647"/>
      <c r="V489" s="648"/>
      <c r="W489" s="37" t="s">
        <v>69</v>
      </c>
      <c r="X489" s="547">
        <f>IFERROR(SUM(BM22:BM485),"0")</f>
        <v>6149.0375401524834</v>
      </c>
      <c r="Y489" s="547">
        <f>IFERROR(SUM(BN22:BN485),"0")</f>
        <v>6212.0999999999995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17"/>
      <c r="P490" s="646" t="s">
        <v>743</v>
      </c>
      <c r="Q490" s="647"/>
      <c r="R490" s="647"/>
      <c r="S490" s="647"/>
      <c r="T490" s="647"/>
      <c r="U490" s="647"/>
      <c r="V490" s="648"/>
      <c r="W490" s="37" t="s">
        <v>744</v>
      </c>
      <c r="X490" s="38">
        <f>ROUNDUP(SUM(BO22:BO485),0)</f>
        <v>11</v>
      </c>
      <c r="Y490" s="38">
        <f>ROUNDUP(SUM(BP22:BP485),0)</f>
        <v>11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7"/>
      <c r="P491" s="646" t="s">
        <v>745</v>
      </c>
      <c r="Q491" s="647"/>
      <c r="R491" s="647"/>
      <c r="S491" s="647"/>
      <c r="T491" s="647"/>
      <c r="U491" s="647"/>
      <c r="V491" s="648"/>
      <c r="W491" s="37" t="s">
        <v>69</v>
      </c>
      <c r="X491" s="547">
        <f>GrossWeightTotal+PalletQtyTotal*25</f>
        <v>6424.0375401524834</v>
      </c>
      <c r="Y491" s="547">
        <f>GrossWeightTotalR+PalletQtyTotalR*25</f>
        <v>6487.0999999999995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7"/>
      <c r="P492" s="646" t="s">
        <v>746</v>
      </c>
      <c r="Q492" s="647"/>
      <c r="R492" s="647"/>
      <c r="S492" s="647"/>
      <c r="T492" s="647"/>
      <c r="U492" s="647"/>
      <c r="V492" s="648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1009.7441851464839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1017</v>
      </c>
      <c r="Z492" s="37"/>
      <c r="AA492" s="548"/>
      <c r="AB492" s="548"/>
      <c r="AC492" s="548"/>
    </row>
    <row r="493" spans="1:68" ht="14.25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7"/>
      <c r="P493" s="646" t="s">
        <v>747</v>
      </c>
      <c r="Q493" s="647"/>
      <c r="R493" s="647"/>
      <c r="S493" s="647"/>
      <c r="T493" s="647"/>
      <c r="U493" s="647"/>
      <c r="V493" s="648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11.734440000000001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83" t="s">
        <v>97</v>
      </c>
      <c r="D495" s="605"/>
      <c r="E495" s="605"/>
      <c r="F495" s="605"/>
      <c r="G495" s="605"/>
      <c r="H495" s="606"/>
      <c r="I495" s="583" t="s">
        <v>263</v>
      </c>
      <c r="J495" s="605"/>
      <c r="K495" s="605"/>
      <c r="L495" s="605"/>
      <c r="M495" s="605"/>
      <c r="N495" s="605"/>
      <c r="O495" s="605"/>
      <c r="P495" s="605"/>
      <c r="Q495" s="605"/>
      <c r="R495" s="606"/>
      <c r="S495" s="583" t="s">
        <v>550</v>
      </c>
      <c r="T495" s="606"/>
      <c r="U495" s="583" t="s">
        <v>604</v>
      </c>
      <c r="V495" s="605"/>
      <c r="W495" s="606"/>
      <c r="X495" s="542" t="s">
        <v>655</v>
      </c>
      <c r="Y495" s="583" t="s">
        <v>707</v>
      </c>
      <c r="Z495" s="606"/>
      <c r="AB495" s="52"/>
      <c r="AC495" s="52"/>
      <c r="AF495" s="543"/>
    </row>
    <row r="496" spans="1:68" ht="14.25" customHeight="1" thickTop="1" x14ac:dyDescent="0.2">
      <c r="A496" s="611" t="s">
        <v>750</v>
      </c>
      <c r="B496" s="583" t="s">
        <v>63</v>
      </c>
      <c r="C496" s="583" t="s">
        <v>98</v>
      </c>
      <c r="D496" s="583" t="s">
        <v>116</v>
      </c>
      <c r="E496" s="583" t="s">
        <v>167</v>
      </c>
      <c r="F496" s="583" t="s">
        <v>189</v>
      </c>
      <c r="G496" s="583" t="s">
        <v>227</v>
      </c>
      <c r="H496" s="583" t="s">
        <v>97</v>
      </c>
      <c r="I496" s="583" t="s">
        <v>264</v>
      </c>
      <c r="J496" s="583" t="s">
        <v>319</v>
      </c>
      <c r="K496" s="583" t="s">
        <v>379</v>
      </c>
      <c r="L496" s="583" t="s">
        <v>420</v>
      </c>
      <c r="M496" s="583" t="s">
        <v>436</v>
      </c>
      <c r="N496" s="543"/>
      <c r="O496" s="583" t="s">
        <v>447</v>
      </c>
      <c r="P496" s="583" t="s">
        <v>456</v>
      </c>
      <c r="Q496" s="583" t="s">
        <v>469</v>
      </c>
      <c r="R496" s="583" t="s">
        <v>540</v>
      </c>
      <c r="S496" s="583" t="s">
        <v>551</v>
      </c>
      <c r="T496" s="583" t="s">
        <v>586</v>
      </c>
      <c r="U496" s="583" t="s">
        <v>605</v>
      </c>
      <c r="V496" s="583" t="s">
        <v>636</v>
      </c>
      <c r="W496" s="583" t="s">
        <v>651</v>
      </c>
      <c r="X496" s="583" t="s">
        <v>655</v>
      </c>
      <c r="Y496" s="583" t="s">
        <v>707</v>
      </c>
      <c r="Z496" s="583" t="s">
        <v>737</v>
      </c>
      <c r="AB496" s="52"/>
      <c r="AC496" s="52"/>
      <c r="AF496" s="543"/>
    </row>
    <row r="497" spans="1:32" ht="13.5" customHeight="1" thickBot="1" x14ac:dyDescent="0.25">
      <c r="A497" s="612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43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205.20000000000002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498" s="46">
        <f>IFERROR(Y84*1,"0")+IFERROR(Y85*1,"0")+IFERROR(Y86*1,"0")+IFERROR(Y87*1,"0")+IFERROR(Y91*1,"0")+IFERROR(Y92*1,"0")+IFERROR(Y93*1,"0")+IFERROR(Y94*1,"0")</f>
        <v>105.3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467.1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1003.2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208.79999999999998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0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2070</v>
      </c>
      <c r="T498" s="46">
        <f>IFERROR(Y373*1,"0")+IFERROR(Y374*1,"0")+IFERROR(Y378*1,"0")+IFERROR(Y379*1,"0")+IFERROR(Y383*1,"0")+IFERROR(Y384*1,"0")+IFERROR(Y385*1,"0")</f>
        <v>1008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802.56000000000006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D291:E291"/>
    <mergeCell ref="D239:E239"/>
    <mergeCell ref="P174:T174"/>
    <mergeCell ref="P149:T149"/>
    <mergeCell ref="A339:Z339"/>
    <mergeCell ref="M496:M497"/>
    <mergeCell ref="D218:E218"/>
    <mergeCell ref="O496:O497"/>
    <mergeCell ref="A347:Z347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P468:V468"/>
    <mergeCell ref="A160:Z160"/>
    <mergeCell ref="A141:Z141"/>
    <mergeCell ref="A144:O145"/>
    <mergeCell ref="A135:Z135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161:T161"/>
    <mergeCell ref="P459:T459"/>
    <mergeCell ref="D198:E198"/>
    <mergeCell ref="D296:E296"/>
    <mergeCell ref="P275:V275"/>
    <mergeCell ref="P104:V104"/>
    <mergeCell ref="D427:E42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P81:V81"/>
    <mergeCell ref="D51:E51"/>
    <mergeCell ref="D349:E349"/>
    <mergeCell ref="P306:T306"/>
    <mergeCell ref="P157:V157"/>
    <mergeCell ref="A38:Z38"/>
    <mergeCell ref="P455:V455"/>
    <mergeCell ref="A454:O455"/>
    <mergeCell ref="P249:V249"/>
    <mergeCell ref="P207:T207"/>
    <mergeCell ref="A372:Z372"/>
    <mergeCell ref="P299:T299"/>
    <mergeCell ref="P386:V386"/>
    <mergeCell ref="P393:T393"/>
    <mergeCell ref="D374:E374"/>
    <mergeCell ref="A338:Z338"/>
    <mergeCell ref="D203:E203"/>
    <mergeCell ref="P232:T232"/>
    <mergeCell ref="P152:V152"/>
    <mergeCell ref="A82:Z82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P51:T51"/>
    <mergeCell ref="P58:V58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A419:Z419"/>
    <mergeCell ref="P204:T204"/>
    <mergeCell ref="Q496:Q497"/>
    <mergeCell ref="S496:S497"/>
    <mergeCell ref="D348:E348"/>
    <mergeCell ref="D62:E62"/>
    <mergeCell ref="P454:V454"/>
    <mergeCell ref="D56:E56"/>
    <mergeCell ref="D485:E485"/>
    <mergeCell ref="P216:T216"/>
    <mergeCell ref="D137:E137"/>
    <mergeCell ref="P360:V360"/>
    <mergeCell ref="P80:V80"/>
    <mergeCell ref="D74:E74"/>
    <mergeCell ref="P87:T87"/>
    <mergeCell ref="P451:T451"/>
    <mergeCell ref="A470:Z470"/>
    <mergeCell ref="D335:E335"/>
    <mergeCell ref="A375:O376"/>
    <mergeCell ref="D188:E188"/>
    <mergeCell ref="P322:T322"/>
    <mergeCell ref="D132:E132"/>
    <mergeCell ref="D399:E399"/>
    <mergeCell ref="A439:O440"/>
    <mergeCell ref="P309:T309"/>
    <mergeCell ref="D193:E193"/>
    <mergeCell ref="P206:T206"/>
    <mergeCell ref="D127:E127"/>
    <mergeCell ref="P448:T448"/>
    <mergeCell ref="P233:T233"/>
    <mergeCell ref="P304:T304"/>
    <mergeCell ref="D176:E176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D93:E93"/>
    <mergeCell ref="A133:O134"/>
    <mergeCell ref="D391:E391"/>
    <mergeCell ref="D220:E220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2026-01-23T10:03:57Z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