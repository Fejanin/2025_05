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5B8BB2DE-E169-442A-8506-6555B3FEDDD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8" i="1" l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Z472" i="1" s="1"/>
  <c r="Y471" i="1"/>
  <c r="Y473" i="1" s="1"/>
  <c r="P471" i="1"/>
  <c r="X469" i="1"/>
  <c r="X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Y463" i="1" s="1"/>
  <c r="P459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X423" i="1"/>
  <c r="Y422" i="1"/>
  <c r="X422" i="1"/>
  <c r="BP421" i="1"/>
  <c r="BO421" i="1"/>
  <c r="BN421" i="1"/>
  <c r="BM421" i="1"/>
  <c r="Z421" i="1"/>
  <c r="Z422" i="1" s="1"/>
  <c r="Y421" i="1"/>
  <c r="Y423" i="1" s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P403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X387" i="1"/>
  <c r="Y386" i="1"/>
  <c r="X386" i="1"/>
  <c r="BP385" i="1"/>
  <c r="BO385" i="1"/>
  <c r="BN385" i="1"/>
  <c r="BM385" i="1"/>
  <c r="Z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Y387" i="1" s="1"/>
  <c r="P383" i="1"/>
  <c r="X381" i="1"/>
  <c r="X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X370" i="1"/>
  <c r="Y369" i="1"/>
  <c r="X369" i="1"/>
  <c r="BP368" i="1"/>
  <c r="BO368" i="1"/>
  <c r="BN368" i="1"/>
  <c r="BM368" i="1"/>
  <c r="Z368" i="1"/>
  <c r="Z369" i="1" s="1"/>
  <c r="Y368" i="1"/>
  <c r="Y370" i="1" s="1"/>
  <c r="P368" i="1"/>
  <c r="X366" i="1"/>
  <c r="Y365" i="1"/>
  <c r="X365" i="1"/>
  <c r="BP364" i="1"/>
  <c r="BO364" i="1"/>
  <c r="BN364" i="1"/>
  <c r="BM364" i="1"/>
  <c r="Z364" i="1"/>
  <c r="Y364" i="1"/>
  <c r="P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Y360" i="1" s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X344" i="1"/>
  <c r="Y343" i="1"/>
  <c r="X343" i="1"/>
  <c r="BP342" i="1"/>
  <c r="BO342" i="1"/>
  <c r="BN342" i="1"/>
  <c r="BM342" i="1"/>
  <c r="Z342" i="1"/>
  <c r="Y342" i="1"/>
  <c r="P342" i="1"/>
  <c r="BO341" i="1"/>
  <c r="BN341" i="1"/>
  <c r="BM341" i="1"/>
  <c r="Z341" i="1"/>
  <c r="Y341" i="1"/>
  <c r="BP341" i="1" s="1"/>
  <c r="P341" i="1"/>
  <c r="BO340" i="1"/>
  <c r="BM340" i="1"/>
  <c r="Y340" i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Y337" i="1" s="1"/>
  <c r="P333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Y330" i="1" s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Y323" i="1" s="1"/>
  <c r="P321" i="1"/>
  <c r="BP320" i="1"/>
  <c r="BO320" i="1"/>
  <c r="BN320" i="1"/>
  <c r="BM320" i="1"/>
  <c r="Z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2" i="1"/>
  <c r="X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Q498" i="1" s="1"/>
  <c r="P297" i="1"/>
  <c r="BP296" i="1"/>
  <c r="BO296" i="1"/>
  <c r="BN296" i="1"/>
  <c r="BM296" i="1"/>
  <c r="Z296" i="1"/>
  <c r="Y296" i="1"/>
  <c r="P296" i="1"/>
  <c r="X293" i="1"/>
  <c r="Y292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Y281" i="1" s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P253" i="1"/>
  <c r="BO253" i="1"/>
  <c r="BN253" i="1"/>
  <c r="BM253" i="1"/>
  <c r="Z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P226" i="1"/>
  <c r="BO226" i="1"/>
  <c r="BN226" i="1"/>
  <c r="BM226" i="1"/>
  <c r="Z226" i="1"/>
  <c r="Y226" i="1"/>
  <c r="P226" i="1"/>
  <c r="X224" i="1"/>
  <c r="X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X201" i="1"/>
  <c r="X200" i="1"/>
  <c r="BO199" i="1"/>
  <c r="BM199" i="1"/>
  <c r="Z199" i="1"/>
  <c r="Y199" i="1"/>
  <c r="P199" i="1"/>
  <c r="BO198" i="1"/>
  <c r="BM198" i="1"/>
  <c r="Y198" i="1"/>
  <c r="Y200" i="1" s="1"/>
  <c r="P198" i="1"/>
  <c r="X196" i="1"/>
  <c r="X195" i="1"/>
  <c r="BO194" i="1"/>
  <c r="BM194" i="1"/>
  <c r="Y194" i="1"/>
  <c r="Y196" i="1" s="1"/>
  <c r="P194" i="1"/>
  <c r="BP193" i="1"/>
  <c r="BO193" i="1"/>
  <c r="BN193" i="1"/>
  <c r="BM193" i="1"/>
  <c r="Z193" i="1"/>
  <c r="Y193" i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Y185" i="1" s="1"/>
  <c r="P183" i="1"/>
  <c r="BP182" i="1"/>
  <c r="BO182" i="1"/>
  <c r="BN182" i="1"/>
  <c r="BM182" i="1"/>
  <c r="Z182" i="1"/>
  <c r="Y182" i="1"/>
  <c r="Y186" i="1" s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Y179" i="1" s="1"/>
  <c r="P165" i="1"/>
  <c r="X163" i="1"/>
  <c r="X162" i="1"/>
  <c r="BO161" i="1"/>
  <c r="BM161" i="1"/>
  <c r="Y161" i="1"/>
  <c r="I498" i="1" s="1"/>
  <c r="P161" i="1"/>
  <c r="X157" i="1"/>
  <c r="X156" i="1"/>
  <c r="BO155" i="1"/>
  <c r="BM155" i="1"/>
  <c r="Y155" i="1"/>
  <c r="Y157" i="1" s="1"/>
  <c r="P155" i="1"/>
  <c r="X153" i="1"/>
  <c r="X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P148" i="1"/>
  <c r="BO148" i="1"/>
  <c r="BN148" i="1"/>
  <c r="BM148" i="1"/>
  <c r="Z148" i="1"/>
  <c r="Y148" i="1"/>
  <c r="P148" i="1"/>
  <c r="BO147" i="1"/>
  <c r="BM147" i="1"/>
  <c r="Y147" i="1"/>
  <c r="Y153" i="1" s="1"/>
  <c r="P147" i="1"/>
  <c r="X145" i="1"/>
  <c r="X144" i="1"/>
  <c r="BO143" i="1"/>
  <c r="BM143" i="1"/>
  <c r="Y143" i="1"/>
  <c r="Y145" i="1" s="1"/>
  <c r="P143" i="1"/>
  <c r="BP142" i="1"/>
  <c r="BO142" i="1"/>
  <c r="BN142" i="1"/>
  <c r="BM142" i="1"/>
  <c r="Z142" i="1"/>
  <c r="Y142" i="1"/>
  <c r="H498" i="1" s="1"/>
  <c r="P142" i="1"/>
  <c r="X139" i="1"/>
  <c r="X138" i="1"/>
  <c r="BP137" i="1"/>
  <c r="BO137" i="1"/>
  <c r="BN137" i="1"/>
  <c r="BM137" i="1"/>
  <c r="Z137" i="1"/>
  <c r="Y137" i="1"/>
  <c r="P137" i="1"/>
  <c r="BO136" i="1"/>
  <c r="BM136" i="1"/>
  <c r="Y136" i="1"/>
  <c r="Y138" i="1" s="1"/>
  <c r="P136" i="1"/>
  <c r="X134" i="1"/>
  <c r="X133" i="1"/>
  <c r="BO132" i="1"/>
  <c r="BM132" i="1"/>
  <c r="Y132" i="1"/>
  <c r="Y134" i="1" s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G498" i="1" s="1"/>
  <c r="P126" i="1"/>
  <c r="X123" i="1"/>
  <c r="X122" i="1"/>
  <c r="BO121" i="1"/>
  <c r="BM121" i="1"/>
  <c r="Y121" i="1"/>
  <c r="Y123" i="1" s="1"/>
  <c r="P121" i="1"/>
  <c r="X119" i="1"/>
  <c r="X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Y119" i="1" s="1"/>
  <c r="P115" i="1"/>
  <c r="BP114" i="1"/>
  <c r="BO114" i="1"/>
  <c r="BN114" i="1"/>
  <c r="BM114" i="1"/>
  <c r="Z114" i="1"/>
  <c r="Y114" i="1"/>
  <c r="Y118" i="1" s="1"/>
  <c r="P114" i="1"/>
  <c r="X112" i="1"/>
  <c r="X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Y111" i="1" s="1"/>
  <c r="P107" i="1"/>
  <c r="X105" i="1"/>
  <c r="X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F498" i="1" s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BO84" i="1"/>
  <c r="BM84" i="1"/>
  <c r="Y84" i="1"/>
  <c r="P84" i="1"/>
  <c r="X81" i="1"/>
  <c r="X80" i="1"/>
  <c r="BO79" i="1"/>
  <c r="BM79" i="1"/>
  <c r="Y79" i="1"/>
  <c r="P79" i="1"/>
  <c r="BP78" i="1"/>
  <c r="BO78" i="1"/>
  <c r="BN78" i="1"/>
  <c r="BM78" i="1"/>
  <c r="Z78" i="1"/>
  <c r="Y78" i="1"/>
  <c r="Y80" i="1" s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Y68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Y63" i="1" s="1"/>
  <c r="P61" i="1"/>
  <c r="BP60" i="1"/>
  <c r="BO60" i="1"/>
  <c r="BN60" i="1"/>
  <c r="BM60" i="1"/>
  <c r="Z60" i="1"/>
  <c r="Y60" i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P53" i="1"/>
  <c r="BP52" i="1"/>
  <c r="BO52" i="1"/>
  <c r="BN52" i="1"/>
  <c r="BM52" i="1"/>
  <c r="Z52" i="1"/>
  <c r="Y52" i="1"/>
  <c r="P52" i="1"/>
  <c r="BO51" i="1"/>
  <c r="BM51" i="1"/>
  <c r="Y51" i="1"/>
  <c r="Z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8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Y32" i="1" s="1"/>
  <c r="P28" i="1"/>
  <c r="BP27" i="1"/>
  <c r="BO27" i="1"/>
  <c r="BN27" i="1"/>
  <c r="BM27" i="1"/>
  <c r="Z27" i="1"/>
  <c r="Y27" i="1"/>
  <c r="Y31" i="1" s="1"/>
  <c r="P27" i="1"/>
  <c r="X25" i="1"/>
  <c r="X488" i="1" s="1"/>
  <c r="X24" i="1"/>
  <c r="BP23" i="1"/>
  <c r="BO23" i="1"/>
  <c r="BN23" i="1"/>
  <c r="BM23" i="1"/>
  <c r="Z23" i="1"/>
  <c r="Y23" i="1"/>
  <c r="P23" i="1"/>
  <c r="BO22" i="1"/>
  <c r="X490" i="1" s="1"/>
  <c r="BM22" i="1"/>
  <c r="X489" i="1" s="1"/>
  <c r="X491" i="1" s="1"/>
  <c r="Y22" i="1"/>
  <c r="B498" i="1" s="1"/>
  <c r="P22" i="1"/>
  <c r="H10" i="1"/>
  <c r="A9" i="1"/>
  <c r="F10" i="1" s="1"/>
  <c r="D7" i="1"/>
  <c r="Q6" i="1"/>
  <c r="P2" i="1"/>
  <c r="Z68" i="1" l="1"/>
  <c r="H9" i="1"/>
  <c r="A10" i="1"/>
  <c r="Y24" i="1"/>
  <c r="F9" i="1"/>
  <c r="J9" i="1"/>
  <c r="Z22" i="1"/>
  <c r="Z24" i="1" s="1"/>
  <c r="BN22" i="1"/>
  <c r="BP22" i="1"/>
  <c r="X492" i="1"/>
  <c r="Y25" i="1"/>
  <c r="Z28" i="1"/>
  <c r="Z31" i="1" s="1"/>
  <c r="BN28" i="1"/>
  <c r="BP28" i="1"/>
  <c r="Z30" i="1"/>
  <c r="BN30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BP55" i="1"/>
  <c r="BN55" i="1"/>
  <c r="Z55" i="1"/>
  <c r="Y64" i="1"/>
  <c r="BP67" i="1"/>
  <c r="BN67" i="1"/>
  <c r="Z67" i="1"/>
  <c r="Y69" i="1"/>
  <c r="Y76" i="1"/>
  <c r="BP71" i="1"/>
  <c r="BN71" i="1"/>
  <c r="Z71" i="1"/>
  <c r="Y75" i="1"/>
  <c r="BP79" i="1"/>
  <c r="BN79" i="1"/>
  <c r="Z79" i="1"/>
  <c r="Z80" i="1" s="1"/>
  <c r="Y81" i="1"/>
  <c r="E498" i="1"/>
  <c r="Y89" i="1"/>
  <c r="BP84" i="1"/>
  <c r="BN84" i="1"/>
  <c r="Z84" i="1"/>
  <c r="Z88" i="1" s="1"/>
  <c r="Y88" i="1"/>
  <c r="Y96" i="1"/>
  <c r="BP92" i="1"/>
  <c r="BN92" i="1"/>
  <c r="Z92" i="1"/>
  <c r="Z95" i="1" s="1"/>
  <c r="Z228" i="1"/>
  <c r="Z405" i="1"/>
  <c r="Y44" i="1"/>
  <c r="D498" i="1"/>
  <c r="Y58" i="1"/>
  <c r="BP51" i="1"/>
  <c r="BN51" i="1"/>
  <c r="BP53" i="1"/>
  <c r="BN53" i="1"/>
  <c r="Z53" i="1"/>
  <c r="Z57" i="1" s="1"/>
  <c r="Y57" i="1"/>
  <c r="Z63" i="1"/>
  <c r="BP61" i="1"/>
  <c r="BN61" i="1"/>
  <c r="Z61" i="1"/>
  <c r="BP73" i="1"/>
  <c r="BN73" i="1"/>
  <c r="Z73" i="1"/>
  <c r="BP86" i="1"/>
  <c r="BN86" i="1"/>
  <c r="Z86" i="1"/>
  <c r="BP94" i="1"/>
  <c r="BN94" i="1"/>
  <c r="Z94" i="1"/>
  <c r="Z144" i="1"/>
  <c r="Z195" i="1"/>
  <c r="Z99" i="1"/>
  <c r="BN99" i="1"/>
  <c r="BP99" i="1"/>
  <c r="Z101" i="1"/>
  <c r="BN101" i="1"/>
  <c r="Z103" i="1"/>
  <c r="BN103" i="1"/>
  <c r="Y104" i="1"/>
  <c r="Z107" i="1"/>
  <c r="BN107" i="1"/>
  <c r="BP107" i="1"/>
  <c r="Z109" i="1"/>
  <c r="BN109" i="1"/>
  <c r="Y112" i="1"/>
  <c r="Z115" i="1"/>
  <c r="Z118" i="1" s="1"/>
  <c r="BN115" i="1"/>
  <c r="BP115" i="1"/>
  <c r="Z117" i="1"/>
  <c r="BN117" i="1"/>
  <c r="Z121" i="1"/>
  <c r="Z122" i="1" s="1"/>
  <c r="BN121" i="1"/>
  <c r="BP121" i="1"/>
  <c r="Y122" i="1"/>
  <c r="Z126" i="1"/>
  <c r="Z128" i="1" s="1"/>
  <c r="BN126" i="1"/>
  <c r="BP126" i="1"/>
  <c r="Y129" i="1"/>
  <c r="Z132" i="1"/>
  <c r="Z133" i="1" s="1"/>
  <c r="BN132" i="1"/>
  <c r="BP132" i="1"/>
  <c r="Z136" i="1"/>
  <c r="Z138" i="1" s="1"/>
  <c r="BN136" i="1"/>
  <c r="BP136" i="1"/>
  <c r="Y139" i="1"/>
  <c r="Z143" i="1"/>
  <c r="BN143" i="1"/>
  <c r="BP143" i="1"/>
  <c r="Y144" i="1"/>
  <c r="Z147" i="1"/>
  <c r="BN147" i="1"/>
  <c r="BP147" i="1"/>
  <c r="Z149" i="1"/>
  <c r="BN149" i="1"/>
  <c r="Z151" i="1"/>
  <c r="BN151" i="1"/>
  <c r="Y152" i="1"/>
  <c r="Z155" i="1"/>
  <c r="Z156" i="1" s="1"/>
  <c r="BN155" i="1"/>
  <c r="BP155" i="1"/>
  <c r="Y156" i="1"/>
  <c r="Z161" i="1"/>
  <c r="Z162" i="1" s="1"/>
  <c r="BN161" i="1"/>
  <c r="BP161" i="1"/>
  <c r="Y162" i="1"/>
  <c r="Z165" i="1"/>
  <c r="BN165" i="1"/>
  <c r="BP165" i="1"/>
  <c r="Z167" i="1"/>
  <c r="BN167" i="1"/>
  <c r="Z169" i="1"/>
  <c r="BN169" i="1"/>
  <c r="Z171" i="1"/>
  <c r="BN171" i="1"/>
  <c r="Z173" i="1"/>
  <c r="BN173" i="1"/>
  <c r="Z175" i="1"/>
  <c r="BN175" i="1"/>
  <c r="Z177" i="1"/>
  <c r="BN177" i="1"/>
  <c r="Y180" i="1"/>
  <c r="Z183" i="1"/>
  <c r="Z185" i="1" s="1"/>
  <c r="BN183" i="1"/>
  <c r="BP183" i="1"/>
  <c r="J498" i="1"/>
  <c r="Z194" i="1"/>
  <c r="BN194" i="1"/>
  <c r="BP194" i="1"/>
  <c r="Y195" i="1"/>
  <c r="Z198" i="1"/>
  <c r="Z200" i="1" s="1"/>
  <c r="BN198" i="1"/>
  <c r="BP198" i="1"/>
  <c r="BP199" i="1"/>
  <c r="BN199" i="1"/>
  <c r="BP205" i="1"/>
  <c r="BN205" i="1"/>
  <c r="Z205" i="1"/>
  <c r="BP209" i="1"/>
  <c r="BN209" i="1"/>
  <c r="Z209" i="1"/>
  <c r="Y224" i="1"/>
  <c r="BP217" i="1"/>
  <c r="BN217" i="1"/>
  <c r="Z217" i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Y302" i="1"/>
  <c r="BP299" i="1"/>
  <c r="BN299" i="1"/>
  <c r="Z299" i="1"/>
  <c r="Y310" i="1"/>
  <c r="BP307" i="1"/>
  <c r="BN307" i="1"/>
  <c r="Z307" i="1"/>
  <c r="Z310" i="1" s="1"/>
  <c r="BP315" i="1"/>
  <c r="BN315" i="1"/>
  <c r="Z315" i="1"/>
  <c r="Y324" i="1"/>
  <c r="BP327" i="1"/>
  <c r="BN327" i="1"/>
  <c r="Z327" i="1"/>
  <c r="BP335" i="1"/>
  <c r="BN335" i="1"/>
  <c r="Z335" i="1"/>
  <c r="R498" i="1"/>
  <c r="Y344" i="1"/>
  <c r="BP340" i="1"/>
  <c r="BN340" i="1"/>
  <c r="Z340" i="1"/>
  <c r="Z343" i="1" s="1"/>
  <c r="BP374" i="1"/>
  <c r="BN374" i="1"/>
  <c r="Z374" i="1"/>
  <c r="Z375" i="1" s="1"/>
  <c r="Y376" i="1"/>
  <c r="Y381" i="1"/>
  <c r="BP378" i="1"/>
  <c r="BN378" i="1"/>
  <c r="Z378" i="1"/>
  <c r="Z380" i="1" s="1"/>
  <c r="Y380" i="1"/>
  <c r="Y105" i="1"/>
  <c r="Y128" i="1"/>
  <c r="Y163" i="1"/>
  <c r="Y201" i="1"/>
  <c r="Y212" i="1"/>
  <c r="BP203" i="1"/>
  <c r="BN203" i="1"/>
  <c r="Z203" i="1"/>
  <c r="Z211" i="1" s="1"/>
  <c r="BP207" i="1"/>
  <c r="BN207" i="1"/>
  <c r="Z207" i="1"/>
  <c r="Y211" i="1"/>
  <c r="BP215" i="1"/>
  <c r="BN215" i="1"/>
  <c r="Z215" i="1"/>
  <c r="Z223" i="1" s="1"/>
  <c r="BP219" i="1"/>
  <c r="BN219" i="1"/>
  <c r="Z219" i="1"/>
  <c r="Y223" i="1"/>
  <c r="BP227" i="1"/>
  <c r="BN227" i="1"/>
  <c r="Z227" i="1"/>
  <c r="Y229" i="1"/>
  <c r="K498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Z257" i="1" s="1"/>
  <c r="BP256" i="1"/>
  <c r="BN256" i="1"/>
  <c r="Z256" i="1"/>
  <c r="Y258" i="1"/>
  <c r="L498" i="1"/>
  <c r="Y266" i="1"/>
  <c r="BP261" i="1"/>
  <c r="BN261" i="1"/>
  <c r="Z261" i="1"/>
  <c r="BP265" i="1"/>
  <c r="BN265" i="1"/>
  <c r="Z265" i="1"/>
  <c r="Y267" i="1"/>
  <c r="M498" i="1"/>
  <c r="Y275" i="1"/>
  <c r="BP270" i="1"/>
  <c r="BN270" i="1"/>
  <c r="Z270" i="1"/>
  <c r="Z274" i="1" s="1"/>
  <c r="Y274" i="1"/>
  <c r="Z281" i="1"/>
  <c r="BP279" i="1"/>
  <c r="BN279" i="1"/>
  <c r="Z279" i="1"/>
  <c r="Z301" i="1"/>
  <c r="BP297" i="1"/>
  <c r="BN297" i="1"/>
  <c r="Z297" i="1"/>
  <c r="Y301" i="1"/>
  <c r="BP305" i="1"/>
  <c r="BN305" i="1"/>
  <c r="Z305" i="1"/>
  <c r="BP309" i="1"/>
  <c r="BN309" i="1"/>
  <c r="Z309" i="1"/>
  <c r="Y311" i="1"/>
  <c r="Y318" i="1"/>
  <c r="BP313" i="1"/>
  <c r="BN313" i="1"/>
  <c r="Z313" i="1"/>
  <c r="Z317" i="1" s="1"/>
  <c r="Y317" i="1"/>
  <c r="BP321" i="1"/>
  <c r="BN321" i="1"/>
  <c r="Z321" i="1"/>
  <c r="Z323" i="1" s="1"/>
  <c r="BP329" i="1"/>
  <c r="BN329" i="1"/>
  <c r="Z329" i="1"/>
  <c r="Y331" i="1"/>
  <c r="Y336" i="1"/>
  <c r="BP333" i="1"/>
  <c r="BN333" i="1"/>
  <c r="Z333" i="1"/>
  <c r="Z336" i="1" s="1"/>
  <c r="BP349" i="1"/>
  <c r="BN349" i="1"/>
  <c r="Z349" i="1"/>
  <c r="Z355" i="1" s="1"/>
  <c r="Y355" i="1"/>
  <c r="BP353" i="1"/>
  <c r="BN353" i="1"/>
  <c r="Z353" i="1"/>
  <c r="BP392" i="1"/>
  <c r="BN392" i="1"/>
  <c r="Z392" i="1"/>
  <c r="U498" i="1"/>
  <c r="BP396" i="1"/>
  <c r="BN396" i="1"/>
  <c r="Z396" i="1"/>
  <c r="Y400" i="1"/>
  <c r="BP404" i="1"/>
  <c r="BN404" i="1"/>
  <c r="Z404" i="1"/>
  <c r="Y406" i="1"/>
  <c r="V498" i="1"/>
  <c r="Y410" i="1"/>
  <c r="BP409" i="1"/>
  <c r="BN409" i="1"/>
  <c r="Z409" i="1"/>
  <c r="Z410" i="1" s="1"/>
  <c r="Y411" i="1"/>
  <c r="Y418" i="1"/>
  <c r="BP413" i="1"/>
  <c r="BN413" i="1"/>
  <c r="Z413" i="1"/>
  <c r="Z417" i="1" s="1"/>
  <c r="Y417" i="1"/>
  <c r="BP428" i="1"/>
  <c r="BN428" i="1"/>
  <c r="Z428" i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O498" i="1"/>
  <c r="Y282" i="1"/>
  <c r="P498" i="1"/>
  <c r="Y287" i="1"/>
  <c r="S498" i="1"/>
  <c r="BP351" i="1"/>
  <c r="BN351" i="1"/>
  <c r="Z351" i="1"/>
  <c r="BP359" i="1"/>
  <c r="BN359" i="1"/>
  <c r="Z359" i="1"/>
  <c r="Z360" i="1" s="1"/>
  <c r="Y361" i="1"/>
  <c r="Y366" i="1"/>
  <c r="BP363" i="1"/>
  <c r="BN363" i="1"/>
  <c r="Z363" i="1"/>
  <c r="Z365" i="1" s="1"/>
  <c r="BP384" i="1"/>
  <c r="BN384" i="1"/>
  <c r="Z384" i="1"/>
  <c r="Z386" i="1" s="1"/>
  <c r="Y401" i="1"/>
  <c r="BP394" i="1"/>
  <c r="BN394" i="1"/>
  <c r="Z394" i="1"/>
  <c r="Z400" i="1" s="1"/>
  <c r="BP398" i="1"/>
  <c r="BN398" i="1"/>
  <c r="Z398" i="1"/>
  <c r="Y405" i="1"/>
  <c r="BP415" i="1"/>
  <c r="BN415" i="1"/>
  <c r="Z415" i="1"/>
  <c r="BP462" i="1"/>
  <c r="BN462" i="1"/>
  <c r="Z462" i="1"/>
  <c r="Y464" i="1"/>
  <c r="Y469" i="1"/>
  <c r="BP466" i="1"/>
  <c r="BN466" i="1"/>
  <c r="Z466" i="1"/>
  <c r="Z468" i="1" s="1"/>
  <c r="Y468" i="1"/>
  <c r="Y498" i="1"/>
  <c r="Y356" i="1"/>
  <c r="T498" i="1"/>
  <c r="Y375" i="1"/>
  <c r="X498" i="1"/>
  <c r="BP430" i="1"/>
  <c r="BN430" i="1"/>
  <c r="Z430" i="1"/>
  <c r="BP434" i="1"/>
  <c r="BN434" i="1"/>
  <c r="Z434" i="1"/>
  <c r="Z439" i="1" s="1"/>
  <c r="BP438" i="1"/>
  <c r="BN438" i="1"/>
  <c r="Z438" i="1"/>
  <c r="Y445" i="1"/>
  <c r="BP442" i="1"/>
  <c r="BN442" i="1"/>
  <c r="Z442" i="1"/>
  <c r="Z445" i="1" s="1"/>
  <c r="BP450" i="1"/>
  <c r="BN450" i="1"/>
  <c r="Z450" i="1"/>
  <c r="BP460" i="1"/>
  <c r="BN460" i="1"/>
  <c r="Z460" i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Y439" i="1"/>
  <c r="Z454" i="1" l="1"/>
  <c r="Z75" i="1"/>
  <c r="Y489" i="1"/>
  <c r="Y492" i="1"/>
  <c r="Z463" i="1"/>
  <c r="Z266" i="1"/>
  <c r="Z241" i="1"/>
  <c r="Z330" i="1"/>
  <c r="Z179" i="1"/>
  <c r="Z152" i="1"/>
  <c r="Z111" i="1"/>
  <c r="Z104" i="1"/>
  <c r="Z43" i="1"/>
  <c r="Z493" i="1" s="1"/>
  <c r="Y488" i="1"/>
  <c r="Y490" i="1"/>
  <c r="Y491" i="1" l="1"/>
</calcChain>
</file>

<file path=xl/sharedStrings.xml><?xml version="1.0" encoding="utf-8"?>
<sst xmlns="http://schemas.openxmlformats.org/spreadsheetml/2006/main" count="2283" uniqueCount="767">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</sst>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7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7" t="s">
        <v>0</v>
      </c>
      <c r="E1" s="576"/>
      <c r="F1" s="576"/>
      <c r="G1" s="12" t="s">
        <v>1</v>
      </c>
      <c r="H1" s="627" t="s">
        <v>2</v>
      </c>
      <c r="I1" s="576"/>
      <c r="J1" s="576"/>
      <c r="K1" s="576"/>
      <c r="L1" s="576"/>
      <c r="M1" s="576"/>
      <c r="N1" s="576"/>
      <c r="O1" s="576"/>
      <c r="P1" s="576"/>
      <c r="Q1" s="576"/>
      <c r="R1" s="575" t="s">
        <v>3</v>
      </c>
      <c r="S1" s="576"/>
      <c r="T1" s="57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1" t="s">
        <v>8</v>
      </c>
      <c r="B5" s="647"/>
      <c r="C5" s="648"/>
      <c r="D5" s="631"/>
      <c r="E5" s="632"/>
      <c r="F5" s="833" t="s">
        <v>9</v>
      </c>
      <c r="G5" s="648"/>
      <c r="H5" s="631"/>
      <c r="I5" s="779"/>
      <c r="J5" s="779"/>
      <c r="K5" s="779"/>
      <c r="L5" s="779"/>
      <c r="M5" s="632"/>
      <c r="N5" s="58"/>
      <c r="P5" s="24" t="s">
        <v>10</v>
      </c>
      <c r="Q5" s="844">
        <v>46048</v>
      </c>
      <c r="R5" s="670"/>
      <c r="T5" s="716" t="s">
        <v>11</v>
      </c>
      <c r="U5" s="717"/>
      <c r="V5" s="718" t="s">
        <v>12</v>
      </c>
      <c r="W5" s="670"/>
      <c r="AB5" s="51"/>
      <c r="AC5" s="51"/>
      <c r="AD5" s="51"/>
      <c r="AE5" s="51"/>
    </row>
    <row r="6" spans="1:32" s="539" customFormat="1" ht="24" customHeight="1" x14ac:dyDescent="0.2">
      <c r="A6" s="671" t="s">
        <v>13</v>
      </c>
      <c r="B6" s="647"/>
      <c r="C6" s="648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70"/>
      <c r="N6" s="59"/>
      <c r="P6" s="24" t="s">
        <v>15</v>
      </c>
      <c r="Q6" s="852" t="str">
        <f>IF(Q5=0," ",CHOOSE(WEEKDAY(Q5,2),"Понедельник","Вторник","Среда","Четверг","Пятница","Суббота","Воскресенье"))</f>
        <v>Понедельник</v>
      </c>
      <c r="R6" s="553"/>
      <c r="T6" s="722" t="s">
        <v>16</v>
      </c>
      <c r="U6" s="717"/>
      <c r="V6" s="764" t="s">
        <v>17</v>
      </c>
      <c r="W6" s="597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59"/>
      <c r="U7" s="717"/>
      <c r="V7" s="765"/>
      <c r="W7" s="766"/>
      <c r="AB7" s="51"/>
      <c r="AC7" s="51"/>
      <c r="AD7" s="51"/>
      <c r="AE7" s="51"/>
    </row>
    <row r="8" spans="1:32" s="539" customFormat="1" ht="25.5" customHeight="1" x14ac:dyDescent="0.2">
      <c r="A8" s="864" t="s">
        <v>18</v>
      </c>
      <c r="B8" s="562"/>
      <c r="C8" s="563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2">
        <v>0.41666666666666669</v>
      </c>
      <c r="R8" s="609"/>
      <c r="T8" s="559"/>
      <c r="U8" s="717"/>
      <c r="V8" s="765"/>
      <c r="W8" s="766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3"/>
      <c r="E9" s="565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4" t="str">
        <f>IF(AND($A$9="Тип доверенности/получателя при получении в адресе перегруза:",$D$9="Разовая доверенность"),"Введите ФИО","")</f>
        <v/>
      </c>
      <c r="I9" s="565"/>
      <c r="J9" s="5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5"/>
      <c r="L9" s="565"/>
      <c r="M9" s="565"/>
      <c r="N9" s="537"/>
      <c r="P9" s="26" t="s">
        <v>21</v>
      </c>
      <c r="Q9" s="665"/>
      <c r="R9" s="666"/>
      <c r="T9" s="559"/>
      <c r="U9" s="717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3"/>
      <c r="E10" s="565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3"/>
      <c r="R10" s="724"/>
      <c r="U10" s="24" t="s">
        <v>23</v>
      </c>
      <c r="V10" s="596" t="s">
        <v>24</v>
      </c>
      <c r="W10" s="597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9"/>
      <c r="R11" s="670"/>
      <c r="U11" s="24" t="s">
        <v>27</v>
      </c>
      <c r="V11" s="803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3" t="s">
        <v>29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8"/>
      <c r="N12" s="62"/>
      <c r="P12" s="24" t="s">
        <v>30</v>
      </c>
      <c r="Q12" s="682"/>
      <c r="R12" s="609"/>
      <c r="S12" s="23"/>
      <c r="U12" s="24"/>
      <c r="V12" s="576"/>
      <c r="W12" s="559"/>
      <c r="AB12" s="51"/>
      <c r="AC12" s="51"/>
      <c r="AD12" s="51"/>
      <c r="AE12" s="51"/>
    </row>
    <row r="13" spans="1:32" s="539" customFormat="1" ht="23.25" customHeight="1" x14ac:dyDescent="0.2">
      <c r="A13" s="713" t="s">
        <v>31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48"/>
      <c r="N13" s="62"/>
      <c r="O13" s="26"/>
      <c r="P13" s="26" t="s">
        <v>32</v>
      </c>
      <c r="Q13" s="803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3" t="s">
        <v>33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4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4" t="s">
        <v>34</v>
      </c>
      <c r="B15" s="647"/>
      <c r="C15" s="647"/>
      <c r="D15" s="647"/>
      <c r="E15" s="647"/>
      <c r="F15" s="647"/>
      <c r="G15" s="647"/>
      <c r="H15" s="647"/>
      <c r="I15" s="647"/>
      <c r="J15" s="647"/>
      <c r="K15" s="647"/>
      <c r="L15" s="647"/>
      <c r="M15" s="648"/>
      <c r="N15" s="63"/>
      <c r="P15" s="704" t="s">
        <v>35</v>
      </c>
      <c r="Q15" s="576"/>
      <c r="R15" s="576"/>
      <c r="S15" s="576"/>
      <c r="T15" s="57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8" t="s">
        <v>38</v>
      </c>
      <c r="D17" s="590" t="s">
        <v>39</v>
      </c>
      <c r="E17" s="652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51"/>
      <c r="R17" s="651"/>
      <c r="S17" s="651"/>
      <c r="T17" s="652"/>
      <c r="U17" s="860" t="s">
        <v>51</v>
      </c>
      <c r="V17" s="648"/>
      <c r="W17" s="590" t="s">
        <v>52</v>
      </c>
      <c r="X17" s="590" t="s">
        <v>53</v>
      </c>
      <c r="Y17" s="861" t="s">
        <v>54</v>
      </c>
      <c r="Z17" s="777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8"/>
      <c r="AF17" s="829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53"/>
      <c r="E18" s="655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91"/>
      <c r="X18" s="591"/>
      <c r="Y18" s="862"/>
      <c r="Z18" s="778"/>
      <c r="AA18" s="757"/>
      <c r="AB18" s="757"/>
      <c r="AC18" s="757"/>
      <c r="AD18" s="830"/>
      <c r="AE18" s="831"/>
      <c r="AF18" s="832"/>
      <c r="AG18" s="66"/>
      <c r="BD18" s="65"/>
    </row>
    <row r="19" spans="1:68" ht="27.75" customHeight="1" x14ac:dyDescent="0.2">
      <c r="A19" s="639" t="s">
        <v>63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48"/>
      <c r="AB19" s="48"/>
      <c r="AC19" s="48"/>
    </row>
    <row r="20" spans="1:68" ht="16.5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70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71"/>
      <c r="P31" s="561" t="s">
        <v>75</v>
      </c>
      <c r="Q31" s="562"/>
      <c r="R31" s="562"/>
      <c r="S31" s="562"/>
      <c r="T31" s="562"/>
      <c r="U31" s="562"/>
      <c r="V31" s="563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1" t="s">
        <v>75</v>
      </c>
      <c r="Q32" s="562"/>
      <c r="R32" s="562"/>
      <c r="S32" s="562"/>
      <c r="T32" s="562"/>
      <c r="U32" s="562"/>
      <c r="V32" s="563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70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71"/>
      <c r="P35" s="561" t="s">
        <v>75</v>
      </c>
      <c r="Q35" s="562"/>
      <c r="R35" s="562"/>
      <c r="S35" s="562"/>
      <c r="T35" s="562"/>
      <c r="U35" s="562"/>
      <c r="V35" s="563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1" t="s">
        <v>75</v>
      </c>
      <c r="Q36" s="562"/>
      <c r="R36" s="562"/>
      <c r="S36" s="562"/>
      <c r="T36" s="562"/>
      <c r="U36" s="562"/>
      <c r="V36" s="563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customHeight="1" x14ac:dyDescent="0.2">
      <c r="A37" s="639" t="s">
        <v>97</v>
      </c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48"/>
      <c r="AB37" s="48"/>
      <c r="AC37" s="48"/>
    </row>
    <row r="38" spans="1:68" ht="16.5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481</v>
      </c>
      <c r="Y40" s="546">
        <f>IFERROR(IF(X40="",0,CEILING((X40/$H40),1)*$H40),"")</f>
        <v>486.00000000000006</v>
      </c>
      <c r="Z40" s="36">
        <f>IFERROR(IF(Y40=0,"",ROUNDUP(Y40/H40,0)*0.01898),"")</f>
        <v>0.85409999999999997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499.26018518518515</v>
      </c>
      <c r="BN40" s="64">
        <f>IFERROR(Y40*I40/H40,"0")</f>
        <v>504.4500000000001</v>
      </c>
      <c r="BO40" s="64">
        <f>IFERROR(1/J40*(X40/H40),"0")</f>
        <v>0.69589120370370361</v>
      </c>
      <c r="BP40" s="64">
        <f>IFERROR(1/J40*(Y40/H40),"0")</f>
        <v>0.703125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0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70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71"/>
      <c r="P43" s="561" t="s">
        <v>75</v>
      </c>
      <c r="Q43" s="562"/>
      <c r="R43" s="562"/>
      <c r="S43" s="562"/>
      <c r="T43" s="562"/>
      <c r="U43" s="562"/>
      <c r="V43" s="563"/>
      <c r="W43" s="37" t="s">
        <v>76</v>
      </c>
      <c r="X43" s="547">
        <f>IFERROR(X40/H40,"0")+IFERROR(X41/H41,"0")+IFERROR(X42/H42,"0")</f>
        <v>44.537037037037031</v>
      </c>
      <c r="Y43" s="547">
        <f>IFERROR(Y40/H40,"0")+IFERROR(Y41/H41,"0")+IFERROR(Y42/H42,"0")</f>
        <v>45</v>
      </c>
      <c r="Z43" s="547">
        <f>IFERROR(IF(Z40="",0,Z40),"0")+IFERROR(IF(Z41="",0,Z41),"0")+IFERROR(IF(Z42="",0,Z42),"0")</f>
        <v>0.85409999999999997</v>
      </c>
      <c r="AA43" s="548"/>
      <c r="AB43" s="548"/>
      <c r="AC43" s="548"/>
    </row>
    <row r="44" spans="1:68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1" t="s">
        <v>75</v>
      </c>
      <c r="Q44" s="562"/>
      <c r="R44" s="562"/>
      <c r="S44" s="562"/>
      <c r="T44" s="562"/>
      <c r="U44" s="562"/>
      <c r="V44" s="563"/>
      <c r="W44" s="37" t="s">
        <v>69</v>
      </c>
      <c r="X44" s="547">
        <f>IFERROR(SUM(X40:X42),"0")</f>
        <v>481</v>
      </c>
      <c r="Y44" s="547">
        <f>IFERROR(SUM(Y40:Y42),"0")</f>
        <v>486.00000000000006</v>
      </c>
      <c r="Z44" s="37"/>
      <c r="AA44" s="548"/>
      <c r="AB44" s="548"/>
      <c r="AC44" s="548"/>
    </row>
    <row r="45" spans="1:68" ht="14.25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70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71"/>
      <c r="P47" s="561" t="s">
        <v>75</v>
      </c>
      <c r="Q47" s="562"/>
      <c r="R47" s="562"/>
      <c r="S47" s="562"/>
      <c r="T47" s="562"/>
      <c r="U47" s="562"/>
      <c r="V47" s="563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1" t="s">
        <v>75</v>
      </c>
      <c r="Q48" s="562"/>
      <c r="R48" s="562"/>
      <c r="S48" s="562"/>
      <c r="T48" s="562"/>
      <c r="U48" s="562"/>
      <c r="V48" s="563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3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44</v>
      </c>
      <c r="Y51" s="546">
        <f t="shared" ref="Y51:Y56" si="0">IFERROR(IF(X51="",0,CEILING((X51/$H51),1)*$H51),"")</f>
        <v>44.8</v>
      </c>
      <c r="Z51" s="36">
        <f>IFERROR(IF(Y51=0,"",ROUNDUP(Y51/H51,0)*0.01898),"")</f>
        <v>7.5920000000000001E-2</v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45.610714285714288</v>
      </c>
      <c r="BN51" s="64">
        <f t="shared" ref="BN51:BN56" si="2">IFERROR(Y51*I51/H51,"0")</f>
        <v>46.44</v>
      </c>
      <c r="BO51" s="64">
        <f t="shared" ref="BO51:BO56" si="3">IFERROR(1/J51*(X51/H51),"0")</f>
        <v>6.1383928571428575E-2</v>
      </c>
      <c r="BP51" s="64">
        <f t="shared" ref="BP51:BP56" si="4">IFERROR(1/J51*(Y51/H51),"0")</f>
        <v>6.25E-2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287</v>
      </c>
      <c r="Y52" s="546">
        <f t="shared" si="0"/>
        <v>291.60000000000002</v>
      </c>
      <c r="Z52" s="36">
        <f>IFERROR(IF(Y52=0,"",ROUNDUP(Y52/H52,0)*0.01898),"")</f>
        <v>0.51246000000000003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297.89537037037042</v>
      </c>
      <c r="BN52" s="64">
        <f t="shared" si="2"/>
        <v>302.67000000000007</v>
      </c>
      <c r="BO52" s="64">
        <f t="shared" si="3"/>
        <v>0.41521990740740738</v>
      </c>
      <c r="BP52" s="64">
        <f t="shared" si="4"/>
        <v>0.421875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7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70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71"/>
      <c r="P57" s="561" t="s">
        <v>75</v>
      </c>
      <c r="Q57" s="562"/>
      <c r="R57" s="562"/>
      <c r="S57" s="562"/>
      <c r="T57" s="562"/>
      <c r="U57" s="562"/>
      <c r="V57" s="563"/>
      <c r="W57" s="37" t="s">
        <v>76</v>
      </c>
      <c r="X57" s="547">
        <f>IFERROR(X51/H51,"0")+IFERROR(X52/H52,"0")+IFERROR(X53/H53,"0")+IFERROR(X54/H54,"0")+IFERROR(X55/H55,"0")+IFERROR(X56/H56,"0")</f>
        <v>30.5026455026455</v>
      </c>
      <c r="Y57" s="547">
        <f>IFERROR(Y51/H51,"0")+IFERROR(Y52/H52,"0")+IFERROR(Y53/H53,"0")+IFERROR(Y54/H54,"0")+IFERROR(Y55/H55,"0")+IFERROR(Y56/H56,"0")</f>
        <v>31</v>
      </c>
      <c r="Z57" s="547">
        <f>IFERROR(IF(Z51="",0,Z51),"0")+IFERROR(IF(Z52="",0,Z52),"0")+IFERROR(IF(Z53="",0,Z53),"0")+IFERROR(IF(Z54="",0,Z54),"0")+IFERROR(IF(Z55="",0,Z55),"0")+IFERROR(IF(Z56="",0,Z56),"0")</f>
        <v>0.58838000000000001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1" t="s">
        <v>75</v>
      </c>
      <c r="Q58" s="562"/>
      <c r="R58" s="562"/>
      <c r="S58" s="562"/>
      <c r="T58" s="562"/>
      <c r="U58" s="562"/>
      <c r="V58" s="563"/>
      <c r="W58" s="37" t="s">
        <v>69</v>
      </c>
      <c r="X58" s="547">
        <f>IFERROR(SUM(X51:X56),"0")</f>
        <v>331</v>
      </c>
      <c r="Y58" s="547">
        <f>IFERROR(SUM(Y51:Y56),"0")</f>
        <v>336.40000000000003</v>
      </c>
      <c r="Z58" s="37"/>
      <c r="AA58" s="548"/>
      <c r="AB58" s="548"/>
      <c r="AC58" s="548"/>
    </row>
    <row r="59" spans="1:68" ht="14.25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130</v>
      </c>
      <c r="Y60" s="546">
        <f>IFERROR(IF(X60="",0,CEILING((X60/$H60),1)*$H60),"")</f>
        <v>140.4</v>
      </c>
      <c r="Z60" s="36">
        <f>IFERROR(IF(Y60=0,"",ROUNDUP(Y60/H60,0)*0.01898),"")</f>
        <v>0.24674000000000001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134.93518518518519</v>
      </c>
      <c r="BN60" s="64">
        <f>IFERROR(Y60*I60/H60,"0")</f>
        <v>145.73000000000002</v>
      </c>
      <c r="BO60" s="64">
        <f>IFERROR(1/J60*(X60/H60),"0")</f>
        <v>0.18807870370370369</v>
      </c>
      <c r="BP60" s="64">
        <f>IFERROR(1/J60*(Y60/H60),"0")</f>
        <v>0.203125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70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71"/>
      <c r="P63" s="561" t="s">
        <v>75</v>
      </c>
      <c r="Q63" s="562"/>
      <c r="R63" s="562"/>
      <c r="S63" s="562"/>
      <c r="T63" s="562"/>
      <c r="U63" s="562"/>
      <c r="V63" s="563"/>
      <c r="W63" s="37" t="s">
        <v>76</v>
      </c>
      <c r="X63" s="547">
        <f>IFERROR(X60/H60,"0")+IFERROR(X61/H61,"0")+IFERROR(X62/H62,"0")</f>
        <v>12.037037037037036</v>
      </c>
      <c r="Y63" s="547">
        <f>IFERROR(Y60/H60,"0")+IFERROR(Y61/H61,"0")+IFERROR(Y62/H62,"0")</f>
        <v>13</v>
      </c>
      <c r="Z63" s="547">
        <f>IFERROR(IF(Z60="",0,Z60),"0")+IFERROR(IF(Z61="",0,Z61),"0")+IFERROR(IF(Z62="",0,Z62),"0")</f>
        <v>0.24674000000000001</v>
      </c>
      <c r="AA63" s="548"/>
      <c r="AB63" s="548"/>
      <c r="AC63" s="548"/>
    </row>
    <row r="64" spans="1:68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1" t="s">
        <v>75</v>
      </c>
      <c r="Q64" s="562"/>
      <c r="R64" s="562"/>
      <c r="S64" s="562"/>
      <c r="T64" s="562"/>
      <c r="U64" s="562"/>
      <c r="V64" s="563"/>
      <c r="W64" s="37" t="s">
        <v>69</v>
      </c>
      <c r="X64" s="547">
        <f>IFERROR(SUM(X60:X62),"0")</f>
        <v>130</v>
      </c>
      <c r="Y64" s="547">
        <f>IFERROR(SUM(Y60:Y62),"0")</f>
        <v>140.4</v>
      </c>
      <c r="Z64" s="37"/>
      <c r="AA64" s="548"/>
      <c r="AB64" s="548"/>
      <c r="AC64" s="548"/>
    </row>
    <row r="65" spans="1:68" ht="14.25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70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71"/>
      <c r="P68" s="561" t="s">
        <v>75</v>
      </c>
      <c r="Q68" s="562"/>
      <c r="R68" s="562"/>
      <c r="S68" s="562"/>
      <c r="T68" s="562"/>
      <c r="U68" s="562"/>
      <c r="V68" s="563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71"/>
      <c r="P69" s="561" t="s">
        <v>75</v>
      </c>
      <c r="Q69" s="562"/>
      <c r="R69" s="562"/>
      <c r="S69" s="562"/>
      <c r="T69" s="562"/>
      <c r="U69" s="562"/>
      <c r="V69" s="563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7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70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71"/>
      <c r="P75" s="561" t="s">
        <v>75</v>
      </c>
      <c r="Q75" s="562"/>
      <c r="R75" s="562"/>
      <c r="S75" s="562"/>
      <c r="T75" s="562"/>
      <c r="U75" s="562"/>
      <c r="V75" s="563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71"/>
      <c r="P76" s="561" t="s">
        <v>75</v>
      </c>
      <c r="Q76" s="562"/>
      <c r="R76" s="562"/>
      <c r="S76" s="562"/>
      <c r="T76" s="562"/>
      <c r="U76" s="562"/>
      <c r="V76" s="563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59</v>
      </c>
      <c r="Y78" s="546">
        <f>IFERROR(IF(X78="",0,CEILING((X78/$H78),1)*$H78),"")</f>
        <v>62.4</v>
      </c>
      <c r="Z78" s="36">
        <f>IFERROR(IF(Y78=0,"",ROUNDUP(Y78/H78,0)*0.01898),"")</f>
        <v>0.15184</v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62.101282051282055</v>
      </c>
      <c r="BN78" s="64">
        <f>IFERROR(Y78*I78/H78,"0")</f>
        <v>65.680000000000007</v>
      </c>
      <c r="BO78" s="64">
        <f>IFERROR(1/J78*(X78/H78),"0")</f>
        <v>0.11818910256410256</v>
      </c>
      <c r="BP78" s="64">
        <f>IFERROR(1/J78*(Y78/H78),"0")</f>
        <v>0.125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70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71"/>
      <c r="P80" s="561" t="s">
        <v>75</v>
      </c>
      <c r="Q80" s="562"/>
      <c r="R80" s="562"/>
      <c r="S80" s="562"/>
      <c r="T80" s="562"/>
      <c r="U80" s="562"/>
      <c r="V80" s="563"/>
      <c r="W80" s="37" t="s">
        <v>76</v>
      </c>
      <c r="X80" s="547">
        <f>IFERROR(X78/H78,"0")+IFERROR(X79/H79,"0")</f>
        <v>7.5641025641025639</v>
      </c>
      <c r="Y80" s="547">
        <f>IFERROR(Y78/H78,"0")+IFERROR(Y79/H79,"0")</f>
        <v>8</v>
      </c>
      <c r="Z80" s="547">
        <f>IFERROR(IF(Z78="",0,Z78),"0")+IFERROR(IF(Z79="",0,Z79),"0")</f>
        <v>0.15184</v>
      </c>
      <c r="AA80" s="548"/>
      <c r="AB80" s="548"/>
      <c r="AC80" s="548"/>
    </row>
    <row r="81" spans="1:68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71"/>
      <c r="P81" s="561" t="s">
        <v>75</v>
      </c>
      <c r="Q81" s="562"/>
      <c r="R81" s="562"/>
      <c r="S81" s="562"/>
      <c r="T81" s="562"/>
      <c r="U81" s="562"/>
      <c r="V81" s="563"/>
      <c r="W81" s="37" t="s">
        <v>69</v>
      </c>
      <c r="X81" s="547">
        <f>IFERROR(SUM(X78:X79),"0")</f>
        <v>59</v>
      </c>
      <c r="Y81" s="547">
        <f>IFERROR(SUM(Y78:Y79),"0")</f>
        <v>62.4</v>
      </c>
      <c r="Z81" s="37"/>
      <c r="AA81" s="548"/>
      <c r="AB81" s="548"/>
      <c r="AC81" s="548"/>
    </row>
    <row r="82" spans="1:68" ht="16.5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384</v>
      </c>
      <c r="Y84" s="546">
        <f>IFERROR(IF(X84="",0,CEILING((X84/$H84),1)*$H84),"")</f>
        <v>388.8</v>
      </c>
      <c r="Z84" s="36">
        <f>IFERROR(IF(Y84=0,"",ROUNDUP(Y84/H84,0)*0.01898),"")</f>
        <v>0.68328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398.57777777777778</v>
      </c>
      <c r="BN84" s="64">
        <f>IFERROR(Y84*I84/H84,"0")</f>
        <v>403.56</v>
      </c>
      <c r="BO84" s="64">
        <f>IFERROR(1/J84*(X84/H84),"0")</f>
        <v>0.55555555555555547</v>
      </c>
      <c r="BP84" s="64">
        <f>IFERROR(1/J84*(Y84/H84),"0")</f>
        <v>0.5625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 t="s">
        <v>110</v>
      </c>
      <c r="M86" s="33" t="s">
        <v>80</v>
      </c>
      <c r="N86" s="33"/>
      <c r="O86" s="32">
        <v>50</v>
      </c>
      <c r="P86" s="5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70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71"/>
      <c r="P88" s="561" t="s">
        <v>75</v>
      </c>
      <c r="Q88" s="562"/>
      <c r="R88" s="562"/>
      <c r="S88" s="562"/>
      <c r="T88" s="562"/>
      <c r="U88" s="562"/>
      <c r="V88" s="563"/>
      <c r="W88" s="37" t="s">
        <v>76</v>
      </c>
      <c r="X88" s="547">
        <f>IFERROR(X84/H84,"0")+IFERROR(X85/H85,"0")+IFERROR(X86/H86,"0")+IFERROR(X87/H87,"0")</f>
        <v>35.55555555555555</v>
      </c>
      <c r="Y88" s="547">
        <f>IFERROR(Y84/H84,"0")+IFERROR(Y85/H85,"0")+IFERROR(Y86/H86,"0")+IFERROR(Y87/H87,"0")</f>
        <v>36</v>
      </c>
      <c r="Z88" s="547">
        <f>IFERROR(IF(Z84="",0,Z84),"0")+IFERROR(IF(Z85="",0,Z85),"0")+IFERROR(IF(Z86="",0,Z86),"0")+IFERROR(IF(Z87="",0,Z87),"0")</f>
        <v>0.68328</v>
      </c>
      <c r="AA88" s="548"/>
      <c r="AB88" s="548"/>
      <c r="AC88" s="548"/>
    </row>
    <row r="89" spans="1:68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1" t="s">
        <v>75</v>
      </c>
      <c r="Q89" s="562"/>
      <c r="R89" s="562"/>
      <c r="S89" s="562"/>
      <c r="T89" s="562"/>
      <c r="U89" s="562"/>
      <c r="V89" s="563"/>
      <c r="W89" s="37" t="s">
        <v>69</v>
      </c>
      <c r="X89" s="547">
        <f>IFERROR(SUM(X84:X87),"0")</f>
        <v>384</v>
      </c>
      <c r="Y89" s="547">
        <f>IFERROR(SUM(Y84:Y87),"0")</f>
        <v>388.8</v>
      </c>
      <c r="Z89" s="37"/>
      <c r="AA89" s="548"/>
      <c r="AB89" s="548"/>
      <c r="AC89" s="548"/>
    </row>
    <row r="90" spans="1:68" ht="14.25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41</v>
      </c>
      <c r="Y91" s="546">
        <f>IFERROR(IF(X91="",0,CEILING((X91/$H91),1)*$H91),"")</f>
        <v>48.599999999999994</v>
      </c>
      <c r="Z91" s="36">
        <f>IFERROR(IF(Y91=0,"",ROUNDUP(Y91/H91,0)*0.01898),"")</f>
        <v>0.11388000000000001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43.500493827160497</v>
      </c>
      <c r="BN91" s="64">
        <f>IFERROR(Y91*I91/H91,"0")</f>
        <v>51.563999999999993</v>
      </c>
      <c r="BO91" s="64">
        <f>IFERROR(1/J91*(X91/H91),"0")</f>
        <v>7.908950617283951E-2</v>
      </c>
      <c r="BP91" s="64">
        <f>IFERROR(1/J91*(Y91/H91),"0")</f>
        <v>9.375E-2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7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6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70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71"/>
      <c r="P95" s="561" t="s">
        <v>75</v>
      </c>
      <c r="Q95" s="562"/>
      <c r="R95" s="562"/>
      <c r="S95" s="562"/>
      <c r="T95" s="562"/>
      <c r="U95" s="562"/>
      <c r="V95" s="563"/>
      <c r="W95" s="37" t="s">
        <v>76</v>
      </c>
      <c r="X95" s="547">
        <f>IFERROR(X91/H91,"0")+IFERROR(X92/H92,"0")+IFERROR(X93/H93,"0")+IFERROR(X94/H94,"0")</f>
        <v>5.0617283950617287</v>
      </c>
      <c r="Y95" s="547">
        <f>IFERROR(Y91/H91,"0")+IFERROR(Y92/H92,"0")+IFERROR(Y93/H93,"0")+IFERROR(Y94/H94,"0")</f>
        <v>6</v>
      </c>
      <c r="Z95" s="547">
        <f>IFERROR(IF(Z91="",0,Z91),"0")+IFERROR(IF(Z92="",0,Z92),"0")+IFERROR(IF(Z93="",0,Z93),"0")+IFERROR(IF(Z94="",0,Z94),"0")</f>
        <v>0.11388000000000001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1" t="s">
        <v>75</v>
      </c>
      <c r="Q96" s="562"/>
      <c r="R96" s="562"/>
      <c r="S96" s="562"/>
      <c r="T96" s="562"/>
      <c r="U96" s="562"/>
      <c r="V96" s="563"/>
      <c r="W96" s="37" t="s">
        <v>69</v>
      </c>
      <c r="X96" s="547">
        <f>IFERROR(SUM(X91:X94),"0")</f>
        <v>41</v>
      </c>
      <c r="Y96" s="547">
        <f>IFERROR(SUM(Y91:Y94),"0")</f>
        <v>48.599999999999994</v>
      </c>
      <c r="Z96" s="37"/>
      <c r="AA96" s="548"/>
      <c r="AB96" s="548"/>
      <c r="AC96" s="548"/>
    </row>
    <row r="97" spans="1:68" ht="16.5" customHeight="1" x14ac:dyDescent="0.25">
      <c r="A97" s="560" t="s">
        <v>190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0</v>
      </c>
      <c r="Y99" s="546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1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51</v>
      </c>
      <c r="Y102" s="546">
        <f>IFERROR(IF(X102="",0,CEILING((X102/$H102),1)*$H102),"")</f>
        <v>54</v>
      </c>
      <c r="Z102" s="36">
        <f>IFERROR(IF(Y102=0,"",ROUNDUP(Y102/H102,0)*0.00902),"")</f>
        <v>0.10824</v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53.153333333333336</v>
      </c>
      <c r="BN102" s="64">
        <f>IFERROR(Y102*I102/H102,"0")</f>
        <v>56.28</v>
      </c>
      <c r="BO102" s="64">
        <f>IFERROR(1/J102*(X102/H102),"0")</f>
        <v>8.585858585858587E-2</v>
      </c>
      <c r="BP102" s="64">
        <f>IFERROR(1/J102*(Y102/H102),"0")</f>
        <v>9.0909090909090912E-2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1" t="s">
        <v>75</v>
      </c>
      <c r="Q104" s="562"/>
      <c r="R104" s="562"/>
      <c r="S104" s="562"/>
      <c r="T104" s="562"/>
      <c r="U104" s="562"/>
      <c r="V104" s="563"/>
      <c r="W104" s="37" t="s">
        <v>76</v>
      </c>
      <c r="X104" s="547">
        <f>IFERROR(X99/H99,"0")+IFERROR(X100/H100,"0")+IFERROR(X101/H101,"0")+IFERROR(X102/H102,"0")+IFERROR(X103/H103,"0")</f>
        <v>11.333333333333334</v>
      </c>
      <c r="Y104" s="547">
        <f>IFERROR(Y99/H99,"0")+IFERROR(Y100/H100,"0")+IFERROR(Y101/H101,"0")+IFERROR(Y102/H102,"0")+IFERROR(Y103/H103,"0")</f>
        <v>12</v>
      </c>
      <c r="Z104" s="547">
        <f>IFERROR(IF(Z99="",0,Z99),"0")+IFERROR(IF(Z100="",0,Z100),"0")+IFERROR(IF(Z101="",0,Z101),"0")+IFERROR(IF(Z102="",0,Z102),"0")+IFERROR(IF(Z103="",0,Z103),"0")</f>
        <v>0.10824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1" t="s">
        <v>75</v>
      </c>
      <c r="Q105" s="562"/>
      <c r="R105" s="562"/>
      <c r="S105" s="562"/>
      <c r="T105" s="562"/>
      <c r="U105" s="562"/>
      <c r="V105" s="563"/>
      <c r="W105" s="37" t="s">
        <v>69</v>
      </c>
      <c r="X105" s="547">
        <f>IFERROR(SUM(X99:X103),"0")</f>
        <v>51</v>
      </c>
      <c r="Y105" s="547">
        <f>IFERROR(SUM(Y99:Y103),"0")</f>
        <v>54</v>
      </c>
      <c r="Z105" s="37"/>
      <c r="AA105" s="548"/>
      <c r="AB105" s="548"/>
      <c r="AC105" s="548"/>
    </row>
    <row r="106" spans="1:68" ht="14.25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70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1" t="s">
        <v>75</v>
      </c>
      <c r="Q111" s="562"/>
      <c r="R111" s="562"/>
      <c r="S111" s="562"/>
      <c r="T111" s="562"/>
      <c r="U111" s="562"/>
      <c r="V111" s="563"/>
      <c r="W111" s="37" t="s">
        <v>76</v>
      </c>
      <c r="X111" s="547">
        <f>IFERROR(X107/H107,"0")+IFERROR(X108/H108,"0")+IFERROR(X109/H109,"0")+IFERROR(X110/H110,"0")</f>
        <v>0</v>
      </c>
      <c r="Y111" s="547">
        <f>IFERROR(Y107/H107,"0")+IFERROR(Y108/H108,"0")+IFERROR(Y109/H109,"0")+IFERROR(Y110/H110,"0")</f>
        <v>0</v>
      </c>
      <c r="Z111" s="547">
        <f>IFERROR(IF(Z107="",0,Z107),"0")+IFERROR(IF(Z108="",0,Z108),"0")+IFERROR(IF(Z109="",0,Z109),"0")+IFERROR(IF(Z110="",0,Z110),"0")</f>
        <v>0</v>
      </c>
      <c r="AA111" s="548"/>
      <c r="AB111" s="548"/>
      <c r="AC111" s="548"/>
    </row>
    <row r="112" spans="1:68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71"/>
      <c r="P112" s="561" t="s">
        <v>75</v>
      </c>
      <c r="Q112" s="562"/>
      <c r="R112" s="562"/>
      <c r="S112" s="562"/>
      <c r="T112" s="562"/>
      <c r="U112" s="562"/>
      <c r="V112" s="563"/>
      <c r="W112" s="37" t="s">
        <v>69</v>
      </c>
      <c r="X112" s="547">
        <f>IFERROR(SUM(X107:X110),"0")</f>
        <v>0</v>
      </c>
      <c r="Y112" s="547">
        <f>IFERROR(SUM(Y107:Y110),"0")</f>
        <v>0</v>
      </c>
      <c r="Z112" s="37"/>
      <c r="AA112" s="548"/>
      <c r="AB112" s="548"/>
      <c r="AC112" s="548"/>
    </row>
    <row r="113" spans="1:68" ht="14.25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146</v>
      </c>
      <c r="Y114" s="546">
        <f>IFERROR(IF(X114="",0,CEILING((X114/$H114),1)*$H114),"")</f>
        <v>153.9</v>
      </c>
      <c r="Z114" s="36">
        <f>IFERROR(IF(Y114=0,"",ROUNDUP(Y114/H114,0)*0.01898),"")</f>
        <v>0.36062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154.79604938271606</v>
      </c>
      <c r="BN114" s="64">
        <f>IFERROR(Y114*I114/H114,"0")</f>
        <v>163.172</v>
      </c>
      <c r="BO114" s="64">
        <f>IFERROR(1/J114*(X114/H114),"0")</f>
        <v>0.28163580246913583</v>
      </c>
      <c r="BP114" s="64">
        <f>IFERROR(1/J114*(Y114/H114),"0")</f>
        <v>0.296875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209</v>
      </c>
      <c r="Y116" s="546">
        <f>IFERROR(IF(X116="",0,CEILING((X116/$H116),1)*$H116),"")</f>
        <v>210.60000000000002</v>
      </c>
      <c r="Z116" s="36">
        <f>IFERROR(IF(Y116=0,"",ROUNDUP(Y116/H116,0)*0.00651),"")</f>
        <v>0.50778000000000001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228.50666666666663</v>
      </c>
      <c r="BN116" s="64">
        <f>IFERROR(Y116*I116/H116,"0")</f>
        <v>230.25600000000003</v>
      </c>
      <c r="BO116" s="64">
        <f>IFERROR(1/J116*(X116/H116),"0")</f>
        <v>0.42531542531542532</v>
      </c>
      <c r="BP116" s="64">
        <f>IFERROR(1/J116*(Y116/H116),"0")</f>
        <v>0.4285714285714286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70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1" t="s">
        <v>75</v>
      </c>
      <c r="Q118" s="562"/>
      <c r="R118" s="562"/>
      <c r="S118" s="562"/>
      <c r="T118" s="562"/>
      <c r="U118" s="562"/>
      <c r="V118" s="563"/>
      <c r="W118" s="37" t="s">
        <v>76</v>
      </c>
      <c r="X118" s="547">
        <f>IFERROR(X114/H114,"0")+IFERROR(X115/H115,"0")+IFERROR(X116/H116,"0")+IFERROR(X117/H117,"0")</f>
        <v>95.432098765432102</v>
      </c>
      <c r="Y118" s="547">
        <f>IFERROR(Y114/H114,"0")+IFERROR(Y115/H115,"0")+IFERROR(Y116/H116,"0")+IFERROR(Y117/H117,"0")</f>
        <v>97</v>
      </c>
      <c r="Z118" s="547">
        <f>IFERROR(IF(Z114="",0,Z114),"0")+IFERROR(IF(Z115="",0,Z115),"0")+IFERROR(IF(Z116="",0,Z116),"0")+IFERROR(IF(Z117="",0,Z117),"0")</f>
        <v>0.86840000000000006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71"/>
      <c r="P119" s="561" t="s">
        <v>75</v>
      </c>
      <c r="Q119" s="562"/>
      <c r="R119" s="562"/>
      <c r="S119" s="562"/>
      <c r="T119" s="562"/>
      <c r="U119" s="562"/>
      <c r="V119" s="563"/>
      <c r="W119" s="37" t="s">
        <v>69</v>
      </c>
      <c r="X119" s="547">
        <f>IFERROR(SUM(X114:X117),"0")</f>
        <v>355</v>
      </c>
      <c r="Y119" s="547">
        <f>IFERROR(SUM(Y114:Y117),"0")</f>
        <v>364.5</v>
      </c>
      <c r="Z119" s="37"/>
      <c r="AA119" s="548"/>
      <c r="AB119" s="548"/>
      <c r="AC119" s="548"/>
    </row>
    <row r="120" spans="1:68" ht="14.25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3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70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1" t="s">
        <v>75</v>
      </c>
      <c r="Q122" s="562"/>
      <c r="R122" s="562"/>
      <c r="S122" s="562"/>
      <c r="T122" s="562"/>
      <c r="U122" s="562"/>
      <c r="V122" s="563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71"/>
      <c r="P123" s="561" t="s">
        <v>75</v>
      </c>
      <c r="Q123" s="562"/>
      <c r="R123" s="562"/>
      <c r="S123" s="562"/>
      <c r="T123" s="562"/>
      <c r="U123" s="562"/>
      <c r="V123" s="563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70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1" t="s">
        <v>75</v>
      </c>
      <c r="Q128" s="562"/>
      <c r="R128" s="562"/>
      <c r="S128" s="562"/>
      <c r="T128" s="562"/>
      <c r="U128" s="562"/>
      <c r="V128" s="563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71"/>
      <c r="P129" s="561" t="s">
        <v>75</v>
      </c>
      <c r="Q129" s="562"/>
      <c r="R129" s="562"/>
      <c r="S129" s="562"/>
      <c r="T129" s="562"/>
      <c r="U129" s="562"/>
      <c r="V129" s="563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186</v>
      </c>
      <c r="M131" s="33" t="s">
        <v>94</v>
      </c>
      <c r="N131" s="33"/>
      <c r="O131" s="32">
        <v>90</v>
      </c>
      <c r="P131" s="6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70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1" t="s">
        <v>75</v>
      </c>
      <c r="Q133" s="562"/>
      <c r="R133" s="562"/>
      <c r="S133" s="562"/>
      <c r="T133" s="562"/>
      <c r="U133" s="562"/>
      <c r="V133" s="563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71"/>
      <c r="P134" s="561" t="s">
        <v>75</v>
      </c>
      <c r="Q134" s="562"/>
      <c r="R134" s="562"/>
      <c r="S134" s="562"/>
      <c r="T134" s="562"/>
      <c r="U134" s="562"/>
      <c r="V134" s="563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70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1" t="s">
        <v>75</v>
      </c>
      <c r="Q138" s="562"/>
      <c r="R138" s="562"/>
      <c r="S138" s="562"/>
      <c r="T138" s="562"/>
      <c r="U138" s="562"/>
      <c r="V138" s="563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71"/>
      <c r="P139" s="561" t="s">
        <v>75</v>
      </c>
      <c r="Q139" s="562"/>
      <c r="R139" s="562"/>
      <c r="S139" s="562"/>
      <c r="T139" s="562"/>
      <c r="U139" s="562"/>
      <c r="V139" s="563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70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1" t="s">
        <v>75</v>
      </c>
      <c r="Q144" s="562"/>
      <c r="R144" s="562"/>
      <c r="S144" s="562"/>
      <c r="T144" s="562"/>
      <c r="U144" s="562"/>
      <c r="V144" s="563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71"/>
      <c r="P145" s="561" t="s">
        <v>75</v>
      </c>
      <c r="Q145" s="562"/>
      <c r="R145" s="562"/>
      <c r="S145" s="562"/>
      <c r="T145" s="562"/>
      <c r="U145" s="562"/>
      <c r="V145" s="563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5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6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70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71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70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71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71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639" t="s">
        <v>263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48"/>
      <c r="AB158" s="48"/>
      <c r="AC158" s="48"/>
    </row>
    <row r="159" spans="1:68" ht="16.5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70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71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71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/>
      <c r="M165" s="33" t="s">
        <v>68</v>
      </c>
      <c r="N165" s="33"/>
      <c r="O165" s="32">
        <v>40</v>
      </c>
      <c r="P165" s="58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18</v>
      </c>
      <c r="Y165" s="546">
        <f t="shared" ref="Y165:Y178" si="5">IFERROR(IF(X165="",0,CEILING((X165/$H165),1)*$H165),"")</f>
        <v>21</v>
      </c>
      <c r="Z165" s="36">
        <f>IFERROR(IF(Y165=0,"",ROUNDUP(Y165/H165,0)*0.00902),"")</f>
        <v>4.5100000000000001E-2</v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ref="BM165:BM178" si="6">IFERROR(X165*I165/H165,"0")</f>
        <v>19.071428571428573</v>
      </c>
      <c r="BN165" s="64">
        <f t="shared" ref="BN165:BN178" si="7">IFERROR(Y165*I165/H165,"0")</f>
        <v>22.25</v>
      </c>
      <c r="BO165" s="64">
        <f t="shared" ref="BO165:BO178" si="8">IFERROR(1/J165*(X165/H165),"0")</f>
        <v>3.2467532467532464E-2</v>
      </c>
      <c r="BP165" s="64">
        <f t="shared" ref="BP165:BP178" si="9">IFERROR(1/J165*(Y165/H165),"0")</f>
        <v>3.787878787878788E-2</v>
      </c>
    </row>
    <row r="166" spans="1:68" ht="27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7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16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2</v>
      </c>
      <c r="Y174" s="546">
        <f t="shared" si="5"/>
        <v>3.6</v>
      </c>
      <c r="Z174" s="36">
        <f>IFERROR(IF(Y174=0,"",ROUNDUP(Y174/H174,0)*0.00502),"")</f>
        <v>1.004E-2</v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2.1444444444444444</v>
      </c>
      <c r="BN174" s="64">
        <f t="shared" si="7"/>
        <v>3.8599999999999994</v>
      </c>
      <c r="BO174" s="64">
        <f t="shared" si="8"/>
        <v>4.7483380816714157E-3</v>
      </c>
      <c r="BP174" s="64">
        <f t="shared" si="9"/>
        <v>8.5470085470085479E-3</v>
      </c>
    </row>
    <row r="175" spans="1:68" ht="27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201</v>
      </c>
      <c r="Y176" s="546">
        <f t="shared" si="5"/>
        <v>201.60000000000002</v>
      </c>
      <c r="Z176" s="36">
        <f>IFERROR(IF(Y176=0,"",ROUNDUP(Y176/H176,0)*0.00502),"")</f>
        <v>0.48192000000000002</v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210.57142857142858</v>
      </c>
      <c r="BN176" s="64">
        <f t="shared" si="7"/>
        <v>211.20000000000005</v>
      </c>
      <c r="BO176" s="64">
        <f t="shared" si="8"/>
        <v>0.40903540903540903</v>
      </c>
      <c r="BP176" s="64">
        <f t="shared" si="9"/>
        <v>0.4102564102564103</v>
      </c>
    </row>
    <row r="177" spans="1:68" ht="27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70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1" t="s">
        <v>75</v>
      </c>
      <c r="Q179" s="562"/>
      <c r="R179" s="562"/>
      <c r="S179" s="562"/>
      <c r="T179" s="562"/>
      <c r="U179" s="562"/>
      <c r="V179" s="563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101.1111111111111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103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0.53705999999999998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71"/>
      <c r="P180" s="561" t="s">
        <v>75</v>
      </c>
      <c r="Q180" s="562"/>
      <c r="R180" s="562"/>
      <c r="S180" s="562"/>
      <c r="T180" s="562"/>
      <c r="U180" s="562"/>
      <c r="V180" s="563"/>
      <c r="W180" s="37" t="s">
        <v>69</v>
      </c>
      <c r="X180" s="547">
        <f>IFERROR(SUM(X165:X178),"0")</f>
        <v>221</v>
      </c>
      <c r="Y180" s="547">
        <f>IFERROR(SUM(Y165:Y178),"0")</f>
        <v>226.20000000000002</v>
      </c>
      <c r="Z180" s="37"/>
      <c r="AA180" s="548"/>
      <c r="AB180" s="548"/>
      <c r="AC180" s="548"/>
    </row>
    <row r="181" spans="1:68" ht="14.25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7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1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1</v>
      </c>
      <c r="Y183" s="546">
        <f>IFERROR(IF(X183="",0,CEILING((X183/$H183),1)*$H183),"")</f>
        <v>1.26</v>
      </c>
      <c r="Z183" s="36">
        <f>IFERROR(IF(Y183=0,"",ROUNDUP(Y183/H183,0)*0.0059),"")</f>
        <v>5.8999999999999999E-3</v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1.1507936507936507</v>
      </c>
      <c r="BN183" s="64">
        <f>IFERROR(Y183*I183/H183,"0")</f>
        <v>1.45</v>
      </c>
      <c r="BO183" s="64">
        <f>IFERROR(1/J183*(X183/H183),"0")</f>
        <v>3.6743092298647849E-3</v>
      </c>
      <c r="BP183" s="64">
        <f>IFERROR(1/J183*(Y183/H183),"0")</f>
        <v>4.6296296296296294E-3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2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0</v>
      </c>
      <c r="Y184" s="54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70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71"/>
      <c r="P185" s="561" t="s">
        <v>75</v>
      </c>
      <c r="Q185" s="562"/>
      <c r="R185" s="562"/>
      <c r="S185" s="562"/>
      <c r="T185" s="562"/>
      <c r="U185" s="562"/>
      <c r="V185" s="563"/>
      <c r="W185" s="37" t="s">
        <v>76</v>
      </c>
      <c r="X185" s="547">
        <f>IFERROR(X182/H182,"0")+IFERROR(X183/H183,"0")+IFERROR(X184/H184,"0")</f>
        <v>0.79365079365079361</v>
      </c>
      <c r="Y185" s="547">
        <f>IFERROR(Y182/H182,"0")+IFERROR(Y183/H183,"0")+IFERROR(Y184/H184,"0")</f>
        <v>1</v>
      </c>
      <c r="Z185" s="547">
        <f>IFERROR(IF(Z182="",0,Z182),"0")+IFERROR(IF(Z183="",0,Z183),"0")+IFERROR(IF(Z184="",0,Z184),"0")</f>
        <v>5.8999999999999999E-3</v>
      </c>
      <c r="AA185" s="548"/>
      <c r="AB185" s="548"/>
      <c r="AC185" s="548"/>
    </row>
    <row r="186" spans="1:68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71"/>
      <c r="P186" s="561" t="s">
        <v>75</v>
      </c>
      <c r="Q186" s="562"/>
      <c r="R186" s="562"/>
      <c r="S186" s="562"/>
      <c r="T186" s="562"/>
      <c r="U186" s="562"/>
      <c r="V186" s="563"/>
      <c r="W186" s="37" t="s">
        <v>69</v>
      </c>
      <c r="X186" s="547">
        <f>IFERROR(SUM(X182:X184),"0")</f>
        <v>1</v>
      </c>
      <c r="Y186" s="547">
        <f>IFERROR(SUM(Y182:Y184),"0")</f>
        <v>1.26</v>
      </c>
      <c r="Z186" s="37"/>
      <c r="AA186" s="548"/>
      <c r="AB186" s="548"/>
      <c r="AC186" s="548"/>
    </row>
    <row r="187" spans="1:68" ht="14.25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6</v>
      </c>
      <c r="Y188" s="546">
        <f>IFERROR(IF(X188="",0,CEILING((X188/$H188),1)*$H188),"")</f>
        <v>6.3</v>
      </c>
      <c r="Z188" s="36">
        <f>IFERROR(IF(Y188=0,"",ROUNDUP(Y188/H188,0)*0.0059),"")</f>
        <v>2.9499999999999998E-2</v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6.9047619047619042</v>
      </c>
      <c r="BN188" s="64">
        <f>IFERROR(Y188*I188/H188,"0")</f>
        <v>7.25</v>
      </c>
      <c r="BO188" s="64">
        <f>IFERROR(1/J188*(X188/H188),"0")</f>
        <v>2.2045855379188711E-2</v>
      </c>
      <c r="BP188" s="64">
        <f>IFERROR(1/J188*(Y188/H188),"0")</f>
        <v>2.3148148148148147E-2</v>
      </c>
    </row>
    <row r="189" spans="1:68" x14ac:dyDescent="0.2">
      <c r="A189" s="570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1" t="s">
        <v>75</v>
      </c>
      <c r="Q189" s="562"/>
      <c r="R189" s="562"/>
      <c r="S189" s="562"/>
      <c r="T189" s="562"/>
      <c r="U189" s="562"/>
      <c r="V189" s="563"/>
      <c r="W189" s="37" t="s">
        <v>76</v>
      </c>
      <c r="X189" s="547">
        <f>IFERROR(X188/H188,"0")</f>
        <v>4.7619047619047619</v>
      </c>
      <c r="Y189" s="547">
        <f>IFERROR(Y188/H188,"0")</f>
        <v>5</v>
      </c>
      <c r="Z189" s="547">
        <f>IFERROR(IF(Z188="",0,Z188),"0")</f>
        <v>2.9499999999999998E-2</v>
      </c>
      <c r="AA189" s="548"/>
      <c r="AB189" s="548"/>
      <c r="AC189" s="548"/>
    </row>
    <row r="190" spans="1:68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71"/>
      <c r="P190" s="561" t="s">
        <v>75</v>
      </c>
      <c r="Q190" s="562"/>
      <c r="R190" s="562"/>
      <c r="S190" s="562"/>
      <c r="T190" s="562"/>
      <c r="U190" s="562"/>
      <c r="V190" s="563"/>
      <c r="W190" s="37" t="s">
        <v>69</v>
      </c>
      <c r="X190" s="547">
        <f>IFERROR(SUM(X188:X188),"0")</f>
        <v>6</v>
      </c>
      <c r="Y190" s="547">
        <f>IFERROR(SUM(Y188:Y188),"0")</f>
        <v>6.3</v>
      </c>
      <c r="Z190" s="37"/>
      <c r="AA190" s="548"/>
      <c r="AB190" s="548"/>
      <c r="AC190" s="548"/>
    </row>
    <row r="191" spans="1:68" ht="16.5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 t="s">
        <v>186</v>
      </c>
      <c r="M194" s="33" t="s">
        <v>104</v>
      </c>
      <c r="N194" s="33"/>
      <c r="O194" s="32">
        <v>55</v>
      </c>
      <c r="P194" s="65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 t="s">
        <v>106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70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71"/>
      <c r="P195" s="561" t="s">
        <v>75</v>
      </c>
      <c r="Q195" s="562"/>
      <c r="R195" s="562"/>
      <c r="S195" s="562"/>
      <c r="T195" s="562"/>
      <c r="U195" s="562"/>
      <c r="V195" s="563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71"/>
      <c r="P196" s="561" t="s">
        <v>75</v>
      </c>
      <c r="Q196" s="562"/>
      <c r="R196" s="562"/>
      <c r="S196" s="562"/>
      <c r="T196" s="562"/>
      <c r="U196" s="562"/>
      <c r="V196" s="563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/>
      <c r="M199" s="33" t="s">
        <v>104</v>
      </c>
      <c r="N199" s="33"/>
      <c r="O199" s="32">
        <v>50</v>
      </c>
      <c r="P199" s="8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70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71"/>
      <c r="P200" s="561" t="s">
        <v>75</v>
      </c>
      <c r="Q200" s="562"/>
      <c r="R200" s="562"/>
      <c r="S200" s="562"/>
      <c r="T200" s="562"/>
      <c r="U200" s="562"/>
      <c r="V200" s="563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71"/>
      <c r="P201" s="561" t="s">
        <v>75</v>
      </c>
      <c r="Q201" s="562"/>
      <c r="R201" s="562"/>
      <c r="S201" s="562"/>
      <c r="T201" s="562"/>
      <c r="U201" s="562"/>
      <c r="V201" s="563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110</v>
      </c>
      <c r="M203" s="33" t="s">
        <v>68</v>
      </c>
      <c r="N203" s="33"/>
      <c r="O203" s="32">
        <v>40</v>
      </c>
      <c r="P203" s="7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ref="Y203:Y210" si="10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0</v>
      </c>
      <c r="BN203" s="64">
        <f t="shared" ref="BN203:BN210" si="12">IFERROR(Y203*I203/H203,"0")</f>
        <v>0</v>
      </c>
      <c r="BO203" s="64">
        <f t="shared" ref="BO203:BO210" si="13">IFERROR(1/J203*(X203/H203),"0")</f>
        <v>0</v>
      </c>
      <c r="BP203" s="64">
        <f t="shared" ref="BP203:BP210" si="14">IFERROR(1/J203*(Y203/H203),"0")</f>
        <v>0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82</v>
      </c>
      <c r="Y204" s="546">
        <f t="shared" si="10"/>
        <v>86.4</v>
      </c>
      <c r="Z204" s="36">
        <f>IFERROR(IF(Y204=0,"",ROUNDUP(Y204/H204,0)*0.00902),"")</f>
        <v>0.14432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84.885185185185179</v>
      </c>
      <c r="BN204" s="64">
        <f t="shared" si="12"/>
        <v>89.44</v>
      </c>
      <c r="BO204" s="64">
        <f t="shared" si="13"/>
        <v>0.11503928170594836</v>
      </c>
      <c r="BP204" s="64">
        <f t="shared" si="14"/>
        <v>0.12121212121212122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79</v>
      </c>
      <c r="Y206" s="546">
        <f t="shared" si="10"/>
        <v>81</v>
      </c>
      <c r="Z206" s="36">
        <f>IFERROR(IF(Y206=0,"",ROUNDUP(Y206/H206,0)*0.00902),"")</f>
        <v>0.1353</v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81.779629629629625</v>
      </c>
      <c r="BN206" s="64">
        <f t="shared" si="12"/>
        <v>83.85</v>
      </c>
      <c r="BO206" s="64">
        <f t="shared" si="13"/>
        <v>0.11083052749719416</v>
      </c>
      <c r="BP206" s="64">
        <f t="shared" si="14"/>
        <v>0.11363636363636363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27</v>
      </c>
      <c r="Y207" s="546">
        <f t="shared" si="10"/>
        <v>27</v>
      </c>
      <c r="Z207" s="36">
        <f>IFERROR(IF(Y207=0,"",ROUNDUP(Y207/H207,0)*0.00502),"")</f>
        <v>7.5300000000000006E-2</v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28.95</v>
      </c>
      <c r="BN207" s="64">
        <f t="shared" si="12"/>
        <v>28.95</v>
      </c>
      <c r="BO207" s="64">
        <f t="shared" si="13"/>
        <v>6.4102564102564111E-2</v>
      </c>
      <c r="BP207" s="64">
        <f t="shared" si="14"/>
        <v>6.4102564102564111E-2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17</v>
      </c>
      <c r="Y208" s="546">
        <f t="shared" si="10"/>
        <v>18</v>
      </c>
      <c r="Z208" s="36">
        <f>IFERROR(IF(Y208=0,"",ROUNDUP(Y208/H208,0)*0.00502),"")</f>
        <v>5.0200000000000002E-2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17.944444444444443</v>
      </c>
      <c r="BN208" s="64">
        <f t="shared" si="12"/>
        <v>18.999999999999996</v>
      </c>
      <c r="BO208" s="64">
        <f t="shared" si="13"/>
        <v>4.0360873694207031E-2</v>
      </c>
      <c r="BP208" s="64">
        <f t="shared" si="14"/>
        <v>4.2735042735042736E-2</v>
      </c>
    </row>
    <row r="209" spans="1:68" ht="27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66</v>
      </c>
      <c r="Y210" s="546">
        <f t="shared" si="10"/>
        <v>66.600000000000009</v>
      </c>
      <c r="Z210" s="36">
        <f>IFERROR(IF(Y210=0,"",ROUNDUP(Y210/H210,0)*0.00502),"")</f>
        <v>0.18574000000000002</v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69.666666666666657</v>
      </c>
      <c r="BN210" s="64">
        <f t="shared" si="12"/>
        <v>70.3</v>
      </c>
      <c r="BO210" s="64">
        <f t="shared" si="13"/>
        <v>0.15669515669515671</v>
      </c>
      <c r="BP210" s="64">
        <f t="shared" si="14"/>
        <v>0.15811965811965817</v>
      </c>
    </row>
    <row r="211" spans="1:68" x14ac:dyDescent="0.2">
      <c r="A211" s="570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71"/>
      <c r="P211" s="561" t="s">
        <v>75</v>
      </c>
      <c r="Q211" s="562"/>
      <c r="R211" s="562"/>
      <c r="S211" s="562"/>
      <c r="T211" s="562"/>
      <c r="U211" s="562"/>
      <c r="V211" s="563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90.925925925925924</v>
      </c>
      <c r="Y211" s="547">
        <f>IFERROR(Y203/H203,"0")+IFERROR(Y204/H204,"0")+IFERROR(Y205/H205,"0")+IFERROR(Y206/H206,"0")+IFERROR(Y207/H207,"0")+IFERROR(Y208/H208,"0")+IFERROR(Y209/H209,"0")+IFERROR(Y210/H210,"0")</f>
        <v>93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0.59086000000000005</v>
      </c>
      <c r="AA211" s="548"/>
      <c r="AB211" s="548"/>
      <c r="AC211" s="548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71"/>
      <c r="P212" s="561" t="s">
        <v>75</v>
      </c>
      <c r="Q212" s="562"/>
      <c r="R212" s="562"/>
      <c r="S212" s="562"/>
      <c r="T212" s="562"/>
      <c r="U212" s="562"/>
      <c r="V212" s="563"/>
      <c r="W212" s="37" t="s">
        <v>69</v>
      </c>
      <c r="X212" s="547">
        <f>IFERROR(SUM(X203:X210),"0")</f>
        <v>271</v>
      </c>
      <c r="Y212" s="547">
        <f>IFERROR(SUM(Y203:Y210),"0")</f>
        <v>279</v>
      </c>
      <c r="Z212" s="37"/>
      <c r="AA212" s="548"/>
      <c r="AB212" s="548"/>
      <c r="AC212" s="548"/>
    </row>
    <row r="213" spans="1:68" ht="14.25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 t="s">
        <v>103</v>
      </c>
      <c r="M214" s="33" t="s">
        <v>80</v>
      </c>
      <c r="N214" s="33"/>
      <c r="O214" s="32">
        <v>40</v>
      </c>
      <c r="P214" s="8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 t="s">
        <v>106</v>
      </c>
      <c r="AK214" s="68">
        <v>64.8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5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2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358</v>
      </c>
      <c r="Y216" s="546">
        <f t="shared" si="15"/>
        <v>365.4</v>
      </c>
      <c r="Z216" s="36">
        <f>IFERROR(IF(Y216=0,"",ROUNDUP(Y216/H216,0)*0.01898),"")</f>
        <v>0.79715999999999998</v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378.32781609195411</v>
      </c>
      <c r="BN216" s="64">
        <f t="shared" si="17"/>
        <v>386.14800000000002</v>
      </c>
      <c r="BO216" s="64">
        <f t="shared" si="18"/>
        <v>0.64295977011494254</v>
      </c>
      <c r="BP216" s="64">
        <f t="shared" si="19"/>
        <v>0.65625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186</v>
      </c>
      <c r="M217" s="33" t="s">
        <v>80</v>
      </c>
      <c r="N217" s="33"/>
      <c r="O217" s="32">
        <v>40</v>
      </c>
      <c r="P217" s="75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ref="Z217:Z222" si="20">IFERROR(IF(Y217=0,"",ROUNDUP(Y217/H217,0)*0.00651),"")</f>
        <v/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186</v>
      </c>
      <c r="M219" s="33" t="s">
        <v>80</v>
      </c>
      <c r="N219" s="33"/>
      <c r="O219" s="32">
        <v>45</v>
      </c>
      <c r="P219" s="7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0</v>
      </c>
      <c r="Y219" s="546">
        <f t="shared" si="15"/>
        <v>0</v>
      </c>
      <c r="Z219" s="36" t="str">
        <f t="shared" si="20"/>
        <v/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56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244</v>
      </c>
      <c r="Y220" s="546">
        <f t="shared" si="15"/>
        <v>244.79999999999998</v>
      </c>
      <c r="Z220" s="36">
        <f t="shared" si="20"/>
        <v>0.66402000000000005</v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269.62000000000006</v>
      </c>
      <c r="BN220" s="64">
        <f t="shared" si="17"/>
        <v>270.50400000000002</v>
      </c>
      <c r="BO220" s="64">
        <f t="shared" si="18"/>
        <v>0.55860805860805873</v>
      </c>
      <c r="BP220" s="64">
        <f t="shared" si="19"/>
        <v>0.56043956043956045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186</v>
      </c>
      <c r="M221" s="33" t="s">
        <v>86</v>
      </c>
      <c r="N221" s="33"/>
      <c r="O221" s="32">
        <v>40</v>
      </c>
      <c r="P221" s="5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255</v>
      </c>
      <c r="Y221" s="546">
        <f t="shared" si="15"/>
        <v>256.8</v>
      </c>
      <c r="Z221" s="36">
        <f t="shared" si="20"/>
        <v>0.69657000000000002</v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281.77500000000003</v>
      </c>
      <c r="BN221" s="64">
        <f t="shared" si="17"/>
        <v>283.76400000000007</v>
      </c>
      <c r="BO221" s="64">
        <f t="shared" si="18"/>
        <v>0.58379120879120883</v>
      </c>
      <c r="BP221" s="64">
        <f t="shared" si="19"/>
        <v>0.58791208791208804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186</v>
      </c>
      <c r="M222" s="33" t="s">
        <v>80</v>
      </c>
      <c r="N222" s="33"/>
      <c r="O222" s="32">
        <v>40</v>
      </c>
      <c r="P222" s="77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30</v>
      </c>
      <c r="Y222" s="546">
        <f t="shared" si="15"/>
        <v>31.2</v>
      </c>
      <c r="Z222" s="36">
        <f t="shared" si="20"/>
        <v>8.4629999999999997E-2</v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33.225000000000001</v>
      </c>
      <c r="BN222" s="64">
        <f t="shared" si="17"/>
        <v>34.554000000000002</v>
      </c>
      <c r="BO222" s="64">
        <f t="shared" si="18"/>
        <v>6.8681318681318687E-2</v>
      </c>
      <c r="BP222" s="64">
        <f t="shared" si="19"/>
        <v>7.1428571428571438E-2</v>
      </c>
    </row>
    <row r="223" spans="1:68" x14ac:dyDescent="0.2">
      <c r="A223" s="570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71"/>
      <c r="P223" s="561" t="s">
        <v>75</v>
      </c>
      <c r="Q223" s="562"/>
      <c r="R223" s="562"/>
      <c r="S223" s="562"/>
      <c r="T223" s="562"/>
      <c r="U223" s="562"/>
      <c r="V223" s="563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261.56609195402302</v>
      </c>
      <c r="Y223" s="547">
        <f>IFERROR(Y214/H214,"0")+IFERROR(Y215/H215,"0")+IFERROR(Y216/H216,"0")+IFERROR(Y217/H217,"0")+IFERROR(Y218/H218,"0")+IFERROR(Y219/H219,"0")+IFERROR(Y220/H220,"0")+IFERROR(Y221/H221,"0")+IFERROR(Y222/H222,"0")</f>
        <v>264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2.2423800000000003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71"/>
      <c r="P224" s="561" t="s">
        <v>75</v>
      </c>
      <c r="Q224" s="562"/>
      <c r="R224" s="562"/>
      <c r="S224" s="562"/>
      <c r="T224" s="562"/>
      <c r="U224" s="562"/>
      <c r="V224" s="563"/>
      <c r="W224" s="37" t="s">
        <v>69</v>
      </c>
      <c r="X224" s="547">
        <f>IFERROR(SUM(X214:X222),"0")</f>
        <v>887</v>
      </c>
      <c r="Y224" s="547">
        <f>IFERROR(SUM(Y214:Y222),"0")</f>
        <v>898.2</v>
      </c>
      <c r="Z224" s="37"/>
      <c r="AA224" s="548"/>
      <c r="AB224" s="548"/>
      <c r="AC224" s="548"/>
    </row>
    <row r="225" spans="1:68" ht="14.25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60</v>
      </c>
      <c r="Y226" s="546">
        <f>IFERROR(IF(X226="",0,CEILING((X226/$H226),1)*$H226),"")</f>
        <v>60</v>
      </c>
      <c r="Z226" s="36">
        <f>IFERROR(IF(Y226=0,"",ROUNDUP(Y226/H226,0)*0.00651),"")</f>
        <v>0.16275000000000001</v>
      </c>
      <c r="AA226" s="56"/>
      <c r="AB226" s="57"/>
      <c r="AC226" s="277" t="s">
        <v>375</v>
      </c>
      <c r="AG226" s="64"/>
      <c r="AJ226" s="68"/>
      <c r="AK226" s="68">
        <v>0</v>
      </c>
      <c r="BB226" s="278" t="s">
        <v>1</v>
      </c>
      <c r="BM226" s="64">
        <f>IFERROR(X226*I226/H226,"0")</f>
        <v>66.300000000000011</v>
      </c>
      <c r="BN226" s="64">
        <f>IFERROR(Y226*I226/H226,"0")</f>
        <v>66.300000000000011</v>
      </c>
      <c r="BO226" s="64">
        <f>IFERROR(1/J226*(X226/H226),"0")</f>
        <v>0.13736263736263737</v>
      </c>
      <c r="BP226" s="64">
        <f>IFERROR(1/J226*(Y226/H226),"0")</f>
        <v>0.13736263736263737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0</v>
      </c>
      <c r="Y227" s="546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70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71"/>
      <c r="P228" s="561" t="s">
        <v>75</v>
      </c>
      <c r="Q228" s="562"/>
      <c r="R228" s="562"/>
      <c r="S228" s="562"/>
      <c r="T228" s="562"/>
      <c r="U228" s="562"/>
      <c r="V228" s="563"/>
      <c r="W228" s="37" t="s">
        <v>76</v>
      </c>
      <c r="X228" s="547">
        <f>IFERROR(X226/H226,"0")+IFERROR(X227/H227,"0")</f>
        <v>25</v>
      </c>
      <c r="Y228" s="547">
        <f>IFERROR(Y226/H226,"0")+IFERROR(Y227/H227,"0")</f>
        <v>25</v>
      </c>
      <c r="Z228" s="547">
        <f>IFERROR(IF(Z226="",0,Z226),"0")+IFERROR(IF(Z227="",0,Z227),"0")</f>
        <v>0.16275000000000001</v>
      </c>
      <c r="AA228" s="548"/>
      <c r="AB228" s="548"/>
      <c r="AC228" s="548"/>
    </row>
    <row r="229" spans="1:68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71"/>
      <c r="P229" s="561" t="s">
        <v>75</v>
      </c>
      <c r="Q229" s="562"/>
      <c r="R229" s="562"/>
      <c r="S229" s="562"/>
      <c r="T229" s="562"/>
      <c r="U229" s="562"/>
      <c r="V229" s="563"/>
      <c r="W229" s="37" t="s">
        <v>69</v>
      </c>
      <c r="X229" s="547">
        <f>IFERROR(SUM(X226:X227),"0")</f>
        <v>60</v>
      </c>
      <c r="Y229" s="547">
        <f>IFERROR(SUM(Y226:Y227),"0")</f>
        <v>60</v>
      </c>
      <c r="Z229" s="37"/>
      <c r="AA229" s="548"/>
      <c r="AB229" s="548"/>
      <c r="AC229" s="548"/>
    </row>
    <row r="230" spans="1:68" ht="16.5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/>
      <c r="M232" s="33" t="s">
        <v>104</v>
      </c>
      <c r="N232" s="33"/>
      <c r="O232" s="32">
        <v>55</v>
      </c>
      <c r="P232" s="74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4</v>
      </c>
      <c r="Y232" s="546">
        <f t="shared" ref="Y232:Y240" si="21">IFERROR(IF(X232="",0,CEILING((X232/$H232),1)*$H232),"")</f>
        <v>11.6</v>
      </c>
      <c r="Z232" s="36">
        <f>IFERROR(IF(Y232=0,"",ROUNDUP(Y232/H232,0)*0.01898),"")</f>
        <v>1.898E-2</v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4.1413793103448278</v>
      </c>
      <c r="BN232" s="64">
        <f t="shared" ref="BN232:BN240" si="23">IFERROR(Y232*I232/H232,"0")</f>
        <v>12.01</v>
      </c>
      <c r="BO232" s="64">
        <f t="shared" ref="BO232:BO240" si="24">IFERROR(1/J232*(X232/H232),"0")</f>
        <v>5.387931034482759E-3</v>
      </c>
      <c r="BP232" s="64">
        <f t="shared" ref="BP232:BP240" si="25">IFERROR(1/J232*(Y232/H232),"0")</f>
        <v>1.5625E-2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4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 t="s">
        <v>110</v>
      </c>
      <c r="M239" s="33" t="s">
        <v>104</v>
      </c>
      <c r="N239" s="33"/>
      <c r="O239" s="32">
        <v>55</v>
      </c>
      <c r="P239" s="6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 t="s">
        <v>106</v>
      </c>
      <c r="AK239" s="68">
        <v>48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70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71"/>
      <c r="P241" s="561" t="s">
        <v>75</v>
      </c>
      <c r="Q241" s="562"/>
      <c r="R241" s="562"/>
      <c r="S241" s="562"/>
      <c r="T241" s="562"/>
      <c r="U241" s="562"/>
      <c r="V241" s="563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0.34482758620689657</v>
      </c>
      <c r="Y241" s="547">
        <f>IFERROR(Y232/H232,"0")+IFERROR(Y233/H233,"0")+IFERROR(Y234/H234,"0")+IFERROR(Y235/H235,"0")+IFERROR(Y236/H236,"0")+IFERROR(Y237/H237,"0")+IFERROR(Y238/H238,"0")+IFERROR(Y239/H239,"0")+IFERROR(Y240/H240,"0")</f>
        <v>1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1.898E-2</v>
      </c>
      <c r="AA241" s="548"/>
      <c r="AB241" s="548"/>
      <c r="AC241" s="548"/>
    </row>
    <row r="242" spans="1:68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71"/>
      <c r="P242" s="561" t="s">
        <v>75</v>
      </c>
      <c r="Q242" s="562"/>
      <c r="R242" s="562"/>
      <c r="S242" s="562"/>
      <c r="T242" s="562"/>
      <c r="U242" s="562"/>
      <c r="V242" s="563"/>
      <c r="W242" s="37" t="s">
        <v>69</v>
      </c>
      <c r="X242" s="547">
        <f>IFERROR(SUM(X232:X240),"0")</f>
        <v>4</v>
      </c>
      <c r="Y242" s="547">
        <f>IFERROR(SUM(Y232:Y240),"0")</f>
        <v>11.6</v>
      </c>
      <c r="Z242" s="37"/>
      <c r="AA242" s="548"/>
      <c r="AB242" s="548"/>
      <c r="AC242" s="548"/>
    </row>
    <row r="243" spans="1:68" ht="14.25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70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71"/>
      <c r="P245" s="561" t="s">
        <v>75</v>
      </c>
      <c r="Q245" s="562"/>
      <c r="R245" s="562"/>
      <c r="S245" s="562"/>
      <c r="T245" s="562"/>
      <c r="U245" s="562"/>
      <c r="V245" s="563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71"/>
      <c r="P246" s="561" t="s">
        <v>75</v>
      </c>
      <c r="Q246" s="562"/>
      <c r="R246" s="562"/>
      <c r="S246" s="562"/>
      <c r="T246" s="562"/>
      <c r="U246" s="562"/>
      <c r="V246" s="563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70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71"/>
      <c r="P249" s="561" t="s">
        <v>75</v>
      </c>
      <c r="Q249" s="562"/>
      <c r="R249" s="562"/>
      <c r="S249" s="562"/>
      <c r="T249" s="562"/>
      <c r="U249" s="562"/>
      <c r="V249" s="563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71"/>
      <c r="P250" s="561" t="s">
        <v>75</v>
      </c>
      <c r="Q250" s="562"/>
      <c r="R250" s="562"/>
      <c r="S250" s="562"/>
      <c r="T250" s="562"/>
      <c r="U250" s="562"/>
      <c r="V250" s="563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2</v>
      </c>
      <c r="Y254" s="546">
        <f>IFERROR(IF(X254="",0,CEILING((X254/$H254),1)*$H254),"")</f>
        <v>2.7</v>
      </c>
      <c r="Z254" s="36">
        <f>IFERROR(IF(Y254=0,"",ROUNDUP(Y254/H254,0)*0.0059),"")</f>
        <v>1.77E-2</v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2.4222222222222225</v>
      </c>
      <c r="BN254" s="64">
        <f>IFERROR(Y254*I254/H254,"0")</f>
        <v>3.2700000000000005</v>
      </c>
      <c r="BO254" s="64">
        <f>IFERROR(1/J254*(X254/H254),"0")</f>
        <v>1.0288065843621399E-2</v>
      </c>
      <c r="BP254" s="64">
        <f>IFERROR(1/J254*(Y254/H254),"0")</f>
        <v>1.3888888888888888E-2</v>
      </c>
    </row>
    <row r="255" spans="1:68" ht="27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1</v>
      </c>
      <c r="Y255" s="546">
        <f>IFERROR(IF(X255="",0,CEILING((X255/$H255),1)*$H255),"")</f>
        <v>1.98</v>
      </c>
      <c r="Z255" s="36">
        <f>IFERROR(IF(Y255=0,"",ROUNDUP(Y255/H255,0)*0.0059),"")</f>
        <v>1.18E-2</v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1.1919191919191918</v>
      </c>
      <c r="BN255" s="64">
        <f>IFERROR(Y255*I255/H255,"0")</f>
        <v>2.36</v>
      </c>
      <c r="BO255" s="64">
        <f>IFERROR(1/J255*(X255/H255),"0")</f>
        <v>4.6763935652824546E-3</v>
      </c>
      <c r="BP255" s="64">
        <f>IFERROR(1/J255*(Y255/H255),"0")</f>
        <v>9.2592592592592587E-3</v>
      </c>
    </row>
    <row r="256" spans="1:68" ht="27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2</v>
      </c>
      <c r="Y256" s="546">
        <f>IFERROR(IF(X256="",0,CEILING((X256/$H256),1)*$H256),"")</f>
        <v>2.9699999999999998</v>
      </c>
      <c r="Z256" s="36">
        <f>IFERROR(IF(Y256=0,"",ROUNDUP(Y256/H256,0)*0.0059),"")</f>
        <v>1.77E-2</v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2.3838383838383836</v>
      </c>
      <c r="BN256" s="64">
        <f>IFERROR(Y256*I256/H256,"0")</f>
        <v>3.5399999999999996</v>
      </c>
      <c r="BO256" s="64">
        <f>IFERROR(1/J256*(X256/H256),"0")</f>
        <v>9.3527871305649091E-3</v>
      </c>
      <c r="BP256" s="64">
        <f>IFERROR(1/J256*(Y256/H256),"0")</f>
        <v>1.3888888888888886E-2</v>
      </c>
    </row>
    <row r="257" spans="1:68" x14ac:dyDescent="0.2">
      <c r="A257" s="570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71"/>
      <c r="P257" s="561" t="s">
        <v>75</v>
      </c>
      <c r="Q257" s="562"/>
      <c r="R257" s="562"/>
      <c r="S257" s="562"/>
      <c r="T257" s="562"/>
      <c r="U257" s="562"/>
      <c r="V257" s="563"/>
      <c r="W257" s="37" t="s">
        <v>76</v>
      </c>
      <c r="X257" s="547">
        <f>IFERROR(X252/H252,"0")+IFERROR(X253/H253,"0")+IFERROR(X254/H254,"0")+IFERROR(X255/H255,"0")+IFERROR(X256/H256,"0")</f>
        <v>5.2525252525252526</v>
      </c>
      <c r="Y257" s="547">
        <f>IFERROR(Y252/H252,"0")+IFERROR(Y253/H253,"0")+IFERROR(Y254/H254,"0")+IFERROR(Y255/H255,"0")+IFERROR(Y256/H256,"0")</f>
        <v>8</v>
      </c>
      <c r="Z257" s="547">
        <f>IFERROR(IF(Z252="",0,Z252),"0")+IFERROR(IF(Z253="",0,Z253),"0")+IFERROR(IF(Z254="",0,Z254),"0")+IFERROR(IF(Z255="",0,Z255),"0")+IFERROR(IF(Z256="",0,Z256),"0")</f>
        <v>4.7199999999999999E-2</v>
      </c>
      <c r="AA257" s="548"/>
      <c r="AB257" s="548"/>
      <c r="AC257" s="548"/>
    </row>
    <row r="258" spans="1:68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71"/>
      <c r="P258" s="561" t="s">
        <v>75</v>
      </c>
      <c r="Q258" s="562"/>
      <c r="R258" s="562"/>
      <c r="S258" s="562"/>
      <c r="T258" s="562"/>
      <c r="U258" s="562"/>
      <c r="V258" s="563"/>
      <c r="W258" s="37" t="s">
        <v>69</v>
      </c>
      <c r="X258" s="547">
        <f>IFERROR(SUM(X252:X256),"0")</f>
        <v>5</v>
      </c>
      <c r="Y258" s="547">
        <f>IFERROR(SUM(Y252:Y256),"0")</f>
        <v>7.6499999999999995</v>
      </c>
      <c r="Z258" s="37"/>
      <c r="AA258" s="548"/>
      <c r="AB258" s="548"/>
      <c r="AC258" s="548"/>
    </row>
    <row r="259" spans="1:68" ht="16.5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 t="s">
        <v>103</v>
      </c>
      <c r="M261" s="33" t="s">
        <v>104</v>
      </c>
      <c r="N261" s="33"/>
      <c r="O261" s="32">
        <v>55</v>
      </c>
      <c r="P261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 t="s">
        <v>106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 t="s">
        <v>103</v>
      </c>
      <c r="M263" s="33" t="s">
        <v>104</v>
      </c>
      <c r="N263" s="33"/>
      <c r="O263" s="32">
        <v>55</v>
      </c>
      <c r="P263" s="85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 t="s">
        <v>106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6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70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71"/>
      <c r="P266" s="561" t="s">
        <v>75</v>
      </c>
      <c r="Q266" s="562"/>
      <c r="R266" s="562"/>
      <c r="S266" s="562"/>
      <c r="T266" s="562"/>
      <c r="U266" s="562"/>
      <c r="V266" s="563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71"/>
      <c r="P267" s="561" t="s">
        <v>75</v>
      </c>
      <c r="Q267" s="562"/>
      <c r="R267" s="562"/>
      <c r="S267" s="562"/>
      <c r="T267" s="562"/>
      <c r="U267" s="562"/>
      <c r="V267" s="563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3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70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71"/>
      <c r="P274" s="561" t="s">
        <v>75</v>
      </c>
      <c r="Q274" s="562"/>
      <c r="R274" s="562"/>
      <c r="S274" s="562"/>
      <c r="T274" s="562"/>
      <c r="U274" s="562"/>
      <c r="V274" s="563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1" t="s">
        <v>75</v>
      </c>
      <c r="Q275" s="562"/>
      <c r="R275" s="562"/>
      <c r="S275" s="562"/>
      <c r="T275" s="562"/>
      <c r="U275" s="562"/>
      <c r="V275" s="563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186</v>
      </c>
      <c r="M279" s="33" t="s">
        <v>86</v>
      </c>
      <c r="N279" s="33"/>
      <c r="O279" s="32">
        <v>40</v>
      </c>
      <c r="P279" s="7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8</v>
      </c>
      <c r="Y279" s="546">
        <f>IFERROR(IF(X279="",0,CEILING((X279/$H279),1)*$H279),"")</f>
        <v>9.6</v>
      </c>
      <c r="Z279" s="36">
        <f>IFERROR(IF(Y279=0,"",ROUNDUP(Y279/H279,0)*0.00651),"")</f>
        <v>2.6040000000000001E-2</v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8.8400000000000016</v>
      </c>
      <c r="BN279" s="64">
        <f>IFERROR(Y279*I279/H279,"0")</f>
        <v>10.608000000000001</v>
      </c>
      <c r="BO279" s="64">
        <f>IFERROR(1/J279*(X279/H279),"0")</f>
        <v>1.8315018315018316E-2</v>
      </c>
      <c r="BP279" s="64">
        <f>IFERROR(1/J279*(Y279/H279),"0")</f>
        <v>2.197802197802198E-2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186</v>
      </c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49</v>
      </c>
      <c r="Y280" s="546">
        <f>IFERROR(IF(X280="",0,CEILING((X280/$H280),1)*$H280),"")</f>
        <v>50.4</v>
      </c>
      <c r="Z280" s="36">
        <f>IFERROR(IF(Y280=0,"",ROUNDUP(Y280/H280,0)*0.00651),"")</f>
        <v>0.13671</v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52.675000000000004</v>
      </c>
      <c r="BN280" s="64">
        <f>IFERROR(Y280*I280/H280,"0")</f>
        <v>54.180000000000007</v>
      </c>
      <c r="BO280" s="64">
        <f>IFERROR(1/J280*(X280/H280),"0")</f>
        <v>0.1121794871794872</v>
      </c>
      <c r="BP280" s="64">
        <f>IFERROR(1/J280*(Y280/H280),"0")</f>
        <v>0.11538461538461539</v>
      </c>
    </row>
    <row r="281" spans="1:68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1" t="s">
        <v>75</v>
      </c>
      <c r="Q281" s="562"/>
      <c r="R281" s="562"/>
      <c r="S281" s="562"/>
      <c r="T281" s="562"/>
      <c r="U281" s="562"/>
      <c r="V281" s="563"/>
      <c r="W281" s="37" t="s">
        <v>76</v>
      </c>
      <c r="X281" s="547">
        <f>IFERROR(X278/H278,"0")+IFERROR(X279/H279,"0")+IFERROR(X280/H280,"0")</f>
        <v>23.75</v>
      </c>
      <c r="Y281" s="547">
        <f>IFERROR(Y278/H278,"0")+IFERROR(Y279/H279,"0")+IFERROR(Y280/H280,"0")</f>
        <v>25</v>
      </c>
      <c r="Z281" s="547">
        <f>IFERROR(IF(Z278="",0,Z278),"0")+IFERROR(IF(Z279="",0,Z279),"0")+IFERROR(IF(Z280="",0,Z280),"0")</f>
        <v>0.16275000000000001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1" t="s">
        <v>75</v>
      </c>
      <c r="Q282" s="562"/>
      <c r="R282" s="562"/>
      <c r="S282" s="562"/>
      <c r="T282" s="562"/>
      <c r="U282" s="562"/>
      <c r="V282" s="563"/>
      <c r="W282" s="37" t="s">
        <v>69</v>
      </c>
      <c r="X282" s="547">
        <f>IFERROR(SUM(X278:X280),"0")</f>
        <v>57</v>
      </c>
      <c r="Y282" s="547">
        <f>IFERROR(SUM(Y278:Y280),"0")</f>
        <v>60</v>
      </c>
      <c r="Z282" s="37"/>
      <c r="AA282" s="548"/>
      <c r="AB282" s="548"/>
      <c r="AC282" s="548"/>
    </row>
    <row r="283" spans="1:68" ht="16.5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70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1" t="s">
        <v>75</v>
      </c>
      <c r="Q287" s="562"/>
      <c r="R287" s="562"/>
      <c r="S287" s="562"/>
      <c r="T287" s="562"/>
      <c r="U287" s="562"/>
      <c r="V287" s="563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71"/>
      <c r="P288" s="561" t="s">
        <v>75</v>
      </c>
      <c r="Q288" s="562"/>
      <c r="R288" s="562"/>
      <c r="S288" s="562"/>
      <c r="T288" s="562"/>
      <c r="U288" s="562"/>
      <c r="V288" s="563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70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71"/>
      <c r="P292" s="561" t="s">
        <v>75</v>
      </c>
      <c r="Q292" s="562"/>
      <c r="R292" s="562"/>
      <c r="S292" s="562"/>
      <c r="T292" s="562"/>
      <c r="U292" s="562"/>
      <c r="V292" s="563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71"/>
      <c r="P293" s="561" t="s">
        <v>75</v>
      </c>
      <c r="Q293" s="562"/>
      <c r="R293" s="562"/>
      <c r="S293" s="562"/>
      <c r="T293" s="562"/>
      <c r="U293" s="562"/>
      <c r="V293" s="563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4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570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71"/>
      <c r="P301" s="561" t="s">
        <v>75</v>
      </c>
      <c r="Q301" s="562"/>
      <c r="R301" s="562"/>
      <c r="S301" s="562"/>
      <c r="T301" s="562"/>
      <c r="U301" s="562"/>
      <c r="V301" s="563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71"/>
      <c r="P302" s="561" t="s">
        <v>75</v>
      </c>
      <c r="Q302" s="562"/>
      <c r="R302" s="562"/>
      <c r="S302" s="562"/>
      <c r="T302" s="562"/>
      <c r="U302" s="562"/>
      <c r="V302" s="563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7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 t="s">
        <v>110</v>
      </c>
      <c r="M305" s="33" t="s">
        <v>68</v>
      </c>
      <c r="N305" s="33"/>
      <c r="O305" s="32">
        <v>40</v>
      </c>
      <c r="P305" s="70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 t="s">
        <v>106</v>
      </c>
      <c r="AK305" s="68">
        <v>50.4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/>
      <c r="AK308" s="68">
        <v>0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9</v>
      </c>
      <c r="Y309" s="546">
        <f t="shared" si="26"/>
        <v>9</v>
      </c>
      <c r="Z309" s="36">
        <f>IFERROR(IF(Y309=0,"",ROUNDUP(Y309/H309,0)*0.00651),"")</f>
        <v>3.2550000000000003E-2</v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10.139999999999999</v>
      </c>
      <c r="BN309" s="64">
        <f t="shared" si="28"/>
        <v>10.139999999999999</v>
      </c>
      <c r="BO309" s="64">
        <f t="shared" si="29"/>
        <v>2.7472527472527476E-2</v>
      </c>
      <c r="BP309" s="64">
        <f t="shared" si="30"/>
        <v>2.7472527472527476E-2</v>
      </c>
    </row>
    <row r="310" spans="1:68" x14ac:dyDescent="0.2">
      <c r="A310" s="570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71"/>
      <c r="P310" s="561" t="s">
        <v>75</v>
      </c>
      <c r="Q310" s="562"/>
      <c r="R310" s="562"/>
      <c r="S310" s="562"/>
      <c r="T310" s="562"/>
      <c r="U310" s="562"/>
      <c r="V310" s="563"/>
      <c r="W310" s="37" t="s">
        <v>76</v>
      </c>
      <c r="X310" s="547">
        <f>IFERROR(X304/H304,"0")+IFERROR(X305/H305,"0")+IFERROR(X306/H306,"0")+IFERROR(X307/H307,"0")+IFERROR(X308/H308,"0")+IFERROR(X309/H309,"0")</f>
        <v>5</v>
      </c>
      <c r="Y310" s="547">
        <f>IFERROR(Y304/H304,"0")+IFERROR(Y305/H305,"0")+IFERROR(Y306/H306,"0")+IFERROR(Y307/H307,"0")+IFERROR(Y308/H308,"0")+IFERROR(Y309/H309,"0")</f>
        <v>5</v>
      </c>
      <c r="Z310" s="547">
        <f>IFERROR(IF(Z304="",0,Z304),"0")+IFERROR(IF(Z305="",0,Z305),"0")+IFERROR(IF(Z306="",0,Z306),"0")+IFERROR(IF(Z307="",0,Z307),"0")+IFERROR(IF(Z308="",0,Z308),"0")+IFERROR(IF(Z309="",0,Z309),"0")</f>
        <v>3.2550000000000003E-2</v>
      </c>
      <c r="AA310" s="548"/>
      <c r="AB310" s="548"/>
      <c r="AC310" s="548"/>
    </row>
    <row r="311" spans="1:68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71"/>
      <c r="P311" s="561" t="s">
        <v>75</v>
      </c>
      <c r="Q311" s="562"/>
      <c r="R311" s="562"/>
      <c r="S311" s="562"/>
      <c r="T311" s="562"/>
      <c r="U311" s="562"/>
      <c r="V311" s="563"/>
      <c r="W311" s="37" t="s">
        <v>69</v>
      </c>
      <c r="X311" s="547">
        <f>IFERROR(SUM(X304:X309),"0")</f>
        <v>9</v>
      </c>
      <c r="Y311" s="547">
        <f>IFERROR(SUM(Y304:Y309),"0")</f>
        <v>9</v>
      </c>
      <c r="Z311" s="37"/>
      <c r="AA311" s="548"/>
      <c r="AB311" s="548"/>
      <c r="AC311" s="548"/>
    </row>
    <row r="312" spans="1:68" ht="14.25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 t="s">
        <v>103</v>
      </c>
      <c r="M313" s="33" t="s">
        <v>80</v>
      </c>
      <c r="N313" s="33"/>
      <c r="O313" s="32">
        <v>40</v>
      </c>
      <c r="P313" s="87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 t="s">
        <v>106</v>
      </c>
      <c r="AK313" s="68">
        <v>62.4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70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71"/>
      <c r="P317" s="561" t="s">
        <v>75</v>
      </c>
      <c r="Q317" s="562"/>
      <c r="R317" s="562"/>
      <c r="S317" s="562"/>
      <c r="T317" s="562"/>
      <c r="U317" s="562"/>
      <c r="V317" s="563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1" t="s">
        <v>75</v>
      </c>
      <c r="Q318" s="562"/>
      <c r="R318" s="562"/>
      <c r="S318" s="562"/>
      <c r="T318" s="562"/>
      <c r="U318" s="562"/>
      <c r="V318" s="563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/>
      <c r="M320" s="33" t="s">
        <v>80</v>
      </c>
      <c r="N320" s="33"/>
      <c r="O320" s="32">
        <v>30</v>
      </c>
      <c r="P320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515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16.5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/>
      <c r="M322" s="33" t="s">
        <v>86</v>
      </c>
      <c r="N322" s="33"/>
      <c r="O322" s="32">
        <v>30</v>
      </c>
      <c r="P322" s="7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70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71"/>
      <c r="P323" s="561" t="s">
        <v>75</v>
      </c>
      <c r="Q323" s="562"/>
      <c r="R323" s="562"/>
      <c r="S323" s="562"/>
      <c r="T323" s="562"/>
      <c r="U323" s="562"/>
      <c r="V323" s="563"/>
      <c r="W323" s="37" t="s">
        <v>76</v>
      </c>
      <c r="X323" s="547">
        <f>IFERROR(X320/H320,"0")+IFERROR(X321/H321,"0")+IFERROR(X322/H322,"0")</f>
        <v>0</v>
      </c>
      <c r="Y323" s="547">
        <f>IFERROR(Y320/H320,"0")+IFERROR(Y321/H321,"0")+IFERROR(Y322/H322,"0")</f>
        <v>0</v>
      </c>
      <c r="Z323" s="547">
        <f>IFERROR(IF(Z320="",0,Z320),"0")+IFERROR(IF(Z321="",0,Z321),"0")+IFERROR(IF(Z322="",0,Z322),"0")</f>
        <v>0</v>
      </c>
      <c r="AA323" s="548"/>
      <c r="AB323" s="548"/>
      <c r="AC323" s="548"/>
    </row>
    <row r="324" spans="1:68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71"/>
      <c r="P324" s="561" t="s">
        <v>75</v>
      </c>
      <c r="Q324" s="562"/>
      <c r="R324" s="562"/>
      <c r="S324" s="562"/>
      <c r="T324" s="562"/>
      <c r="U324" s="562"/>
      <c r="V324" s="563"/>
      <c r="W324" s="37" t="s">
        <v>69</v>
      </c>
      <c r="X324" s="547">
        <f>IFERROR(SUM(X320:X322),"0")</f>
        <v>0</v>
      </c>
      <c r="Y324" s="547">
        <f>IFERROR(SUM(Y320:Y322),"0")</f>
        <v>0</v>
      </c>
      <c r="Z324" s="37"/>
      <c r="AA324" s="548"/>
      <c r="AB324" s="548"/>
      <c r="AC324" s="548"/>
    </row>
    <row r="325" spans="1:68" ht="14.25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7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 t="s">
        <v>186</v>
      </c>
      <c r="M328" s="33" t="s">
        <v>94</v>
      </c>
      <c r="N328" s="33"/>
      <c r="O328" s="32">
        <v>180</v>
      </c>
      <c r="P328" s="57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 t="s">
        <v>106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17</v>
      </c>
      <c r="Y329" s="546">
        <f>IFERROR(IF(X329="",0,CEILING((X329/$H329),1)*$H329),"")</f>
        <v>17.849999999999998</v>
      </c>
      <c r="Z329" s="36">
        <f>IFERROR(IF(Y329=0,"",ROUNDUP(Y329/H329,0)*0.00651),"")</f>
        <v>4.5569999999999999E-2</v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19.200000000000003</v>
      </c>
      <c r="BN329" s="64">
        <f>IFERROR(Y329*I329/H329,"0")</f>
        <v>20.16</v>
      </c>
      <c r="BO329" s="64">
        <f>IFERROR(1/J329*(X329/H329),"0")</f>
        <v>3.6630036630036632E-2</v>
      </c>
      <c r="BP329" s="64">
        <f>IFERROR(1/J329*(Y329/H329),"0")</f>
        <v>3.8461538461538464E-2</v>
      </c>
    </row>
    <row r="330" spans="1:68" x14ac:dyDescent="0.2">
      <c r="A330" s="570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71"/>
      <c r="P330" s="561" t="s">
        <v>75</v>
      </c>
      <c r="Q330" s="562"/>
      <c r="R330" s="562"/>
      <c r="S330" s="562"/>
      <c r="T330" s="562"/>
      <c r="U330" s="562"/>
      <c r="V330" s="563"/>
      <c r="W330" s="37" t="s">
        <v>76</v>
      </c>
      <c r="X330" s="547">
        <f>IFERROR(X326/H326,"0")+IFERROR(X327/H327,"0")+IFERROR(X328/H328,"0")+IFERROR(X329/H329,"0")</f>
        <v>6.666666666666667</v>
      </c>
      <c r="Y330" s="547">
        <f>IFERROR(Y326/H326,"0")+IFERROR(Y327/H327,"0")+IFERROR(Y328/H328,"0")+IFERROR(Y329/H329,"0")</f>
        <v>7</v>
      </c>
      <c r="Z330" s="547">
        <f>IFERROR(IF(Z326="",0,Z326),"0")+IFERROR(IF(Z327="",0,Z327),"0")+IFERROR(IF(Z328="",0,Z328),"0")+IFERROR(IF(Z329="",0,Z329),"0")</f>
        <v>4.5569999999999999E-2</v>
      </c>
      <c r="AA330" s="548"/>
      <c r="AB330" s="548"/>
      <c r="AC330" s="548"/>
    </row>
    <row r="331" spans="1:68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1" t="s">
        <v>75</v>
      </c>
      <c r="Q331" s="562"/>
      <c r="R331" s="562"/>
      <c r="S331" s="562"/>
      <c r="T331" s="562"/>
      <c r="U331" s="562"/>
      <c r="V331" s="563"/>
      <c r="W331" s="37" t="s">
        <v>69</v>
      </c>
      <c r="X331" s="547">
        <f>IFERROR(SUM(X326:X329),"0")</f>
        <v>17</v>
      </c>
      <c r="Y331" s="547">
        <f>IFERROR(SUM(Y326:Y329),"0")</f>
        <v>17.849999999999998</v>
      </c>
      <c r="Z331" s="37"/>
      <c r="AA331" s="548"/>
      <c r="AB331" s="548"/>
      <c r="AC331" s="548"/>
    </row>
    <row r="332" spans="1:68" ht="14.25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534</v>
      </c>
      <c r="N333" s="33"/>
      <c r="O333" s="32">
        <v>730</v>
      </c>
      <c r="P333" s="7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5</v>
      </c>
      <c r="Y333" s="546">
        <f>IFERROR(IF(X333="",0,CEILING((X333/$H333),1)*$H333),"")</f>
        <v>6</v>
      </c>
      <c r="Z333" s="36">
        <f>IFERROR(IF(Y333=0,"",ROUNDUP(Y333/H333,0)*0.00474),"")</f>
        <v>1.422E-2</v>
      </c>
      <c r="AA333" s="56"/>
      <c r="AB333" s="57"/>
      <c r="AC333" s="389" t="s">
        <v>535</v>
      </c>
      <c r="AG333" s="64"/>
      <c r="AJ333" s="68"/>
      <c r="AK333" s="68">
        <v>0</v>
      </c>
      <c r="BB333" s="390" t="s">
        <v>1</v>
      </c>
      <c r="BM333" s="64">
        <f>IFERROR(X333*I333/H333,"0")</f>
        <v>5.6000000000000005</v>
      </c>
      <c r="BN333" s="64">
        <f>IFERROR(Y333*I333/H333,"0")</f>
        <v>6.7200000000000006</v>
      </c>
      <c r="BO333" s="64">
        <f>IFERROR(1/J333*(X333/H333),"0")</f>
        <v>1.0504201680672268E-2</v>
      </c>
      <c r="BP333" s="64">
        <f>IFERROR(1/J333*(Y333/H333),"0")</f>
        <v>1.2605042016806723E-2</v>
      </c>
    </row>
    <row r="334" spans="1:68" ht="27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6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6</v>
      </c>
      <c r="Y334" s="546">
        <f>IFERROR(IF(X334="",0,CEILING((X334/$H334),1)*$H334),"")</f>
        <v>6</v>
      </c>
      <c r="Z334" s="36">
        <f>IFERROR(IF(Y334=0,"",ROUNDUP(Y334/H334,0)*0.00474),"")</f>
        <v>1.422E-2</v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6.7200000000000006</v>
      </c>
      <c r="BN334" s="64">
        <f>IFERROR(Y334*I334/H334,"0")</f>
        <v>6.7200000000000006</v>
      </c>
      <c r="BO334" s="64">
        <f>IFERROR(1/J334*(X334/H334),"0")</f>
        <v>1.2605042016806723E-2</v>
      </c>
      <c r="BP334" s="64">
        <f>IFERROR(1/J334*(Y334/H334),"0")</f>
        <v>1.2605042016806723E-2</v>
      </c>
    </row>
    <row r="335" spans="1:68" ht="27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/>
      <c r="M335" s="33" t="s">
        <v>534</v>
      </c>
      <c r="N335" s="33"/>
      <c r="O335" s="32">
        <v>730</v>
      </c>
      <c r="P335" s="79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70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71"/>
      <c r="P336" s="561" t="s">
        <v>75</v>
      </c>
      <c r="Q336" s="562"/>
      <c r="R336" s="562"/>
      <c r="S336" s="562"/>
      <c r="T336" s="562"/>
      <c r="U336" s="562"/>
      <c r="V336" s="563"/>
      <c r="W336" s="37" t="s">
        <v>76</v>
      </c>
      <c r="X336" s="547">
        <f>IFERROR(X333/H333,"0")+IFERROR(X334/H334,"0")+IFERROR(X335/H335,"0")</f>
        <v>5.5</v>
      </c>
      <c r="Y336" s="547">
        <f>IFERROR(Y333/H333,"0")+IFERROR(Y334/H334,"0")+IFERROR(Y335/H335,"0")</f>
        <v>6</v>
      </c>
      <c r="Z336" s="547">
        <f>IFERROR(IF(Z333="",0,Z333),"0")+IFERROR(IF(Z334="",0,Z334),"0")+IFERROR(IF(Z335="",0,Z335),"0")</f>
        <v>2.844E-2</v>
      </c>
      <c r="AA336" s="548"/>
      <c r="AB336" s="548"/>
      <c r="AC336" s="548"/>
    </row>
    <row r="337" spans="1:68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71"/>
      <c r="P337" s="561" t="s">
        <v>75</v>
      </c>
      <c r="Q337" s="562"/>
      <c r="R337" s="562"/>
      <c r="S337" s="562"/>
      <c r="T337" s="562"/>
      <c r="U337" s="562"/>
      <c r="V337" s="563"/>
      <c r="W337" s="37" t="s">
        <v>69</v>
      </c>
      <c r="X337" s="547">
        <f>IFERROR(SUM(X333:X335),"0")</f>
        <v>11</v>
      </c>
      <c r="Y337" s="547">
        <f>IFERROR(SUM(Y333:Y335),"0")</f>
        <v>12</v>
      </c>
      <c r="Z337" s="37"/>
      <c r="AA337" s="548"/>
      <c r="AB337" s="548"/>
      <c r="AC337" s="548"/>
    </row>
    <row r="338" spans="1:68" ht="16.5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/>
      <c r="M340" s="33" t="s">
        <v>86</v>
      </c>
      <c r="N340" s="33"/>
      <c r="O340" s="32">
        <v>45</v>
      </c>
      <c r="P340" s="6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 t="s">
        <v>186</v>
      </c>
      <c r="M341" s="33" t="s">
        <v>80</v>
      </c>
      <c r="N341" s="33"/>
      <c r="O341" s="32">
        <v>45</v>
      </c>
      <c r="P341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0</v>
      </c>
      <c r="Y341" s="546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546</v>
      </c>
      <c r="AG341" s="64"/>
      <c r="AJ341" s="68" t="s">
        <v>106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 t="s">
        <v>186</v>
      </c>
      <c r="M342" s="33" t="s">
        <v>86</v>
      </c>
      <c r="N342" s="33"/>
      <c r="O342" s="32">
        <v>40</v>
      </c>
      <c r="P342" s="83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0</v>
      </c>
      <c r="Y342" s="546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x14ac:dyDescent="0.2">
      <c r="A343" s="570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71"/>
      <c r="P343" s="561" t="s">
        <v>75</v>
      </c>
      <c r="Q343" s="562"/>
      <c r="R343" s="562"/>
      <c r="S343" s="562"/>
      <c r="T343" s="562"/>
      <c r="U343" s="562"/>
      <c r="V343" s="563"/>
      <c r="W343" s="37" t="s">
        <v>76</v>
      </c>
      <c r="X343" s="547">
        <f>IFERROR(X340/H340,"0")+IFERROR(X341/H341,"0")+IFERROR(X342/H342,"0")</f>
        <v>0</v>
      </c>
      <c r="Y343" s="547">
        <f>IFERROR(Y340/H340,"0")+IFERROR(Y341/H341,"0")+IFERROR(Y342/H342,"0")</f>
        <v>0</v>
      </c>
      <c r="Z343" s="547">
        <f>IFERROR(IF(Z340="",0,Z340),"0")+IFERROR(IF(Z341="",0,Z341),"0")+IFERROR(IF(Z342="",0,Z342),"0")</f>
        <v>0</v>
      </c>
      <c r="AA343" s="548"/>
      <c r="AB343" s="548"/>
      <c r="AC343" s="548"/>
    </row>
    <row r="344" spans="1:68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71"/>
      <c r="P344" s="561" t="s">
        <v>75</v>
      </c>
      <c r="Q344" s="562"/>
      <c r="R344" s="562"/>
      <c r="S344" s="562"/>
      <c r="T344" s="562"/>
      <c r="U344" s="562"/>
      <c r="V344" s="563"/>
      <c r="W344" s="37" t="s">
        <v>69</v>
      </c>
      <c r="X344" s="547">
        <f>IFERROR(SUM(X340:X342),"0")</f>
        <v>0</v>
      </c>
      <c r="Y344" s="547">
        <f>IFERROR(SUM(Y340:Y342),"0")</f>
        <v>0</v>
      </c>
      <c r="Z344" s="37"/>
      <c r="AA344" s="548"/>
      <c r="AB344" s="548"/>
      <c r="AC344" s="548"/>
    </row>
    <row r="345" spans="1:68" ht="27.75" customHeight="1" x14ac:dyDescent="0.2">
      <c r="A345" s="639" t="s">
        <v>550</v>
      </c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40"/>
      <c r="P345" s="640"/>
      <c r="Q345" s="640"/>
      <c r="R345" s="640"/>
      <c r="S345" s="640"/>
      <c r="T345" s="640"/>
      <c r="U345" s="640"/>
      <c r="V345" s="640"/>
      <c r="W345" s="640"/>
      <c r="X345" s="640"/>
      <c r="Y345" s="640"/>
      <c r="Z345" s="640"/>
      <c r="AA345" s="48"/>
      <c r="AB345" s="48"/>
      <c r="AC345" s="48"/>
    </row>
    <row r="346" spans="1:68" ht="16.5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543</v>
      </c>
      <c r="Y348" s="546">
        <f t="shared" ref="Y348:Y354" si="31">IFERROR(IF(X348="",0,CEILING((X348/$H348),1)*$H348),"")</f>
        <v>555</v>
      </c>
      <c r="Z348" s="36">
        <f>IFERROR(IF(Y348=0,"",ROUNDUP(Y348/H348,0)*0.02175),"")</f>
        <v>0.80474999999999997</v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560.01400000000001</v>
      </c>
      <c r="BN348" s="64">
        <f t="shared" ref="BN348:BN354" si="33">IFERROR(Y348*I348/H348,"0")</f>
        <v>572.39</v>
      </c>
      <c r="BO348" s="64">
        <f t="shared" ref="BO348:BO354" si="34">IFERROR(1/J348*(X348/H348),"0")</f>
        <v>0.75416666666666665</v>
      </c>
      <c r="BP348" s="64">
        <f t="shared" ref="BP348:BP354" si="35">IFERROR(1/J348*(Y348/H348),"0")</f>
        <v>0.77083333333333326</v>
      </c>
    </row>
    <row r="349" spans="1:68" ht="27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438</v>
      </c>
      <c r="Y349" s="546">
        <f t="shared" si="31"/>
        <v>450</v>
      </c>
      <c r="Z349" s="36">
        <f>IFERROR(IF(Y349=0,"",ROUNDUP(Y349/H349,0)*0.02175),"")</f>
        <v>0.65249999999999997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451.72400000000005</v>
      </c>
      <c r="BN349" s="64">
        <f t="shared" si="33"/>
        <v>464.1</v>
      </c>
      <c r="BO349" s="64">
        <f t="shared" si="34"/>
        <v>0.60833333333333328</v>
      </c>
      <c r="BP349" s="64">
        <f t="shared" si="35"/>
        <v>0.625</v>
      </c>
    </row>
    <row r="350" spans="1:68" ht="37.5" customHeight="1" x14ac:dyDescent="0.25">
      <c r="A350" s="54" t="s">
        <v>558</v>
      </c>
      <c r="B350" s="54" t="s">
        <v>559</v>
      </c>
      <c r="C350" s="31">
        <v>4301011867</v>
      </c>
      <c r="D350" s="552">
        <v>4680115884830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6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350</v>
      </c>
      <c r="Y350" s="546">
        <f t="shared" si="31"/>
        <v>360</v>
      </c>
      <c r="Z350" s="36">
        <f>IFERROR(IF(Y350=0,"",ROUNDUP(Y350/H350,0)*0.02175),"")</f>
        <v>0.52200000000000002</v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2"/>
        <v>360.96666666666664</v>
      </c>
      <c r="BN350" s="64">
        <f t="shared" si="33"/>
        <v>371.28</v>
      </c>
      <c r="BO350" s="64">
        <f t="shared" si="34"/>
        <v>0.48611111111111105</v>
      </c>
      <c r="BP350" s="64">
        <f t="shared" si="35"/>
        <v>0.5</v>
      </c>
    </row>
    <row r="351" spans="1:68" ht="27" customHeight="1" x14ac:dyDescent="0.25">
      <c r="A351" s="54" t="s">
        <v>561</v>
      </c>
      <c r="B351" s="54" t="s">
        <v>562</v>
      </c>
      <c r="C351" s="31">
        <v>4301012215</v>
      </c>
      <c r="D351" s="552">
        <v>4680115887046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27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6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1" t="s">
        <v>75</v>
      </c>
      <c r="Q355" s="562"/>
      <c r="R355" s="562"/>
      <c r="S355" s="562"/>
      <c r="T355" s="562"/>
      <c r="U355" s="562"/>
      <c r="V355" s="563"/>
      <c r="W355" s="37" t="s">
        <v>76</v>
      </c>
      <c r="X355" s="547">
        <f>IFERROR(X348/H348,"0")+IFERROR(X349/H349,"0")+IFERROR(X350/H350,"0")+IFERROR(X351/H351,"0")+IFERROR(X352/H352,"0")+IFERROR(X353/H353,"0")+IFERROR(X354/H354,"0")</f>
        <v>88.733333333333334</v>
      </c>
      <c r="Y355" s="547">
        <f>IFERROR(Y348/H348,"0")+IFERROR(Y349/H349,"0")+IFERROR(Y350/H350,"0")+IFERROR(Y351/H351,"0")+IFERROR(Y352/H352,"0")+IFERROR(Y353/H353,"0")+IFERROR(Y354/H354,"0")</f>
        <v>91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1.97925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1" t="s">
        <v>75</v>
      </c>
      <c r="Q356" s="562"/>
      <c r="R356" s="562"/>
      <c r="S356" s="562"/>
      <c r="T356" s="562"/>
      <c r="U356" s="562"/>
      <c r="V356" s="563"/>
      <c r="W356" s="37" t="s">
        <v>69</v>
      </c>
      <c r="X356" s="547">
        <f>IFERROR(SUM(X348:X354),"0")</f>
        <v>1331</v>
      </c>
      <c r="Y356" s="547">
        <f>IFERROR(SUM(Y348:Y354),"0")</f>
        <v>1365</v>
      </c>
      <c r="Z356" s="37"/>
      <c r="AA356" s="548"/>
      <c r="AB356" s="548"/>
      <c r="AC356" s="548"/>
    </row>
    <row r="357" spans="1:68" ht="14.25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69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455</v>
      </c>
      <c r="Y358" s="546">
        <f>IFERROR(IF(X358="",0,CEILING((X358/$H358),1)*$H358),"")</f>
        <v>465</v>
      </c>
      <c r="Z358" s="36">
        <f>IFERROR(IF(Y358=0,"",ROUNDUP(Y358/H358,0)*0.02175),"")</f>
        <v>0.6742499999999999</v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469.25666666666672</v>
      </c>
      <c r="BN358" s="64">
        <f>IFERROR(Y358*I358/H358,"0")</f>
        <v>479.57</v>
      </c>
      <c r="BO358" s="64">
        <f>IFERROR(1/J358*(X358/H358),"0")</f>
        <v>0.63194444444444442</v>
      </c>
      <c r="BP358" s="64">
        <f>IFERROR(1/J358*(Y358/H358),"0")</f>
        <v>0.64583333333333326</v>
      </c>
    </row>
    <row r="359" spans="1:68" ht="27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1" t="s">
        <v>75</v>
      </c>
      <c r="Q360" s="562"/>
      <c r="R360" s="562"/>
      <c r="S360" s="562"/>
      <c r="T360" s="562"/>
      <c r="U360" s="562"/>
      <c r="V360" s="563"/>
      <c r="W360" s="37" t="s">
        <v>76</v>
      </c>
      <c r="X360" s="547">
        <f>IFERROR(X358/H358,"0")+IFERROR(X359/H359,"0")</f>
        <v>30.333333333333332</v>
      </c>
      <c r="Y360" s="547">
        <f>IFERROR(Y358/H358,"0")+IFERROR(Y359/H359,"0")</f>
        <v>31</v>
      </c>
      <c r="Z360" s="547">
        <f>IFERROR(IF(Z358="",0,Z358),"0")+IFERROR(IF(Z359="",0,Z359),"0")</f>
        <v>0.6742499999999999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1" t="s">
        <v>75</v>
      </c>
      <c r="Q361" s="562"/>
      <c r="R361" s="562"/>
      <c r="S361" s="562"/>
      <c r="T361" s="562"/>
      <c r="U361" s="562"/>
      <c r="V361" s="563"/>
      <c r="W361" s="37" t="s">
        <v>69</v>
      </c>
      <c r="X361" s="547">
        <f>IFERROR(SUM(X358:X359),"0")</f>
        <v>455</v>
      </c>
      <c r="Y361" s="547">
        <f>IFERROR(SUM(Y358:Y359),"0")</f>
        <v>465</v>
      </c>
      <c r="Z361" s="37"/>
      <c r="AA361" s="548"/>
      <c r="AB361" s="548"/>
      <c r="AC361" s="548"/>
    </row>
    <row r="362" spans="1:68" ht="14.25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0</v>
      </c>
      <c r="Y364" s="54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70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1" t="s">
        <v>75</v>
      </c>
      <c r="Q365" s="562"/>
      <c r="R365" s="562"/>
      <c r="S365" s="562"/>
      <c r="T365" s="562"/>
      <c r="U365" s="562"/>
      <c r="V365" s="563"/>
      <c r="W365" s="37" t="s">
        <v>76</v>
      </c>
      <c r="X365" s="547">
        <f>IFERROR(X363/H363,"0")+IFERROR(X364/H364,"0")</f>
        <v>0</v>
      </c>
      <c r="Y365" s="547">
        <f>IFERROR(Y363/H363,"0")+IFERROR(Y364/H364,"0")</f>
        <v>0</v>
      </c>
      <c r="Z365" s="547">
        <f>IFERROR(IF(Z363="",0,Z363),"0")+IFERROR(IF(Z364="",0,Z364),"0")</f>
        <v>0</v>
      </c>
      <c r="AA365" s="548"/>
      <c r="AB365" s="548"/>
      <c r="AC365" s="548"/>
    </row>
    <row r="366" spans="1:68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71"/>
      <c r="P366" s="561" t="s">
        <v>75</v>
      </c>
      <c r="Q366" s="562"/>
      <c r="R366" s="562"/>
      <c r="S366" s="562"/>
      <c r="T366" s="562"/>
      <c r="U366" s="562"/>
      <c r="V366" s="563"/>
      <c r="W366" s="37" t="s">
        <v>69</v>
      </c>
      <c r="X366" s="547">
        <f>IFERROR(SUM(X363:X364),"0")</f>
        <v>0</v>
      </c>
      <c r="Y366" s="547">
        <f>IFERROR(SUM(Y363:Y364),"0")</f>
        <v>0</v>
      </c>
      <c r="Z366" s="37"/>
      <c r="AA366" s="548"/>
      <c r="AB366" s="548"/>
      <c r="AC366" s="548"/>
    </row>
    <row r="367" spans="1:68" ht="14.25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70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71"/>
      <c r="P369" s="561" t="s">
        <v>75</v>
      </c>
      <c r="Q369" s="562"/>
      <c r="R369" s="562"/>
      <c r="S369" s="562"/>
      <c r="T369" s="562"/>
      <c r="U369" s="562"/>
      <c r="V369" s="563"/>
      <c r="W369" s="37" t="s">
        <v>76</v>
      </c>
      <c r="X369" s="547">
        <f>IFERROR(X368/H368,"0")</f>
        <v>0</v>
      </c>
      <c r="Y369" s="547">
        <f>IFERROR(Y368/H368,"0")</f>
        <v>0</v>
      </c>
      <c r="Z369" s="547">
        <f>IFERROR(IF(Z368="",0,Z368),"0")</f>
        <v>0</v>
      </c>
      <c r="AA369" s="548"/>
      <c r="AB369" s="548"/>
      <c r="AC369" s="548"/>
    </row>
    <row r="370" spans="1:68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1" t="s">
        <v>75</v>
      </c>
      <c r="Q370" s="562"/>
      <c r="R370" s="562"/>
      <c r="S370" s="562"/>
      <c r="T370" s="562"/>
      <c r="U370" s="562"/>
      <c r="V370" s="563"/>
      <c r="W370" s="37" t="s">
        <v>69</v>
      </c>
      <c r="X370" s="547">
        <f>IFERROR(SUM(X368:X368),"0")</f>
        <v>0</v>
      </c>
      <c r="Y370" s="547">
        <f>IFERROR(SUM(Y368:Y368),"0")</f>
        <v>0</v>
      </c>
      <c r="Z370" s="37"/>
      <c r="AA370" s="548"/>
      <c r="AB370" s="548"/>
      <c r="AC370" s="548"/>
    </row>
    <row r="371" spans="1:68" ht="16.5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 t="s">
        <v>103</v>
      </c>
      <c r="M373" s="33" t="s">
        <v>68</v>
      </c>
      <c r="N373" s="33"/>
      <c r="O373" s="32">
        <v>60</v>
      </c>
      <c r="P373" s="87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589</v>
      </c>
      <c r="AG373" s="64"/>
      <c r="AJ373" s="68" t="s">
        <v>106</v>
      </c>
      <c r="AK373" s="68">
        <v>96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1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1" t="s">
        <v>75</v>
      </c>
      <c r="Q375" s="562"/>
      <c r="R375" s="562"/>
      <c r="S375" s="562"/>
      <c r="T375" s="562"/>
      <c r="U375" s="562"/>
      <c r="V375" s="563"/>
      <c r="W375" s="37" t="s">
        <v>76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1" t="s">
        <v>75</v>
      </c>
      <c r="Q376" s="562"/>
      <c r="R376" s="562"/>
      <c r="S376" s="562"/>
      <c r="T376" s="562"/>
      <c r="U376" s="562"/>
      <c r="V376" s="563"/>
      <c r="W376" s="37" t="s">
        <v>69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592</v>
      </c>
      <c r="B378" s="54" t="s">
        <v>593</v>
      </c>
      <c r="C378" s="31">
        <v>4301031303</v>
      </c>
      <c r="D378" s="552">
        <v>4607091384802</v>
      </c>
      <c r="E378" s="553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109</v>
      </c>
      <c r="L378" s="32" t="s">
        <v>110</v>
      </c>
      <c r="M378" s="33" t="s">
        <v>68</v>
      </c>
      <c r="N378" s="33"/>
      <c r="O378" s="32">
        <v>35</v>
      </c>
      <c r="P378" s="67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 t="s">
        <v>106</v>
      </c>
      <c r="AK378" s="68">
        <v>52.56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592</v>
      </c>
      <c r="B379" s="54" t="s">
        <v>595</v>
      </c>
      <c r="C379" s="31">
        <v>4301031457</v>
      </c>
      <c r="D379" s="552">
        <v>4607091384802</v>
      </c>
      <c r="E379" s="553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59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70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71"/>
      <c r="P380" s="561" t="s">
        <v>75</v>
      </c>
      <c r="Q380" s="562"/>
      <c r="R380" s="562"/>
      <c r="S380" s="562"/>
      <c r="T380" s="562"/>
      <c r="U380" s="562"/>
      <c r="V380" s="563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1" t="s">
        <v>75</v>
      </c>
      <c r="Q381" s="562"/>
      <c r="R381" s="562"/>
      <c r="S381" s="562"/>
      <c r="T381" s="562"/>
      <c r="U381" s="562"/>
      <c r="V381" s="563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85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503</v>
      </c>
      <c r="Y383" s="546">
        <f>IFERROR(IF(X383="",0,CEILING((X383/$H383),1)*$H383),"")</f>
        <v>504</v>
      </c>
      <c r="Z383" s="36">
        <f>IFERROR(IF(Y383=0,"",ROUNDUP(Y383/H383,0)*0.01898),"")</f>
        <v>1.06288</v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530.60911111111113</v>
      </c>
      <c r="BN383" s="64">
        <f>IFERROR(Y383*I383/H383,"0")</f>
        <v>531.66399999999999</v>
      </c>
      <c r="BO383" s="64">
        <f>IFERROR(1/J383*(X383/H383),"0")</f>
        <v>0.87326388888888884</v>
      </c>
      <c r="BP383" s="64">
        <f>IFERROR(1/J383*(Y383/H383),"0")</f>
        <v>0.875</v>
      </c>
    </row>
    <row r="384" spans="1:68" ht="27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 t="s">
        <v>186</v>
      </c>
      <c r="M384" s="33" t="s">
        <v>80</v>
      </c>
      <c r="N384" s="33"/>
      <c r="O384" s="32">
        <v>40</v>
      </c>
      <c r="P384" s="57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 t="s">
        <v>106</v>
      </c>
      <c r="AK384" s="68">
        <v>33.6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70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71"/>
      <c r="P386" s="561" t="s">
        <v>75</v>
      </c>
      <c r="Q386" s="562"/>
      <c r="R386" s="562"/>
      <c r="S386" s="562"/>
      <c r="T386" s="562"/>
      <c r="U386" s="562"/>
      <c r="V386" s="563"/>
      <c r="W386" s="37" t="s">
        <v>76</v>
      </c>
      <c r="X386" s="547">
        <f>IFERROR(X383/H383,"0")+IFERROR(X384/H384,"0")+IFERROR(X385/H385,"0")</f>
        <v>55.888888888888886</v>
      </c>
      <c r="Y386" s="547">
        <f>IFERROR(Y383/H383,"0")+IFERROR(Y384/H384,"0")+IFERROR(Y385/H385,"0")</f>
        <v>56</v>
      </c>
      <c r="Z386" s="547">
        <f>IFERROR(IF(Z383="",0,Z383),"0")+IFERROR(IF(Z384="",0,Z384),"0")+IFERROR(IF(Z385="",0,Z385),"0")</f>
        <v>1.06288</v>
      </c>
      <c r="AA386" s="548"/>
      <c r="AB386" s="548"/>
      <c r="AC386" s="548"/>
    </row>
    <row r="387" spans="1:68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71"/>
      <c r="P387" s="561" t="s">
        <v>75</v>
      </c>
      <c r="Q387" s="562"/>
      <c r="R387" s="562"/>
      <c r="S387" s="562"/>
      <c r="T387" s="562"/>
      <c r="U387" s="562"/>
      <c r="V387" s="563"/>
      <c r="W387" s="37" t="s">
        <v>69</v>
      </c>
      <c r="X387" s="547">
        <f>IFERROR(SUM(X383:X385),"0")</f>
        <v>503</v>
      </c>
      <c r="Y387" s="547">
        <f>IFERROR(SUM(Y383:Y385),"0")</f>
        <v>504</v>
      </c>
      <c r="Z387" s="37"/>
      <c r="AA387" s="548"/>
      <c r="AB387" s="548"/>
      <c r="AC387" s="548"/>
    </row>
    <row r="388" spans="1:68" ht="27.75" customHeight="1" x14ac:dyDescent="0.2">
      <c r="A388" s="639" t="s">
        <v>604</v>
      </c>
      <c r="B388" s="640"/>
      <c r="C388" s="640"/>
      <c r="D388" s="640"/>
      <c r="E388" s="640"/>
      <c r="F388" s="640"/>
      <c r="G388" s="640"/>
      <c r="H388" s="640"/>
      <c r="I388" s="640"/>
      <c r="J388" s="640"/>
      <c r="K388" s="640"/>
      <c r="L388" s="640"/>
      <c r="M388" s="640"/>
      <c r="N388" s="640"/>
      <c r="O388" s="640"/>
      <c r="P388" s="640"/>
      <c r="Q388" s="640"/>
      <c r="R388" s="640"/>
      <c r="S388" s="640"/>
      <c r="T388" s="640"/>
      <c r="U388" s="640"/>
      <c r="V388" s="640"/>
      <c r="W388" s="640"/>
      <c r="X388" s="640"/>
      <c r="Y388" s="640"/>
      <c r="Z388" s="640"/>
      <c r="AA388" s="48"/>
      <c r="AB388" s="48"/>
      <c r="AC388" s="48"/>
    </row>
    <row r="389" spans="1:68" ht="16.5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56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 t="s">
        <v>110</v>
      </c>
      <c r="M393" s="33" t="s">
        <v>68</v>
      </c>
      <c r="N393" s="33"/>
      <c r="O393" s="32">
        <v>50</v>
      </c>
      <c r="P393" s="74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 t="s">
        <v>106</v>
      </c>
      <c r="AK393" s="68">
        <v>64.8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1" t="s">
        <v>75</v>
      </c>
      <c r="Q400" s="562"/>
      <c r="R400" s="562"/>
      <c r="S400" s="562"/>
      <c r="T400" s="562"/>
      <c r="U400" s="562"/>
      <c r="V400" s="563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0</v>
      </c>
      <c r="Y400" s="547">
        <f>IFERROR(Y391/H391,"0")+IFERROR(Y392/H392,"0")+IFERROR(Y393/H393,"0")+IFERROR(Y394/H394,"0")+IFERROR(Y395/H395,"0")+IFERROR(Y396/H396,"0")+IFERROR(Y397/H397,"0")+IFERROR(Y398/H398,"0")+IFERROR(Y399/H399,"0")</f>
        <v>0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1" t="s">
        <v>75</v>
      </c>
      <c r="Q401" s="562"/>
      <c r="R401" s="562"/>
      <c r="S401" s="562"/>
      <c r="T401" s="562"/>
      <c r="U401" s="562"/>
      <c r="V401" s="563"/>
      <c r="W401" s="37" t="s">
        <v>69</v>
      </c>
      <c r="X401" s="547">
        <f>IFERROR(SUM(X391:X399),"0")</f>
        <v>0</v>
      </c>
      <c r="Y401" s="547">
        <f>IFERROR(SUM(Y391:Y399),"0")</f>
        <v>0</v>
      </c>
      <c r="Z401" s="37"/>
      <c r="AA401" s="548"/>
      <c r="AB401" s="548"/>
      <c r="AC401" s="548"/>
    </row>
    <row r="402" spans="1:68" ht="14.25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1" t="s">
        <v>75</v>
      </c>
      <c r="Q405" s="562"/>
      <c r="R405" s="562"/>
      <c r="S405" s="562"/>
      <c r="T405" s="562"/>
      <c r="U405" s="562"/>
      <c r="V405" s="563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1" t="s">
        <v>75</v>
      </c>
      <c r="Q406" s="562"/>
      <c r="R406" s="562"/>
      <c r="S406" s="562"/>
      <c r="T406" s="562"/>
      <c r="U406" s="562"/>
      <c r="V406" s="563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70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71"/>
      <c r="P410" s="561" t="s">
        <v>75</v>
      </c>
      <c r="Q410" s="562"/>
      <c r="R410" s="562"/>
      <c r="S410" s="562"/>
      <c r="T410" s="562"/>
      <c r="U410" s="562"/>
      <c r="V410" s="563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71"/>
      <c r="P411" s="561" t="s">
        <v>75</v>
      </c>
      <c r="Q411" s="562"/>
      <c r="R411" s="562"/>
      <c r="S411" s="562"/>
      <c r="T411" s="562"/>
      <c r="U411" s="562"/>
      <c r="V411" s="563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/>
      <c r="M413" s="33" t="s">
        <v>104</v>
      </c>
      <c r="N413" s="33"/>
      <c r="O413" s="32">
        <v>50</v>
      </c>
      <c r="P413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1" t="s">
        <v>75</v>
      </c>
      <c r="Q417" s="562"/>
      <c r="R417" s="562"/>
      <c r="S417" s="562"/>
      <c r="T417" s="562"/>
      <c r="U417" s="562"/>
      <c r="V417" s="563"/>
      <c r="W417" s="37" t="s">
        <v>76</v>
      </c>
      <c r="X417" s="547">
        <f>IFERROR(X413/H413,"0")+IFERROR(X414/H414,"0")+IFERROR(X415/H415,"0")+IFERROR(X416/H416,"0")</f>
        <v>0</v>
      </c>
      <c r="Y417" s="547">
        <f>IFERROR(Y413/H413,"0")+IFERROR(Y414/H414,"0")+IFERROR(Y415/H415,"0")+IFERROR(Y416/H416,"0")</f>
        <v>0</v>
      </c>
      <c r="Z417" s="547">
        <f>IFERROR(IF(Z413="",0,Z413),"0")+IFERROR(IF(Z414="",0,Z414),"0")+IFERROR(IF(Z415="",0,Z415),"0")+IFERROR(IF(Z416="",0,Z416),"0")</f>
        <v>0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1" t="s">
        <v>75</v>
      </c>
      <c r="Q418" s="562"/>
      <c r="R418" s="562"/>
      <c r="S418" s="562"/>
      <c r="T418" s="562"/>
      <c r="U418" s="562"/>
      <c r="V418" s="563"/>
      <c r="W418" s="37" t="s">
        <v>69</v>
      </c>
      <c r="X418" s="547">
        <f>IFERROR(SUM(X413:X416),"0")</f>
        <v>0</v>
      </c>
      <c r="Y418" s="547">
        <f>IFERROR(SUM(Y413:Y416),"0")</f>
        <v>0</v>
      </c>
      <c r="Z418" s="37"/>
      <c r="AA418" s="548"/>
      <c r="AB418" s="548"/>
      <c r="AC418" s="548"/>
    </row>
    <row r="419" spans="1:68" ht="16.5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3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570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71"/>
      <c r="P422" s="561" t="s">
        <v>75</v>
      </c>
      <c r="Q422" s="562"/>
      <c r="R422" s="562"/>
      <c r="S422" s="562"/>
      <c r="T422" s="562"/>
      <c r="U422" s="562"/>
      <c r="V422" s="563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71"/>
      <c r="P423" s="561" t="s">
        <v>75</v>
      </c>
      <c r="Q423" s="562"/>
      <c r="R423" s="562"/>
      <c r="S423" s="562"/>
      <c r="T423" s="562"/>
      <c r="U423" s="562"/>
      <c r="V423" s="563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customHeight="1" x14ac:dyDescent="0.2">
      <c r="A424" s="639" t="s">
        <v>655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48"/>
      <c r="AB424" s="48"/>
      <c r="AC424" s="48"/>
    </row>
    <row r="425" spans="1:68" ht="16.5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71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118</v>
      </c>
      <c r="Y427" s="546">
        <f t="shared" ref="Y427:Y438" si="42">IFERROR(IF(X427="",0,CEILING((X427/$H427),1)*$H427),"")</f>
        <v>121.44000000000001</v>
      </c>
      <c r="Z427" s="36">
        <f t="shared" ref="Z427:Z433" si="43">IFERROR(IF(Y427=0,"",ROUNDUP(Y427/H427,0)*0.01196),"")</f>
        <v>0.27507999999999999</v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125.8219696969697</v>
      </c>
      <c r="BN427" s="64">
        <f t="shared" ref="BN427:BN438" si="45">IFERROR(Y427*I427/H427,"0")</f>
        <v>129.49</v>
      </c>
      <c r="BO427" s="64">
        <f t="shared" ref="BO427:BO438" si="46">IFERROR(1/J427*(X427/H427),"0")</f>
        <v>0.21488927738927741</v>
      </c>
      <c r="BP427" s="64">
        <f t="shared" ref="BP427:BP438" si="47">IFERROR(1/J427*(Y427/H427),"0")</f>
        <v>0.22115384615384617</v>
      </c>
    </row>
    <row r="428" spans="1:68" ht="27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 t="s">
        <v>103</v>
      </c>
      <c r="M430" s="33" t="s">
        <v>104</v>
      </c>
      <c r="N430" s="33"/>
      <c r="O430" s="32">
        <v>60</v>
      </c>
      <c r="P430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664</v>
      </c>
      <c r="AG430" s="64"/>
      <c r="AJ430" s="68" t="s">
        <v>106</v>
      </c>
      <c r="AK430" s="68">
        <v>42.24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8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275</v>
      </c>
      <c r="Y431" s="546">
        <f t="shared" si="42"/>
        <v>279.84000000000003</v>
      </c>
      <c r="Z431" s="36">
        <f t="shared" si="43"/>
        <v>0.63388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293.22916666666663</v>
      </c>
      <c r="BN431" s="64">
        <f t="shared" si="45"/>
        <v>298.39000000000004</v>
      </c>
      <c r="BO431" s="64">
        <f t="shared" si="46"/>
        <v>0.50080128205128205</v>
      </c>
      <c r="BP431" s="64">
        <f t="shared" si="47"/>
        <v>0.50961538461538469</v>
      </c>
    </row>
    <row r="432" spans="1:68" ht="16.5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5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 t="shared" si="43"/>
        <v/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86</v>
      </c>
      <c r="Y435" s="546">
        <f t="shared" si="42"/>
        <v>86.399999999999991</v>
      </c>
      <c r="Z435" s="36">
        <f>IFERROR(IF(Y435=0,"",ROUNDUP(Y435/H435,0)*0.00902),"")</f>
        <v>0.16236</v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123.80416666666667</v>
      </c>
      <c r="BN435" s="64">
        <f t="shared" si="45"/>
        <v>124.38000000000001</v>
      </c>
      <c r="BO435" s="64">
        <f t="shared" si="46"/>
        <v>0.13573232323232323</v>
      </c>
      <c r="BP435" s="64">
        <f t="shared" si="47"/>
        <v>0.13636363636363635</v>
      </c>
    </row>
    <row r="436" spans="1:68" ht="27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/>
      <c r="M438" s="33" t="s">
        <v>104</v>
      </c>
      <c r="N438" s="33"/>
      <c r="O438" s="32">
        <v>60</v>
      </c>
      <c r="P438" s="72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0</v>
      </c>
      <c r="Y438" s="546">
        <f t="shared" si="42"/>
        <v>0</v>
      </c>
      <c r="Z438" s="36" t="str">
        <f>IFERROR(IF(Y438=0,"",ROUNDUP(Y438/H438,0)*0.00902),"")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4"/>
        <v>0</v>
      </c>
      <c r="BN438" s="64">
        <f t="shared" si="45"/>
        <v>0</v>
      </c>
      <c r="BO438" s="64">
        <f t="shared" si="46"/>
        <v>0</v>
      </c>
      <c r="BP438" s="64">
        <f t="shared" si="47"/>
        <v>0</v>
      </c>
    </row>
    <row r="439" spans="1:68" x14ac:dyDescent="0.2">
      <c r="A439" s="570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71"/>
      <c r="P439" s="561" t="s">
        <v>75</v>
      </c>
      <c r="Q439" s="562"/>
      <c r="R439" s="562"/>
      <c r="S439" s="562"/>
      <c r="T439" s="562"/>
      <c r="U439" s="562"/>
      <c r="V439" s="563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92.348484848484844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94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1.0713200000000001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1" t="s">
        <v>75</v>
      </c>
      <c r="Q440" s="562"/>
      <c r="R440" s="562"/>
      <c r="S440" s="562"/>
      <c r="T440" s="562"/>
      <c r="U440" s="562"/>
      <c r="V440" s="563"/>
      <c r="W440" s="37" t="s">
        <v>69</v>
      </c>
      <c r="X440" s="547">
        <f>IFERROR(SUM(X427:X438),"0")</f>
        <v>479</v>
      </c>
      <c r="Y440" s="547">
        <f>IFERROR(SUM(Y427:Y438),"0")</f>
        <v>487.68</v>
      </c>
      <c r="Z440" s="37"/>
      <c r="AA440" s="548"/>
      <c r="AB440" s="548"/>
      <c r="AC440" s="548"/>
    </row>
    <row r="441" spans="1:68" ht="14.25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569</v>
      </c>
      <c r="Y442" s="546">
        <f>IFERROR(IF(X442="",0,CEILING((X442/$H442),1)*$H442),"")</f>
        <v>570.24</v>
      </c>
      <c r="Z442" s="36">
        <f>IFERROR(IF(Y442=0,"",ROUNDUP(Y442/H442,0)*0.01196),"")</f>
        <v>1.2916799999999999</v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606.717803030303</v>
      </c>
      <c r="BN442" s="64">
        <f>IFERROR(Y442*I442/H442,"0")</f>
        <v>608.04</v>
      </c>
      <c r="BO442" s="64">
        <f>IFERROR(1/J442*(X442/H442),"0")</f>
        <v>1.0362033799533801</v>
      </c>
      <c r="BP442" s="64">
        <f>IFERROR(1/J442*(Y442/H442),"0")</f>
        <v>1.0384615384615385</v>
      </c>
    </row>
    <row r="443" spans="1:68" ht="16.5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 t="s">
        <v>110</v>
      </c>
      <c r="M444" s="33" t="s">
        <v>104</v>
      </c>
      <c r="N444" s="33"/>
      <c r="O444" s="32">
        <v>70</v>
      </c>
      <c r="P444" s="87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114</v>
      </c>
      <c r="Y444" s="546">
        <f>IFERROR(IF(X444="",0,CEILING((X444/$H444),1)*$H444),"")</f>
        <v>115.19999999999999</v>
      </c>
      <c r="Z444" s="36">
        <f>IFERROR(IF(Y444=0,"",ROUNDUP(Y444/H444,0)*0.00902),"")</f>
        <v>0.21648000000000001</v>
      </c>
      <c r="AA444" s="56"/>
      <c r="AB444" s="57"/>
      <c r="AC444" s="501" t="s">
        <v>687</v>
      </c>
      <c r="AG444" s="64"/>
      <c r="AJ444" s="68" t="s">
        <v>106</v>
      </c>
      <c r="AK444" s="68">
        <v>57.6</v>
      </c>
      <c r="BB444" s="502" t="s">
        <v>1</v>
      </c>
      <c r="BM444" s="64">
        <f>IFERROR(X444*I444/H444,"0")</f>
        <v>164.11250000000001</v>
      </c>
      <c r="BN444" s="64">
        <f>IFERROR(Y444*I444/H444,"0")</f>
        <v>165.84</v>
      </c>
      <c r="BO444" s="64">
        <f>IFERROR(1/J444*(X444/H444),"0")</f>
        <v>0.17992424242424243</v>
      </c>
      <c r="BP444" s="64">
        <f>IFERROR(1/J444*(Y444/H444),"0")</f>
        <v>0.18181818181818182</v>
      </c>
    </row>
    <row r="445" spans="1:68" x14ac:dyDescent="0.2">
      <c r="A445" s="570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71"/>
      <c r="P445" s="561" t="s">
        <v>75</v>
      </c>
      <c r="Q445" s="562"/>
      <c r="R445" s="562"/>
      <c r="S445" s="562"/>
      <c r="T445" s="562"/>
      <c r="U445" s="562"/>
      <c r="V445" s="563"/>
      <c r="W445" s="37" t="s">
        <v>76</v>
      </c>
      <c r="X445" s="547">
        <f>IFERROR(X442/H442,"0")+IFERROR(X443/H443,"0")+IFERROR(X444/H444,"0")</f>
        <v>131.5151515151515</v>
      </c>
      <c r="Y445" s="547">
        <f>IFERROR(Y442/H442,"0")+IFERROR(Y443/H443,"0")+IFERROR(Y444/H444,"0")</f>
        <v>132</v>
      </c>
      <c r="Z445" s="547">
        <f>IFERROR(IF(Z442="",0,Z442),"0")+IFERROR(IF(Z443="",0,Z443),"0")+IFERROR(IF(Z444="",0,Z444),"0")</f>
        <v>1.5081599999999999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71"/>
      <c r="P446" s="561" t="s">
        <v>75</v>
      </c>
      <c r="Q446" s="562"/>
      <c r="R446" s="562"/>
      <c r="S446" s="562"/>
      <c r="T446" s="562"/>
      <c r="U446" s="562"/>
      <c r="V446" s="563"/>
      <c r="W446" s="37" t="s">
        <v>69</v>
      </c>
      <c r="X446" s="547">
        <f>IFERROR(SUM(X442:X444),"0")</f>
        <v>683</v>
      </c>
      <c r="Y446" s="547">
        <f>IFERROR(SUM(Y442:Y444),"0")</f>
        <v>685.44</v>
      </c>
      <c r="Z446" s="37"/>
      <c r="AA446" s="548"/>
      <c r="AB446" s="548"/>
      <c r="AC446" s="548"/>
    </row>
    <row r="447" spans="1:68" ht="14.25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3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0</v>
      </c>
      <c r="Y448" s="546">
        <f t="shared" ref="Y448:Y453" si="48"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0</v>
      </c>
      <c r="BN448" s="64">
        <f t="shared" ref="BN448:BN453" si="50">IFERROR(Y448*I448/H448,"0")</f>
        <v>0</v>
      </c>
      <c r="BO448" s="64">
        <f t="shared" ref="BO448:BO453" si="51">IFERROR(1/J448*(X448/H448),"0")</f>
        <v>0</v>
      </c>
      <c r="BP448" s="64">
        <f t="shared" ref="BP448:BP453" si="52">IFERROR(1/J448*(Y448/H448),"0")</f>
        <v>0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6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272</v>
      </c>
      <c r="Y449" s="546">
        <f t="shared" si="48"/>
        <v>274.56</v>
      </c>
      <c r="Z449" s="36">
        <f>IFERROR(IF(Y449=0,"",ROUNDUP(Y449/H449,0)*0.01196),"")</f>
        <v>0.62192000000000003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290.030303030303</v>
      </c>
      <c r="BN449" s="64">
        <f t="shared" si="50"/>
        <v>292.76</v>
      </c>
      <c r="BO449" s="64">
        <f t="shared" si="51"/>
        <v>0.49533799533799538</v>
      </c>
      <c r="BP449" s="64">
        <f t="shared" si="52"/>
        <v>0.5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653</v>
      </c>
      <c r="Y450" s="546">
        <f t="shared" si="48"/>
        <v>654.72</v>
      </c>
      <c r="Z450" s="36">
        <f>IFERROR(IF(Y450=0,"",ROUNDUP(Y450/H450,0)*0.01196),"")</f>
        <v>1.4830399999999999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696.28598484848476</v>
      </c>
      <c r="BN450" s="64">
        <f t="shared" si="50"/>
        <v>698.12</v>
      </c>
      <c r="BO450" s="64">
        <f t="shared" si="51"/>
        <v>1.189175407925408</v>
      </c>
      <c r="BP450" s="64">
        <f t="shared" si="52"/>
        <v>1.1923076923076923</v>
      </c>
    </row>
    <row r="451" spans="1:68" ht="27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x14ac:dyDescent="0.2">
      <c r="A454" s="570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71"/>
      <c r="P454" s="561" t="s">
        <v>75</v>
      </c>
      <c r="Q454" s="562"/>
      <c r="R454" s="562"/>
      <c r="S454" s="562"/>
      <c r="T454" s="562"/>
      <c r="U454" s="562"/>
      <c r="V454" s="563"/>
      <c r="W454" s="37" t="s">
        <v>76</v>
      </c>
      <c r="X454" s="547">
        <f>IFERROR(X448/H448,"0")+IFERROR(X449/H449,"0")+IFERROR(X450/H450,"0")+IFERROR(X451/H451,"0")+IFERROR(X452/H452,"0")+IFERROR(X453/H453,"0")</f>
        <v>175.18939393939394</v>
      </c>
      <c r="Y454" s="547">
        <f>IFERROR(Y448/H448,"0")+IFERROR(Y449/H449,"0")+IFERROR(Y450/H450,"0")+IFERROR(Y451/H451,"0")+IFERROR(Y452/H452,"0")+IFERROR(Y453/H453,"0")</f>
        <v>176</v>
      </c>
      <c r="Z454" s="547">
        <f>IFERROR(IF(Z448="",0,Z448),"0")+IFERROR(IF(Z449="",0,Z449),"0")+IFERROR(IF(Z450="",0,Z450),"0")+IFERROR(IF(Z451="",0,Z451),"0")+IFERROR(IF(Z452="",0,Z452),"0")+IFERROR(IF(Z453="",0,Z453),"0")</f>
        <v>2.1049600000000002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1" t="s">
        <v>75</v>
      </c>
      <c r="Q455" s="562"/>
      <c r="R455" s="562"/>
      <c r="S455" s="562"/>
      <c r="T455" s="562"/>
      <c r="U455" s="562"/>
      <c r="V455" s="563"/>
      <c r="W455" s="37" t="s">
        <v>69</v>
      </c>
      <c r="X455" s="547">
        <f>IFERROR(SUM(X448:X453),"0")</f>
        <v>925</v>
      </c>
      <c r="Y455" s="547">
        <f>IFERROR(SUM(Y448:Y453),"0")</f>
        <v>929.28</v>
      </c>
      <c r="Z455" s="37"/>
      <c r="AA455" s="548"/>
      <c r="AB455" s="548"/>
      <c r="AC455" s="548"/>
    </row>
    <row r="456" spans="1:68" ht="27.75" customHeight="1" x14ac:dyDescent="0.2">
      <c r="A456" s="639" t="s">
        <v>707</v>
      </c>
      <c r="B456" s="640"/>
      <c r="C456" s="640"/>
      <c r="D456" s="640"/>
      <c r="E456" s="640"/>
      <c r="F456" s="640"/>
      <c r="G456" s="640"/>
      <c r="H456" s="640"/>
      <c r="I456" s="640"/>
      <c r="J456" s="640"/>
      <c r="K456" s="640"/>
      <c r="L456" s="640"/>
      <c r="M456" s="640"/>
      <c r="N456" s="640"/>
      <c r="O456" s="640"/>
      <c r="P456" s="640"/>
      <c r="Q456" s="640"/>
      <c r="R456" s="640"/>
      <c r="S456" s="640"/>
      <c r="T456" s="640"/>
      <c r="U456" s="640"/>
      <c r="V456" s="640"/>
      <c r="W456" s="640"/>
      <c r="X456" s="640"/>
      <c r="Y456" s="640"/>
      <c r="Z456" s="640"/>
      <c r="AA456" s="48"/>
      <c r="AB456" s="48"/>
      <c r="AC456" s="48"/>
    </row>
    <row r="457" spans="1:68" ht="16.5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7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8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 t="s">
        <v>103</v>
      </c>
      <c r="M461" s="33" t="s">
        <v>104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 t="s">
        <v>106</v>
      </c>
      <c r="AK461" s="68">
        <v>96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70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71"/>
      <c r="P463" s="561" t="s">
        <v>75</v>
      </c>
      <c r="Q463" s="562"/>
      <c r="R463" s="562"/>
      <c r="S463" s="562"/>
      <c r="T463" s="562"/>
      <c r="U463" s="562"/>
      <c r="V463" s="563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1" t="s">
        <v>75</v>
      </c>
      <c r="Q464" s="562"/>
      <c r="R464" s="562"/>
      <c r="S464" s="562"/>
      <c r="T464" s="562"/>
      <c r="U464" s="562"/>
      <c r="V464" s="563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70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71"/>
      <c r="P468" s="561" t="s">
        <v>75</v>
      </c>
      <c r="Q468" s="562"/>
      <c r="R468" s="562"/>
      <c r="S468" s="562"/>
      <c r="T468" s="562"/>
      <c r="U468" s="562"/>
      <c r="V468" s="563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71"/>
      <c r="P469" s="561" t="s">
        <v>75</v>
      </c>
      <c r="Q469" s="562"/>
      <c r="R469" s="562"/>
      <c r="S469" s="562"/>
      <c r="T469" s="562"/>
      <c r="U469" s="562"/>
      <c r="V469" s="563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70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71"/>
      <c r="P472" s="561" t="s">
        <v>75</v>
      </c>
      <c r="Q472" s="562"/>
      <c r="R472" s="562"/>
      <c r="S472" s="562"/>
      <c r="T472" s="562"/>
      <c r="U472" s="562"/>
      <c r="V472" s="563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71"/>
      <c r="P473" s="561" t="s">
        <v>75</v>
      </c>
      <c r="Q473" s="562"/>
      <c r="R473" s="562"/>
      <c r="S473" s="562"/>
      <c r="T473" s="562"/>
      <c r="U473" s="562"/>
      <c r="V473" s="563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 t="s">
        <v>103</v>
      </c>
      <c r="M475" s="33" t="s">
        <v>86</v>
      </c>
      <c r="N475" s="33"/>
      <c r="O475" s="32">
        <v>45</v>
      </c>
      <c r="P475" s="7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0</v>
      </c>
      <c r="Y475" s="546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9" t="s">
        <v>730</v>
      </c>
      <c r="AG475" s="64"/>
      <c r="AJ475" s="68" t="s">
        <v>106</v>
      </c>
      <c r="AK475" s="68">
        <v>72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70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1" t="s">
        <v>75</v>
      </c>
      <c r="Q476" s="562"/>
      <c r="R476" s="562"/>
      <c r="S476" s="562"/>
      <c r="T476" s="562"/>
      <c r="U476" s="562"/>
      <c r="V476" s="563"/>
      <c r="W476" s="37" t="s">
        <v>76</v>
      </c>
      <c r="X476" s="547">
        <f>IFERROR(X475/H475,"0")</f>
        <v>0</v>
      </c>
      <c r="Y476" s="547">
        <f>IFERROR(Y475/H475,"0")</f>
        <v>0</v>
      </c>
      <c r="Z476" s="547">
        <f>IFERROR(IF(Z475="",0,Z475),"0")</f>
        <v>0</v>
      </c>
      <c r="AA476" s="548"/>
      <c r="AB476" s="548"/>
      <c r="AC476" s="548"/>
    </row>
    <row r="477" spans="1:68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71"/>
      <c r="P477" s="561" t="s">
        <v>75</v>
      </c>
      <c r="Q477" s="562"/>
      <c r="R477" s="562"/>
      <c r="S477" s="562"/>
      <c r="T477" s="562"/>
      <c r="U477" s="562"/>
      <c r="V477" s="563"/>
      <c r="W477" s="37" t="s">
        <v>69</v>
      </c>
      <c r="X477" s="547">
        <f>IFERROR(SUM(X475:X475),"0")</f>
        <v>0</v>
      </c>
      <c r="Y477" s="547">
        <f>IFERROR(SUM(Y475:Y475),"0")</f>
        <v>0</v>
      </c>
      <c r="Z477" s="37"/>
      <c r="AA477" s="548"/>
      <c r="AB477" s="548"/>
      <c r="AC477" s="548"/>
    </row>
    <row r="478" spans="1:68" ht="14.25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70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71"/>
      <c r="P481" s="561" t="s">
        <v>75</v>
      </c>
      <c r="Q481" s="562"/>
      <c r="R481" s="562"/>
      <c r="S481" s="562"/>
      <c r="T481" s="562"/>
      <c r="U481" s="562"/>
      <c r="V481" s="563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71"/>
      <c r="P482" s="561" t="s">
        <v>75</v>
      </c>
      <c r="Q482" s="562"/>
      <c r="R482" s="562"/>
      <c r="S482" s="562"/>
      <c r="T482" s="562"/>
      <c r="U482" s="562"/>
      <c r="V482" s="563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70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71"/>
      <c r="P486" s="561" t="s">
        <v>75</v>
      </c>
      <c r="Q486" s="562"/>
      <c r="R486" s="562"/>
      <c r="S486" s="562"/>
      <c r="T486" s="562"/>
      <c r="U486" s="562"/>
      <c r="V486" s="563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71"/>
      <c r="P487" s="561" t="s">
        <v>75</v>
      </c>
      <c r="Q487" s="562"/>
      <c r="R487" s="562"/>
      <c r="S487" s="562"/>
      <c r="T487" s="562"/>
      <c r="U487" s="562"/>
      <c r="V487" s="563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6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17"/>
      <c r="P488" s="646" t="s">
        <v>741</v>
      </c>
      <c r="Q488" s="647"/>
      <c r="R488" s="647"/>
      <c r="S488" s="647"/>
      <c r="T488" s="647"/>
      <c r="U488" s="647"/>
      <c r="V488" s="648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7757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7906.56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17"/>
      <c r="P489" s="646" t="s">
        <v>742</v>
      </c>
      <c r="Q489" s="647"/>
      <c r="R489" s="647"/>
      <c r="S489" s="647"/>
      <c r="T489" s="647"/>
      <c r="U489" s="647"/>
      <c r="V489" s="648"/>
      <c r="W489" s="37" t="s">
        <v>69</v>
      </c>
      <c r="X489" s="547">
        <f>IFERROR(SUM(BM22:BM485),"0")</f>
        <v>8256.5403547182923</v>
      </c>
      <c r="Y489" s="547">
        <f>IFERROR(SUM(BN22:BN485),"0")</f>
        <v>8414.3540000000012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17"/>
      <c r="P490" s="646" t="s">
        <v>743</v>
      </c>
      <c r="Q490" s="647"/>
      <c r="R490" s="647"/>
      <c r="S490" s="647"/>
      <c r="T490" s="647"/>
      <c r="U490" s="647"/>
      <c r="V490" s="648"/>
      <c r="W490" s="37" t="s">
        <v>744</v>
      </c>
      <c r="X490" s="38">
        <f>ROUNDUP(SUM(BO22:BO485),0)</f>
        <v>14</v>
      </c>
      <c r="Y490" s="38">
        <f>ROUNDUP(SUM(BP22:BP485),0)</f>
        <v>14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7"/>
      <c r="P491" s="646" t="s">
        <v>745</v>
      </c>
      <c r="Q491" s="647"/>
      <c r="R491" s="647"/>
      <c r="S491" s="647"/>
      <c r="T491" s="647"/>
      <c r="U491" s="647"/>
      <c r="V491" s="648"/>
      <c r="W491" s="37" t="s">
        <v>69</v>
      </c>
      <c r="X491" s="547">
        <f>GrossWeightTotal+PalletQtyTotal*25</f>
        <v>8606.5403547182923</v>
      </c>
      <c r="Y491" s="547">
        <f>GrossWeightTotalR+PalletQtyTotalR*25</f>
        <v>8764.3540000000012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7"/>
      <c r="P492" s="646" t="s">
        <v>746</v>
      </c>
      <c r="Q492" s="647"/>
      <c r="R492" s="647"/>
      <c r="S492" s="647"/>
      <c r="T492" s="647"/>
      <c r="U492" s="647"/>
      <c r="V492" s="648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1346.7048281008051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1371</v>
      </c>
      <c r="Z492" s="37"/>
      <c r="AA492" s="548"/>
      <c r="AB492" s="548"/>
      <c r="AC492" s="548"/>
    </row>
    <row r="493" spans="1:68" ht="14.25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7"/>
      <c r="P493" s="646" t="s">
        <v>747</v>
      </c>
      <c r="Q493" s="647"/>
      <c r="R493" s="647"/>
      <c r="S493" s="647"/>
      <c r="T493" s="647"/>
      <c r="U493" s="647"/>
      <c r="V493" s="648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15.91962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83" t="s">
        <v>97</v>
      </c>
      <c r="D495" s="605"/>
      <c r="E495" s="605"/>
      <c r="F495" s="605"/>
      <c r="G495" s="605"/>
      <c r="H495" s="606"/>
      <c r="I495" s="583" t="s">
        <v>263</v>
      </c>
      <c r="J495" s="605"/>
      <c r="K495" s="605"/>
      <c r="L495" s="605"/>
      <c r="M495" s="605"/>
      <c r="N495" s="605"/>
      <c r="O495" s="605"/>
      <c r="P495" s="605"/>
      <c r="Q495" s="605"/>
      <c r="R495" s="606"/>
      <c r="S495" s="583" t="s">
        <v>550</v>
      </c>
      <c r="T495" s="606"/>
      <c r="U495" s="583" t="s">
        <v>604</v>
      </c>
      <c r="V495" s="605"/>
      <c r="W495" s="606"/>
      <c r="X495" s="542" t="s">
        <v>655</v>
      </c>
      <c r="Y495" s="583" t="s">
        <v>707</v>
      </c>
      <c r="Z495" s="606"/>
      <c r="AB495" s="52"/>
      <c r="AC495" s="52"/>
      <c r="AF495" s="543"/>
    </row>
    <row r="496" spans="1:68" ht="14.25" customHeight="1" thickTop="1" x14ac:dyDescent="0.2">
      <c r="A496" s="611" t="s">
        <v>750</v>
      </c>
      <c r="B496" s="583" t="s">
        <v>63</v>
      </c>
      <c r="C496" s="583" t="s">
        <v>98</v>
      </c>
      <c r="D496" s="583" t="s">
        <v>116</v>
      </c>
      <c r="E496" s="583" t="s">
        <v>167</v>
      </c>
      <c r="F496" s="583" t="s">
        <v>190</v>
      </c>
      <c r="G496" s="583" t="s">
        <v>227</v>
      </c>
      <c r="H496" s="583" t="s">
        <v>97</v>
      </c>
      <c r="I496" s="583" t="s">
        <v>264</v>
      </c>
      <c r="J496" s="583" t="s">
        <v>319</v>
      </c>
      <c r="K496" s="583" t="s">
        <v>379</v>
      </c>
      <c r="L496" s="583" t="s">
        <v>420</v>
      </c>
      <c r="M496" s="583" t="s">
        <v>436</v>
      </c>
      <c r="N496" s="543"/>
      <c r="O496" s="583" t="s">
        <v>447</v>
      </c>
      <c r="P496" s="583" t="s">
        <v>456</v>
      </c>
      <c r="Q496" s="583" t="s">
        <v>469</v>
      </c>
      <c r="R496" s="583" t="s">
        <v>540</v>
      </c>
      <c r="S496" s="583" t="s">
        <v>551</v>
      </c>
      <c r="T496" s="583" t="s">
        <v>586</v>
      </c>
      <c r="U496" s="583" t="s">
        <v>605</v>
      </c>
      <c r="V496" s="583" t="s">
        <v>636</v>
      </c>
      <c r="W496" s="583" t="s">
        <v>651</v>
      </c>
      <c r="X496" s="583" t="s">
        <v>655</v>
      </c>
      <c r="Y496" s="583" t="s">
        <v>707</v>
      </c>
      <c r="Z496" s="583" t="s">
        <v>737</v>
      </c>
      <c r="AB496" s="52"/>
      <c r="AC496" s="52"/>
      <c r="AF496" s="543"/>
    </row>
    <row r="497" spans="1:32" ht="13.5" customHeight="1" thickBot="1" x14ac:dyDescent="0.25">
      <c r="A497" s="612"/>
      <c r="B497" s="584"/>
      <c r="C497" s="584"/>
      <c r="D497" s="584"/>
      <c r="E497" s="584"/>
      <c r="F497" s="584"/>
      <c r="G497" s="584"/>
      <c r="H497" s="584"/>
      <c r="I497" s="584"/>
      <c r="J497" s="584"/>
      <c r="K497" s="584"/>
      <c r="L497" s="584"/>
      <c r="M497" s="584"/>
      <c r="N497" s="543"/>
      <c r="O497" s="584"/>
      <c r="P497" s="584"/>
      <c r="Q497" s="584"/>
      <c r="R497" s="584"/>
      <c r="S497" s="584"/>
      <c r="T497" s="584"/>
      <c r="U497" s="584"/>
      <c r="V497" s="584"/>
      <c r="W497" s="584"/>
      <c r="X497" s="584"/>
      <c r="Y497" s="584"/>
      <c r="Z497" s="584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486.00000000000006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539.20000000000005</v>
      </c>
      <c r="E498" s="46">
        <f>IFERROR(Y84*1,"0")+IFERROR(Y85*1,"0")+IFERROR(Y86*1,"0")+IFERROR(Y87*1,"0")+IFERROR(Y91*1,"0")+IFERROR(Y92*1,"0")+IFERROR(Y93*1,"0")+IFERROR(Y94*1,"0")</f>
        <v>437.4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418.5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233.76000000000002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1237.2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19.25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60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38.849999999999994</v>
      </c>
      <c r="R498" s="46">
        <f>IFERROR(Y340*1,"0")+IFERROR(Y341*1,"0")+IFERROR(Y342*1,"0")</f>
        <v>0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1830</v>
      </c>
      <c r="T498" s="46">
        <f>IFERROR(Y373*1,"0")+IFERROR(Y374*1,"0")+IFERROR(Y378*1,"0")+IFERROR(Y379*1,"0")+IFERROR(Y383*1,"0")+IFERROR(Y384*1,"0")+IFERROR(Y385*1,"0")</f>
        <v>504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46">
        <f>IFERROR(Y409*1,"0")+IFERROR(Y413*1,"0")+IFERROR(Y414*1,"0")+IFERROR(Y415*1,"0")+IFERROR(Y416*1,"0")</f>
        <v>0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2102.4</v>
      </c>
      <c r="Y498" s="46">
        <f>IFERROR(Y459*1,"0")+IFERROR(Y460*1,"0")+IFERROR(Y461*1,"0")+IFERROR(Y462*1,"0")+IFERROR(Y466*1,"0")+IFERROR(Y467*1,"0")+IFERROR(Y471*1,"0")+IFERROR(Y475*1,"0")+IFERROR(Y479*1,"0")+IFERROR(Y480*1,"0")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43"/>
    </row>
  </sheetData>
  <sheetProtection algorithmName="SHA-512" hashValue="fnz0DG5DRnjJHhCnQRq2YTTa9uvGcHaAiAay2SESnKKo4UuJQRxCkWI9o2YNV+q3J90/sJ4nTcs8+MmCxx0OYw==" saltValue="c1Vg350yDZ4Cj/oCuRd2x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D291:E291"/>
    <mergeCell ref="D239:E239"/>
    <mergeCell ref="P174:T174"/>
    <mergeCell ref="P149:T149"/>
    <mergeCell ref="A339:Z339"/>
    <mergeCell ref="M496:M497"/>
    <mergeCell ref="D218:E218"/>
    <mergeCell ref="O496:O497"/>
    <mergeCell ref="A347:Z347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P468:V468"/>
    <mergeCell ref="A160:Z160"/>
    <mergeCell ref="A141:Z141"/>
    <mergeCell ref="A144:O145"/>
    <mergeCell ref="A135:Z135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161:T161"/>
    <mergeCell ref="P459:T459"/>
    <mergeCell ref="D198:E198"/>
    <mergeCell ref="D296:E296"/>
    <mergeCell ref="P275:V275"/>
    <mergeCell ref="P104:V104"/>
    <mergeCell ref="D427:E42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P81:V81"/>
    <mergeCell ref="D51:E51"/>
    <mergeCell ref="D349:E349"/>
    <mergeCell ref="P306:T306"/>
    <mergeCell ref="P157:V157"/>
    <mergeCell ref="A38:Z38"/>
    <mergeCell ref="P455:V455"/>
    <mergeCell ref="A454:O455"/>
    <mergeCell ref="P249:V249"/>
    <mergeCell ref="P207:T207"/>
    <mergeCell ref="A372:Z372"/>
    <mergeCell ref="P299:T299"/>
    <mergeCell ref="P386:V386"/>
    <mergeCell ref="P393:T393"/>
    <mergeCell ref="D374:E374"/>
    <mergeCell ref="A338:Z338"/>
    <mergeCell ref="D203:E203"/>
    <mergeCell ref="P232:T232"/>
    <mergeCell ref="P152:V152"/>
    <mergeCell ref="A82:Z82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P51:T51"/>
    <mergeCell ref="P58:V58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A419:Z419"/>
    <mergeCell ref="P204:T204"/>
    <mergeCell ref="Q496:Q497"/>
    <mergeCell ref="S496:S497"/>
    <mergeCell ref="D348:E348"/>
    <mergeCell ref="D62:E62"/>
    <mergeCell ref="P454:V454"/>
    <mergeCell ref="D56:E56"/>
    <mergeCell ref="D485:E485"/>
    <mergeCell ref="P216:T216"/>
    <mergeCell ref="D137:E137"/>
    <mergeCell ref="P360:V360"/>
    <mergeCell ref="P80:V80"/>
    <mergeCell ref="D74:E74"/>
    <mergeCell ref="P87:T87"/>
    <mergeCell ref="P451:T451"/>
    <mergeCell ref="A470:Z470"/>
    <mergeCell ref="D335:E335"/>
    <mergeCell ref="A375:O376"/>
    <mergeCell ref="D188:E188"/>
    <mergeCell ref="P322:T322"/>
    <mergeCell ref="D132:E132"/>
    <mergeCell ref="D399:E399"/>
    <mergeCell ref="A439:O440"/>
    <mergeCell ref="P309:T309"/>
    <mergeCell ref="D193:E193"/>
    <mergeCell ref="P206:T206"/>
    <mergeCell ref="D127:E127"/>
    <mergeCell ref="P448:T448"/>
    <mergeCell ref="P233:T233"/>
    <mergeCell ref="P304:T304"/>
    <mergeCell ref="D176:E176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D93:E93"/>
    <mergeCell ref="A133:O134"/>
    <mergeCell ref="D391:E391"/>
    <mergeCell ref="D220:E220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8 X84 X86:X87 X91 X93:X94 X99 X101:X102 X107 X114 X116 X126:X127 X131 X167 X169 X176 X194 X203:X208 X210 X214:X217 X219:X222 X239 X261 X263 X279:X280 X305 X313 X321 X328:X329 X341:X342 X348:X350 X358 X373 X378 X383:X384 X393 X427 X430:X431 X433 X442 X444 X448:X450 X461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nRcQEMPvMMmv2SF8IJ/JgXk+B1RH85izkwPFln9byq4yteWfcc6RwY+XBRJyrm2yQPtRJm/89Z1REextb5Prdg==" saltValue="PKk/GTZvaZqeR9LB7x0hE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2026-01-23T10:02:00Z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