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DC2B0EA-E5D4-443E-9473-486570C282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Y201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Y128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1" i="1" s="1"/>
  <c r="P27" i="1"/>
  <c r="X25" i="1"/>
  <c r="X488" i="1" s="1"/>
  <c r="X24" i="1"/>
  <c r="BP23" i="1"/>
  <c r="BO23" i="1"/>
  <c r="BN23" i="1"/>
  <c r="BM23" i="1"/>
  <c r="Z23" i="1"/>
  <c r="Y23" i="1"/>
  <c r="P23" i="1"/>
  <c r="BO22" i="1"/>
  <c r="X490" i="1" s="1"/>
  <c r="BM22" i="1"/>
  <c r="X489" i="1" s="1"/>
  <c r="X491" i="1" s="1"/>
  <c r="Y22" i="1"/>
  <c r="B498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492" i="1"/>
  <c r="Y25" i="1"/>
  <c r="Z28" i="1"/>
  <c r="Z31" i="1" s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Y133" i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Z301" i="1" s="1"/>
  <c r="Q498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H9" i="1"/>
  <c r="Y24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Z63" i="1" s="1"/>
  <c r="BP73" i="1"/>
  <c r="BN73" i="1"/>
  <c r="Z73" i="1"/>
  <c r="BP86" i="1"/>
  <c r="BN86" i="1"/>
  <c r="Z86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BP132" i="1"/>
  <c r="BN132" i="1"/>
  <c r="Z132" i="1"/>
  <c r="Z133" i="1" s="1"/>
  <c r="Y134" i="1"/>
  <c r="Y139" i="1"/>
  <c r="BP136" i="1"/>
  <c r="BN136" i="1"/>
  <c r="Z136" i="1"/>
  <c r="Z138" i="1" s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12" i="1"/>
  <c r="BP203" i="1"/>
  <c r="BN203" i="1"/>
  <c r="Z203" i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Z281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Z355" i="1" s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Z400" i="1" s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54" i="1" l="1"/>
  <c r="Z417" i="1"/>
  <c r="Z274" i="1"/>
  <c r="Z257" i="1"/>
  <c r="Z211" i="1"/>
  <c r="Z179" i="1"/>
  <c r="Z95" i="1"/>
  <c r="Z88" i="1"/>
  <c r="Z75" i="1"/>
  <c r="Y489" i="1"/>
  <c r="Z336" i="1"/>
  <c r="Z266" i="1"/>
  <c r="Z241" i="1"/>
  <c r="Z104" i="1"/>
  <c r="Y492" i="1"/>
  <c r="Z317" i="1"/>
  <c r="Z152" i="1"/>
  <c r="Z43" i="1"/>
  <c r="Y488" i="1"/>
  <c r="Y490" i="1"/>
  <c r="Z493" i="1"/>
  <c r="Y491" i="1" l="1"/>
</calcChain>
</file>

<file path=xl/sharedStrings.xml><?xml version="1.0" encoding="utf-8"?>
<sst xmlns="http://schemas.openxmlformats.org/spreadsheetml/2006/main" count="2319" uniqueCount="767">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</sst>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4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41</v>
      </c>
      <c r="Y42" s="546">
        <f>IFERROR(IF(X42="",0,CEILING((X42/$H42),1)*$H42),"")</f>
        <v>44.400000000000006</v>
      </c>
      <c r="Z42" s="36">
        <f>IFERROR(IF(Y42=0,"",ROUNDUP(Y42/H42,0)*0.00902),"")</f>
        <v>0.10824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43.105405405405406</v>
      </c>
      <c r="BN42" s="64">
        <f>IFERROR(Y42*I42/H42,"0")</f>
        <v>46.680000000000007</v>
      </c>
      <c r="BO42" s="64">
        <f>IFERROR(1/J42*(X42/H42),"0")</f>
        <v>8.3947583947583948E-2</v>
      </c>
      <c r="BP42" s="64">
        <f>IFERROR(1/J42*(Y42/H42),"0")</f>
        <v>9.0909090909090925E-2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11.081081081081081</v>
      </c>
      <c r="Y43" s="547">
        <f>IFERROR(Y40/H40,"0")+IFERROR(Y41/H41,"0")+IFERROR(Y42/H42,"0")</f>
        <v>12.000000000000002</v>
      </c>
      <c r="Z43" s="547">
        <f>IFERROR(IF(Z40="",0,Z40),"0")+IFERROR(IF(Z41="",0,Z41),"0")+IFERROR(IF(Z42="",0,Z42),"0")</f>
        <v>0.10824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41</v>
      </c>
      <c r="Y44" s="547">
        <f>IFERROR(SUM(Y40:Y42),"0")</f>
        <v>44.400000000000006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7</v>
      </c>
      <c r="Y54" s="546">
        <f t="shared" si="0"/>
        <v>8</v>
      </c>
      <c r="Z54" s="36">
        <f>IFERROR(IF(Y54=0,"",ROUNDUP(Y54/H54,0)*0.00902),"")</f>
        <v>1.804E-2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7.3325000000000005</v>
      </c>
      <c r="BN54" s="64">
        <f t="shared" si="2"/>
        <v>8.3800000000000008</v>
      </c>
      <c r="BO54" s="64">
        <f t="shared" si="3"/>
        <v>1.3257575757575758E-2</v>
      </c>
      <c r="BP54" s="64">
        <f t="shared" si="4"/>
        <v>1.5151515151515152E-2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1.75</v>
      </c>
      <c r="Y57" s="547">
        <f>IFERROR(Y51/H51,"0")+IFERROR(Y52/H52,"0")+IFERROR(Y53/H53,"0")+IFERROR(Y54/H54,"0")+IFERROR(Y55/H55,"0")+IFERROR(Y56/H56,"0")</f>
        <v>2</v>
      </c>
      <c r="Z57" s="547">
        <f>IFERROR(IF(Z51="",0,Z51),"0")+IFERROR(IF(Z52="",0,Z52),"0")+IFERROR(IF(Z53="",0,Z53),"0")+IFERROR(IF(Z54="",0,Z54),"0")+IFERROR(IF(Z55="",0,Z55),"0")+IFERROR(IF(Z56="",0,Z56),"0")</f>
        <v>1.804E-2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7</v>
      </c>
      <c r="Y58" s="547">
        <f>IFERROR(SUM(Y51:Y56),"0")</f>
        <v>8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18</v>
      </c>
      <c r="Y87" s="546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18.760000000000002</v>
      </c>
      <c r="BN87" s="64">
        <f>IFERROR(Y87*I87/H87,"0")</f>
        <v>18.760000000000002</v>
      </c>
      <c r="BO87" s="64">
        <f>IFERROR(1/J87*(X87/H87),"0")</f>
        <v>3.0303030303030304E-2</v>
      </c>
      <c r="BP87" s="64">
        <f>IFERROR(1/J87*(Y87/H87),"0")</f>
        <v>3.0303030303030304E-2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4</v>
      </c>
      <c r="Y88" s="547">
        <f>IFERROR(Y84/H84,"0")+IFERROR(Y85/H85,"0")+IFERROR(Y86/H86,"0")+IFERROR(Y87/H87,"0")</f>
        <v>4</v>
      </c>
      <c r="Z88" s="547">
        <f>IFERROR(IF(Z84="",0,Z84),"0")+IFERROR(IF(Z85="",0,Z85),"0")+IFERROR(IF(Z86="",0,Z86),"0")+IFERROR(IF(Z87="",0,Z87),"0")</f>
        <v>3.6080000000000001E-2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18</v>
      </c>
      <c r="Y89" s="547">
        <f>IFERROR(SUM(Y84:Y87),"0")</f>
        <v>18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16</v>
      </c>
      <c r="Y99" s="546">
        <f>IFERROR(IF(X99="",0,CEILING((X99/$H99),1)*$H99),"")</f>
        <v>21.6</v>
      </c>
      <c r="Z99" s="36">
        <f>IFERROR(IF(Y99=0,"",ROUNDUP(Y99/H99,0)*0.01898),"")</f>
        <v>3.7960000000000001E-2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16.607407407407408</v>
      </c>
      <c r="BN99" s="64">
        <f>IFERROR(Y99*I99/H99,"0")</f>
        <v>22.42</v>
      </c>
      <c r="BO99" s="64">
        <f>IFERROR(1/J99*(X99/H99),"0")</f>
        <v>2.3148148148148147E-2</v>
      </c>
      <c r="BP99" s="64">
        <f>IFERROR(1/J99*(Y99/H99),"0")</f>
        <v>3.125E-2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30</v>
      </c>
      <c r="Y102" s="546">
        <f>IFERROR(IF(X102="",0,CEILING((X102/$H102),1)*$H102),"")</f>
        <v>31.5</v>
      </c>
      <c r="Z102" s="36">
        <f>IFERROR(IF(Y102=0,"",ROUNDUP(Y102/H102,0)*0.00902),"")</f>
        <v>6.3140000000000002E-2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31.266666666666669</v>
      </c>
      <c r="BN102" s="64">
        <f>IFERROR(Y102*I102/H102,"0")</f>
        <v>32.830000000000005</v>
      </c>
      <c r="BO102" s="64">
        <f>IFERROR(1/J102*(X102/H102),"0")</f>
        <v>5.0505050505050511E-2</v>
      </c>
      <c r="BP102" s="64">
        <f>IFERROR(1/J102*(Y102/H102),"0")</f>
        <v>5.3030303030303032E-2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8.1481481481481488</v>
      </c>
      <c r="Y104" s="547">
        <f>IFERROR(Y99/H99,"0")+IFERROR(Y100/H100,"0")+IFERROR(Y101/H101,"0")+IFERROR(Y102/H102,"0")+IFERROR(Y103/H103,"0")</f>
        <v>9</v>
      </c>
      <c r="Z104" s="547">
        <f>IFERROR(IF(Z99="",0,Z99),"0")+IFERROR(IF(Z100="",0,Z100),"0")+IFERROR(IF(Z101="",0,Z101),"0")+IFERROR(IF(Z102="",0,Z102),"0")+IFERROR(IF(Z103="",0,Z103),"0")</f>
        <v>0.1011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46</v>
      </c>
      <c r="Y105" s="547">
        <f>IFERROR(SUM(Y99:Y103),"0")</f>
        <v>53.1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39</v>
      </c>
      <c r="Y114" s="546">
        <f>IFERROR(IF(X114="",0,CEILING((X114/$H114),1)*$H114),"")</f>
        <v>40.5</v>
      </c>
      <c r="Z114" s="36">
        <f>IFERROR(IF(Y114=0,"",ROUNDUP(Y114/H114,0)*0.01898),"")</f>
        <v>9.4899999999999998E-2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41.349629629629625</v>
      </c>
      <c r="BN114" s="64">
        <f>IFERROR(Y114*I114/H114,"0")</f>
        <v>42.94</v>
      </c>
      <c r="BO114" s="64">
        <f>IFERROR(1/J114*(X114/H114),"0")</f>
        <v>7.5231481481481483E-2</v>
      </c>
      <c r="BP114" s="64">
        <f>IFERROR(1/J114*(Y114/H114),"0")</f>
        <v>7.8125E-2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4.8148148148148149</v>
      </c>
      <c r="Y118" s="547">
        <f>IFERROR(Y114/H114,"0")+IFERROR(Y115/H115,"0")+IFERROR(Y116/H116,"0")+IFERROR(Y117/H117,"0")</f>
        <v>5</v>
      </c>
      <c r="Z118" s="547">
        <f>IFERROR(IF(Z114="",0,Z114),"0")+IFERROR(IF(Z115="",0,Z115),"0")+IFERROR(IF(Z116="",0,Z116),"0")+IFERROR(IF(Z117="",0,Z117),"0")</f>
        <v>9.4899999999999998E-2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39</v>
      </c>
      <c r="Y119" s="547">
        <f>IFERROR(SUM(Y114:Y117),"0")</f>
        <v>40.5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7</v>
      </c>
      <c r="Y169" s="546">
        <f t="shared" si="5"/>
        <v>8.4</v>
      </c>
      <c r="Z169" s="36">
        <f>IFERROR(IF(Y169=0,"",ROUNDUP(Y169/H169,0)*0.00502),"")</f>
        <v>2.0080000000000001E-2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7.4333333333333327</v>
      </c>
      <c r="BN169" s="64">
        <f t="shared" si="7"/>
        <v>8.92</v>
      </c>
      <c r="BO169" s="64">
        <f t="shared" si="8"/>
        <v>1.4245014245014245E-2</v>
      </c>
      <c r="BP169" s="64">
        <f t="shared" si="9"/>
        <v>1.7094017094017096E-2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14</v>
      </c>
      <c r="Y176" s="546">
        <f t="shared" si="5"/>
        <v>14.700000000000001</v>
      </c>
      <c r="Z176" s="36">
        <f>IFERROR(IF(Y176=0,"",ROUNDUP(Y176/H176,0)*0.00502),"")</f>
        <v>3.5140000000000005E-2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14.666666666666668</v>
      </c>
      <c r="BN176" s="64">
        <f t="shared" si="7"/>
        <v>15.4</v>
      </c>
      <c r="BO176" s="64">
        <f t="shared" si="8"/>
        <v>2.8490028490028491E-2</v>
      </c>
      <c r="BP176" s="64">
        <f t="shared" si="9"/>
        <v>2.9914529914529919E-2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11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5.5220000000000005E-2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21</v>
      </c>
      <c r="Y180" s="547">
        <f>IFERROR(SUM(Y165:Y178),"0")</f>
        <v>23.1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186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199</v>
      </c>
      <c r="Y203" s="546">
        <f t="shared" ref="Y203:Y210" si="10">IFERROR(IF(X203="",0,CEILING((X203/$H203),1)*$H203),"")</f>
        <v>199.8</v>
      </c>
      <c r="Z203" s="36">
        <f>IFERROR(IF(Y203=0,"",ROUNDUP(Y203/H203,0)*0.00902),"")</f>
        <v>0.33374000000000004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206.00185185185185</v>
      </c>
      <c r="BN203" s="64">
        <f t="shared" ref="BN203:BN210" si="12">IFERROR(Y203*I203/H203,"0")</f>
        <v>206.82999999999998</v>
      </c>
      <c r="BO203" s="64">
        <f t="shared" ref="BO203:BO210" si="13">IFERROR(1/J203*(X203/H203),"0")</f>
        <v>0.27918069584736249</v>
      </c>
      <c r="BP203" s="64">
        <f t="shared" ref="BP203:BP210" si="14">IFERROR(1/J203*(Y203/H203),"0")</f>
        <v>0.28030303030303033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159</v>
      </c>
      <c r="Y204" s="546">
        <f t="shared" si="10"/>
        <v>162</v>
      </c>
      <c r="Z204" s="36">
        <f>IFERROR(IF(Y204=0,"",ROUNDUP(Y204/H204,0)*0.00902),"")</f>
        <v>0.27060000000000001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164.59444444444443</v>
      </c>
      <c r="BN204" s="64">
        <f t="shared" si="12"/>
        <v>167.7</v>
      </c>
      <c r="BO204" s="64">
        <f t="shared" si="13"/>
        <v>0.22306397306397305</v>
      </c>
      <c r="BP204" s="64">
        <f t="shared" si="14"/>
        <v>0.22727272727272727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63</v>
      </c>
      <c r="Y206" s="546">
        <f t="shared" si="10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65.216666666666669</v>
      </c>
      <c r="BN206" s="64">
        <f t="shared" si="12"/>
        <v>67.08</v>
      </c>
      <c r="BO206" s="64">
        <f t="shared" si="13"/>
        <v>8.8383838383838384E-2</v>
      </c>
      <c r="BP206" s="64">
        <f t="shared" si="14"/>
        <v>9.0909090909090925E-2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4</v>
      </c>
      <c r="Y208" s="546">
        <f t="shared" si="10"/>
        <v>5.4</v>
      </c>
      <c r="Z208" s="36">
        <f>IFERROR(IF(Y208=0,"",ROUNDUP(Y208/H208,0)*0.00502),"")</f>
        <v>1.506E-2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4.2222222222222223</v>
      </c>
      <c r="BN208" s="64">
        <f t="shared" si="12"/>
        <v>5.7</v>
      </c>
      <c r="BO208" s="64">
        <f t="shared" si="13"/>
        <v>9.4966761633428314E-3</v>
      </c>
      <c r="BP208" s="64">
        <f t="shared" si="14"/>
        <v>1.2820512820512822E-2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80.18518518518519</v>
      </c>
      <c r="Y211" s="547">
        <f>IFERROR(Y203/H203,"0")+IFERROR(Y204/H204,"0")+IFERROR(Y205/H205,"0")+IFERROR(Y206/H206,"0")+IFERROR(Y207/H207,"0")+IFERROR(Y208/H208,"0")+IFERROR(Y209/H209,"0")+IFERROR(Y210/H210,"0")</f>
        <v>82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0.72764000000000006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425</v>
      </c>
      <c r="Y212" s="547">
        <f>IFERROR(SUM(Y203:Y210),"0")</f>
        <v>432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28</v>
      </c>
      <c r="Y219" s="546">
        <f t="shared" si="15"/>
        <v>28.799999999999997</v>
      </c>
      <c r="Z219" s="36">
        <f t="shared" si="20"/>
        <v>7.8119999999999995E-2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30.94</v>
      </c>
      <c r="BN219" s="64">
        <f t="shared" si="17"/>
        <v>31.824000000000002</v>
      </c>
      <c r="BO219" s="64">
        <f t="shared" si="18"/>
        <v>6.4102564102564111E-2</v>
      </c>
      <c r="BP219" s="64">
        <f t="shared" si="19"/>
        <v>6.5934065934065936E-2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11.666666666666668</v>
      </c>
      <c r="Y223" s="547">
        <f>IFERROR(Y214/H214,"0")+IFERROR(Y215/H215,"0")+IFERROR(Y216/H216,"0")+IFERROR(Y217/H217,"0")+IFERROR(Y218/H218,"0")+IFERROR(Y219/H219,"0")+IFERROR(Y220/H220,"0")+IFERROR(Y221/H221,"0")+IFERROR(Y222/H222,"0")</f>
        <v>12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7.8119999999999995E-2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28</v>
      </c>
      <c r="Y224" s="547">
        <f>IFERROR(SUM(Y214:Y222),"0")</f>
        <v>28.799999999999997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186</v>
      </c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186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16</v>
      </c>
      <c r="Y279" s="546">
        <f>IFERROR(IF(X279="",0,CEILING((X279/$H279),1)*$H279),"")</f>
        <v>16.8</v>
      </c>
      <c r="Z279" s="36">
        <f>IFERROR(IF(Y279=0,"",ROUNDUP(Y279/H279,0)*0.00651),"")</f>
        <v>4.5569999999999999E-2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17.680000000000003</v>
      </c>
      <c r="BN279" s="64">
        <f>IFERROR(Y279*I279/H279,"0")</f>
        <v>18.564000000000004</v>
      </c>
      <c r="BO279" s="64">
        <f>IFERROR(1/J279*(X279/H279),"0")</f>
        <v>3.6630036630036632E-2</v>
      </c>
      <c r="BP279" s="64">
        <f>IFERROR(1/J279*(Y279/H279),"0")</f>
        <v>3.8461538461538471E-2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62</v>
      </c>
      <c r="Y280" s="546">
        <f>IFERROR(IF(X280="",0,CEILING((X280/$H280),1)*$H280),"")</f>
        <v>62.4</v>
      </c>
      <c r="Z280" s="36">
        <f>IFERROR(IF(Y280=0,"",ROUNDUP(Y280/H280,0)*0.00651),"")</f>
        <v>0.16925999999999999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66.650000000000006</v>
      </c>
      <c r="BN280" s="64">
        <f>IFERROR(Y280*I280/H280,"0")</f>
        <v>67.08</v>
      </c>
      <c r="BO280" s="64">
        <f>IFERROR(1/J280*(X280/H280),"0")</f>
        <v>0.14194139194139196</v>
      </c>
      <c r="BP280" s="64">
        <f>IFERROR(1/J280*(Y280/H280),"0")</f>
        <v>0.14285714285714288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32.5</v>
      </c>
      <c r="Y281" s="547">
        <f>IFERROR(Y278/H278,"0")+IFERROR(Y279/H279,"0")+IFERROR(Y280/H280,"0")</f>
        <v>33</v>
      </c>
      <c r="Z281" s="547">
        <f>IFERROR(IF(Z278="",0,Z278),"0")+IFERROR(IF(Z279="",0,Z279),"0")+IFERROR(IF(Z280="",0,Z280),"0")</f>
        <v>0.21482999999999999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78</v>
      </c>
      <c r="Y282" s="547">
        <f>IFERROR(SUM(Y278:Y280),"0")</f>
        <v>79.2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4</v>
      </c>
      <c r="Y326" s="546">
        <f>IFERROR(IF(X326="",0,CEILING((X326/$H326),1)*$H326),"")</f>
        <v>6.08</v>
      </c>
      <c r="Z326" s="36">
        <f>IFERROR(IF(Y326=0,"",ROUNDUP(Y326/H326,0)*0.00902),"")</f>
        <v>1.804E-2</v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4.3552631578947372</v>
      </c>
      <c r="BN326" s="64">
        <f>IFERROR(Y326*I326/H326,"0")</f>
        <v>6.62</v>
      </c>
      <c r="BO326" s="64">
        <f>IFERROR(1/J326*(X326/H326),"0")</f>
        <v>9.9681020733652318E-3</v>
      </c>
      <c r="BP326" s="64">
        <f>IFERROR(1/J326*(Y326/H326),"0")</f>
        <v>1.5151515151515152E-2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1.3157894736842106</v>
      </c>
      <c r="Y330" s="547">
        <f>IFERROR(Y326/H326,"0")+IFERROR(Y327/H327,"0")+IFERROR(Y328/H328,"0")+IFERROR(Y329/H329,"0")</f>
        <v>2</v>
      </c>
      <c r="Z330" s="547">
        <f>IFERROR(IF(Z326="",0,Z326),"0")+IFERROR(IF(Z327="",0,Z327),"0")+IFERROR(IF(Z328="",0,Z328),"0")+IFERROR(IF(Z329="",0,Z329),"0")</f>
        <v>1.804E-2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4</v>
      </c>
      <c r="Y331" s="547">
        <f>IFERROR(SUM(Y326:Y329),"0")</f>
        <v>6.08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186</v>
      </c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 t="s">
        <v>186</v>
      </c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186</v>
      </c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1380</v>
      </c>
      <c r="Y348" s="546">
        <f t="shared" ref="Y348:Y354" si="31">IFERROR(IF(X348="",0,CEILING((X348/$H348),1)*$H348),"")</f>
        <v>1380</v>
      </c>
      <c r="Z348" s="36">
        <f>IFERROR(IF(Y348=0,"",ROUNDUP(Y348/H348,0)*0.02175),"")</f>
        <v>2.0009999999999999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1423.2400000000002</v>
      </c>
      <c r="BN348" s="64">
        <f t="shared" ref="BN348:BN354" si="33">IFERROR(Y348*I348/H348,"0")</f>
        <v>1423.2400000000002</v>
      </c>
      <c r="BO348" s="64">
        <f t="shared" ref="BO348:BO354" si="34">IFERROR(1/J348*(X348/H348),"0")</f>
        <v>1.9166666666666665</v>
      </c>
      <c r="BP348" s="64">
        <f t="shared" ref="BP348:BP354" si="35">IFERROR(1/J348*(Y348/H348),"0")</f>
        <v>1.9166666666666665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4301012215</v>
      </c>
      <c r="D350" s="552">
        <v>4680115887046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6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2">
        <v>4680115884830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563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92</v>
      </c>
      <c r="Y355" s="547">
        <f>IFERROR(Y348/H348,"0")+IFERROR(Y349/H349,"0")+IFERROR(Y350/H350,"0")+IFERROR(Y351/H351,"0")+IFERROR(Y352/H352,"0")+IFERROR(Y353/H353,"0")+IFERROR(Y354/H354,"0")</f>
        <v>92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2.0009999999999999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1380</v>
      </c>
      <c r="Y356" s="547">
        <f>IFERROR(SUM(Y348:Y354),"0")</f>
        <v>1380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1300</v>
      </c>
      <c r="Y358" s="546">
        <f>IFERROR(IF(X358="",0,CEILING((X358/$H358),1)*$H358),"")</f>
        <v>1305</v>
      </c>
      <c r="Z358" s="36">
        <f>IFERROR(IF(Y358=0,"",ROUNDUP(Y358/H358,0)*0.02175),"")</f>
        <v>1.8922499999999998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1340.7333333333333</v>
      </c>
      <c r="BN358" s="64">
        <f>IFERROR(Y358*I358/H358,"0")</f>
        <v>1345.89</v>
      </c>
      <c r="BO358" s="64">
        <f>IFERROR(1/J358*(X358/H358),"0")</f>
        <v>1.8055555555555556</v>
      </c>
      <c r="BP358" s="64">
        <f>IFERROR(1/J358*(Y358/H358),"0")</f>
        <v>1.8125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86.666666666666671</v>
      </c>
      <c r="Y360" s="547">
        <f>IFERROR(Y358/H358,"0")+IFERROR(Y359/H359,"0")</f>
        <v>87</v>
      </c>
      <c r="Z360" s="547">
        <f>IFERROR(IF(Z358="",0,Z358),"0")+IFERROR(IF(Z359="",0,Z359),"0")</f>
        <v>1.8922499999999998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1300</v>
      </c>
      <c r="Y361" s="547">
        <f>IFERROR(SUM(Y358:Y359),"0")</f>
        <v>1305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16</v>
      </c>
      <c r="Y368" s="546">
        <f>IFERROR(IF(X368="",0,CEILING((X368/$H368),1)*$H368),"")</f>
        <v>18</v>
      </c>
      <c r="Z368" s="36">
        <f>IFERROR(IF(Y368=0,"",ROUNDUP(Y368/H368,0)*0.01898),"")</f>
        <v>3.7960000000000001E-2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16.87822222222222</v>
      </c>
      <c r="BN368" s="64">
        <f>IFERROR(Y368*I368/H368,"0")</f>
        <v>18.988</v>
      </c>
      <c r="BO368" s="64">
        <f>IFERROR(1/J368*(X368/H368),"0")</f>
        <v>2.7777777777777776E-2</v>
      </c>
      <c r="BP368" s="64">
        <f>IFERROR(1/J368*(Y368/H368),"0")</f>
        <v>3.125E-2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1.7777777777777777</v>
      </c>
      <c r="Y369" s="547">
        <f>IFERROR(Y368/H368,"0")</f>
        <v>2</v>
      </c>
      <c r="Z369" s="547">
        <f>IFERROR(IF(Z368="",0,Z368),"0")</f>
        <v>3.7960000000000001E-2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16</v>
      </c>
      <c r="Y370" s="547">
        <f>IFERROR(SUM(Y368:Y368),"0")</f>
        <v>18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4301031457</v>
      </c>
      <c r="D378" s="552">
        <v>4607091384802</v>
      </c>
      <c r="E378" s="553"/>
      <c r="F378" s="544">
        <v>0.7</v>
      </c>
      <c r="G378" s="32">
        <v>6</v>
      </c>
      <c r="H378" s="544">
        <v>4.2</v>
      </c>
      <c r="I378" s="544">
        <v>4.45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50</v>
      </c>
      <c r="P378" s="67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4301031303</v>
      </c>
      <c r="D379" s="552">
        <v>4607091384802</v>
      </c>
      <c r="E379" s="553"/>
      <c r="F379" s="544">
        <v>0.73</v>
      </c>
      <c r="G379" s="32">
        <v>6</v>
      </c>
      <c r="H379" s="544">
        <v>4.38</v>
      </c>
      <c r="I379" s="544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21</v>
      </c>
      <c r="Y383" s="546">
        <f>IFERROR(IF(X383="",0,CEILING((X383/$H383),1)*$H383),"")</f>
        <v>27</v>
      </c>
      <c r="Z383" s="36">
        <f>IFERROR(IF(Y383=0,"",ROUNDUP(Y383/H383,0)*0.01898),"")</f>
        <v>5.6940000000000004E-2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22.152666666666665</v>
      </c>
      <c r="BN383" s="64">
        <f>IFERROR(Y383*I383/H383,"0")</f>
        <v>28.481999999999996</v>
      </c>
      <c r="BO383" s="64">
        <f>IFERROR(1/J383*(X383/H383),"0")</f>
        <v>3.6458333333333336E-2</v>
      </c>
      <c r="BP383" s="64">
        <f>IFERROR(1/J383*(Y383/H383),"0")</f>
        <v>4.6875E-2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6</v>
      </c>
      <c r="Y384" s="546">
        <f>IFERROR(IF(X384="",0,CEILING((X384/$H384),1)*$H384),"")</f>
        <v>7.1999999999999993</v>
      </c>
      <c r="Z384" s="36">
        <f>IFERROR(IF(Y384=0,"",ROUNDUP(Y384/H384,0)*0.00651),"")</f>
        <v>1.9529999999999999E-2</v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6.660000000000001</v>
      </c>
      <c r="BN384" s="64">
        <f>IFERROR(Y384*I384/H384,"0")</f>
        <v>7.9919999999999991</v>
      </c>
      <c r="BO384" s="64">
        <f>IFERROR(1/J384*(X384/H384),"0")</f>
        <v>1.3736263736263738E-2</v>
      </c>
      <c r="BP384" s="64">
        <f>IFERROR(1/J384*(Y384/H384),"0")</f>
        <v>1.6483516483516484E-2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4.8333333333333339</v>
      </c>
      <c r="Y386" s="547">
        <f>IFERROR(Y383/H383,"0")+IFERROR(Y384/H384,"0")+IFERROR(Y385/H385,"0")</f>
        <v>6</v>
      </c>
      <c r="Z386" s="547">
        <f>IFERROR(IF(Z383="",0,Z383),"0")+IFERROR(IF(Z384="",0,Z384),"0")+IFERROR(IF(Z385="",0,Z385),"0")</f>
        <v>7.647000000000001E-2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27</v>
      </c>
      <c r="Y387" s="547">
        <f>IFERROR(SUM(Y383:Y385),"0")</f>
        <v>34.200000000000003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110</v>
      </c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10</v>
      </c>
      <c r="Y391" s="546">
        <f t="shared" ref="Y391:Y399" si="36">IFERROR(IF(X391="",0,CEILING((X391/$H391),1)*$H391),"")</f>
        <v>10.8</v>
      </c>
      <c r="Z391" s="36">
        <f>IFERROR(IF(Y391=0,"",ROUNDUP(Y391/H391,0)*0.00902),"")</f>
        <v>1.804E-2</v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10.351851851851851</v>
      </c>
      <c r="BN391" s="64">
        <f t="shared" ref="BN391:BN399" si="38">IFERROR(Y391*I391/H391,"0")</f>
        <v>11.18</v>
      </c>
      <c r="BO391" s="64">
        <f t="shared" ref="BO391:BO399" si="39">IFERROR(1/J391*(X391/H391),"0")</f>
        <v>1.4029180695847361E-2</v>
      </c>
      <c r="BP391" s="64">
        <f t="shared" ref="BP391:BP399" si="40">IFERROR(1/J391*(Y391/H391),"0")</f>
        <v>1.5151515151515152E-2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1.8518518518518516</v>
      </c>
      <c r="Y400" s="547">
        <f>IFERROR(Y391/H391,"0")+IFERROR(Y392/H392,"0")+IFERROR(Y393/H393,"0")+IFERROR(Y394/H394,"0")+IFERROR(Y395/H395,"0")+IFERROR(Y396/H396,"0")+IFERROR(Y397/H397,"0")+IFERROR(Y398/H398,"0")+IFERROR(Y399/H399,"0")</f>
        <v>2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1.804E-2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10</v>
      </c>
      <c r="Y401" s="547">
        <f>IFERROR(SUM(Y391:Y399),"0")</f>
        <v>10.8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110</v>
      </c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14</v>
      </c>
      <c r="Y413" s="546">
        <f>IFERROR(IF(X413="",0,CEILING((X413/$H413),1)*$H413),"")</f>
        <v>16.200000000000003</v>
      </c>
      <c r="Z413" s="36">
        <f>IFERROR(IF(Y413=0,"",ROUNDUP(Y413/H413,0)*0.00902),"")</f>
        <v>2.7060000000000001E-2</v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14.49259259259259</v>
      </c>
      <c r="BN413" s="64">
        <f>IFERROR(Y413*I413/H413,"0")</f>
        <v>16.77</v>
      </c>
      <c r="BO413" s="64">
        <f>IFERROR(1/J413*(X413/H413),"0")</f>
        <v>1.9640852974186308E-2</v>
      </c>
      <c r="BP413" s="64">
        <f>IFERROR(1/J413*(Y413/H413),"0")</f>
        <v>2.2727272727272731E-2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2.5925925925925926</v>
      </c>
      <c r="Y417" s="547">
        <f>IFERROR(Y413/H413,"0")+IFERROR(Y414/H414,"0")+IFERROR(Y415/H415,"0")+IFERROR(Y416/H416,"0")</f>
        <v>3.0000000000000004</v>
      </c>
      <c r="Z417" s="547">
        <f>IFERROR(IF(Z413="",0,Z413),"0")+IFERROR(IF(Z414="",0,Z414),"0")+IFERROR(IF(Z415="",0,Z415),"0")+IFERROR(IF(Z416="",0,Z416),"0")</f>
        <v>2.7060000000000001E-2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14</v>
      </c>
      <c r="Y418" s="547">
        <f>IFERROR(SUM(Y413:Y416),"0")</f>
        <v>16.200000000000003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 t="s">
        <v>110</v>
      </c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 t="s">
        <v>106</v>
      </c>
      <c r="AK438" s="68">
        <v>57.6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0</v>
      </c>
      <c r="Y440" s="547">
        <f>IFERROR(SUM(Y427:Y438),"0")</f>
        <v>0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13</v>
      </c>
      <c r="Y448" s="546">
        <f t="shared" ref="Y448:Y453" si="48">IFERROR(IF(X448="",0,CEILING((X448/$H448),1)*$H448),"")</f>
        <v>15.84</v>
      </c>
      <c r="Z448" s="36">
        <f>IFERROR(IF(Y448=0,"",ROUNDUP(Y448/H448,0)*0.01196),"")</f>
        <v>3.5880000000000002E-2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13.861742424242424</v>
      </c>
      <c r="BN448" s="64">
        <f t="shared" ref="BN448:BN453" si="50">IFERROR(Y448*I448/H448,"0")</f>
        <v>16.889999999999997</v>
      </c>
      <c r="BO448" s="64">
        <f t="shared" ref="BO448:BO453" si="51">IFERROR(1/J448*(X448/H448),"0")</f>
        <v>2.3674242424242424E-2</v>
      </c>
      <c r="BP448" s="64">
        <f t="shared" ref="BP448:BP453" si="52">IFERROR(1/J448*(Y448/H448),"0")</f>
        <v>2.8846153846153848E-2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15</v>
      </c>
      <c r="Y449" s="546">
        <f t="shared" si="48"/>
        <v>15.84</v>
      </c>
      <c r="Z449" s="36">
        <f>IFERROR(IF(Y449=0,"",ROUNDUP(Y449/H449,0)*0.01196),"")</f>
        <v>3.5880000000000002E-2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15.994318181818182</v>
      </c>
      <c r="BN449" s="64">
        <f t="shared" si="50"/>
        <v>16.889999999999997</v>
      </c>
      <c r="BO449" s="64">
        <f t="shared" si="51"/>
        <v>2.7316433566433568E-2</v>
      </c>
      <c r="BP449" s="64">
        <f t="shared" si="52"/>
        <v>2.8846153846153848E-2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22</v>
      </c>
      <c r="Y450" s="546">
        <f t="shared" si="48"/>
        <v>26.400000000000002</v>
      </c>
      <c r="Z450" s="36">
        <f>IFERROR(IF(Y450=0,"",ROUNDUP(Y450/H450,0)*0.01196),"")</f>
        <v>5.9799999999999999E-2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23.458333333333332</v>
      </c>
      <c r="BN450" s="64">
        <f t="shared" si="50"/>
        <v>28.15</v>
      </c>
      <c r="BO450" s="64">
        <f t="shared" si="51"/>
        <v>4.0064102564102561E-2</v>
      </c>
      <c r="BP450" s="64">
        <f t="shared" si="52"/>
        <v>4.807692307692308E-2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9.4696969696969688</v>
      </c>
      <c r="Y454" s="547">
        <f>IFERROR(Y448/H448,"0")+IFERROR(Y449/H449,"0")+IFERROR(Y450/H450,"0")+IFERROR(Y451/H451,"0")+IFERROR(Y452/H452,"0")+IFERROR(Y453/H453,"0")</f>
        <v>11</v>
      </c>
      <c r="Z454" s="547">
        <f>IFERROR(IF(Z448="",0,Z448),"0")+IFERROR(IF(Z449="",0,Z449),"0")+IFERROR(IF(Z450="",0,Z450),"0")+IFERROR(IF(Z451="",0,Z451),"0")+IFERROR(IF(Z452="",0,Z452),"0")+IFERROR(IF(Z453="",0,Z453),"0")</f>
        <v>0.13156000000000001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50</v>
      </c>
      <c r="Y455" s="547">
        <f>IFERROR(SUM(Y448:Y453),"0")</f>
        <v>58.08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3504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3555.46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3628.0051180582495</v>
      </c>
      <c r="Y489" s="547">
        <f>IFERROR(SUM(BN22:BN485),"0")</f>
        <v>3682.2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6</v>
      </c>
      <c r="Y490" s="38">
        <f>ROUNDUP(SUM(BP22:BP485),0)</f>
        <v>6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3778.0051180582495</v>
      </c>
      <c r="Y491" s="547">
        <f>GrossWeightTotalR+PalletQtyTotalR*25</f>
        <v>3832.2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364.65360456149926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375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5.6365499999999997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44.400000000000006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</v>
      </c>
      <c r="E498" s="46">
        <f>IFERROR(Y84*1,"0")+IFERROR(Y85*1,"0")+IFERROR(Y86*1,"0")+IFERROR(Y87*1,"0")+IFERROR(Y91*1,"0")+IFERROR(Y92*1,"0")+IFERROR(Y93*1,"0")+IFERROR(Y94*1,"0")</f>
        <v>18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93.6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23.1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460.8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79.2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6.08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2703</v>
      </c>
      <c r="T498" s="46">
        <f>IFERROR(Y373*1,"0")+IFERROR(Y374*1,"0")+IFERROR(Y378*1,"0")+IFERROR(Y379*1,"0")+IFERROR(Y383*1,"0")+IFERROR(Y384*1,"0")+IFERROR(Y385*1,"0")</f>
        <v>34.200000000000003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10.8</v>
      </c>
      <c r="V498" s="46">
        <f>IFERROR(Y409*1,"0")+IFERROR(Y413*1,"0")+IFERROR(Y414*1,"0")+IFERROR(Y415*1,"0")+IFERROR(Y416*1,"0")</f>
        <v>16.200000000000003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58.08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vfdVnfE1DuYb01A2lR29izc9wgwLjKaEjdoCZ4Sx+wR/QgXe6KpIDPVsxGmqzoCc5WnjSXIO9Km/PoN/rfMvbA==" saltValue="aSu9zWYiDznTAILuO0Fa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1 X165 X167 X169 X174 X176 X199 X203:X208 X210 X214:X217 X219:X222 X226:X227 X232 X261 X279:X280 X305 X308 X313 X320:X322 X328:X329 X333:X335 X340:X342 X348:X349 X351 X358 X364 X373 X379 X383:X384 X391 X393 X398 X413 X427 X430:X431 X433 X438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xrwV3Rh1i53Mq/y5TIsYkUy2vDj5rAhmyURnH4Zy5xkZqfUKe606g4hNh/nDJ3Ie6NaYFTeLKl0yMseVc/pg0w==" saltValue="x2l4av2CH17h4Zm9WS92i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2026-01-23T10:05:35Z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