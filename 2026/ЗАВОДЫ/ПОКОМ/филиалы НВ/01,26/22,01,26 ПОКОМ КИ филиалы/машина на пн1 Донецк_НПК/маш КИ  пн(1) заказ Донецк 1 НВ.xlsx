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D331A625-4426-43BF-BE1B-999201A127D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Y468" i="1"/>
  <c r="X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X498" i="1" s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Z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X411" i="1"/>
  <c r="Y410" i="1"/>
  <c r="X410" i="1"/>
  <c r="BP409" i="1"/>
  <c r="BO409" i="1"/>
  <c r="BN409" i="1"/>
  <c r="BM409" i="1"/>
  <c r="Z409" i="1"/>
  <c r="Z410" i="1" s="1"/>
  <c r="Y409" i="1"/>
  <c r="P409" i="1"/>
  <c r="X406" i="1"/>
  <c r="Y405" i="1"/>
  <c r="X405" i="1"/>
  <c r="BP404" i="1"/>
  <c r="BO404" i="1"/>
  <c r="BN404" i="1"/>
  <c r="BM404" i="1"/>
  <c r="Z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P378" i="1"/>
  <c r="X376" i="1"/>
  <c r="Y375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P363" i="1"/>
  <c r="BO363" i="1"/>
  <c r="BN363" i="1"/>
  <c r="BM363" i="1"/>
  <c r="Z363" i="1"/>
  <c r="Y363" i="1"/>
  <c r="Y365" i="1" s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X324" i="1"/>
  <c r="Y323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Y324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Y310" i="1" s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Q498" i="1" s="1"/>
  <c r="P296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Y281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Y282" i="1" s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Y258" i="1" s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X229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Y223" i="1" s="1"/>
  <c r="P214" i="1"/>
  <c r="X212" i="1"/>
  <c r="X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Y211" i="1" s="1"/>
  <c r="P203" i="1"/>
  <c r="X201" i="1"/>
  <c r="X200" i="1"/>
  <c r="BP199" i="1"/>
  <c r="BO199" i="1"/>
  <c r="BN199" i="1"/>
  <c r="BM199" i="1"/>
  <c r="Z199" i="1"/>
  <c r="Y199" i="1"/>
  <c r="P199" i="1"/>
  <c r="BO198" i="1"/>
  <c r="BM198" i="1"/>
  <c r="Y198" i="1"/>
  <c r="Y201" i="1" s="1"/>
  <c r="P198" i="1"/>
  <c r="X196" i="1"/>
  <c r="X195" i="1"/>
  <c r="BO194" i="1"/>
  <c r="BM194" i="1"/>
  <c r="Y194" i="1"/>
  <c r="BP194" i="1" s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Y180" i="1" s="1"/>
  <c r="P165" i="1"/>
  <c r="X163" i="1"/>
  <c r="X162" i="1"/>
  <c r="BO161" i="1"/>
  <c r="BM161" i="1"/>
  <c r="Y161" i="1"/>
  <c r="I498" i="1" s="1"/>
  <c r="P161" i="1"/>
  <c r="X157" i="1"/>
  <c r="X156" i="1"/>
  <c r="BO155" i="1"/>
  <c r="BM155" i="1"/>
  <c r="Y155" i="1"/>
  <c r="Y156" i="1" s="1"/>
  <c r="P155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Y152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G498" i="1" s="1"/>
  <c r="P126" i="1"/>
  <c r="X123" i="1"/>
  <c r="X122" i="1"/>
  <c r="BO121" i="1"/>
  <c r="BM121" i="1"/>
  <c r="Y121" i="1"/>
  <c r="Y122" i="1" s="1"/>
  <c r="P121" i="1"/>
  <c r="X119" i="1"/>
  <c r="X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Y118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2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8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Y84" i="1"/>
  <c r="E498" i="1" s="1"/>
  <c r="P84" i="1"/>
  <c r="X81" i="1"/>
  <c r="X80" i="1"/>
  <c r="BO79" i="1"/>
  <c r="BM79" i="1"/>
  <c r="Y79" i="1"/>
  <c r="BP79" i="1" s="1"/>
  <c r="P79" i="1"/>
  <c r="BP78" i="1"/>
  <c r="BO78" i="1"/>
  <c r="BN78" i="1"/>
  <c r="BM78" i="1"/>
  <c r="Z78" i="1"/>
  <c r="Y78" i="1"/>
  <c r="Y80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6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Y68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8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8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1" i="1" s="1"/>
  <c r="P27" i="1"/>
  <c r="X25" i="1"/>
  <c r="X488" i="1" s="1"/>
  <c r="X24" i="1"/>
  <c r="BP23" i="1"/>
  <c r="BO23" i="1"/>
  <c r="BN23" i="1"/>
  <c r="BM23" i="1"/>
  <c r="Z23" i="1"/>
  <c r="Y23" i="1"/>
  <c r="P23" i="1"/>
  <c r="BO22" i="1"/>
  <c r="X490" i="1" s="1"/>
  <c r="BM22" i="1"/>
  <c r="X489" i="1" s="1"/>
  <c r="X491" i="1" s="1"/>
  <c r="Y22" i="1"/>
  <c r="B498" i="1" s="1"/>
  <c r="P22" i="1"/>
  <c r="H10" i="1"/>
  <c r="A9" i="1"/>
  <c r="F10" i="1" s="1"/>
  <c r="D7" i="1"/>
  <c r="Q6" i="1"/>
  <c r="P2" i="1"/>
  <c r="Y24" i="1" l="1"/>
  <c r="Y32" i="1"/>
  <c r="Y36" i="1"/>
  <c r="Y44" i="1"/>
  <c r="Y48" i="1"/>
  <c r="Y57" i="1"/>
  <c r="Y63" i="1"/>
  <c r="Y69" i="1"/>
  <c r="Y75" i="1"/>
  <c r="Y81" i="1"/>
  <c r="Y88" i="1"/>
  <c r="Y96" i="1"/>
  <c r="Y105" i="1"/>
  <c r="Y111" i="1"/>
  <c r="Y119" i="1"/>
  <c r="Y123" i="1"/>
  <c r="Y128" i="1"/>
  <c r="Y134" i="1"/>
  <c r="Y138" i="1"/>
  <c r="Y145" i="1"/>
  <c r="Y153" i="1"/>
  <c r="Y157" i="1"/>
  <c r="Y163" i="1"/>
  <c r="Y179" i="1"/>
  <c r="Y185" i="1"/>
  <c r="Y196" i="1"/>
  <c r="Y200" i="1"/>
  <c r="Y212" i="1"/>
  <c r="BP216" i="1"/>
  <c r="BN216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BP255" i="1"/>
  <c r="BN255" i="1"/>
  <c r="Z255" i="1"/>
  <c r="BP272" i="1"/>
  <c r="BN272" i="1"/>
  <c r="Z272" i="1"/>
  <c r="BP299" i="1"/>
  <c r="BN299" i="1"/>
  <c r="Z299" i="1"/>
  <c r="BP327" i="1"/>
  <c r="BN327" i="1"/>
  <c r="Z327" i="1"/>
  <c r="Z330" i="1" s="1"/>
  <c r="Y331" i="1"/>
  <c r="BP335" i="1"/>
  <c r="BN335" i="1"/>
  <c r="Z335" i="1"/>
  <c r="Y337" i="1"/>
  <c r="R498" i="1"/>
  <c r="Y343" i="1"/>
  <c r="BP340" i="1"/>
  <c r="BN340" i="1"/>
  <c r="Z340" i="1"/>
  <c r="Y344" i="1"/>
  <c r="BP350" i="1"/>
  <c r="BN350" i="1"/>
  <c r="Z350" i="1"/>
  <c r="BP354" i="1"/>
  <c r="BN354" i="1"/>
  <c r="Z354" i="1"/>
  <c r="Y356" i="1"/>
  <c r="Y361" i="1"/>
  <c r="BP358" i="1"/>
  <c r="BN358" i="1"/>
  <c r="Z358" i="1"/>
  <c r="Z360" i="1" s="1"/>
  <c r="Y360" i="1"/>
  <c r="H9" i="1"/>
  <c r="A10" i="1"/>
  <c r="F9" i="1"/>
  <c r="J9" i="1"/>
  <c r="Z22" i="1"/>
  <c r="Z24" i="1" s="1"/>
  <c r="BN22" i="1"/>
  <c r="BP22" i="1"/>
  <c r="X492" i="1"/>
  <c r="Y25" i="1"/>
  <c r="Z28" i="1"/>
  <c r="Z31" i="1" s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Z67" i="1"/>
  <c r="Z68" i="1" s="1"/>
  <c r="BN67" i="1"/>
  <c r="Z71" i="1"/>
  <c r="Z75" i="1" s="1"/>
  <c r="BN71" i="1"/>
  <c r="BP71" i="1"/>
  <c r="Z73" i="1"/>
  <c r="BN73" i="1"/>
  <c r="Z79" i="1"/>
  <c r="Z80" i="1" s="1"/>
  <c r="BN79" i="1"/>
  <c r="Z84" i="1"/>
  <c r="BN84" i="1"/>
  <c r="BP84" i="1"/>
  <c r="Z86" i="1"/>
  <c r="BN86" i="1"/>
  <c r="Y89" i="1"/>
  <c r="Z92" i="1"/>
  <c r="Z95" i="1" s="1"/>
  <c r="BN92" i="1"/>
  <c r="Z94" i="1"/>
  <c r="BN94" i="1"/>
  <c r="Z99" i="1"/>
  <c r="BN99" i="1"/>
  <c r="BP99" i="1"/>
  <c r="Z101" i="1"/>
  <c r="BN101" i="1"/>
  <c r="Z103" i="1"/>
  <c r="BN103" i="1"/>
  <c r="Y104" i="1"/>
  <c r="Z107" i="1"/>
  <c r="BN107" i="1"/>
  <c r="BP107" i="1"/>
  <c r="Z109" i="1"/>
  <c r="BN109" i="1"/>
  <c r="Z115" i="1"/>
  <c r="Z118" i="1" s="1"/>
  <c r="BN115" i="1"/>
  <c r="Z117" i="1"/>
  <c r="BN117" i="1"/>
  <c r="Z121" i="1"/>
  <c r="Z122" i="1" s="1"/>
  <c r="BN121" i="1"/>
  <c r="BP121" i="1"/>
  <c r="Z126" i="1"/>
  <c r="Z128" i="1" s="1"/>
  <c r="BN126" i="1"/>
  <c r="BP126" i="1"/>
  <c r="Y129" i="1"/>
  <c r="Z132" i="1"/>
  <c r="Z133" i="1" s="1"/>
  <c r="BN132" i="1"/>
  <c r="Z136" i="1"/>
  <c r="Z138" i="1" s="1"/>
  <c r="BN136" i="1"/>
  <c r="BP136" i="1"/>
  <c r="H498" i="1"/>
  <c r="Z143" i="1"/>
  <c r="Z144" i="1" s="1"/>
  <c r="BN143" i="1"/>
  <c r="Y144" i="1"/>
  <c r="Z147" i="1"/>
  <c r="Z152" i="1" s="1"/>
  <c r="BN147" i="1"/>
  <c r="BP147" i="1"/>
  <c r="Z149" i="1"/>
  <c r="BN149" i="1"/>
  <c r="Z151" i="1"/>
  <c r="BN151" i="1"/>
  <c r="Z155" i="1"/>
  <c r="Z156" i="1" s="1"/>
  <c r="BN155" i="1"/>
  <c r="BP155" i="1"/>
  <c r="Z161" i="1"/>
  <c r="Z162" i="1" s="1"/>
  <c r="BN161" i="1"/>
  <c r="BP161" i="1"/>
  <c r="Y162" i="1"/>
  <c r="Z165" i="1"/>
  <c r="Z179" i="1" s="1"/>
  <c r="BN165" i="1"/>
  <c r="BP165" i="1"/>
  <c r="Z167" i="1"/>
  <c r="BN167" i="1"/>
  <c r="Z169" i="1"/>
  <c r="BN169" i="1"/>
  <c r="Z171" i="1"/>
  <c r="BN171" i="1"/>
  <c r="Z173" i="1"/>
  <c r="BN173" i="1"/>
  <c r="Z175" i="1"/>
  <c r="BN175" i="1"/>
  <c r="Z177" i="1"/>
  <c r="BN177" i="1"/>
  <c r="Z183" i="1"/>
  <c r="Z185" i="1" s="1"/>
  <c r="BN183" i="1"/>
  <c r="J498" i="1"/>
  <c r="Z194" i="1"/>
  <c r="Z195" i="1" s="1"/>
  <c r="BN194" i="1"/>
  <c r="Y195" i="1"/>
  <c r="Z198" i="1"/>
  <c r="Z200" i="1" s="1"/>
  <c r="BN198" i="1"/>
  <c r="BP198" i="1"/>
  <c r="Z204" i="1"/>
  <c r="Z211" i="1" s="1"/>
  <c r="BN204" i="1"/>
  <c r="Z206" i="1"/>
  <c r="BN206" i="1"/>
  <c r="Z208" i="1"/>
  <c r="BN208" i="1"/>
  <c r="Z210" i="1"/>
  <c r="BN210" i="1"/>
  <c r="Z214" i="1"/>
  <c r="BN214" i="1"/>
  <c r="BP214" i="1"/>
  <c r="Z216" i="1"/>
  <c r="BP220" i="1"/>
  <c r="BN220" i="1"/>
  <c r="Z220" i="1"/>
  <c r="Y228" i="1"/>
  <c r="BP233" i="1"/>
  <c r="BN233" i="1"/>
  <c r="Z233" i="1"/>
  <c r="BP237" i="1"/>
  <c r="BN237" i="1"/>
  <c r="Z237" i="1"/>
  <c r="Z241" i="1" s="1"/>
  <c r="Y241" i="1"/>
  <c r="Z257" i="1"/>
  <c r="BP253" i="1"/>
  <c r="BN253" i="1"/>
  <c r="Z253" i="1"/>
  <c r="Y257" i="1"/>
  <c r="BP262" i="1"/>
  <c r="BN262" i="1"/>
  <c r="Z262" i="1"/>
  <c r="Z266" i="1" s="1"/>
  <c r="BP286" i="1"/>
  <c r="BN286" i="1"/>
  <c r="Z286" i="1"/>
  <c r="Z287" i="1" s="1"/>
  <c r="Y288" i="1"/>
  <c r="Y293" i="1"/>
  <c r="BP290" i="1"/>
  <c r="BN290" i="1"/>
  <c r="Z290" i="1"/>
  <c r="Z292" i="1" s="1"/>
  <c r="Y292" i="1"/>
  <c r="BP307" i="1"/>
  <c r="BN307" i="1"/>
  <c r="Z307" i="1"/>
  <c r="BP315" i="1"/>
  <c r="BN315" i="1"/>
  <c r="Z315" i="1"/>
  <c r="BP379" i="1"/>
  <c r="BN379" i="1"/>
  <c r="Z379" i="1"/>
  <c r="Z380" i="1" s="1"/>
  <c r="Y381" i="1"/>
  <c r="Y386" i="1"/>
  <c r="BP383" i="1"/>
  <c r="BN383" i="1"/>
  <c r="Z383" i="1"/>
  <c r="Y387" i="1"/>
  <c r="BP393" i="1"/>
  <c r="BN393" i="1"/>
  <c r="Z393" i="1"/>
  <c r="BP397" i="1"/>
  <c r="BN397" i="1"/>
  <c r="Z397" i="1"/>
  <c r="BP414" i="1"/>
  <c r="BN414" i="1"/>
  <c r="Z414" i="1"/>
  <c r="Z417" i="1" s="1"/>
  <c r="BP430" i="1"/>
  <c r="BN430" i="1"/>
  <c r="Z430" i="1"/>
  <c r="BP434" i="1"/>
  <c r="BN434" i="1"/>
  <c r="Z434" i="1"/>
  <c r="BP438" i="1"/>
  <c r="BN438" i="1"/>
  <c r="Z438" i="1"/>
  <c r="Y440" i="1"/>
  <c r="Y445" i="1"/>
  <c r="BP442" i="1"/>
  <c r="BN442" i="1"/>
  <c r="Z442" i="1"/>
  <c r="Y446" i="1"/>
  <c r="BP450" i="1"/>
  <c r="BN450" i="1"/>
  <c r="Z450" i="1"/>
  <c r="Y454" i="1"/>
  <c r="K498" i="1"/>
  <c r="Y242" i="1"/>
  <c r="L498" i="1"/>
  <c r="Y266" i="1"/>
  <c r="BP263" i="1"/>
  <c r="BN263" i="1"/>
  <c r="BP265" i="1"/>
  <c r="BN265" i="1"/>
  <c r="Z265" i="1"/>
  <c r="Y267" i="1"/>
  <c r="M498" i="1"/>
  <c r="Y275" i="1"/>
  <c r="BP270" i="1"/>
  <c r="BN270" i="1"/>
  <c r="Z270" i="1"/>
  <c r="Z274" i="1" s="1"/>
  <c r="Y274" i="1"/>
  <c r="Z281" i="1"/>
  <c r="BP279" i="1"/>
  <c r="BN279" i="1"/>
  <c r="Z279" i="1"/>
  <c r="Z301" i="1"/>
  <c r="BP297" i="1"/>
  <c r="BN297" i="1"/>
  <c r="Z297" i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Z317" i="1" s="1"/>
  <c r="Y317" i="1"/>
  <c r="BP321" i="1"/>
  <c r="BN321" i="1"/>
  <c r="Z321" i="1"/>
  <c r="Z323" i="1" s="1"/>
  <c r="Y330" i="1"/>
  <c r="BP329" i="1"/>
  <c r="BN329" i="1"/>
  <c r="Z329" i="1"/>
  <c r="Y336" i="1"/>
  <c r="BP333" i="1"/>
  <c r="BN333" i="1"/>
  <c r="Z333" i="1"/>
  <c r="Z336" i="1" s="1"/>
  <c r="BP342" i="1"/>
  <c r="BN342" i="1"/>
  <c r="Z342" i="1"/>
  <c r="Y355" i="1"/>
  <c r="BP348" i="1"/>
  <c r="BN348" i="1"/>
  <c r="Z348" i="1"/>
  <c r="BP352" i="1"/>
  <c r="BN352" i="1"/>
  <c r="Z352" i="1"/>
  <c r="BP364" i="1"/>
  <c r="BN364" i="1"/>
  <c r="Z364" i="1"/>
  <c r="Z365" i="1" s="1"/>
  <c r="Y366" i="1"/>
  <c r="Y369" i="1"/>
  <c r="BP368" i="1"/>
  <c r="BN368" i="1"/>
  <c r="Z368" i="1"/>
  <c r="Z369" i="1" s="1"/>
  <c r="Y370" i="1"/>
  <c r="T498" i="1"/>
  <c r="Y376" i="1"/>
  <c r="BP373" i="1"/>
  <c r="BN373" i="1"/>
  <c r="Z373" i="1"/>
  <c r="Z375" i="1" s="1"/>
  <c r="Y380" i="1"/>
  <c r="BP385" i="1"/>
  <c r="BN385" i="1"/>
  <c r="Z385" i="1"/>
  <c r="U498" i="1"/>
  <c r="Y400" i="1"/>
  <c r="BP391" i="1"/>
  <c r="BN391" i="1"/>
  <c r="Z391" i="1"/>
  <c r="BP395" i="1"/>
  <c r="BN395" i="1"/>
  <c r="Z395" i="1"/>
  <c r="BP399" i="1"/>
  <c r="BN399" i="1"/>
  <c r="Z399" i="1"/>
  <c r="Y401" i="1"/>
  <c r="Y406" i="1"/>
  <c r="BP403" i="1"/>
  <c r="BN403" i="1"/>
  <c r="Z403" i="1"/>
  <c r="Z405" i="1" s="1"/>
  <c r="S498" i="1"/>
  <c r="BP460" i="1"/>
  <c r="BN460" i="1"/>
  <c r="Z460" i="1"/>
  <c r="Y498" i="1"/>
  <c r="Y464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O498" i="1"/>
  <c r="P498" i="1"/>
  <c r="Y287" i="1"/>
  <c r="Y302" i="1"/>
  <c r="V498" i="1"/>
  <c r="Y411" i="1"/>
  <c r="Y418" i="1"/>
  <c r="BP415" i="1"/>
  <c r="BN415" i="1"/>
  <c r="Y417" i="1"/>
  <c r="BP428" i="1"/>
  <c r="BN428" i="1"/>
  <c r="Z428" i="1"/>
  <c r="BP432" i="1"/>
  <c r="BN432" i="1"/>
  <c r="Z432" i="1"/>
  <c r="BP436" i="1"/>
  <c r="BN436" i="1"/>
  <c r="Z436" i="1"/>
  <c r="BP444" i="1"/>
  <c r="BN444" i="1"/>
  <c r="Z444" i="1"/>
  <c r="Y455" i="1"/>
  <c r="BP448" i="1"/>
  <c r="BN448" i="1"/>
  <c r="Z448" i="1"/>
  <c r="BP452" i="1"/>
  <c r="BN452" i="1"/>
  <c r="Z452" i="1"/>
  <c r="Y463" i="1"/>
  <c r="BP462" i="1"/>
  <c r="BN462" i="1"/>
  <c r="Z462" i="1"/>
  <c r="Z463" i="1" s="1"/>
  <c r="Y469" i="1"/>
  <c r="BP466" i="1"/>
  <c r="BN466" i="1"/>
  <c r="Z466" i="1"/>
  <c r="Z468" i="1" s="1"/>
  <c r="Y481" i="1"/>
  <c r="Y439" i="1"/>
  <c r="Z439" i="1" l="1"/>
  <c r="Z454" i="1"/>
  <c r="Z400" i="1"/>
  <c r="Z355" i="1"/>
  <c r="Z386" i="1"/>
  <c r="Z111" i="1"/>
  <c r="Z104" i="1"/>
  <c r="Z88" i="1"/>
  <c r="Z43" i="1"/>
  <c r="Y488" i="1"/>
  <c r="Y490" i="1"/>
  <c r="Z343" i="1"/>
  <c r="Y492" i="1"/>
  <c r="Z445" i="1"/>
  <c r="Z223" i="1"/>
  <c r="Z493" i="1" s="1"/>
  <c r="Y489" i="1"/>
  <c r="Y491" i="1" s="1"/>
</calcChain>
</file>

<file path=xl/sharedStrings.xml><?xml version="1.0" encoding="utf-8"?>
<sst xmlns="http://schemas.openxmlformats.org/spreadsheetml/2006/main" count="2283" uniqueCount="767">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</sst>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4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46048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0.41666666666666669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0</v>
      </c>
      <c r="Y40" s="546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0</v>
      </c>
      <c r="Y43" s="547">
        <f>IFERROR(Y40/H40,"0")+IFERROR(Y41/H41,"0")+IFERROR(Y42/H42,"0")</f>
        <v>0</v>
      </c>
      <c r="Z43" s="547">
        <f>IFERROR(IF(Z40="",0,Z40),"0")+IFERROR(IF(Z41="",0,Z41),"0")+IFERROR(IF(Z42="",0,Z42),"0")</f>
        <v>0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0</v>
      </c>
      <c r="Y44" s="547">
        <f>IFERROR(SUM(Y40:Y42),"0")</f>
        <v>0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0</v>
      </c>
      <c r="Y57" s="547">
        <f>IFERROR(Y51/H51,"0")+IFERROR(Y52/H52,"0")+IFERROR(Y53/H53,"0")+IFERROR(Y54/H54,"0")+IFERROR(Y55/H55,"0")+IFERROR(Y56/H56,"0")</f>
        <v>0</v>
      </c>
      <c r="Z57" s="547">
        <f>IFERROR(IF(Z51="",0,Z51),"0")+IFERROR(IF(Z52="",0,Z52),"0")+IFERROR(IF(Z53="",0,Z53),"0")+IFERROR(IF(Z54="",0,Z54),"0")+IFERROR(IF(Z55="",0,Z55),"0")+IFERROR(IF(Z56="",0,Z56),"0")</f>
        <v>0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0</v>
      </c>
      <c r="Y58" s="547">
        <f>IFERROR(SUM(Y51:Y56),"0")</f>
        <v>0</v>
      </c>
      <c r="Z58" s="37"/>
      <c r="AA58" s="548"/>
      <c r="AB58" s="548"/>
      <c r="AC58" s="548"/>
    </row>
    <row r="59" spans="1:68" ht="14.25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0</v>
      </c>
      <c r="Y84" s="546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 t="s">
        <v>110</v>
      </c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0</v>
      </c>
      <c r="Y88" s="547">
        <f>IFERROR(Y84/H84,"0")+IFERROR(Y85/H85,"0")+IFERROR(Y86/H86,"0")+IFERROR(Y87/H87,"0")</f>
        <v>0</v>
      </c>
      <c r="Z88" s="547">
        <f>IFERROR(IF(Z84="",0,Z84),"0")+IFERROR(IF(Z85="",0,Z85),"0")+IFERROR(IF(Z86="",0,Z86),"0")+IFERROR(IF(Z87="",0,Z87),"0")</f>
        <v>0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0</v>
      </c>
      <c r="Y89" s="547">
        <f>IFERROR(SUM(Y84:Y87),"0")</f>
        <v>0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0</v>
      </c>
      <c r="Y91" s="546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0</v>
      </c>
      <c r="Y95" s="547">
        <f>IFERROR(Y91/H91,"0")+IFERROR(Y92/H92,"0")+IFERROR(Y93/H93,"0")+IFERROR(Y94/H94,"0")</f>
        <v>0</v>
      </c>
      <c r="Z95" s="547">
        <f>IFERROR(IF(Z91="",0,Z91),"0")+IFERROR(IF(Z92="",0,Z92),"0")+IFERROR(IF(Z93="",0,Z93),"0")+IFERROR(IF(Z94="",0,Z94),"0")</f>
        <v>0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0</v>
      </c>
      <c r="Y96" s="547">
        <f>IFERROR(SUM(Y91:Y94),"0")</f>
        <v>0</v>
      </c>
      <c r="Z96" s="37"/>
      <c r="AA96" s="548"/>
      <c r="AB96" s="548"/>
      <c r="AC96" s="548"/>
    </row>
    <row r="97" spans="1:68" ht="16.5" customHeight="1" x14ac:dyDescent="0.25">
      <c r="A97" s="560" t="s">
        <v>190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0</v>
      </c>
      <c r="Y104" s="547">
        <f>IFERROR(Y99/H99,"0")+IFERROR(Y100/H100,"0")+IFERROR(Y101/H101,"0")+IFERROR(Y102/H102,"0")+IFERROR(Y103/H103,"0")</f>
        <v>0</v>
      </c>
      <c r="Z104" s="547">
        <f>IFERROR(IF(Z99="",0,Z99),"0")+IFERROR(IF(Z100="",0,Z100),"0")+IFERROR(IF(Z101="",0,Z101),"0")+IFERROR(IF(Z102="",0,Z102),"0")+IFERROR(IF(Z103="",0,Z103),"0")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0</v>
      </c>
      <c r="Y105" s="547">
        <f>IFERROR(SUM(Y99:Y103),"0")</f>
        <v>0</v>
      </c>
      <c r="Z105" s="37"/>
      <c r="AA105" s="548"/>
      <c r="AB105" s="548"/>
      <c r="AC105" s="548"/>
    </row>
    <row r="106" spans="1:68" ht="14.25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180</v>
      </c>
      <c r="Y116" s="546">
        <f>IFERROR(IF(X116="",0,CEILING((X116/$H116),1)*$H116),"")</f>
        <v>180.9</v>
      </c>
      <c r="Z116" s="36">
        <f>IFERROR(IF(Y116=0,"",ROUNDUP(Y116/H116,0)*0.00651),"")</f>
        <v>0.43617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196.79999999999998</v>
      </c>
      <c r="BN116" s="64">
        <f>IFERROR(Y116*I116/H116,"0")</f>
        <v>197.78399999999999</v>
      </c>
      <c r="BO116" s="64">
        <f>IFERROR(1/J116*(X116/H116),"0")</f>
        <v>0.36630036630036628</v>
      </c>
      <c r="BP116" s="64">
        <f>IFERROR(1/J116*(Y116/H116),"0")</f>
        <v>0.36813186813186816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66.666666666666657</v>
      </c>
      <c r="Y118" s="547">
        <f>IFERROR(Y114/H114,"0")+IFERROR(Y115/H115,"0")+IFERROR(Y116/H116,"0")+IFERROR(Y117/H117,"0")</f>
        <v>67</v>
      </c>
      <c r="Z118" s="547">
        <f>IFERROR(IF(Z114="",0,Z114),"0")+IFERROR(IF(Z115="",0,Z115),"0")+IFERROR(IF(Z116="",0,Z116),"0")+IFERROR(IF(Z117="",0,Z117),"0")</f>
        <v>0.43617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180</v>
      </c>
      <c r="Y119" s="547">
        <f>IFERROR(SUM(Y114:Y117),"0")</f>
        <v>180.9</v>
      </c>
      <c r="Z119" s="37"/>
      <c r="AA119" s="548"/>
      <c r="AB119" s="548"/>
      <c r="AC119" s="548"/>
    </row>
    <row r="120" spans="1:68" ht="14.25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186</v>
      </c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263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/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210</v>
      </c>
      <c r="Y176" s="546">
        <f t="shared" si="5"/>
        <v>210</v>
      </c>
      <c r="Z176" s="36">
        <f>IFERROR(IF(Y176=0,"",ROUNDUP(Y176/H176,0)*0.00502),"")</f>
        <v>0.502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220.00000000000003</v>
      </c>
      <c r="BN176" s="64">
        <f t="shared" si="7"/>
        <v>220.00000000000003</v>
      </c>
      <c r="BO176" s="64">
        <f t="shared" si="8"/>
        <v>0.42735042735042739</v>
      </c>
      <c r="BP176" s="64">
        <f t="shared" si="9"/>
        <v>0.42735042735042739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100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100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0.502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210</v>
      </c>
      <c r="Y180" s="547">
        <f>IFERROR(SUM(Y165:Y178),"0")</f>
        <v>210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 t="s">
        <v>186</v>
      </c>
      <c r="M194" s="33" t="s">
        <v>104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106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0</v>
      </c>
      <c r="Y211" s="547">
        <f>IFERROR(Y203/H203,"0")+IFERROR(Y204/H204,"0")+IFERROR(Y205/H205,"0")+IFERROR(Y206/H206,"0")+IFERROR(Y207/H207,"0")+IFERROR(Y208/H208,"0")+IFERROR(Y209/H209,"0")+IFERROR(Y210/H210,"0")</f>
        <v>0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0</v>
      </c>
      <c r="Y212" s="547">
        <f>IFERROR(SUM(Y203:Y210),"0")</f>
        <v>0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 t="s">
        <v>103</v>
      </c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 t="s">
        <v>106</v>
      </c>
      <c r="AK214" s="68">
        <v>64.8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186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186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320</v>
      </c>
      <c r="Y220" s="546">
        <f t="shared" si="15"/>
        <v>321.59999999999997</v>
      </c>
      <c r="Z220" s="36">
        <f t="shared" si="20"/>
        <v>0.87234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353.60000000000008</v>
      </c>
      <c r="BN220" s="64">
        <f t="shared" si="17"/>
        <v>355.36799999999999</v>
      </c>
      <c r="BO220" s="64">
        <f t="shared" si="18"/>
        <v>0.73260073260073266</v>
      </c>
      <c r="BP220" s="64">
        <f t="shared" si="19"/>
        <v>0.73626373626373631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186</v>
      </c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186</v>
      </c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133.33333333333334</v>
      </c>
      <c r="Y223" s="547">
        <f>IFERROR(Y214/H214,"0")+IFERROR(Y215/H215,"0")+IFERROR(Y216/H216,"0")+IFERROR(Y217/H217,"0")+IFERROR(Y218/H218,"0")+IFERROR(Y219/H219,"0")+IFERROR(Y220/H220,"0")+IFERROR(Y221/H221,"0")+IFERROR(Y222/H222,"0")</f>
        <v>134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0.87234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320</v>
      </c>
      <c r="Y224" s="547">
        <f>IFERROR(SUM(Y214:Y222),"0")</f>
        <v>321.59999999999997</v>
      </c>
      <c r="Z224" s="37"/>
      <c r="AA224" s="548"/>
      <c r="AB224" s="548"/>
      <c r="AC224" s="548"/>
    </row>
    <row r="225" spans="1:68" ht="14.25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/>
      <c r="M232" s="33" t="s">
        <v>104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 t="s">
        <v>110</v>
      </c>
      <c r="M239" s="33" t="s">
        <v>104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106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 t="s">
        <v>103</v>
      </c>
      <c r="M261" s="33" t="s">
        <v>104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106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 t="s">
        <v>103</v>
      </c>
      <c r="M263" s="33" t="s">
        <v>104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106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186</v>
      </c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186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0</v>
      </c>
      <c r="Y281" s="547">
        <f>IFERROR(Y278/H278,"0")+IFERROR(Y279/H279,"0")+IFERROR(Y280/H280,"0")</f>
        <v>0</v>
      </c>
      <c r="Z281" s="547">
        <f>IFERROR(IF(Z278="",0,Z278),"0")+IFERROR(IF(Z279="",0,Z279),"0")+IFERROR(IF(Z280="",0,Z280),"0")</f>
        <v>0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0</v>
      </c>
      <c r="Y282" s="547">
        <f>IFERROR(SUM(Y278:Y280),"0")</f>
        <v>0</v>
      </c>
      <c r="Z282" s="37"/>
      <c r="AA282" s="548"/>
      <c r="AB282" s="548"/>
      <c r="AC282" s="548"/>
    </row>
    <row r="283" spans="1:68" ht="16.5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 t="s">
        <v>110</v>
      </c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106</v>
      </c>
      <c r="AK305" s="68">
        <v>50.4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 t="s">
        <v>103</v>
      </c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 t="s">
        <v>106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/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/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0</v>
      </c>
      <c r="Y323" s="547">
        <f>IFERROR(Y320/H320,"0")+IFERROR(Y321/H321,"0")+IFERROR(Y322/H322,"0")</f>
        <v>0</v>
      </c>
      <c r="Z323" s="547">
        <f>IFERROR(IF(Z320="",0,Z320),"0")+IFERROR(IF(Z321="",0,Z321),"0")+IFERROR(IF(Z322="",0,Z322),"0")</f>
        <v>0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0</v>
      </c>
      <c r="Y324" s="547">
        <f>IFERROR(SUM(Y320:Y322),"0")</f>
        <v>0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186</v>
      </c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186</v>
      </c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186</v>
      </c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customHeight="1" x14ac:dyDescent="0.2">
      <c r="A345" s="639" t="s">
        <v>550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0</v>
      </c>
      <c r="Y348" s="546">
        <f t="shared" ref="Y348:Y354" si="31">IFERROR(IF(X348="",0,CEILING((X348/$H348),1)*$H348),"")</f>
        <v>0</v>
      </c>
      <c r="Z348" s="36" t="str">
        <f>IFERROR(IF(Y348=0,"",ROUNDUP(Y348/H348,0)*0.02175),"")</f>
        <v/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0</v>
      </c>
      <c r="BN348" s="64">
        <f t="shared" ref="BN348:BN354" si="33">IFERROR(Y348*I348/H348,"0")</f>
        <v>0</v>
      </c>
      <c r="BO348" s="64">
        <f t="shared" ref="BO348:BO354" si="34">IFERROR(1/J348*(X348/H348),"0")</f>
        <v>0</v>
      </c>
      <c r="BP348" s="64">
        <f t="shared" ref="BP348:BP354" si="35">IFERROR(1/J348*(Y348/H348),"0")</f>
        <v>0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0</v>
      </c>
      <c r="Y355" s="547">
        <f>IFERROR(Y348/H348,"0")+IFERROR(Y349/H349,"0")+IFERROR(Y350/H350,"0")+IFERROR(Y351/H351,"0")+IFERROR(Y352/H352,"0")+IFERROR(Y353/H353,"0")+IFERROR(Y354/H354,"0")</f>
        <v>0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0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0</v>
      </c>
      <c r="Y356" s="547">
        <f>IFERROR(SUM(Y348:Y354),"0")</f>
        <v>0</v>
      </c>
      <c r="Z356" s="37"/>
      <c r="AA356" s="548"/>
      <c r="AB356" s="548"/>
      <c r="AC356" s="548"/>
    </row>
    <row r="357" spans="1:68" ht="14.25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400</v>
      </c>
      <c r="Y358" s="546">
        <f>IFERROR(IF(X358="",0,CEILING((X358/$H358),1)*$H358),"")</f>
        <v>405</v>
      </c>
      <c r="Z358" s="36">
        <f>IFERROR(IF(Y358=0,"",ROUNDUP(Y358/H358,0)*0.02175),"")</f>
        <v>0.58724999999999994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412.53333333333336</v>
      </c>
      <c r="BN358" s="64">
        <f>IFERROR(Y358*I358/H358,"0")</f>
        <v>417.69</v>
      </c>
      <c r="BO358" s="64">
        <f>IFERROR(1/J358*(X358/H358),"0")</f>
        <v>0.55555555555555558</v>
      </c>
      <c r="BP358" s="64">
        <f>IFERROR(1/J358*(Y358/H358),"0")</f>
        <v>0.5625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26.666666666666668</v>
      </c>
      <c r="Y360" s="547">
        <f>IFERROR(Y358/H358,"0")+IFERROR(Y359/H359,"0")</f>
        <v>27</v>
      </c>
      <c r="Z360" s="547">
        <f>IFERROR(IF(Z358="",0,Z358),"0")+IFERROR(IF(Z359="",0,Z359),"0")</f>
        <v>0.58724999999999994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400</v>
      </c>
      <c r="Y361" s="547">
        <f>IFERROR(SUM(Y358:Y359),"0")</f>
        <v>405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0</v>
      </c>
      <c r="Y369" s="547">
        <f>IFERROR(Y368/H368,"0")</f>
        <v>0</v>
      </c>
      <c r="Z369" s="547">
        <f>IFERROR(IF(Z368="",0,Z368),"0")</f>
        <v>0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0</v>
      </c>
      <c r="Y370" s="547">
        <f>IFERROR(SUM(Y368:Y368),"0")</f>
        <v>0</v>
      </c>
      <c r="Z370" s="37"/>
      <c r="AA370" s="548"/>
      <c r="AB370" s="548"/>
      <c r="AC370" s="548"/>
    </row>
    <row r="371" spans="1:68" ht="16.5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 t="s">
        <v>110</v>
      </c>
      <c r="M378" s="33" t="s">
        <v>68</v>
      </c>
      <c r="N378" s="33"/>
      <c r="O378" s="32">
        <v>35</v>
      </c>
      <c r="P378" s="67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 t="s">
        <v>106</v>
      </c>
      <c r="AK378" s="68">
        <v>52.56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1090</v>
      </c>
      <c r="Y383" s="546">
        <f>IFERROR(IF(X383="",0,CEILING((X383/$H383),1)*$H383),"")</f>
        <v>1098</v>
      </c>
      <c r="Z383" s="36">
        <f>IFERROR(IF(Y383=0,"",ROUNDUP(Y383/H383,0)*0.01898),"")</f>
        <v>2.3155600000000001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1149.8288888888887</v>
      </c>
      <c r="BN383" s="64">
        <f>IFERROR(Y383*I383/H383,"0")</f>
        <v>1158.268</v>
      </c>
      <c r="BO383" s="64">
        <f>IFERROR(1/J383*(X383/H383),"0")</f>
        <v>1.8923611111111112</v>
      </c>
      <c r="BP383" s="64">
        <f>IFERROR(1/J383*(Y383/H383),"0")</f>
        <v>1.90625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186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121.11111111111111</v>
      </c>
      <c r="Y386" s="547">
        <f>IFERROR(Y383/H383,"0")+IFERROR(Y384/H384,"0")+IFERROR(Y385/H385,"0")</f>
        <v>122</v>
      </c>
      <c r="Z386" s="547">
        <f>IFERROR(IF(Z383="",0,Z383),"0")+IFERROR(IF(Z384="",0,Z384),"0")+IFERROR(IF(Z385="",0,Z385),"0")</f>
        <v>2.3155600000000001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1090</v>
      </c>
      <c r="Y387" s="547">
        <f>IFERROR(SUM(Y383:Y385),"0")</f>
        <v>1098</v>
      </c>
      <c r="Z387" s="37"/>
      <c r="AA387" s="548"/>
      <c r="AB387" s="548"/>
      <c r="AC387" s="548"/>
    </row>
    <row r="388" spans="1:68" ht="27.75" customHeight="1" x14ac:dyDescent="0.2">
      <c r="A388" s="639" t="s">
        <v>604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 t="s">
        <v>110</v>
      </c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106</v>
      </c>
      <c r="AK393" s="68">
        <v>64.8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customHeight="1" x14ac:dyDescent="0.2">
      <c r="A424" s="639" t="s">
        <v>655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300</v>
      </c>
      <c r="Y431" s="546">
        <f t="shared" si="42"/>
        <v>300.96000000000004</v>
      </c>
      <c r="Z431" s="36">
        <f t="shared" si="43"/>
        <v>0.68171999999999999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319.88636363636363</v>
      </c>
      <c r="BN431" s="64">
        <f t="shared" si="45"/>
        <v>320.91000000000003</v>
      </c>
      <c r="BO431" s="64">
        <f t="shared" si="46"/>
        <v>0.54632867132867136</v>
      </c>
      <c r="BP431" s="64">
        <f t="shared" si="47"/>
        <v>0.54807692307692313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56.818181818181813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57.000000000000007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0.68171999999999999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300</v>
      </c>
      <c r="Y440" s="547">
        <f>IFERROR(SUM(Y427:Y438),"0")</f>
        <v>300.96000000000004</v>
      </c>
      <c r="Z440" s="37"/>
      <c r="AA440" s="548"/>
      <c r="AB440" s="548"/>
      <c r="AC440" s="548"/>
    </row>
    <row r="441" spans="1:68" ht="14.25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400</v>
      </c>
      <c r="Y442" s="546">
        <f>IFERROR(IF(X442="",0,CEILING((X442/$H442),1)*$H442),"")</f>
        <v>401.28000000000003</v>
      </c>
      <c r="Z442" s="36">
        <f>IFERROR(IF(Y442=0,"",ROUNDUP(Y442/H442,0)*0.01196),"")</f>
        <v>0.90895999999999999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426.5151515151515</v>
      </c>
      <c r="BN442" s="64">
        <f>IFERROR(Y442*I442/H442,"0")</f>
        <v>427.88</v>
      </c>
      <c r="BO442" s="64">
        <f>IFERROR(1/J442*(X442/H442),"0")</f>
        <v>0.72843822843822836</v>
      </c>
      <c r="BP442" s="64">
        <f>IFERROR(1/J442*(Y442/H442),"0")</f>
        <v>0.73076923076923084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75.757575757575751</v>
      </c>
      <c r="Y445" s="547">
        <f>IFERROR(Y442/H442,"0")+IFERROR(Y443/H443,"0")+IFERROR(Y444/H444,"0")</f>
        <v>76</v>
      </c>
      <c r="Z445" s="547">
        <f>IFERROR(IF(Z442="",0,Z442),"0")+IFERROR(IF(Z443="",0,Z443),"0")+IFERROR(IF(Z444="",0,Z444),"0")</f>
        <v>0.90895999999999999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400</v>
      </c>
      <c r="Y446" s="547">
        <f>IFERROR(SUM(Y442:Y444),"0")</f>
        <v>401.28000000000003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0</v>
      </c>
      <c r="Y454" s="547">
        <f>IFERROR(Y448/H448,"0")+IFERROR(Y449/H449,"0")+IFERROR(Y450/H450,"0")+IFERROR(Y451/H451,"0")+IFERROR(Y452/H452,"0")+IFERROR(Y453/H453,"0")</f>
        <v>0</v>
      </c>
      <c r="Z454" s="547">
        <f>IFERROR(IF(Z448="",0,Z448),"0")+IFERROR(IF(Z449="",0,Z449),"0")+IFERROR(IF(Z450="",0,Z450),"0")+IFERROR(IF(Z451="",0,Z451),"0")+IFERROR(IF(Z452="",0,Z452),"0")+IFERROR(IF(Z453="",0,Z453),"0")</f>
        <v>0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0</v>
      </c>
      <c r="Y455" s="547">
        <f>IFERROR(SUM(Y448:Y453),"0")</f>
        <v>0</v>
      </c>
      <c r="Z455" s="37"/>
      <c r="AA455" s="548"/>
      <c r="AB455" s="548"/>
      <c r="AC455" s="548"/>
    </row>
    <row r="456" spans="1:68" ht="27.75" customHeight="1" x14ac:dyDescent="0.2">
      <c r="A456" s="639" t="s">
        <v>707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 t="s">
        <v>103</v>
      </c>
      <c r="M461" s="33" t="s">
        <v>104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 t="s">
        <v>106</v>
      </c>
      <c r="AK461" s="68">
        <v>96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741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2900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2917.7400000000002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742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3079.1637373737371</v>
      </c>
      <c r="Y489" s="547">
        <f>IFERROR(SUM(BN22:BN485),"0")</f>
        <v>3097.9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743</v>
      </c>
      <c r="Q490" s="647"/>
      <c r="R490" s="647"/>
      <c r="S490" s="647"/>
      <c r="T490" s="647"/>
      <c r="U490" s="647"/>
      <c r="V490" s="648"/>
      <c r="W490" s="37" t="s">
        <v>744</v>
      </c>
      <c r="X490" s="38">
        <f>ROUNDUP(SUM(BO22:BO485),0)</f>
        <v>6</v>
      </c>
      <c r="Y490" s="38">
        <f>ROUNDUP(SUM(BP22:BP485),0)</f>
        <v>6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745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3229.1637373737371</v>
      </c>
      <c r="Y491" s="547">
        <f>GrossWeightTotalR+PalletQtyTotalR*25</f>
        <v>3247.9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746</v>
      </c>
      <c r="Q492" s="647"/>
      <c r="R492" s="647"/>
      <c r="S492" s="647"/>
      <c r="T492" s="647"/>
      <c r="U492" s="647"/>
      <c r="V492" s="64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580.35353535353534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583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747</v>
      </c>
      <c r="Q493" s="647"/>
      <c r="R493" s="647"/>
      <c r="S493" s="647"/>
      <c r="T493" s="647"/>
      <c r="U493" s="647"/>
      <c r="V493" s="64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6.3040000000000003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263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550</v>
      </c>
      <c r="T495" s="606"/>
      <c r="U495" s="583" t="s">
        <v>604</v>
      </c>
      <c r="V495" s="605"/>
      <c r="W495" s="606"/>
      <c r="X495" s="542" t="s">
        <v>655</v>
      </c>
      <c r="Y495" s="583" t="s">
        <v>707</v>
      </c>
      <c r="Z495" s="606"/>
      <c r="AB495" s="52"/>
      <c r="AC495" s="52"/>
      <c r="AF495" s="543"/>
    </row>
    <row r="496" spans="1:68" ht="14.25" customHeight="1" thickTop="1" x14ac:dyDescent="0.2">
      <c r="A496" s="611" t="s">
        <v>750</v>
      </c>
      <c r="B496" s="583" t="s">
        <v>63</v>
      </c>
      <c r="C496" s="583" t="s">
        <v>98</v>
      </c>
      <c r="D496" s="583" t="s">
        <v>116</v>
      </c>
      <c r="E496" s="583" t="s">
        <v>167</v>
      </c>
      <c r="F496" s="583" t="s">
        <v>190</v>
      </c>
      <c r="G496" s="583" t="s">
        <v>227</v>
      </c>
      <c r="H496" s="583" t="s">
        <v>97</v>
      </c>
      <c r="I496" s="583" t="s">
        <v>264</v>
      </c>
      <c r="J496" s="583" t="s">
        <v>319</v>
      </c>
      <c r="K496" s="583" t="s">
        <v>379</v>
      </c>
      <c r="L496" s="583" t="s">
        <v>420</v>
      </c>
      <c r="M496" s="583" t="s">
        <v>436</v>
      </c>
      <c r="N496" s="543"/>
      <c r="O496" s="583" t="s">
        <v>447</v>
      </c>
      <c r="P496" s="583" t="s">
        <v>456</v>
      </c>
      <c r="Q496" s="583" t="s">
        <v>469</v>
      </c>
      <c r="R496" s="583" t="s">
        <v>540</v>
      </c>
      <c r="S496" s="583" t="s">
        <v>551</v>
      </c>
      <c r="T496" s="583" t="s">
        <v>586</v>
      </c>
      <c r="U496" s="583" t="s">
        <v>605</v>
      </c>
      <c r="V496" s="583" t="s">
        <v>636</v>
      </c>
      <c r="W496" s="583" t="s">
        <v>651</v>
      </c>
      <c r="X496" s="583" t="s">
        <v>655</v>
      </c>
      <c r="Y496" s="583" t="s">
        <v>707</v>
      </c>
      <c r="Z496" s="583" t="s">
        <v>737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98" s="46">
        <f>IFERROR(Y84*1,"0")+IFERROR(Y85*1,"0")+IFERROR(Y86*1,"0")+IFERROR(Y87*1,"0")+IFERROR(Y91*1,"0")+IFERROR(Y92*1,"0")+IFERROR(Y93*1,"0")+IFERROR(Y94*1,"0")</f>
        <v>0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180.9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210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321.59999999999997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0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405</v>
      </c>
      <c r="T498" s="46">
        <f>IFERROR(Y373*1,"0")+IFERROR(Y374*1,"0")+IFERROR(Y378*1,"0")+IFERROR(Y379*1,"0")+IFERROR(Y383*1,"0")+IFERROR(Y384*1,"0")+IFERROR(Y385*1,"0")</f>
        <v>1098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702.24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fnz0DG5DRnjJHhCnQRq2YTTa9uvGcHaAiAay2SESnKKo4UuJQRxCkWI9o2YNV+q3J90/sJ4nTcs8+MmCxx0OYw==" saltValue="c1Vg350yDZ4Cj/oCuRd2x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8 X84 X86:X87 X91 X93:X94 X99 X101:X102 X107 X114 X116 X126:X127 X131 X167 X169 X176 X194 X203:X208 X210 X214:X217 X219:X222 X239 X261 X263 X279:X280 X305 X313 X321 X328:X329 X341:X342 X348:X350 X358 X373 X378 X383:X384 X393 X427 X430:X431 X433 X442 X444 X448:X450 X46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nRcQEMPvMMmv2SF8IJ/JgXk+B1RH85izkwPFln9byq4yteWfcc6RwY+XBRJyrm2yQPtRJm/89Z1REextb5Prdg==" saltValue="PKk/GTZvaZqeR9LB7x0hE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2026-01-23T09:59:32Z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