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703EAE98-4659-4F5B-9401-D8EBE4B415A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Y337" i="1" s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Y323" i="1" s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Q498" i="1" s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Y201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H498" i="1" s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P131" i="1"/>
  <c r="X129" i="1"/>
  <c r="Y128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Y119" i="1" s="1"/>
  <c r="P115" i="1"/>
  <c r="BP114" i="1"/>
  <c r="BO114" i="1"/>
  <c r="BN114" i="1"/>
  <c r="BM114" i="1"/>
  <c r="Z114" i="1"/>
  <c r="Y114" i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1" i="1" s="1"/>
  <c r="P27" i="1"/>
  <c r="X25" i="1"/>
  <c r="X488" i="1" s="1"/>
  <c r="X24" i="1"/>
  <c r="BP23" i="1"/>
  <c r="BO23" i="1"/>
  <c r="BN23" i="1"/>
  <c r="BM23" i="1"/>
  <c r="Z23" i="1"/>
  <c r="Y23" i="1"/>
  <c r="P23" i="1"/>
  <c r="BO22" i="1"/>
  <c r="X490" i="1" s="1"/>
  <c r="BM22" i="1"/>
  <c r="X489" i="1" s="1"/>
  <c r="X491" i="1" s="1"/>
  <c r="Y22" i="1"/>
  <c r="B498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X492" i="1"/>
  <c r="Y25" i="1"/>
  <c r="Z28" i="1"/>
  <c r="Z31" i="1" s="1"/>
  <c r="BN28" i="1"/>
  <c r="BP28" i="1"/>
  <c r="Z30" i="1"/>
  <c r="BN30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BP55" i="1"/>
  <c r="BN55" i="1"/>
  <c r="Z55" i="1"/>
  <c r="Y64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Y118" i="1"/>
  <c r="BP117" i="1"/>
  <c r="BN117" i="1"/>
  <c r="Z117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Y133" i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0" i="1"/>
  <c r="BP198" i="1"/>
  <c r="BN198" i="1"/>
  <c r="Z198" i="1"/>
  <c r="Z200" i="1" s="1"/>
  <c r="H9" i="1"/>
  <c r="Y24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BP73" i="1"/>
  <c r="BN73" i="1"/>
  <c r="Z73" i="1"/>
  <c r="BP86" i="1"/>
  <c r="BN86" i="1"/>
  <c r="Z86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BP132" i="1"/>
  <c r="BN132" i="1"/>
  <c r="Z132" i="1"/>
  <c r="Z133" i="1" s="1"/>
  <c r="Y134" i="1"/>
  <c r="Y139" i="1"/>
  <c r="BP136" i="1"/>
  <c r="BN136" i="1"/>
  <c r="Z136" i="1"/>
  <c r="Z138" i="1" s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12" i="1"/>
  <c r="BP203" i="1"/>
  <c r="BN203" i="1"/>
  <c r="Z203" i="1"/>
  <c r="BP207" i="1"/>
  <c r="BN207" i="1"/>
  <c r="Z207" i="1"/>
  <c r="Y211" i="1"/>
  <c r="BP215" i="1"/>
  <c r="BN215" i="1"/>
  <c r="Z215" i="1"/>
  <c r="Z223" i="1" s="1"/>
  <c r="Y223" i="1"/>
  <c r="Y144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BP219" i="1"/>
  <c r="BN219" i="1"/>
  <c r="Z219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Z257" i="1" s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Z274" i="1" s="1"/>
  <c r="Y274" i="1"/>
  <c r="Z281" i="1"/>
  <c r="BP279" i="1"/>
  <c r="BN279" i="1"/>
  <c r="Z279" i="1"/>
  <c r="Z301" i="1"/>
  <c r="BP297" i="1"/>
  <c r="BN297" i="1"/>
  <c r="Z297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Z317" i="1" s="1"/>
  <c r="Y317" i="1"/>
  <c r="BP321" i="1"/>
  <c r="BN321" i="1"/>
  <c r="Z321" i="1"/>
  <c r="Z323" i="1" s="1"/>
  <c r="BP329" i="1"/>
  <c r="BN329" i="1"/>
  <c r="Z329" i="1"/>
  <c r="Y331" i="1"/>
  <c r="Y336" i="1"/>
  <c r="BP333" i="1"/>
  <c r="BN333" i="1"/>
  <c r="Z333" i="1"/>
  <c r="Z336" i="1" s="1"/>
  <c r="BP349" i="1"/>
  <c r="BN349" i="1"/>
  <c r="Z349" i="1"/>
  <c r="Z355" i="1" s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498" i="1"/>
  <c r="Y282" i="1"/>
  <c r="P498" i="1"/>
  <c r="Y287" i="1"/>
  <c r="S498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Z400" i="1" s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Z439" i="1" s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266" i="1" l="1"/>
  <c r="Z241" i="1"/>
  <c r="Z104" i="1"/>
  <c r="Y492" i="1"/>
  <c r="Z152" i="1"/>
  <c r="Z43" i="1"/>
  <c r="Y488" i="1"/>
  <c r="Y490" i="1"/>
  <c r="Z454" i="1"/>
  <c r="Z417" i="1"/>
  <c r="Z330" i="1"/>
  <c r="Z211" i="1"/>
  <c r="Z179" i="1"/>
  <c r="Z95" i="1"/>
  <c r="Z88" i="1"/>
  <c r="Z75" i="1"/>
  <c r="Z493" i="1" s="1"/>
  <c r="Y489" i="1"/>
  <c r="Y491" i="1" s="1"/>
</calcChain>
</file>

<file path=xl/sharedStrings.xml><?xml version="1.0" encoding="utf-8"?>
<sst xmlns="http://schemas.openxmlformats.org/spreadsheetml/2006/main" count="2255" uniqueCount="767">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</sst>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7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117</v>
      </c>
      <c r="Y40" s="546">
        <f>IFERROR(IF(X40="",0,CEILING((X40/$H40),1)*$H40),"")</f>
        <v>118.80000000000001</v>
      </c>
      <c r="Z40" s="36">
        <f>IFERROR(IF(Y40=0,"",ROUNDUP(Y40/H40,0)*0.01898),"")</f>
        <v>0.20877999999999999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121.44166666666668</v>
      </c>
      <c r="BN40" s="64">
        <f>IFERROR(Y40*I40/H40,"0")</f>
        <v>123.31000000000002</v>
      </c>
      <c r="BO40" s="64">
        <f>IFERROR(1/J40*(X40/H40),"0")</f>
        <v>0.16927083333333331</v>
      </c>
      <c r="BP40" s="64">
        <f>IFERROR(1/J40*(Y40/H40),"0")</f>
        <v>0.171875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165</v>
      </c>
      <c r="Y42" s="546">
        <f>IFERROR(IF(X42="",0,CEILING((X42/$H42),1)*$H42),"")</f>
        <v>166.5</v>
      </c>
      <c r="Z42" s="36">
        <f>IFERROR(IF(Y42=0,"",ROUNDUP(Y42/H42,0)*0.00902),"")</f>
        <v>0.40590000000000004</v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173.47297297297297</v>
      </c>
      <c r="BN42" s="64">
        <f>IFERROR(Y42*I42/H42,"0")</f>
        <v>175.05</v>
      </c>
      <c r="BO42" s="64">
        <f>IFERROR(1/J42*(X42/H42),"0")</f>
        <v>0.33783783783783783</v>
      </c>
      <c r="BP42" s="64">
        <f>IFERROR(1/J42*(Y42/H42),"0")</f>
        <v>0.34090909090909094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55.427927927927925</v>
      </c>
      <c r="Y43" s="547">
        <f>IFERROR(Y40/H40,"0")+IFERROR(Y41/H41,"0")+IFERROR(Y42/H42,"0")</f>
        <v>56</v>
      </c>
      <c r="Z43" s="547">
        <f>IFERROR(IF(Z40="",0,Z40),"0")+IFERROR(IF(Z41="",0,Z41),"0")+IFERROR(IF(Z42="",0,Z42),"0")</f>
        <v>0.61468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282</v>
      </c>
      <c r="Y44" s="547">
        <f>IFERROR(SUM(Y40:Y42),"0")</f>
        <v>285.3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184</v>
      </c>
      <c r="Y51" s="546">
        <f t="shared" ref="Y51:Y56" si="0">IFERROR(IF(X51="",0,CEILING((X51/$H51),1)*$H51),"")</f>
        <v>190.39999999999998</v>
      </c>
      <c r="Z51" s="36">
        <f>IFERROR(IF(Y51=0,"",ROUNDUP(Y51/H51,0)*0.01898),"")</f>
        <v>0.32266</v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190.73571428571427</v>
      </c>
      <c r="BN51" s="64">
        <f t="shared" ref="BN51:BN56" si="2">IFERROR(Y51*I51/H51,"0")</f>
        <v>197.36999999999995</v>
      </c>
      <c r="BO51" s="64">
        <f t="shared" ref="BO51:BO56" si="3">IFERROR(1/J51*(X51/H51),"0")</f>
        <v>0.2566964285714286</v>
      </c>
      <c r="BP51" s="64">
        <f t="shared" ref="BP51:BP56" si="4">IFERROR(1/J51*(Y51/H51),"0")</f>
        <v>0.265625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124</v>
      </c>
      <c r="Y52" s="546">
        <f t="shared" si="0"/>
        <v>129.60000000000002</v>
      </c>
      <c r="Z52" s="36">
        <f>IFERROR(IF(Y52=0,"",ROUNDUP(Y52/H52,0)*0.01898),"")</f>
        <v>0.22776000000000002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128.70740740740743</v>
      </c>
      <c r="BN52" s="64">
        <f t="shared" si="2"/>
        <v>134.52000000000001</v>
      </c>
      <c r="BO52" s="64">
        <f t="shared" si="3"/>
        <v>0.17939814814814814</v>
      </c>
      <c r="BP52" s="64">
        <f t="shared" si="4"/>
        <v>0.18750000000000003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127</v>
      </c>
      <c r="Y54" s="546">
        <f t="shared" si="0"/>
        <v>128</v>
      </c>
      <c r="Z54" s="36">
        <f>IFERROR(IF(Y54=0,"",ROUNDUP(Y54/H54,0)*0.00902),"")</f>
        <v>0.28864000000000001</v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133.0325</v>
      </c>
      <c r="BN54" s="64">
        <f t="shared" si="2"/>
        <v>134.08000000000001</v>
      </c>
      <c r="BO54" s="64">
        <f t="shared" si="3"/>
        <v>0.24053030303030304</v>
      </c>
      <c r="BP54" s="64">
        <f t="shared" si="4"/>
        <v>0.24242424242424243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59.660052910052912</v>
      </c>
      <c r="Y57" s="547">
        <f>IFERROR(Y51/H51,"0")+IFERROR(Y52/H52,"0")+IFERROR(Y53/H53,"0")+IFERROR(Y54/H54,"0")+IFERROR(Y55/H55,"0")+IFERROR(Y56/H56,"0")</f>
        <v>61</v>
      </c>
      <c r="Z57" s="547">
        <f>IFERROR(IF(Z51="",0,Z51),"0")+IFERROR(IF(Z52="",0,Z52),"0")+IFERROR(IF(Z53="",0,Z53),"0")+IFERROR(IF(Z54="",0,Z54),"0")+IFERROR(IF(Z55="",0,Z55),"0")+IFERROR(IF(Z56="",0,Z56),"0")</f>
        <v>0.83906000000000003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435</v>
      </c>
      <c r="Y58" s="547">
        <f>IFERROR(SUM(Y51:Y56),"0")</f>
        <v>448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148</v>
      </c>
      <c r="Y60" s="546">
        <f>IFERROR(IF(X60="",0,CEILING((X60/$H60),1)*$H60),"")</f>
        <v>151.20000000000002</v>
      </c>
      <c r="Z60" s="36">
        <f>IFERROR(IF(Y60=0,"",ROUNDUP(Y60/H60,0)*0.01898),"")</f>
        <v>0.26572000000000001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153.61851851851853</v>
      </c>
      <c r="BN60" s="64">
        <f>IFERROR(Y60*I60/H60,"0")</f>
        <v>156.94</v>
      </c>
      <c r="BO60" s="64">
        <f>IFERROR(1/J60*(X60/H60),"0")</f>
        <v>0.21412037037037035</v>
      </c>
      <c r="BP60" s="64">
        <f>IFERROR(1/J60*(Y60/H60),"0")</f>
        <v>0.21875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13.703703703703702</v>
      </c>
      <c r="Y63" s="547">
        <f>IFERROR(Y60/H60,"0")+IFERROR(Y61/H61,"0")+IFERROR(Y62/H62,"0")</f>
        <v>14</v>
      </c>
      <c r="Z63" s="547">
        <f>IFERROR(IF(Z60="",0,Z60),"0")+IFERROR(IF(Z61="",0,Z61),"0")+IFERROR(IF(Z62="",0,Z62),"0")</f>
        <v>0.26572000000000001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148</v>
      </c>
      <c r="Y64" s="547">
        <f>IFERROR(SUM(Y60:Y62),"0")</f>
        <v>151.20000000000002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46</v>
      </c>
      <c r="Y78" s="546">
        <f>IFERROR(IF(X78="",0,CEILING((X78/$H78),1)*$H78),"")</f>
        <v>46.8</v>
      </c>
      <c r="Z78" s="36">
        <f>IFERROR(IF(Y78=0,"",ROUNDUP(Y78/H78,0)*0.01898),"")</f>
        <v>0.11388000000000001</v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48.417948717948725</v>
      </c>
      <c r="BN78" s="64">
        <f>IFERROR(Y78*I78/H78,"0")</f>
        <v>49.260000000000005</v>
      </c>
      <c r="BO78" s="64">
        <f>IFERROR(1/J78*(X78/H78),"0")</f>
        <v>9.2147435897435903E-2</v>
      </c>
      <c r="BP78" s="64">
        <f>IFERROR(1/J78*(Y78/H78),"0")</f>
        <v>9.375E-2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25</v>
      </c>
      <c r="Y79" s="546">
        <f>IFERROR(IF(X79="",0,CEILING((X79/$H79),1)*$H79),"")</f>
        <v>26.4</v>
      </c>
      <c r="Z79" s="36">
        <f>IFERROR(IF(Y79=0,"",ROUNDUP(Y79/H79,0)*0.00902),"")</f>
        <v>9.9220000000000003E-2</v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26.979166666666668</v>
      </c>
      <c r="BN79" s="64">
        <f>IFERROR(Y79*I79/H79,"0")</f>
        <v>28.49</v>
      </c>
      <c r="BO79" s="64">
        <f>IFERROR(1/J79*(X79/H79),"0")</f>
        <v>7.8914141414141423E-2</v>
      </c>
      <c r="BP79" s="64">
        <f>IFERROR(1/J79*(Y79/H79),"0")</f>
        <v>8.3333333333333343E-2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16.314102564102566</v>
      </c>
      <c r="Y80" s="547">
        <f>IFERROR(Y78/H78,"0")+IFERROR(Y79/H79,"0")</f>
        <v>17</v>
      </c>
      <c r="Z80" s="547">
        <f>IFERROR(IF(Z78="",0,Z78),"0")+IFERROR(IF(Z79="",0,Z79),"0")</f>
        <v>0.21310000000000001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71</v>
      </c>
      <c r="Y81" s="547">
        <f>IFERROR(SUM(Y78:Y79),"0")</f>
        <v>73.199999999999989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272</v>
      </c>
      <c r="Y84" s="546">
        <f>IFERROR(IF(X84="",0,CEILING((X84/$H84),1)*$H84),"")</f>
        <v>280.8</v>
      </c>
      <c r="Z84" s="36">
        <f>IFERROR(IF(Y84=0,"",ROUNDUP(Y84/H84,0)*0.01898),"")</f>
        <v>0.49348000000000003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282.32592592592596</v>
      </c>
      <c r="BN84" s="64">
        <f>IFERROR(Y84*I84/H84,"0")</f>
        <v>291.46000000000004</v>
      </c>
      <c r="BO84" s="64">
        <f>IFERROR(1/J84*(X84/H84),"0")</f>
        <v>0.39351851851851849</v>
      </c>
      <c r="BP84" s="64">
        <f>IFERROR(1/J84*(Y84/H84),"0")</f>
        <v>0.40625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229</v>
      </c>
      <c r="Y87" s="546">
        <f>IFERROR(IF(X87="",0,CEILING((X87/$H87),1)*$H87),"")</f>
        <v>229.5</v>
      </c>
      <c r="Z87" s="36">
        <f>IFERROR(IF(Y87=0,"",ROUNDUP(Y87/H87,0)*0.00902),"")</f>
        <v>0.46001999999999998</v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238.66888888888889</v>
      </c>
      <c r="BN87" s="64">
        <f>IFERROR(Y87*I87/H87,"0")</f>
        <v>239.19</v>
      </c>
      <c r="BO87" s="64">
        <f>IFERROR(1/J87*(X87/H87),"0")</f>
        <v>0.38552188552188549</v>
      </c>
      <c r="BP87" s="64">
        <f>IFERROR(1/J87*(Y87/H87),"0")</f>
        <v>0.38636363636363635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76.074074074074076</v>
      </c>
      <c r="Y88" s="547">
        <f>IFERROR(Y84/H84,"0")+IFERROR(Y85/H85,"0")+IFERROR(Y86/H86,"0")+IFERROR(Y87/H87,"0")</f>
        <v>77</v>
      </c>
      <c r="Z88" s="547">
        <f>IFERROR(IF(Z84="",0,Z84),"0")+IFERROR(IF(Z85="",0,Z85),"0")+IFERROR(IF(Z86="",0,Z86),"0")+IFERROR(IF(Z87="",0,Z87),"0")</f>
        <v>0.95350000000000001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501</v>
      </c>
      <c r="Y89" s="547">
        <f>IFERROR(SUM(Y84:Y87),"0")</f>
        <v>510.3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106</v>
      </c>
      <c r="Y91" s="546">
        <f>IFERROR(IF(X91="",0,CEILING((X91/$H91),1)*$H91),"")</f>
        <v>113.39999999999999</v>
      </c>
      <c r="Z91" s="36">
        <f>IFERROR(IF(Y91=0,"",ROUNDUP(Y91/H91,0)*0.01898),"")</f>
        <v>0.26572000000000001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112.46469135802469</v>
      </c>
      <c r="BN91" s="64">
        <f>IFERROR(Y91*I91/H91,"0")</f>
        <v>120.31599999999999</v>
      </c>
      <c r="BO91" s="64">
        <f>IFERROR(1/J91*(X91/H91),"0")</f>
        <v>0.20447530864197533</v>
      </c>
      <c r="BP91" s="64">
        <f>IFERROR(1/J91*(Y91/H91),"0")</f>
        <v>0.21875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129</v>
      </c>
      <c r="Y93" s="546">
        <f>IFERROR(IF(X93="",0,CEILING((X93/$H93),1)*$H93),"")</f>
        <v>129.60000000000002</v>
      </c>
      <c r="Z93" s="36">
        <f>IFERROR(IF(Y93=0,"",ROUNDUP(Y93/H93,0)*0.00651),"")</f>
        <v>0.31247999999999998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141.04</v>
      </c>
      <c r="BN93" s="64">
        <f>IFERROR(Y93*I93/H93,"0")</f>
        <v>141.69600000000003</v>
      </c>
      <c r="BO93" s="64">
        <f>IFERROR(1/J93*(X93/H93),"0")</f>
        <v>0.26251526251526253</v>
      </c>
      <c r="BP93" s="64">
        <f>IFERROR(1/J93*(Y93/H93),"0")</f>
        <v>0.2637362637362638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60.864197530864189</v>
      </c>
      <c r="Y95" s="547">
        <f>IFERROR(Y91/H91,"0")+IFERROR(Y92/H92,"0")+IFERROR(Y93/H93,"0")+IFERROR(Y94/H94,"0")</f>
        <v>62.000000000000007</v>
      </c>
      <c r="Z95" s="547">
        <f>IFERROR(IF(Z91="",0,Z91),"0")+IFERROR(IF(Z92="",0,Z92),"0")+IFERROR(IF(Z93="",0,Z93),"0")+IFERROR(IF(Z94="",0,Z94),"0")</f>
        <v>0.57820000000000005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235</v>
      </c>
      <c r="Y96" s="547">
        <f>IFERROR(SUM(Y91:Y94),"0")</f>
        <v>243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415</v>
      </c>
      <c r="Y99" s="546">
        <f>IFERROR(IF(X99="",0,CEILING((X99/$H99),1)*$H99),"")</f>
        <v>421.20000000000005</v>
      </c>
      <c r="Z99" s="36">
        <f>IFERROR(IF(Y99=0,"",ROUNDUP(Y99/H99,0)*0.01898),"")</f>
        <v>0.74021999999999999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430.75462962962968</v>
      </c>
      <c r="BN99" s="64">
        <f>IFERROR(Y99*I99/H99,"0")</f>
        <v>437.19000000000005</v>
      </c>
      <c r="BO99" s="64">
        <f>IFERROR(1/J99*(X99/H99),"0")</f>
        <v>0.60040509259259256</v>
      </c>
      <c r="BP99" s="64">
        <f>IFERROR(1/J99*(Y99/H99),"0")</f>
        <v>0.609375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235</v>
      </c>
      <c r="Y102" s="546">
        <f>IFERROR(IF(X102="",0,CEILING((X102/$H102),1)*$H102),"")</f>
        <v>238.5</v>
      </c>
      <c r="Z102" s="36">
        <f>IFERROR(IF(Y102=0,"",ROUNDUP(Y102/H102,0)*0.00902),"")</f>
        <v>0.47806000000000004</v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244.92222222222225</v>
      </c>
      <c r="BN102" s="64">
        <f>IFERROR(Y102*I102/H102,"0")</f>
        <v>248.57000000000002</v>
      </c>
      <c r="BO102" s="64">
        <f>IFERROR(1/J102*(X102/H102),"0")</f>
        <v>0.39562289562289565</v>
      </c>
      <c r="BP102" s="64">
        <f>IFERROR(1/J102*(Y102/H102),"0")</f>
        <v>0.40151515151515155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90.648148148148152</v>
      </c>
      <c r="Y104" s="547">
        <f>IFERROR(Y99/H99,"0")+IFERROR(Y100/H100,"0")+IFERROR(Y101/H101,"0")+IFERROR(Y102/H102,"0")+IFERROR(Y103/H103,"0")</f>
        <v>92</v>
      </c>
      <c r="Z104" s="547">
        <f>IFERROR(IF(Z99="",0,Z99),"0")+IFERROR(IF(Z100="",0,Z100),"0")+IFERROR(IF(Z101="",0,Z101),"0")+IFERROR(IF(Z102="",0,Z102),"0")+IFERROR(IF(Z103="",0,Z103),"0")</f>
        <v>1.21828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650</v>
      </c>
      <c r="Y105" s="547">
        <f>IFERROR(SUM(Y99:Y103),"0")</f>
        <v>659.7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54</v>
      </c>
      <c r="Y107" s="546">
        <f>IFERROR(IF(X107="",0,CEILING((X107/$H107),1)*$H107),"")</f>
        <v>54</v>
      </c>
      <c r="Z107" s="36">
        <f>IFERROR(IF(Y107=0,"",ROUNDUP(Y107/H107,0)*0.01898),"")</f>
        <v>9.4899999999999998E-2</v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56.05</v>
      </c>
      <c r="BN107" s="64">
        <f>IFERROR(Y107*I107/H107,"0")</f>
        <v>56.05</v>
      </c>
      <c r="BO107" s="64">
        <f>IFERROR(1/J107*(X107/H107),"0")</f>
        <v>7.8125E-2</v>
      </c>
      <c r="BP107" s="64">
        <f>IFERROR(1/J107*(Y107/H107),"0")</f>
        <v>7.8125E-2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111</v>
      </c>
      <c r="Y110" s="546">
        <f>IFERROR(IF(X110="",0,CEILING((X110/$H110),1)*$H110),"")</f>
        <v>112.8</v>
      </c>
      <c r="Z110" s="36">
        <f>IFERROR(IF(Y110=0,"",ROUNDUP(Y110/H110,0)*0.00651),"")</f>
        <v>0.30597000000000002</v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119.325</v>
      </c>
      <c r="BN110" s="64">
        <f>IFERROR(Y110*I110/H110,"0")</f>
        <v>121.26</v>
      </c>
      <c r="BO110" s="64">
        <f>IFERROR(1/J110*(X110/H110),"0")</f>
        <v>0.25412087912087916</v>
      </c>
      <c r="BP110" s="64">
        <f>IFERROR(1/J110*(Y110/H110),"0")</f>
        <v>0.25824175824175827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51.25</v>
      </c>
      <c r="Y111" s="547">
        <f>IFERROR(Y107/H107,"0")+IFERROR(Y108/H108,"0")+IFERROR(Y109/H109,"0")+IFERROR(Y110/H110,"0")</f>
        <v>52</v>
      </c>
      <c r="Z111" s="547">
        <f>IFERROR(IF(Z107="",0,Z107),"0")+IFERROR(IF(Z108="",0,Z108),"0")+IFERROR(IF(Z109="",0,Z109),"0")+IFERROR(IF(Z110="",0,Z110),"0")</f>
        <v>0.40087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165</v>
      </c>
      <c r="Y112" s="547">
        <f>IFERROR(SUM(Y107:Y110),"0")</f>
        <v>166.8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134</v>
      </c>
      <c r="Y114" s="546">
        <f>IFERROR(IF(X114="",0,CEILING((X114/$H114),1)*$H114),"")</f>
        <v>137.69999999999999</v>
      </c>
      <c r="Z114" s="36">
        <f>IFERROR(IF(Y114=0,"",ROUNDUP(Y114/H114,0)*0.01898),"")</f>
        <v>0.32266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142.07308641975308</v>
      </c>
      <c r="BN114" s="64">
        <f>IFERROR(Y114*I114/H114,"0")</f>
        <v>145.99599999999998</v>
      </c>
      <c r="BO114" s="64">
        <f>IFERROR(1/J114*(X114/H114),"0")</f>
        <v>0.25848765432098769</v>
      </c>
      <c r="BP114" s="64">
        <f>IFERROR(1/J114*(Y114/H114),"0")</f>
        <v>0.265625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165</v>
      </c>
      <c r="Y116" s="546">
        <f>IFERROR(IF(X116="",0,CEILING((X116/$H116),1)*$H116),"")</f>
        <v>167.4</v>
      </c>
      <c r="Z116" s="36">
        <f>IFERROR(IF(Y116=0,"",ROUNDUP(Y116/H116,0)*0.00651),"")</f>
        <v>0.40362000000000003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180.39999999999998</v>
      </c>
      <c r="BN116" s="64">
        <f>IFERROR(Y116*I116/H116,"0")</f>
        <v>183.024</v>
      </c>
      <c r="BO116" s="64">
        <f>IFERROR(1/J116*(X116/H116),"0")</f>
        <v>0.3357753357753358</v>
      </c>
      <c r="BP116" s="64">
        <f>IFERROR(1/J116*(Y116/H116),"0")</f>
        <v>0.34065934065934067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77.654320987654316</v>
      </c>
      <c r="Y118" s="547">
        <f>IFERROR(Y114/H114,"0")+IFERROR(Y115/H115,"0")+IFERROR(Y116/H116,"0")+IFERROR(Y117/H117,"0")</f>
        <v>79</v>
      </c>
      <c r="Z118" s="547">
        <f>IFERROR(IF(Z114="",0,Z114),"0")+IFERROR(IF(Z115="",0,Z115),"0")+IFERROR(IF(Z116="",0,Z116),"0")+IFERROR(IF(Z117="",0,Z117),"0")</f>
        <v>0.72628000000000004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299</v>
      </c>
      <c r="Y119" s="547">
        <f>IFERROR(SUM(Y114:Y117),"0")</f>
        <v>305.10000000000002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11</v>
      </c>
      <c r="Y165" s="546">
        <f t="shared" ref="Y165:Y178" si="5">IFERROR(IF(X165="",0,CEILING((X165/$H165),1)*$H165),"")</f>
        <v>12.600000000000001</v>
      </c>
      <c r="Z165" s="36">
        <f>IFERROR(IF(Y165=0,"",ROUNDUP(Y165/H165,0)*0.00902),"")</f>
        <v>2.7060000000000001E-2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11.654761904761905</v>
      </c>
      <c r="BN165" s="64">
        <f t="shared" ref="BN165:BN178" si="7">IFERROR(Y165*I165/H165,"0")</f>
        <v>13.350000000000001</v>
      </c>
      <c r="BO165" s="64">
        <f t="shared" ref="BO165:BO178" si="8">IFERROR(1/J165*(X165/H165),"0")</f>
        <v>1.9841269841269844E-2</v>
      </c>
      <c r="BP165" s="64">
        <f t="shared" ref="BP165:BP178" si="9">IFERROR(1/J165*(Y165/H165),"0")</f>
        <v>2.2727272727272728E-2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76</v>
      </c>
      <c r="Y167" s="546">
        <f t="shared" si="5"/>
        <v>79.8</v>
      </c>
      <c r="Z167" s="36">
        <f>IFERROR(IF(Y167=0,"",ROUNDUP(Y167/H167,0)*0.00902),"")</f>
        <v>0.17138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79.438095238095229</v>
      </c>
      <c r="BN167" s="64">
        <f t="shared" si="7"/>
        <v>83.409999999999982</v>
      </c>
      <c r="BO167" s="64">
        <f t="shared" si="8"/>
        <v>0.13708513708513709</v>
      </c>
      <c r="BP167" s="64">
        <f t="shared" si="9"/>
        <v>0.14393939393939395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167</v>
      </c>
      <c r="Y169" s="546">
        <f t="shared" si="5"/>
        <v>168</v>
      </c>
      <c r="Z169" s="36">
        <f>IFERROR(IF(Y169=0,"",ROUNDUP(Y169/H169,0)*0.00502),"")</f>
        <v>0.40160000000000001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177.33809523809524</v>
      </c>
      <c r="BN169" s="64">
        <f t="shared" si="7"/>
        <v>178.39999999999998</v>
      </c>
      <c r="BO169" s="64">
        <f t="shared" si="8"/>
        <v>0.33984533984533988</v>
      </c>
      <c r="BP169" s="64">
        <f t="shared" si="9"/>
        <v>0.34188034188034189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40</v>
      </c>
      <c r="Y174" s="546">
        <f t="shared" si="5"/>
        <v>41.4</v>
      </c>
      <c r="Z174" s="36">
        <f>IFERROR(IF(Y174=0,"",ROUNDUP(Y174/H174,0)*0.00502),"")</f>
        <v>0.11546000000000001</v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42.888888888888893</v>
      </c>
      <c r="BN174" s="64">
        <f t="shared" si="7"/>
        <v>44.39</v>
      </c>
      <c r="BO174" s="64">
        <f t="shared" si="8"/>
        <v>9.4966761633428307E-2</v>
      </c>
      <c r="BP174" s="64">
        <f t="shared" si="9"/>
        <v>9.8290598290598302E-2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381</v>
      </c>
      <c r="Y176" s="546">
        <f t="shared" si="5"/>
        <v>382.2</v>
      </c>
      <c r="Z176" s="36">
        <f>IFERROR(IF(Y176=0,"",ROUNDUP(Y176/H176,0)*0.00502),"")</f>
        <v>0.91364000000000001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399.14285714285717</v>
      </c>
      <c r="BN176" s="64">
        <f t="shared" si="7"/>
        <v>400.4</v>
      </c>
      <c r="BO176" s="64">
        <f t="shared" si="8"/>
        <v>0.77533577533577536</v>
      </c>
      <c r="BP176" s="64">
        <f t="shared" si="9"/>
        <v>0.7777777777777779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303.88888888888891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307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1.62914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675</v>
      </c>
      <c r="Y180" s="547">
        <f>IFERROR(SUM(Y165:Y178),"0")</f>
        <v>684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2</v>
      </c>
      <c r="Y183" s="546">
        <f>IFERROR(IF(X183="",0,CEILING((X183/$H183),1)*$H183),"")</f>
        <v>2.52</v>
      </c>
      <c r="Z183" s="36">
        <f>IFERROR(IF(Y183=0,"",ROUNDUP(Y183/H183,0)*0.0059),"")</f>
        <v>1.18E-2</v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2.3015873015873014</v>
      </c>
      <c r="BN183" s="64">
        <f>IFERROR(Y183*I183/H183,"0")</f>
        <v>2.9</v>
      </c>
      <c r="BO183" s="64">
        <f>IFERROR(1/J183*(X183/H183),"0")</f>
        <v>7.3486184597295699E-3</v>
      </c>
      <c r="BP183" s="64">
        <f>IFERROR(1/J183*(Y183/H183),"0")</f>
        <v>9.2592592592592587E-3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4</v>
      </c>
      <c r="Y184" s="546">
        <f>IFERROR(IF(X184="",0,CEILING((X184/$H184),1)*$H184),"")</f>
        <v>5.04</v>
      </c>
      <c r="Z184" s="36">
        <f>IFERROR(IF(Y184=0,"",ROUNDUP(Y184/H184,0)*0.0059),"")</f>
        <v>2.3599999999999999E-2</v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4.6031746031746028</v>
      </c>
      <c r="BN184" s="64">
        <f>IFERROR(Y184*I184/H184,"0")</f>
        <v>5.8</v>
      </c>
      <c r="BO184" s="64">
        <f>IFERROR(1/J184*(X184/H184),"0")</f>
        <v>1.469723691945914E-2</v>
      </c>
      <c r="BP184" s="64">
        <f>IFERROR(1/J184*(Y184/H184),"0")</f>
        <v>1.8518518518518517E-2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4.7619047619047619</v>
      </c>
      <c r="Y185" s="547">
        <f>IFERROR(Y182/H182,"0")+IFERROR(Y183/H183,"0")+IFERROR(Y184/H184,"0")</f>
        <v>6</v>
      </c>
      <c r="Z185" s="547">
        <f>IFERROR(IF(Z182="",0,Z182),"0")+IFERROR(IF(Z183="",0,Z183),"0")+IFERROR(IF(Z184="",0,Z184),"0")</f>
        <v>3.5400000000000001E-2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6</v>
      </c>
      <c r="Y186" s="547">
        <f>IFERROR(SUM(Y182:Y184),"0")</f>
        <v>7.5600000000000005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425</v>
      </c>
      <c r="Y203" s="546">
        <f t="shared" ref="Y203:Y210" si="10">IFERROR(IF(X203="",0,CEILING((X203/$H203),1)*$H203),"")</f>
        <v>426.6</v>
      </c>
      <c r="Z203" s="36">
        <f>IFERROR(IF(Y203=0,"",ROUNDUP(Y203/H203,0)*0.00902),"")</f>
        <v>0.71257999999999999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439.9537037037037</v>
      </c>
      <c r="BN203" s="64">
        <f t="shared" ref="BN203:BN210" si="12">IFERROR(Y203*I203/H203,"0")</f>
        <v>441.60999999999996</v>
      </c>
      <c r="BO203" s="64">
        <f t="shared" ref="BO203:BO210" si="13">IFERROR(1/J203*(X203/H203),"0")</f>
        <v>0.59624017957351283</v>
      </c>
      <c r="BP203" s="64">
        <f t="shared" ref="BP203:BP210" si="14">IFERROR(1/J203*(Y203/H203),"0")</f>
        <v>0.59848484848484851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174</v>
      </c>
      <c r="Y204" s="546">
        <f t="shared" si="10"/>
        <v>178.20000000000002</v>
      </c>
      <c r="Z204" s="36">
        <f>IFERROR(IF(Y204=0,"",ROUNDUP(Y204/H204,0)*0.00902),"")</f>
        <v>0.29766000000000004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180.12222222222221</v>
      </c>
      <c r="BN204" s="64">
        <f t="shared" si="12"/>
        <v>184.47</v>
      </c>
      <c r="BO204" s="64">
        <f t="shared" si="13"/>
        <v>0.24410774410774411</v>
      </c>
      <c r="BP204" s="64">
        <f t="shared" si="14"/>
        <v>0.25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250</v>
      </c>
      <c r="Y206" s="546">
        <f t="shared" si="10"/>
        <v>253.8</v>
      </c>
      <c r="Z206" s="36">
        <f>IFERROR(IF(Y206=0,"",ROUNDUP(Y206/H206,0)*0.00902),"")</f>
        <v>0.42393999999999998</v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258.7962962962963</v>
      </c>
      <c r="BN206" s="64">
        <f t="shared" si="12"/>
        <v>262.72999999999996</v>
      </c>
      <c r="BO206" s="64">
        <f t="shared" si="13"/>
        <v>0.35072951739618402</v>
      </c>
      <c r="BP206" s="64">
        <f t="shared" si="14"/>
        <v>0.35606060606060608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79</v>
      </c>
      <c r="Y207" s="546">
        <f t="shared" si="10"/>
        <v>79.2</v>
      </c>
      <c r="Z207" s="36">
        <f>IFERROR(IF(Y207=0,"",ROUNDUP(Y207/H207,0)*0.00502),"")</f>
        <v>0.22088000000000002</v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84.705555555555549</v>
      </c>
      <c r="BN207" s="64">
        <f t="shared" si="12"/>
        <v>84.92</v>
      </c>
      <c r="BO207" s="64">
        <f t="shared" si="13"/>
        <v>0.18755935422602091</v>
      </c>
      <c r="BP207" s="64">
        <f t="shared" si="14"/>
        <v>0.18803418803418806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60</v>
      </c>
      <c r="Y208" s="546">
        <f t="shared" si="10"/>
        <v>61.2</v>
      </c>
      <c r="Z208" s="36">
        <f>IFERROR(IF(Y208=0,"",ROUNDUP(Y208/H208,0)*0.00502),"")</f>
        <v>0.17068</v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63.333333333333329</v>
      </c>
      <c r="BN208" s="64">
        <f t="shared" si="12"/>
        <v>64.599999999999994</v>
      </c>
      <c r="BO208" s="64">
        <f t="shared" si="13"/>
        <v>0.14245014245014248</v>
      </c>
      <c r="BP208" s="64">
        <f t="shared" si="14"/>
        <v>0.14529914529914531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106</v>
      </c>
      <c r="Y210" s="546">
        <f t="shared" si="10"/>
        <v>106.2</v>
      </c>
      <c r="Z210" s="36">
        <f>IFERROR(IF(Y210=0,"",ROUNDUP(Y210/H210,0)*0.00502),"")</f>
        <v>0.29618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111.88888888888887</v>
      </c>
      <c r="BN210" s="64">
        <f t="shared" si="12"/>
        <v>112.1</v>
      </c>
      <c r="BO210" s="64">
        <f t="shared" si="13"/>
        <v>0.25166191832858503</v>
      </c>
      <c r="BP210" s="64">
        <f t="shared" si="14"/>
        <v>0.25213675213675218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293.33333333333337</v>
      </c>
      <c r="Y211" s="547">
        <f>IFERROR(Y203/H203,"0")+IFERROR(Y204/H204,"0")+IFERROR(Y205/H205,"0")+IFERROR(Y206/H206,"0")+IFERROR(Y207/H207,"0")+IFERROR(Y208/H208,"0")+IFERROR(Y209/H209,"0")+IFERROR(Y210/H210,"0")</f>
        <v>296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2.1219199999999998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1094</v>
      </c>
      <c r="Y212" s="547">
        <f>IFERROR(SUM(Y203:Y210),"0")</f>
        <v>1105.2000000000003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48</v>
      </c>
      <c r="Y214" s="546">
        <f t="shared" ref="Y214:Y222" si="15">IFERROR(IF(X214="",0,CEILING((X214/$H214),1)*$H214),"")</f>
        <v>48.599999999999994</v>
      </c>
      <c r="Z214" s="36">
        <f>IFERROR(IF(Y214=0,"",ROUNDUP(Y214/H214,0)*0.01898),"")</f>
        <v>0.11388000000000001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50.927407407407401</v>
      </c>
      <c r="BN214" s="64">
        <f t="shared" ref="BN214:BN222" si="17">IFERROR(Y214*I214/H214,"0")</f>
        <v>51.563999999999993</v>
      </c>
      <c r="BO214" s="64">
        <f t="shared" ref="BO214:BO222" si="18">IFERROR(1/J214*(X214/H214),"0")</f>
        <v>9.2592592592592601E-2</v>
      </c>
      <c r="BP214" s="64">
        <f t="shared" ref="BP214:BP222" si="19">IFERROR(1/J214*(Y214/H214),"0")</f>
        <v>9.375E-2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43</v>
      </c>
      <c r="Y215" s="546">
        <f t="shared" si="15"/>
        <v>48.599999999999994</v>
      </c>
      <c r="Z215" s="36">
        <f>IFERROR(IF(Y215=0,"",ROUNDUP(Y215/H215,0)*0.01898),"")</f>
        <v>0.11388000000000001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45.526913580246919</v>
      </c>
      <c r="BN215" s="64">
        <f t="shared" si="17"/>
        <v>51.455999999999996</v>
      </c>
      <c r="BO215" s="64">
        <f t="shared" si="18"/>
        <v>8.2947530864197538E-2</v>
      </c>
      <c r="BP215" s="64">
        <f t="shared" si="19"/>
        <v>9.375E-2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244</v>
      </c>
      <c r="Y216" s="546">
        <f t="shared" si="15"/>
        <v>252.29999999999998</v>
      </c>
      <c r="Z216" s="36">
        <f>IFERROR(IF(Y216=0,"",ROUNDUP(Y216/H216,0)*0.01898),"")</f>
        <v>0.55042000000000002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257.85471264367823</v>
      </c>
      <c r="BN216" s="64">
        <f t="shared" si="17"/>
        <v>266.62600000000003</v>
      </c>
      <c r="BO216" s="64">
        <f t="shared" si="18"/>
        <v>0.43821839080459773</v>
      </c>
      <c r="BP216" s="64">
        <f t="shared" si="19"/>
        <v>0.453125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69</v>
      </c>
      <c r="Y217" s="546">
        <f t="shared" si="15"/>
        <v>69.599999999999994</v>
      </c>
      <c r="Z217" s="36">
        <f t="shared" ref="Z217:Z222" si="20">IFERROR(IF(Y217=0,"",ROUNDUP(Y217/H217,0)*0.00651),"")</f>
        <v>0.18879000000000001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76.762500000000003</v>
      </c>
      <c r="BN217" s="64">
        <f t="shared" si="17"/>
        <v>77.430000000000007</v>
      </c>
      <c r="BO217" s="64">
        <f t="shared" si="18"/>
        <v>0.15796703296703299</v>
      </c>
      <c r="BP217" s="64">
        <f t="shared" si="19"/>
        <v>0.15934065934065936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278</v>
      </c>
      <c r="Y219" s="546">
        <f t="shared" si="15"/>
        <v>278.39999999999998</v>
      </c>
      <c r="Z219" s="36">
        <f t="shared" si="20"/>
        <v>0.75516000000000005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307.19000000000005</v>
      </c>
      <c r="BN219" s="64">
        <f t="shared" si="17"/>
        <v>307.63200000000001</v>
      </c>
      <c r="BO219" s="64">
        <f t="shared" si="18"/>
        <v>0.63644688644688652</v>
      </c>
      <c r="BP219" s="64">
        <f t="shared" si="19"/>
        <v>0.63736263736263743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199</v>
      </c>
      <c r="Y220" s="546">
        <f t="shared" si="15"/>
        <v>199.2</v>
      </c>
      <c r="Z220" s="36">
        <f t="shared" si="20"/>
        <v>0.54032999999999998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219.89500000000004</v>
      </c>
      <c r="BN220" s="64">
        <f t="shared" si="17"/>
        <v>220.11600000000001</v>
      </c>
      <c r="BO220" s="64">
        <f t="shared" si="18"/>
        <v>0.45558608058608063</v>
      </c>
      <c r="BP220" s="64">
        <f t="shared" si="19"/>
        <v>0.45604395604395609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178</v>
      </c>
      <c r="Y221" s="546">
        <f t="shared" si="15"/>
        <v>180</v>
      </c>
      <c r="Z221" s="36">
        <f t="shared" si="20"/>
        <v>0.48825000000000002</v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196.69000000000003</v>
      </c>
      <c r="BN221" s="64">
        <f t="shared" si="17"/>
        <v>198.9</v>
      </c>
      <c r="BO221" s="64">
        <f t="shared" si="18"/>
        <v>0.40750915750915756</v>
      </c>
      <c r="BP221" s="64">
        <f t="shared" si="19"/>
        <v>0.41208791208791212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187</v>
      </c>
      <c r="Y222" s="546">
        <f t="shared" si="15"/>
        <v>187.2</v>
      </c>
      <c r="Z222" s="36">
        <f t="shared" si="20"/>
        <v>0.50778000000000001</v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207.10249999999999</v>
      </c>
      <c r="BN222" s="64">
        <f t="shared" si="17"/>
        <v>207.32399999999998</v>
      </c>
      <c r="BO222" s="64">
        <f t="shared" si="18"/>
        <v>0.42811355311355315</v>
      </c>
      <c r="BP222" s="64">
        <f t="shared" si="19"/>
        <v>0.4285714285714286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418.8638782460622</v>
      </c>
      <c r="Y223" s="547">
        <f>IFERROR(Y214/H214,"0")+IFERROR(Y215/H215,"0")+IFERROR(Y216/H216,"0")+IFERROR(Y217/H217,"0")+IFERROR(Y218/H218,"0")+IFERROR(Y219/H219,"0")+IFERROR(Y220/H220,"0")+IFERROR(Y221/H221,"0")+IFERROR(Y222/H222,"0")</f>
        <v>422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3.2584899999999997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1246</v>
      </c>
      <c r="Y224" s="547">
        <f>IFERROR(SUM(Y214:Y222),"0")</f>
        <v>1263.9000000000001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34</v>
      </c>
      <c r="Y226" s="546">
        <f>IFERROR(IF(X226="",0,CEILING((X226/$H226),1)*$H226),"")</f>
        <v>36</v>
      </c>
      <c r="Z226" s="36">
        <f>IFERROR(IF(Y226=0,"",ROUNDUP(Y226/H226,0)*0.00651),"")</f>
        <v>9.7650000000000001E-2</v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37.570000000000007</v>
      </c>
      <c r="BN226" s="64">
        <f>IFERROR(Y226*I226/H226,"0")</f>
        <v>39.780000000000008</v>
      </c>
      <c r="BO226" s="64">
        <f>IFERROR(1/J226*(X226/H226),"0")</f>
        <v>7.7838827838827854E-2</v>
      </c>
      <c r="BP226" s="64">
        <f>IFERROR(1/J226*(Y226/H226),"0")</f>
        <v>8.241758241758243E-2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20</v>
      </c>
      <c r="Y227" s="546">
        <f>IFERROR(IF(X227="",0,CEILING((X227/$H227),1)*$H227),"")</f>
        <v>21.599999999999998</v>
      </c>
      <c r="Z227" s="36">
        <f>IFERROR(IF(Y227=0,"",ROUNDUP(Y227/H227,0)*0.00651),"")</f>
        <v>5.8590000000000003E-2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22.100000000000005</v>
      </c>
      <c r="BN227" s="64">
        <f>IFERROR(Y227*I227/H227,"0")</f>
        <v>23.868000000000002</v>
      </c>
      <c r="BO227" s="64">
        <f>IFERROR(1/J227*(X227/H227),"0")</f>
        <v>4.5787545787545791E-2</v>
      </c>
      <c r="BP227" s="64">
        <f>IFERROR(1/J227*(Y227/H227),"0")</f>
        <v>4.9450549450549455E-2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22.5</v>
      </c>
      <c r="Y228" s="547">
        <f>IFERROR(Y226/H226,"0")+IFERROR(Y227/H227,"0")</f>
        <v>24</v>
      </c>
      <c r="Z228" s="547">
        <f>IFERROR(IF(Z226="",0,Z226),"0")+IFERROR(IF(Z227="",0,Z227),"0")</f>
        <v>0.15623999999999999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54</v>
      </c>
      <c r="Y229" s="547">
        <f>IFERROR(SUM(Y226:Y227),"0")</f>
        <v>57.599999999999994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149</v>
      </c>
      <c r="Y232" s="546">
        <f t="shared" ref="Y232:Y240" si="21">IFERROR(IF(X232="",0,CEILING((X232/$H232),1)*$H232),"")</f>
        <v>150.79999999999998</v>
      </c>
      <c r="Z232" s="36">
        <f>IFERROR(IF(Y232=0,"",ROUNDUP(Y232/H232,0)*0.01898),"")</f>
        <v>0.24674000000000001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154.26637931034483</v>
      </c>
      <c r="BN232" s="64">
        <f t="shared" ref="BN232:BN240" si="23">IFERROR(Y232*I232/H232,"0")</f>
        <v>156.12999999999997</v>
      </c>
      <c r="BO232" s="64">
        <f t="shared" ref="BO232:BO240" si="24">IFERROR(1/J232*(X232/H232),"0")</f>
        <v>0.20070043103448276</v>
      </c>
      <c r="BP232" s="64">
        <f t="shared" ref="BP232:BP240" si="25">IFERROR(1/J232*(Y232/H232),"0")</f>
        <v>0.20312499999999997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8</v>
      </c>
      <c r="Y235" s="546">
        <f t="shared" si="21"/>
        <v>8</v>
      </c>
      <c r="Z235" s="36">
        <f>IFERROR(IF(Y235=0,"",ROUNDUP(Y235/H235,0)*0.00902),"")</f>
        <v>1.804E-2</v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8.3800000000000008</v>
      </c>
      <c r="BN235" s="64">
        <f t="shared" si="23"/>
        <v>8.3800000000000008</v>
      </c>
      <c r="BO235" s="64">
        <f t="shared" si="24"/>
        <v>1.5151515151515152E-2</v>
      </c>
      <c r="BP235" s="64">
        <f t="shared" si="25"/>
        <v>1.5151515151515152E-2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14.844827586206897</v>
      </c>
      <c r="Y241" s="547">
        <f>IFERROR(Y232/H232,"0")+IFERROR(Y233/H233,"0")+IFERROR(Y234/H234,"0")+IFERROR(Y235/H235,"0")+IFERROR(Y236/H236,"0")+IFERROR(Y237/H237,"0")+IFERROR(Y238/H238,"0")+IFERROR(Y239/H239,"0")+IFERROR(Y240/H240,"0")</f>
        <v>14.999999999999998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0.26478000000000002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157</v>
      </c>
      <c r="Y242" s="547">
        <f>IFERROR(SUM(Y232:Y240),"0")</f>
        <v>158.79999999999998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120</v>
      </c>
      <c r="Y279" s="546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132.60000000000002</v>
      </c>
      <c r="BN279" s="64">
        <f>IFERROR(Y279*I279/H279,"0")</f>
        <v>132.60000000000002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237</v>
      </c>
      <c r="Y280" s="546">
        <f>IFERROR(IF(X280="",0,CEILING((X280/$H280),1)*$H280),"")</f>
        <v>237.6</v>
      </c>
      <c r="Z280" s="36">
        <f>IFERROR(IF(Y280=0,"",ROUNDUP(Y280/H280,0)*0.00651),"")</f>
        <v>0.64449000000000001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254.77500000000003</v>
      </c>
      <c r="BN280" s="64">
        <f>IFERROR(Y280*I280/H280,"0")</f>
        <v>255.42000000000002</v>
      </c>
      <c r="BO280" s="64">
        <f>IFERROR(1/J280*(X280/H280),"0")</f>
        <v>0.54258241758241765</v>
      </c>
      <c r="BP280" s="64">
        <f>IFERROR(1/J280*(Y280/H280),"0")</f>
        <v>0.54395604395604402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148.75</v>
      </c>
      <c r="Y281" s="547">
        <f>IFERROR(Y278/H278,"0")+IFERROR(Y279/H279,"0")+IFERROR(Y280/H280,"0")</f>
        <v>149</v>
      </c>
      <c r="Z281" s="547">
        <f>IFERROR(IF(Z278="",0,Z278),"0")+IFERROR(IF(Z279="",0,Z279),"0")+IFERROR(IF(Z280="",0,Z280),"0")</f>
        <v>0.96999000000000002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357</v>
      </c>
      <c r="Y282" s="547">
        <f>IFERROR(SUM(Y278:Y280),"0")</f>
        <v>357.6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36</v>
      </c>
      <c r="Y309" s="546">
        <f t="shared" si="26"/>
        <v>36</v>
      </c>
      <c r="Z309" s="36">
        <f>IFERROR(IF(Y309=0,"",ROUNDUP(Y309/H309,0)*0.00651),"")</f>
        <v>0.13020000000000001</v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40.559999999999995</v>
      </c>
      <c r="BN309" s="64">
        <f t="shared" si="28"/>
        <v>40.559999999999995</v>
      </c>
      <c r="BO309" s="64">
        <f t="shared" si="29"/>
        <v>0.1098901098901099</v>
      </c>
      <c r="BP309" s="64">
        <f t="shared" si="30"/>
        <v>0.1098901098901099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20</v>
      </c>
      <c r="Y310" s="547">
        <f>IFERROR(Y304/H304,"0")+IFERROR(Y305/H305,"0")+IFERROR(Y306/H306,"0")+IFERROR(Y307/H307,"0")+IFERROR(Y308/H308,"0")+IFERROR(Y309/H309,"0")</f>
        <v>20</v>
      </c>
      <c r="Z310" s="547">
        <f>IFERROR(IF(Z304="",0,Z304),"0")+IFERROR(IF(Z305="",0,Z305),"0")+IFERROR(IF(Z306="",0,Z306),"0")+IFERROR(IF(Z307="",0,Z307),"0")+IFERROR(IF(Z308="",0,Z308),"0")+IFERROR(IF(Z309="",0,Z309),"0")</f>
        <v>0.13020000000000001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36</v>
      </c>
      <c r="Y311" s="547">
        <f>IFERROR(SUM(Y304:Y309),"0")</f>
        <v>36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210</v>
      </c>
      <c r="Y320" s="546">
        <f>IFERROR(IF(X320="",0,CEILING((X320/$H320),1)*$H320),"")</f>
        <v>210</v>
      </c>
      <c r="Z320" s="36">
        <f>IFERROR(IF(Y320=0,"",ROUNDUP(Y320/H320,0)*0.01898),"")</f>
        <v>0.47450000000000003</v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222.35</v>
      </c>
      <c r="BN320" s="64">
        <f>IFERROR(Y320*I320/H320,"0")</f>
        <v>222.35</v>
      </c>
      <c r="BO320" s="64">
        <f>IFERROR(1/J320*(X320/H320),"0")</f>
        <v>0.390625</v>
      </c>
      <c r="BP320" s="64">
        <f>IFERROR(1/J320*(Y320/H320),"0")</f>
        <v>0.390625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546</v>
      </c>
      <c r="Y321" s="546">
        <f>IFERROR(IF(X321="",0,CEILING((X321/$H321),1)*$H321),"")</f>
        <v>546</v>
      </c>
      <c r="Z321" s="36">
        <f>IFERROR(IF(Y321=0,"",ROUNDUP(Y321/H321,0)*0.01898),"")</f>
        <v>1.3286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580.58000000000004</v>
      </c>
      <c r="BN321" s="64">
        <f>IFERROR(Y321*I321/H321,"0")</f>
        <v>580.58000000000004</v>
      </c>
      <c r="BO321" s="64">
        <f>IFERROR(1/J321*(X321/H321),"0")</f>
        <v>1.09375</v>
      </c>
      <c r="BP321" s="64">
        <f>IFERROR(1/J321*(Y321/H321),"0")</f>
        <v>1.09375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125</v>
      </c>
      <c r="Y322" s="546">
        <f>IFERROR(IF(X322="",0,CEILING((X322/$H322),1)*$H322),"")</f>
        <v>126</v>
      </c>
      <c r="Z322" s="36">
        <f>IFERROR(IF(Y322=0,"",ROUNDUP(Y322/H322,0)*0.01898),"")</f>
        <v>0.28470000000000001</v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132.35119047619048</v>
      </c>
      <c r="BN322" s="64">
        <f>IFERROR(Y322*I322/H322,"0")</f>
        <v>133.41</v>
      </c>
      <c r="BO322" s="64">
        <f>IFERROR(1/J322*(X322/H322),"0")</f>
        <v>0.23251488095238093</v>
      </c>
      <c r="BP322" s="64">
        <f>IFERROR(1/J322*(Y322/H322),"0")</f>
        <v>0.234375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109.88095238095238</v>
      </c>
      <c r="Y323" s="547">
        <f>IFERROR(Y320/H320,"0")+IFERROR(Y321/H321,"0")+IFERROR(Y322/H322,"0")</f>
        <v>110</v>
      </c>
      <c r="Z323" s="547">
        <f>IFERROR(IF(Z320="",0,Z320),"0")+IFERROR(IF(Z321="",0,Z321),"0")+IFERROR(IF(Z322="",0,Z322),"0")</f>
        <v>2.0878000000000001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881</v>
      </c>
      <c r="Y324" s="547">
        <f>IFERROR(SUM(Y320:Y322),"0")</f>
        <v>882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11</v>
      </c>
      <c r="Y335" s="546">
        <f>IFERROR(IF(X335="",0,CEILING((X335/$H335),1)*$H335),"")</f>
        <v>12</v>
      </c>
      <c r="Z335" s="36">
        <f>IFERROR(IF(Y335=0,"",ROUNDUP(Y335/H335,0)*0.00474),"")</f>
        <v>2.844E-2</v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12.32</v>
      </c>
      <c r="BN335" s="64">
        <f>IFERROR(Y335*I335/H335,"0")</f>
        <v>13.440000000000001</v>
      </c>
      <c r="BO335" s="64">
        <f>IFERROR(1/J335*(X335/H335),"0")</f>
        <v>2.3109243697478989E-2</v>
      </c>
      <c r="BP335" s="64">
        <f>IFERROR(1/J335*(Y335/H335),"0")</f>
        <v>2.5210084033613446E-2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5.5</v>
      </c>
      <c r="Y336" s="547">
        <f>IFERROR(Y333/H333,"0")+IFERROR(Y334/H334,"0")+IFERROR(Y335/H335,"0")</f>
        <v>6</v>
      </c>
      <c r="Z336" s="547">
        <f>IFERROR(IF(Z333="",0,Z333),"0")+IFERROR(IF(Z334="",0,Z334),"0")+IFERROR(IF(Z335="",0,Z335),"0")</f>
        <v>2.844E-2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11</v>
      </c>
      <c r="Y337" s="547">
        <f>IFERROR(SUM(Y333:Y335),"0")</f>
        <v>12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21</v>
      </c>
      <c r="Y340" s="546">
        <f>IFERROR(IF(X340="",0,CEILING((X340/$H340),1)*$H340),"")</f>
        <v>24.299999999999997</v>
      </c>
      <c r="Z340" s="36">
        <f>IFERROR(IF(Y340=0,"",ROUNDUP(Y340/H340,0)*0.01898),"")</f>
        <v>5.6940000000000004E-2</v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22.28074074074074</v>
      </c>
      <c r="BN340" s="64">
        <f>IFERROR(Y340*I340/H340,"0")</f>
        <v>25.781999999999996</v>
      </c>
      <c r="BO340" s="64">
        <f>IFERROR(1/J340*(X340/H340),"0")</f>
        <v>4.0509259259259259E-2</v>
      </c>
      <c r="BP340" s="64">
        <f>IFERROR(1/J340*(Y340/H340),"0")</f>
        <v>4.6875E-2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2.5925925925925926</v>
      </c>
      <c r="Y343" s="547">
        <f>IFERROR(Y340/H340,"0")+IFERROR(Y341/H341,"0")+IFERROR(Y342/H342,"0")</f>
        <v>3</v>
      </c>
      <c r="Z343" s="547">
        <f>IFERROR(IF(Z340="",0,Z340),"0")+IFERROR(IF(Z341="",0,Z341),"0")+IFERROR(IF(Z342="",0,Z342),"0")</f>
        <v>5.6940000000000004E-2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21</v>
      </c>
      <c r="Y344" s="547">
        <f>IFERROR(SUM(Y340:Y342),"0")</f>
        <v>24.299999999999997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191</v>
      </c>
      <c r="Y348" s="546">
        <f t="shared" ref="Y348:Y354" si="31">IFERROR(IF(X348="",0,CEILING((X348/$H348),1)*$H348),"")</f>
        <v>195</v>
      </c>
      <c r="Z348" s="36">
        <f>IFERROR(IF(Y348=0,"",ROUNDUP(Y348/H348,0)*0.02175),"")</f>
        <v>0.28275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196.98466666666667</v>
      </c>
      <c r="BN348" s="64">
        <f t="shared" ref="BN348:BN354" si="33">IFERROR(Y348*I348/H348,"0")</f>
        <v>201.11</v>
      </c>
      <c r="BO348" s="64">
        <f t="shared" ref="BO348:BO354" si="34">IFERROR(1/J348*(X348/H348),"0")</f>
        <v>0.26527777777777772</v>
      </c>
      <c r="BP348" s="64">
        <f t="shared" ref="BP348:BP354" si="35">IFERROR(1/J348*(Y348/H348),"0")</f>
        <v>0.27083333333333331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144</v>
      </c>
      <c r="Y349" s="546">
        <f t="shared" si="31"/>
        <v>150</v>
      </c>
      <c r="Z349" s="36">
        <f>IFERROR(IF(Y349=0,"",ROUNDUP(Y349/H349,0)*0.02175),"")</f>
        <v>0.21749999999999997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148.51200000000003</v>
      </c>
      <c r="BN349" s="64">
        <f t="shared" si="33"/>
        <v>154.69999999999999</v>
      </c>
      <c r="BO349" s="64">
        <f t="shared" si="34"/>
        <v>0.19999999999999998</v>
      </c>
      <c r="BP349" s="64">
        <f t="shared" si="35"/>
        <v>0.20833333333333331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301</v>
      </c>
      <c r="Y350" s="546">
        <f t="shared" si="31"/>
        <v>315</v>
      </c>
      <c r="Z350" s="36">
        <f>IFERROR(IF(Y350=0,"",ROUNDUP(Y350/H350,0)*0.02175),"")</f>
        <v>0.45674999999999999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310.43133333333333</v>
      </c>
      <c r="BN350" s="64">
        <f t="shared" si="33"/>
        <v>324.87</v>
      </c>
      <c r="BO350" s="64">
        <f t="shared" si="34"/>
        <v>0.41805555555555551</v>
      </c>
      <c r="BP350" s="64">
        <f t="shared" si="35"/>
        <v>0.4375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42.4</v>
      </c>
      <c r="Y355" s="547">
        <f>IFERROR(Y348/H348,"0")+IFERROR(Y349/H349,"0")+IFERROR(Y350/H350,"0")+IFERROR(Y351/H351,"0")+IFERROR(Y352/H352,"0")+IFERROR(Y353/H353,"0")+IFERROR(Y354/H354,"0")</f>
        <v>44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0.95699999999999996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636</v>
      </c>
      <c r="Y356" s="547">
        <f>IFERROR(SUM(Y348:Y354),"0")</f>
        <v>660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214</v>
      </c>
      <c r="Y358" s="546">
        <f>IFERROR(IF(X358="",0,CEILING((X358/$H358),1)*$H358),"")</f>
        <v>225</v>
      </c>
      <c r="Z358" s="36">
        <f>IFERROR(IF(Y358=0,"",ROUNDUP(Y358/H358,0)*0.02175),"")</f>
        <v>0.32624999999999998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220.70533333333333</v>
      </c>
      <c r="BN358" s="64">
        <f>IFERROR(Y358*I358/H358,"0")</f>
        <v>232.05</v>
      </c>
      <c r="BO358" s="64">
        <f>IFERROR(1/J358*(X358/H358),"0")</f>
        <v>0.29722222222222222</v>
      </c>
      <c r="BP358" s="64">
        <f>IFERROR(1/J358*(Y358/H358),"0")</f>
        <v>0.3125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14.266666666666667</v>
      </c>
      <c r="Y360" s="547">
        <f>IFERROR(Y358/H358,"0")+IFERROR(Y359/H359,"0")</f>
        <v>15</v>
      </c>
      <c r="Z360" s="547">
        <f>IFERROR(IF(Z358="",0,Z358),"0")+IFERROR(IF(Z359="",0,Z359),"0")</f>
        <v>0.32624999999999998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214</v>
      </c>
      <c r="Y361" s="547">
        <f>IFERROR(SUM(Y358:Y359),"0")</f>
        <v>225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6</v>
      </c>
      <c r="Y364" s="546">
        <f>IFERROR(IF(X364="",0,CEILING((X364/$H364),1)*$H364),"")</f>
        <v>9</v>
      </c>
      <c r="Z364" s="36">
        <f>IFERROR(IF(Y364=0,"",ROUNDUP(Y364/H364,0)*0.01898),"")</f>
        <v>1.898E-2</v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6.3293333333333335</v>
      </c>
      <c r="BN364" s="64">
        <f>IFERROR(Y364*I364/H364,"0")</f>
        <v>9.4939999999999998</v>
      </c>
      <c r="BO364" s="64">
        <f>IFERROR(1/J364*(X364/H364),"0")</f>
        <v>1.0416666666666666E-2</v>
      </c>
      <c r="BP364" s="64">
        <f>IFERROR(1/J364*(Y364/H364),"0")</f>
        <v>1.5625E-2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0.66666666666666663</v>
      </c>
      <c r="Y365" s="547">
        <f>IFERROR(Y363/H363,"0")+IFERROR(Y364/H364,"0")</f>
        <v>1</v>
      </c>
      <c r="Z365" s="547">
        <f>IFERROR(IF(Z363="",0,Z363),"0")+IFERROR(IF(Z364="",0,Z364),"0")</f>
        <v>1.898E-2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6</v>
      </c>
      <c r="Y366" s="547">
        <f>IFERROR(SUM(Y363:Y364),"0")</f>
        <v>9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47</v>
      </c>
      <c r="Y368" s="546">
        <f>IFERROR(IF(X368="",0,CEILING((X368/$H368),1)*$H368),"")</f>
        <v>54</v>
      </c>
      <c r="Z368" s="36">
        <f>IFERROR(IF(Y368=0,"",ROUNDUP(Y368/H368,0)*0.01898),"")</f>
        <v>0.11388000000000001</v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49.579777777777771</v>
      </c>
      <c r="BN368" s="64">
        <f>IFERROR(Y368*I368/H368,"0")</f>
        <v>56.963999999999992</v>
      </c>
      <c r="BO368" s="64">
        <f>IFERROR(1/J368*(X368/H368),"0")</f>
        <v>8.1597222222222224E-2</v>
      </c>
      <c r="BP368" s="64">
        <f>IFERROR(1/J368*(Y368/H368),"0")</f>
        <v>9.375E-2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5.2222222222222223</v>
      </c>
      <c r="Y369" s="547">
        <f>IFERROR(Y368/H368,"0")</f>
        <v>6</v>
      </c>
      <c r="Z369" s="547">
        <f>IFERROR(IF(Z368="",0,Z368),"0")</f>
        <v>0.11388000000000001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47</v>
      </c>
      <c r="Y370" s="547">
        <f>IFERROR(SUM(Y368:Y368),"0")</f>
        <v>54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4</v>
      </c>
      <c r="Y373" s="546">
        <f>IFERROR(IF(X373="",0,CEILING((X373/$H373),1)*$H373),"")</f>
        <v>12</v>
      </c>
      <c r="Z373" s="36">
        <f>IFERROR(IF(Y373=0,"",ROUNDUP(Y373/H373,0)*0.01898),"")</f>
        <v>1.898E-2</v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4.1366666666666667</v>
      </c>
      <c r="BN373" s="64">
        <f>IFERROR(Y373*I373/H373,"0")</f>
        <v>12.410000000000002</v>
      </c>
      <c r="BO373" s="64">
        <f>IFERROR(1/J373*(X373/H373),"0")</f>
        <v>5.208333333333333E-3</v>
      </c>
      <c r="BP373" s="64">
        <f>IFERROR(1/J373*(Y373/H373),"0")</f>
        <v>1.5625E-2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0.33333333333333331</v>
      </c>
      <c r="Y375" s="547">
        <f>IFERROR(Y373/H373,"0")+IFERROR(Y374/H374,"0")</f>
        <v>1</v>
      </c>
      <c r="Z375" s="547">
        <f>IFERROR(IF(Z373="",0,Z373),"0")+IFERROR(IF(Z374="",0,Z374),"0")</f>
        <v>1.898E-2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4</v>
      </c>
      <c r="Y376" s="547">
        <f>IFERROR(SUM(Y373:Y374),"0")</f>
        <v>12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362</v>
      </c>
      <c r="Y383" s="546">
        <f>IFERROR(IF(X383="",0,CEILING((X383/$H383),1)*$H383),"")</f>
        <v>369</v>
      </c>
      <c r="Z383" s="36">
        <f>IFERROR(IF(Y383=0,"",ROUNDUP(Y383/H383,0)*0.01898),"")</f>
        <v>0.77817999999999998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381.86977777777776</v>
      </c>
      <c r="BN383" s="64">
        <f>IFERROR(Y383*I383/H383,"0")</f>
        <v>389.25400000000002</v>
      </c>
      <c r="BO383" s="64">
        <f>IFERROR(1/J383*(X383/H383),"0")</f>
        <v>0.62847222222222221</v>
      </c>
      <c r="BP383" s="64">
        <f>IFERROR(1/J383*(Y383/H383),"0")</f>
        <v>0.640625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40.222222222222221</v>
      </c>
      <c r="Y386" s="547">
        <f>IFERROR(Y383/H383,"0")+IFERROR(Y384/H384,"0")+IFERROR(Y385/H385,"0")</f>
        <v>41</v>
      </c>
      <c r="Z386" s="547">
        <f>IFERROR(IF(Z383="",0,Z383),"0")+IFERROR(IF(Z384="",0,Z384),"0")+IFERROR(IF(Z385="",0,Z385),"0")</f>
        <v>0.77817999999999998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362</v>
      </c>
      <c r="Y387" s="547">
        <f>IFERROR(SUM(Y383:Y385),"0")</f>
        <v>369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210</v>
      </c>
      <c r="Y427" s="546">
        <f t="shared" ref="Y427:Y438" si="42">IFERROR(IF(X427="",0,CEILING((X427/$H427),1)*$H427),"")</f>
        <v>211.20000000000002</v>
      </c>
      <c r="Z427" s="36">
        <f t="shared" ref="Z427:Z433" si="43">IFERROR(IF(Y427=0,"",ROUNDUP(Y427/H427,0)*0.01196),"")</f>
        <v>0.47839999999999999</v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223.92045454545453</v>
      </c>
      <c r="BN427" s="64">
        <f t="shared" ref="BN427:BN438" si="45">IFERROR(Y427*I427/H427,"0")</f>
        <v>225.2</v>
      </c>
      <c r="BO427" s="64">
        <f t="shared" ref="BO427:BO438" si="46">IFERROR(1/J427*(X427/H427),"0")</f>
        <v>0.38243006993006995</v>
      </c>
      <c r="BP427" s="64">
        <f t="shared" ref="BP427:BP438" si="47">IFERROR(1/J427*(Y427/H427),"0")</f>
        <v>0.38461538461538464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128</v>
      </c>
      <c r="Y430" s="546">
        <f t="shared" si="42"/>
        <v>132</v>
      </c>
      <c r="Z430" s="36">
        <f t="shared" si="43"/>
        <v>0.29899999999999999</v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136.48484848484847</v>
      </c>
      <c r="BN430" s="64">
        <f t="shared" si="45"/>
        <v>140.75</v>
      </c>
      <c r="BO430" s="64">
        <f t="shared" si="46"/>
        <v>0.23310023310023312</v>
      </c>
      <c r="BP430" s="64">
        <f t="shared" si="47"/>
        <v>0.24038461538461539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150</v>
      </c>
      <c r="Y431" s="546">
        <f t="shared" si="42"/>
        <v>153.12</v>
      </c>
      <c r="Z431" s="36">
        <f t="shared" si="43"/>
        <v>0.34683999999999998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159.94318181818181</v>
      </c>
      <c r="BN431" s="64">
        <f t="shared" si="45"/>
        <v>163.26999999999998</v>
      </c>
      <c r="BO431" s="64">
        <f t="shared" si="46"/>
        <v>0.27316433566433568</v>
      </c>
      <c r="BP431" s="64">
        <f t="shared" si="47"/>
        <v>0.27884615384615385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607</v>
      </c>
      <c r="Y433" s="546">
        <f t="shared" si="42"/>
        <v>607.20000000000005</v>
      </c>
      <c r="Z433" s="36">
        <f t="shared" si="43"/>
        <v>1.3754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647.23674242424238</v>
      </c>
      <c r="BN433" s="64">
        <f t="shared" si="45"/>
        <v>647.44999999999993</v>
      </c>
      <c r="BO433" s="64">
        <f t="shared" si="46"/>
        <v>1.1054050116550116</v>
      </c>
      <c r="BP433" s="64">
        <f t="shared" si="47"/>
        <v>1.1057692307692308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36</v>
      </c>
      <c r="Y435" s="546">
        <f t="shared" si="42"/>
        <v>38.4</v>
      </c>
      <c r="Z435" s="36">
        <f>IFERROR(IF(Y435=0,"",ROUNDUP(Y435/H435,0)*0.00902),"")</f>
        <v>7.2160000000000002E-2</v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51.825000000000003</v>
      </c>
      <c r="BN435" s="64">
        <f t="shared" si="45"/>
        <v>55.28</v>
      </c>
      <c r="BO435" s="64">
        <f t="shared" si="46"/>
        <v>5.6818181818181823E-2</v>
      </c>
      <c r="BP435" s="64">
        <f t="shared" si="47"/>
        <v>6.0606060606060608E-2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214.88636363636363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217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2.5717999999999996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1131</v>
      </c>
      <c r="Y440" s="547">
        <f>IFERROR(SUM(Y427:Y438),"0")</f>
        <v>1141.92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169</v>
      </c>
      <c r="Y442" s="546">
        <f>IFERROR(IF(X442="",0,CEILING((X442/$H442),1)*$H442),"")</f>
        <v>174.24</v>
      </c>
      <c r="Z442" s="36">
        <f>IFERROR(IF(Y442=0,"",ROUNDUP(Y442/H442,0)*0.01196),"")</f>
        <v>0.39468000000000003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180.2026515151515</v>
      </c>
      <c r="BN442" s="64">
        <f>IFERROR(Y442*I442/H442,"0")</f>
        <v>185.79</v>
      </c>
      <c r="BO442" s="64">
        <f>IFERROR(1/J442*(X442/H442),"0")</f>
        <v>0.30776515151515155</v>
      </c>
      <c r="BP442" s="64">
        <f>IFERROR(1/J442*(Y442/H442),"0")</f>
        <v>0.31730769230769235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174</v>
      </c>
      <c r="Y444" s="546">
        <f>IFERROR(IF(X444="",0,CEILING((X444/$H444),1)*$H444),"")</f>
        <v>177.6</v>
      </c>
      <c r="Z444" s="36">
        <f>IFERROR(IF(Y444=0,"",ROUNDUP(Y444/H444,0)*0.00902),"")</f>
        <v>0.33374000000000004</v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250.48749999999998</v>
      </c>
      <c r="BN444" s="64">
        <f>IFERROR(Y444*I444/H444,"0")</f>
        <v>255.67</v>
      </c>
      <c r="BO444" s="64">
        <f>IFERROR(1/J444*(X444/H444),"0")</f>
        <v>0.27462121212121215</v>
      </c>
      <c r="BP444" s="64">
        <f>IFERROR(1/J444*(Y444/H444),"0")</f>
        <v>0.28030303030303033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68.257575757575751</v>
      </c>
      <c r="Y445" s="547">
        <f>IFERROR(Y442/H442,"0")+IFERROR(Y443/H443,"0")+IFERROR(Y444/H444,"0")</f>
        <v>70</v>
      </c>
      <c r="Z445" s="547">
        <f>IFERROR(IF(Z442="",0,Z442),"0")+IFERROR(IF(Z443="",0,Z443),"0")+IFERROR(IF(Z444="",0,Z444),"0")</f>
        <v>0.72842000000000007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343</v>
      </c>
      <c r="Y446" s="547">
        <f>IFERROR(SUM(Y442:Y444),"0")</f>
        <v>351.84000000000003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237</v>
      </c>
      <c r="Y448" s="546">
        <f t="shared" ref="Y448:Y453" si="48">IFERROR(IF(X448="",0,CEILING((X448/$H448),1)*$H448),"")</f>
        <v>237.60000000000002</v>
      </c>
      <c r="Z448" s="36">
        <f>IFERROR(IF(Y448=0,"",ROUNDUP(Y448/H448,0)*0.01196),"")</f>
        <v>0.53820000000000001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252.71022727272725</v>
      </c>
      <c r="BN448" s="64">
        <f t="shared" ref="BN448:BN453" si="50">IFERROR(Y448*I448/H448,"0")</f>
        <v>253.35</v>
      </c>
      <c r="BO448" s="64">
        <f t="shared" ref="BO448:BO453" si="51">IFERROR(1/J448*(X448/H448),"0")</f>
        <v>0.43159965034965037</v>
      </c>
      <c r="BP448" s="64">
        <f t="shared" ref="BP448:BP453" si="52">IFERROR(1/J448*(Y448/H448),"0")</f>
        <v>0.43269230769230771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199</v>
      </c>
      <c r="Y449" s="546">
        <f t="shared" si="48"/>
        <v>200.64000000000001</v>
      </c>
      <c r="Z449" s="36">
        <f>IFERROR(IF(Y449=0,"",ROUNDUP(Y449/H449,0)*0.01196),"")</f>
        <v>0.45448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212.19128787878785</v>
      </c>
      <c r="BN449" s="64">
        <f t="shared" si="50"/>
        <v>213.94</v>
      </c>
      <c r="BO449" s="64">
        <f t="shared" si="51"/>
        <v>0.36239801864801863</v>
      </c>
      <c r="BP449" s="64">
        <f t="shared" si="52"/>
        <v>0.36538461538461542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82.575757575757564</v>
      </c>
      <c r="Y454" s="547">
        <f>IFERROR(Y448/H448,"0")+IFERROR(Y449/H449,"0")+IFERROR(Y450/H450,"0")+IFERROR(Y451/H451,"0")+IFERROR(Y452/H452,"0")+IFERROR(Y453/H453,"0")</f>
        <v>83</v>
      </c>
      <c r="Z454" s="547">
        <f>IFERROR(IF(Z448="",0,Z448),"0")+IFERROR(IF(Z449="",0,Z449),"0")+IFERROR(IF(Z450="",0,Z450),"0")+IFERROR(IF(Z451="",0,Z451),"0")+IFERROR(IF(Z452="",0,Z452),"0")+IFERROR(IF(Z453="",0,Z453),"0")</f>
        <v>0.99268000000000001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436</v>
      </c>
      <c r="Y455" s="547">
        <f>IFERROR(SUM(Y448:Y453),"0")</f>
        <v>438.24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10503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10692.560000000001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11196.230926984692</v>
      </c>
      <c r="Y489" s="547">
        <f>IFERROR(SUM(BN22:BN485),"0")</f>
        <v>11397.752000000008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19</v>
      </c>
      <c r="Y490" s="38">
        <f>ROUNDUP(SUM(BP22:BP485),0)</f>
        <v>20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11671.230926984692</v>
      </c>
      <c r="Y491" s="547">
        <f>GrossWeightTotalR+PalletQtyTotalR*25</f>
        <v>11897.752000000008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2315.3437137172773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2346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23.055200000000003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285.3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672.4</v>
      </c>
      <c r="E498" s="46">
        <f>IFERROR(Y84*1,"0")+IFERROR(Y85*1,"0")+IFERROR(Y86*1,"0")+IFERROR(Y87*1,"0")+IFERROR(Y91*1,"0")+IFERROR(Y92*1,"0")+IFERROR(Y93*1,"0")+IFERROR(Y94*1,"0")</f>
        <v>753.30000000000007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1131.6000000000001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691.56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2426.6999999999994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158.79999999999998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357.6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930</v>
      </c>
      <c r="R498" s="46">
        <f>IFERROR(Y340*1,"0")+IFERROR(Y341*1,"0")+IFERROR(Y342*1,"0")</f>
        <v>24.299999999999997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948</v>
      </c>
      <c r="T498" s="46">
        <f>IFERROR(Y373*1,"0")+IFERROR(Y374*1,"0")+IFERROR(Y378*1,"0")+IFERROR(Y379*1,"0")+IFERROR(Y383*1,"0")+IFERROR(Y384*1,"0")+IFERROR(Y385*1,"0")</f>
        <v>381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1932.0000000000002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2026-01-23T09:57:04Z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