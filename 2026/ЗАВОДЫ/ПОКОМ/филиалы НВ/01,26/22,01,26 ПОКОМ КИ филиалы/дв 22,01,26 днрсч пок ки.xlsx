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5227182C-2FCB-4F1C-9C68-64626DE820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AN8" i="1" s="1"/>
  <c r="X9" i="1"/>
  <c r="X10" i="1"/>
  <c r="AN10" i="1" s="1"/>
  <c r="X11" i="1"/>
  <c r="AN11" i="1" s="1"/>
  <c r="X12" i="1"/>
  <c r="AN12" i="1" s="1"/>
  <c r="X13" i="1"/>
  <c r="X14" i="1"/>
  <c r="AN14" i="1" s="1"/>
  <c r="X15" i="1"/>
  <c r="X16" i="1"/>
  <c r="AN16" i="1" s="1"/>
  <c r="X17" i="1"/>
  <c r="X18" i="1"/>
  <c r="AN18" i="1" s="1"/>
  <c r="X19" i="1"/>
  <c r="X20" i="1"/>
  <c r="AN20" i="1" s="1"/>
  <c r="X21" i="1"/>
  <c r="X22" i="1"/>
  <c r="AN22" i="1" s="1"/>
  <c r="X23" i="1"/>
  <c r="X24" i="1"/>
  <c r="AN24" i="1" s="1"/>
  <c r="X25" i="1"/>
  <c r="X26" i="1"/>
  <c r="AN26" i="1" s="1"/>
  <c r="X27" i="1"/>
  <c r="X28" i="1"/>
  <c r="AN28" i="1" s="1"/>
  <c r="X29" i="1"/>
  <c r="X30" i="1"/>
  <c r="AN30" i="1" s="1"/>
  <c r="X31" i="1"/>
  <c r="X32" i="1"/>
  <c r="AN32" i="1" s="1"/>
  <c r="X33" i="1"/>
  <c r="X34" i="1"/>
  <c r="AN34" i="1" s="1"/>
  <c r="X35" i="1"/>
  <c r="X36" i="1"/>
  <c r="AN36" i="1" s="1"/>
  <c r="X37" i="1"/>
  <c r="AN37" i="1" s="1"/>
  <c r="X38" i="1"/>
  <c r="AN38" i="1" s="1"/>
  <c r="X39" i="1"/>
  <c r="X40" i="1"/>
  <c r="AN40" i="1" s="1"/>
  <c r="X41" i="1"/>
  <c r="X42" i="1"/>
  <c r="AN42" i="1" s="1"/>
  <c r="X43" i="1"/>
  <c r="X44" i="1"/>
  <c r="AN44" i="1" s="1"/>
  <c r="X45" i="1"/>
  <c r="X46" i="1"/>
  <c r="AN46" i="1" s="1"/>
  <c r="X47" i="1"/>
  <c r="X48" i="1"/>
  <c r="AN48" i="1" s="1"/>
  <c r="X49" i="1"/>
  <c r="X50" i="1"/>
  <c r="AN50" i="1" s="1"/>
  <c r="X51" i="1"/>
  <c r="X52" i="1"/>
  <c r="AN52" i="1" s="1"/>
  <c r="X53" i="1"/>
  <c r="X54" i="1"/>
  <c r="AN54" i="1" s="1"/>
  <c r="X55" i="1"/>
  <c r="X56" i="1"/>
  <c r="AN56" i="1" s="1"/>
  <c r="X57" i="1"/>
  <c r="X58" i="1"/>
  <c r="AN58" i="1" s="1"/>
  <c r="X59" i="1"/>
  <c r="X60" i="1"/>
  <c r="AN60" i="1" s="1"/>
  <c r="X61" i="1"/>
  <c r="X62" i="1"/>
  <c r="AN62" i="1" s="1"/>
  <c r="X63" i="1"/>
  <c r="X64" i="1"/>
  <c r="AN64" i="1" s="1"/>
  <c r="X65" i="1"/>
  <c r="X66" i="1"/>
  <c r="AN66" i="1" s="1"/>
  <c r="X67" i="1"/>
  <c r="X68" i="1"/>
  <c r="AN68" i="1" s="1"/>
  <c r="X69" i="1"/>
  <c r="X70" i="1"/>
  <c r="AN70" i="1" s="1"/>
  <c r="X71" i="1"/>
  <c r="X72" i="1"/>
  <c r="AN72" i="1" s="1"/>
  <c r="X73" i="1"/>
  <c r="X74" i="1"/>
  <c r="AN74" i="1" s="1"/>
  <c r="X75" i="1"/>
  <c r="X76" i="1"/>
  <c r="AN76" i="1" s="1"/>
  <c r="X77" i="1"/>
  <c r="X78" i="1"/>
  <c r="AN78" i="1" s="1"/>
  <c r="X79" i="1"/>
  <c r="AN79" i="1" s="1"/>
  <c r="X80" i="1"/>
  <c r="AN80" i="1" s="1"/>
  <c r="X81" i="1"/>
  <c r="X82" i="1"/>
  <c r="AN82" i="1" s="1"/>
  <c r="X83" i="1"/>
  <c r="X84" i="1"/>
  <c r="AN84" i="1" s="1"/>
  <c r="X85" i="1"/>
  <c r="X86" i="1"/>
  <c r="AN86" i="1" s="1"/>
  <c r="X87" i="1"/>
  <c r="X88" i="1"/>
  <c r="AN88" i="1" s="1"/>
  <c r="X89" i="1"/>
  <c r="X90" i="1"/>
  <c r="AN90" i="1" s="1"/>
  <c r="X91" i="1"/>
  <c r="X92" i="1"/>
  <c r="AN92" i="1" s="1"/>
  <c r="X93" i="1"/>
  <c r="X94" i="1"/>
  <c r="AN94" i="1" s="1"/>
  <c r="X95" i="1"/>
  <c r="X96" i="1"/>
  <c r="AN96" i="1" s="1"/>
  <c r="X97" i="1"/>
  <c r="X98" i="1"/>
  <c r="AN98" i="1" s="1"/>
  <c r="X6" i="1"/>
  <c r="AN6" i="1" s="1"/>
  <c r="AN7" i="1"/>
  <c r="AN9" i="1"/>
  <c r="AN13" i="1"/>
  <c r="AN15" i="1"/>
  <c r="AN17" i="1"/>
  <c r="AN19" i="1"/>
  <c r="AN21" i="1"/>
  <c r="AN23" i="1"/>
  <c r="AN25" i="1"/>
  <c r="AN27" i="1"/>
  <c r="AN29" i="1"/>
  <c r="AN31" i="1"/>
  <c r="AN33" i="1"/>
  <c r="AN35" i="1"/>
  <c r="AN39" i="1"/>
  <c r="AN41" i="1"/>
  <c r="AN43" i="1"/>
  <c r="AN45" i="1"/>
  <c r="AN47" i="1"/>
  <c r="AN49" i="1"/>
  <c r="AN51" i="1"/>
  <c r="AN53" i="1"/>
  <c r="AN55" i="1"/>
  <c r="AN57" i="1"/>
  <c r="AN59" i="1"/>
  <c r="AN61" i="1"/>
  <c r="AN63" i="1"/>
  <c r="AN65" i="1"/>
  <c r="AN67" i="1"/>
  <c r="AN69" i="1"/>
  <c r="AN71" i="1"/>
  <c r="AN73" i="1"/>
  <c r="AN75" i="1"/>
  <c r="AN77" i="1"/>
  <c r="AN81" i="1"/>
  <c r="AN83" i="1"/>
  <c r="AN85" i="1"/>
  <c r="AN87" i="1"/>
  <c r="AN89" i="1"/>
  <c r="AN91" i="1"/>
  <c r="AN93" i="1"/>
  <c r="AN95" i="1"/>
  <c r="AN97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6" i="1"/>
  <c r="W5" i="1"/>
  <c r="X5" i="1" l="1"/>
  <c r="AN5" i="1"/>
  <c r="V9" i="1"/>
  <c r="V10" i="1"/>
  <c r="V12" i="1"/>
  <c r="V18" i="1"/>
  <c r="V19" i="1"/>
  <c r="V20" i="1"/>
  <c r="V21" i="1"/>
  <c r="V22" i="1"/>
  <c r="V23" i="1"/>
  <c r="V25" i="1"/>
  <c r="V27" i="1"/>
  <c r="V28" i="1"/>
  <c r="V29" i="1"/>
  <c r="V30" i="1"/>
  <c r="V31" i="1"/>
  <c r="V32" i="1"/>
  <c r="V33" i="1"/>
  <c r="V34" i="1"/>
  <c r="V35" i="1"/>
  <c r="V38" i="1"/>
  <c r="V40" i="1"/>
  <c r="V41" i="1"/>
  <c r="V45" i="1"/>
  <c r="V50" i="1"/>
  <c r="V51" i="1"/>
  <c r="V52" i="1"/>
  <c r="V53" i="1"/>
  <c r="V54" i="1"/>
  <c r="V58" i="1"/>
  <c r="V59" i="1"/>
  <c r="V61" i="1"/>
  <c r="V62" i="1"/>
  <c r="V63" i="1"/>
  <c r="V64" i="1"/>
  <c r="V66" i="1"/>
  <c r="V71" i="1"/>
  <c r="V72" i="1"/>
  <c r="V73" i="1"/>
  <c r="V75" i="1"/>
  <c r="V76" i="1"/>
  <c r="V77" i="1"/>
  <c r="V78" i="1"/>
  <c r="V83" i="1"/>
  <c r="V86" i="1"/>
  <c r="V91" i="1"/>
  <c r="V93" i="1"/>
  <c r="V98" i="1"/>
  <c r="M98" i="1" l="1"/>
  <c r="S98" i="1" s="1"/>
  <c r="AB98" i="1" s="1"/>
  <c r="L98" i="1"/>
  <c r="M97" i="1"/>
  <c r="S97" i="1" s="1"/>
  <c r="T97" i="1" s="1"/>
  <c r="V97" i="1" s="1"/>
  <c r="L97" i="1"/>
  <c r="M96" i="1"/>
  <c r="S96" i="1" s="1"/>
  <c r="T96" i="1" s="1"/>
  <c r="V96" i="1" s="1"/>
  <c r="L96" i="1"/>
  <c r="M95" i="1"/>
  <c r="S95" i="1" s="1"/>
  <c r="L95" i="1"/>
  <c r="M94" i="1"/>
  <c r="S94" i="1" s="1"/>
  <c r="T94" i="1" s="1"/>
  <c r="V94" i="1" s="1"/>
  <c r="L94" i="1"/>
  <c r="M93" i="1"/>
  <c r="S93" i="1" s="1"/>
  <c r="AB93" i="1" s="1"/>
  <c r="L93" i="1"/>
  <c r="M92" i="1"/>
  <c r="S92" i="1" s="1"/>
  <c r="T92" i="1" s="1"/>
  <c r="V92" i="1" s="1"/>
  <c r="L92" i="1"/>
  <c r="M91" i="1"/>
  <c r="S91" i="1" s="1"/>
  <c r="AB91" i="1" s="1"/>
  <c r="L91" i="1"/>
  <c r="M90" i="1"/>
  <c r="S90" i="1" s="1"/>
  <c r="T90" i="1" s="1"/>
  <c r="V90" i="1" s="1"/>
  <c r="L90" i="1"/>
  <c r="M89" i="1"/>
  <c r="S89" i="1" s="1"/>
  <c r="T89" i="1" s="1"/>
  <c r="V89" i="1" s="1"/>
  <c r="L89" i="1"/>
  <c r="M88" i="1"/>
  <c r="S88" i="1" s="1"/>
  <c r="T88" i="1" s="1"/>
  <c r="V88" i="1" s="1"/>
  <c r="L88" i="1"/>
  <c r="M87" i="1"/>
  <c r="S87" i="1" s="1"/>
  <c r="T87" i="1" s="1"/>
  <c r="V87" i="1" s="1"/>
  <c r="L87" i="1"/>
  <c r="M86" i="1"/>
  <c r="S86" i="1" s="1"/>
  <c r="AB86" i="1" s="1"/>
  <c r="L86" i="1"/>
  <c r="M85" i="1"/>
  <c r="S85" i="1" s="1"/>
  <c r="T85" i="1" s="1"/>
  <c r="V85" i="1" s="1"/>
  <c r="L85" i="1"/>
  <c r="M84" i="1"/>
  <c r="S84" i="1" s="1"/>
  <c r="T84" i="1" s="1"/>
  <c r="V84" i="1" s="1"/>
  <c r="L84" i="1"/>
  <c r="M83" i="1"/>
  <c r="S83" i="1" s="1"/>
  <c r="AB83" i="1" s="1"/>
  <c r="L83" i="1"/>
  <c r="F82" i="1"/>
  <c r="F5" i="1" s="1"/>
  <c r="E82" i="1"/>
  <c r="L82" i="1" s="1"/>
  <c r="M81" i="1"/>
  <c r="S81" i="1" s="1"/>
  <c r="U81" i="1" s="1"/>
  <c r="V81" i="1" s="1"/>
  <c r="L81" i="1"/>
  <c r="M80" i="1"/>
  <c r="S80" i="1" s="1"/>
  <c r="L80" i="1"/>
  <c r="M79" i="1"/>
  <c r="S79" i="1" s="1"/>
  <c r="U79" i="1" s="1"/>
  <c r="L79" i="1"/>
  <c r="M78" i="1"/>
  <c r="S78" i="1" s="1"/>
  <c r="AB78" i="1" s="1"/>
  <c r="L78" i="1"/>
  <c r="M77" i="1"/>
  <c r="S77" i="1" s="1"/>
  <c r="AB77" i="1" s="1"/>
  <c r="L77" i="1"/>
  <c r="M76" i="1"/>
  <c r="S76" i="1" s="1"/>
  <c r="AB76" i="1" s="1"/>
  <c r="L76" i="1"/>
  <c r="M75" i="1"/>
  <c r="S75" i="1" s="1"/>
  <c r="L75" i="1"/>
  <c r="M74" i="1"/>
  <c r="S74" i="1" s="1"/>
  <c r="L74" i="1"/>
  <c r="M73" i="1"/>
  <c r="S73" i="1" s="1"/>
  <c r="AB73" i="1" s="1"/>
  <c r="L73" i="1"/>
  <c r="M72" i="1"/>
  <c r="S72" i="1" s="1"/>
  <c r="AB72" i="1" s="1"/>
  <c r="L72" i="1"/>
  <c r="M71" i="1"/>
  <c r="S71" i="1" s="1"/>
  <c r="AB71" i="1" s="1"/>
  <c r="L71" i="1"/>
  <c r="M70" i="1"/>
  <c r="S70" i="1" s="1"/>
  <c r="T70" i="1" s="1"/>
  <c r="V70" i="1" s="1"/>
  <c r="L70" i="1"/>
  <c r="M69" i="1"/>
  <c r="S69" i="1" s="1"/>
  <c r="T69" i="1" s="1"/>
  <c r="V69" i="1" s="1"/>
  <c r="L69" i="1"/>
  <c r="M68" i="1"/>
  <c r="S68" i="1" s="1"/>
  <c r="T68" i="1" s="1"/>
  <c r="V68" i="1" s="1"/>
  <c r="L68" i="1"/>
  <c r="M67" i="1"/>
  <c r="S67" i="1" s="1"/>
  <c r="T67" i="1" s="1"/>
  <c r="V67" i="1" s="1"/>
  <c r="L67" i="1"/>
  <c r="M66" i="1"/>
  <c r="S66" i="1" s="1"/>
  <c r="AB66" i="1" s="1"/>
  <c r="L66" i="1"/>
  <c r="M65" i="1"/>
  <c r="S65" i="1" s="1"/>
  <c r="T65" i="1" s="1"/>
  <c r="V65" i="1" s="1"/>
  <c r="L65" i="1"/>
  <c r="M64" i="1"/>
  <c r="S64" i="1" s="1"/>
  <c r="AB64" i="1" s="1"/>
  <c r="L64" i="1"/>
  <c r="M63" i="1"/>
  <c r="S63" i="1" s="1"/>
  <c r="AB63" i="1" s="1"/>
  <c r="L63" i="1"/>
  <c r="M62" i="1"/>
  <c r="S62" i="1" s="1"/>
  <c r="AB62" i="1" s="1"/>
  <c r="L62" i="1"/>
  <c r="M61" i="1"/>
  <c r="S61" i="1" s="1"/>
  <c r="AB61" i="1" s="1"/>
  <c r="L61" i="1"/>
  <c r="M60" i="1"/>
  <c r="S60" i="1" s="1"/>
  <c r="T60" i="1" s="1"/>
  <c r="V60" i="1" s="1"/>
  <c r="L60" i="1"/>
  <c r="M59" i="1"/>
  <c r="S59" i="1" s="1"/>
  <c r="AB59" i="1" s="1"/>
  <c r="L59" i="1"/>
  <c r="M58" i="1"/>
  <c r="S58" i="1" s="1"/>
  <c r="AB58" i="1" s="1"/>
  <c r="L58" i="1"/>
  <c r="M57" i="1"/>
  <c r="S57" i="1" s="1"/>
  <c r="T57" i="1" s="1"/>
  <c r="V57" i="1" s="1"/>
  <c r="L57" i="1"/>
  <c r="M56" i="1"/>
  <c r="S56" i="1" s="1"/>
  <c r="L56" i="1"/>
  <c r="M55" i="1"/>
  <c r="S55" i="1" s="1"/>
  <c r="T55" i="1" s="1"/>
  <c r="V55" i="1" s="1"/>
  <c r="L55" i="1"/>
  <c r="M54" i="1"/>
  <c r="S54" i="1" s="1"/>
  <c r="AB54" i="1" s="1"/>
  <c r="L54" i="1"/>
  <c r="M53" i="1"/>
  <c r="S53" i="1" s="1"/>
  <c r="AB53" i="1" s="1"/>
  <c r="L53" i="1"/>
  <c r="M52" i="1"/>
  <c r="S52" i="1" s="1"/>
  <c r="AB52" i="1" s="1"/>
  <c r="L52" i="1"/>
  <c r="M51" i="1"/>
  <c r="S51" i="1" s="1"/>
  <c r="AB51" i="1" s="1"/>
  <c r="L51" i="1"/>
  <c r="M50" i="1"/>
  <c r="S50" i="1" s="1"/>
  <c r="AC50" i="1" s="1"/>
  <c r="L50" i="1"/>
  <c r="M49" i="1"/>
  <c r="S49" i="1" s="1"/>
  <c r="L49" i="1"/>
  <c r="M48" i="1"/>
  <c r="S48" i="1" s="1"/>
  <c r="AC48" i="1" s="1"/>
  <c r="L48" i="1"/>
  <c r="M47" i="1"/>
  <c r="S47" i="1" s="1"/>
  <c r="AC47" i="1" s="1"/>
  <c r="L47" i="1"/>
  <c r="M46" i="1"/>
  <c r="L46" i="1"/>
  <c r="M45" i="1"/>
  <c r="S45" i="1" s="1"/>
  <c r="L45" i="1"/>
  <c r="M44" i="1"/>
  <c r="S44" i="1" s="1"/>
  <c r="AC44" i="1" s="1"/>
  <c r="L44" i="1"/>
  <c r="M43" i="1"/>
  <c r="S43" i="1" s="1"/>
  <c r="AC43" i="1" s="1"/>
  <c r="L43" i="1"/>
  <c r="M42" i="1"/>
  <c r="S42" i="1" s="1"/>
  <c r="AC42" i="1" s="1"/>
  <c r="L42" i="1"/>
  <c r="M41" i="1"/>
  <c r="S41" i="1" s="1"/>
  <c r="L41" i="1"/>
  <c r="M40" i="1"/>
  <c r="S40" i="1" s="1"/>
  <c r="AC40" i="1" s="1"/>
  <c r="L40" i="1"/>
  <c r="M39" i="1"/>
  <c r="S39" i="1" s="1"/>
  <c r="AC39" i="1" s="1"/>
  <c r="L39" i="1"/>
  <c r="M38" i="1"/>
  <c r="S38" i="1" s="1"/>
  <c r="AC38" i="1" s="1"/>
  <c r="L38" i="1"/>
  <c r="M37" i="1"/>
  <c r="S37" i="1" s="1"/>
  <c r="AC37" i="1" s="1"/>
  <c r="L37" i="1"/>
  <c r="M36" i="1"/>
  <c r="S36" i="1" s="1"/>
  <c r="L36" i="1"/>
  <c r="M35" i="1"/>
  <c r="S35" i="1" s="1"/>
  <c r="L35" i="1"/>
  <c r="M34" i="1"/>
  <c r="S34" i="1" s="1"/>
  <c r="AC34" i="1" s="1"/>
  <c r="L34" i="1"/>
  <c r="M33" i="1"/>
  <c r="S33" i="1" s="1"/>
  <c r="AB33" i="1" s="1"/>
  <c r="L33" i="1"/>
  <c r="M32" i="1"/>
  <c r="S32" i="1" s="1"/>
  <c r="AB32" i="1" s="1"/>
  <c r="L32" i="1"/>
  <c r="M31" i="1"/>
  <c r="S31" i="1" s="1"/>
  <c r="L31" i="1"/>
  <c r="M30" i="1"/>
  <c r="S30" i="1" s="1"/>
  <c r="AB30" i="1" s="1"/>
  <c r="L30" i="1"/>
  <c r="M29" i="1"/>
  <c r="S29" i="1" s="1"/>
  <c r="AB29" i="1" s="1"/>
  <c r="L29" i="1"/>
  <c r="M28" i="1"/>
  <c r="S28" i="1" s="1"/>
  <c r="AC28" i="1" s="1"/>
  <c r="L28" i="1"/>
  <c r="M27" i="1"/>
  <c r="S27" i="1" s="1"/>
  <c r="AB27" i="1" s="1"/>
  <c r="L27" i="1"/>
  <c r="M26" i="1"/>
  <c r="S26" i="1" s="1"/>
  <c r="U26" i="1" s="1"/>
  <c r="L26" i="1"/>
  <c r="M25" i="1"/>
  <c r="S25" i="1" s="1"/>
  <c r="AB25" i="1" s="1"/>
  <c r="L25" i="1"/>
  <c r="M24" i="1"/>
  <c r="S24" i="1" s="1"/>
  <c r="U24" i="1" s="1"/>
  <c r="L24" i="1"/>
  <c r="M23" i="1"/>
  <c r="S23" i="1" s="1"/>
  <c r="AB23" i="1" s="1"/>
  <c r="L23" i="1"/>
  <c r="M22" i="1"/>
  <c r="S22" i="1" s="1"/>
  <c r="AB22" i="1" s="1"/>
  <c r="L22" i="1"/>
  <c r="M21" i="1"/>
  <c r="S21" i="1" s="1"/>
  <c r="AB21" i="1" s="1"/>
  <c r="L21" i="1"/>
  <c r="M20" i="1"/>
  <c r="S20" i="1" s="1"/>
  <c r="AB20" i="1" s="1"/>
  <c r="L20" i="1"/>
  <c r="M19" i="1"/>
  <c r="S19" i="1" s="1"/>
  <c r="AB19" i="1" s="1"/>
  <c r="L19" i="1"/>
  <c r="M18" i="1"/>
  <c r="S18" i="1" s="1"/>
  <c r="AB18" i="1" s="1"/>
  <c r="L18" i="1"/>
  <c r="M17" i="1"/>
  <c r="S17" i="1" s="1"/>
  <c r="L17" i="1"/>
  <c r="M16" i="1"/>
  <c r="S16" i="1" s="1"/>
  <c r="L16" i="1"/>
  <c r="M15" i="1"/>
  <c r="S15" i="1" s="1"/>
  <c r="L15" i="1"/>
  <c r="M14" i="1"/>
  <c r="S14" i="1" s="1"/>
  <c r="T14" i="1" s="1"/>
  <c r="V14" i="1" s="1"/>
  <c r="L14" i="1"/>
  <c r="M13" i="1"/>
  <c r="S13" i="1" s="1"/>
  <c r="L13" i="1"/>
  <c r="M12" i="1"/>
  <c r="S12" i="1" s="1"/>
  <c r="AB12" i="1" s="1"/>
  <c r="L12" i="1"/>
  <c r="M11" i="1"/>
  <c r="S11" i="1" s="1"/>
  <c r="T11" i="1" s="1"/>
  <c r="V11" i="1" s="1"/>
  <c r="L11" i="1"/>
  <c r="M10" i="1"/>
  <c r="S10" i="1" s="1"/>
  <c r="AB10" i="1" s="1"/>
  <c r="L10" i="1"/>
  <c r="M9" i="1"/>
  <c r="S9" i="1" s="1"/>
  <c r="AB9" i="1" s="1"/>
  <c r="L9" i="1"/>
  <c r="M8" i="1"/>
  <c r="S8" i="1" s="1"/>
  <c r="T8" i="1" s="1"/>
  <c r="V8" i="1" s="1"/>
  <c r="L8" i="1"/>
  <c r="M7" i="1"/>
  <c r="S7" i="1" s="1"/>
  <c r="L7" i="1"/>
  <c r="M6" i="1"/>
  <c r="S6" i="1" s="1"/>
  <c r="L6" i="1"/>
  <c r="AK5" i="1"/>
  <c r="AJ5" i="1"/>
  <c r="AI5" i="1"/>
  <c r="AH5" i="1"/>
  <c r="AG5" i="1"/>
  <c r="AF5" i="1"/>
  <c r="AE5" i="1"/>
  <c r="AD5" i="1"/>
  <c r="AA5" i="1"/>
  <c r="Y5" i="1"/>
  <c r="R5" i="1"/>
  <c r="Q5" i="1"/>
  <c r="P5" i="1"/>
  <c r="O5" i="1"/>
  <c r="N5" i="1"/>
  <c r="K5" i="1"/>
  <c r="T6" i="1" l="1"/>
  <c r="U6" i="1"/>
  <c r="T15" i="1"/>
  <c r="U15" i="1"/>
  <c r="T16" i="1"/>
  <c r="U16" i="1"/>
  <c r="T17" i="1"/>
  <c r="U17" i="1"/>
  <c r="AC36" i="1"/>
  <c r="U36" i="1"/>
  <c r="AC49" i="1"/>
  <c r="U49" i="1"/>
  <c r="T56" i="1"/>
  <c r="U56" i="1"/>
  <c r="AC80" i="1"/>
  <c r="U80" i="1"/>
  <c r="AB11" i="1"/>
  <c r="AC31" i="1"/>
  <c r="AB31" i="1"/>
  <c r="AC35" i="1"/>
  <c r="AB35" i="1"/>
  <c r="AC41" i="1"/>
  <c r="AB41" i="1"/>
  <c r="AC45" i="1"/>
  <c r="AB45" i="1"/>
  <c r="AB55" i="1"/>
  <c r="AB57" i="1"/>
  <c r="AB65" i="1"/>
  <c r="AB67" i="1"/>
  <c r="AB69" i="1"/>
  <c r="AC75" i="1"/>
  <c r="AB75" i="1"/>
  <c r="AC81" i="1"/>
  <c r="AB81" i="1"/>
  <c r="AB85" i="1"/>
  <c r="AB87" i="1"/>
  <c r="AB88" i="1"/>
  <c r="AB89" i="1"/>
  <c r="AB90" i="1"/>
  <c r="AB92" i="1"/>
  <c r="AB94" i="1"/>
  <c r="AB96" i="1"/>
  <c r="AB97" i="1"/>
  <c r="AB8" i="1"/>
  <c r="AB14" i="1"/>
  <c r="AB28" i="1"/>
  <c r="AB34" i="1"/>
  <c r="AB38" i="1"/>
  <c r="AB40" i="1"/>
  <c r="AB50" i="1"/>
  <c r="AB60" i="1"/>
  <c r="AB68" i="1"/>
  <c r="AB70" i="1"/>
  <c r="AB84" i="1"/>
  <c r="S46" i="1"/>
  <c r="T46" i="1" s="1"/>
  <c r="V46" i="1" s="1"/>
  <c r="T13" i="1"/>
  <c r="V13" i="1" s="1"/>
  <c r="T80" i="1"/>
  <c r="V80" i="1" s="1"/>
  <c r="T42" i="1"/>
  <c r="V42" i="1" s="1"/>
  <c r="E5" i="1"/>
  <c r="T24" i="1"/>
  <c r="V24" i="1" s="1"/>
  <c r="T95" i="1"/>
  <c r="V95" i="1" s="1"/>
  <c r="L5" i="1"/>
  <c r="T7" i="1"/>
  <c r="V7" i="1" s="1"/>
  <c r="T26" i="1"/>
  <c r="V26" i="1" s="1"/>
  <c r="AC74" i="1"/>
  <c r="T74" i="1"/>
  <c r="V74" i="1" s="1"/>
  <c r="AC78" i="1"/>
  <c r="AC79" i="1"/>
  <c r="T79" i="1"/>
  <c r="V79" i="1" s="1"/>
  <c r="T36" i="1"/>
  <c r="T44" i="1"/>
  <c r="V44" i="1" s="1"/>
  <c r="T48" i="1"/>
  <c r="V48" i="1" s="1"/>
  <c r="T37" i="1"/>
  <c r="V37" i="1" s="1"/>
  <c r="T39" i="1"/>
  <c r="V39" i="1" s="1"/>
  <c r="T43" i="1"/>
  <c r="V43" i="1" s="1"/>
  <c r="T47" i="1"/>
  <c r="V47" i="1" s="1"/>
  <c r="T49" i="1"/>
  <c r="V49" i="1" s="1"/>
  <c r="AC76" i="1"/>
  <c r="AC93" i="1"/>
  <c r="AC97" i="1"/>
  <c r="AC25" i="1"/>
  <c r="AC53" i="1"/>
  <c r="AC27" i="1"/>
  <c r="AC30" i="1"/>
  <c r="AC33" i="1"/>
  <c r="M82" i="1"/>
  <c r="S82" i="1" s="1"/>
  <c r="AC95" i="1"/>
  <c r="AC10" i="1"/>
  <c r="AC12" i="1"/>
  <c r="AC14" i="1"/>
  <c r="AC16" i="1"/>
  <c r="AC18" i="1"/>
  <c r="AC23" i="1"/>
  <c r="AC11" i="1"/>
  <c r="AC13" i="1"/>
  <c r="AC15" i="1"/>
  <c r="AC17" i="1"/>
  <c r="AC19" i="1"/>
  <c r="AC6" i="1"/>
  <c r="AC7" i="1"/>
  <c r="AC8" i="1"/>
  <c r="AC9" i="1"/>
  <c r="AC20" i="1"/>
  <c r="AC21" i="1"/>
  <c r="AC22" i="1"/>
  <c r="AC51" i="1"/>
  <c r="AC54" i="1"/>
  <c r="AC56" i="1"/>
  <c r="AC58" i="1"/>
  <c r="AC60" i="1"/>
  <c r="AC62" i="1"/>
  <c r="AC64" i="1"/>
  <c r="AC66" i="1"/>
  <c r="AC68" i="1"/>
  <c r="AC70" i="1"/>
  <c r="AC72" i="1"/>
  <c r="AC77" i="1"/>
  <c r="AC83" i="1"/>
  <c r="AC85" i="1"/>
  <c r="AC87" i="1"/>
  <c r="AC89" i="1"/>
  <c r="AC91" i="1"/>
  <c r="AC94" i="1"/>
  <c r="AC98" i="1"/>
  <c r="AC24" i="1"/>
  <c r="AC26" i="1"/>
  <c r="AC29" i="1"/>
  <c r="AC32" i="1"/>
  <c r="AC52" i="1"/>
  <c r="AC55" i="1"/>
  <c r="AC57" i="1"/>
  <c r="AC59" i="1"/>
  <c r="AC61" i="1"/>
  <c r="AC63" i="1"/>
  <c r="AC65" i="1"/>
  <c r="AC67" i="1"/>
  <c r="AC69" i="1"/>
  <c r="AC71" i="1"/>
  <c r="AC73" i="1"/>
  <c r="AC84" i="1"/>
  <c r="AC86" i="1"/>
  <c r="AC88" i="1"/>
  <c r="AC90" i="1"/>
  <c r="AC92" i="1"/>
  <c r="AC96" i="1"/>
  <c r="U82" i="1" l="1"/>
  <c r="V82" i="1" s="1"/>
  <c r="V36" i="1"/>
  <c r="AB36" i="1" s="1"/>
  <c r="V56" i="1"/>
  <c r="V17" i="1"/>
  <c r="V16" i="1"/>
  <c r="V15" i="1"/>
  <c r="V6" i="1"/>
  <c r="AB49" i="1"/>
  <c r="AB43" i="1"/>
  <c r="AB37" i="1"/>
  <c r="AB44" i="1"/>
  <c r="AB79" i="1"/>
  <c r="AB7" i="1"/>
  <c r="AB95" i="1"/>
  <c r="AB80" i="1"/>
  <c r="AB46" i="1"/>
  <c r="AB47" i="1"/>
  <c r="AB39" i="1"/>
  <c r="AB48" i="1"/>
  <c r="AB74" i="1"/>
  <c r="AB26" i="1"/>
  <c r="AB24" i="1"/>
  <c r="AB42" i="1"/>
  <c r="AB13" i="1"/>
  <c r="AC46" i="1"/>
  <c r="T5" i="1"/>
  <c r="AC82" i="1"/>
  <c r="S5" i="1"/>
  <c r="M5" i="1"/>
  <c r="V5" i="1" l="1"/>
  <c r="AB82" i="1"/>
  <c r="AB15" i="1"/>
  <c r="AB17" i="1"/>
  <c r="AB6" i="1"/>
  <c r="AB16" i="1"/>
  <c r="AB56" i="1"/>
  <c r="U5" i="1"/>
  <c r="AM5" i="1" l="1"/>
</calcChain>
</file>

<file path=xl/sharedStrings.xml><?xml version="1.0" encoding="utf-8"?>
<sst xmlns="http://schemas.openxmlformats.org/spreadsheetml/2006/main" count="385" uniqueCount="159">
  <si>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</si>
  <si>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</si>
  <si>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</si>
  <si>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</si>
  <si>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</si>
  <si>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</si>
  <si>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</si>
  <si>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</si>
  <si>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</si>
  <si>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</si>
  <si>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</si>
  <si>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</si>
  <si>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</si>
  <si>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</si>
  <si>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</si>
  <si>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</si>
  <si>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</si>
  <si>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</si>
  <si>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</si>
  <si>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</si>
  <si>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</si>
  <si>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</si>
  <si>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</si>
  <si>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</si>
  <si>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</si>
  <si>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</si>
  <si>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</si>
  <si>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24,01,(1)</t>
  </si>
  <si>
    <t>24,01,(2)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</si>
  <si>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</si>
  <si>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</si>
  <si>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</si>
  <si>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</si>
  <si>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</si>
  <si>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</si>
  <si>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</si>
  <si>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</si>
  <si>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</si>
  <si>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</si>
  <si>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</si>
  <si>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</si>
  <si>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</si>
  <si>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</si>
  <si>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</si>
  <si>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</si>
  <si>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</si>
  <si>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</si>
  <si>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</si>
  <si>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</si>
  <si>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</si>
  <si>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</si>
  <si>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</si>
  <si>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</si>
  <si>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</si>
  <si>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</si>
  <si>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</si>
  <si>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</si>
  <si>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</si>
  <si>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</si>
  <si>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</si>
  <si>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</si>
  <si>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</si>
  <si>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</si>
  <si>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</si>
  <si>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</si>
  <si>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</si>
  <si>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</si>
  <si>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</si>
  <si>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</si>
  <si>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</si>
  <si>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</si>
  <si>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</si>
  <si>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</si>
  <si>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</si>
  <si>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</si>
  <si>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с 21,01,26 заказываем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</si>
  <si>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</si>
  <si>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</si>
  <si>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</si>
  <si>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</si>
  <si>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</si>
  <si>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</si>
  <si>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</si>
  <si>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</si>
  <si>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</si>
  <si>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</si>
  <si>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</si>
  <si>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</si>
  <si>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</si>
  <si>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</si>
  <si>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</si>
  <si>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</si>
  <si>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</si>
  <si>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</si>
  <si>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</si>
  <si>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</si>
  <si>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</si>
  <si>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</si>
  <si>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</si>
  <si>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</si>
  <si>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</si>
  <si>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</si>
  <si>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</si>
  <si>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</si>
  <si>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</si>
  <si>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</si>
  <si>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</si>
  <si>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</si>
  <si>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</si>
  <si>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</si>
  <si>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</si>
  <si>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</si>
  <si>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</si>
  <si>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</si>
  <si>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</si>
  <si>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</si>
  <si>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</si>
  <si>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</si>
  <si>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</si>
  <si>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</si>
  <si>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</si>
  <si>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</si>
  <si>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</si>
  <si>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</si>
  <si>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</si>
  <si>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</si>
  <si>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</si>
  <si>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</si>
  <si>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</si>
  <si>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</si>
  <si>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</si>
  <si>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</si>
  <si>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</si>
  <si>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</si>
  <si>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</si>
  <si>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</si>
  <si>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</si>
  <si>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</si>
  <si>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</si>
  <si>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</si>
  <si>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</si>
  <si>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</si>
  <si>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</si>
  <si>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</si>
  <si>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</si>
  <si>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</si>
  <si>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</si>
  <si>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</si>
  <si>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</si>
  <si>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</si>
  <si>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</si>
  <si>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</si>
  <si>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t>нужно увеличить продажи</t>
  </si>
  <si>
    <t>23,06,25 в уценку 6кг / 22,04,25 в уценку 34 кг / 25,01,25 в уценку 108кг</t>
  </si>
  <si>
    <t>до машины</t>
  </si>
  <si>
    <t>заказ</t>
  </si>
  <si>
    <t>итого</t>
  </si>
  <si>
    <t>26,01,(1)</t>
  </si>
  <si>
    <t>26,01,(2)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</si>
</sst>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6" sqref="Z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9" width="5.85546875" customWidth="1"/>
    <col min="20" max="20" width="7" customWidth="1"/>
    <col min="21" max="24" width="7" style="23" customWidth="1"/>
    <col min="25" max="25" width="7" customWidth="1"/>
    <col min="26" max="26" width="8.42578125" customWidth="1"/>
    <col min="27" max="27" width="7" customWidth="1"/>
    <col min="28" max="29" width="5" customWidth="1"/>
    <col min="30" max="37" width="6" customWidth="1"/>
    <col min="38" max="38" width="13.140625" customWidth="1"/>
    <col min="39" max="40" width="7" customWidth="1"/>
    <col min="41" max="53" width="8" customWidth="1"/>
  </cols>
  <sheetData>
    <row r="1" spans="1:53" x14ac:dyDescent="0.25">
      <c r="A1" s="14"/>
      <c r="B1" s="14"/>
      <c r="C1" s="14"/>
      <c r="D1" s="14"/>
      <c r="E1" s="14"/>
      <c r="F1" s="14"/>
      <c r="G1" s="7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24">
        <v>1.5</v>
      </c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x14ac:dyDescent="0.25">
      <c r="A2" s="14"/>
      <c r="B2" s="14"/>
      <c r="C2" s="14"/>
      <c r="D2" s="14"/>
      <c r="E2" s="14"/>
      <c r="F2" s="14"/>
      <c r="G2" s="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154</v>
      </c>
      <c r="V3" s="2" t="s">
        <v>156</v>
      </c>
      <c r="W3" s="2" t="s">
        <v>155</v>
      </c>
      <c r="X3" s="2" t="s">
        <v>155</v>
      </c>
      <c r="Y3" s="6" t="s">
        <v>17</v>
      </c>
      <c r="Z3" s="6" t="s">
        <v>18</v>
      </c>
      <c r="AA3" s="9" t="s">
        <v>19</v>
      </c>
      <c r="AB3" s="1" t="s">
        <v>20</v>
      </c>
      <c r="AC3" s="1" t="s">
        <v>21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23</v>
      </c>
      <c r="AM3" s="1" t="s">
        <v>24</v>
      </c>
      <c r="AN3" s="1" t="s">
        <v>24</v>
      </c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 spans="1:53" x14ac:dyDescent="0.25">
      <c r="A4" s="14"/>
      <c r="B4" s="14"/>
      <c r="C4" s="14"/>
      <c r="D4" s="14"/>
      <c r="E4" s="14"/>
      <c r="F4" s="14"/>
      <c r="G4" s="7"/>
      <c r="H4" s="14"/>
      <c r="I4" s="14"/>
      <c r="J4" s="14"/>
      <c r="K4" s="14"/>
      <c r="L4" s="14"/>
      <c r="M4" s="14"/>
      <c r="N4" s="14"/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4"/>
      <c r="U4" s="14"/>
      <c r="V4" s="14"/>
      <c r="W4" s="14" t="s">
        <v>157</v>
      </c>
      <c r="X4" s="14" t="s">
        <v>158</v>
      </c>
      <c r="Y4" s="14"/>
      <c r="Z4" s="14"/>
      <c r="AA4" s="14"/>
      <c r="AB4" s="14"/>
      <c r="AC4" s="14"/>
      <c r="AD4" s="14" t="s">
        <v>30</v>
      </c>
      <c r="AE4" s="14" t="s">
        <v>31</v>
      </c>
      <c r="AF4" s="14" t="s">
        <v>32</v>
      </c>
      <c r="AG4" s="14" t="s">
        <v>33</v>
      </c>
      <c r="AH4" s="14" t="s">
        <v>34</v>
      </c>
      <c r="AI4" s="14" t="s">
        <v>35</v>
      </c>
      <c r="AJ4" s="14" t="s">
        <v>36</v>
      </c>
      <c r="AK4" s="14" t="s">
        <v>37</v>
      </c>
      <c r="AL4" s="14"/>
      <c r="AM4" s="14" t="s">
        <v>157</v>
      </c>
      <c r="AN4" s="14" t="s">
        <v>158</v>
      </c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</row>
    <row r="5" spans="1:53" x14ac:dyDescent="0.25">
      <c r="A5" s="14"/>
      <c r="B5" s="14"/>
      <c r="C5" s="14"/>
      <c r="D5" s="14"/>
      <c r="E5" s="3">
        <f>SUM(E6:E500)</f>
        <v>38717.728999999992</v>
      </c>
      <c r="F5" s="3">
        <f>SUM(F6:F500)</f>
        <v>38000.403000000006</v>
      </c>
      <c r="G5" s="7"/>
      <c r="H5" s="14"/>
      <c r="I5" s="14"/>
      <c r="J5" s="14"/>
      <c r="K5" s="3">
        <f t="shared" ref="K5:Y5" si="0">SUM(K6:K500)</f>
        <v>46552.651999999995</v>
      </c>
      <c r="L5" s="3">
        <f t="shared" si="0"/>
        <v>-7834.9230000000007</v>
      </c>
      <c r="M5" s="3">
        <f t="shared" si="0"/>
        <v>32751.091</v>
      </c>
      <c r="N5" s="3">
        <f t="shared" si="0"/>
        <v>5966.6379999999999</v>
      </c>
      <c r="O5" s="3">
        <f t="shared" si="0"/>
        <v>9984.8511362766658</v>
      </c>
      <c r="P5" s="3">
        <f t="shared" si="0"/>
        <v>7080</v>
      </c>
      <c r="Q5" s="3">
        <f t="shared" si="0"/>
        <v>11395.265237666667</v>
      </c>
      <c r="R5" s="3">
        <f t="shared" si="0"/>
        <v>6390</v>
      </c>
      <c r="S5" s="3">
        <f t="shared" si="0"/>
        <v>6550.2181999999993</v>
      </c>
      <c r="T5" s="3">
        <f t="shared" si="0"/>
        <v>10561.122767573332</v>
      </c>
      <c r="U5" s="3">
        <f t="shared" si="0"/>
        <v>3622.7528999999995</v>
      </c>
      <c r="V5" s="3">
        <f t="shared" si="0"/>
        <v>14183.875667573328</v>
      </c>
      <c r="W5" s="3">
        <f t="shared" si="0"/>
        <v>3990</v>
      </c>
      <c r="X5" s="3">
        <f t="shared" ref="X5" si="1">SUM(X6:X500)</f>
        <v>10193.875667573331</v>
      </c>
      <c r="Y5" s="3">
        <f t="shared" si="0"/>
        <v>0</v>
      </c>
      <c r="Z5" s="14"/>
      <c r="AA5" s="3">
        <f>SUM(AA6:AA500)</f>
        <v>0</v>
      </c>
      <c r="AB5" s="14"/>
      <c r="AC5" s="14"/>
      <c r="AD5" s="3">
        <f t="shared" ref="AD5:AK5" si="2">SUM(AD6:AD500)</f>
        <v>7017.346599999998</v>
      </c>
      <c r="AE5" s="3">
        <f t="shared" si="2"/>
        <v>7009.6939999999995</v>
      </c>
      <c r="AF5" s="3">
        <f t="shared" si="2"/>
        <v>6817.6777999999995</v>
      </c>
      <c r="AG5" s="3">
        <f t="shared" si="2"/>
        <v>7264.9101666666629</v>
      </c>
      <c r="AH5" s="3">
        <f t="shared" si="2"/>
        <v>8228.2569999999996</v>
      </c>
      <c r="AI5" s="3">
        <f t="shared" si="2"/>
        <v>7432.0654000000004</v>
      </c>
      <c r="AJ5" s="3">
        <f t="shared" si="2"/>
        <v>7216.2931999999973</v>
      </c>
      <c r="AK5" s="3">
        <f t="shared" si="2"/>
        <v>6953.5805999999984</v>
      </c>
      <c r="AL5" s="14"/>
      <c r="AM5" s="3">
        <f>SUM(AM6:AM500)</f>
        <v>2900</v>
      </c>
      <c r="AN5" s="3">
        <f>SUM(AN6:AN500)</f>
        <v>7761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</row>
    <row r="6" spans="1:53" x14ac:dyDescent="0.25">
      <c r="A6" s="14" t="s">
        <v>38</v>
      </c>
      <c r="B6" s="14" t="s">
        <v>39</v>
      </c>
      <c r="C6" s="14">
        <v>527.95399999999995</v>
      </c>
      <c r="D6" s="14">
        <v>688.70299999999997</v>
      </c>
      <c r="E6" s="14">
        <v>616.19000000000005</v>
      </c>
      <c r="F6" s="14">
        <v>442.36900000000003</v>
      </c>
      <c r="G6" s="7">
        <v>1</v>
      </c>
      <c r="H6" s="14">
        <v>50</v>
      </c>
      <c r="I6" s="14" t="s">
        <v>40</v>
      </c>
      <c r="J6" s="14"/>
      <c r="K6" s="14">
        <v>725.048</v>
      </c>
      <c r="L6" s="14">
        <f t="shared" ref="L6:L37" si="3">E6-K6</f>
        <v>-108.85799999999995</v>
      </c>
      <c r="M6" s="14">
        <f t="shared" ref="M6:M37" si="4">E6-N6</f>
        <v>487.64200000000005</v>
      </c>
      <c r="N6" s="14">
        <v>128.548</v>
      </c>
      <c r="O6" s="14">
        <v>0</v>
      </c>
      <c r="P6" s="14"/>
      <c r="Q6" s="14">
        <v>393.04169999999988</v>
      </c>
      <c r="R6" s="14"/>
      <c r="S6" s="14">
        <f t="shared" ref="S6:S37" si="5">M6/5</f>
        <v>97.528400000000005</v>
      </c>
      <c r="T6" s="4">
        <f>12*S6-R6-Q6-P6-O6-F6</f>
        <v>334.93010000000004</v>
      </c>
      <c r="U6" s="4">
        <f>$U$1*S6</f>
        <v>146.29259999999999</v>
      </c>
      <c r="V6" s="4">
        <f>U6+T6</f>
        <v>481.22270000000003</v>
      </c>
      <c r="W6" s="4"/>
      <c r="X6" s="4">
        <f>V6-W6</f>
        <v>481.22270000000003</v>
      </c>
      <c r="Y6" s="4"/>
      <c r="Z6" s="14"/>
      <c r="AA6" s="14"/>
      <c r="AB6" s="14">
        <f>(F6+O6+P6+Q6+R6+V6)/S6</f>
        <v>13.499999999999998</v>
      </c>
      <c r="AC6" s="14">
        <f t="shared" ref="AC6:AC37" si="6">(F6+O6+P6+Q6+R6)/S6</f>
        <v>8.5658198022319638</v>
      </c>
      <c r="AD6" s="14">
        <v>81.555599999999998</v>
      </c>
      <c r="AE6" s="14">
        <v>28.123000000000001</v>
      </c>
      <c r="AF6" s="14">
        <v>24.486000000000001</v>
      </c>
      <c r="AG6" s="14">
        <v>91.292833333333348</v>
      </c>
      <c r="AH6" s="14">
        <v>93.21833333333332</v>
      </c>
      <c r="AI6" s="14">
        <v>6.0432000000000006</v>
      </c>
      <c r="AJ6" s="14">
        <v>71.900600000000011</v>
      </c>
      <c r="AK6" s="14">
        <v>107.9282</v>
      </c>
      <c r="AL6" s="14"/>
      <c r="AM6" s="14">
        <f>ROUND(G6*W6,0)</f>
        <v>0</v>
      </c>
      <c r="AN6" s="14">
        <f>ROUND(G6*X6,0)</f>
        <v>481</v>
      </c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</row>
    <row r="7" spans="1:53" x14ac:dyDescent="0.25">
      <c r="A7" s="14" t="s">
        <v>41</v>
      </c>
      <c r="B7" s="14" t="s">
        <v>39</v>
      </c>
      <c r="C7" s="14">
        <v>113.378</v>
      </c>
      <c r="D7" s="14">
        <v>618.09699999999998</v>
      </c>
      <c r="E7" s="14">
        <v>292.31400000000002</v>
      </c>
      <c r="F7" s="14">
        <v>357.36599999999999</v>
      </c>
      <c r="G7" s="7">
        <v>1</v>
      </c>
      <c r="H7" s="14">
        <v>45</v>
      </c>
      <c r="I7" s="14" t="s">
        <v>40</v>
      </c>
      <c r="J7" s="14"/>
      <c r="K7" s="14">
        <v>484.68</v>
      </c>
      <c r="L7" s="14">
        <f t="shared" si="3"/>
        <v>-192.36599999999999</v>
      </c>
      <c r="M7" s="14">
        <f t="shared" si="4"/>
        <v>184.608</v>
      </c>
      <c r="N7" s="14">
        <v>107.706</v>
      </c>
      <c r="O7" s="14">
        <v>37.009355779999836</v>
      </c>
      <c r="P7" s="14"/>
      <c r="Q7" s="14">
        <v>8.1482999999999883</v>
      </c>
      <c r="R7" s="14"/>
      <c r="S7" s="14">
        <f t="shared" si="5"/>
        <v>36.921599999999998</v>
      </c>
      <c r="T7" s="4">
        <f t="shared" ref="T7:T8" si="7">12*S7-R7-Q7-P7-O7-F7</f>
        <v>40.535544220000133</v>
      </c>
      <c r="U7" s="4"/>
      <c r="V7" s="4">
        <f t="shared" ref="V7:V70" si="8">U7+T7</f>
        <v>40.535544220000133</v>
      </c>
      <c r="W7" s="4"/>
      <c r="X7" s="4">
        <f t="shared" ref="X7:X70" si="9">V7-W7</f>
        <v>40.535544220000133</v>
      </c>
      <c r="Y7" s="4"/>
      <c r="Z7" s="14"/>
      <c r="AA7" s="14"/>
      <c r="AB7" s="14">
        <f t="shared" ref="AB7:AB70" si="10">(F7+O7+P7+Q7+R7+V7)/S7</f>
        <v>12</v>
      </c>
      <c r="AC7" s="14">
        <f t="shared" si="6"/>
        <v>10.902118428778815</v>
      </c>
      <c r="AD7" s="14">
        <v>37.392399999999988</v>
      </c>
      <c r="AE7" s="14">
        <v>48.169800000000002</v>
      </c>
      <c r="AF7" s="14">
        <v>63.855200000000004</v>
      </c>
      <c r="AG7" s="14">
        <v>33.899500000000003</v>
      </c>
      <c r="AH7" s="14">
        <v>41.783499999999997</v>
      </c>
      <c r="AI7" s="14">
        <v>45.427399999999992</v>
      </c>
      <c r="AJ7" s="14">
        <v>32.1462</v>
      </c>
      <c r="AK7" s="14">
        <v>34.432600000000001</v>
      </c>
      <c r="AL7" s="14"/>
      <c r="AM7" s="14">
        <f t="shared" ref="AM7:AN70" si="11">ROUND(G7*W7,0)</f>
        <v>0</v>
      </c>
      <c r="AN7" s="14">
        <f t="shared" ref="AN7:AN70" si="12">ROUND(G7*X7,0)</f>
        <v>41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</row>
    <row r="8" spans="1:53" x14ac:dyDescent="0.25">
      <c r="A8" s="14" t="s">
        <v>42</v>
      </c>
      <c r="B8" s="14" t="s">
        <v>39</v>
      </c>
      <c r="C8" s="14">
        <v>446.81700000000001</v>
      </c>
      <c r="D8" s="14">
        <v>1202.45</v>
      </c>
      <c r="E8" s="14">
        <v>801.57399999999996</v>
      </c>
      <c r="F8" s="14">
        <v>425.52600000000001</v>
      </c>
      <c r="G8" s="7">
        <v>1</v>
      </c>
      <c r="H8" s="14">
        <v>45</v>
      </c>
      <c r="I8" s="14" t="s">
        <v>40</v>
      </c>
      <c r="J8" s="14"/>
      <c r="K8" s="14">
        <v>1402.69</v>
      </c>
      <c r="L8" s="14">
        <f t="shared" si="3"/>
        <v>-601.1160000000001</v>
      </c>
      <c r="M8" s="14">
        <f t="shared" si="4"/>
        <v>467.16199999999998</v>
      </c>
      <c r="N8" s="14">
        <v>334.41199999999998</v>
      </c>
      <c r="O8" s="14">
        <v>241.670960408333</v>
      </c>
      <c r="P8" s="14">
        <v>300</v>
      </c>
      <c r="Q8" s="14">
        <v>7.8934666666667246</v>
      </c>
      <c r="R8" s="14"/>
      <c r="S8" s="14">
        <f t="shared" si="5"/>
        <v>93.432400000000001</v>
      </c>
      <c r="T8" s="4">
        <f t="shared" si="7"/>
        <v>146.09837292500021</v>
      </c>
      <c r="U8" s="4"/>
      <c r="V8" s="4">
        <f t="shared" si="8"/>
        <v>146.09837292500021</v>
      </c>
      <c r="W8" s="4"/>
      <c r="X8" s="4">
        <f t="shared" si="9"/>
        <v>146.09837292500021</v>
      </c>
      <c r="Y8" s="4"/>
      <c r="Z8" s="14"/>
      <c r="AA8" s="14"/>
      <c r="AB8" s="14">
        <f t="shared" si="10"/>
        <v>11.999999999999998</v>
      </c>
      <c r="AC8" s="14">
        <f t="shared" si="6"/>
        <v>10.436320024691646</v>
      </c>
      <c r="AD8" s="14">
        <v>104.94459999999999</v>
      </c>
      <c r="AE8" s="14">
        <v>137.81540000000001</v>
      </c>
      <c r="AF8" s="14">
        <v>122.11499999999999</v>
      </c>
      <c r="AG8" s="14">
        <v>109.2651666666667</v>
      </c>
      <c r="AH8" s="14">
        <v>126.5826666666667</v>
      </c>
      <c r="AI8" s="14">
        <v>105.9686</v>
      </c>
      <c r="AJ8" s="14">
        <v>133.38380000000001</v>
      </c>
      <c r="AK8" s="14">
        <v>84.897999999999996</v>
      </c>
      <c r="AL8" s="14"/>
      <c r="AM8" s="14">
        <f t="shared" si="11"/>
        <v>0</v>
      </c>
      <c r="AN8" s="14">
        <f t="shared" si="12"/>
        <v>146</v>
      </c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</row>
    <row r="9" spans="1:53" x14ac:dyDescent="0.25">
      <c r="A9" s="11" t="s">
        <v>43</v>
      </c>
      <c r="B9" s="11" t="s">
        <v>44</v>
      </c>
      <c r="C9" s="11">
        <v>1</v>
      </c>
      <c r="D9" s="11"/>
      <c r="E9" s="11">
        <v>1</v>
      </c>
      <c r="F9" s="11"/>
      <c r="G9" s="12">
        <v>0</v>
      </c>
      <c r="H9" s="11" t="e">
        <v>#N/A</v>
      </c>
      <c r="I9" s="11" t="s">
        <v>45</v>
      </c>
      <c r="J9" s="11"/>
      <c r="K9" s="11">
        <v>2</v>
      </c>
      <c r="L9" s="11">
        <f t="shared" si="3"/>
        <v>-1</v>
      </c>
      <c r="M9" s="11">
        <f t="shared" si="4"/>
        <v>1</v>
      </c>
      <c r="N9" s="11"/>
      <c r="O9" s="11">
        <v>0</v>
      </c>
      <c r="P9" s="11"/>
      <c r="Q9" s="11">
        <v>0</v>
      </c>
      <c r="R9" s="11"/>
      <c r="S9" s="11">
        <f t="shared" si="5"/>
        <v>0.2</v>
      </c>
      <c r="T9" s="13"/>
      <c r="U9" s="13"/>
      <c r="V9" s="4">
        <f t="shared" si="8"/>
        <v>0</v>
      </c>
      <c r="W9" s="4"/>
      <c r="X9" s="4">
        <f t="shared" si="9"/>
        <v>0</v>
      </c>
      <c r="Y9" s="13"/>
      <c r="Z9" s="11"/>
      <c r="AA9" s="11"/>
      <c r="AB9" s="14">
        <f t="shared" si="10"/>
        <v>0</v>
      </c>
      <c r="AC9" s="11">
        <f t="shared" si="6"/>
        <v>0</v>
      </c>
      <c r="AD9" s="11">
        <v>0.2</v>
      </c>
      <c r="AE9" s="11">
        <v>0</v>
      </c>
      <c r="AF9" s="11">
        <v>1.8</v>
      </c>
      <c r="AG9" s="11">
        <v>6.333333333333333</v>
      </c>
      <c r="AH9" s="11">
        <v>6.333333333333333</v>
      </c>
      <c r="AI9" s="11">
        <v>0</v>
      </c>
      <c r="AJ9" s="11">
        <v>0</v>
      </c>
      <c r="AK9" s="11">
        <v>0</v>
      </c>
      <c r="AL9" s="11" t="s">
        <v>46</v>
      </c>
      <c r="AM9" s="14">
        <f t="shared" si="11"/>
        <v>0</v>
      </c>
      <c r="AN9" s="14">
        <f t="shared" si="12"/>
        <v>0</v>
      </c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</row>
    <row r="10" spans="1:53" x14ac:dyDescent="0.25">
      <c r="A10" s="14" t="s">
        <v>47</v>
      </c>
      <c r="B10" s="14" t="s">
        <v>44</v>
      </c>
      <c r="C10" s="14">
        <v>489.91</v>
      </c>
      <c r="D10" s="14">
        <v>1404</v>
      </c>
      <c r="E10" s="14">
        <v>1034</v>
      </c>
      <c r="F10" s="14">
        <v>717.91</v>
      </c>
      <c r="G10" s="7">
        <v>0.45</v>
      </c>
      <c r="H10" s="14">
        <v>45</v>
      </c>
      <c r="I10" s="14" t="s">
        <v>40</v>
      </c>
      <c r="J10" s="14"/>
      <c r="K10" s="14">
        <v>1363</v>
      </c>
      <c r="L10" s="14">
        <f t="shared" si="3"/>
        <v>-329</v>
      </c>
      <c r="M10" s="14">
        <f t="shared" si="4"/>
        <v>902</v>
      </c>
      <c r="N10" s="14">
        <v>132</v>
      </c>
      <c r="O10" s="14">
        <v>663.19234666666739</v>
      </c>
      <c r="P10" s="14">
        <v>500</v>
      </c>
      <c r="Q10" s="14">
        <v>289.30333333333289</v>
      </c>
      <c r="R10" s="14"/>
      <c r="S10" s="14">
        <f t="shared" si="5"/>
        <v>180.4</v>
      </c>
      <c r="T10" s="4"/>
      <c r="U10" s="4"/>
      <c r="V10" s="4">
        <f t="shared" si="8"/>
        <v>0</v>
      </c>
      <c r="W10" s="4"/>
      <c r="X10" s="4">
        <f t="shared" si="9"/>
        <v>0</v>
      </c>
      <c r="Y10" s="4"/>
      <c r="Z10" s="14"/>
      <c r="AA10" s="14"/>
      <c r="AB10" s="14">
        <f t="shared" si="10"/>
        <v>12.031073614190689</v>
      </c>
      <c r="AC10" s="14">
        <f t="shared" si="6"/>
        <v>12.031073614190689</v>
      </c>
      <c r="AD10" s="14">
        <v>236.8</v>
      </c>
      <c r="AE10" s="14">
        <v>237.8</v>
      </c>
      <c r="AF10" s="14">
        <v>223.61799999999999</v>
      </c>
      <c r="AG10" s="14">
        <v>216.68166666666659</v>
      </c>
      <c r="AH10" s="14">
        <v>217.83333333333329</v>
      </c>
      <c r="AI10" s="14">
        <v>173.8</v>
      </c>
      <c r="AJ10" s="14">
        <v>199.2</v>
      </c>
      <c r="AK10" s="14">
        <v>203.2</v>
      </c>
      <c r="AL10" s="14" t="s">
        <v>48</v>
      </c>
      <c r="AM10" s="14">
        <f t="shared" si="11"/>
        <v>0</v>
      </c>
      <c r="AN10" s="14">
        <f t="shared" si="12"/>
        <v>0</v>
      </c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 spans="1:53" x14ac:dyDescent="0.25">
      <c r="A11" s="14" t="s">
        <v>49</v>
      </c>
      <c r="B11" s="14" t="s">
        <v>44</v>
      </c>
      <c r="C11" s="14">
        <v>352.4</v>
      </c>
      <c r="D11" s="14">
        <v>2462</v>
      </c>
      <c r="E11" s="14">
        <v>1807.6</v>
      </c>
      <c r="F11" s="14">
        <v>611.29999999999995</v>
      </c>
      <c r="G11" s="7">
        <v>0.45</v>
      </c>
      <c r="H11" s="14">
        <v>45</v>
      </c>
      <c r="I11" s="14" t="s">
        <v>40</v>
      </c>
      <c r="J11" s="14"/>
      <c r="K11" s="14">
        <v>2340.6</v>
      </c>
      <c r="L11" s="14">
        <f t="shared" si="3"/>
        <v>-533</v>
      </c>
      <c r="M11" s="14">
        <f t="shared" si="4"/>
        <v>1501</v>
      </c>
      <c r="N11" s="14">
        <v>306.60000000000002</v>
      </c>
      <c r="O11" s="14">
        <v>731.87651333333315</v>
      </c>
      <c r="P11" s="14">
        <v>500</v>
      </c>
      <c r="Q11" s="14">
        <v>894.86666666666633</v>
      </c>
      <c r="R11" s="14"/>
      <c r="S11" s="14">
        <f t="shared" si="5"/>
        <v>300.2</v>
      </c>
      <c r="T11" s="4">
        <f t="shared" ref="T11:T17" si="13">12*S11-R11-Q11-P11-O11-F11</f>
        <v>864.3568200000002</v>
      </c>
      <c r="U11" s="4"/>
      <c r="V11" s="4">
        <f t="shared" si="8"/>
        <v>864.3568200000002</v>
      </c>
      <c r="W11" s="4">
        <v>400</v>
      </c>
      <c r="X11" s="4">
        <f t="shared" si="9"/>
        <v>464.3568200000002</v>
      </c>
      <c r="Y11" s="4"/>
      <c r="Z11" s="14"/>
      <c r="AA11" s="14"/>
      <c r="AB11" s="14">
        <f t="shared" si="10"/>
        <v>12</v>
      </c>
      <c r="AC11" s="14">
        <f t="shared" si="6"/>
        <v>9.120730113257828</v>
      </c>
      <c r="AD11" s="14">
        <v>323.2</v>
      </c>
      <c r="AE11" s="14">
        <v>294.8</v>
      </c>
      <c r="AF11" s="14">
        <v>291.60000000000002</v>
      </c>
      <c r="AG11" s="14">
        <v>281.5</v>
      </c>
      <c r="AH11" s="14">
        <v>266.16666666666669</v>
      </c>
      <c r="AI11" s="14">
        <v>233.2</v>
      </c>
      <c r="AJ11" s="14">
        <v>300</v>
      </c>
      <c r="AK11" s="14">
        <v>260.60000000000002</v>
      </c>
      <c r="AL11" s="14" t="s">
        <v>48</v>
      </c>
      <c r="AM11" s="14">
        <f t="shared" si="11"/>
        <v>180</v>
      </c>
      <c r="AN11" s="14">
        <f t="shared" si="12"/>
        <v>209</v>
      </c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:53" x14ac:dyDescent="0.25">
      <c r="A12" s="14" t="s">
        <v>50</v>
      </c>
      <c r="B12" s="14" t="s">
        <v>44</v>
      </c>
      <c r="C12" s="14">
        <v>-5</v>
      </c>
      <c r="D12" s="14">
        <v>22</v>
      </c>
      <c r="E12" s="14">
        <v>26</v>
      </c>
      <c r="F12" s="14">
        <v>-6</v>
      </c>
      <c r="G12" s="7">
        <v>0.17</v>
      </c>
      <c r="H12" s="14">
        <v>180</v>
      </c>
      <c r="I12" s="14" t="s">
        <v>40</v>
      </c>
      <c r="J12" s="14"/>
      <c r="K12" s="14">
        <v>26</v>
      </c>
      <c r="L12" s="14">
        <f t="shared" si="3"/>
        <v>0</v>
      </c>
      <c r="M12" s="14">
        <f t="shared" si="4"/>
        <v>26</v>
      </c>
      <c r="N12" s="14"/>
      <c r="O12" s="14">
        <v>130.06666666666669</v>
      </c>
      <c r="P12" s="14"/>
      <c r="Q12" s="14">
        <v>4.7333333333333201</v>
      </c>
      <c r="R12" s="14"/>
      <c r="S12" s="14">
        <f t="shared" si="5"/>
        <v>5.2</v>
      </c>
      <c r="T12" s="4"/>
      <c r="U12" s="4"/>
      <c r="V12" s="4">
        <f t="shared" si="8"/>
        <v>0</v>
      </c>
      <c r="W12" s="4"/>
      <c r="X12" s="4">
        <f t="shared" si="9"/>
        <v>0</v>
      </c>
      <c r="Y12" s="4"/>
      <c r="Z12" s="14"/>
      <c r="AA12" s="14"/>
      <c r="AB12" s="14">
        <f t="shared" si="10"/>
        <v>24.76923076923077</v>
      </c>
      <c r="AC12" s="14">
        <f t="shared" si="6"/>
        <v>24.76923076923077</v>
      </c>
      <c r="AD12" s="14">
        <v>11.8</v>
      </c>
      <c r="AE12" s="14">
        <v>12.4</v>
      </c>
      <c r="AF12" s="14">
        <v>10.6</v>
      </c>
      <c r="AG12" s="14">
        <v>17.833333333333329</v>
      </c>
      <c r="AH12" s="14">
        <v>22.166666666666671</v>
      </c>
      <c r="AI12" s="14">
        <v>12.6</v>
      </c>
      <c r="AJ12" s="14">
        <v>15.8</v>
      </c>
      <c r="AK12" s="14">
        <v>14.6</v>
      </c>
      <c r="AL12" s="14" t="s">
        <v>48</v>
      </c>
      <c r="AM12" s="14">
        <f t="shared" si="11"/>
        <v>0</v>
      </c>
      <c r="AN12" s="14">
        <f t="shared" si="12"/>
        <v>0</v>
      </c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:53" x14ac:dyDescent="0.25">
      <c r="A13" s="14" t="s">
        <v>51</v>
      </c>
      <c r="B13" s="14" t="s">
        <v>44</v>
      </c>
      <c r="C13" s="14">
        <v>30</v>
      </c>
      <c r="D13" s="14"/>
      <c r="E13" s="14">
        <v>23</v>
      </c>
      <c r="F13" s="14">
        <v>-2</v>
      </c>
      <c r="G13" s="7">
        <v>0.3</v>
      </c>
      <c r="H13" s="14">
        <v>40</v>
      </c>
      <c r="I13" s="14" t="s">
        <v>40</v>
      </c>
      <c r="J13" s="14"/>
      <c r="K13" s="14">
        <v>35</v>
      </c>
      <c r="L13" s="14">
        <f t="shared" si="3"/>
        <v>-12</v>
      </c>
      <c r="M13" s="14">
        <f t="shared" si="4"/>
        <v>23</v>
      </c>
      <c r="N13" s="14"/>
      <c r="O13" s="14">
        <v>8.4000000000000057</v>
      </c>
      <c r="P13" s="14"/>
      <c r="Q13" s="14">
        <v>0</v>
      </c>
      <c r="R13" s="14"/>
      <c r="S13" s="14">
        <f t="shared" si="5"/>
        <v>4.5999999999999996</v>
      </c>
      <c r="T13" s="4">
        <f>8*S13-R13-Q13-P13-O13-F13</f>
        <v>30.399999999999991</v>
      </c>
      <c r="U13" s="4"/>
      <c r="V13" s="4">
        <f t="shared" si="8"/>
        <v>30.399999999999991</v>
      </c>
      <c r="W13" s="4"/>
      <c r="X13" s="4">
        <f t="shared" si="9"/>
        <v>30.399999999999991</v>
      </c>
      <c r="Y13" s="4"/>
      <c r="Z13" s="14"/>
      <c r="AA13" s="14"/>
      <c r="AB13" s="14">
        <f t="shared" si="10"/>
        <v>8</v>
      </c>
      <c r="AC13" s="14">
        <f t="shared" si="6"/>
        <v>1.3913043478260883</v>
      </c>
      <c r="AD13" s="14">
        <v>2.6</v>
      </c>
      <c r="AE13" s="14">
        <v>3.2</v>
      </c>
      <c r="AF13" s="14">
        <v>1.8</v>
      </c>
      <c r="AG13" s="14">
        <v>3.833333333333333</v>
      </c>
      <c r="AH13" s="14">
        <v>4.666666666666667</v>
      </c>
      <c r="AI13" s="14">
        <v>3.8</v>
      </c>
      <c r="AJ13" s="14">
        <v>4.4000000000000004</v>
      </c>
      <c r="AK13" s="14">
        <v>4</v>
      </c>
      <c r="AL13" s="14"/>
      <c r="AM13" s="14">
        <f t="shared" si="11"/>
        <v>0</v>
      </c>
      <c r="AN13" s="14">
        <f t="shared" si="12"/>
        <v>9</v>
      </c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:53" x14ac:dyDescent="0.25">
      <c r="A14" s="14" t="s">
        <v>52</v>
      </c>
      <c r="B14" s="14" t="s">
        <v>44</v>
      </c>
      <c r="C14" s="14">
        <v>158</v>
      </c>
      <c r="D14" s="14">
        <v>159</v>
      </c>
      <c r="E14" s="14">
        <v>164</v>
      </c>
      <c r="F14" s="14">
        <v>91</v>
      </c>
      <c r="G14" s="7">
        <v>0.17</v>
      </c>
      <c r="H14" s="14">
        <v>180</v>
      </c>
      <c r="I14" s="14" t="s">
        <v>40</v>
      </c>
      <c r="J14" s="14"/>
      <c r="K14" s="14">
        <v>320</v>
      </c>
      <c r="L14" s="14">
        <f t="shared" si="3"/>
        <v>-156</v>
      </c>
      <c r="M14" s="14">
        <f t="shared" si="4"/>
        <v>89</v>
      </c>
      <c r="N14" s="14">
        <v>75</v>
      </c>
      <c r="O14" s="14">
        <v>24.351999999999979</v>
      </c>
      <c r="P14" s="14"/>
      <c r="Q14" s="14">
        <v>0</v>
      </c>
      <c r="R14" s="14"/>
      <c r="S14" s="14">
        <f t="shared" si="5"/>
        <v>17.8</v>
      </c>
      <c r="T14" s="4">
        <f t="shared" si="13"/>
        <v>98.248000000000047</v>
      </c>
      <c r="U14" s="4"/>
      <c r="V14" s="4">
        <f t="shared" si="8"/>
        <v>98.248000000000047</v>
      </c>
      <c r="W14" s="4"/>
      <c r="X14" s="4">
        <f t="shared" si="9"/>
        <v>98.248000000000047</v>
      </c>
      <c r="Y14" s="4"/>
      <c r="Z14" s="14"/>
      <c r="AA14" s="14"/>
      <c r="AB14" s="14">
        <f t="shared" si="10"/>
        <v>12</v>
      </c>
      <c r="AC14" s="14">
        <f t="shared" si="6"/>
        <v>6.4804494382022453</v>
      </c>
      <c r="AD14" s="14">
        <v>18.399999999999999</v>
      </c>
      <c r="AE14" s="14">
        <v>22</v>
      </c>
      <c r="AF14" s="14">
        <v>28.8</v>
      </c>
      <c r="AG14" s="14">
        <v>27.166666666666671</v>
      </c>
      <c r="AH14" s="14">
        <v>38.5</v>
      </c>
      <c r="AI14" s="14">
        <v>46.4</v>
      </c>
      <c r="AJ14" s="14">
        <v>29.2</v>
      </c>
      <c r="AK14" s="14">
        <v>41.4</v>
      </c>
      <c r="AL14" s="14"/>
      <c r="AM14" s="14">
        <f t="shared" si="11"/>
        <v>0</v>
      </c>
      <c r="AN14" s="14">
        <f t="shared" si="12"/>
        <v>17</v>
      </c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:53" x14ac:dyDescent="0.25">
      <c r="A15" s="14" t="s">
        <v>53</v>
      </c>
      <c r="B15" s="14" t="s">
        <v>39</v>
      </c>
      <c r="C15" s="14">
        <v>2873.15</v>
      </c>
      <c r="D15" s="14">
        <v>1842.14</v>
      </c>
      <c r="E15" s="14">
        <v>1796.9780000000001</v>
      </c>
      <c r="F15" s="14">
        <v>2688.5479999999998</v>
      </c>
      <c r="G15" s="7">
        <v>1</v>
      </c>
      <c r="H15" s="14">
        <v>55</v>
      </c>
      <c r="I15" s="14" t="s">
        <v>40</v>
      </c>
      <c r="J15" s="14"/>
      <c r="K15" s="14">
        <v>1725.0609999999999</v>
      </c>
      <c r="L15" s="14">
        <f t="shared" si="3"/>
        <v>71.917000000000144</v>
      </c>
      <c r="M15" s="14">
        <f t="shared" si="4"/>
        <v>1632.7170000000001</v>
      </c>
      <c r="N15" s="14">
        <v>164.261</v>
      </c>
      <c r="O15" s="14">
        <v>0</v>
      </c>
      <c r="P15" s="14"/>
      <c r="Q15" s="14">
        <v>250.71796000000069</v>
      </c>
      <c r="R15" s="14">
        <v>500</v>
      </c>
      <c r="S15" s="14">
        <f t="shared" si="5"/>
        <v>326.54340000000002</v>
      </c>
      <c r="T15" s="4">
        <f t="shared" si="13"/>
        <v>479.2548399999996</v>
      </c>
      <c r="U15" s="4">
        <f t="shared" ref="U15:U17" si="14">$U$1*S15</f>
        <v>489.81510000000003</v>
      </c>
      <c r="V15" s="4">
        <f t="shared" si="8"/>
        <v>969.06993999999963</v>
      </c>
      <c r="W15" s="4">
        <v>400</v>
      </c>
      <c r="X15" s="4">
        <f t="shared" si="9"/>
        <v>569.06993999999963</v>
      </c>
      <c r="Y15" s="4"/>
      <c r="Z15" s="14"/>
      <c r="AA15" s="14"/>
      <c r="AB15" s="14">
        <f t="shared" si="10"/>
        <v>13.5</v>
      </c>
      <c r="AC15" s="14">
        <f t="shared" si="6"/>
        <v>10.532339529753168</v>
      </c>
      <c r="AD15" s="14">
        <v>311.55820000000011</v>
      </c>
      <c r="AE15" s="14">
        <v>276.5412</v>
      </c>
      <c r="AF15" s="14">
        <v>287.16539999999998</v>
      </c>
      <c r="AG15" s="14">
        <v>392.54950000000002</v>
      </c>
      <c r="AH15" s="14">
        <v>441.82666666666671</v>
      </c>
      <c r="AI15" s="14">
        <v>402.2398</v>
      </c>
      <c r="AJ15" s="14">
        <v>358.09359999999998</v>
      </c>
      <c r="AK15" s="14">
        <v>345.32100000000003</v>
      </c>
      <c r="AL15" s="14" t="s">
        <v>54</v>
      </c>
      <c r="AM15" s="14">
        <f t="shared" si="11"/>
        <v>400</v>
      </c>
      <c r="AN15" s="14">
        <f t="shared" si="12"/>
        <v>569</v>
      </c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:53" x14ac:dyDescent="0.25">
      <c r="A16" s="14" t="s">
        <v>55</v>
      </c>
      <c r="B16" s="14" t="s">
        <v>39</v>
      </c>
      <c r="C16" s="14">
        <v>2126.7199999999998</v>
      </c>
      <c r="D16" s="14">
        <v>2807.7530000000002</v>
      </c>
      <c r="E16" s="14">
        <v>1846.4590000000001</v>
      </c>
      <c r="F16" s="14">
        <v>2681.6950000000002</v>
      </c>
      <c r="G16" s="7">
        <v>1</v>
      </c>
      <c r="H16" s="14">
        <v>50</v>
      </c>
      <c r="I16" s="14" t="s">
        <v>40</v>
      </c>
      <c r="J16" s="14"/>
      <c r="K16" s="14">
        <v>1956.162</v>
      </c>
      <c r="L16" s="14">
        <f t="shared" si="3"/>
        <v>-109.70299999999997</v>
      </c>
      <c r="M16" s="14">
        <f t="shared" si="4"/>
        <v>1606.9970000000001</v>
      </c>
      <c r="N16" s="14">
        <v>239.46199999999999</v>
      </c>
      <c r="O16" s="14">
        <v>0</v>
      </c>
      <c r="P16" s="14"/>
      <c r="Q16" s="14">
        <v>302.1957199999996</v>
      </c>
      <c r="R16" s="14">
        <v>500</v>
      </c>
      <c r="S16" s="14">
        <f t="shared" si="5"/>
        <v>321.39940000000001</v>
      </c>
      <c r="T16" s="4">
        <f t="shared" si="13"/>
        <v>372.9020800000003</v>
      </c>
      <c r="U16" s="4">
        <f t="shared" si="14"/>
        <v>482.09910000000002</v>
      </c>
      <c r="V16" s="4">
        <f t="shared" si="8"/>
        <v>855.00118000000032</v>
      </c>
      <c r="W16" s="4">
        <v>400</v>
      </c>
      <c r="X16" s="4">
        <f t="shared" si="9"/>
        <v>455.00118000000032</v>
      </c>
      <c r="Y16" s="4"/>
      <c r="Z16" s="14"/>
      <c r="AA16" s="14"/>
      <c r="AB16" s="14">
        <f t="shared" si="10"/>
        <v>13.500000000000002</v>
      </c>
      <c r="AC16" s="14">
        <f t="shared" si="6"/>
        <v>10.839754896866639</v>
      </c>
      <c r="AD16" s="14">
        <v>305.01459999999997</v>
      </c>
      <c r="AE16" s="14">
        <v>282.12360000000001</v>
      </c>
      <c r="AF16" s="14">
        <v>302.11219999999997</v>
      </c>
      <c r="AG16" s="14">
        <v>424.7165</v>
      </c>
      <c r="AH16" s="14">
        <v>496.30500000000001</v>
      </c>
      <c r="AI16" s="14">
        <v>453.74119999999999</v>
      </c>
      <c r="AJ16" s="14">
        <v>386.56920000000002</v>
      </c>
      <c r="AK16" s="14">
        <v>388.9726</v>
      </c>
      <c r="AL16" s="14" t="s">
        <v>54</v>
      </c>
      <c r="AM16" s="14">
        <f t="shared" si="11"/>
        <v>400</v>
      </c>
      <c r="AN16" s="14">
        <f t="shared" si="12"/>
        <v>455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</row>
    <row r="17" spans="1:53" x14ac:dyDescent="0.25">
      <c r="A17" s="14" t="s">
        <v>56</v>
      </c>
      <c r="B17" s="14" t="s">
        <v>39</v>
      </c>
      <c r="C17" s="14">
        <v>265.85599999999999</v>
      </c>
      <c r="D17" s="14">
        <v>105.348</v>
      </c>
      <c r="E17" s="14">
        <v>240.20400000000001</v>
      </c>
      <c r="F17" s="14">
        <v>66.019000000000005</v>
      </c>
      <c r="G17" s="7">
        <v>1</v>
      </c>
      <c r="H17" s="14">
        <v>60</v>
      </c>
      <c r="I17" s="14" t="s">
        <v>40</v>
      </c>
      <c r="J17" s="14"/>
      <c r="K17" s="14">
        <v>259.83499999999998</v>
      </c>
      <c r="L17" s="14">
        <f t="shared" si="3"/>
        <v>-19.630999999999972</v>
      </c>
      <c r="M17" s="14">
        <f t="shared" si="4"/>
        <v>208.41900000000001</v>
      </c>
      <c r="N17" s="14">
        <v>31.785</v>
      </c>
      <c r="O17" s="14">
        <v>216.26716666666661</v>
      </c>
      <c r="P17" s="14">
        <v>30</v>
      </c>
      <c r="Q17" s="14">
        <v>132.24440000000001</v>
      </c>
      <c r="R17" s="14"/>
      <c r="S17" s="14">
        <f t="shared" si="5"/>
        <v>41.683800000000005</v>
      </c>
      <c r="T17" s="4">
        <f t="shared" si="13"/>
        <v>55.675033333333459</v>
      </c>
      <c r="U17" s="4">
        <f t="shared" si="14"/>
        <v>62.525700000000008</v>
      </c>
      <c r="V17" s="4">
        <f t="shared" si="8"/>
        <v>118.20073333333346</v>
      </c>
      <c r="W17" s="4"/>
      <c r="X17" s="4">
        <f t="shared" si="9"/>
        <v>118.20073333333346</v>
      </c>
      <c r="Y17" s="4"/>
      <c r="Z17" s="14"/>
      <c r="AA17" s="14"/>
      <c r="AB17" s="14">
        <f t="shared" si="10"/>
        <v>13.500000000000002</v>
      </c>
      <c r="AC17" s="14">
        <f t="shared" si="6"/>
        <v>10.664348419929723</v>
      </c>
      <c r="AD17" s="14">
        <v>47.338999999999999</v>
      </c>
      <c r="AE17" s="14">
        <v>43.282800000000002</v>
      </c>
      <c r="AF17" s="14">
        <v>36.054200000000002</v>
      </c>
      <c r="AG17" s="14">
        <v>36.965166666666661</v>
      </c>
      <c r="AH17" s="14">
        <v>52.663833333333322</v>
      </c>
      <c r="AI17" s="14">
        <v>48.583599999999997</v>
      </c>
      <c r="AJ17" s="14">
        <v>39.573</v>
      </c>
      <c r="AK17" s="14">
        <v>39.678199999999997</v>
      </c>
      <c r="AL17" s="14"/>
      <c r="AM17" s="14">
        <f t="shared" si="11"/>
        <v>0</v>
      </c>
      <c r="AN17" s="14">
        <f t="shared" si="12"/>
        <v>118</v>
      </c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25">
      <c r="A18" s="14" t="s">
        <v>57</v>
      </c>
      <c r="B18" s="14" t="s">
        <v>39</v>
      </c>
      <c r="C18" s="14">
        <v>1547.508</v>
      </c>
      <c r="D18" s="14">
        <v>1033.0899999999999</v>
      </c>
      <c r="E18" s="14">
        <v>603.99599999999998</v>
      </c>
      <c r="F18" s="14">
        <v>839.07600000000002</v>
      </c>
      <c r="G18" s="7">
        <v>1</v>
      </c>
      <c r="H18" s="14">
        <v>60</v>
      </c>
      <c r="I18" s="14" t="s">
        <v>40</v>
      </c>
      <c r="J18" s="14"/>
      <c r="K18" s="14">
        <v>773.803</v>
      </c>
      <c r="L18" s="14">
        <f t="shared" si="3"/>
        <v>-169.80700000000002</v>
      </c>
      <c r="M18" s="14">
        <f t="shared" si="4"/>
        <v>319.69299999999998</v>
      </c>
      <c r="N18" s="14">
        <v>284.303</v>
      </c>
      <c r="O18" s="14">
        <v>0</v>
      </c>
      <c r="P18" s="14"/>
      <c r="Q18" s="14">
        <v>0</v>
      </c>
      <c r="R18" s="14"/>
      <c r="S18" s="14">
        <f t="shared" si="5"/>
        <v>63.938599999999994</v>
      </c>
      <c r="T18" s="4"/>
      <c r="U18" s="4"/>
      <c r="V18" s="4">
        <f t="shared" si="8"/>
        <v>0</v>
      </c>
      <c r="W18" s="4"/>
      <c r="X18" s="4">
        <f t="shared" si="9"/>
        <v>0</v>
      </c>
      <c r="Y18" s="4"/>
      <c r="Z18" s="14"/>
      <c r="AA18" s="14"/>
      <c r="AB18" s="14">
        <f t="shared" si="10"/>
        <v>13.123152524453149</v>
      </c>
      <c r="AC18" s="14">
        <f t="shared" si="6"/>
        <v>13.123152524453149</v>
      </c>
      <c r="AD18" s="14">
        <v>121.6746</v>
      </c>
      <c r="AE18" s="14">
        <v>88.111599999999996</v>
      </c>
      <c r="AF18" s="14">
        <v>81.115399999999994</v>
      </c>
      <c r="AG18" s="14">
        <v>208.27016666666671</v>
      </c>
      <c r="AH18" s="14">
        <v>281.90366666666671</v>
      </c>
      <c r="AI18" s="14">
        <v>221.13499999999999</v>
      </c>
      <c r="AJ18" s="14">
        <v>136.88759999999999</v>
      </c>
      <c r="AK18" s="14">
        <v>149.70660000000001</v>
      </c>
      <c r="AL18" s="14"/>
      <c r="AM18" s="14">
        <f t="shared" si="11"/>
        <v>0</v>
      </c>
      <c r="AN18" s="14">
        <f t="shared" si="12"/>
        <v>0</v>
      </c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x14ac:dyDescent="0.25">
      <c r="A19" s="15" t="s">
        <v>58</v>
      </c>
      <c r="B19" s="15" t="s">
        <v>39</v>
      </c>
      <c r="C19" s="15"/>
      <c r="D19" s="15"/>
      <c r="E19" s="15"/>
      <c r="F19" s="15"/>
      <c r="G19" s="16">
        <v>0</v>
      </c>
      <c r="H19" s="15">
        <v>60</v>
      </c>
      <c r="I19" s="15" t="s">
        <v>40</v>
      </c>
      <c r="J19" s="15"/>
      <c r="K19" s="15"/>
      <c r="L19" s="15">
        <f t="shared" si="3"/>
        <v>0</v>
      </c>
      <c r="M19" s="15">
        <f t="shared" si="4"/>
        <v>0</v>
      </c>
      <c r="N19" s="15"/>
      <c r="O19" s="15">
        <v>0</v>
      </c>
      <c r="P19" s="15"/>
      <c r="Q19" s="15">
        <v>0</v>
      </c>
      <c r="R19" s="15"/>
      <c r="S19" s="15">
        <f t="shared" si="5"/>
        <v>0</v>
      </c>
      <c r="T19" s="17"/>
      <c r="U19" s="17"/>
      <c r="V19" s="4">
        <f t="shared" si="8"/>
        <v>0</v>
      </c>
      <c r="W19" s="4"/>
      <c r="X19" s="4">
        <f t="shared" si="9"/>
        <v>0</v>
      </c>
      <c r="Y19" s="17"/>
      <c r="Z19" s="15"/>
      <c r="AA19" s="15"/>
      <c r="AB19" s="14" t="e">
        <f t="shared" si="10"/>
        <v>#DIV/0!</v>
      </c>
      <c r="AC19" s="15" t="e">
        <f t="shared" si="6"/>
        <v>#DIV/0!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59</v>
      </c>
      <c r="AM19" s="14">
        <f t="shared" si="11"/>
        <v>0</v>
      </c>
      <c r="AN19" s="14">
        <f t="shared" si="12"/>
        <v>0</v>
      </c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25">
      <c r="A20" s="14" t="s">
        <v>60</v>
      </c>
      <c r="B20" s="14" t="s">
        <v>39</v>
      </c>
      <c r="C20" s="14">
        <v>8.7189999999999994</v>
      </c>
      <c r="D20" s="14">
        <v>15.717000000000001</v>
      </c>
      <c r="E20" s="14">
        <v>2.8359999999999999</v>
      </c>
      <c r="F20" s="14">
        <v>17.742999999999999</v>
      </c>
      <c r="G20" s="7">
        <v>1</v>
      </c>
      <c r="H20" s="14">
        <v>180</v>
      </c>
      <c r="I20" s="14" t="s">
        <v>40</v>
      </c>
      <c r="J20" s="14"/>
      <c r="K20" s="14">
        <v>2.93</v>
      </c>
      <c r="L20" s="14">
        <f t="shared" si="3"/>
        <v>-9.4000000000000306E-2</v>
      </c>
      <c r="M20" s="14">
        <f t="shared" si="4"/>
        <v>2.8359999999999999</v>
      </c>
      <c r="N20" s="14"/>
      <c r="O20" s="14">
        <v>0</v>
      </c>
      <c r="P20" s="14"/>
      <c r="Q20" s="14">
        <v>0</v>
      </c>
      <c r="R20" s="14"/>
      <c r="S20" s="14">
        <f t="shared" si="5"/>
        <v>0.56719999999999993</v>
      </c>
      <c r="T20" s="4"/>
      <c r="U20" s="4"/>
      <c r="V20" s="4">
        <f t="shared" si="8"/>
        <v>0</v>
      </c>
      <c r="W20" s="4"/>
      <c r="X20" s="4">
        <f t="shared" si="9"/>
        <v>0</v>
      </c>
      <c r="Y20" s="4"/>
      <c r="Z20" s="14"/>
      <c r="AA20" s="14"/>
      <c r="AB20" s="14">
        <f t="shared" si="10"/>
        <v>31.281734837799718</v>
      </c>
      <c r="AC20" s="14">
        <f t="shared" si="6"/>
        <v>31.281734837799718</v>
      </c>
      <c r="AD20" s="14">
        <v>0.35239999999999999</v>
      </c>
      <c r="AE20" s="14">
        <v>0</v>
      </c>
      <c r="AF20" s="14">
        <v>0.15939999999999999</v>
      </c>
      <c r="AG20" s="14">
        <v>0.79133333333333333</v>
      </c>
      <c r="AH20" s="14">
        <v>1.112166666666667</v>
      </c>
      <c r="AI20" s="14">
        <v>1.2574000000000001</v>
      </c>
      <c r="AJ20" s="14">
        <v>0.877</v>
      </c>
      <c r="AK20" s="14">
        <v>0.71840000000000004</v>
      </c>
      <c r="AL20" s="20" t="s">
        <v>152</v>
      </c>
      <c r="AM20" s="14">
        <f t="shared" si="11"/>
        <v>0</v>
      </c>
      <c r="AN20" s="14">
        <f t="shared" si="12"/>
        <v>0</v>
      </c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</row>
    <row r="21" spans="1:53" x14ac:dyDescent="0.25">
      <c r="A21" s="14" t="s">
        <v>61</v>
      </c>
      <c r="B21" s="14" t="s">
        <v>39</v>
      </c>
      <c r="C21" s="14">
        <v>2787.4989999999998</v>
      </c>
      <c r="D21" s="14">
        <v>4070.241</v>
      </c>
      <c r="E21" s="14">
        <v>2751.5279999999998</v>
      </c>
      <c r="F21" s="14">
        <v>3674.616</v>
      </c>
      <c r="G21" s="7">
        <v>1</v>
      </c>
      <c r="H21" s="14">
        <v>60</v>
      </c>
      <c r="I21" s="14" t="s">
        <v>40</v>
      </c>
      <c r="J21" s="14"/>
      <c r="K21" s="14">
        <v>2672.29</v>
      </c>
      <c r="L21" s="14">
        <f t="shared" si="3"/>
        <v>79.237999999999829</v>
      </c>
      <c r="M21" s="14">
        <f t="shared" si="4"/>
        <v>2444.768</v>
      </c>
      <c r="N21" s="14">
        <v>306.76</v>
      </c>
      <c r="O21" s="14">
        <v>211.20263341000151</v>
      </c>
      <c r="P21" s="14">
        <v>350</v>
      </c>
      <c r="Q21" s="14">
        <v>404.04267499999793</v>
      </c>
      <c r="R21" s="14">
        <v>1500</v>
      </c>
      <c r="S21" s="14">
        <f t="shared" si="5"/>
        <v>488.95359999999999</v>
      </c>
      <c r="T21" s="4"/>
      <c r="U21" s="4"/>
      <c r="V21" s="4">
        <f t="shared" si="8"/>
        <v>0</v>
      </c>
      <c r="W21" s="4"/>
      <c r="X21" s="4">
        <f t="shared" si="9"/>
        <v>0</v>
      </c>
      <c r="Y21" s="4"/>
      <c r="Z21" s="14"/>
      <c r="AA21" s="14"/>
      <c r="AB21" s="14">
        <f t="shared" si="10"/>
        <v>12.557145112358308</v>
      </c>
      <c r="AC21" s="14">
        <f t="shared" si="6"/>
        <v>12.557145112358308</v>
      </c>
      <c r="AD21" s="14">
        <v>536.48019999999997</v>
      </c>
      <c r="AE21" s="14">
        <v>559.10059999999999</v>
      </c>
      <c r="AF21" s="14">
        <v>642.4251999999999</v>
      </c>
      <c r="AG21" s="14">
        <v>595.46950000000004</v>
      </c>
      <c r="AH21" s="14">
        <v>671.97050000000002</v>
      </c>
      <c r="AI21" s="14">
        <v>619.25720000000001</v>
      </c>
      <c r="AJ21" s="14">
        <v>510.13720000000001</v>
      </c>
      <c r="AK21" s="14">
        <v>478.51620000000003</v>
      </c>
      <c r="AL21" s="14" t="s">
        <v>54</v>
      </c>
      <c r="AM21" s="14">
        <f t="shared" si="11"/>
        <v>0</v>
      </c>
      <c r="AN21" s="14">
        <f t="shared" si="12"/>
        <v>0</v>
      </c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3" x14ac:dyDescent="0.25">
      <c r="A22" s="11" t="s">
        <v>62</v>
      </c>
      <c r="B22" s="11" t="s">
        <v>39</v>
      </c>
      <c r="C22" s="11">
        <v>-2.496</v>
      </c>
      <c r="D22" s="11"/>
      <c r="E22" s="19">
        <v>2.512</v>
      </c>
      <c r="F22" s="19">
        <v>-5.008</v>
      </c>
      <c r="G22" s="12">
        <v>0</v>
      </c>
      <c r="H22" s="11" t="e">
        <v>#N/A</v>
      </c>
      <c r="I22" s="11" t="s">
        <v>45</v>
      </c>
      <c r="J22" s="11" t="s">
        <v>63</v>
      </c>
      <c r="K22" s="11">
        <v>2.5</v>
      </c>
      <c r="L22" s="11">
        <f t="shared" si="3"/>
        <v>1.2000000000000011E-2</v>
      </c>
      <c r="M22" s="11">
        <f t="shared" si="4"/>
        <v>2.512</v>
      </c>
      <c r="N22" s="11"/>
      <c r="O22" s="11">
        <v>0</v>
      </c>
      <c r="P22" s="11"/>
      <c r="Q22" s="11">
        <v>0</v>
      </c>
      <c r="R22" s="11"/>
      <c r="S22" s="11">
        <f t="shared" si="5"/>
        <v>0.50239999999999996</v>
      </c>
      <c r="T22" s="13"/>
      <c r="U22" s="13"/>
      <c r="V22" s="4">
        <f t="shared" si="8"/>
        <v>0</v>
      </c>
      <c r="W22" s="4"/>
      <c r="X22" s="4">
        <f t="shared" si="9"/>
        <v>0</v>
      </c>
      <c r="Y22" s="13"/>
      <c r="Z22" s="11"/>
      <c r="AA22" s="11"/>
      <c r="AB22" s="14">
        <f t="shared" si="10"/>
        <v>-9.9681528662420398</v>
      </c>
      <c r="AC22" s="11">
        <f t="shared" si="6"/>
        <v>-9.9681528662420398</v>
      </c>
      <c r="AD22" s="11">
        <v>1.0016</v>
      </c>
      <c r="AE22" s="11">
        <v>0.49919999999999998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/>
      <c r="AM22" s="14">
        <f t="shared" si="11"/>
        <v>0</v>
      </c>
      <c r="AN22" s="14">
        <f t="shared" si="12"/>
        <v>0</v>
      </c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25">
      <c r="A23" s="14" t="s">
        <v>64</v>
      </c>
      <c r="B23" s="14" t="s">
        <v>39</v>
      </c>
      <c r="C23" s="14">
        <v>451.03899999999999</v>
      </c>
      <c r="D23" s="14">
        <v>360.22500000000002</v>
      </c>
      <c r="E23" s="14">
        <v>463.18799999999999</v>
      </c>
      <c r="F23" s="14">
        <v>207.86</v>
      </c>
      <c r="G23" s="7">
        <v>1</v>
      </c>
      <c r="H23" s="14">
        <v>60</v>
      </c>
      <c r="I23" s="14" t="s">
        <v>40</v>
      </c>
      <c r="J23" s="14"/>
      <c r="K23" s="14">
        <v>493.55</v>
      </c>
      <c r="L23" s="14">
        <f t="shared" si="3"/>
        <v>-30.362000000000023</v>
      </c>
      <c r="M23" s="14">
        <f t="shared" si="4"/>
        <v>378.298</v>
      </c>
      <c r="N23" s="14">
        <v>84.89</v>
      </c>
      <c r="O23" s="14">
        <v>191.3287108333333</v>
      </c>
      <c r="P23" s="14">
        <v>200</v>
      </c>
      <c r="Q23" s="14">
        <v>465.47070000000019</v>
      </c>
      <c r="R23" s="14"/>
      <c r="S23" s="14">
        <f t="shared" si="5"/>
        <v>75.659599999999998</v>
      </c>
      <c r="T23" s="4"/>
      <c r="U23" s="4"/>
      <c r="V23" s="4">
        <f t="shared" si="8"/>
        <v>0</v>
      </c>
      <c r="W23" s="4"/>
      <c r="X23" s="4">
        <f t="shared" si="9"/>
        <v>0</v>
      </c>
      <c r="Y23" s="4"/>
      <c r="Z23" s="14"/>
      <c r="AA23" s="14"/>
      <c r="AB23" s="14">
        <f t="shared" si="10"/>
        <v>14.071702874894044</v>
      </c>
      <c r="AC23" s="14">
        <f t="shared" si="6"/>
        <v>14.071702874894044</v>
      </c>
      <c r="AD23" s="14">
        <v>93.314000000000007</v>
      </c>
      <c r="AE23" s="14">
        <v>83.183599999999998</v>
      </c>
      <c r="AF23" s="14">
        <v>76.678399999999996</v>
      </c>
      <c r="AG23" s="14">
        <v>72.070666666666668</v>
      </c>
      <c r="AH23" s="14">
        <v>90.065333333333328</v>
      </c>
      <c r="AI23" s="14">
        <v>81.176199999999994</v>
      </c>
      <c r="AJ23" s="14">
        <v>74.248999999999995</v>
      </c>
      <c r="AK23" s="14">
        <v>67.222000000000008</v>
      </c>
      <c r="AL23" s="14"/>
      <c r="AM23" s="14">
        <f t="shared" si="11"/>
        <v>0</v>
      </c>
      <c r="AN23" s="14">
        <f t="shared" si="12"/>
        <v>0</v>
      </c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x14ac:dyDescent="0.25">
      <c r="A24" s="14" t="s">
        <v>65</v>
      </c>
      <c r="B24" s="14" t="s">
        <v>39</v>
      </c>
      <c r="C24" s="14">
        <v>667.91499999999996</v>
      </c>
      <c r="D24" s="14">
        <v>733.94799999999998</v>
      </c>
      <c r="E24" s="14">
        <v>545.06399999999996</v>
      </c>
      <c r="F24" s="14">
        <v>722.32500000000005</v>
      </c>
      <c r="G24" s="7">
        <v>1</v>
      </c>
      <c r="H24" s="14">
        <v>60</v>
      </c>
      <c r="I24" s="14" t="s">
        <v>40</v>
      </c>
      <c r="J24" s="14"/>
      <c r="K24" s="14">
        <v>572.471</v>
      </c>
      <c r="L24" s="14">
        <f t="shared" si="3"/>
        <v>-27.407000000000039</v>
      </c>
      <c r="M24" s="14">
        <f t="shared" si="4"/>
        <v>439.59299999999996</v>
      </c>
      <c r="N24" s="14">
        <v>105.471</v>
      </c>
      <c r="O24" s="14">
        <v>0</v>
      </c>
      <c r="P24" s="14"/>
      <c r="Q24" s="14">
        <v>192.73275000000001</v>
      </c>
      <c r="R24" s="14"/>
      <c r="S24" s="14">
        <f t="shared" si="5"/>
        <v>87.918599999999998</v>
      </c>
      <c r="T24" s="4">
        <f t="shared" ref="T24:T26" si="15">12*S24-R24-Q24-P24-O24-F24</f>
        <v>139.96545000000003</v>
      </c>
      <c r="U24" s="4">
        <f>$U$1*S24</f>
        <v>131.87790000000001</v>
      </c>
      <c r="V24" s="4">
        <f t="shared" si="8"/>
        <v>271.84335000000004</v>
      </c>
      <c r="W24" s="4"/>
      <c r="X24" s="4">
        <f t="shared" si="9"/>
        <v>271.84335000000004</v>
      </c>
      <c r="Y24" s="4"/>
      <c r="Z24" s="14"/>
      <c r="AA24" s="14"/>
      <c r="AB24" s="14">
        <f t="shared" si="10"/>
        <v>13.5</v>
      </c>
      <c r="AC24" s="14">
        <f t="shared" si="6"/>
        <v>10.408010932840151</v>
      </c>
      <c r="AD24" s="14">
        <v>85.658999999999992</v>
      </c>
      <c r="AE24" s="14">
        <v>84.333600000000004</v>
      </c>
      <c r="AF24" s="14">
        <v>94.044799999999981</v>
      </c>
      <c r="AG24" s="14">
        <v>114.9023333333333</v>
      </c>
      <c r="AH24" s="14">
        <v>125.092</v>
      </c>
      <c r="AI24" s="14">
        <v>124.4898</v>
      </c>
      <c r="AJ24" s="14">
        <v>104.41800000000001</v>
      </c>
      <c r="AK24" s="14">
        <v>112.0742</v>
      </c>
      <c r="AL24" s="14"/>
      <c r="AM24" s="14">
        <f t="shared" si="11"/>
        <v>0</v>
      </c>
      <c r="AN24" s="14">
        <f t="shared" si="12"/>
        <v>272</v>
      </c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25">
      <c r="A25" s="14" t="s">
        <v>66</v>
      </c>
      <c r="B25" s="14" t="s">
        <v>39</v>
      </c>
      <c r="C25" s="14">
        <v>17.963000000000001</v>
      </c>
      <c r="D25" s="14">
        <v>1.083</v>
      </c>
      <c r="E25" s="14">
        <v>3.9830000000000001</v>
      </c>
      <c r="F25" s="14">
        <v>13.98</v>
      </c>
      <c r="G25" s="7">
        <v>1</v>
      </c>
      <c r="H25" s="14">
        <v>180</v>
      </c>
      <c r="I25" s="14" t="s">
        <v>40</v>
      </c>
      <c r="J25" s="14"/>
      <c r="K25" s="14">
        <v>4.08</v>
      </c>
      <c r="L25" s="14">
        <f t="shared" si="3"/>
        <v>-9.6999999999999975E-2</v>
      </c>
      <c r="M25" s="14">
        <f t="shared" si="4"/>
        <v>3.9830000000000001</v>
      </c>
      <c r="N25" s="14"/>
      <c r="O25" s="14">
        <v>0</v>
      </c>
      <c r="P25" s="14"/>
      <c r="Q25" s="14">
        <v>0</v>
      </c>
      <c r="R25" s="14"/>
      <c r="S25" s="14">
        <f t="shared" si="5"/>
        <v>0.79659999999999997</v>
      </c>
      <c r="T25" s="4"/>
      <c r="U25" s="4"/>
      <c r="V25" s="4">
        <f t="shared" si="8"/>
        <v>0</v>
      </c>
      <c r="W25" s="4"/>
      <c r="X25" s="4">
        <f t="shared" si="9"/>
        <v>0</v>
      </c>
      <c r="Y25" s="4"/>
      <c r="Z25" s="14"/>
      <c r="AA25" s="14"/>
      <c r="AB25" s="14">
        <f t="shared" si="10"/>
        <v>17.54958573939242</v>
      </c>
      <c r="AC25" s="14">
        <f t="shared" si="6"/>
        <v>17.54958573939242</v>
      </c>
      <c r="AD25" s="14">
        <v>0.6482</v>
      </c>
      <c r="AE25" s="14">
        <v>0.49540000000000001</v>
      </c>
      <c r="AF25" s="14">
        <v>0.27639999999999998</v>
      </c>
      <c r="AG25" s="14">
        <v>0.86949999999999994</v>
      </c>
      <c r="AH25" s="14">
        <v>1.3806666666666669</v>
      </c>
      <c r="AI25" s="14">
        <v>1.7272000000000001</v>
      </c>
      <c r="AJ25" s="14">
        <v>1.8042</v>
      </c>
      <c r="AK25" s="14">
        <v>1.3904000000000001</v>
      </c>
      <c r="AL25" s="20" t="s">
        <v>152</v>
      </c>
      <c r="AM25" s="14">
        <f t="shared" si="11"/>
        <v>0</v>
      </c>
      <c r="AN25" s="14">
        <f t="shared" si="12"/>
        <v>0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</row>
    <row r="26" spans="1:53" x14ac:dyDescent="0.25">
      <c r="A26" s="14" t="s">
        <v>68</v>
      </c>
      <c r="B26" s="14" t="s">
        <v>39</v>
      </c>
      <c r="C26" s="14">
        <v>1771.3219999999999</v>
      </c>
      <c r="D26" s="14">
        <v>1253.7950000000001</v>
      </c>
      <c r="E26" s="14">
        <v>1287.798</v>
      </c>
      <c r="F26" s="14">
        <v>1586.777</v>
      </c>
      <c r="G26" s="7">
        <v>1</v>
      </c>
      <c r="H26" s="14">
        <v>60</v>
      </c>
      <c r="I26" s="14" t="s">
        <v>40</v>
      </c>
      <c r="J26" s="14"/>
      <c r="K26" s="14">
        <v>1240.067</v>
      </c>
      <c r="L26" s="14">
        <f t="shared" si="3"/>
        <v>47.730999999999995</v>
      </c>
      <c r="M26" s="14">
        <f t="shared" si="4"/>
        <v>1187.6310000000001</v>
      </c>
      <c r="N26" s="14">
        <v>100.167</v>
      </c>
      <c r="O26" s="14">
        <v>0</v>
      </c>
      <c r="P26" s="14"/>
      <c r="Q26" s="14">
        <v>467.01658999999933</v>
      </c>
      <c r="R26" s="14">
        <v>500</v>
      </c>
      <c r="S26" s="14">
        <f t="shared" si="5"/>
        <v>237.52620000000002</v>
      </c>
      <c r="T26" s="4">
        <f t="shared" si="15"/>
        <v>296.52081000000089</v>
      </c>
      <c r="U26" s="4">
        <f>$U$1*S26</f>
        <v>356.28930000000003</v>
      </c>
      <c r="V26" s="4">
        <f t="shared" si="8"/>
        <v>652.81011000000092</v>
      </c>
      <c r="W26" s="4"/>
      <c r="X26" s="4">
        <f t="shared" si="9"/>
        <v>652.81011000000092</v>
      </c>
      <c r="Y26" s="4"/>
      <c r="Z26" s="14"/>
      <c r="AA26" s="14"/>
      <c r="AB26" s="14">
        <f t="shared" si="10"/>
        <v>13.5</v>
      </c>
      <c r="AC26" s="14">
        <f t="shared" si="6"/>
        <v>10.751629041343646</v>
      </c>
      <c r="AD26" s="14">
        <v>231.18</v>
      </c>
      <c r="AE26" s="14">
        <v>200.8886</v>
      </c>
      <c r="AF26" s="14">
        <v>204.5264</v>
      </c>
      <c r="AG26" s="14">
        <v>266.39716666666669</v>
      </c>
      <c r="AH26" s="14">
        <v>294.76016666666658</v>
      </c>
      <c r="AI26" s="14">
        <v>297.45620000000002</v>
      </c>
      <c r="AJ26" s="14">
        <v>250.17160000000001</v>
      </c>
      <c r="AK26" s="14">
        <v>267.72300000000001</v>
      </c>
      <c r="AL26" s="14" t="s">
        <v>54</v>
      </c>
      <c r="AM26" s="14">
        <f t="shared" si="11"/>
        <v>0</v>
      </c>
      <c r="AN26" s="14">
        <f t="shared" si="12"/>
        <v>653</v>
      </c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</row>
    <row r="27" spans="1:53" x14ac:dyDescent="0.25">
      <c r="A27" s="15" t="s">
        <v>69</v>
      </c>
      <c r="B27" s="15" t="s">
        <v>39</v>
      </c>
      <c r="C27" s="15"/>
      <c r="D27" s="15"/>
      <c r="E27" s="15"/>
      <c r="F27" s="15"/>
      <c r="G27" s="16">
        <v>0</v>
      </c>
      <c r="H27" s="15">
        <v>30</v>
      </c>
      <c r="I27" s="15" t="s">
        <v>40</v>
      </c>
      <c r="J27" s="15"/>
      <c r="K27" s="15"/>
      <c r="L27" s="15">
        <f t="shared" si="3"/>
        <v>0</v>
      </c>
      <c r="M27" s="15">
        <f t="shared" si="4"/>
        <v>0</v>
      </c>
      <c r="N27" s="15"/>
      <c r="O27" s="15">
        <v>0</v>
      </c>
      <c r="P27" s="15"/>
      <c r="Q27" s="15">
        <v>0</v>
      </c>
      <c r="R27" s="15"/>
      <c r="S27" s="15">
        <f t="shared" si="5"/>
        <v>0</v>
      </c>
      <c r="T27" s="17"/>
      <c r="U27" s="17"/>
      <c r="V27" s="4">
        <f t="shared" si="8"/>
        <v>0</v>
      </c>
      <c r="W27" s="4"/>
      <c r="X27" s="4">
        <f t="shared" si="9"/>
        <v>0</v>
      </c>
      <c r="Y27" s="17"/>
      <c r="Z27" s="15"/>
      <c r="AA27" s="15"/>
      <c r="AB27" s="14" t="e">
        <f t="shared" si="10"/>
        <v>#DIV/0!</v>
      </c>
      <c r="AC27" s="15" t="e">
        <f t="shared" si="6"/>
        <v>#DIV/0!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59</v>
      </c>
      <c r="AM27" s="14">
        <f t="shared" si="11"/>
        <v>0</v>
      </c>
      <c r="AN27" s="14">
        <f t="shared" si="12"/>
        <v>0</v>
      </c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</row>
    <row r="28" spans="1:53" x14ac:dyDescent="0.25">
      <c r="A28" s="15" t="s">
        <v>70</v>
      </c>
      <c r="B28" s="15" t="s">
        <v>39</v>
      </c>
      <c r="C28" s="15"/>
      <c r="D28" s="15"/>
      <c r="E28" s="15"/>
      <c r="F28" s="15"/>
      <c r="G28" s="16">
        <v>0</v>
      </c>
      <c r="H28" s="15">
        <v>30</v>
      </c>
      <c r="I28" s="15" t="s">
        <v>40</v>
      </c>
      <c r="J28" s="15"/>
      <c r="K28" s="15"/>
      <c r="L28" s="15">
        <f t="shared" si="3"/>
        <v>0</v>
      </c>
      <c r="M28" s="15">
        <f t="shared" si="4"/>
        <v>0</v>
      </c>
      <c r="N28" s="15"/>
      <c r="O28" s="15">
        <v>0</v>
      </c>
      <c r="P28" s="15"/>
      <c r="Q28" s="15">
        <v>0</v>
      </c>
      <c r="R28" s="15"/>
      <c r="S28" s="15">
        <f t="shared" si="5"/>
        <v>0</v>
      </c>
      <c r="T28" s="17"/>
      <c r="U28" s="17"/>
      <c r="V28" s="4">
        <f t="shared" si="8"/>
        <v>0</v>
      </c>
      <c r="W28" s="4"/>
      <c r="X28" s="4">
        <f t="shared" si="9"/>
        <v>0</v>
      </c>
      <c r="Y28" s="17"/>
      <c r="Z28" s="15"/>
      <c r="AA28" s="15"/>
      <c r="AB28" s="14" t="e">
        <f t="shared" si="10"/>
        <v>#DIV/0!</v>
      </c>
      <c r="AC28" s="15" t="e">
        <f t="shared" si="6"/>
        <v>#DIV/0!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59</v>
      </c>
      <c r="AM28" s="14">
        <f t="shared" si="11"/>
        <v>0</v>
      </c>
      <c r="AN28" s="14">
        <f t="shared" si="12"/>
        <v>0</v>
      </c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</row>
    <row r="29" spans="1:53" x14ac:dyDescent="0.25">
      <c r="A29" s="14" t="s">
        <v>71</v>
      </c>
      <c r="B29" s="14" t="s">
        <v>39</v>
      </c>
      <c r="C29" s="14">
        <v>294.28699999999998</v>
      </c>
      <c r="D29" s="14">
        <v>1730.5740000000001</v>
      </c>
      <c r="E29" s="14">
        <v>674.26800000000003</v>
      </c>
      <c r="F29" s="14">
        <v>991.87699999999995</v>
      </c>
      <c r="G29" s="7">
        <v>1</v>
      </c>
      <c r="H29" s="14">
        <v>30</v>
      </c>
      <c r="I29" s="14" t="s">
        <v>40</v>
      </c>
      <c r="J29" s="14"/>
      <c r="K29" s="14">
        <v>1355.201</v>
      </c>
      <c r="L29" s="14">
        <f t="shared" si="3"/>
        <v>-680.93299999999999</v>
      </c>
      <c r="M29" s="14">
        <f t="shared" si="4"/>
        <v>465.96700000000004</v>
      </c>
      <c r="N29" s="14">
        <v>208.30099999999999</v>
      </c>
      <c r="O29" s="14">
        <v>307.47655833333329</v>
      </c>
      <c r="P29" s="14">
        <v>400</v>
      </c>
      <c r="Q29" s="14">
        <v>0</v>
      </c>
      <c r="R29" s="14"/>
      <c r="S29" s="14">
        <f t="shared" si="5"/>
        <v>93.193400000000011</v>
      </c>
      <c r="T29" s="4"/>
      <c r="U29" s="4"/>
      <c r="V29" s="4">
        <f t="shared" si="8"/>
        <v>0</v>
      </c>
      <c r="W29" s="4"/>
      <c r="X29" s="4">
        <f t="shared" si="9"/>
        <v>0</v>
      </c>
      <c r="Y29" s="4"/>
      <c r="Z29" s="14"/>
      <c r="AA29" s="14"/>
      <c r="AB29" s="14">
        <f t="shared" si="10"/>
        <v>18.234698576651706</v>
      </c>
      <c r="AC29" s="14">
        <f t="shared" si="6"/>
        <v>18.234698576651706</v>
      </c>
      <c r="AD29" s="14">
        <v>120.9936</v>
      </c>
      <c r="AE29" s="14">
        <v>191.4426</v>
      </c>
      <c r="AF29" s="14">
        <v>180.36940000000001</v>
      </c>
      <c r="AG29" s="14">
        <v>157.65600000000001</v>
      </c>
      <c r="AH29" s="14">
        <v>169.0156666666667</v>
      </c>
      <c r="AI29" s="14">
        <v>183.89060000000001</v>
      </c>
      <c r="AJ29" s="14">
        <v>229.03219999999999</v>
      </c>
      <c r="AK29" s="14">
        <v>235.68979999999999</v>
      </c>
      <c r="AL29" s="14" t="s">
        <v>54</v>
      </c>
      <c r="AM29" s="14">
        <f t="shared" si="11"/>
        <v>0</v>
      </c>
      <c r="AN29" s="14">
        <f t="shared" si="12"/>
        <v>0</v>
      </c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</row>
    <row r="30" spans="1:53" x14ac:dyDescent="0.25">
      <c r="A30" s="15" t="s">
        <v>72</v>
      </c>
      <c r="B30" s="15" t="s">
        <v>39</v>
      </c>
      <c r="C30" s="15"/>
      <c r="D30" s="15"/>
      <c r="E30" s="15"/>
      <c r="F30" s="15"/>
      <c r="G30" s="16">
        <v>0</v>
      </c>
      <c r="H30" s="15">
        <v>45</v>
      </c>
      <c r="I30" s="15" t="s">
        <v>40</v>
      </c>
      <c r="J30" s="15"/>
      <c r="K30" s="15"/>
      <c r="L30" s="15">
        <f t="shared" si="3"/>
        <v>0</v>
      </c>
      <c r="M30" s="15">
        <f t="shared" si="4"/>
        <v>0</v>
      </c>
      <c r="N30" s="15"/>
      <c r="O30" s="15">
        <v>0</v>
      </c>
      <c r="P30" s="15"/>
      <c r="Q30" s="15">
        <v>0</v>
      </c>
      <c r="R30" s="15"/>
      <c r="S30" s="15">
        <f t="shared" si="5"/>
        <v>0</v>
      </c>
      <c r="T30" s="17"/>
      <c r="U30" s="17"/>
      <c r="V30" s="4">
        <f t="shared" si="8"/>
        <v>0</v>
      </c>
      <c r="W30" s="4"/>
      <c r="X30" s="4">
        <f t="shared" si="9"/>
        <v>0</v>
      </c>
      <c r="Y30" s="17"/>
      <c r="Z30" s="15"/>
      <c r="AA30" s="15"/>
      <c r="AB30" s="14" t="e">
        <f t="shared" si="10"/>
        <v>#DIV/0!</v>
      </c>
      <c r="AC30" s="15" t="e">
        <f t="shared" si="6"/>
        <v>#DIV/0!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59</v>
      </c>
      <c r="AM30" s="14">
        <f t="shared" si="11"/>
        <v>0</v>
      </c>
      <c r="AN30" s="14">
        <f t="shared" si="12"/>
        <v>0</v>
      </c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</row>
    <row r="31" spans="1:53" x14ac:dyDescent="0.25">
      <c r="A31" s="15" t="s">
        <v>73</v>
      </c>
      <c r="B31" s="15" t="s">
        <v>39</v>
      </c>
      <c r="C31" s="15"/>
      <c r="D31" s="15"/>
      <c r="E31" s="15"/>
      <c r="F31" s="15"/>
      <c r="G31" s="16">
        <v>0</v>
      </c>
      <c r="H31" s="15">
        <v>40</v>
      </c>
      <c r="I31" s="15" t="s">
        <v>40</v>
      </c>
      <c r="J31" s="15"/>
      <c r="K31" s="15"/>
      <c r="L31" s="15">
        <f t="shared" si="3"/>
        <v>0</v>
      </c>
      <c r="M31" s="15">
        <f t="shared" si="4"/>
        <v>0</v>
      </c>
      <c r="N31" s="15"/>
      <c r="O31" s="15">
        <v>0</v>
      </c>
      <c r="P31" s="15"/>
      <c r="Q31" s="15">
        <v>0</v>
      </c>
      <c r="R31" s="15"/>
      <c r="S31" s="15">
        <f t="shared" si="5"/>
        <v>0</v>
      </c>
      <c r="T31" s="17"/>
      <c r="U31" s="17"/>
      <c r="V31" s="4">
        <f t="shared" si="8"/>
        <v>0</v>
      </c>
      <c r="W31" s="4"/>
      <c r="X31" s="4">
        <f t="shared" si="9"/>
        <v>0</v>
      </c>
      <c r="Y31" s="17"/>
      <c r="Z31" s="15"/>
      <c r="AA31" s="15"/>
      <c r="AB31" s="14" t="e">
        <f t="shared" si="10"/>
        <v>#DIV/0!</v>
      </c>
      <c r="AC31" s="15" t="e">
        <f t="shared" si="6"/>
        <v>#DIV/0!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59</v>
      </c>
      <c r="AM31" s="14">
        <f t="shared" si="11"/>
        <v>0</v>
      </c>
      <c r="AN31" s="14">
        <f t="shared" si="12"/>
        <v>0</v>
      </c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</row>
    <row r="32" spans="1:53" x14ac:dyDescent="0.25">
      <c r="A32" s="14" t="s">
        <v>74</v>
      </c>
      <c r="B32" s="14" t="s">
        <v>39</v>
      </c>
      <c r="C32" s="14"/>
      <c r="D32" s="14"/>
      <c r="E32" s="14"/>
      <c r="F32" s="14"/>
      <c r="G32" s="7">
        <v>1</v>
      </c>
      <c r="H32" s="14">
        <v>30</v>
      </c>
      <c r="I32" s="14" t="s">
        <v>40</v>
      </c>
      <c r="J32" s="14"/>
      <c r="K32" s="14"/>
      <c r="L32" s="14">
        <f t="shared" si="3"/>
        <v>0</v>
      </c>
      <c r="M32" s="14">
        <f t="shared" si="4"/>
        <v>0</v>
      </c>
      <c r="N32" s="14"/>
      <c r="O32" s="14">
        <v>0</v>
      </c>
      <c r="P32" s="14"/>
      <c r="Q32" s="14">
        <v>100</v>
      </c>
      <c r="R32" s="14"/>
      <c r="S32" s="14">
        <f t="shared" si="5"/>
        <v>0</v>
      </c>
      <c r="T32" s="4"/>
      <c r="U32" s="4"/>
      <c r="V32" s="4">
        <f t="shared" si="8"/>
        <v>0</v>
      </c>
      <c r="W32" s="4"/>
      <c r="X32" s="4">
        <f t="shared" si="9"/>
        <v>0</v>
      </c>
      <c r="Y32" s="4"/>
      <c r="Z32" s="14"/>
      <c r="AA32" s="14"/>
      <c r="AB32" s="14" t="e">
        <f t="shared" si="10"/>
        <v>#DIV/0!</v>
      </c>
      <c r="AC32" s="14" t="e">
        <f t="shared" si="6"/>
        <v>#DIV/0!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 t="s">
        <v>75</v>
      </c>
      <c r="AM32" s="14">
        <f t="shared" si="11"/>
        <v>0</v>
      </c>
      <c r="AN32" s="14">
        <f t="shared" si="12"/>
        <v>0</v>
      </c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</row>
    <row r="33" spans="1:53" x14ac:dyDescent="0.25">
      <c r="A33" s="15" t="s">
        <v>76</v>
      </c>
      <c r="B33" s="15" t="s">
        <v>39</v>
      </c>
      <c r="C33" s="15"/>
      <c r="D33" s="15"/>
      <c r="E33" s="15"/>
      <c r="F33" s="15"/>
      <c r="G33" s="16">
        <v>0</v>
      </c>
      <c r="H33" s="15">
        <v>50</v>
      </c>
      <c r="I33" s="15" t="s">
        <v>40</v>
      </c>
      <c r="J33" s="15"/>
      <c r="K33" s="15"/>
      <c r="L33" s="15">
        <f t="shared" si="3"/>
        <v>0</v>
      </c>
      <c r="M33" s="15">
        <f t="shared" si="4"/>
        <v>0</v>
      </c>
      <c r="N33" s="15"/>
      <c r="O33" s="15">
        <v>0</v>
      </c>
      <c r="P33" s="15"/>
      <c r="Q33" s="15">
        <v>0</v>
      </c>
      <c r="R33" s="15"/>
      <c r="S33" s="15">
        <f t="shared" si="5"/>
        <v>0</v>
      </c>
      <c r="T33" s="17"/>
      <c r="U33" s="17"/>
      <c r="V33" s="4">
        <f t="shared" si="8"/>
        <v>0</v>
      </c>
      <c r="W33" s="4"/>
      <c r="X33" s="4">
        <f t="shared" si="9"/>
        <v>0</v>
      </c>
      <c r="Y33" s="17"/>
      <c r="Z33" s="15"/>
      <c r="AA33" s="15"/>
      <c r="AB33" s="14" t="e">
        <f t="shared" si="10"/>
        <v>#DIV/0!</v>
      </c>
      <c r="AC33" s="15" t="e">
        <f t="shared" si="6"/>
        <v>#DIV/0!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59</v>
      </c>
      <c r="AM33" s="14">
        <f t="shared" si="11"/>
        <v>0</v>
      </c>
      <c r="AN33" s="14">
        <f t="shared" si="12"/>
        <v>0</v>
      </c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</row>
    <row r="34" spans="1:53" x14ac:dyDescent="0.25">
      <c r="A34" s="14" t="s">
        <v>77</v>
      </c>
      <c r="B34" s="14" t="s">
        <v>39</v>
      </c>
      <c r="C34" s="14">
        <v>27.074000000000002</v>
      </c>
      <c r="D34" s="14"/>
      <c r="E34" s="14">
        <v>8.1649999999999991</v>
      </c>
      <c r="F34" s="14">
        <v>18.908999999999999</v>
      </c>
      <c r="G34" s="7">
        <v>1</v>
      </c>
      <c r="H34" s="14">
        <v>50</v>
      </c>
      <c r="I34" s="14" t="s">
        <v>40</v>
      </c>
      <c r="J34" s="14"/>
      <c r="K34" s="14">
        <v>7</v>
      </c>
      <c r="L34" s="14">
        <f t="shared" si="3"/>
        <v>1.1649999999999991</v>
      </c>
      <c r="M34" s="14">
        <f t="shared" si="4"/>
        <v>8.1649999999999991</v>
      </c>
      <c r="N34" s="14"/>
      <c r="O34" s="14">
        <v>0</v>
      </c>
      <c r="P34" s="14"/>
      <c r="Q34" s="14">
        <v>0</v>
      </c>
      <c r="R34" s="14"/>
      <c r="S34" s="14">
        <f t="shared" si="5"/>
        <v>1.6329999999999998</v>
      </c>
      <c r="T34" s="4"/>
      <c r="U34" s="4"/>
      <c r="V34" s="4">
        <f t="shared" si="8"/>
        <v>0</v>
      </c>
      <c r="W34" s="4"/>
      <c r="X34" s="4">
        <f t="shared" si="9"/>
        <v>0</v>
      </c>
      <c r="Y34" s="4"/>
      <c r="Z34" s="14"/>
      <c r="AA34" s="14"/>
      <c r="AB34" s="14">
        <f t="shared" si="10"/>
        <v>11.579301898346602</v>
      </c>
      <c r="AC34" s="14">
        <f t="shared" si="6"/>
        <v>11.579301898346602</v>
      </c>
      <c r="AD34" s="14">
        <v>0.72360000000000002</v>
      </c>
      <c r="AE34" s="14">
        <v>-4.0000000000000002E-4</v>
      </c>
      <c r="AF34" s="14">
        <v>0.53700000000000003</v>
      </c>
      <c r="AG34" s="14">
        <v>1.4944999999999999</v>
      </c>
      <c r="AH34" s="14">
        <v>2.2494999999999998</v>
      </c>
      <c r="AI34" s="14">
        <v>2.3441999999999998</v>
      </c>
      <c r="AJ34" s="14">
        <v>0.35959999999999998</v>
      </c>
      <c r="AK34" s="14">
        <v>1.2498</v>
      </c>
      <c r="AL34" s="22" t="s">
        <v>153</v>
      </c>
      <c r="AM34" s="14">
        <f t="shared" si="11"/>
        <v>0</v>
      </c>
      <c r="AN34" s="14">
        <f t="shared" si="12"/>
        <v>0</v>
      </c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</row>
    <row r="35" spans="1:53" x14ac:dyDescent="0.25">
      <c r="A35" s="14" t="s">
        <v>78</v>
      </c>
      <c r="B35" s="14" t="s">
        <v>44</v>
      </c>
      <c r="C35" s="14">
        <v>469</v>
      </c>
      <c r="D35" s="14">
        <v>2432</v>
      </c>
      <c r="E35" s="14">
        <v>1436</v>
      </c>
      <c r="F35" s="14">
        <v>997</v>
      </c>
      <c r="G35" s="7">
        <v>0.4</v>
      </c>
      <c r="H35" s="14">
        <v>45</v>
      </c>
      <c r="I35" s="14" t="s">
        <v>40</v>
      </c>
      <c r="J35" s="14"/>
      <c r="K35" s="14">
        <v>1998</v>
      </c>
      <c r="L35" s="14">
        <f t="shared" si="3"/>
        <v>-562</v>
      </c>
      <c r="M35" s="14">
        <f t="shared" si="4"/>
        <v>1028</v>
      </c>
      <c r="N35" s="14">
        <v>408</v>
      </c>
      <c r="O35" s="14">
        <v>451.83199999999943</v>
      </c>
      <c r="P35" s="14">
        <v>1000</v>
      </c>
      <c r="Q35" s="14">
        <v>328.85978000000051</v>
      </c>
      <c r="R35" s="14"/>
      <c r="S35" s="14">
        <f t="shared" si="5"/>
        <v>205.6</v>
      </c>
      <c r="T35" s="4"/>
      <c r="U35" s="4"/>
      <c r="V35" s="4">
        <f t="shared" si="8"/>
        <v>0</v>
      </c>
      <c r="W35" s="4"/>
      <c r="X35" s="4">
        <f t="shared" si="9"/>
        <v>0</v>
      </c>
      <c r="Y35" s="4"/>
      <c r="Z35" s="14"/>
      <c r="AA35" s="14"/>
      <c r="AB35" s="14">
        <f t="shared" si="10"/>
        <v>13.510174027237355</v>
      </c>
      <c r="AC35" s="14">
        <f t="shared" si="6"/>
        <v>13.510174027237355</v>
      </c>
      <c r="AD35" s="14">
        <v>284.2</v>
      </c>
      <c r="AE35" s="14">
        <v>302.2</v>
      </c>
      <c r="AF35" s="14">
        <v>280.8</v>
      </c>
      <c r="AG35" s="14">
        <v>228.83333333333329</v>
      </c>
      <c r="AH35" s="14">
        <v>252.66666666666671</v>
      </c>
      <c r="AI35" s="14">
        <v>275</v>
      </c>
      <c r="AJ35" s="14">
        <v>268.60000000000002</v>
      </c>
      <c r="AK35" s="14">
        <v>252.6</v>
      </c>
      <c r="AL35" s="14" t="s">
        <v>79</v>
      </c>
      <c r="AM35" s="14">
        <f t="shared" si="11"/>
        <v>0</v>
      </c>
      <c r="AN35" s="14">
        <f t="shared" si="12"/>
        <v>0</v>
      </c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</row>
    <row r="36" spans="1:53" x14ac:dyDescent="0.25">
      <c r="A36" s="14" t="s">
        <v>80</v>
      </c>
      <c r="B36" s="14" t="s">
        <v>44</v>
      </c>
      <c r="C36" s="14">
        <v>390.827</v>
      </c>
      <c r="D36" s="14">
        <v>347</v>
      </c>
      <c r="E36" s="14">
        <v>381</v>
      </c>
      <c r="F36" s="14">
        <v>310.827</v>
      </c>
      <c r="G36" s="7">
        <v>0.45</v>
      </c>
      <c r="H36" s="14">
        <v>50</v>
      </c>
      <c r="I36" s="14" t="s">
        <v>40</v>
      </c>
      <c r="J36" s="14"/>
      <c r="K36" s="14">
        <v>424</v>
      </c>
      <c r="L36" s="14">
        <f t="shared" si="3"/>
        <v>-43</v>
      </c>
      <c r="M36" s="14">
        <f t="shared" si="4"/>
        <v>345</v>
      </c>
      <c r="N36" s="14">
        <v>36</v>
      </c>
      <c r="O36" s="14">
        <v>0</v>
      </c>
      <c r="P36" s="14"/>
      <c r="Q36" s="14">
        <v>506.66629</v>
      </c>
      <c r="R36" s="14"/>
      <c r="S36" s="14">
        <f t="shared" si="5"/>
        <v>69</v>
      </c>
      <c r="T36" s="4">
        <f t="shared" ref="T36:T49" si="16">12*S36-R36-Q36-P36-O36-F36</f>
        <v>10.506709999999998</v>
      </c>
      <c r="U36" s="4">
        <f>$U$1*S36</f>
        <v>103.5</v>
      </c>
      <c r="V36" s="4">
        <f t="shared" si="8"/>
        <v>114.00671</v>
      </c>
      <c r="W36" s="4"/>
      <c r="X36" s="4">
        <f t="shared" si="9"/>
        <v>114.00671</v>
      </c>
      <c r="Y36" s="4"/>
      <c r="Z36" s="14"/>
      <c r="AA36" s="14"/>
      <c r="AB36" s="14">
        <f t="shared" si="10"/>
        <v>13.5</v>
      </c>
      <c r="AC36" s="14">
        <f t="shared" si="6"/>
        <v>11.847728840579711</v>
      </c>
      <c r="AD36" s="14">
        <v>72</v>
      </c>
      <c r="AE36" s="14">
        <v>54.4</v>
      </c>
      <c r="AF36" s="14">
        <v>54</v>
      </c>
      <c r="AG36" s="14">
        <v>66.362166666666667</v>
      </c>
      <c r="AH36" s="14">
        <v>75.195499999999996</v>
      </c>
      <c r="AI36" s="14">
        <v>45.08</v>
      </c>
      <c r="AJ36" s="14">
        <v>53.1158</v>
      </c>
      <c r="AK36" s="14">
        <v>56.4</v>
      </c>
      <c r="AL36" s="14" t="s">
        <v>48</v>
      </c>
      <c r="AM36" s="14">
        <f t="shared" si="11"/>
        <v>0</v>
      </c>
      <c r="AN36" s="14">
        <f t="shared" si="12"/>
        <v>51</v>
      </c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</row>
    <row r="37" spans="1:53" x14ac:dyDescent="0.25">
      <c r="A37" s="14" t="s">
        <v>81</v>
      </c>
      <c r="B37" s="14" t="s">
        <v>44</v>
      </c>
      <c r="C37" s="14">
        <v>1669</v>
      </c>
      <c r="D37" s="14">
        <v>1404</v>
      </c>
      <c r="E37" s="14">
        <v>1687</v>
      </c>
      <c r="F37" s="14">
        <v>911</v>
      </c>
      <c r="G37" s="7">
        <v>0.4</v>
      </c>
      <c r="H37" s="14">
        <v>45</v>
      </c>
      <c r="I37" s="14" t="s">
        <v>40</v>
      </c>
      <c r="J37" s="14"/>
      <c r="K37" s="14">
        <v>1980</v>
      </c>
      <c r="L37" s="14">
        <f t="shared" si="3"/>
        <v>-293</v>
      </c>
      <c r="M37" s="14">
        <f t="shared" si="4"/>
        <v>1501</v>
      </c>
      <c r="N37" s="14">
        <v>186</v>
      </c>
      <c r="O37" s="14">
        <v>392.48800000000028</v>
      </c>
      <c r="P37" s="14"/>
      <c r="Q37" s="14">
        <v>388.59999999999951</v>
      </c>
      <c r="R37" s="14">
        <v>500</v>
      </c>
      <c r="S37" s="14">
        <f t="shared" si="5"/>
        <v>300.2</v>
      </c>
      <c r="T37" s="4">
        <f t="shared" si="16"/>
        <v>1410.3119999999999</v>
      </c>
      <c r="U37" s="4"/>
      <c r="V37" s="4">
        <f t="shared" si="8"/>
        <v>1410.3119999999999</v>
      </c>
      <c r="W37" s="4">
        <v>800</v>
      </c>
      <c r="X37" s="4">
        <f t="shared" si="9"/>
        <v>610.3119999999999</v>
      </c>
      <c r="Y37" s="4"/>
      <c r="Z37" s="14"/>
      <c r="AA37" s="14"/>
      <c r="AB37" s="14">
        <f t="shared" si="10"/>
        <v>12</v>
      </c>
      <c r="AC37" s="14">
        <f t="shared" si="6"/>
        <v>7.3020919387075276</v>
      </c>
      <c r="AD37" s="14">
        <v>273.39999999999998</v>
      </c>
      <c r="AE37" s="14">
        <v>231.4</v>
      </c>
      <c r="AF37" s="14">
        <v>272.2</v>
      </c>
      <c r="AG37" s="14">
        <v>188.66666666666671</v>
      </c>
      <c r="AH37" s="14">
        <v>212.66666666666671</v>
      </c>
      <c r="AI37" s="14">
        <v>291.2</v>
      </c>
      <c r="AJ37" s="14">
        <v>238.6</v>
      </c>
      <c r="AK37" s="14">
        <v>258.2</v>
      </c>
      <c r="AL37" s="14"/>
      <c r="AM37" s="14">
        <f t="shared" si="11"/>
        <v>320</v>
      </c>
      <c r="AN37" s="14">
        <f t="shared" si="12"/>
        <v>244</v>
      </c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</row>
    <row r="38" spans="1:53" x14ac:dyDescent="0.25">
      <c r="A38" s="14" t="s">
        <v>82</v>
      </c>
      <c r="B38" s="14" t="s">
        <v>44</v>
      </c>
      <c r="C38" s="14">
        <v>214</v>
      </c>
      <c r="D38" s="14">
        <v>15</v>
      </c>
      <c r="E38" s="14">
        <v>63</v>
      </c>
      <c r="F38" s="14">
        <v>180</v>
      </c>
      <c r="G38" s="7">
        <v>0.4</v>
      </c>
      <c r="H38" s="14">
        <v>40</v>
      </c>
      <c r="I38" s="14" t="s">
        <v>40</v>
      </c>
      <c r="J38" s="14"/>
      <c r="K38" s="14">
        <v>252</v>
      </c>
      <c r="L38" s="14">
        <f t="shared" ref="L38:L69" si="17">E38-K38</f>
        <v>-189</v>
      </c>
      <c r="M38" s="14">
        <f t="shared" ref="M38:M69" si="18">E38-N38</f>
        <v>63</v>
      </c>
      <c r="N38" s="14"/>
      <c r="O38" s="14">
        <v>292.39999999999998</v>
      </c>
      <c r="P38" s="14"/>
      <c r="Q38" s="14">
        <v>0</v>
      </c>
      <c r="R38" s="14"/>
      <c r="S38" s="14">
        <f t="shared" ref="S38:S69" si="19">M38/5</f>
        <v>12.6</v>
      </c>
      <c r="T38" s="4"/>
      <c r="U38" s="4"/>
      <c r="V38" s="4">
        <f t="shared" si="8"/>
        <v>0</v>
      </c>
      <c r="W38" s="4"/>
      <c r="X38" s="4">
        <f t="shared" si="9"/>
        <v>0</v>
      </c>
      <c r="Y38" s="4"/>
      <c r="Z38" s="14"/>
      <c r="AA38" s="14"/>
      <c r="AB38" s="14">
        <f t="shared" si="10"/>
        <v>37.492063492063494</v>
      </c>
      <c r="AC38" s="14">
        <f t="shared" ref="AC38:AC69" si="20">(F38+O38+P38+Q38+R38)/S38</f>
        <v>37.492063492063494</v>
      </c>
      <c r="AD38" s="14">
        <v>36.6</v>
      </c>
      <c r="AE38" s="14">
        <v>42.2</v>
      </c>
      <c r="AF38" s="14">
        <v>21.4</v>
      </c>
      <c r="AG38" s="14">
        <v>20.5</v>
      </c>
      <c r="AH38" s="14">
        <v>26.833333333333329</v>
      </c>
      <c r="AI38" s="14">
        <v>25.4</v>
      </c>
      <c r="AJ38" s="14">
        <v>20.8</v>
      </c>
      <c r="AK38" s="14">
        <v>30</v>
      </c>
      <c r="AL38" s="21" t="s">
        <v>67</v>
      </c>
      <c r="AM38" s="14">
        <f t="shared" si="11"/>
        <v>0</v>
      </c>
      <c r="AN38" s="14">
        <f t="shared" si="12"/>
        <v>0</v>
      </c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</row>
    <row r="39" spans="1:53" x14ac:dyDescent="0.25">
      <c r="A39" s="14" t="s">
        <v>83</v>
      </c>
      <c r="B39" s="14" t="s">
        <v>39</v>
      </c>
      <c r="C39" s="14">
        <v>500.52499999999998</v>
      </c>
      <c r="D39" s="14">
        <v>595.04300000000001</v>
      </c>
      <c r="E39" s="14">
        <v>422.51499999999999</v>
      </c>
      <c r="F39" s="14">
        <v>461.709</v>
      </c>
      <c r="G39" s="7">
        <v>1</v>
      </c>
      <c r="H39" s="14">
        <v>45</v>
      </c>
      <c r="I39" s="14" t="s">
        <v>40</v>
      </c>
      <c r="J39" s="14"/>
      <c r="K39" s="14">
        <v>609.11800000000005</v>
      </c>
      <c r="L39" s="14">
        <f t="shared" si="17"/>
        <v>-186.60300000000007</v>
      </c>
      <c r="M39" s="14">
        <f t="shared" si="18"/>
        <v>422.51499999999999</v>
      </c>
      <c r="N39" s="14"/>
      <c r="O39" s="14">
        <v>194.16002441333319</v>
      </c>
      <c r="P39" s="14"/>
      <c r="Q39" s="14">
        <v>0</v>
      </c>
      <c r="R39" s="14"/>
      <c r="S39" s="14">
        <f t="shared" si="19"/>
        <v>84.503</v>
      </c>
      <c r="T39" s="4">
        <f t="shared" si="16"/>
        <v>358.16697558666687</v>
      </c>
      <c r="U39" s="4"/>
      <c r="V39" s="4">
        <f t="shared" si="8"/>
        <v>358.16697558666687</v>
      </c>
      <c r="W39" s="4"/>
      <c r="X39" s="4">
        <f t="shared" si="9"/>
        <v>358.16697558666687</v>
      </c>
      <c r="Y39" s="4"/>
      <c r="Z39" s="14"/>
      <c r="AA39" s="14"/>
      <c r="AB39" s="14">
        <f t="shared" si="10"/>
        <v>12</v>
      </c>
      <c r="AC39" s="14">
        <f t="shared" si="20"/>
        <v>7.7614880467360106</v>
      </c>
      <c r="AD39" s="14">
        <v>69.460400000000007</v>
      </c>
      <c r="AE39" s="14">
        <v>89.989599999999996</v>
      </c>
      <c r="AF39" s="14">
        <v>85.057000000000002</v>
      </c>
      <c r="AG39" s="14">
        <v>75.769833333333338</v>
      </c>
      <c r="AH39" s="14">
        <v>87.567166666666665</v>
      </c>
      <c r="AI39" s="14">
        <v>81.440799999999996</v>
      </c>
      <c r="AJ39" s="14">
        <v>76.940799999999996</v>
      </c>
      <c r="AK39" s="14">
        <v>67.9786</v>
      </c>
      <c r="AL39" s="14"/>
      <c r="AM39" s="14">
        <f t="shared" si="11"/>
        <v>0</v>
      </c>
      <c r="AN39" s="14">
        <f t="shared" si="12"/>
        <v>358</v>
      </c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</row>
    <row r="40" spans="1:53" x14ac:dyDescent="0.25">
      <c r="A40" s="14" t="s">
        <v>84</v>
      </c>
      <c r="B40" s="14" t="s">
        <v>44</v>
      </c>
      <c r="C40" s="14">
        <v>106</v>
      </c>
      <c r="D40" s="14">
        <v>143</v>
      </c>
      <c r="E40" s="14">
        <v>68</v>
      </c>
      <c r="F40" s="14">
        <v>176</v>
      </c>
      <c r="G40" s="7">
        <v>0.1</v>
      </c>
      <c r="H40" s="14">
        <v>730</v>
      </c>
      <c r="I40" s="14" t="s">
        <v>40</v>
      </c>
      <c r="J40" s="14"/>
      <c r="K40" s="14">
        <v>123</v>
      </c>
      <c r="L40" s="14">
        <f t="shared" si="17"/>
        <v>-55</v>
      </c>
      <c r="M40" s="14">
        <f t="shared" si="18"/>
        <v>68</v>
      </c>
      <c r="N40" s="14"/>
      <c r="O40" s="14">
        <v>119.16</v>
      </c>
      <c r="P40" s="14"/>
      <c r="Q40" s="14">
        <v>10</v>
      </c>
      <c r="R40" s="14"/>
      <c r="S40" s="14">
        <f t="shared" si="19"/>
        <v>13.6</v>
      </c>
      <c r="T40" s="4"/>
      <c r="U40" s="4"/>
      <c r="V40" s="4">
        <f t="shared" si="8"/>
        <v>0</v>
      </c>
      <c r="W40" s="4"/>
      <c r="X40" s="4">
        <f t="shared" si="9"/>
        <v>0</v>
      </c>
      <c r="Y40" s="4"/>
      <c r="Z40" s="14"/>
      <c r="AA40" s="14"/>
      <c r="AB40" s="14">
        <f t="shared" si="10"/>
        <v>22.438235294117646</v>
      </c>
      <c r="AC40" s="14">
        <f t="shared" si="20"/>
        <v>22.438235294117646</v>
      </c>
      <c r="AD40" s="14">
        <v>27.4</v>
      </c>
      <c r="AE40" s="14">
        <v>30</v>
      </c>
      <c r="AF40" s="14">
        <v>29</v>
      </c>
      <c r="AG40" s="14">
        <v>19.333333333333329</v>
      </c>
      <c r="AH40" s="14">
        <v>16.5</v>
      </c>
      <c r="AI40" s="14">
        <v>27.4</v>
      </c>
      <c r="AJ40" s="14">
        <v>27.4</v>
      </c>
      <c r="AK40" s="14">
        <v>26</v>
      </c>
      <c r="AL40" s="14"/>
      <c r="AM40" s="14">
        <f t="shared" si="11"/>
        <v>0</v>
      </c>
      <c r="AN40" s="14">
        <f t="shared" si="12"/>
        <v>0</v>
      </c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</row>
    <row r="41" spans="1:53" x14ac:dyDescent="0.25">
      <c r="A41" s="14" t="s">
        <v>85</v>
      </c>
      <c r="B41" s="14" t="s">
        <v>44</v>
      </c>
      <c r="C41" s="14">
        <v>284</v>
      </c>
      <c r="D41" s="14">
        <v>107</v>
      </c>
      <c r="E41" s="14">
        <v>209</v>
      </c>
      <c r="F41" s="14">
        <v>106</v>
      </c>
      <c r="G41" s="7">
        <v>0.35</v>
      </c>
      <c r="H41" s="14">
        <v>40</v>
      </c>
      <c r="I41" s="14" t="s">
        <v>40</v>
      </c>
      <c r="J41" s="14"/>
      <c r="K41" s="14">
        <v>232</v>
      </c>
      <c r="L41" s="14">
        <f t="shared" si="17"/>
        <v>-23</v>
      </c>
      <c r="M41" s="14">
        <f t="shared" si="18"/>
        <v>197</v>
      </c>
      <c r="N41" s="14">
        <v>12</v>
      </c>
      <c r="O41" s="14">
        <v>150.21449999999999</v>
      </c>
      <c r="P41" s="14"/>
      <c r="Q41" s="14">
        <v>271.18549999999999</v>
      </c>
      <c r="R41" s="14"/>
      <c r="S41" s="14">
        <f t="shared" si="19"/>
        <v>39.4</v>
      </c>
      <c r="T41" s="4"/>
      <c r="U41" s="4"/>
      <c r="V41" s="4">
        <f t="shared" si="8"/>
        <v>0</v>
      </c>
      <c r="W41" s="4"/>
      <c r="X41" s="4">
        <f t="shared" si="9"/>
        <v>0</v>
      </c>
      <c r="Y41" s="4"/>
      <c r="Z41" s="14"/>
      <c r="AA41" s="14"/>
      <c r="AB41" s="14">
        <f t="shared" si="10"/>
        <v>13.385786802030458</v>
      </c>
      <c r="AC41" s="14">
        <f t="shared" si="20"/>
        <v>13.385786802030458</v>
      </c>
      <c r="AD41" s="14">
        <v>56.4</v>
      </c>
      <c r="AE41" s="14">
        <v>39.799999999999997</v>
      </c>
      <c r="AF41" s="14">
        <v>38.799999999999997</v>
      </c>
      <c r="AG41" s="14">
        <v>47.833333333333343</v>
      </c>
      <c r="AH41" s="14">
        <v>48.5</v>
      </c>
      <c r="AI41" s="14">
        <v>56.4</v>
      </c>
      <c r="AJ41" s="14">
        <v>50</v>
      </c>
      <c r="AK41" s="14">
        <v>71.599999999999994</v>
      </c>
      <c r="AL41" s="14"/>
      <c r="AM41" s="14">
        <f t="shared" si="11"/>
        <v>0</v>
      </c>
      <c r="AN41" s="14">
        <f t="shared" si="12"/>
        <v>0</v>
      </c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</row>
    <row r="42" spans="1:53" x14ac:dyDescent="0.25">
      <c r="A42" s="14" t="s">
        <v>86</v>
      </c>
      <c r="B42" s="14" t="s">
        <v>39</v>
      </c>
      <c r="C42" s="14">
        <v>95.53</v>
      </c>
      <c r="D42" s="14">
        <v>1.4450000000000001</v>
      </c>
      <c r="E42" s="14">
        <v>32.655999999999999</v>
      </c>
      <c r="F42" s="14">
        <v>60.728000000000002</v>
      </c>
      <c r="G42" s="7">
        <v>1</v>
      </c>
      <c r="H42" s="14">
        <v>40</v>
      </c>
      <c r="I42" s="14" t="s">
        <v>40</v>
      </c>
      <c r="J42" s="14"/>
      <c r="K42" s="14">
        <v>41.5</v>
      </c>
      <c r="L42" s="14">
        <f t="shared" si="17"/>
        <v>-8.8440000000000012</v>
      </c>
      <c r="M42" s="14">
        <f t="shared" si="18"/>
        <v>32.655999999999999</v>
      </c>
      <c r="N42" s="14"/>
      <c r="O42" s="14">
        <v>0</v>
      </c>
      <c r="P42" s="14"/>
      <c r="Q42" s="14">
        <v>0</v>
      </c>
      <c r="R42" s="14"/>
      <c r="S42" s="14">
        <f t="shared" si="19"/>
        <v>6.5312000000000001</v>
      </c>
      <c r="T42" s="4">
        <f t="shared" si="16"/>
        <v>17.646400000000007</v>
      </c>
      <c r="U42" s="4"/>
      <c r="V42" s="4">
        <f t="shared" si="8"/>
        <v>17.646400000000007</v>
      </c>
      <c r="W42" s="4"/>
      <c r="X42" s="4">
        <f t="shared" si="9"/>
        <v>17.646400000000007</v>
      </c>
      <c r="Y42" s="4"/>
      <c r="Z42" s="14"/>
      <c r="AA42" s="14"/>
      <c r="AB42" s="14">
        <f t="shared" si="10"/>
        <v>12.000000000000002</v>
      </c>
      <c r="AC42" s="14">
        <f t="shared" si="20"/>
        <v>9.29813816756492</v>
      </c>
      <c r="AD42" s="14">
        <v>5.940199999999999</v>
      </c>
      <c r="AE42" s="14">
        <v>4.9160000000000004</v>
      </c>
      <c r="AF42" s="14">
        <v>4.7683999999999997</v>
      </c>
      <c r="AG42" s="14">
        <v>6.6183333333333332</v>
      </c>
      <c r="AH42" s="14">
        <v>11.930833333333331</v>
      </c>
      <c r="AI42" s="14">
        <v>11.86</v>
      </c>
      <c r="AJ42" s="14">
        <v>6.3483999999999998</v>
      </c>
      <c r="AK42" s="14">
        <v>6.6596000000000002</v>
      </c>
      <c r="AL42" s="14"/>
      <c r="AM42" s="14">
        <f t="shared" si="11"/>
        <v>0</v>
      </c>
      <c r="AN42" s="14">
        <f t="shared" si="12"/>
        <v>18</v>
      </c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</row>
    <row r="43" spans="1:53" x14ac:dyDescent="0.25">
      <c r="A43" s="14" t="s">
        <v>87</v>
      </c>
      <c r="B43" s="14" t="s">
        <v>44</v>
      </c>
      <c r="C43" s="14">
        <v>221</v>
      </c>
      <c r="D43" s="14">
        <v>153</v>
      </c>
      <c r="E43" s="14">
        <v>299</v>
      </c>
      <c r="F43" s="14">
        <v>10</v>
      </c>
      <c r="G43" s="7">
        <v>0.4</v>
      </c>
      <c r="H43" s="14">
        <v>40</v>
      </c>
      <c r="I43" s="14" t="s">
        <v>40</v>
      </c>
      <c r="J43" s="14"/>
      <c r="K43" s="14">
        <v>398</v>
      </c>
      <c r="L43" s="14">
        <f t="shared" si="17"/>
        <v>-99</v>
      </c>
      <c r="M43" s="14">
        <f t="shared" si="18"/>
        <v>221</v>
      </c>
      <c r="N43" s="14">
        <v>78</v>
      </c>
      <c r="O43" s="14">
        <v>314.2</v>
      </c>
      <c r="P43" s="14"/>
      <c r="Q43" s="14">
        <v>186.6</v>
      </c>
      <c r="R43" s="14"/>
      <c r="S43" s="14">
        <f t="shared" si="19"/>
        <v>44.2</v>
      </c>
      <c r="T43" s="4">
        <f t="shared" si="16"/>
        <v>19.60000000000008</v>
      </c>
      <c r="U43" s="4"/>
      <c r="V43" s="4">
        <f t="shared" si="8"/>
        <v>19.60000000000008</v>
      </c>
      <c r="W43" s="4"/>
      <c r="X43" s="4">
        <f t="shared" si="9"/>
        <v>19.60000000000008</v>
      </c>
      <c r="Y43" s="4"/>
      <c r="Z43" s="14"/>
      <c r="AA43" s="14"/>
      <c r="AB43" s="14">
        <f t="shared" si="10"/>
        <v>12.000000000000002</v>
      </c>
      <c r="AC43" s="14">
        <f t="shared" si="20"/>
        <v>11.556561085972849</v>
      </c>
      <c r="AD43" s="14">
        <v>52.8</v>
      </c>
      <c r="AE43" s="14">
        <v>44.6</v>
      </c>
      <c r="AF43" s="14">
        <v>27.8</v>
      </c>
      <c r="AG43" s="14">
        <v>34.833333333333343</v>
      </c>
      <c r="AH43" s="14">
        <v>43.166666666666657</v>
      </c>
      <c r="AI43" s="14">
        <v>35.4</v>
      </c>
      <c r="AJ43" s="14">
        <v>42</v>
      </c>
      <c r="AK43" s="14">
        <v>31.6</v>
      </c>
      <c r="AL43" s="14"/>
      <c r="AM43" s="14">
        <f t="shared" si="11"/>
        <v>0</v>
      </c>
      <c r="AN43" s="14">
        <f t="shared" si="12"/>
        <v>8</v>
      </c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</row>
    <row r="44" spans="1:53" x14ac:dyDescent="0.25">
      <c r="A44" s="14" t="s">
        <v>88</v>
      </c>
      <c r="B44" s="14" t="s">
        <v>44</v>
      </c>
      <c r="C44" s="14">
        <v>181</v>
      </c>
      <c r="D44" s="14">
        <v>617</v>
      </c>
      <c r="E44" s="14">
        <v>522</v>
      </c>
      <c r="F44" s="14">
        <v>183</v>
      </c>
      <c r="G44" s="7">
        <v>0.4</v>
      </c>
      <c r="H44" s="14">
        <v>45</v>
      </c>
      <c r="I44" s="14" t="s">
        <v>40</v>
      </c>
      <c r="J44" s="14"/>
      <c r="K44" s="14">
        <v>573</v>
      </c>
      <c r="L44" s="14">
        <f t="shared" si="17"/>
        <v>-51</v>
      </c>
      <c r="M44" s="14">
        <f t="shared" si="18"/>
        <v>444</v>
      </c>
      <c r="N44" s="14">
        <v>78</v>
      </c>
      <c r="O44" s="14">
        <v>281.71347999999989</v>
      </c>
      <c r="P44" s="14"/>
      <c r="Q44" s="14">
        <v>478.90000000000009</v>
      </c>
      <c r="R44" s="14"/>
      <c r="S44" s="14">
        <f t="shared" si="19"/>
        <v>88.8</v>
      </c>
      <c r="T44" s="4">
        <f t="shared" si="16"/>
        <v>121.98651999999993</v>
      </c>
      <c r="U44" s="4"/>
      <c r="V44" s="4">
        <f t="shared" si="8"/>
        <v>121.98651999999993</v>
      </c>
      <c r="W44" s="4"/>
      <c r="X44" s="4">
        <f t="shared" si="9"/>
        <v>121.98651999999993</v>
      </c>
      <c r="Y44" s="4"/>
      <c r="Z44" s="14"/>
      <c r="AA44" s="14"/>
      <c r="AB44" s="14">
        <f t="shared" si="10"/>
        <v>12</v>
      </c>
      <c r="AC44" s="14">
        <f t="shared" si="20"/>
        <v>10.626277927927928</v>
      </c>
      <c r="AD44" s="14">
        <v>105</v>
      </c>
      <c r="AE44" s="14">
        <v>73.8</v>
      </c>
      <c r="AF44" s="14">
        <v>76</v>
      </c>
      <c r="AG44" s="14">
        <v>61.666666666666657</v>
      </c>
      <c r="AH44" s="14">
        <v>62.5</v>
      </c>
      <c r="AI44" s="14">
        <v>64.400000000000006</v>
      </c>
      <c r="AJ44" s="14">
        <v>71.400000000000006</v>
      </c>
      <c r="AK44" s="14">
        <v>76.599999999999994</v>
      </c>
      <c r="AL44" s="14" t="s">
        <v>48</v>
      </c>
      <c r="AM44" s="14">
        <f t="shared" si="11"/>
        <v>0</v>
      </c>
      <c r="AN44" s="14">
        <f t="shared" si="12"/>
        <v>49</v>
      </c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</row>
    <row r="45" spans="1:53" x14ac:dyDescent="0.25">
      <c r="A45" s="14" t="s">
        <v>89</v>
      </c>
      <c r="B45" s="14" t="s">
        <v>39</v>
      </c>
      <c r="C45" s="14">
        <v>47.423999999999999</v>
      </c>
      <c r="D45" s="14">
        <v>26.911000000000001</v>
      </c>
      <c r="E45" s="14">
        <v>44.762999999999998</v>
      </c>
      <c r="F45" s="14">
        <v>7.0419999999999998</v>
      </c>
      <c r="G45" s="7">
        <v>1</v>
      </c>
      <c r="H45" s="14">
        <v>40</v>
      </c>
      <c r="I45" s="14" t="s">
        <v>40</v>
      </c>
      <c r="J45" s="14"/>
      <c r="K45" s="14">
        <v>85.1</v>
      </c>
      <c r="L45" s="14">
        <f t="shared" si="17"/>
        <v>-40.336999999999996</v>
      </c>
      <c r="M45" s="14">
        <f t="shared" si="18"/>
        <v>44.762999999999998</v>
      </c>
      <c r="N45" s="14"/>
      <c r="O45" s="14">
        <v>120.4405013466655</v>
      </c>
      <c r="P45" s="14"/>
      <c r="Q45" s="14">
        <v>50.027400000000007</v>
      </c>
      <c r="R45" s="14"/>
      <c r="S45" s="14">
        <f t="shared" si="19"/>
        <v>8.9526000000000003</v>
      </c>
      <c r="T45" s="4"/>
      <c r="U45" s="4"/>
      <c r="V45" s="4">
        <f t="shared" si="8"/>
        <v>0</v>
      </c>
      <c r="W45" s="4"/>
      <c r="X45" s="4">
        <f t="shared" si="9"/>
        <v>0</v>
      </c>
      <c r="Y45" s="4"/>
      <c r="Z45" s="14"/>
      <c r="AA45" s="14"/>
      <c r="AB45" s="14">
        <f t="shared" si="10"/>
        <v>19.82774851402559</v>
      </c>
      <c r="AC45" s="14">
        <f t="shared" si="20"/>
        <v>19.82774851402559</v>
      </c>
      <c r="AD45" s="14">
        <v>16.769400000000001</v>
      </c>
      <c r="AE45" s="14">
        <v>15.831</v>
      </c>
      <c r="AF45" s="14">
        <v>10.4956</v>
      </c>
      <c r="AG45" s="14">
        <v>9.793666666666665</v>
      </c>
      <c r="AH45" s="14">
        <v>15.25633333333333</v>
      </c>
      <c r="AI45" s="14">
        <v>14.3988</v>
      </c>
      <c r="AJ45" s="14">
        <v>18.870199999999819</v>
      </c>
      <c r="AK45" s="14">
        <v>17.675599999999999</v>
      </c>
      <c r="AL45" s="14"/>
      <c r="AM45" s="14">
        <f t="shared" si="11"/>
        <v>0</v>
      </c>
      <c r="AN45" s="14">
        <f t="shared" si="12"/>
        <v>0</v>
      </c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</row>
    <row r="46" spans="1:53" x14ac:dyDescent="0.25">
      <c r="A46" s="14" t="s">
        <v>90</v>
      </c>
      <c r="B46" s="14" t="s">
        <v>44</v>
      </c>
      <c r="C46" s="14">
        <v>274</v>
      </c>
      <c r="D46" s="14">
        <v>1652</v>
      </c>
      <c r="E46" s="14">
        <v>1298</v>
      </c>
      <c r="F46" s="14">
        <v>506</v>
      </c>
      <c r="G46" s="7">
        <v>0.35</v>
      </c>
      <c r="H46" s="14">
        <v>40</v>
      </c>
      <c r="I46" s="10" t="s">
        <v>91</v>
      </c>
      <c r="J46" s="14"/>
      <c r="K46" s="14">
        <v>1361</v>
      </c>
      <c r="L46" s="14">
        <f t="shared" si="17"/>
        <v>-63</v>
      </c>
      <c r="M46" s="14">
        <f t="shared" si="18"/>
        <v>1244</v>
      </c>
      <c r="N46" s="14">
        <v>54</v>
      </c>
      <c r="O46" s="14">
        <v>314</v>
      </c>
      <c r="P46" s="14"/>
      <c r="Q46" s="14">
        <v>492.8</v>
      </c>
      <c r="R46" s="14"/>
      <c r="S46" s="14">
        <f t="shared" si="19"/>
        <v>248.8</v>
      </c>
      <c r="T46" s="4">
        <f>10*S46-R46-Q46-P46-O46-F46</f>
        <v>1175.2</v>
      </c>
      <c r="U46" s="4"/>
      <c r="V46" s="4">
        <f t="shared" si="8"/>
        <v>1175.2</v>
      </c>
      <c r="W46" s="4">
        <v>600</v>
      </c>
      <c r="X46" s="4">
        <f t="shared" si="9"/>
        <v>575.20000000000005</v>
      </c>
      <c r="Y46" s="4"/>
      <c r="Z46" s="14"/>
      <c r="AA46" s="14"/>
      <c r="AB46" s="14">
        <f t="shared" si="10"/>
        <v>10</v>
      </c>
      <c r="AC46" s="14">
        <f t="shared" si="20"/>
        <v>5.2765273311897101</v>
      </c>
      <c r="AD46" s="14">
        <v>221.2</v>
      </c>
      <c r="AE46" s="14">
        <v>208.8</v>
      </c>
      <c r="AF46" s="14">
        <v>127.2</v>
      </c>
      <c r="AG46" s="14">
        <v>116.1666666666667</v>
      </c>
      <c r="AH46" s="14">
        <v>140.33333333333329</v>
      </c>
      <c r="AI46" s="14">
        <v>130.19999999999999</v>
      </c>
      <c r="AJ46" s="14">
        <v>104.8</v>
      </c>
      <c r="AK46" s="14">
        <v>104.2</v>
      </c>
      <c r="AL46" s="14" t="s">
        <v>54</v>
      </c>
      <c r="AM46" s="14">
        <f t="shared" si="11"/>
        <v>210</v>
      </c>
      <c r="AN46" s="14">
        <f t="shared" si="12"/>
        <v>201</v>
      </c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</row>
    <row r="47" spans="1:53" x14ac:dyDescent="0.25">
      <c r="A47" s="14" t="s">
        <v>92</v>
      </c>
      <c r="B47" s="14" t="s">
        <v>44</v>
      </c>
      <c r="C47" s="14">
        <v>53</v>
      </c>
      <c r="D47" s="14">
        <v>752</v>
      </c>
      <c r="E47" s="14">
        <v>442</v>
      </c>
      <c r="F47" s="14">
        <v>306</v>
      </c>
      <c r="G47" s="7">
        <v>0.4</v>
      </c>
      <c r="H47" s="14">
        <v>40</v>
      </c>
      <c r="I47" s="14" t="s">
        <v>40</v>
      </c>
      <c r="J47" s="14"/>
      <c r="K47" s="14">
        <v>551</v>
      </c>
      <c r="L47" s="14">
        <f t="shared" si="17"/>
        <v>-109</v>
      </c>
      <c r="M47" s="14">
        <f t="shared" si="18"/>
        <v>442</v>
      </c>
      <c r="N47" s="14"/>
      <c r="O47" s="14">
        <v>18.790866666666549</v>
      </c>
      <c r="P47" s="14"/>
      <c r="Q47" s="14">
        <v>99.43333333333328</v>
      </c>
      <c r="R47" s="14"/>
      <c r="S47" s="14">
        <f t="shared" si="19"/>
        <v>88.4</v>
      </c>
      <c r="T47" s="4">
        <f t="shared" si="16"/>
        <v>636.5758000000003</v>
      </c>
      <c r="U47" s="4"/>
      <c r="V47" s="4">
        <f t="shared" si="8"/>
        <v>636.5758000000003</v>
      </c>
      <c r="W47" s="4"/>
      <c r="X47" s="4">
        <f t="shared" si="9"/>
        <v>636.5758000000003</v>
      </c>
      <c r="Y47" s="4"/>
      <c r="Z47" s="14"/>
      <c r="AA47" s="14"/>
      <c r="AB47" s="14">
        <f t="shared" si="10"/>
        <v>12.000000000000002</v>
      </c>
      <c r="AC47" s="14">
        <f t="shared" si="20"/>
        <v>4.798916289592758</v>
      </c>
      <c r="AD47" s="14">
        <v>62.8</v>
      </c>
      <c r="AE47" s="14">
        <v>64.599999999999994</v>
      </c>
      <c r="AF47" s="14">
        <v>81.2</v>
      </c>
      <c r="AG47" s="14">
        <v>66.333333333333329</v>
      </c>
      <c r="AH47" s="14">
        <v>53.833333333333343</v>
      </c>
      <c r="AI47" s="14">
        <v>54.2</v>
      </c>
      <c r="AJ47" s="14">
        <v>73.8</v>
      </c>
      <c r="AK47" s="14">
        <v>59</v>
      </c>
      <c r="AL47" s="14" t="s">
        <v>48</v>
      </c>
      <c r="AM47" s="14">
        <f t="shared" si="11"/>
        <v>0</v>
      </c>
      <c r="AN47" s="14">
        <f t="shared" si="12"/>
        <v>255</v>
      </c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</row>
    <row r="48" spans="1:53" x14ac:dyDescent="0.25">
      <c r="A48" s="14" t="s">
        <v>93</v>
      </c>
      <c r="B48" s="14" t="s">
        <v>39</v>
      </c>
      <c r="C48" s="14">
        <v>147.018</v>
      </c>
      <c r="D48" s="14">
        <v>154.636</v>
      </c>
      <c r="E48" s="14">
        <v>150.268</v>
      </c>
      <c r="F48" s="14">
        <v>63.911000000000001</v>
      </c>
      <c r="G48" s="7">
        <v>1</v>
      </c>
      <c r="H48" s="14">
        <v>50</v>
      </c>
      <c r="I48" s="14" t="s">
        <v>40</v>
      </c>
      <c r="J48" s="14"/>
      <c r="K48" s="14">
        <v>178.982</v>
      </c>
      <c r="L48" s="14">
        <f t="shared" si="17"/>
        <v>-28.713999999999999</v>
      </c>
      <c r="M48" s="14">
        <f t="shared" si="18"/>
        <v>117.899</v>
      </c>
      <c r="N48" s="14">
        <v>32.369</v>
      </c>
      <c r="O48" s="14">
        <v>4</v>
      </c>
      <c r="P48" s="14"/>
      <c r="Q48" s="14">
        <v>85.137375999999961</v>
      </c>
      <c r="R48" s="14"/>
      <c r="S48" s="14">
        <f t="shared" si="19"/>
        <v>23.579799999999999</v>
      </c>
      <c r="T48" s="4">
        <f t="shared" si="16"/>
        <v>129.90922399999999</v>
      </c>
      <c r="U48" s="4"/>
      <c r="V48" s="4">
        <f t="shared" si="8"/>
        <v>129.90922399999999</v>
      </c>
      <c r="W48" s="4"/>
      <c r="X48" s="4">
        <f t="shared" si="9"/>
        <v>129.90922399999999</v>
      </c>
      <c r="Y48" s="4"/>
      <c r="Z48" s="14"/>
      <c r="AA48" s="14"/>
      <c r="AB48" s="14">
        <f t="shared" si="10"/>
        <v>11.999999999999998</v>
      </c>
      <c r="AC48" s="14">
        <f t="shared" si="20"/>
        <v>6.4906562396627612</v>
      </c>
      <c r="AD48" s="14">
        <v>19.018599999999999</v>
      </c>
      <c r="AE48" s="14">
        <v>19.779399999999999</v>
      </c>
      <c r="AF48" s="14">
        <v>20.9544</v>
      </c>
      <c r="AG48" s="14">
        <v>22.292999999999999</v>
      </c>
      <c r="AH48" s="14">
        <v>25.291166666666669</v>
      </c>
      <c r="AI48" s="14">
        <v>11.3508</v>
      </c>
      <c r="AJ48" s="14">
        <v>29.2</v>
      </c>
      <c r="AK48" s="14">
        <v>20.061399999999999</v>
      </c>
      <c r="AL48" s="14"/>
      <c r="AM48" s="14">
        <f t="shared" si="11"/>
        <v>0</v>
      </c>
      <c r="AN48" s="14">
        <f t="shared" si="12"/>
        <v>130</v>
      </c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</row>
    <row r="49" spans="1:53" x14ac:dyDescent="0.25">
      <c r="A49" s="14" t="s">
        <v>94</v>
      </c>
      <c r="B49" s="14" t="s">
        <v>39</v>
      </c>
      <c r="C49" s="14">
        <v>279.74400000000003</v>
      </c>
      <c r="D49" s="14">
        <v>808.07500000000005</v>
      </c>
      <c r="E49" s="14">
        <v>585.28899999999999</v>
      </c>
      <c r="F49" s="14">
        <v>252.87299999999999</v>
      </c>
      <c r="G49" s="7">
        <v>1</v>
      </c>
      <c r="H49" s="14">
        <v>50</v>
      </c>
      <c r="I49" s="14" t="s">
        <v>40</v>
      </c>
      <c r="J49" s="14"/>
      <c r="K49" s="14">
        <v>635.38900000000001</v>
      </c>
      <c r="L49" s="14">
        <f t="shared" si="17"/>
        <v>-50.100000000000023</v>
      </c>
      <c r="M49" s="14">
        <f t="shared" si="18"/>
        <v>521.29999999999995</v>
      </c>
      <c r="N49" s="14">
        <v>63.988999999999997</v>
      </c>
      <c r="O49" s="14">
        <v>193.65897324166681</v>
      </c>
      <c r="P49" s="14">
        <v>150</v>
      </c>
      <c r="Q49" s="14">
        <v>427.36757499999999</v>
      </c>
      <c r="R49" s="14"/>
      <c r="S49" s="14">
        <f t="shared" si="19"/>
        <v>104.25999999999999</v>
      </c>
      <c r="T49" s="4">
        <f t="shared" si="16"/>
        <v>227.22045175833313</v>
      </c>
      <c r="U49" s="4">
        <f>$U$1*S49</f>
        <v>156.38999999999999</v>
      </c>
      <c r="V49" s="4">
        <f t="shared" si="8"/>
        <v>383.61045175833311</v>
      </c>
      <c r="W49" s="4"/>
      <c r="X49" s="4">
        <f t="shared" si="9"/>
        <v>383.61045175833311</v>
      </c>
      <c r="Y49" s="4"/>
      <c r="Z49" s="14"/>
      <c r="AA49" s="14"/>
      <c r="AB49" s="14">
        <f t="shared" si="10"/>
        <v>13.500000000000002</v>
      </c>
      <c r="AC49" s="14">
        <f t="shared" si="20"/>
        <v>9.820636372929858</v>
      </c>
      <c r="AD49" s="14">
        <v>94.624799999999993</v>
      </c>
      <c r="AE49" s="14">
        <v>82.347399999999993</v>
      </c>
      <c r="AF49" s="14">
        <v>89.943399999999983</v>
      </c>
      <c r="AG49" s="14">
        <v>92.93983333333334</v>
      </c>
      <c r="AH49" s="14">
        <v>118.5981666666667</v>
      </c>
      <c r="AI49" s="14">
        <v>107.2774</v>
      </c>
      <c r="AJ49" s="14">
        <v>87.752600000000001</v>
      </c>
      <c r="AK49" s="14">
        <v>58.676399999999987</v>
      </c>
      <c r="AL49" s="14"/>
      <c r="AM49" s="14">
        <f t="shared" si="11"/>
        <v>0</v>
      </c>
      <c r="AN49" s="14">
        <f t="shared" si="12"/>
        <v>384</v>
      </c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</row>
    <row r="50" spans="1:53" x14ac:dyDescent="0.25">
      <c r="A50" s="14" t="s">
        <v>95</v>
      </c>
      <c r="B50" s="14" t="s">
        <v>39</v>
      </c>
      <c r="C50" s="14"/>
      <c r="D50" s="14"/>
      <c r="E50" s="14"/>
      <c r="F50" s="14"/>
      <c r="G50" s="7">
        <v>1</v>
      </c>
      <c r="H50" s="14">
        <v>40</v>
      </c>
      <c r="I50" s="14" t="s">
        <v>40</v>
      </c>
      <c r="J50" s="14"/>
      <c r="K50" s="14"/>
      <c r="L50" s="14">
        <f t="shared" si="17"/>
        <v>0</v>
      </c>
      <c r="M50" s="14">
        <f t="shared" si="18"/>
        <v>0</v>
      </c>
      <c r="N50" s="14"/>
      <c r="O50" s="14">
        <v>0</v>
      </c>
      <c r="P50" s="14"/>
      <c r="Q50" s="14">
        <v>200</v>
      </c>
      <c r="R50" s="14"/>
      <c r="S50" s="14">
        <f t="shared" si="19"/>
        <v>0</v>
      </c>
      <c r="T50" s="4"/>
      <c r="U50" s="4"/>
      <c r="V50" s="4">
        <f t="shared" si="8"/>
        <v>0</v>
      </c>
      <c r="W50" s="4"/>
      <c r="X50" s="4">
        <f t="shared" si="9"/>
        <v>0</v>
      </c>
      <c r="Y50" s="4"/>
      <c r="Z50" s="14"/>
      <c r="AA50" s="14"/>
      <c r="AB50" s="14" t="e">
        <f t="shared" si="10"/>
        <v>#DIV/0!</v>
      </c>
      <c r="AC50" s="14" t="e">
        <f t="shared" si="20"/>
        <v>#DIV/0!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 t="s">
        <v>75</v>
      </c>
      <c r="AM50" s="14">
        <f t="shared" si="11"/>
        <v>0</v>
      </c>
      <c r="AN50" s="14">
        <f t="shared" si="12"/>
        <v>0</v>
      </c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</row>
    <row r="51" spans="1:53" x14ac:dyDescent="0.25">
      <c r="A51" s="11" t="s">
        <v>96</v>
      </c>
      <c r="B51" s="11" t="s">
        <v>44</v>
      </c>
      <c r="C51" s="11">
        <v>49</v>
      </c>
      <c r="D51" s="11">
        <v>1</v>
      </c>
      <c r="E51" s="11">
        <v>27</v>
      </c>
      <c r="F51" s="11">
        <v>23</v>
      </c>
      <c r="G51" s="12">
        <v>0</v>
      </c>
      <c r="H51" s="11" t="e">
        <v>#N/A</v>
      </c>
      <c r="I51" s="11" t="s">
        <v>45</v>
      </c>
      <c r="J51" s="11"/>
      <c r="K51" s="11">
        <v>33</v>
      </c>
      <c r="L51" s="11">
        <f t="shared" si="17"/>
        <v>-6</v>
      </c>
      <c r="M51" s="11">
        <f t="shared" si="18"/>
        <v>27</v>
      </c>
      <c r="N51" s="11"/>
      <c r="O51" s="11">
        <v>0</v>
      </c>
      <c r="P51" s="11"/>
      <c r="Q51" s="11">
        <v>0</v>
      </c>
      <c r="R51" s="11"/>
      <c r="S51" s="11">
        <f t="shared" si="19"/>
        <v>5.4</v>
      </c>
      <c r="T51" s="13"/>
      <c r="U51" s="13"/>
      <c r="V51" s="4">
        <f t="shared" si="8"/>
        <v>0</v>
      </c>
      <c r="W51" s="4"/>
      <c r="X51" s="4">
        <f t="shared" si="9"/>
        <v>0</v>
      </c>
      <c r="Y51" s="13"/>
      <c r="Z51" s="11"/>
      <c r="AA51" s="11"/>
      <c r="AB51" s="14">
        <f t="shared" si="10"/>
        <v>4.2592592592592586</v>
      </c>
      <c r="AC51" s="11">
        <f t="shared" si="20"/>
        <v>4.2592592592592586</v>
      </c>
      <c r="AD51" s="11">
        <v>6.4</v>
      </c>
      <c r="AE51" s="11">
        <v>7.6</v>
      </c>
      <c r="AF51" s="11">
        <v>8.8000000000000007</v>
      </c>
      <c r="AG51" s="11">
        <v>5.333333333333333</v>
      </c>
      <c r="AH51" s="11">
        <v>1.833333333333333</v>
      </c>
      <c r="AI51" s="11">
        <v>0</v>
      </c>
      <c r="AJ51" s="11">
        <v>0</v>
      </c>
      <c r="AK51" s="11">
        <v>0</v>
      </c>
      <c r="AL51" s="11" t="s">
        <v>46</v>
      </c>
      <c r="AM51" s="14">
        <f t="shared" si="11"/>
        <v>0</v>
      </c>
      <c r="AN51" s="14">
        <f t="shared" si="12"/>
        <v>0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</row>
    <row r="52" spans="1:53" x14ac:dyDescent="0.25">
      <c r="A52" s="14" t="s">
        <v>97</v>
      </c>
      <c r="B52" s="14" t="s">
        <v>44</v>
      </c>
      <c r="C52" s="14">
        <v>325</v>
      </c>
      <c r="D52" s="14">
        <v>37</v>
      </c>
      <c r="E52" s="14">
        <v>270</v>
      </c>
      <c r="F52" s="14">
        <v>71</v>
      </c>
      <c r="G52" s="7">
        <v>0.45</v>
      </c>
      <c r="H52" s="14">
        <v>50</v>
      </c>
      <c r="I52" s="14" t="s">
        <v>40</v>
      </c>
      <c r="J52" s="14"/>
      <c r="K52" s="14">
        <v>354</v>
      </c>
      <c r="L52" s="14">
        <f t="shared" si="17"/>
        <v>-84</v>
      </c>
      <c r="M52" s="14">
        <f t="shared" si="18"/>
        <v>264</v>
      </c>
      <c r="N52" s="14">
        <v>6</v>
      </c>
      <c r="O52" s="14">
        <v>190.2</v>
      </c>
      <c r="P52" s="14">
        <v>200</v>
      </c>
      <c r="Q52" s="14">
        <v>297.35000000000008</v>
      </c>
      <c r="R52" s="14"/>
      <c r="S52" s="14">
        <f t="shared" si="19"/>
        <v>52.8</v>
      </c>
      <c r="T52" s="4"/>
      <c r="U52" s="4"/>
      <c r="V52" s="4">
        <f t="shared" si="8"/>
        <v>0</v>
      </c>
      <c r="W52" s="4"/>
      <c r="X52" s="4">
        <f t="shared" si="9"/>
        <v>0</v>
      </c>
      <c r="Y52" s="4"/>
      <c r="Z52" s="14"/>
      <c r="AA52" s="14"/>
      <c r="AB52" s="14">
        <f t="shared" si="10"/>
        <v>14.366477272727275</v>
      </c>
      <c r="AC52" s="14">
        <f t="shared" si="20"/>
        <v>14.366477272727275</v>
      </c>
      <c r="AD52" s="14">
        <v>65.400000000000006</v>
      </c>
      <c r="AE52" s="14">
        <v>59.6</v>
      </c>
      <c r="AF52" s="14">
        <v>40.200000000000003</v>
      </c>
      <c r="AG52" s="14">
        <v>41.5</v>
      </c>
      <c r="AH52" s="14">
        <v>56.666666666666657</v>
      </c>
      <c r="AI52" s="14">
        <v>60.4</v>
      </c>
      <c r="AJ52" s="14">
        <v>44.512199999999993</v>
      </c>
      <c r="AK52" s="14">
        <v>58.2</v>
      </c>
      <c r="AL52" s="14" t="s">
        <v>48</v>
      </c>
      <c r="AM52" s="14">
        <f t="shared" si="11"/>
        <v>0</v>
      </c>
      <c r="AN52" s="14">
        <f t="shared" si="12"/>
        <v>0</v>
      </c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</row>
    <row r="53" spans="1:53" x14ac:dyDescent="0.25">
      <c r="A53" s="11" t="s">
        <v>98</v>
      </c>
      <c r="B53" s="11" t="s">
        <v>44</v>
      </c>
      <c r="C53" s="11">
        <v>4</v>
      </c>
      <c r="D53" s="11"/>
      <c r="E53" s="11">
        <v>1</v>
      </c>
      <c r="F53" s="11">
        <v>3</v>
      </c>
      <c r="G53" s="12">
        <v>0</v>
      </c>
      <c r="H53" s="11" t="e">
        <v>#N/A</v>
      </c>
      <c r="I53" s="11" t="s">
        <v>45</v>
      </c>
      <c r="J53" s="11"/>
      <c r="K53" s="11">
        <v>6</v>
      </c>
      <c r="L53" s="11">
        <f t="shared" si="17"/>
        <v>-5</v>
      </c>
      <c r="M53" s="11">
        <f t="shared" si="18"/>
        <v>1</v>
      </c>
      <c r="N53" s="11"/>
      <c r="O53" s="11">
        <v>0</v>
      </c>
      <c r="P53" s="11"/>
      <c r="Q53" s="11">
        <v>0</v>
      </c>
      <c r="R53" s="11"/>
      <c r="S53" s="11">
        <f t="shared" si="19"/>
        <v>0.2</v>
      </c>
      <c r="T53" s="13"/>
      <c r="U53" s="13"/>
      <c r="V53" s="4">
        <f t="shared" si="8"/>
        <v>0</v>
      </c>
      <c r="W53" s="4"/>
      <c r="X53" s="4">
        <f t="shared" si="9"/>
        <v>0</v>
      </c>
      <c r="Y53" s="13"/>
      <c r="Z53" s="11"/>
      <c r="AA53" s="11"/>
      <c r="AB53" s="14">
        <f t="shared" si="10"/>
        <v>15</v>
      </c>
      <c r="AC53" s="11">
        <f t="shared" si="20"/>
        <v>15</v>
      </c>
      <c r="AD53" s="11">
        <v>1.4</v>
      </c>
      <c r="AE53" s="11">
        <v>3.2</v>
      </c>
      <c r="AF53" s="11">
        <v>4</v>
      </c>
      <c r="AG53" s="11">
        <v>3.5</v>
      </c>
      <c r="AH53" s="11">
        <v>3.5</v>
      </c>
      <c r="AI53" s="11">
        <v>0</v>
      </c>
      <c r="AJ53" s="11">
        <v>0</v>
      </c>
      <c r="AK53" s="11">
        <v>0</v>
      </c>
      <c r="AL53" s="11" t="s">
        <v>46</v>
      </c>
      <c r="AM53" s="14">
        <f t="shared" si="11"/>
        <v>0</v>
      </c>
      <c r="AN53" s="14">
        <f t="shared" si="12"/>
        <v>0</v>
      </c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</row>
    <row r="54" spans="1:53" x14ac:dyDescent="0.25">
      <c r="A54" s="14" t="s">
        <v>99</v>
      </c>
      <c r="B54" s="14" t="s">
        <v>44</v>
      </c>
      <c r="C54" s="14">
        <v>14</v>
      </c>
      <c r="D54" s="14">
        <v>113</v>
      </c>
      <c r="E54" s="14">
        <v>23</v>
      </c>
      <c r="F54" s="14">
        <v>92</v>
      </c>
      <c r="G54" s="7">
        <v>0.4</v>
      </c>
      <c r="H54" s="14">
        <v>40</v>
      </c>
      <c r="I54" s="14" t="s">
        <v>40</v>
      </c>
      <c r="J54" s="14"/>
      <c r="K54" s="14">
        <v>50</v>
      </c>
      <c r="L54" s="14">
        <f t="shared" si="17"/>
        <v>-27</v>
      </c>
      <c r="M54" s="14">
        <f t="shared" si="18"/>
        <v>23</v>
      </c>
      <c r="N54" s="14"/>
      <c r="O54" s="14">
        <v>59.368000000000009</v>
      </c>
      <c r="P54" s="14"/>
      <c r="Q54" s="14">
        <v>0</v>
      </c>
      <c r="R54" s="14"/>
      <c r="S54" s="14">
        <f t="shared" si="19"/>
        <v>4.5999999999999996</v>
      </c>
      <c r="T54" s="4"/>
      <c r="U54" s="4"/>
      <c r="V54" s="4">
        <f t="shared" si="8"/>
        <v>0</v>
      </c>
      <c r="W54" s="4"/>
      <c r="X54" s="4">
        <f t="shared" si="9"/>
        <v>0</v>
      </c>
      <c r="Y54" s="4"/>
      <c r="Z54" s="14"/>
      <c r="AA54" s="14"/>
      <c r="AB54" s="14">
        <f t="shared" si="10"/>
        <v>32.90608695652174</v>
      </c>
      <c r="AC54" s="14">
        <f t="shared" si="20"/>
        <v>32.90608695652174</v>
      </c>
      <c r="AD54" s="14">
        <v>13</v>
      </c>
      <c r="AE54" s="14">
        <v>15</v>
      </c>
      <c r="AF54" s="14">
        <v>14.2</v>
      </c>
      <c r="AG54" s="14">
        <v>8.8333333333333339</v>
      </c>
      <c r="AH54" s="14">
        <v>7.833333333333333</v>
      </c>
      <c r="AI54" s="14">
        <v>10.6</v>
      </c>
      <c r="AJ54" s="14">
        <v>12.6</v>
      </c>
      <c r="AK54" s="14">
        <v>9.6</v>
      </c>
      <c r="AL54" s="14"/>
      <c r="AM54" s="14">
        <f t="shared" si="11"/>
        <v>0</v>
      </c>
      <c r="AN54" s="14">
        <f t="shared" si="12"/>
        <v>0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</row>
    <row r="55" spans="1:53" x14ac:dyDescent="0.25">
      <c r="A55" s="14" t="s">
        <v>100</v>
      </c>
      <c r="B55" s="14" t="s">
        <v>44</v>
      </c>
      <c r="C55" s="14">
        <v>43</v>
      </c>
      <c r="D55" s="14">
        <v>139</v>
      </c>
      <c r="E55" s="14">
        <v>112</v>
      </c>
      <c r="F55" s="14">
        <v>27</v>
      </c>
      <c r="G55" s="7">
        <v>0.4</v>
      </c>
      <c r="H55" s="14">
        <v>40</v>
      </c>
      <c r="I55" s="14" t="s">
        <v>40</v>
      </c>
      <c r="J55" s="14"/>
      <c r="K55" s="14">
        <v>126</v>
      </c>
      <c r="L55" s="14">
        <f t="shared" si="17"/>
        <v>-14</v>
      </c>
      <c r="M55" s="14">
        <f t="shared" si="18"/>
        <v>112</v>
      </c>
      <c r="N55" s="14"/>
      <c r="O55" s="14">
        <v>0</v>
      </c>
      <c r="P55" s="14"/>
      <c r="Q55" s="14">
        <v>68.800000000000011</v>
      </c>
      <c r="R55" s="14"/>
      <c r="S55" s="14">
        <f t="shared" si="19"/>
        <v>22.4</v>
      </c>
      <c r="T55" s="4">
        <f>11*S55-R55-Q55-P55-O55-F55</f>
        <v>150.59999999999997</v>
      </c>
      <c r="U55" s="4"/>
      <c r="V55" s="4">
        <f t="shared" si="8"/>
        <v>150.59999999999997</v>
      </c>
      <c r="W55" s="4"/>
      <c r="X55" s="4">
        <f t="shared" si="9"/>
        <v>150.59999999999997</v>
      </c>
      <c r="Y55" s="4"/>
      <c r="Z55" s="14"/>
      <c r="AA55" s="14"/>
      <c r="AB55" s="14">
        <f t="shared" si="10"/>
        <v>11</v>
      </c>
      <c r="AC55" s="14">
        <f t="shared" si="20"/>
        <v>4.2767857142857153</v>
      </c>
      <c r="AD55" s="14">
        <v>13.8</v>
      </c>
      <c r="AE55" s="14">
        <v>10.199999999999999</v>
      </c>
      <c r="AF55" s="14">
        <v>16</v>
      </c>
      <c r="AG55" s="14">
        <v>16</v>
      </c>
      <c r="AH55" s="14">
        <v>12.33333333333333</v>
      </c>
      <c r="AI55" s="14">
        <v>9.8000000000000007</v>
      </c>
      <c r="AJ55" s="14">
        <v>15.4</v>
      </c>
      <c r="AK55" s="14">
        <v>14</v>
      </c>
      <c r="AL55" s="14" t="s">
        <v>101</v>
      </c>
      <c r="AM55" s="14">
        <f t="shared" si="11"/>
        <v>0</v>
      </c>
      <c r="AN55" s="14">
        <f t="shared" si="12"/>
        <v>60</v>
      </c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</row>
    <row r="56" spans="1:53" x14ac:dyDescent="0.25">
      <c r="A56" s="14" t="s">
        <v>102</v>
      </c>
      <c r="B56" s="14" t="s">
        <v>39</v>
      </c>
      <c r="C56" s="14">
        <v>316.52100000000002</v>
      </c>
      <c r="D56" s="14">
        <v>387.42399999999998</v>
      </c>
      <c r="E56" s="14">
        <v>387.76400000000001</v>
      </c>
      <c r="F56" s="14">
        <v>44.438000000000002</v>
      </c>
      <c r="G56" s="7">
        <v>1</v>
      </c>
      <c r="H56" s="14">
        <v>50</v>
      </c>
      <c r="I56" s="14" t="s">
        <v>40</v>
      </c>
      <c r="J56" s="14"/>
      <c r="K56" s="14">
        <v>573.43700000000001</v>
      </c>
      <c r="L56" s="14">
        <f t="shared" si="17"/>
        <v>-185.673</v>
      </c>
      <c r="M56" s="14">
        <f t="shared" si="18"/>
        <v>205.12700000000001</v>
      </c>
      <c r="N56" s="14">
        <v>182.637</v>
      </c>
      <c r="O56" s="14">
        <v>0</v>
      </c>
      <c r="P56" s="14"/>
      <c r="Q56" s="14">
        <v>222.8766</v>
      </c>
      <c r="R56" s="14"/>
      <c r="S56" s="14">
        <f t="shared" si="19"/>
        <v>41.025400000000005</v>
      </c>
      <c r="T56" s="4">
        <f t="shared" ref="T56:T69" si="21">12*S56-R56-Q56-P56-O56-F56</f>
        <v>224.99020000000007</v>
      </c>
      <c r="U56" s="4">
        <f>$U$1*S56</f>
        <v>61.538100000000007</v>
      </c>
      <c r="V56" s="4">
        <f t="shared" si="8"/>
        <v>286.52830000000006</v>
      </c>
      <c r="W56" s="4"/>
      <c r="X56" s="4">
        <f t="shared" si="9"/>
        <v>286.52830000000006</v>
      </c>
      <c r="Y56" s="4"/>
      <c r="Z56" s="14"/>
      <c r="AA56" s="14"/>
      <c r="AB56" s="14">
        <f t="shared" si="10"/>
        <v>13.5</v>
      </c>
      <c r="AC56" s="14">
        <f t="shared" si="20"/>
        <v>6.5158316555109748</v>
      </c>
      <c r="AD56" s="14">
        <v>40.353400000000001</v>
      </c>
      <c r="AE56" s="14">
        <v>10.4498</v>
      </c>
      <c r="AF56" s="14">
        <v>19.356200000000001</v>
      </c>
      <c r="AG56" s="14">
        <v>39.077166666666663</v>
      </c>
      <c r="AH56" s="14">
        <v>52.681666666666672</v>
      </c>
      <c r="AI56" s="14">
        <v>34.299999999999997</v>
      </c>
      <c r="AJ56" s="14">
        <v>24.556799999999999</v>
      </c>
      <c r="AK56" s="14">
        <v>46.5458</v>
      </c>
      <c r="AL56" s="14"/>
      <c r="AM56" s="14">
        <f t="shared" si="11"/>
        <v>0</v>
      </c>
      <c r="AN56" s="14">
        <f t="shared" si="12"/>
        <v>287</v>
      </c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</row>
    <row r="57" spans="1:53" x14ac:dyDescent="0.25">
      <c r="A57" s="14" t="s">
        <v>103</v>
      </c>
      <c r="B57" s="14" t="s">
        <v>44</v>
      </c>
      <c r="C57" s="14">
        <v>178</v>
      </c>
      <c r="D57" s="14">
        <v>3</v>
      </c>
      <c r="E57" s="14">
        <v>89</v>
      </c>
      <c r="F57" s="14">
        <v>87</v>
      </c>
      <c r="G57" s="7">
        <v>0.1</v>
      </c>
      <c r="H57" s="14">
        <v>730</v>
      </c>
      <c r="I57" s="14" t="s">
        <v>40</v>
      </c>
      <c r="J57" s="14"/>
      <c r="K57" s="14">
        <v>89</v>
      </c>
      <c r="L57" s="14">
        <f t="shared" si="17"/>
        <v>0</v>
      </c>
      <c r="M57" s="14">
        <f t="shared" si="18"/>
        <v>89</v>
      </c>
      <c r="N57" s="14"/>
      <c r="O57" s="14">
        <v>35.600000000000023</v>
      </c>
      <c r="P57" s="14"/>
      <c r="Q57" s="14">
        <v>44.599999999999973</v>
      </c>
      <c r="R57" s="14"/>
      <c r="S57" s="14">
        <f t="shared" si="19"/>
        <v>17.8</v>
      </c>
      <c r="T57" s="4">
        <f t="shared" si="21"/>
        <v>46.400000000000034</v>
      </c>
      <c r="U57" s="4"/>
      <c r="V57" s="4">
        <f t="shared" si="8"/>
        <v>46.400000000000034</v>
      </c>
      <c r="W57" s="4"/>
      <c r="X57" s="4">
        <f t="shared" si="9"/>
        <v>46.400000000000034</v>
      </c>
      <c r="Y57" s="4"/>
      <c r="Z57" s="14"/>
      <c r="AA57" s="14"/>
      <c r="AB57" s="14">
        <f t="shared" si="10"/>
        <v>12</v>
      </c>
      <c r="AC57" s="14">
        <f t="shared" si="20"/>
        <v>9.3932584269662911</v>
      </c>
      <c r="AD57" s="14">
        <v>19.2</v>
      </c>
      <c r="AE57" s="14">
        <v>17.8</v>
      </c>
      <c r="AF57" s="14">
        <v>17</v>
      </c>
      <c r="AG57" s="14">
        <v>12.33333333333333</v>
      </c>
      <c r="AH57" s="14">
        <v>10</v>
      </c>
      <c r="AI57" s="14">
        <v>15.2</v>
      </c>
      <c r="AJ57" s="14">
        <v>27</v>
      </c>
      <c r="AK57" s="14">
        <v>26</v>
      </c>
      <c r="AL57" s="14"/>
      <c r="AM57" s="14">
        <f t="shared" si="11"/>
        <v>0</v>
      </c>
      <c r="AN57" s="14">
        <f t="shared" si="12"/>
        <v>5</v>
      </c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</row>
    <row r="58" spans="1:53" x14ac:dyDescent="0.25">
      <c r="A58" s="14" t="s">
        <v>104</v>
      </c>
      <c r="B58" s="14" t="s">
        <v>39</v>
      </c>
      <c r="C58" s="14">
        <v>881.375</v>
      </c>
      <c r="D58" s="14">
        <v>2827.9209999999998</v>
      </c>
      <c r="E58" s="14">
        <v>723.32399999999996</v>
      </c>
      <c r="F58" s="14">
        <v>2138.6170000000002</v>
      </c>
      <c r="G58" s="7">
        <v>1</v>
      </c>
      <c r="H58" s="14">
        <v>50</v>
      </c>
      <c r="I58" s="14" t="s">
        <v>40</v>
      </c>
      <c r="J58" s="14"/>
      <c r="K58" s="14">
        <v>857.88</v>
      </c>
      <c r="L58" s="14">
        <f t="shared" si="17"/>
        <v>-134.55600000000004</v>
      </c>
      <c r="M58" s="14">
        <f t="shared" si="18"/>
        <v>562.24399999999991</v>
      </c>
      <c r="N58" s="14">
        <v>161.08000000000001</v>
      </c>
      <c r="O58" s="14">
        <v>0</v>
      </c>
      <c r="P58" s="14"/>
      <c r="Q58" s="14">
        <v>0</v>
      </c>
      <c r="R58" s="14"/>
      <c r="S58" s="14">
        <f t="shared" si="19"/>
        <v>112.44879999999998</v>
      </c>
      <c r="T58" s="4"/>
      <c r="U58" s="4"/>
      <c r="V58" s="4">
        <f t="shared" si="8"/>
        <v>0</v>
      </c>
      <c r="W58" s="4"/>
      <c r="X58" s="4">
        <f t="shared" si="9"/>
        <v>0</v>
      </c>
      <c r="Y58" s="4"/>
      <c r="Z58" s="14"/>
      <c r="AA58" s="14"/>
      <c r="AB58" s="14">
        <f t="shared" si="10"/>
        <v>19.018584457993331</v>
      </c>
      <c r="AC58" s="14">
        <f t="shared" si="20"/>
        <v>19.018584457993331</v>
      </c>
      <c r="AD58" s="14">
        <v>109.3276</v>
      </c>
      <c r="AE58" s="14">
        <v>108.7816</v>
      </c>
      <c r="AF58" s="14">
        <v>126.9586</v>
      </c>
      <c r="AG58" s="14">
        <v>239.49199999999999</v>
      </c>
      <c r="AH58" s="14">
        <v>312.97966666666667</v>
      </c>
      <c r="AI58" s="14">
        <v>156.31059999999999</v>
      </c>
      <c r="AJ58" s="14">
        <v>140.68879999999999</v>
      </c>
      <c r="AK58" s="14">
        <v>132.6848</v>
      </c>
      <c r="AL58" s="21" t="s">
        <v>67</v>
      </c>
      <c r="AM58" s="14">
        <f t="shared" si="11"/>
        <v>0</v>
      </c>
      <c r="AN58" s="14">
        <f t="shared" si="12"/>
        <v>0</v>
      </c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</row>
    <row r="59" spans="1:53" x14ac:dyDescent="0.25">
      <c r="A59" s="14" t="s">
        <v>105</v>
      </c>
      <c r="B59" s="14" t="s">
        <v>39</v>
      </c>
      <c r="C59" s="14">
        <v>33.726999999999997</v>
      </c>
      <c r="D59" s="14">
        <v>87.353999999999999</v>
      </c>
      <c r="E59" s="14">
        <v>33.713000000000001</v>
      </c>
      <c r="F59" s="14">
        <v>76.597999999999999</v>
      </c>
      <c r="G59" s="7">
        <v>1</v>
      </c>
      <c r="H59" s="14">
        <v>50</v>
      </c>
      <c r="I59" s="14" t="s">
        <v>40</v>
      </c>
      <c r="J59" s="14"/>
      <c r="K59" s="14">
        <v>42.67</v>
      </c>
      <c r="L59" s="14">
        <f t="shared" si="17"/>
        <v>-8.9570000000000007</v>
      </c>
      <c r="M59" s="14">
        <f t="shared" si="18"/>
        <v>22.943000000000001</v>
      </c>
      <c r="N59" s="14">
        <v>10.77</v>
      </c>
      <c r="O59" s="14">
        <v>12.878544</v>
      </c>
      <c r="P59" s="14"/>
      <c r="Q59" s="14">
        <v>0</v>
      </c>
      <c r="R59" s="14"/>
      <c r="S59" s="14">
        <f t="shared" si="19"/>
        <v>4.5886000000000005</v>
      </c>
      <c r="T59" s="4"/>
      <c r="U59" s="4"/>
      <c r="V59" s="4">
        <f t="shared" si="8"/>
        <v>0</v>
      </c>
      <c r="W59" s="4"/>
      <c r="X59" s="4">
        <f t="shared" si="9"/>
        <v>0</v>
      </c>
      <c r="Y59" s="4"/>
      <c r="Z59" s="14"/>
      <c r="AA59" s="14"/>
      <c r="AB59" s="14">
        <f t="shared" si="10"/>
        <v>19.499748071307152</v>
      </c>
      <c r="AC59" s="14">
        <f t="shared" si="20"/>
        <v>19.499748071307152</v>
      </c>
      <c r="AD59" s="14">
        <v>4.5982000000000003</v>
      </c>
      <c r="AE59" s="14">
        <v>9.7219999999999995</v>
      </c>
      <c r="AF59" s="14">
        <v>10.9636</v>
      </c>
      <c r="AG59" s="14">
        <v>5.243666666666666</v>
      </c>
      <c r="AH59" s="14">
        <v>8.0398333333333341</v>
      </c>
      <c r="AI59" s="14">
        <v>9.7560000000000002</v>
      </c>
      <c r="AJ59" s="14">
        <v>9.4539999999999988</v>
      </c>
      <c r="AK59" s="14">
        <v>8.9174000000000007</v>
      </c>
      <c r="AL59" s="14" t="s">
        <v>106</v>
      </c>
      <c r="AM59" s="14">
        <f t="shared" si="11"/>
        <v>0</v>
      </c>
      <c r="AN59" s="14">
        <f t="shared" si="12"/>
        <v>0</v>
      </c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</row>
    <row r="60" spans="1:53" x14ac:dyDescent="0.25">
      <c r="A60" s="14" t="s">
        <v>107</v>
      </c>
      <c r="B60" s="14" t="s">
        <v>44</v>
      </c>
      <c r="C60" s="14">
        <v>197</v>
      </c>
      <c r="D60" s="14"/>
      <c r="E60" s="14">
        <v>88</v>
      </c>
      <c r="F60" s="14">
        <v>107</v>
      </c>
      <c r="G60" s="7">
        <v>0.1</v>
      </c>
      <c r="H60" s="14">
        <v>730</v>
      </c>
      <c r="I60" s="14" t="s">
        <v>40</v>
      </c>
      <c r="J60" s="14"/>
      <c r="K60" s="14">
        <v>88</v>
      </c>
      <c r="L60" s="14">
        <f t="shared" si="17"/>
        <v>0</v>
      </c>
      <c r="M60" s="14">
        <f t="shared" si="18"/>
        <v>88</v>
      </c>
      <c r="N60" s="14"/>
      <c r="O60" s="14">
        <v>40.600000000000023</v>
      </c>
      <c r="P60" s="14"/>
      <c r="Q60" s="14">
        <v>0</v>
      </c>
      <c r="R60" s="14"/>
      <c r="S60" s="14">
        <f t="shared" si="19"/>
        <v>17.600000000000001</v>
      </c>
      <c r="T60" s="4">
        <f t="shared" si="21"/>
        <v>63.599999999999994</v>
      </c>
      <c r="U60" s="4"/>
      <c r="V60" s="4">
        <f t="shared" si="8"/>
        <v>63.599999999999994</v>
      </c>
      <c r="W60" s="4"/>
      <c r="X60" s="4">
        <f t="shared" si="9"/>
        <v>63.599999999999994</v>
      </c>
      <c r="Y60" s="4"/>
      <c r="Z60" s="14"/>
      <c r="AA60" s="14"/>
      <c r="AB60" s="14">
        <f t="shared" si="10"/>
        <v>12</v>
      </c>
      <c r="AC60" s="14">
        <f t="shared" si="20"/>
        <v>8.3863636363636367</v>
      </c>
      <c r="AD60" s="14">
        <v>17.399999999999999</v>
      </c>
      <c r="AE60" s="14">
        <v>19.8</v>
      </c>
      <c r="AF60" s="14">
        <v>19.8</v>
      </c>
      <c r="AG60" s="14">
        <v>12.33333333333333</v>
      </c>
      <c r="AH60" s="14">
        <v>10.83333333333333</v>
      </c>
      <c r="AI60" s="14">
        <v>16.600000000000001</v>
      </c>
      <c r="AJ60" s="14">
        <v>26</v>
      </c>
      <c r="AK60" s="14">
        <v>25.4</v>
      </c>
      <c r="AL60" s="14"/>
      <c r="AM60" s="14">
        <f t="shared" si="11"/>
        <v>0</v>
      </c>
      <c r="AN60" s="14">
        <f t="shared" si="12"/>
        <v>6</v>
      </c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</row>
    <row r="61" spans="1:53" x14ac:dyDescent="0.25">
      <c r="A61" s="14" t="s">
        <v>108</v>
      </c>
      <c r="B61" s="14" t="s">
        <v>44</v>
      </c>
      <c r="C61" s="14">
        <v>205</v>
      </c>
      <c r="D61" s="14">
        <v>71</v>
      </c>
      <c r="E61" s="14">
        <v>168</v>
      </c>
      <c r="F61" s="14">
        <v>36</v>
      </c>
      <c r="G61" s="7">
        <v>0.4</v>
      </c>
      <c r="H61" s="14">
        <v>50</v>
      </c>
      <c r="I61" s="14" t="s">
        <v>40</v>
      </c>
      <c r="J61" s="14"/>
      <c r="K61" s="14">
        <v>239</v>
      </c>
      <c r="L61" s="14">
        <f t="shared" si="17"/>
        <v>-71</v>
      </c>
      <c r="M61" s="14">
        <f t="shared" si="18"/>
        <v>98</v>
      </c>
      <c r="N61" s="14">
        <v>70</v>
      </c>
      <c r="O61" s="14">
        <v>51.799999999999947</v>
      </c>
      <c r="P61" s="14"/>
      <c r="Q61" s="14">
        <v>154.19999999999999</v>
      </c>
      <c r="R61" s="14"/>
      <c r="S61" s="14">
        <f t="shared" si="19"/>
        <v>19.600000000000001</v>
      </c>
      <c r="T61" s="4"/>
      <c r="U61" s="4"/>
      <c r="V61" s="4">
        <f t="shared" si="8"/>
        <v>0</v>
      </c>
      <c r="W61" s="4"/>
      <c r="X61" s="4">
        <f t="shared" si="9"/>
        <v>0</v>
      </c>
      <c r="Y61" s="4"/>
      <c r="Z61" s="14"/>
      <c r="AA61" s="14"/>
      <c r="AB61" s="14">
        <f t="shared" si="10"/>
        <v>12.3469387755102</v>
      </c>
      <c r="AC61" s="14">
        <f t="shared" si="20"/>
        <v>12.3469387755102</v>
      </c>
      <c r="AD61" s="14">
        <v>25</v>
      </c>
      <c r="AE61" s="14">
        <v>21.4</v>
      </c>
      <c r="AF61" s="14">
        <v>16.2</v>
      </c>
      <c r="AG61" s="14">
        <v>17.166666666666671</v>
      </c>
      <c r="AH61" s="14">
        <v>35.833333333333343</v>
      </c>
      <c r="AI61" s="14">
        <v>41.8</v>
      </c>
      <c r="AJ61" s="14">
        <v>21.761199999999999</v>
      </c>
      <c r="AK61" s="14">
        <v>21.6</v>
      </c>
      <c r="AL61" s="14"/>
      <c r="AM61" s="14">
        <f t="shared" si="11"/>
        <v>0</v>
      </c>
      <c r="AN61" s="14">
        <f t="shared" si="12"/>
        <v>0</v>
      </c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</row>
    <row r="62" spans="1:53" x14ac:dyDescent="0.25">
      <c r="A62" s="14" t="s">
        <v>109</v>
      </c>
      <c r="B62" s="14" t="s">
        <v>39</v>
      </c>
      <c r="C62" s="14">
        <v>78.113</v>
      </c>
      <c r="D62" s="14">
        <v>56.555</v>
      </c>
      <c r="E62" s="14">
        <v>74.061999999999998</v>
      </c>
      <c r="F62" s="14">
        <v>-6.7709999999999999</v>
      </c>
      <c r="G62" s="7">
        <v>1</v>
      </c>
      <c r="H62" s="14">
        <v>40</v>
      </c>
      <c r="I62" s="14" t="s">
        <v>40</v>
      </c>
      <c r="J62" s="14"/>
      <c r="K62" s="14">
        <v>187.755</v>
      </c>
      <c r="L62" s="14">
        <f t="shared" si="17"/>
        <v>-113.693</v>
      </c>
      <c r="M62" s="14">
        <f t="shared" si="18"/>
        <v>17.506999999999998</v>
      </c>
      <c r="N62" s="14">
        <v>56.555</v>
      </c>
      <c r="O62" s="14">
        <v>126.66459999999999</v>
      </c>
      <c r="P62" s="14"/>
      <c r="Q62" s="14">
        <v>63.323999999999991</v>
      </c>
      <c r="R62" s="14"/>
      <c r="S62" s="14">
        <f t="shared" si="19"/>
        <v>3.5013999999999994</v>
      </c>
      <c r="T62" s="4"/>
      <c r="U62" s="4"/>
      <c r="V62" s="4">
        <f t="shared" si="8"/>
        <v>0</v>
      </c>
      <c r="W62" s="4"/>
      <c r="X62" s="4">
        <f t="shared" si="9"/>
        <v>0</v>
      </c>
      <c r="Y62" s="4"/>
      <c r="Z62" s="14"/>
      <c r="AA62" s="14"/>
      <c r="AB62" s="14">
        <f t="shared" si="10"/>
        <v>52.326954932312795</v>
      </c>
      <c r="AC62" s="14">
        <f t="shared" si="20"/>
        <v>52.326954932312795</v>
      </c>
      <c r="AD62" s="14">
        <v>17.515599999999999</v>
      </c>
      <c r="AE62" s="14">
        <v>17.064800000000002</v>
      </c>
      <c r="AF62" s="14">
        <v>12.2264</v>
      </c>
      <c r="AG62" s="14">
        <v>6.7670000000000003</v>
      </c>
      <c r="AH62" s="14">
        <v>16.099666666666671</v>
      </c>
      <c r="AI62" s="14">
        <v>10.4344</v>
      </c>
      <c r="AJ62" s="14">
        <v>10.0336</v>
      </c>
      <c r="AK62" s="14">
        <v>14.316800000000001</v>
      </c>
      <c r="AL62" s="14"/>
      <c r="AM62" s="14">
        <f t="shared" si="11"/>
        <v>0</v>
      </c>
      <c r="AN62" s="14">
        <f t="shared" si="12"/>
        <v>0</v>
      </c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</row>
    <row r="63" spans="1:53" x14ac:dyDescent="0.25">
      <c r="A63" s="14" t="s">
        <v>110</v>
      </c>
      <c r="B63" s="14" t="s">
        <v>39</v>
      </c>
      <c r="C63" s="14">
        <v>68.263000000000005</v>
      </c>
      <c r="D63" s="14">
        <v>57.548000000000002</v>
      </c>
      <c r="E63" s="14">
        <v>63.015000000000001</v>
      </c>
      <c r="F63" s="14">
        <v>-2.7909999999999999</v>
      </c>
      <c r="G63" s="7">
        <v>1</v>
      </c>
      <c r="H63" s="14">
        <v>40</v>
      </c>
      <c r="I63" s="14" t="s">
        <v>40</v>
      </c>
      <c r="J63" s="14"/>
      <c r="K63" s="14">
        <v>159.44800000000001</v>
      </c>
      <c r="L63" s="14">
        <f t="shared" si="17"/>
        <v>-96.433000000000007</v>
      </c>
      <c r="M63" s="14">
        <f t="shared" si="18"/>
        <v>5.4669999999999987</v>
      </c>
      <c r="N63" s="14">
        <v>57.548000000000002</v>
      </c>
      <c r="O63" s="14">
        <v>4.0033999999999992</v>
      </c>
      <c r="P63" s="14"/>
      <c r="Q63" s="14">
        <v>56.043200000000013</v>
      </c>
      <c r="R63" s="14"/>
      <c r="S63" s="14">
        <f t="shared" si="19"/>
        <v>1.0933999999999997</v>
      </c>
      <c r="T63" s="4"/>
      <c r="U63" s="4"/>
      <c r="V63" s="4">
        <f t="shared" si="8"/>
        <v>0</v>
      </c>
      <c r="W63" s="4"/>
      <c r="X63" s="4">
        <f t="shared" si="9"/>
        <v>0</v>
      </c>
      <c r="Y63" s="4"/>
      <c r="Z63" s="14"/>
      <c r="AA63" s="14"/>
      <c r="AB63" s="14">
        <f t="shared" si="10"/>
        <v>52.364733857691633</v>
      </c>
      <c r="AC63" s="14">
        <f t="shared" si="20"/>
        <v>52.364733857691633</v>
      </c>
      <c r="AD63" s="14">
        <v>9.3277999999999999</v>
      </c>
      <c r="AE63" s="14">
        <v>6.0221999999999998</v>
      </c>
      <c r="AF63" s="14">
        <v>1.7558</v>
      </c>
      <c r="AG63" s="14">
        <v>1.2138333333333331</v>
      </c>
      <c r="AH63" s="14">
        <v>7.4118333333333331</v>
      </c>
      <c r="AI63" s="14">
        <v>7.2992000000000008</v>
      </c>
      <c r="AJ63" s="14">
        <v>2.4436</v>
      </c>
      <c r="AK63" s="14">
        <v>1.631</v>
      </c>
      <c r="AL63" s="14"/>
      <c r="AM63" s="14">
        <f t="shared" si="11"/>
        <v>0</v>
      </c>
      <c r="AN63" s="14">
        <f t="shared" si="12"/>
        <v>0</v>
      </c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</row>
    <row r="64" spans="1:53" x14ac:dyDescent="0.25">
      <c r="A64" s="14" t="s">
        <v>111</v>
      </c>
      <c r="B64" s="14" t="s">
        <v>44</v>
      </c>
      <c r="C64" s="14">
        <v>445</v>
      </c>
      <c r="D64" s="14">
        <v>795</v>
      </c>
      <c r="E64" s="14">
        <v>483</v>
      </c>
      <c r="F64" s="14">
        <v>515</v>
      </c>
      <c r="G64" s="7">
        <v>0.4</v>
      </c>
      <c r="H64" s="14">
        <v>40</v>
      </c>
      <c r="I64" s="14" t="s">
        <v>40</v>
      </c>
      <c r="J64" s="14"/>
      <c r="K64" s="14">
        <v>804.4</v>
      </c>
      <c r="L64" s="14">
        <f t="shared" si="17"/>
        <v>-321.39999999999998</v>
      </c>
      <c r="M64" s="14">
        <f t="shared" si="18"/>
        <v>387</v>
      </c>
      <c r="N64" s="14">
        <v>96</v>
      </c>
      <c r="O64" s="14">
        <v>253.25599999999989</v>
      </c>
      <c r="P64" s="14">
        <v>200</v>
      </c>
      <c r="Q64" s="14">
        <v>439.6262200000001</v>
      </c>
      <c r="R64" s="14"/>
      <c r="S64" s="14">
        <f t="shared" si="19"/>
        <v>77.400000000000006</v>
      </c>
      <c r="T64" s="4"/>
      <c r="U64" s="4"/>
      <c r="V64" s="4">
        <f t="shared" si="8"/>
        <v>0</v>
      </c>
      <c r="W64" s="4"/>
      <c r="X64" s="4">
        <f t="shared" si="9"/>
        <v>0</v>
      </c>
      <c r="Y64" s="4"/>
      <c r="Z64" s="14"/>
      <c r="AA64" s="14"/>
      <c r="AB64" s="14">
        <f t="shared" si="10"/>
        <v>18.189692764857881</v>
      </c>
      <c r="AC64" s="14">
        <f t="shared" si="20"/>
        <v>18.189692764857881</v>
      </c>
      <c r="AD64" s="14">
        <v>131</v>
      </c>
      <c r="AE64" s="14">
        <v>120.8</v>
      </c>
      <c r="AF64" s="14">
        <v>126.4</v>
      </c>
      <c r="AG64" s="14">
        <v>117.8333333333333</v>
      </c>
      <c r="AH64" s="14">
        <v>129.16666666666671</v>
      </c>
      <c r="AI64" s="14">
        <v>150.6</v>
      </c>
      <c r="AJ64" s="14">
        <v>182.4</v>
      </c>
      <c r="AK64" s="14">
        <v>162.4</v>
      </c>
      <c r="AL64" s="14"/>
      <c r="AM64" s="14">
        <f t="shared" si="11"/>
        <v>0</v>
      </c>
      <c r="AN64" s="14">
        <f t="shared" si="12"/>
        <v>0</v>
      </c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</row>
    <row r="65" spans="1:53" x14ac:dyDescent="0.25">
      <c r="A65" s="14" t="s">
        <v>112</v>
      </c>
      <c r="B65" s="14" t="s">
        <v>44</v>
      </c>
      <c r="C65" s="14">
        <v>220</v>
      </c>
      <c r="D65" s="14">
        <v>739</v>
      </c>
      <c r="E65" s="14">
        <v>606</v>
      </c>
      <c r="F65" s="14">
        <v>183</v>
      </c>
      <c r="G65" s="7">
        <v>0.4</v>
      </c>
      <c r="H65" s="14">
        <v>40</v>
      </c>
      <c r="I65" s="14" t="s">
        <v>40</v>
      </c>
      <c r="J65" s="14"/>
      <c r="K65" s="14">
        <v>763</v>
      </c>
      <c r="L65" s="14">
        <f t="shared" si="17"/>
        <v>-157</v>
      </c>
      <c r="M65" s="14">
        <f t="shared" si="18"/>
        <v>486</v>
      </c>
      <c r="N65" s="14">
        <v>120</v>
      </c>
      <c r="O65" s="14">
        <v>301.89921999999979</v>
      </c>
      <c r="P65" s="14">
        <v>300</v>
      </c>
      <c r="Q65" s="14">
        <v>305.50000000000023</v>
      </c>
      <c r="R65" s="14"/>
      <c r="S65" s="14">
        <f t="shared" si="19"/>
        <v>97.2</v>
      </c>
      <c r="T65" s="4">
        <f t="shared" si="21"/>
        <v>76.000780000000077</v>
      </c>
      <c r="U65" s="4"/>
      <c r="V65" s="4">
        <f t="shared" si="8"/>
        <v>76.000780000000077</v>
      </c>
      <c r="W65" s="4"/>
      <c r="X65" s="4">
        <f t="shared" si="9"/>
        <v>76.000780000000077</v>
      </c>
      <c r="Y65" s="4"/>
      <c r="Z65" s="14"/>
      <c r="AA65" s="14"/>
      <c r="AB65" s="14">
        <f t="shared" si="10"/>
        <v>12</v>
      </c>
      <c r="AC65" s="14">
        <f t="shared" si="20"/>
        <v>11.218098971193415</v>
      </c>
      <c r="AD65" s="14">
        <v>116.2</v>
      </c>
      <c r="AE65" s="14">
        <v>113.6</v>
      </c>
      <c r="AF65" s="14">
        <v>98.6</v>
      </c>
      <c r="AG65" s="14">
        <v>104.5</v>
      </c>
      <c r="AH65" s="14">
        <v>102.5</v>
      </c>
      <c r="AI65" s="14">
        <v>102.8</v>
      </c>
      <c r="AJ65" s="14">
        <v>114.4</v>
      </c>
      <c r="AK65" s="14">
        <v>112.4</v>
      </c>
      <c r="AL65" s="14"/>
      <c r="AM65" s="14">
        <f t="shared" si="11"/>
        <v>0</v>
      </c>
      <c r="AN65" s="14">
        <f t="shared" si="12"/>
        <v>30</v>
      </c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</row>
    <row r="66" spans="1:53" x14ac:dyDescent="0.25">
      <c r="A66" s="14" t="s">
        <v>113</v>
      </c>
      <c r="B66" s="14" t="s">
        <v>39</v>
      </c>
      <c r="C66" s="14">
        <v>1602.7190000000001</v>
      </c>
      <c r="D66" s="14">
        <v>502.85300000000001</v>
      </c>
      <c r="E66" s="14">
        <v>483.61900000000003</v>
      </c>
      <c r="F66" s="14">
        <v>1126.847</v>
      </c>
      <c r="G66" s="7">
        <v>1</v>
      </c>
      <c r="H66" s="14">
        <v>40</v>
      </c>
      <c r="I66" s="14" t="s">
        <v>40</v>
      </c>
      <c r="J66" s="14"/>
      <c r="K66" s="14">
        <v>788.14499999999998</v>
      </c>
      <c r="L66" s="14">
        <f t="shared" si="17"/>
        <v>-304.52599999999995</v>
      </c>
      <c r="M66" s="14">
        <f t="shared" si="18"/>
        <v>152.67400000000004</v>
      </c>
      <c r="N66" s="14">
        <v>330.94499999999999</v>
      </c>
      <c r="O66" s="14">
        <v>0</v>
      </c>
      <c r="P66" s="14"/>
      <c r="Q66" s="14">
        <v>0</v>
      </c>
      <c r="R66" s="14"/>
      <c r="S66" s="14">
        <f t="shared" si="19"/>
        <v>30.534800000000008</v>
      </c>
      <c r="T66" s="4"/>
      <c r="U66" s="4"/>
      <c r="V66" s="4">
        <f t="shared" si="8"/>
        <v>0</v>
      </c>
      <c r="W66" s="4"/>
      <c r="X66" s="4">
        <f t="shared" si="9"/>
        <v>0</v>
      </c>
      <c r="Y66" s="4"/>
      <c r="Z66" s="14"/>
      <c r="AA66" s="14"/>
      <c r="AB66" s="14">
        <f t="shared" si="10"/>
        <v>36.903696765657536</v>
      </c>
      <c r="AC66" s="14">
        <f t="shared" si="20"/>
        <v>36.903696765657536</v>
      </c>
      <c r="AD66" s="14">
        <v>39.278399999999998</v>
      </c>
      <c r="AE66" s="14">
        <v>69.317599999999999</v>
      </c>
      <c r="AF66" s="14">
        <v>54.402799999999992</v>
      </c>
      <c r="AG66" s="14">
        <v>109.66549999999999</v>
      </c>
      <c r="AH66" s="14">
        <v>227.04983333333331</v>
      </c>
      <c r="AI66" s="14">
        <v>231.61019999999999</v>
      </c>
      <c r="AJ66" s="14">
        <v>130.88919999999999</v>
      </c>
      <c r="AK66" s="14">
        <v>145.9238</v>
      </c>
      <c r="AL66" s="21" t="s">
        <v>67</v>
      </c>
      <c r="AM66" s="14">
        <f t="shared" si="11"/>
        <v>0</v>
      </c>
      <c r="AN66" s="14">
        <f t="shared" si="12"/>
        <v>0</v>
      </c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</row>
    <row r="67" spans="1:53" x14ac:dyDescent="0.25">
      <c r="A67" s="14" t="s">
        <v>114</v>
      </c>
      <c r="B67" s="14" t="s">
        <v>39</v>
      </c>
      <c r="C67" s="14">
        <v>157.83600000000001</v>
      </c>
      <c r="D67" s="14">
        <v>109.357</v>
      </c>
      <c r="E67" s="14">
        <v>132.69200000000001</v>
      </c>
      <c r="F67" s="14">
        <v>75.305999999999997</v>
      </c>
      <c r="G67" s="7">
        <v>1</v>
      </c>
      <c r="H67" s="14">
        <v>40</v>
      </c>
      <c r="I67" s="14" t="s">
        <v>40</v>
      </c>
      <c r="J67" s="14"/>
      <c r="K67" s="14">
        <v>174.69300000000001</v>
      </c>
      <c r="L67" s="14">
        <f t="shared" si="17"/>
        <v>-42.001000000000005</v>
      </c>
      <c r="M67" s="14">
        <f t="shared" si="18"/>
        <v>84.099000000000004</v>
      </c>
      <c r="N67" s="14">
        <v>48.593000000000004</v>
      </c>
      <c r="O67" s="14">
        <v>0</v>
      </c>
      <c r="P67" s="14"/>
      <c r="Q67" s="14">
        <v>44.999400000000009</v>
      </c>
      <c r="R67" s="14"/>
      <c r="S67" s="14">
        <f t="shared" si="19"/>
        <v>16.819800000000001</v>
      </c>
      <c r="T67" s="4">
        <f t="shared" si="21"/>
        <v>81.532200000000003</v>
      </c>
      <c r="U67" s="4"/>
      <c r="V67" s="4">
        <f t="shared" si="8"/>
        <v>81.532200000000003</v>
      </c>
      <c r="W67" s="4"/>
      <c r="X67" s="4">
        <f t="shared" si="9"/>
        <v>81.532200000000003</v>
      </c>
      <c r="Y67" s="4"/>
      <c r="Z67" s="14"/>
      <c r="AA67" s="14"/>
      <c r="AB67" s="14">
        <f t="shared" si="10"/>
        <v>12</v>
      </c>
      <c r="AC67" s="14">
        <f t="shared" si="20"/>
        <v>7.1526058573823708</v>
      </c>
      <c r="AD67" s="14">
        <v>14.057399999999999</v>
      </c>
      <c r="AE67" s="14">
        <v>0.18079999999999999</v>
      </c>
      <c r="AF67" s="14">
        <v>0.38140000000000002</v>
      </c>
      <c r="AG67" s="14">
        <v>17.063499999999991</v>
      </c>
      <c r="AH67" s="14">
        <v>22.588333333333331</v>
      </c>
      <c r="AI67" s="14">
        <v>19.980599999999999</v>
      </c>
      <c r="AJ67" s="14">
        <v>38.773400000000002</v>
      </c>
      <c r="AK67" s="14">
        <v>30.109600000000011</v>
      </c>
      <c r="AL67" s="14"/>
      <c r="AM67" s="14">
        <f t="shared" si="11"/>
        <v>0</v>
      </c>
      <c r="AN67" s="14">
        <f t="shared" si="12"/>
        <v>82</v>
      </c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</row>
    <row r="68" spans="1:53" x14ac:dyDescent="0.25">
      <c r="A68" s="14" t="s">
        <v>115</v>
      </c>
      <c r="B68" s="14" t="s">
        <v>39</v>
      </c>
      <c r="C68" s="14">
        <v>128.107</v>
      </c>
      <c r="D68" s="14">
        <v>234.773</v>
      </c>
      <c r="E68" s="14">
        <v>209.30600000000001</v>
      </c>
      <c r="F68" s="14">
        <v>11.254</v>
      </c>
      <c r="G68" s="7">
        <v>1</v>
      </c>
      <c r="H68" s="14">
        <v>40</v>
      </c>
      <c r="I68" s="14" t="s">
        <v>40</v>
      </c>
      <c r="J68" s="14"/>
      <c r="K68" s="14">
        <v>346.03399999999999</v>
      </c>
      <c r="L68" s="14">
        <f t="shared" si="17"/>
        <v>-136.72799999999998</v>
      </c>
      <c r="M68" s="14">
        <f t="shared" si="18"/>
        <v>62.472000000000008</v>
      </c>
      <c r="N68" s="14">
        <v>146.834</v>
      </c>
      <c r="O68" s="14">
        <v>13.79780000000008</v>
      </c>
      <c r="P68" s="14"/>
      <c r="Q68" s="14">
        <v>45.619599999999963</v>
      </c>
      <c r="R68" s="14"/>
      <c r="S68" s="14">
        <f t="shared" si="19"/>
        <v>12.494400000000002</v>
      </c>
      <c r="T68" s="4">
        <f t="shared" si="21"/>
        <v>79.261399999999995</v>
      </c>
      <c r="U68" s="4"/>
      <c r="V68" s="4">
        <f t="shared" si="8"/>
        <v>79.261399999999995</v>
      </c>
      <c r="W68" s="4"/>
      <c r="X68" s="4">
        <f t="shared" si="9"/>
        <v>79.261399999999995</v>
      </c>
      <c r="Y68" s="4"/>
      <c r="Z68" s="14"/>
      <c r="AA68" s="14"/>
      <c r="AB68" s="14">
        <f t="shared" si="10"/>
        <v>12.000000000000002</v>
      </c>
      <c r="AC68" s="14">
        <f t="shared" si="20"/>
        <v>5.6562459982071989</v>
      </c>
      <c r="AD68" s="14">
        <v>10.131399999999999</v>
      </c>
      <c r="AE68" s="14">
        <v>17.514399999999998</v>
      </c>
      <c r="AF68" s="14">
        <v>14.438599999999999</v>
      </c>
      <c r="AG68" s="14">
        <v>23.942</v>
      </c>
      <c r="AH68" s="14">
        <v>21.972999999999999</v>
      </c>
      <c r="AI68" s="14">
        <v>19.435600000000001</v>
      </c>
      <c r="AJ68" s="14">
        <v>27.9544</v>
      </c>
      <c r="AK68" s="14">
        <v>15.6214</v>
      </c>
      <c r="AL68" s="14"/>
      <c r="AM68" s="14">
        <f t="shared" si="11"/>
        <v>0</v>
      </c>
      <c r="AN68" s="14">
        <f t="shared" si="12"/>
        <v>79</v>
      </c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</row>
    <row r="69" spans="1:53" x14ac:dyDescent="0.25">
      <c r="A69" s="14" t="s">
        <v>116</v>
      </c>
      <c r="B69" s="14" t="s">
        <v>39</v>
      </c>
      <c r="C69" s="14">
        <v>77.828000000000003</v>
      </c>
      <c r="D69" s="14">
        <v>92.447999999999993</v>
      </c>
      <c r="E69" s="14">
        <v>95.304000000000002</v>
      </c>
      <c r="F69" s="14">
        <v>26.869</v>
      </c>
      <c r="G69" s="7">
        <v>1</v>
      </c>
      <c r="H69" s="14">
        <v>30</v>
      </c>
      <c r="I69" s="14" t="s">
        <v>40</v>
      </c>
      <c r="J69" s="14"/>
      <c r="K69" s="14">
        <v>122.23399999999999</v>
      </c>
      <c r="L69" s="14">
        <f t="shared" si="17"/>
        <v>-26.929999999999993</v>
      </c>
      <c r="M69" s="14">
        <f t="shared" si="18"/>
        <v>95.304000000000002</v>
      </c>
      <c r="N69" s="14"/>
      <c r="O69" s="14">
        <v>18.447900000000018</v>
      </c>
      <c r="P69" s="14"/>
      <c r="Q69" s="14">
        <v>124.5085</v>
      </c>
      <c r="R69" s="14"/>
      <c r="S69" s="14">
        <f t="shared" si="19"/>
        <v>19.0608</v>
      </c>
      <c r="T69" s="4">
        <f t="shared" si="21"/>
        <v>58.904199999999989</v>
      </c>
      <c r="U69" s="4"/>
      <c r="V69" s="4">
        <f t="shared" si="8"/>
        <v>58.904199999999989</v>
      </c>
      <c r="W69" s="4"/>
      <c r="X69" s="4">
        <f t="shared" si="9"/>
        <v>58.904199999999989</v>
      </c>
      <c r="Y69" s="4"/>
      <c r="Z69" s="14"/>
      <c r="AA69" s="14"/>
      <c r="AB69" s="14">
        <f t="shared" si="10"/>
        <v>12</v>
      </c>
      <c r="AC69" s="14">
        <f t="shared" si="20"/>
        <v>8.9096680097372616</v>
      </c>
      <c r="AD69" s="14">
        <v>22.131</v>
      </c>
      <c r="AE69" s="14">
        <v>12.282</v>
      </c>
      <c r="AF69" s="14">
        <v>12.848599999999999</v>
      </c>
      <c r="AG69" s="14">
        <v>14.042999999999999</v>
      </c>
      <c r="AH69" s="14">
        <v>16.8095</v>
      </c>
      <c r="AI69" s="14">
        <v>9.7992000000000008</v>
      </c>
      <c r="AJ69" s="14">
        <v>16.130199999999999</v>
      </c>
      <c r="AK69" s="14">
        <v>12.4094</v>
      </c>
      <c r="AL69" s="14"/>
      <c r="AM69" s="14">
        <f t="shared" si="11"/>
        <v>0</v>
      </c>
      <c r="AN69" s="14">
        <f t="shared" si="12"/>
        <v>59</v>
      </c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</row>
    <row r="70" spans="1:53" x14ac:dyDescent="0.25">
      <c r="A70" s="14" t="s">
        <v>117</v>
      </c>
      <c r="B70" s="14" t="s">
        <v>44</v>
      </c>
      <c r="C70" s="14">
        <v>218</v>
      </c>
      <c r="D70" s="14">
        <v>20</v>
      </c>
      <c r="E70" s="14">
        <v>301</v>
      </c>
      <c r="F70" s="14">
        <v>-56</v>
      </c>
      <c r="G70" s="7">
        <v>0.6</v>
      </c>
      <c r="H70" s="14">
        <v>60</v>
      </c>
      <c r="I70" s="10" t="s">
        <v>91</v>
      </c>
      <c r="J70" s="14"/>
      <c r="K70" s="14">
        <v>361</v>
      </c>
      <c r="L70" s="14">
        <f t="shared" ref="L70:L98" si="22">E70-K70</f>
        <v>-60</v>
      </c>
      <c r="M70" s="14">
        <f t="shared" ref="M70:M98" si="23">E70-N70</f>
        <v>301</v>
      </c>
      <c r="N70" s="14"/>
      <c r="O70" s="14">
        <v>199.2</v>
      </c>
      <c r="P70" s="14">
        <v>300</v>
      </c>
      <c r="Q70" s="14">
        <v>75.200000000000102</v>
      </c>
      <c r="R70" s="14"/>
      <c r="S70" s="14">
        <f t="shared" ref="S70:S98" si="24">M70/5</f>
        <v>60.2</v>
      </c>
      <c r="T70" s="4">
        <f>11*S70-R70-Q70-P70-O70-F70</f>
        <v>143.80000000000001</v>
      </c>
      <c r="U70" s="4"/>
      <c r="V70" s="4">
        <f t="shared" si="8"/>
        <v>143.80000000000001</v>
      </c>
      <c r="W70" s="4"/>
      <c r="X70" s="4">
        <f t="shared" si="9"/>
        <v>143.80000000000001</v>
      </c>
      <c r="Y70" s="4"/>
      <c r="Z70" s="14"/>
      <c r="AA70" s="14"/>
      <c r="AB70" s="14">
        <f t="shared" si="10"/>
        <v>11</v>
      </c>
      <c r="AC70" s="14">
        <f t="shared" ref="AC70:AC98" si="25">(F70+O70+P70+Q70+R70)/S70</f>
        <v>8.6112956810631243</v>
      </c>
      <c r="AD70" s="14">
        <v>66.400000000000006</v>
      </c>
      <c r="AE70" s="14">
        <v>65.2</v>
      </c>
      <c r="AF70" s="14">
        <v>25</v>
      </c>
      <c r="AG70" s="14">
        <v>35.166666666666657</v>
      </c>
      <c r="AH70" s="14">
        <v>54.666666666666657</v>
      </c>
      <c r="AI70" s="14">
        <v>42.4</v>
      </c>
      <c r="AJ70" s="14">
        <v>57</v>
      </c>
      <c r="AK70" s="14">
        <v>42</v>
      </c>
      <c r="AL70" s="14" t="s">
        <v>48</v>
      </c>
      <c r="AM70" s="14">
        <f t="shared" si="11"/>
        <v>0</v>
      </c>
      <c r="AN70" s="14">
        <f t="shared" si="12"/>
        <v>86</v>
      </c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</row>
    <row r="71" spans="1:53" x14ac:dyDescent="0.25">
      <c r="A71" s="14" t="s">
        <v>118</v>
      </c>
      <c r="B71" s="14" t="s">
        <v>44</v>
      </c>
      <c r="C71" s="14">
        <v>260</v>
      </c>
      <c r="D71" s="14">
        <v>23</v>
      </c>
      <c r="E71" s="14">
        <v>53</v>
      </c>
      <c r="F71" s="14">
        <v>223</v>
      </c>
      <c r="G71" s="7">
        <v>0.6</v>
      </c>
      <c r="H71" s="14">
        <v>60</v>
      </c>
      <c r="I71" s="14" t="s">
        <v>40</v>
      </c>
      <c r="J71" s="14"/>
      <c r="K71" s="14">
        <v>197</v>
      </c>
      <c r="L71" s="14">
        <f t="shared" si="22"/>
        <v>-144</v>
      </c>
      <c r="M71" s="14">
        <f t="shared" si="23"/>
        <v>53</v>
      </c>
      <c r="N71" s="14"/>
      <c r="O71" s="14">
        <v>171.2</v>
      </c>
      <c r="P71" s="14"/>
      <c r="Q71" s="14">
        <v>16.599999999999969</v>
      </c>
      <c r="R71" s="14"/>
      <c r="S71" s="14">
        <f t="shared" si="24"/>
        <v>10.6</v>
      </c>
      <c r="T71" s="4"/>
      <c r="U71" s="4"/>
      <c r="V71" s="4">
        <f t="shared" ref="V71:V98" si="26">U71+T71</f>
        <v>0</v>
      </c>
      <c r="W71" s="4"/>
      <c r="X71" s="4">
        <f t="shared" ref="X71:X98" si="27">V71-W71</f>
        <v>0</v>
      </c>
      <c r="Y71" s="4"/>
      <c r="Z71" s="14"/>
      <c r="AA71" s="14"/>
      <c r="AB71" s="14">
        <f t="shared" ref="AB71:AB98" si="28">(F71+O71+P71+Q71+R71+V71)/S71</f>
        <v>38.75471698113207</v>
      </c>
      <c r="AC71" s="14">
        <f t="shared" si="25"/>
        <v>38.75471698113207</v>
      </c>
      <c r="AD71" s="14">
        <v>39.799999999999997</v>
      </c>
      <c r="AE71" s="14">
        <v>39.200000000000003</v>
      </c>
      <c r="AF71" s="14">
        <v>4.2</v>
      </c>
      <c r="AG71" s="14">
        <v>6.5</v>
      </c>
      <c r="AH71" s="14">
        <v>31.166666666666671</v>
      </c>
      <c r="AI71" s="14">
        <v>33.4</v>
      </c>
      <c r="AJ71" s="14">
        <v>0</v>
      </c>
      <c r="AK71" s="14">
        <v>0</v>
      </c>
      <c r="AL71" s="21" t="s">
        <v>67</v>
      </c>
      <c r="AM71" s="14">
        <f t="shared" ref="AM71:AN98" si="29">ROUND(G71*W71,0)</f>
        <v>0</v>
      </c>
      <c r="AN71" s="14">
        <f t="shared" ref="AN71:AN98" si="30">ROUND(G71*X71,0)</f>
        <v>0</v>
      </c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</row>
    <row r="72" spans="1:53" x14ac:dyDescent="0.25">
      <c r="A72" s="15" t="s">
        <v>119</v>
      </c>
      <c r="B72" s="15" t="s">
        <v>44</v>
      </c>
      <c r="C72" s="15"/>
      <c r="D72" s="15"/>
      <c r="E72" s="15"/>
      <c r="F72" s="15"/>
      <c r="G72" s="16">
        <v>0</v>
      </c>
      <c r="H72" s="15">
        <v>50</v>
      </c>
      <c r="I72" s="15" t="s">
        <v>40</v>
      </c>
      <c r="J72" s="15"/>
      <c r="K72" s="15"/>
      <c r="L72" s="15">
        <f t="shared" si="22"/>
        <v>0</v>
      </c>
      <c r="M72" s="15">
        <f t="shared" si="23"/>
        <v>0</v>
      </c>
      <c r="N72" s="15"/>
      <c r="O72" s="15">
        <v>0</v>
      </c>
      <c r="P72" s="15"/>
      <c r="Q72" s="15">
        <v>0</v>
      </c>
      <c r="R72" s="15"/>
      <c r="S72" s="15">
        <f t="shared" si="24"/>
        <v>0</v>
      </c>
      <c r="T72" s="17"/>
      <c r="U72" s="17"/>
      <c r="V72" s="4">
        <f t="shared" si="26"/>
        <v>0</v>
      </c>
      <c r="W72" s="4"/>
      <c r="X72" s="4">
        <f t="shared" si="27"/>
        <v>0</v>
      </c>
      <c r="Y72" s="17"/>
      <c r="Z72" s="15"/>
      <c r="AA72" s="15"/>
      <c r="AB72" s="14" t="e">
        <f t="shared" si="28"/>
        <v>#DIV/0!</v>
      </c>
      <c r="AC72" s="15" t="e">
        <f t="shared" si="25"/>
        <v>#DIV/0!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59</v>
      </c>
      <c r="AM72" s="14">
        <f t="shared" si="29"/>
        <v>0</v>
      </c>
      <c r="AN72" s="14">
        <f t="shared" si="30"/>
        <v>0</v>
      </c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</row>
    <row r="73" spans="1:53" x14ac:dyDescent="0.25">
      <c r="A73" s="15" t="s">
        <v>120</v>
      </c>
      <c r="B73" s="15" t="s">
        <v>44</v>
      </c>
      <c r="C73" s="15"/>
      <c r="D73" s="15"/>
      <c r="E73" s="15"/>
      <c r="F73" s="15"/>
      <c r="G73" s="16">
        <v>0</v>
      </c>
      <c r="H73" s="15">
        <v>30</v>
      </c>
      <c r="I73" s="15" t="s">
        <v>40</v>
      </c>
      <c r="J73" s="15"/>
      <c r="K73" s="15"/>
      <c r="L73" s="15">
        <f t="shared" si="22"/>
        <v>0</v>
      </c>
      <c r="M73" s="15">
        <f t="shared" si="23"/>
        <v>0</v>
      </c>
      <c r="N73" s="15"/>
      <c r="O73" s="15">
        <v>0</v>
      </c>
      <c r="P73" s="15"/>
      <c r="Q73" s="15">
        <v>0</v>
      </c>
      <c r="R73" s="15"/>
      <c r="S73" s="15">
        <f t="shared" si="24"/>
        <v>0</v>
      </c>
      <c r="T73" s="17"/>
      <c r="U73" s="17"/>
      <c r="V73" s="4">
        <f t="shared" si="26"/>
        <v>0</v>
      </c>
      <c r="W73" s="4"/>
      <c r="X73" s="4">
        <f t="shared" si="27"/>
        <v>0</v>
      </c>
      <c r="Y73" s="17"/>
      <c r="Z73" s="15"/>
      <c r="AA73" s="15"/>
      <c r="AB73" s="14" t="e">
        <f t="shared" si="28"/>
        <v>#DIV/0!</v>
      </c>
      <c r="AC73" s="15" t="e">
        <f t="shared" si="25"/>
        <v>#DIV/0!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59</v>
      </c>
      <c r="AM73" s="14">
        <f t="shared" si="29"/>
        <v>0</v>
      </c>
      <c r="AN73" s="14">
        <f t="shared" si="30"/>
        <v>0</v>
      </c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</row>
    <row r="74" spans="1:53" x14ac:dyDescent="0.25">
      <c r="A74" s="14" t="s">
        <v>121</v>
      </c>
      <c r="B74" s="14" t="s">
        <v>44</v>
      </c>
      <c r="C74" s="14">
        <v>263</v>
      </c>
      <c r="D74" s="14">
        <v>14</v>
      </c>
      <c r="E74" s="14">
        <v>157</v>
      </c>
      <c r="F74" s="14">
        <v>49</v>
      </c>
      <c r="G74" s="7">
        <v>0.6</v>
      </c>
      <c r="H74" s="14">
        <v>55</v>
      </c>
      <c r="I74" s="10" t="s">
        <v>91</v>
      </c>
      <c r="J74" s="14"/>
      <c r="K74" s="14">
        <v>215</v>
      </c>
      <c r="L74" s="14">
        <f t="shared" si="22"/>
        <v>-58</v>
      </c>
      <c r="M74" s="14">
        <f t="shared" si="23"/>
        <v>157</v>
      </c>
      <c r="N74" s="14"/>
      <c r="O74" s="14">
        <v>0</v>
      </c>
      <c r="P74" s="14"/>
      <c r="Q74" s="14">
        <v>137.19999999999999</v>
      </c>
      <c r="R74" s="14"/>
      <c r="S74" s="14">
        <f t="shared" si="24"/>
        <v>31.4</v>
      </c>
      <c r="T74" s="4">
        <f>12*S74-R74-Q74-P74-O74-F74</f>
        <v>190.59999999999997</v>
      </c>
      <c r="U74" s="4"/>
      <c r="V74" s="4">
        <f t="shared" si="26"/>
        <v>190.59999999999997</v>
      </c>
      <c r="W74" s="4"/>
      <c r="X74" s="4">
        <f t="shared" si="27"/>
        <v>190.59999999999997</v>
      </c>
      <c r="Y74" s="4"/>
      <c r="Z74" s="14"/>
      <c r="AA74" s="14"/>
      <c r="AB74" s="14">
        <f t="shared" si="28"/>
        <v>11.999999999999998</v>
      </c>
      <c r="AC74" s="14">
        <f t="shared" si="25"/>
        <v>5.9299363057324843</v>
      </c>
      <c r="AD74" s="14">
        <v>26.2</v>
      </c>
      <c r="AE74" s="14">
        <v>20.2</v>
      </c>
      <c r="AF74" s="14">
        <v>13.4</v>
      </c>
      <c r="AG74" s="14">
        <v>19.5</v>
      </c>
      <c r="AH74" s="14">
        <v>28.5</v>
      </c>
      <c r="AI74" s="14">
        <v>27.6</v>
      </c>
      <c r="AJ74" s="14">
        <v>30.6</v>
      </c>
      <c r="AK74" s="14">
        <v>37.4</v>
      </c>
      <c r="AL74" s="14"/>
      <c r="AM74" s="14">
        <f t="shared" si="29"/>
        <v>0</v>
      </c>
      <c r="AN74" s="14">
        <f t="shared" si="30"/>
        <v>114</v>
      </c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</row>
    <row r="75" spans="1:53" x14ac:dyDescent="0.25">
      <c r="A75" s="15" t="s">
        <v>122</v>
      </c>
      <c r="B75" s="15" t="s">
        <v>44</v>
      </c>
      <c r="C75" s="15"/>
      <c r="D75" s="15"/>
      <c r="E75" s="15"/>
      <c r="F75" s="15"/>
      <c r="G75" s="16">
        <v>0</v>
      </c>
      <c r="H75" s="15">
        <v>40</v>
      </c>
      <c r="I75" s="15" t="s">
        <v>40</v>
      </c>
      <c r="J75" s="15"/>
      <c r="K75" s="15"/>
      <c r="L75" s="15">
        <f t="shared" si="22"/>
        <v>0</v>
      </c>
      <c r="M75" s="15">
        <f t="shared" si="23"/>
        <v>0</v>
      </c>
      <c r="N75" s="15"/>
      <c r="O75" s="15">
        <v>0</v>
      </c>
      <c r="P75" s="15"/>
      <c r="Q75" s="15">
        <v>0</v>
      </c>
      <c r="R75" s="15"/>
      <c r="S75" s="15">
        <f t="shared" si="24"/>
        <v>0</v>
      </c>
      <c r="T75" s="17"/>
      <c r="U75" s="17"/>
      <c r="V75" s="4">
        <f t="shared" si="26"/>
        <v>0</v>
      </c>
      <c r="W75" s="4"/>
      <c r="X75" s="4">
        <f t="shared" si="27"/>
        <v>0</v>
      </c>
      <c r="Y75" s="17"/>
      <c r="Z75" s="15"/>
      <c r="AA75" s="15"/>
      <c r="AB75" s="14" t="e">
        <f t="shared" si="28"/>
        <v>#DIV/0!</v>
      </c>
      <c r="AC75" s="15" t="e">
        <f t="shared" si="25"/>
        <v>#DIV/0!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123</v>
      </c>
      <c r="AM75" s="14">
        <f t="shared" si="29"/>
        <v>0</v>
      </c>
      <c r="AN75" s="14">
        <f t="shared" si="30"/>
        <v>0</v>
      </c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</row>
    <row r="76" spans="1:53" x14ac:dyDescent="0.25">
      <c r="A76" s="14" t="s">
        <v>124</v>
      </c>
      <c r="B76" s="14" t="s">
        <v>44</v>
      </c>
      <c r="C76" s="14">
        <v>93</v>
      </c>
      <c r="D76" s="14">
        <v>20</v>
      </c>
      <c r="E76" s="14">
        <v>61</v>
      </c>
      <c r="F76" s="14">
        <v>40</v>
      </c>
      <c r="G76" s="7">
        <v>0.4</v>
      </c>
      <c r="H76" s="14">
        <v>50</v>
      </c>
      <c r="I76" s="14" t="s">
        <v>40</v>
      </c>
      <c r="J76" s="14"/>
      <c r="K76" s="14">
        <v>69</v>
      </c>
      <c r="L76" s="14">
        <f t="shared" si="22"/>
        <v>-8</v>
      </c>
      <c r="M76" s="14">
        <f t="shared" si="23"/>
        <v>55</v>
      </c>
      <c r="N76" s="14">
        <v>6</v>
      </c>
      <c r="O76" s="14">
        <v>79.800000000000011</v>
      </c>
      <c r="P76" s="14"/>
      <c r="Q76" s="14">
        <v>21.599999999999991</v>
      </c>
      <c r="R76" s="14"/>
      <c r="S76" s="14">
        <f t="shared" si="24"/>
        <v>11</v>
      </c>
      <c r="T76" s="4"/>
      <c r="U76" s="4"/>
      <c r="V76" s="4">
        <f t="shared" si="26"/>
        <v>0</v>
      </c>
      <c r="W76" s="4"/>
      <c r="X76" s="4">
        <f t="shared" si="27"/>
        <v>0</v>
      </c>
      <c r="Y76" s="4"/>
      <c r="Z76" s="14"/>
      <c r="AA76" s="14"/>
      <c r="AB76" s="14">
        <f t="shared" si="28"/>
        <v>12.854545454545455</v>
      </c>
      <c r="AC76" s="14">
        <f t="shared" si="25"/>
        <v>12.854545454545455</v>
      </c>
      <c r="AD76" s="14">
        <v>14.4</v>
      </c>
      <c r="AE76" s="14">
        <v>14.4</v>
      </c>
      <c r="AF76" s="14">
        <v>8.8000000000000007</v>
      </c>
      <c r="AG76" s="14">
        <v>8.8333333333333339</v>
      </c>
      <c r="AH76" s="14">
        <v>15.83333333333333</v>
      </c>
      <c r="AI76" s="14">
        <v>11.2</v>
      </c>
      <c r="AJ76" s="14">
        <v>9.1999999999999993</v>
      </c>
      <c r="AK76" s="14">
        <v>8.6</v>
      </c>
      <c r="AL76" s="14" t="s">
        <v>48</v>
      </c>
      <c r="AM76" s="14">
        <f t="shared" si="29"/>
        <v>0</v>
      </c>
      <c r="AN76" s="14">
        <f t="shared" si="30"/>
        <v>0</v>
      </c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</row>
    <row r="77" spans="1:53" x14ac:dyDescent="0.25">
      <c r="A77" s="15" t="s">
        <v>125</v>
      </c>
      <c r="B77" s="15" t="s">
        <v>44</v>
      </c>
      <c r="C77" s="15"/>
      <c r="D77" s="15"/>
      <c r="E77" s="15"/>
      <c r="F77" s="15"/>
      <c r="G77" s="16">
        <v>0</v>
      </c>
      <c r="H77" s="15">
        <v>55</v>
      </c>
      <c r="I77" s="15" t="s">
        <v>40</v>
      </c>
      <c r="J77" s="15"/>
      <c r="K77" s="15"/>
      <c r="L77" s="15">
        <f t="shared" si="22"/>
        <v>0</v>
      </c>
      <c r="M77" s="15">
        <f t="shared" si="23"/>
        <v>0</v>
      </c>
      <c r="N77" s="15"/>
      <c r="O77" s="15">
        <v>0</v>
      </c>
      <c r="P77" s="15"/>
      <c r="Q77" s="15">
        <v>0</v>
      </c>
      <c r="R77" s="15"/>
      <c r="S77" s="15">
        <f t="shared" si="24"/>
        <v>0</v>
      </c>
      <c r="T77" s="17"/>
      <c r="U77" s="17"/>
      <c r="V77" s="4">
        <f t="shared" si="26"/>
        <v>0</v>
      </c>
      <c r="W77" s="4"/>
      <c r="X77" s="4">
        <f t="shared" si="27"/>
        <v>0</v>
      </c>
      <c r="Y77" s="17"/>
      <c r="Z77" s="15"/>
      <c r="AA77" s="15"/>
      <c r="AB77" s="14" t="e">
        <f t="shared" si="28"/>
        <v>#DIV/0!</v>
      </c>
      <c r="AC77" s="15" t="e">
        <f t="shared" si="25"/>
        <v>#DIV/0!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126</v>
      </c>
      <c r="AM77" s="14">
        <f t="shared" si="29"/>
        <v>0</v>
      </c>
      <c r="AN77" s="14">
        <f t="shared" si="30"/>
        <v>0</v>
      </c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</row>
    <row r="78" spans="1:53" x14ac:dyDescent="0.25">
      <c r="A78" s="14" t="s">
        <v>127</v>
      </c>
      <c r="B78" s="14" t="s">
        <v>39</v>
      </c>
      <c r="C78" s="14">
        <v>11.577999999999999</v>
      </c>
      <c r="D78" s="14"/>
      <c r="E78" s="14">
        <v>7.8090000000000002</v>
      </c>
      <c r="F78" s="14">
        <v>-5.0999999999999997E-2</v>
      </c>
      <c r="G78" s="7">
        <v>1</v>
      </c>
      <c r="H78" s="14">
        <v>55</v>
      </c>
      <c r="I78" s="14" t="s">
        <v>40</v>
      </c>
      <c r="J78" s="14"/>
      <c r="K78" s="14">
        <v>8</v>
      </c>
      <c r="L78" s="14">
        <f t="shared" si="22"/>
        <v>-0.19099999999999984</v>
      </c>
      <c r="M78" s="14">
        <f t="shared" si="23"/>
        <v>7.8090000000000002</v>
      </c>
      <c r="N78" s="14"/>
      <c r="O78" s="14">
        <v>4</v>
      </c>
      <c r="P78" s="14"/>
      <c r="Q78" s="14">
        <v>12.9488</v>
      </c>
      <c r="R78" s="14"/>
      <c r="S78" s="14">
        <f t="shared" si="24"/>
        <v>1.5618000000000001</v>
      </c>
      <c r="T78" s="4">
        <v>4</v>
      </c>
      <c r="U78" s="4"/>
      <c r="V78" s="4">
        <f t="shared" si="26"/>
        <v>4</v>
      </c>
      <c r="W78" s="4"/>
      <c r="X78" s="4">
        <f t="shared" si="27"/>
        <v>4</v>
      </c>
      <c r="Y78" s="4"/>
      <c r="Z78" s="14"/>
      <c r="AA78" s="14"/>
      <c r="AB78" s="14">
        <f t="shared" si="28"/>
        <v>13.380586502753232</v>
      </c>
      <c r="AC78" s="14">
        <f t="shared" si="25"/>
        <v>10.819439108720706</v>
      </c>
      <c r="AD78" s="14">
        <v>2.0392000000000001</v>
      </c>
      <c r="AE78" s="14">
        <v>1.1514</v>
      </c>
      <c r="AF78" s="14">
        <v>1.147</v>
      </c>
      <c r="AG78" s="14">
        <v>1.1916666666666671</v>
      </c>
      <c r="AH78" s="14">
        <v>1.1919999999999999</v>
      </c>
      <c r="AI78" s="14">
        <v>0.57440000000000002</v>
      </c>
      <c r="AJ78" s="14">
        <v>1.1484000000000001</v>
      </c>
      <c r="AK78" s="14">
        <v>1.4388000000000001</v>
      </c>
      <c r="AL78" s="14"/>
      <c r="AM78" s="14">
        <f t="shared" si="29"/>
        <v>0</v>
      </c>
      <c r="AN78" s="14">
        <f t="shared" si="30"/>
        <v>4</v>
      </c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</row>
    <row r="79" spans="1:53" x14ac:dyDescent="0.25">
      <c r="A79" s="14" t="s">
        <v>128</v>
      </c>
      <c r="B79" s="14" t="s">
        <v>39</v>
      </c>
      <c r="C79" s="14">
        <v>1913.38</v>
      </c>
      <c r="D79" s="14">
        <v>3634.922</v>
      </c>
      <c r="E79" s="14">
        <v>1986.683</v>
      </c>
      <c r="F79" s="14">
        <v>3019.6410000000001</v>
      </c>
      <c r="G79" s="7">
        <v>1</v>
      </c>
      <c r="H79" s="14">
        <v>60</v>
      </c>
      <c r="I79" s="14" t="s">
        <v>40</v>
      </c>
      <c r="J79" s="14"/>
      <c r="K79" s="14">
        <v>2266.87</v>
      </c>
      <c r="L79" s="14">
        <f t="shared" si="22"/>
        <v>-280.1869999999999</v>
      </c>
      <c r="M79" s="14">
        <f t="shared" si="23"/>
        <v>1843.6030000000001</v>
      </c>
      <c r="N79" s="14">
        <v>143.08000000000001</v>
      </c>
      <c r="O79" s="14">
        <v>0</v>
      </c>
      <c r="P79" s="14"/>
      <c r="Q79" s="14">
        <v>482.75181999999933</v>
      </c>
      <c r="R79" s="14">
        <v>900</v>
      </c>
      <c r="S79" s="14">
        <f t="shared" si="24"/>
        <v>368.72059999999999</v>
      </c>
      <c r="T79" s="4">
        <f t="shared" ref="T79:T90" si="31">12*S79-R79-Q79-P79-O79-F79</f>
        <v>22.254379999999855</v>
      </c>
      <c r="U79" s="4">
        <f t="shared" ref="U79:U82" si="32">$U$1*S79</f>
        <v>553.08089999999993</v>
      </c>
      <c r="V79" s="4">
        <f t="shared" si="26"/>
        <v>575.33527999999978</v>
      </c>
      <c r="W79" s="4">
        <v>300</v>
      </c>
      <c r="X79" s="4">
        <f t="shared" si="27"/>
        <v>275.33527999999978</v>
      </c>
      <c r="Y79" s="4"/>
      <c r="Z79" s="14"/>
      <c r="AA79" s="14"/>
      <c r="AB79" s="14">
        <f t="shared" si="28"/>
        <v>13.499999999999996</v>
      </c>
      <c r="AC79" s="14">
        <f t="shared" si="25"/>
        <v>11.939644326896842</v>
      </c>
      <c r="AD79" s="14">
        <v>383.53820000000002</v>
      </c>
      <c r="AE79" s="14">
        <v>415.07600000000002</v>
      </c>
      <c r="AF79" s="14">
        <v>388.7432</v>
      </c>
      <c r="AG79" s="14">
        <v>477.17983333333342</v>
      </c>
      <c r="AH79" s="14">
        <v>512.40033333333338</v>
      </c>
      <c r="AI79" s="14">
        <v>422.93639999999988</v>
      </c>
      <c r="AJ79" s="14">
        <v>386.452</v>
      </c>
      <c r="AK79" s="14">
        <v>363.56479999999999</v>
      </c>
      <c r="AL79" s="14" t="s">
        <v>54</v>
      </c>
      <c r="AM79" s="14">
        <f t="shared" si="29"/>
        <v>300</v>
      </c>
      <c r="AN79" s="14">
        <f t="shared" si="30"/>
        <v>275</v>
      </c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</row>
    <row r="80" spans="1:53" x14ac:dyDescent="0.25">
      <c r="A80" s="14" t="s">
        <v>129</v>
      </c>
      <c r="B80" s="14" t="s">
        <v>39</v>
      </c>
      <c r="C80" s="14">
        <v>505.94600000000003</v>
      </c>
      <c r="D80" s="14">
        <v>806.50099999999998</v>
      </c>
      <c r="E80" s="14">
        <v>665.423</v>
      </c>
      <c r="F80" s="14">
        <v>401.839</v>
      </c>
      <c r="G80" s="7">
        <v>1</v>
      </c>
      <c r="H80" s="14">
        <v>60</v>
      </c>
      <c r="I80" s="14" t="s">
        <v>40</v>
      </c>
      <c r="J80" s="14"/>
      <c r="K80" s="14">
        <v>837.75900000000001</v>
      </c>
      <c r="L80" s="14">
        <f t="shared" si="22"/>
        <v>-172.33600000000001</v>
      </c>
      <c r="M80" s="14">
        <f t="shared" si="23"/>
        <v>620.39400000000001</v>
      </c>
      <c r="N80" s="14">
        <v>45.029000000000003</v>
      </c>
      <c r="O80" s="14">
        <v>195.4839821066667</v>
      </c>
      <c r="P80" s="14">
        <v>150</v>
      </c>
      <c r="Q80" s="14">
        <v>489.6413083333332</v>
      </c>
      <c r="R80" s="14"/>
      <c r="S80" s="14">
        <f t="shared" si="24"/>
        <v>124.0788</v>
      </c>
      <c r="T80" s="4">
        <f t="shared" si="31"/>
        <v>251.98130956000017</v>
      </c>
      <c r="U80" s="4">
        <f t="shared" si="32"/>
        <v>186.1182</v>
      </c>
      <c r="V80" s="4">
        <f t="shared" si="26"/>
        <v>438.09950956000017</v>
      </c>
      <c r="W80" s="4"/>
      <c r="X80" s="4">
        <f t="shared" si="27"/>
        <v>438.09950956000017</v>
      </c>
      <c r="Y80" s="4"/>
      <c r="Z80" s="14"/>
      <c r="AA80" s="14"/>
      <c r="AB80" s="14">
        <f t="shared" si="28"/>
        <v>13.499999999999998</v>
      </c>
      <c r="AC80" s="14">
        <f t="shared" si="25"/>
        <v>9.9691832161497356</v>
      </c>
      <c r="AD80" s="14">
        <v>111.386</v>
      </c>
      <c r="AE80" s="14">
        <v>117.4562</v>
      </c>
      <c r="AF80" s="14">
        <v>117.462</v>
      </c>
      <c r="AG80" s="14">
        <v>106.5605</v>
      </c>
      <c r="AH80" s="14">
        <v>112.21566666666671</v>
      </c>
      <c r="AI80" s="14">
        <v>93.206400000000002</v>
      </c>
      <c r="AJ80" s="14">
        <v>104.95820000000001</v>
      </c>
      <c r="AK80" s="14">
        <v>100.2758</v>
      </c>
      <c r="AL80" s="14"/>
      <c r="AM80" s="14">
        <f t="shared" si="29"/>
        <v>0</v>
      </c>
      <c r="AN80" s="14">
        <f t="shared" si="30"/>
        <v>438</v>
      </c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</row>
    <row r="81" spans="1:53" x14ac:dyDescent="0.25">
      <c r="A81" s="14" t="s">
        <v>130</v>
      </c>
      <c r="B81" s="14" t="s">
        <v>39</v>
      </c>
      <c r="C81" s="14">
        <v>791.14599999999996</v>
      </c>
      <c r="D81" s="14">
        <v>3751.5369999999998</v>
      </c>
      <c r="E81" s="14">
        <v>1303.931</v>
      </c>
      <c r="F81" s="14">
        <v>2886.9490000000001</v>
      </c>
      <c r="G81" s="7">
        <v>1</v>
      </c>
      <c r="H81" s="14">
        <v>60</v>
      </c>
      <c r="I81" s="14" t="s">
        <v>40</v>
      </c>
      <c r="J81" s="14"/>
      <c r="K81" s="14">
        <v>1429.0160000000001</v>
      </c>
      <c r="L81" s="14">
        <f t="shared" si="22"/>
        <v>-125.08500000000004</v>
      </c>
      <c r="M81" s="14">
        <f t="shared" si="23"/>
        <v>1166.5150000000001</v>
      </c>
      <c r="N81" s="14">
        <v>137.416</v>
      </c>
      <c r="O81" s="14">
        <v>0</v>
      </c>
      <c r="P81" s="14"/>
      <c r="Q81" s="14">
        <v>0</v>
      </c>
      <c r="R81" s="14"/>
      <c r="S81" s="14">
        <f t="shared" si="24"/>
        <v>233.30300000000003</v>
      </c>
      <c r="T81" s="4"/>
      <c r="U81" s="4">
        <f t="shared" si="32"/>
        <v>349.95450000000005</v>
      </c>
      <c r="V81" s="4">
        <f t="shared" si="26"/>
        <v>349.95450000000005</v>
      </c>
      <c r="W81" s="4"/>
      <c r="X81" s="4">
        <f t="shared" si="27"/>
        <v>349.95450000000005</v>
      </c>
      <c r="Y81" s="4"/>
      <c r="Z81" s="14"/>
      <c r="AA81" s="14"/>
      <c r="AB81" s="14">
        <f t="shared" si="28"/>
        <v>13.874247223567636</v>
      </c>
      <c r="AC81" s="14">
        <f t="shared" si="25"/>
        <v>12.374247223567634</v>
      </c>
      <c r="AD81" s="14">
        <v>232.3142</v>
      </c>
      <c r="AE81" s="14">
        <v>276.44799999999998</v>
      </c>
      <c r="AF81" s="14">
        <v>331.80840000000001</v>
      </c>
      <c r="AG81" s="14">
        <v>365.2761666666666</v>
      </c>
      <c r="AH81" s="14">
        <v>363.50683333333342</v>
      </c>
      <c r="AI81" s="14">
        <v>260.88420000000002</v>
      </c>
      <c r="AJ81" s="14">
        <v>328.93779999999998</v>
      </c>
      <c r="AK81" s="14">
        <v>245.31800000000001</v>
      </c>
      <c r="AL81" s="14" t="s">
        <v>131</v>
      </c>
      <c r="AM81" s="14">
        <f t="shared" si="29"/>
        <v>0</v>
      </c>
      <c r="AN81" s="14">
        <f t="shared" si="30"/>
        <v>350</v>
      </c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</row>
    <row r="82" spans="1:53" x14ac:dyDescent="0.25">
      <c r="A82" s="14" t="s">
        <v>63</v>
      </c>
      <c r="B82" s="14" t="s">
        <v>39</v>
      </c>
      <c r="C82" s="14">
        <v>801.56799999999998</v>
      </c>
      <c r="D82" s="14">
        <v>4720.0749999999998</v>
      </c>
      <c r="E82" s="19">
        <f>2093.864+E22</f>
        <v>2096.3760000000002</v>
      </c>
      <c r="F82" s="19">
        <f>2651.457+F22</f>
        <v>2646.4490000000001</v>
      </c>
      <c r="G82" s="7">
        <v>1</v>
      </c>
      <c r="H82" s="14">
        <v>60</v>
      </c>
      <c r="I82" s="14" t="s">
        <v>40</v>
      </c>
      <c r="J82" s="14"/>
      <c r="K82" s="14">
        <v>2318.2310000000002</v>
      </c>
      <c r="L82" s="14">
        <f t="shared" si="22"/>
        <v>-221.85500000000002</v>
      </c>
      <c r="M82" s="14">
        <f t="shared" si="23"/>
        <v>1810.9050000000002</v>
      </c>
      <c r="N82" s="14">
        <v>285.471</v>
      </c>
      <c r="O82" s="14">
        <v>821.30193859333122</v>
      </c>
      <c r="P82" s="14">
        <v>1000</v>
      </c>
      <c r="Q82" s="14">
        <v>0</v>
      </c>
      <c r="R82" s="14"/>
      <c r="S82" s="14">
        <f t="shared" si="24"/>
        <v>362.18100000000004</v>
      </c>
      <c r="T82" s="4"/>
      <c r="U82" s="4">
        <f t="shared" si="32"/>
        <v>543.27150000000006</v>
      </c>
      <c r="V82" s="4">
        <f t="shared" si="26"/>
        <v>543.27150000000006</v>
      </c>
      <c r="W82" s="4"/>
      <c r="X82" s="4">
        <f t="shared" si="27"/>
        <v>543.27150000000006</v>
      </c>
      <c r="Y82" s="4"/>
      <c r="Z82" s="14"/>
      <c r="AA82" s="14"/>
      <c r="AB82" s="14">
        <f t="shared" si="28"/>
        <v>13.835685578739168</v>
      </c>
      <c r="AC82" s="14">
        <f t="shared" si="25"/>
        <v>12.33568557873917</v>
      </c>
      <c r="AD82" s="14">
        <v>376.33399999999989</v>
      </c>
      <c r="AE82" s="14">
        <v>533.49</v>
      </c>
      <c r="AF82" s="14">
        <v>467.63459999999998</v>
      </c>
      <c r="AG82" s="14">
        <v>435.58100000000002</v>
      </c>
      <c r="AH82" s="14">
        <v>470.60383333333328</v>
      </c>
      <c r="AI82" s="14">
        <v>379.06599999999997</v>
      </c>
      <c r="AJ82" s="14">
        <v>346.77960000000002</v>
      </c>
      <c r="AK82" s="14">
        <v>348.16919999999999</v>
      </c>
      <c r="AL82" s="14" t="s">
        <v>54</v>
      </c>
      <c r="AM82" s="14">
        <f t="shared" si="29"/>
        <v>0</v>
      </c>
      <c r="AN82" s="14">
        <f t="shared" si="30"/>
        <v>543</v>
      </c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</row>
    <row r="83" spans="1:53" x14ac:dyDescent="0.25">
      <c r="A83" s="14" t="s">
        <v>132</v>
      </c>
      <c r="B83" s="14" t="s">
        <v>39</v>
      </c>
      <c r="C83" s="14">
        <v>19.463000000000001</v>
      </c>
      <c r="D83" s="14">
        <v>12.186999999999999</v>
      </c>
      <c r="E83" s="14">
        <v>14.592000000000001</v>
      </c>
      <c r="F83" s="14">
        <v>4.8710000000000004</v>
      </c>
      <c r="G83" s="7">
        <v>1</v>
      </c>
      <c r="H83" s="14">
        <v>60</v>
      </c>
      <c r="I83" s="14" t="s">
        <v>40</v>
      </c>
      <c r="J83" s="14"/>
      <c r="K83" s="14">
        <v>26.786999999999999</v>
      </c>
      <c r="L83" s="14">
        <f t="shared" si="22"/>
        <v>-12.194999999999999</v>
      </c>
      <c r="M83" s="14">
        <f t="shared" si="23"/>
        <v>2.4050000000000011</v>
      </c>
      <c r="N83" s="14">
        <v>12.186999999999999</v>
      </c>
      <c r="O83" s="14">
        <v>0</v>
      </c>
      <c r="P83" s="14"/>
      <c r="Q83" s="14">
        <v>4</v>
      </c>
      <c r="R83" s="14"/>
      <c r="S83" s="14">
        <f t="shared" si="24"/>
        <v>0.48100000000000021</v>
      </c>
      <c r="T83" s="4"/>
      <c r="U83" s="4"/>
      <c r="V83" s="4">
        <f t="shared" si="26"/>
        <v>0</v>
      </c>
      <c r="W83" s="4"/>
      <c r="X83" s="4">
        <f t="shared" si="27"/>
        <v>0</v>
      </c>
      <c r="Y83" s="4"/>
      <c r="Z83" s="14"/>
      <c r="AA83" s="14"/>
      <c r="AB83" s="14">
        <f t="shared" si="28"/>
        <v>18.442827442827436</v>
      </c>
      <c r="AC83" s="14">
        <f t="shared" si="25"/>
        <v>18.442827442827436</v>
      </c>
      <c r="AD83" s="14">
        <v>0.9680000000000003</v>
      </c>
      <c r="AE83" s="14">
        <v>0.96799999999999997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 t="s">
        <v>133</v>
      </c>
      <c r="AM83" s="14">
        <f t="shared" si="29"/>
        <v>0</v>
      </c>
      <c r="AN83" s="14">
        <f t="shared" si="30"/>
        <v>0</v>
      </c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</row>
    <row r="84" spans="1:53" x14ac:dyDescent="0.25">
      <c r="A84" s="14" t="s">
        <v>134</v>
      </c>
      <c r="B84" s="14" t="s">
        <v>44</v>
      </c>
      <c r="C84" s="14">
        <v>156</v>
      </c>
      <c r="D84" s="14">
        <v>211</v>
      </c>
      <c r="E84" s="14">
        <v>185</v>
      </c>
      <c r="F84" s="14">
        <v>166</v>
      </c>
      <c r="G84" s="7">
        <v>0.3</v>
      </c>
      <c r="H84" s="14">
        <v>40</v>
      </c>
      <c r="I84" s="14" t="s">
        <v>40</v>
      </c>
      <c r="J84" s="14"/>
      <c r="K84" s="14">
        <v>188</v>
      </c>
      <c r="L84" s="14">
        <f t="shared" si="22"/>
        <v>-3</v>
      </c>
      <c r="M84" s="14">
        <f t="shared" si="23"/>
        <v>185</v>
      </c>
      <c r="N84" s="14"/>
      <c r="O84" s="14">
        <v>0</v>
      </c>
      <c r="P84" s="14"/>
      <c r="Q84" s="14">
        <v>57.420039999999972</v>
      </c>
      <c r="R84" s="14"/>
      <c r="S84" s="14">
        <f t="shared" si="24"/>
        <v>37</v>
      </c>
      <c r="T84" s="4">
        <f t="shared" si="31"/>
        <v>220.57996000000003</v>
      </c>
      <c r="U84" s="4"/>
      <c r="V84" s="4">
        <f t="shared" si="26"/>
        <v>220.57996000000003</v>
      </c>
      <c r="W84" s="4"/>
      <c r="X84" s="4">
        <f t="shared" si="27"/>
        <v>220.57996000000003</v>
      </c>
      <c r="Y84" s="4"/>
      <c r="Z84" s="14"/>
      <c r="AA84" s="14"/>
      <c r="AB84" s="14">
        <f t="shared" si="28"/>
        <v>12</v>
      </c>
      <c r="AC84" s="14">
        <f t="shared" si="25"/>
        <v>6.0383794594594589</v>
      </c>
      <c r="AD84" s="14">
        <v>26.2</v>
      </c>
      <c r="AE84" s="14">
        <v>22</v>
      </c>
      <c r="AF84" s="14">
        <v>33.200000000000003</v>
      </c>
      <c r="AG84" s="14">
        <v>31.333333333333329</v>
      </c>
      <c r="AH84" s="14">
        <v>30.333333333333329</v>
      </c>
      <c r="AI84" s="14">
        <v>20.8</v>
      </c>
      <c r="AJ84" s="14">
        <v>26.2</v>
      </c>
      <c r="AK84" s="14">
        <v>21.8</v>
      </c>
      <c r="AL84" s="14"/>
      <c r="AM84" s="14">
        <f t="shared" si="29"/>
        <v>0</v>
      </c>
      <c r="AN84" s="14">
        <f t="shared" si="30"/>
        <v>66</v>
      </c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</row>
    <row r="85" spans="1:53" x14ac:dyDescent="0.25">
      <c r="A85" s="14" t="s">
        <v>135</v>
      </c>
      <c r="B85" s="14" t="s">
        <v>44</v>
      </c>
      <c r="C85" s="14">
        <v>107</v>
      </c>
      <c r="D85" s="14">
        <v>78</v>
      </c>
      <c r="E85" s="14">
        <v>83</v>
      </c>
      <c r="F85" s="14">
        <v>91</v>
      </c>
      <c r="G85" s="7">
        <v>7.0000000000000007E-2</v>
      </c>
      <c r="H85" s="14">
        <v>90</v>
      </c>
      <c r="I85" s="14" t="s">
        <v>40</v>
      </c>
      <c r="J85" s="14"/>
      <c r="K85" s="14">
        <v>86</v>
      </c>
      <c r="L85" s="14">
        <f t="shared" si="22"/>
        <v>-3</v>
      </c>
      <c r="M85" s="14">
        <f t="shared" si="23"/>
        <v>83</v>
      </c>
      <c r="N85" s="14"/>
      <c r="O85" s="14">
        <v>59.899999999999977</v>
      </c>
      <c r="P85" s="14"/>
      <c r="Q85" s="14">
        <v>27.5</v>
      </c>
      <c r="R85" s="14"/>
      <c r="S85" s="14">
        <f t="shared" si="24"/>
        <v>16.600000000000001</v>
      </c>
      <c r="T85" s="4">
        <f t="shared" si="31"/>
        <v>20.80000000000004</v>
      </c>
      <c r="U85" s="4"/>
      <c r="V85" s="4">
        <f t="shared" si="26"/>
        <v>20.80000000000004</v>
      </c>
      <c r="W85" s="4"/>
      <c r="X85" s="4">
        <f t="shared" si="27"/>
        <v>20.80000000000004</v>
      </c>
      <c r="Y85" s="4"/>
      <c r="Z85" s="14"/>
      <c r="AA85" s="14"/>
      <c r="AB85" s="14">
        <f t="shared" si="28"/>
        <v>12</v>
      </c>
      <c r="AC85" s="14">
        <f t="shared" si="25"/>
        <v>10.746987951807226</v>
      </c>
      <c r="AD85" s="14">
        <v>19.399999999999999</v>
      </c>
      <c r="AE85" s="14">
        <v>18.2</v>
      </c>
      <c r="AF85" s="14">
        <v>17.600000000000001</v>
      </c>
      <c r="AG85" s="14">
        <v>19.333333333333329</v>
      </c>
      <c r="AH85" s="14">
        <v>20.5</v>
      </c>
      <c r="AI85" s="14">
        <v>15</v>
      </c>
      <c r="AJ85" s="14">
        <v>10.4</v>
      </c>
      <c r="AK85" s="14">
        <v>7.8</v>
      </c>
      <c r="AL85" s="14"/>
      <c r="AM85" s="14">
        <f t="shared" si="29"/>
        <v>0</v>
      </c>
      <c r="AN85" s="14">
        <f t="shared" si="30"/>
        <v>1</v>
      </c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</row>
    <row r="86" spans="1:53" x14ac:dyDescent="0.25">
      <c r="A86" s="14" t="s">
        <v>136</v>
      </c>
      <c r="B86" s="14" t="s">
        <v>44</v>
      </c>
      <c r="C86" s="14">
        <v>19</v>
      </c>
      <c r="D86" s="14">
        <v>148</v>
      </c>
      <c r="E86" s="14">
        <v>109</v>
      </c>
      <c r="F86" s="14">
        <v>52</v>
      </c>
      <c r="G86" s="7">
        <v>7.0000000000000007E-2</v>
      </c>
      <c r="H86" s="14">
        <v>90</v>
      </c>
      <c r="I86" s="14" t="s">
        <v>40</v>
      </c>
      <c r="J86" s="14"/>
      <c r="K86" s="14">
        <v>110</v>
      </c>
      <c r="L86" s="14">
        <f t="shared" si="22"/>
        <v>-1</v>
      </c>
      <c r="M86" s="14">
        <f t="shared" si="23"/>
        <v>109</v>
      </c>
      <c r="N86" s="14"/>
      <c r="O86" s="14">
        <v>172.6556666666666</v>
      </c>
      <c r="P86" s="14"/>
      <c r="Q86" s="14">
        <v>93.233333333333405</v>
      </c>
      <c r="R86" s="14"/>
      <c r="S86" s="14">
        <f t="shared" si="24"/>
        <v>21.8</v>
      </c>
      <c r="T86" s="4"/>
      <c r="U86" s="4"/>
      <c r="V86" s="4">
        <f t="shared" si="26"/>
        <v>0</v>
      </c>
      <c r="W86" s="4"/>
      <c r="X86" s="4">
        <f t="shared" si="27"/>
        <v>0</v>
      </c>
      <c r="Y86" s="4"/>
      <c r="Z86" s="14"/>
      <c r="AA86" s="14"/>
      <c r="AB86" s="14">
        <f t="shared" si="28"/>
        <v>14.582064220183486</v>
      </c>
      <c r="AC86" s="14">
        <f t="shared" si="25"/>
        <v>14.582064220183486</v>
      </c>
      <c r="AD86" s="14">
        <v>31.2</v>
      </c>
      <c r="AE86" s="14">
        <v>27.4</v>
      </c>
      <c r="AF86" s="14">
        <v>21.4</v>
      </c>
      <c r="AG86" s="14">
        <v>20.666666666666671</v>
      </c>
      <c r="AH86" s="14">
        <v>18.833333333333329</v>
      </c>
      <c r="AI86" s="14">
        <v>16.8</v>
      </c>
      <c r="AJ86" s="14">
        <v>11.6</v>
      </c>
      <c r="AK86" s="14">
        <v>8.8000000000000007</v>
      </c>
      <c r="AL86" s="14"/>
      <c r="AM86" s="14">
        <f t="shared" si="29"/>
        <v>0</v>
      </c>
      <c r="AN86" s="14">
        <f t="shared" si="30"/>
        <v>0</v>
      </c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</row>
    <row r="87" spans="1:53" x14ac:dyDescent="0.25">
      <c r="A87" s="14" t="s">
        <v>137</v>
      </c>
      <c r="B87" s="14" t="s">
        <v>44</v>
      </c>
      <c r="C87" s="14">
        <v>52</v>
      </c>
      <c r="D87" s="14">
        <v>150</v>
      </c>
      <c r="E87" s="14">
        <v>82</v>
      </c>
      <c r="F87" s="14">
        <v>108</v>
      </c>
      <c r="G87" s="7">
        <v>7.0000000000000007E-2</v>
      </c>
      <c r="H87" s="14">
        <v>90</v>
      </c>
      <c r="I87" s="14" t="s">
        <v>40</v>
      </c>
      <c r="J87" s="14"/>
      <c r="K87" s="14">
        <v>83</v>
      </c>
      <c r="L87" s="14">
        <f t="shared" si="22"/>
        <v>-1</v>
      </c>
      <c r="M87" s="14">
        <f t="shared" si="23"/>
        <v>82</v>
      </c>
      <c r="N87" s="14"/>
      <c r="O87" s="14">
        <v>0</v>
      </c>
      <c r="P87" s="14"/>
      <c r="Q87" s="14">
        <v>0</v>
      </c>
      <c r="R87" s="14"/>
      <c r="S87" s="14">
        <f t="shared" si="24"/>
        <v>16.399999999999999</v>
      </c>
      <c r="T87" s="4">
        <f t="shared" si="31"/>
        <v>88.799999999999983</v>
      </c>
      <c r="U87" s="4"/>
      <c r="V87" s="4">
        <f t="shared" si="26"/>
        <v>88.799999999999983</v>
      </c>
      <c r="W87" s="4"/>
      <c r="X87" s="4">
        <f t="shared" si="27"/>
        <v>88.799999999999983</v>
      </c>
      <c r="Y87" s="4"/>
      <c r="Z87" s="14"/>
      <c r="AA87" s="14"/>
      <c r="AB87" s="14">
        <f t="shared" si="28"/>
        <v>12</v>
      </c>
      <c r="AC87" s="14">
        <f t="shared" si="25"/>
        <v>6.5853658536585371</v>
      </c>
      <c r="AD87" s="14">
        <v>10</v>
      </c>
      <c r="AE87" s="14">
        <v>10.6</v>
      </c>
      <c r="AF87" s="14">
        <v>18.399999999999999</v>
      </c>
      <c r="AG87" s="14">
        <v>18.833333333333329</v>
      </c>
      <c r="AH87" s="14">
        <v>14</v>
      </c>
      <c r="AI87" s="14">
        <v>11.2</v>
      </c>
      <c r="AJ87" s="14">
        <v>13</v>
      </c>
      <c r="AK87" s="14">
        <v>9.4</v>
      </c>
      <c r="AL87" s="14"/>
      <c r="AM87" s="14">
        <f t="shared" si="29"/>
        <v>0</v>
      </c>
      <c r="AN87" s="14">
        <f t="shared" si="30"/>
        <v>6</v>
      </c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</row>
    <row r="88" spans="1:53" x14ac:dyDescent="0.25">
      <c r="A88" s="14" t="s">
        <v>138</v>
      </c>
      <c r="B88" s="14" t="s">
        <v>44</v>
      </c>
      <c r="C88" s="14">
        <v>39</v>
      </c>
      <c r="D88" s="14">
        <v>162</v>
      </c>
      <c r="E88" s="14">
        <v>80</v>
      </c>
      <c r="F88" s="14">
        <v>120</v>
      </c>
      <c r="G88" s="7">
        <v>0.05</v>
      </c>
      <c r="H88" s="14">
        <v>90</v>
      </c>
      <c r="I88" s="14" t="s">
        <v>40</v>
      </c>
      <c r="J88" s="14"/>
      <c r="K88" s="14">
        <v>81</v>
      </c>
      <c r="L88" s="14">
        <f t="shared" si="22"/>
        <v>-1</v>
      </c>
      <c r="M88" s="14">
        <f t="shared" si="23"/>
        <v>80</v>
      </c>
      <c r="N88" s="14"/>
      <c r="O88" s="14">
        <v>40.199999999999989</v>
      </c>
      <c r="P88" s="14"/>
      <c r="Q88" s="14">
        <v>0</v>
      </c>
      <c r="R88" s="14"/>
      <c r="S88" s="14">
        <f t="shared" si="24"/>
        <v>16</v>
      </c>
      <c r="T88" s="4">
        <f t="shared" si="31"/>
        <v>31.800000000000011</v>
      </c>
      <c r="U88" s="4"/>
      <c r="V88" s="4">
        <f t="shared" si="26"/>
        <v>31.800000000000011</v>
      </c>
      <c r="W88" s="4"/>
      <c r="X88" s="4">
        <f t="shared" si="27"/>
        <v>31.800000000000011</v>
      </c>
      <c r="Y88" s="4"/>
      <c r="Z88" s="14"/>
      <c r="AA88" s="14"/>
      <c r="AB88" s="14">
        <f t="shared" si="28"/>
        <v>12</v>
      </c>
      <c r="AC88" s="14">
        <f t="shared" si="25"/>
        <v>10.012499999999999</v>
      </c>
      <c r="AD88" s="14">
        <v>16.2</v>
      </c>
      <c r="AE88" s="14">
        <v>17.2</v>
      </c>
      <c r="AF88" s="14">
        <v>19.2</v>
      </c>
      <c r="AG88" s="14">
        <v>17.333333333333329</v>
      </c>
      <c r="AH88" s="14">
        <v>12.5</v>
      </c>
      <c r="AI88" s="14">
        <v>15.4</v>
      </c>
      <c r="AJ88" s="14">
        <v>9.1999999999999993</v>
      </c>
      <c r="AK88" s="14">
        <v>6.8</v>
      </c>
      <c r="AL88" s="14"/>
      <c r="AM88" s="14">
        <f t="shared" si="29"/>
        <v>0</v>
      </c>
      <c r="AN88" s="14">
        <f t="shared" si="30"/>
        <v>2</v>
      </c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</row>
    <row r="89" spans="1:53" x14ac:dyDescent="0.25">
      <c r="A89" s="14" t="s">
        <v>139</v>
      </c>
      <c r="B89" s="14" t="s">
        <v>44</v>
      </c>
      <c r="C89" s="14">
        <v>147</v>
      </c>
      <c r="D89" s="14">
        <v>60</v>
      </c>
      <c r="E89" s="14">
        <v>61</v>
      </c>
      <c r="F89" s="14">
        <v>135</v>
      </c>
      <c r="G89" s="7">
        <v>0.05</v>
      </c>
      <c r="H89" s="14">
        <v>90</v>
      </c>
      <c r="I89" s="14" t="s">
        <v>40</v>
      </c>
      <c r="J89" s="14"/>
      <c r="K89" s="14">
        <v>64</v>
      </c>
      <c r="L89" s="14">
        <f t="shared" si="22"/>
        <v>-3</v>
      </c>
      <c r="M89" s="14">
        <f t="shared" si="23"/>
        <v>61</v>
      </c>
      <c r="N89" s="14"/>
      <c r="O89" s="14">
        <v>0</v>
      </c>
      <c r="P89" s="14"/>
      <c r="Q89" s="14">
        <v>0</v>
      </c>
      <c r="R89" s="14"/>
      <c r="S89" s="14">
        <f t="shared" si="24"/>
        <v>12.2</v>
      </c>
      <c r="T89" s="4">
        <f t="shared" si="31"/>
        <v>11.399999999999977</v>
      </c>
      <c r="U89" s="4"/>
      <c r="V89" s="4">
        <f t="shared" si="26"/>
        <v>11.399999999999977</v>
      </c>
      <c r="W89" s="4"/>
      <c r="X89" s="4">
        <f t="shared" si="27"/>
        <v>11.399999999999977</v>
      </c>
      <c r="Y89" s="4"/>
      <c r="Z89" s="14"/>
      <c r="AA89" s="14"/>
      <c r="AB89" s="14">
        <f t="shared" si="28"/>
        <v>11.999999999999998</v>
      </c>
      <c r="AC89" s="14">
        <f t="shared" si="25"/>
        <v>11.065573770491804</v>
      </c>
      <c r="AD89" s="14">
        <v>12.2</v>
      </c>
      <c r="AE89" s="14">
        <v>12.6</v>
      </c>
      <c r="AF89" s="14">
        <v>14.4</v>
      </c>
      <c r="AG89" s="14">
        <v>18</v>
      </c>
      <c r="AH89" s="14">
        <v>19</v>
      </c>
      <c r="AI89" s="14">
        <v>16.399999999999999</v>
      </c>
      <c r="AJ89" s="14">
        <v>8.8000000000000007</v>
      </c>
      <c r="AK89" s="14">
        <v>7.4</v>
      </c>
      <c r="AL89" s="14"/>
      <c r="AM89" s="14">
        <f t="shared" si="29"/>
        <v>0</v>
      </c>
      <c r="AN89" s="14">
        <f t="shared" si="30"/>
        <v>1</v>
      </c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</row>
    <row r="90" spans="1:53" x14ac:dyDescent="0.25">
      <c r="A90" s="14" t="s">
        <v>140</v>
      </c>
      <c r="B90" s="14" t="s">
        <v>44</v>
      </c>
      <c r="C90" s="14">
        <v>2</v>
      </c>
      <c r="D90" s="14">
        <v>131</v>
      </c>
      <c r="E90" s="14">
        <v>46</v>
      </c>
      <c r="F90" s="14">
        <v>76</v>
      </c>
      <c r="G90" s="7">
        <v>5.5E-2</v>
      </c>
      <c r="H90" s="14">
        <v>90</v>
      </c>
      <c r="I90" s="14" t="s">
        <v>40</v>
      </c>
      <c r="J90" s="14"/>
      <c r="K90" s="14">
        <v>51</v>
      </c>
      <c r="L90" s="14">
        <f t="shared" si="22"/>
        <v>-5</v>
      </c>
      <c r="M90" s="14">
        <f t="shared" si="23"/>
        <v>46</v>
      </c>
      <c r="N90" s="14"/>
      <c r="O90" s="14">
        <v>0</v>
      </c>
      <c r="P90" s="14"/>
      <c r="Q90" s="14">
        <v>0</v>
      </c>
      <c r="R90" s="14"/>
      <c r="S90" s="14">
        <f t="shared" si="24"/>
        <v>9.1999999999999993</v>
      </c>
      <c r="T90" s="4">
        <f t="shared" si="31"/>
        <v>34.399999999999991</v>
      </c>
      <c r="U90" s="4"/>
      <c r="V90" s="4">
        <f t="shared" si="26"/>
        <v>34.399999999999991</v>
      </c>
      <c r="W90" s="4"/>
      <c r="X90" s="4">
        <f t="shared" si="27"/>
        <v>34.399999999999991</v>
      </c>
      <c r="Y90" s="4"/>
      <c r="Z90" s="14"/>
      <c r="AA90" s="14"/>
      <c r="AB90" s="14">
        <f t="shared" si="28"/>
        <v>12</v>
      </c>
      <c r="AC90" s="14">
        <f t="shared" si="25"/>
        <v>8.2608695652173925</v>
      </c>
      <c r="AD90" s="14">
        <v>7.6</v>
      </c>
      <c r="AE90" s="14">
        <v>6.8</v>
      </c>
      <c r="AF90" s="14">
        <v>10.6</v>
      </c>
      <c r="AG90" s="14">
        <v>12.16666666666667</v>
      </c>
      <c r="AH90" s="14">
        <v>6.833333333333333</v>
      </c>
      <c r="AI90" s="14">
        <v>5.4</v>
      </c>
      <c r="AJ90" s="14">
        <v>6.2</v>
      </c>
      <c r="AK90" s="14">
        <v>3.4</v>
      </c>
      <c r="AL90" s="14"/>
      <c r="AM90" s="14">
        <f t="shared" si="29"/>
        <v>0</v>
      </c>
      <c r="AN90" s="14">
        <f t="shared" si="30"/>
        <v>2</v>
      </c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</row>
    <row r="91" spans="1:53" x14ac:dyDescent="0.25">
      <c r="A91" s="11" t="s">
        <v>141</v>
      </c>
      <c r="B91" s="11" t="s">
        <v>44</v>
      </c>
      <c r="C91" s="11"/>
      <c r="D91" s="11"/>
      <c r="E91" s="11"/>
      <c r="F91" s="11">
        <v>-1</v>
      </c>
      <c r="G91" s="12">
        <v>0</v>
      </c>
      <c r="H91" s="11" t="e">
        <v>#N/A</v>
      </c>
      <c r="I91" s="11" t="s">
        <v>45</v>
      </c>
      <c r="J91" s="11"/>
      <c r="K91" s="11"/>
      <c r="L91" s="11">
        <f t="shared" si="22"/>
        <v>0</v>
      </c>
      <c r="M91" s="11">
        <f t="shared" si="23"/>
        <v>0</v>
      </c>
      <c r="N91" s="11"/>
      <c r="O91" s="11"/>
      <c r="P91" s="11"/>
      <c r="Q91" s="11">
        <v>0</v>
      </c>
      <c r="R91" s="11"/>
      <c r="S91" s="11">
        <f t="shared" si="24"/>
        <v>0</v>
      </c>
      <c r="T91" s="13"/>
      <c r="U91" s="13"/>
      <c r="V91" s="4">
        <f t="shared" si="26"/>
        <v>0</v>
      </c>
      <c r="W91" s="4"/>
      <c r="X91" s="4">
        <f t="shared" si="27"/>
        <v>0</v>
      </c>
      <c r="Y91" s="13"/>
      <c r="Z91" s="11"/>
      <c r="AA91" s="11"/>
      <c r="AB91" s="14" t="e">
        <f t="shared" si="28"/>
        <v>#DIV/0!</v>
      </c>
      <c r="AC91" s="11" t="e">
        <f t="shared" si="25"/>
        <v>#DIV/0!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/>
      <c r="AM91" s="14">
        <f t="shared" si="29"/>
        <v>0</v>
      </c>
      <c r="AN91" s="14">
        <f t="shared" si="30"/>
        <v>0</v>
      </c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</row>
    <row r="92" spans="1:53" x14ac:dyDescent="0.25">
      <c r="A92" s="14" t="s">
        <v>142</v>
      </c>
      <c r="B92" s="14" t="s">
        <v>39</v>
      </c>
      <c r="C92" s="14">
        <v>2907.8409999999999</v>
      </c>
      <c r="D92" s="14">
        <v>4980.9470000000001</v>
      </c>
      <c r="E92" s="14">
        <v>4313.4430000000002</v>
      </c>
      <c r="F92" s="14">
        <v>2528.8270000000002</v>
      </c>
      <c r="G92" s="7">
        <v>1</v>
      </c>
      <c r="H92" s="14">
        <v>40</v>
      </c>
      <c r="I92" s="14" t="s">
        <v>40</v>
      </c>
      <c r="J92" s="14"/>
      <c r="K92" s="14">
        <v>4721.1360000000004</v>
      </c>
      <c r="L92" s="14">
        <f t="shared" si="22"/>
        <v>-407.69300000000021</v>
      </c>
      <c r="M92" s="14">
        <f t="shared" si="23"/>
        <v>3820.9740000000002</v>
      </c>
      <c r="N92" s="14">
        <v>492.46899999999999</v>
      </c>
      <c r="O92" s="14">
        <v>1048.6160004766659</v>
      </c>
      <c r="P92" s="14">
        <v>1500</v>
      </c>
      <c r="Q92" s="14">
        <v>510.20423333333468</v>
      </c>
      <c r="R92" s="14">
        <v>1990</v>
      </c>
      <c r="S92" s="14">
        <f t="shared" si="24"/>
        <v>764.19479999999999</v>
      </c>
      <c r="T92" s="4">
        <f t="shared" ref="T92:T97" si="33">12*S92-R92-Q92-P92-O92-F92</f>
        <v>1592.6903661899978</v>
      </c>
      <c r="U92" s="4"/>
      <c r="V92" s="4">
        <f t="shared" si="26"/>
        <v>1592.6903661899978</v>
      </c>
      <c r="W92" s="4">
        <v>1090</v>
      </c>
      <c r="X92" s="4">
        <f t="shared" si="27"/>
        <v>502.6903661899978</v>
      </c>
      <c r="Y92" s="4"/>
      <c r="Z92" s="14"/>
      <c r="AA92" s="14"/>
      <c r="AB92" s="14">
        <f t="shared" si="28"/>
        <v>11.999999999999998</v>
      </c>
      <c r="AC92" s="14">
        <f t="shared" si="25"/>
        <v>9.9158581474383247</v>
      </c>
      <c r="AD92" s="14">
        <v>810.47800000000007</v>
      </c>
      <c r="AE92" s="14">
        <v>783.82080000000008</v>
      </c>
      <c r="AF92" s="14">
        <v>744.96319999999992</v>
      </c>
      <c r="AG92" s="14">
        <v>668.07883333333336</v>
      </c>
      <c r="AH92" s="14">
        <v>718.29883333333328</v>
      </c>
      <c r="AI92" s="14">
        <v>771.76340000000005</v>
      </c>
      <c r="AJ92" s="14">
        <v>885.34859999999992</v>
      </c>
      <c r="AK92" s="14">
        <v>846.00020000000006</v>
      </c>
      <c r="AL92" s="14" t="s">
        <v>54</v>
      </c>
      <c r="AM92" s="14">
        <f t="shared" si="29"/>
        <v>1090</v>
      </c>
      <c r="AN92" s="14">
        <f t="shared" si="30"/>
        <v>503</v>
      </c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</row>
    <row r="93" spans="1:53" x14ac:dyDescent="0.25">
      <c r="A93" s="10" t="s">
        <v>143</v>
      </c>
      <c r="B93" s="14" t="s">
        <v>39</v>
      </c>
      <c r="C93" s="14"/>
      <c r="D93" s="14"/>
      <c r="E93" s="14"/>
      <c r="F93" s="14"/>
      <c r="G93" s="7">
        <v>1</v>
      </c>
      <c r="H93" s="14">
        <v>60</v>
      </c>
      <c r="I93" s="14" t="s">
        <v>40</v>
      </c>
      <c r="J93" s="14"/>
      <c r="K93" s="14"/>
      <c r="L93" s="14">
        <f t="shared" si="22"/>
        <v>0</v>
      </c>
      <c r="M93" s="14">
        <f t="shared" si="23"/>
        <v>0</v>
      </c>
      <c r="N93" s="14"/>
      <c r="O93" s="14"/>
      <c r="P93" s="14"/>
      <c r="Q93" s="10"/>
      <c r="R93" s="14"/>
      <c r="S93" s="14">
        <f t="shared" si="24"/>
        <v>0</v>
      </c>
      <c r="T93" s="18">
        <v>4</v>
      </c>
      <c r="U93" s="18"/>
      <c r="V93" s="4">
        <f t="shared" si="26"/>
        <v>4</v>
      </c>
      <c r="W93" s="4"/>
      <c r="X93" s="4">
        <f t="shared" si="27"/>
        <v>4</v>
      </c>
      <c r="Y93" s="4"/>
      <c r="Z93" s="14"/>
      <c r="AA93" s="14"/>
      <c r="AB93" s="14" t="e">
        <f t="shared" si="28"/>
        <v>#DIV/0!</v>
      </c>
      <c r="AC93" s="14" t="e">
        <f t="shared" si="25"/>
        <v>#DIV/0!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0" t="s">
        <v>144</v>
      </c>
      <c r="AM93" s="14">
        <f t="shared" si="29"/>
        <v>0</v>
      </c>
      <c r="AN93" s="14">
        <f t="shared" si="30"/>
        <v>4</v>
      </c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</row>
    <row r="94" spans="1:53" x14ac:dyDescent="0.25">
      <c r="A94" s="14" t="s">
        <v>145</v>
      </c>
      <c r="B94" s="14" t="s">
        <v>44</v>
      </c>
      <c r="C94" s="14">
        <v>277</v>
      </c>
      <c r="D94" s="14">
        <v>53</v>
      </c>
      <c r="E94" s="14">
        <v>200</v>
      </c>
      <c r="F94" s="14">
        <v>104</v>
      </c>
      <c r="G94" s="7">
        <v>0.3</v>
      </c>
      <c r="H94" s="14">
        <v>40</v>
      </c>
      <c r="I94" s="14" t="s">
        <v>40</v>
      </c>
      <c r="J94" s="14"/>
      <c r="K94" s="14">
        <v>207</v>
      </c>
      <c r="L94" s="14">
        <f t="shared" si="22"/>
        <v>-7</v>
      </c>
      <c r="M94" s="14">
        <f t="shared" si="23"/>
        <v>200</v>
      </c>
      <c r="N94" s="14"/>
      <c r="O94" s="14">
        <v>227.13333333333321</v>
      </c>
      <c r="P94" s="14"/>
      <c r="Q94" s="14">
        <v>59.466666666666811</v>
      </c>
      <c r="R94" s="14"/>
      <c r="S94" s="14">
        <f t="shared" si="24"/>
        <v>40</v>
      </c>
      <c r="T94" s="4">
        <f t="shared" si="33"/>
        <v>89.399999999999977</v>
      </c>
      <c r="U94" s="4"/>
      <c r="V94" s="4">
        <f t="shared" si="26"/>
        <v>89.399999999999977</v>
      </c>
      <c r="W94" s="4"/>
      <c r="X94" s="4">
        <f t="shared" si="27"/>
        <v>89.399999999999977</v>
      </c>
      <c r="Y94" s="4"/>
      <c r="Z94" s="14"/>
      <c r="AA94" s="14"/>
      <c r="AB94" s="14">
        <f t="shared" si="28"/>
        <v>12</v>
      </c>
      <c r="AC94" s="14">
        <f t="shared" si="25"/>
        <v>9.7650000000000006</v>
      </c>
      <c r="AD94" s="14">
        <v>44.6</v>
      </c>
      <c r="AE94" s="14">
        <v>45.4</v>
      </c>
      <c r="AF94" s="14">
        <v>39</v>
      </c>
      <c r="AG94" s="14">
        <v>45.333333333333343</v>
      </c>
      <c r="AH94" s="14">
        <v>53.666666666666657</v>
      </c>
      <c r="AI94" s="14">
        <v>44.2</v>
      </c>
      <c r="AJ94" s="14">
        <v>44.8</v>
      </c>
      <c r="AK94" s="14">
        <v>41</v>
      </c>
      <c r="AL94" s="14"/>
      <c r="AM94" s="14">
        <f t="shared" si="29"/>
        <v>0</v>
      </c>
      <c r="AN94" s="14">
        <f t="shared" si="30"/>
        <v>27</v>
      </c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</row>
    <row r="95" spans="1:53" x14ac:dyDescent="0.25">
      <c r="A95" s="14" t="s">
        <v>146</v>
      </c>
      <c r="B95" s="14" t="s">
        <v>44</v>
      </c>
      <c r="C95" s="14">
        <v>100</v>
      </c>
      <c r="D95" s="14">
        <v>76</v>
      </c>
      <c r="E95" s="14">
        <v>116</v>
      </c>
      <c r="F95" s="14">
        <v>32</v>
      </c>
      <c r="G95" s="7">
        <v>0.3</v>
      </c>
      <c r="H95" s="14">
        <v>40</v>
      </c>
      <c r="I95" s="14" t="s">
        <v>40</v>
      </c>
      <c r="J95" s="14"/>
      <c r="K95" s="14">
        <v>127</v>
      </c>
      <c r="L95" s="14">
        <f t="shared" si="22"/>
        <v>-11</v>
      </c>
      <c r="M95" s="14">
        <f t="shared" si="23"/>
        <v>116</v>
      </c>
      <c r="N95" s="14"/>
      <c r="O95" s="14">
        <v>141.65769333333341</v>
      </c>
      <c r="P95" s="14"/>
      <c r="Q95" s="14">
        <v>47.666666666666657</v>
      </c>
      <c r="R95" s="14"/>
      <c r="S95" s="14">
        <f t="shared" si="24"/>
        <v>23.2</v>
      </c>
      <c r="T95" s="4">
        <f t="shared" si="33"/>
        <v>57.075639999999908</v>
      </c>
      <c r="U95" s="4"/>
      <c r="V95" s="4">
        <f t="shared" si="26"/>
        <v>57.075639999999908</v>
      </c>
      <c r="W95" s="4"/>
      <c r="X95" s="4">
        <f t="shared" si="27"/>
        <v>57.075639999999908</v>
      </c>
      <c r="Y95" s="4"/>
      <c r="Z95" s="14"/>
      <c r="AA95" s="14"/>
      <c r="AB95" s="14">
        <f t="shared" si="28"/>
        <v>12</v>
      </c>
      <c r="AC95" s="14">
        <f t="shared" si="25"/>
        <v>9.5398431034482787</v>
      </c>
      <c r="AD95" s="14">
        <v>24.6</v>
      </c>
      <c r="AE95" s="14">
        <v>24.8</v>
      </c>
      <c r="AF95" s="14">
        <v>20.2</v>
      </c>
      <c r="AG95" s="14">
        <v>21.833333333333329</v>
      </c>
      <c r="AH95" s="14">
        <v>25.666666666666671</v>
      </c>
      <c r="AI95" s="14">
        <v>21.4</v>
      </c>
      <c r="AJ95" s="14">
        <v>21.6</v>
      </c>
      <c r="AK95" s="14">
        <v>21.2</v>
      </c>
      <c r="AL95" s="14" t="s">
        <v>147</v>
      </c>
      <c r="AM95" s="14">
        <f t="shared" si="29"/>
        <v>0</v>
      </c>
      <c r="AN95" s="14">
        <f t="shared" si="30"/>
        <v>17</v>
      </c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</row>
    <row r="96" spans="1:53" x14ac:dyDescent="0.25">
      <c r="A96" s="14" t="s">
        <v>148</v>
      </c>
      <c r="B96" s="14" t="s">
        <v>39</v>
      </c>
      <c r="C96" s="14">
        <v>80.606999999999999</v>
      </c>
      <c r="D96" s="14">
        <v>100.363</v>
      </c>
      <c r="E96" s="14">
        <v>62.524999999999999</v>
      </c>
      <c r="F96" s="14">
        <v>63.533000000000001</v>
      </c>
      <c r="G96" s="7">
        <v>1</v>
      </c>
      <c r="H96" s="14">
        <v>50</v>
      </c>
      <c r="I96" s="14" t="s">
        <v>40</v>
      </c>
      <c r="J96" s="14"/>
      <c r="K96" s="14">
        <v>60.1</v>
      </c>
      <c r="L96" s="14">
        <f t="shared" si="22"/>
        <v>2.4249999999999972</v>
      </c>
      <c r="M96" s="14">
        <f t="shared" si="23"/>
        <v>62.524999999999999</v>
      </c>
      <c r="N96" s="14"/>
      <c r="O96" s="14">
        <v>42.285800000000009</v>
      </c>
      <c r="P96" s="14"/>
      <c r="Q96" s="14">
        <v>0</v>
      </c>
      <c r="R96" s="14"/>
      <c r="S96" s="14">
        <f t="shared" si="24"/>
        <v>12.504999999999999</v>
      </c>
      <c r="T96" s="4">
        <f t="shared" si="33"/>
        <v>44.241199999999992</v>
      </c>
      <c r="U96" s="4"/>
      <c r="V96" s="4">
        <f t="shared" si="26"/>
        <v>44.241199999999992</v>
      </c>
      <c r="W96" s="4"/>
      <c r="X96" s="4">
        <f t="shared" si="27"/>
        <v>44.241199999999992</v>
      </c>
      <c r="Y96" s="4"/>
      <c r="Z96" s="14"/>
      <c r="AA96" s="14"/>
      <c r="AB96" s="14">
        <f t="shared" si="28"/>
        <v>12.000000000000002</v>
      </c>
      <c r="AC96" s="14">
        <f t="shared" si="25"/>
        <v>8.4621191523390653</v>
      </c>
      <c r="AD96" s="14">
        <v>8.7232000000000003</v>
      </c>
      <c r="AE96" s="14">
        <v>10.574400000000001</v>
      </c>
      <c r="AF96" s="14">
        <v>7.8301999999999996</v>
      </c>
      <c r="AG96" s="14">
        <v>10.2995</v>
      </c>
      <c r="AH96" s="14">
        <v>12.304</v>
      </c>
      <c r="AI96" s="14">
        <v>13.163399999999999</v>
      </c>
      <c r="AJ96" s="14">
        <v>13.0406</v>
      </c>
      <c r="AK96" s="14">
        <v>11.8812</v>
      </c>
      <c r="AL96" s="14"/>
      <c r="AM96" s="14">
        <f t="shared" si="29"/>
        <v>0</v>
      </c>
      <c r="AN96" s="14">
        <f t="shared" si="30"/>
        <v>44</v>
      </c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</row>
    <row r="97" spans="1:53" x14ac:dyDescent="0.25">
      <c r="A97" s="14" t="s">
        <v>149</v>
      </c>
      <c r="B97" s="14" t="s">
        <v>44</v>
      </c>
      <c r="C97" s="14">
        <v>33</v>
      </c>
      <c r="D97" s="14">
        <v>2</v>
      </c>
      <c r="E97" s="14">
        <v>31</v>
      </c>
      <c r="F97" s="14">
        <v>1</v>
      </c>
      <c r="G97" s="7">
        <v>0.3</v>
      </c>
      <c r="H97" s="14">
        <v>40</v>
      </c>
      <c r="I97" s="14" t="s">
        <v>40</v>
      </c>
      <c r="J97" s="14"/>
      <c r="K97" s="14">
        <v>33</v>
      </c>
      <c r="L97" s="14">
        <f t="shared" si="22"/>
        <v>-2</v>
      </c>
      <c r="M97" s="14">
        <f t="shared" si="23"/>
        <v>31</v>
      </c>
      <c r="N97" s="14"/>
      <c r="O97" s="14">
        <v>63</v>
      </c>
      <c r="P97" s="14"/>
      <c r="Q97" s="14">
        <v>4.4000000000000057</v>
      </c>
      <c r="R97" s="14"/>
      <c r="S97" s="14">
        <f t="shared" si="24"/>
        <v>6.2</v>
      </c>
      <c r="T97" s="4">
        <f t="shared" si="33"/>
        <v>6</v>
      </c>
      <c r="U97" s="4"/>
      <c r="V97" s="4">
        <f t="shared" si="26"/>
        <v>6</v>
      </c>
      <c r="W97" s="4"/>
      <c r="X97" s="4">
        <f t="shared" si="27"/>
        <v>6</v>
      </c>
      <c r="Y97" s="4"/>
      <c r="Z97" s="14"/>
      <c r="AA97" s="14"/>
      <c r="AB97" s="14">
        <f t="shared" si="28"/>
        <v>12</v>
      </c>
      <c r="AC97" s="14">
        <f t="shared" si="25"/>
        <v>11.03225806451613</v>
      </c>
      <c r="AD97" s="14">
        <v>7.4</v>
      </c>
      <c r="AE97" s="14">
        <v>8</v>
      </c>
      <c r="AF97" s="14">
        <v>4.4000000000000004</v>
      </c>
      <c r="AG97" s="14">
        <v>4.833333333333333</v>
      </c>
      <c r="AH97" s="14">
        <v>6.833333333333333</v>
      </c>
      <c r="AI97" s="14">
        <v>7</v>
      </c>
      <c r="AJ97" s="14">
        <v>4.8</v>
      </c>
      <c r="AK97" s="14">
        <v>4.2</v>
      </c>
      <c r="AL97" s="14"/>
      <c r="AM97" s="14">
        <f t="shared" si="29"/>
        <v>0</v>
      </c>
      <c r="AN97" s="14">
        <f t="shared" si="30"/>
        <v>2</v>
      </c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</row>
    <row r="98" spans="1:53" x14ac:dyDescent="0.25">
      <c r="A98" s="14" t="s">
        <v>150</v>
      </c>
      <c r="B98" s="14" t="s">
        <v>44</v>
      </c>
      <c r="C98" s="14"/>
      <c r="D98" s="14"/>
      <c r="E98" s="14">
        <v>-1</v>
      </c>
      <c r="F98" s="14"/>
      <c r="G98" s="7">
        <v>0.12</v>
      </c>
      <c r="H98" s="14">
        <v>45</v>
      </c>
      <c r="I98" s="14" t="s">
        <v>40</v>
      </c>
      <c r="J98" s="14"/>
      <c r="K98" s="14">
        <v>2</v>
      </c>
      <c r="L98" s="14">
        <f t="shared" si="22"/>
        <v>-3</v>
      </c>
      <c r="M98" s="14">
        <f t="shared" si="23"/>
        <v>-1</v>
      </c>
      <c r="N98" s="14"/>
      <c r="O98" s="14">
        <v>0</v>
      </c>
      <c r="P98" s="14"/>
      <c r="Q98" s="14">
        <v>50</v>
      </c>
      <c r="R98" s="14"/>
      <c r="S98" s="14">
        <f t="shared" si="24"/>
        <v>-0.2</v>
      </c>
      <c r="T98" s="4"/>
      <c r="U98" s="4"/>
      <c r="V98" s="4">
        <f t="shared" si="26"/>
        <v>0</v>
      </c>
      <c r="W98" s="4"/>
      <c r="X98" s="4">
        <f t="shared" si="27"/>
        <v>0</v>
      </c>
      <c r="Y98" s="4"/>
      <c r="Z98" s="14"/>
      <c r="AA98" s="14"/>
      <c r="AB98" s="14">
        <f t="shared" si="28"/>
        <v>-250</v>
      </c>
      <c r="AC98" s="14">
        <f t="shared" si="25"/>
        <v>-250</v>
      </c>
      <c r="AD98" s="14">
        <v>-0.6</v>
      </c>
      <c r="AE98" s="14">
        <v>-0.6</v>
      </c>
      <c r="AF98" s="14">
        <v>0</v>
      </c>
      <c r="AG98" s="14">
        <v>7.333333333333333</v>
      </c>
      <c r="AH98" s="14">
        <v>6.833333333333333</v>
      </c>
      <c r="AI98" s="14">
        <v>0</v>
      </c>
      <c r="AJ98" s="14">
        <v>3.4</v>
      </c>
      <c r="AK98" s="14">
        <v>2.8</v>
      </c>
      <c r="AL98" s="14" t="s">
        <v>151</v>
      </c>
      <c r="AM98" s="14">
        <f t="shared" si="29"/>
        <v>0</v>
      </c>
      <c r="AN98" s="14">
        <f t="shared" si="30"/>
        <v>0</v>
      </c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</row>
    <row r="99" spans="1:53" x14ac:dyDescent="0.25">
      <c r="A99" s="14"/>
      <c r="B99" s="14"/>
      <c r="C99" s="14"/>
      <c r="D99" s="14"/>
      <c r="E99" s="14"/>
      <c r="F99" s="14"/>
      <c r="G99" s="7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</row>
    <row r="100" spans="1:53" x14ac:dyDescent="0.25">
      <c r="A100" s="14"/>
      <c r="B100" s="14"/>
      <c r="C100" s="14"/>
      <c r="D100" s="14"/>
      <c r="E100" s="14"/>
      <c r="F100" s="14"/>
      <c r="G100" s="7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</row>
    <row r="101" spans="1:53" x14ac:dyDescent="0.25">
      <c r="A101" s="14"/>
      <c r="B101" s="14"/>
      <c r="C101" s="14"/>
      <c r="D101" s="14"/>
      <c r="E101" s="14"/>
      <c r="F101" s="14"/>
      <c r="G101" s="7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</row>
    <row r="102" spans="1:53" x14ac:dyDescent="0.25">
      <c r="A102" s="14"/>
      <c r="B102" s="14"/>
      <c r="C102" s="14"/>
      <c r="D102" s="14"/>
      <c r="E102" s="14"/>
      <c r="F102" s="14"/>
      <c r="G102" s="7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</row>
    <row r="103" spans="1:53" x14ac:dyDescent="0.25">
      <c r="A103" s="14"/>
      <c r="B103" s="14"/>
      <c r="C103" s="14"/>
      <c r="D103" s="14"/>
      <c r="E103" s="14"/>
      <c r="F103" s="14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</row>
    <row r="104" spans="1:53" x14ac:dyDescent="0.25">
      <c r="A104" s="14"/>
      <c r="B104" s="14"/>
      <c r="C104" s="14"/>
      <c r="D104" s="14"/>
      <c r="E104" s="14"/>
      <c r="F104" s="14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</row>
    <row r="105" spans="1:53" x14ac:dyDescent="0.25">
      <c r="A105" s="14"/>
      <c r="B105" s="14"/>
      <c r="C105" s="14"/>
      <c r="D105" s="14"/>
      <c r="E105" s="14"/>
      <c r="F105" s="14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</row>
    <row r="106" spans="1:53" x14ac:dyDescent="0.25">
      <c r="A106" s="14"/>
      <c r="B106" s="14"/>
      <c r="C106" s="14"/>
      <c r="D106" s="14"/>
      <c r="E106" s="14"/>
      <c r="F106" s="14"/>
      <c r="G106" s="7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</row>
    <row r="107" spans="1:53" x14ac:dyDescent="0.25">
      <c r="A107" s="14"/>
      <c r="B107" s="14"/>
      <c r="C107" s="14"/>
      <c r="D107" s="14"/>
      <c r="E107" s="14"/>
      <c r="F107" s="14"/>
      <c r="G107" s="7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</row>
    <row r="108" spans="1:53" x14ac:dyDescent="0.25">
      <c r="A108" s="14"/>
      <c r="B108" s="14"/>
      <c r="C108" s="14"/>
      <c r="D108" s="14"/>
      <c r="E108" s="14"/>
      <c r="F108" s="14"/>
      <c r="G108" s="7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</row>
    <row r="109" spans="1:53" x14ac:dyDescent="0.25">
      <c r="A109" s="14"/>
      <c r="B109" s="14"/>
      <c r="C109" s="14"/>
      <c r="D109" s="14"/>
      <c r="E109" s="14"/>
      <c r="F109" s="14"/>
      <c r="G109" s="7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</row>
    <row r="110" spans="1:53" x14ac:dyDescent="0.25">
      <c r="A110" s="14"/>
      <c r="B110" s="14"/>
      <c r="C110" s="14"/>
      <c r="D110" s="14"/>
      <c r="E110" s="14"/>
      <c r="F110" s="14"/>
      <c r="G110" s="7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</row>
    <row r="111" spans="1:53" x14ac:dyDescent="0.25">
      <c r="A111" s="14"/>
      <c r="B111" s="14"/>
      <c r="C111" s="14"/>
      <c r="D111" s="14"/>
      <c r="E111" s="14"/>
      <c r="F111" s="14"/>
      <c r="G111" s="7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</row>
    <row r="112" spans="1:53" x14ac:dyDescent="0.25">
      <c r="A112" s="14"/>
      <c r="B112" s="14"/>
      <c r="C112" s="14"/>
      <c r="D112" s="14"/>
      <c r="E112" s="14"/>
      <c r="F112" s="14"/>
      <c r="G112" s="7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</row>
    <row r="113" spans="1:53" x14ac:dyDescent="0.25">
      <c r="A113" s="14"/>
      <c r="B113" s="14"/>
      <c r="C113" s="14"/>
      <c r="D113" s="14"/>
      <c r="E113" s="14"/>
      <c r="F113" s="14"/>
      <c r="G113" s="7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</row>
    <row r="114" spans="1:53" x14ac:dyDescent="0.25">
      <c r="A114" s="14"/>
      <c r="B114" s="14"/>
      <c r="C114" s="14"/>
      <c r="D114" s="14"/>
      <c r="E114" s="14"/>
      <c r="F114" s="14"/>
      <c r="G114" s="7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</row>
    <row r="115" spans="1:53" x14ac:dyDescent="0.25">
      <c r="A115" s="14"/>
      <c r="B115" s="14"/>
      <c r="C115" s="14"/>
      <c r="D115" s="14"/>
      <c r="E115" s="14"/>
      <c r="F115" s="14"/>
      <c r="G115" s="7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</row>
    <row r="116" spans="1:53" x14ac:dyDescent="0.25">
      <c r="A116" s="14"/>
      <c r="B116" s="14"/>
      <c r="C116" s="14"/>
      <c r="D116" s="14"/>
      <c r="E116" s="14"/>
      <c r="F116" s="14"/>
      <c r="G116" s="7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</row>
    <row r="117" spans="1:53" x14ac:dyDescent="0.25">
      <c r="A117" s="14"/>
      <c r="B117" s="14"/>
      <c r="C117" s="14"/>
      <c r="D117" s="14"/>
      <c r="E117" s="14"/>
      <c r="F117" s="14"/>
      <c r="G117" s="7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</row>
    <row r="118" spans="1:53" x14ac:dyDescent="0.25">
      <c r="A118" s="14"/>
      <c r="B118" s="14"/>
      <c r="C118" s="14"/>
      <c r="D118" s="14"/>
      <c r="E118" s="14"/>
      <c r="F118" s="14"/>
      <c r="G118" s="7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</row>
    <row r="119" spans="1:53" x14ac:dyDescent="0.25">
      <c r="A119" s="14"/>
      <c r="B119" s="14"/>
      <c r="C119" s="14"/>
      <c r="D119" s="14"/>
      <c r="E119" s="14"/>
      <c r="F119" s="14"/>
      <c r="G119" s="7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</row>
    <row r="120" spans="1:53" x14ac:dyDescent="0.25">
      <c r="A120" s="14"/>
      <c r="B120" s="14"/>
      <c r="C120" s="14"/>
      <c r="D120" s="14"/>
      <c r="E120" s="14"/>
      <c r="F120" s="14"/>
      <c r="G120" s="7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</row>
    <row r="121" spans="1:53" x14ac:dyDescent="0.25">
      <c r="A121" s="14"/>
      <c r="B121" s="14"/>
      <c r="C121" s="14"/>
      <c r="D121" s="14"/>
      <c r="E121" s="14"/>
      <c r="F121" s="14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</row>
    <row r="122" spans="1:53" x14ac:dyDescent="0.25">
      <c r="A122" s="14"/>
      <c r="B122" s="14"/>
      <c r="C122" s="14"/>
      <c r="D122" s="14"/>
      <c r="E122" s="14"/>
      <c r="F122" s="14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</row>
    <row r="123" spans="1:53" x14ac:dyDescent="0.25">
      <c r="A123" s="14"/>
      <c r="B123" s="14"/>
      <c r="C123" s="14"/>
      <c r="D123" s="14"/>
      <c r="E123" s="14"/>
      <c r="F123" s="14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</row>
    <row r="124" spans="1:53" x14ac:dyDescent="0.25">
      <c r="A124" s="14"/>
      <c r="B124" s="14"/>
      <c r="C124" s="14"/>
      <c r="D124" s="14"/>
      <c r="E124" s="14"/>
      <c r="F124" s="14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</row>
    <row r="125" spans="1:53" x14ac:dyDescent="0.25">
      <c r="A125" s="14"/>
      <c r="B125" s="14"/>
      <c r="C125" s="14"/>
      <c r="D125" s="14"/>
      <c r="E125" s="14"/>
      <c r="F125" s="14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</row>
    <row r="126" spans="1:53" x14ac:dyDescent="0.25">
      <c r="A126" s="14"/>
      <c r="B126" s="14"/>
      <c r="C126" s="14"/>
      <c r="D126" s="14"/>
      <c r="E126" s="14"/>
      <c r="F126" s="14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</row>
    <row r="127" spans="1:53" x14ac:dyDescent="0.25">
      <c r="A127" s="14"/>
      <c r="B127" s="14"/>
      <c r="C127" s="14"/>
      <c r="D127" s="14"/>
      <c r="E127" s="14"/>
      <c r="F127" s="14"/>
      <c r="G127" s="7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</row>
    <row r="128" spans="1:53" x14ac:dyDescent="0.25">
      <c r="A128" s="14"/>
      <c r="B128" s="14"/>
      <c r="C128" s="14"/>
      <c r="D128" s="14"/>
      <c r="E128" s="14"/>
      <c r="F128" s="14"/>
      <c r="G128" s="7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</row>
    <row r="129" spans="1:53" x14ac:dyDescent="0.25">
      <c r="A129" s="14"/>
      <c r="B129" s="14"/>
      <c r="C129" s="14"/>
      <c r="D129" s="14"/>
      <c r="E129" s="14"/>
      <c r="F129" s="14"/>
      <c r="G129" s="7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</row>
    <row r="130" spans="1:53" x14ac:dyDescent="0.25">
      <c r="A130" s="14"/>
      <c r="B130" s="14"/>
      <c r="C130" s="14"/>
      <c r="D130" s="14"/>
      <c r="E130" s="14"/>
      <c r="F130" s="14"/>
      <c r="G130" s="7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</row>
    <row r="131" spans="1:53" x14ac:dyDescent="0.25">
      <c r="A131" s="14"/>
      <c r="B131" s="14"/>
      <c r="C131" s="14"/>
      <c r="D131" s="14"/>
      <c r="E131" s="14"/>
      <c r="F131" s="14"/>
      <c r="G131" s="7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</row>
    <row r="132" spans="1:53" x14ac:dyDescent="0.25">
      <c r="A132" s="14"/>
      <c r="B132" s="14"/>
      <c r="C132" s="14"/>
      <c r="D132" s="14"/>
      <c r="E132" s="14"/>
      <c r="F132" s="14"/>
      <c r="G132" s="7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</row>
    <row r="133" spans="1:53" x14ac:dyDescent="0.25">
      <c r="A133" s="14"/>
      <c r="B133" s="14"/>
      <c r="C133" s="14"/>
      <c r="D133" s="14"/>
      <c r="E133" s="14"/>
      <c r="F133" s="14"/>
      <c r="G133" s="7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</row>
    <row r="134" spans="1:53" x14ac:dyDescent="0.25">
      <c r="A134" s="14"/>
      <c r="B134" s="14"/>
      <c r="C134" s="14"/>
      <c r="D134" s="14"/>
      <c r="E134" s="14"/>
      <c r="F134" s="14"/>
      <c r="G134" s="7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</row>
    <row r="135" spans="1:53" x14ac:dyDescent="0.25">
      <c r="A135" s="14"/>
      <c r="B135" s="14"/>
      <c r="C135" s="14"/>
      <c r="D135" s="14"/>
      <c r="E135" s="14"/>
      <c r="F135" s="14"/>
      <c r="G135" s="7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</row>
    <row r="136" spans="1:53" x14ac:dyDescent="0.25">
      <c r="A136" s="14"/>
      <c r="B136" s="14"/>
      <c r="C136" s="14"/>
      <c r="D136" s="14"/>
      <c r="E136" s="14"/>
      <c r="F136" s="14"/>
      <c r="G136" s="7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</row>
    <row r="137" spans="1:53" x14ac:dyDescent="0.25">
      <c r="A137" s="14"/>
      <c r="B137" s="14"/>
      <c r="C137" s="14"/>
      <c r="D137" s="14"/>
      <c r="E137" s="14"/>
      <c r="F137" s="14"/>
      <c r="G137" s="7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</row>
    <row r="138" spans="1:53" x14ac:dyDescent="0.25">
      <c r="A138" s="14"/>
      <c r="B138" s="14"/>
      <c r="C138" s="14"/>
      <c r="D138" s="14"/>
      <c r="E138" s="14"/>
      <c r="F138" s="14"/>
      <c r="G138" s="7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</row>
    <row r="139" spans="1:53" x14ac:dyDescent="0.25">
      <c r="A139" s="14"/>
      <c r="B139" s="14"/>
      <c r="C139" s="14"/>
      <c r="D139" s="14"/>
      <c r="E139" s="14"/>
      <c r="F139" s="14"/>
      <c r="G139" s="7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</row>
    <row r="140" spans="1:53" x14ac:dyDescent="0.25">
      <c r="A140" s="14"/>
      <c r="B140" s="14"/>
      <c r="C140" s="14"/>
      <c r="D140" s="14"/>
      <c r="E140" s="14"/>
      <c r="F140" s="14"/>
      <c r="G140" s="7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</row>
    <row r="141" spans="1:53" x14ac:dyDescent="0.25">
      <c r="A141" s="14"/>
      <c r="B141" s="14"/>
      <c r="C141" s="14"/>
      <c r="D141" s="14"/>
      <c r="E141" s="14"/>
      <c r="F141" s="14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</row>
    <row r="142" spans="1:53" x14ac:dyDescent="0.25">
      <c r="A142" s="14"/>
      <c r="B142" s="14"/>
      <c r="C142" s="14"/>
      <c r="D142" s="14"/>
      <c r="E142" s="14"/>
      <c r="F142" s="14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</row>
    <row r="143" spans="1:53" x14ac:dyDescent="0.25">
      <c r="A143" s="14"/>
      <c r="B143" s="14"/>
      <c r="C143" s="14"/>
      <c r="D143" s="14"/>
      <c r="E143" s="14"/>
      <c r="F143" s="14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</row>
    <row r="144" spans="1:53" x14ac:dyDescent="0.25">
      <c r="A144" s="14"/>
      <c r="B144" s="14"/>
      <c r="C144" s="14"/>
      <c r="D144" s="14"/>
      <c r="E144" s="14"/>
      <c r="F144" s="14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</row>
    <row r="145" spans="1:53" x14ac:dyDescent="0.25">
      <c r="A145" s="14"/>
      <c r="B145" s="14"/>
      <c r="C145" s="14"/>
      <c r="D145" s="14"/>
      <c r="E145" s="14"/>
      <c r="F145" s="14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</row>
    <row r="146" spans="1:53" x14ac:dyDescent="0.25">
      <c r="A146" s="14"/>
      <c r="B146" s="14"/>
      <c r="C146" s="14"/>
      <c r="D146" s="14"/>
      <c r="E146" s="14"/>
      <c r="F146" s="14"/>
      <c r="G146" s="7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</row>
    <row r="147" spans="1:53" x14ac:dyDescent="0.25">
      <c r="A147" s="14"/>
      <c r="B147" s="14"/>
      <c r="C147" s="14"/>
      <c r="D147" s="14"/>
      <c r="E147" s="14"/>
      <c r="F147" s="14"/>
      <c r="G147" s="7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</row>
    <row r="148" spans="1:53" x14ac:dyDescent="0.25">
      <c r="A148" s="14"/>
      <c r="B148" s="14"/>
      <c r="C148" s="14"/>
      <c r="D148" s="14"/>
      <c r="E148" s="14"/>
      <c r="F148" s="14"/>
      <c r="G148" s="7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</row>
    <row r="149" spans="1:53" x14ac:dyDescent="0.25">
      <c r="A149" s="14"/>
      <c r="B149" s="14"/>
      <c r="C149" s="14"/>
      <c r="D149" s="14"/>
      <c r="E149" s="14"/>
      <c r="F149" s="14"/>
      <c r="G149" s="7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</row>
    <row r="150" spans="1:53" x14ac:dyDescent="0.25">
      <c r="A150" s="14"/>
      <c r="B150" s="14"/>
      <c r="C150" s="14"/>
      <c r="D150" s="14"/>
      <c r="E150" s="14"/>
      <c r="F150" s="14"/>
      <c r="G150" s="7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</row>
    <row r="151" spans="1:53" x14ac:dyDescent="0.25">
      <c r="A151" s="14"/>
      <c r="B151" s="14"/>
      <c r="C151" s="14"/>
      <c r="D151" s="14"/>
      <c r="E151" s="14"/>
      <c r="F151" s="14"/>
      <c r="G151" s="7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</row>
    <row r="152" spans="1:53" x14ac:dyDescent="0.25">
      <c r="A152" s="14"/>
      <c r="B152" s="14"/>
      <c r="C152" s="14"/>
      <c r="D152" s="14"/>
      <c r="E152" s="14"/>
      <c r="F152" s="14"/>
      <c r="G152" s="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</row>
    <row r="153" spans="1:53" x14ac:dyDescent="0.25">
      <c r="A153" s="14"/>
      <c r="B153" s="14"/>
      <c r="C153" s="14"/>
      <c r="D153" s="14"/>
      <c r="E153" s="14"/>
      <c r="F153" s="14"/>
      <c r="G153" s="7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</row>
    <row r="154" spans="1:53" x14ac:dyDescent="0.25">
      <c r="A154" s="14"/>
      <c r="B154" s="14"/>
      <c r="C154" s="14"/>
      <c r="D154" s="14"/>
      <c r="E154" s="14"/>
      <c r="F154" s="14"/>
      <c r="G154" s="7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</row>
    <row r="155" spans="1:53" x14ac:dyDescent="0.25">
      <c r="A155" s="14"/>
      <c r="B155" s="14"/>
      <c r="C155" s="14"/>
      <c r="D155" s="14"/>
      <c r="E155" s="14"/>
      <c r="F155" s="14"/>
      <c r="G155" s="7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</row>
    <row r="156" spans="1:53" x14ac:dyDescent="0.25">
      <c r="A156" s="14"/>
      <c r="B156" s="14"/>
      <c r="C156" s="14"/>
      <c r="D156" s="14"/>
      <c r="E156" s="14"/>
      <c r="F156" s="14"/>
      <c r="G156" s="7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</row>
    <row r="157" spans="1:53" x14ac:dyDescent="0.25">
      <c r="A157" s="14"/>
      <c r="B157" s="14"/>
      <c r="C157" s="14"/>
      <c r="D157" s="14"/>
      <c r="E157" s="14"/>
      <c r="F157" s="14"/>
      <c r="G157" s="7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</row>
    <row r="158" spans="1:53" x14ac:dyDescent="0.25">
      <c r="A158" s="14"/>
      <c r="B158" s="14"/>
      <c r="C158" s="14"/>
      <c r="D158" s="14"/>
      <c r="E158" s="14"/>
      <c r="F158" s="14"/>
      <c r="G158" s="7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</row>
    <row r="159" spans="1:53" x14ac:dyDescent="0.25">
      <c r="A159" s="14"/>
      <c r="B159" s="14"/>
      <c r="C159" s="14"/>
      <c r="D159" s="14"/>
      <c r="E159" s="14"/>
      <c r="F159" s="14"/>
      <c r="G159" s="7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</row>
    <row r="160" spans="1:53" x14ac:dyDescent="0.25">
      <c r="A160" s="14"/>
      <c r="B160" s="14"/>
      <c r="C160" s="14"/>
      <c r="D160" s="14"/>
      <c r="E160" s="14"/>
      <c r="F160" s="14"/>
      <c r="G160" s="7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</row>
    <row r="161" spans="1:53" x14ac:dyDescent="0.25">
      <c r="A161" s="14"/>
      <c r="B161" s="14"/>
      <c r="C161" s="14"/>
      <c r="D161" s="14"/>
      <c r="E161" s="14"/>
      <c r="F161" s="14"/>
      <c r="G161" s="7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</row>
    <row r="162" spans="1:53" x14ac:dyDescent="0.25">
      <c r="A162" s="14"/>
      <c r="B162" s="14"/>
      <c r="C162" s="14"/>
      <c r="D162" s="14"/>
      <c r="E162" s="14"/>
      <c r="F162" s="14"/>
      <c r="G162" s="7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</row>
    <row r="163" spans="1:53" x14ac:dyDescent="0.25">
      <c r="A163" s="14"/>
      <c r="B163" s="14"/>
      <c r="C163" s="14"/>
      <c r="D163" s="14"/>
      <c r="E163" s="14"/>
      <c r="F163" s="14"/>
      <c r="G163" s="7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</row>
    <row r="164" spans="1:53" x14ac:dyDescent="0.25">
      <c r="A164" s="14"/>
      <c r="B164" s="14"/>
      <c r="C164" s="14"/>
      <c r="D164" s="14"/>
      <c r="E164" s="14"/>
      <c r="F164" s="14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</row>
    <row r="165" spans="1:53" x14ac:dyDescent="0.25">
      <c r="A165" s="14"/>
      <c r="B165" s="14"/>
      <c r="C165" s="14"/>
      <c r="D165" s="14"/>
      <c r="E165" s="14"/>
      <c r="F165" s="14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</row>
    <row r="166" spans="1:53" x14ac:dyDescent="0.25">
      <c r="A166" s="14"/>
      <c r="B166" s="14"/>
      <c r="C166" s="14"/>
      <c r="D166" s="14"/>
      <c r="E166" s="14"/>
      <c r="F166" s="14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</row>
    <row r="167" spans="1:53" x14ac:dyDescent="0.25">
      <c r="A167" s="14"/>
      <c r="B167" s="14"/>
      <c r="C167" s="14"/>
      <c r="D167" s="14"/>
      <c r="E167" s="14"/>
      <c r="F167" s="14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</row>
    <row r="168" spans="1:53" x14ac:dyDescent="0.25">
      <c r="A168" s="14"/>
      <c r="B168" s="14"/>
      <c r="C168" s="14"/>
      <c r="D168" s="14"/>
      <c r="E168" s="14"/>
      <c r="F168" s="14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</row>
    <row r="169" spans="1:53" x14ac:dyDescent="0.25">
      <c r="A169" s="14"/>
      <c r="B169" s="14"/>
      <c r="C169" s="14"/>
      <c r="D169" s="14"/>
      <c r="E169" s="14"/>
      <c r="F169" s="14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</row>
    <row r="170" spans="1:53" x14ac:dyDescent="0.25">
      <c r="A170" s="14"/>
      <c r="B170" s="14"/>
      <c r="C170" s="14"/>
      <c r="D170" s="14"/>
      <c r="E170" s="14"/>
      <c r="F170" s="14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</row>
    <row r="171" spans="1:53" x14ac:dyDescent="0.25">
      <c r="A171" s="14"/>
      <c r="B171" s="14"/>
      <c r="C171" s="14"/>
      <c r="D171" s="14"/>
      <c r="E171" s="14"/>
      <c r="F171" s="14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</row>
    <row r="172" spans="1:53" x14ac:dyDescent="0.25">
      <c r="A172" s="14"/>
      <c r="B172" s="14"/>
      <c r="C172" s="14"/>
      <c r="D172" s="14"/>
      <c r="E172" s="14"/>
      <c r="F172" s="14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</row>
    <row r="173" spans="1:53" x14ac:dyDescent="0.25">
      <c r="A173" s="14"/>
      <c r="B173" s="14"/>
      <c r="C173" s="14"/>
      <c r="D173" s="14"/>
      <c r="E173" s="14"/>
      <c r="F173" s="14"/>
      <c r="G173" s="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</row>
    <row r="174" spans="1:53" x14ac:dyDescent="0.25">
      <c r="A174" s="14"/>
      <c r="B174" s="14"/>
      <c r="C174" s="14"/>
      <c r="D174" s="14"/>
      <c r="E174" s="14"/>
      <c r="F174" s="14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</row>
    <row r="175" spans="1:53" x14ac:dyDescent="0.25">
      <c r="A175" s="14"/>
      <c r="B175" s="14"/>
      <c r="C175" s="14"/>
      <c r="D175" s="14"/>
      <c r="E175" s="14"/>
      <c r="F175" s="14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</row>
    <row r="176" spans="1:53" x14ac:dyDescent="0.25">
      <c r="A176" s="14"/>
      <c r="B176" s="14"/>
      <c r="C176" s="14"/>
      <c r="D176" s="14"/>
      <c r="E176" s="14"/>
      <c r="F176" s="14"/>
      <c r="G176" s="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</row>
    <row r="177" spans="1:53" x14ac:dyDescent="0.25">
      <c r="A177" s="14"/>
      <c r="B177" s="14"/>
      <c r="C177" s="14"/>
      <c r="D177" s="14"/>
      <c r="E177" s="14"/>
      <c r="F177" s="14"/>
      <c r="G177" s="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</row>
    <row r="178" spans="1:53" x14ac:dyDescent="0.25">
      <c r="A178" s="14"/>
      <c r="B178" s="14"/>
      <c r="C178" s="14"/>
      <c r="D178" s="14"/>
      <c r="E178" s="14"/>
      <c r="F178" s="14"/>
      <c r="G178" s="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</row>
    <row r="179" spans="1:53" x14ac:dyDescent="0.25">
      <c r="A179" s="14"/>
      <c r="B179" s="14"/>
      <c r="C179" s="14"/>
      <c r="D179" s="14"/>
      <c r="E179" s="14"/>
      <c r="F179" s="14"/>
      <c r="G179" s="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</row>
    <row r="180" spans="1:53" x14ac:dyDescent="0.25">
      <c r="A180" s="14"/>
      <c r="B180" s="14"/>
      <c r="C180" s="14"/>
      <c r="D180" s="14"/>
      <c r="E180" s="14"/>
      <c r="F180" s="14"/>
      <c r="G180" s="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</row>
    <row r="181" spans="1:53" x14ac:dyDescent="0.25">
      <c r="A181" s="14"/>
      <c r="B181" s="14"/>
      <c r="C181" s="14"/>
      <c r="D181" s="14"/>
      <c r="E181" s="14"/>
      <c r="F181" s="14"/>
      <c r="G181" s="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</row>
    <row r="182" spans="1:53" x14ac:dyDescent="0.25">
      <c r="A182" s="14"/>
      <c r="B182" s="14"/>
      <c r="C182" s="14"/>
      <c r="D182" s="14"/>
      <c r="E182" s="14"/>
      <c r="F182" s="14"/>
      <c r="G182" s="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</row>
    <row r="183" spans="1:53" x14ac:dyDescent="0.25">
      <c r="A183" s="14"/>
      <c r="B183" s="14"/>
      <c r="C183" s="14"/>
      <c r="D183" s="14"/>
      <c r="E183" s="14"/>
      <c r="F183" s="14"/>
      <c r="G183" s="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</row>
    <row r="184" spans="1:53" x14ac:dyDescent="0.25">
      <c r="A184" s="14"/>
      <c r="B184" s="14"/>
      <c r="C184" s="14"/>
      <c r="D184" s="14"/>
      <c r="E184" s="14"/>
      <c r="F184" s="14"/>
      <c r="G184" s="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</row>
    <row r="185" spans="1:53" x14ac:dyDescent="0.25">
      <c r="A185" s="14"/>
      <c r="B185" s="14"/>
      <c r="C185" s="14"/>
      <c r="D185" s="14"/>
      <c r="E185" s="14"/>
      <c r="F185" s="14"/>
      <c r="G185" s="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</row>
    <row r="186" spans="1:53" x14ac:dyDescent="0.25">
      <c r="A186" s="14"/>
      <c r="B186" s="14"/>
      <c r="C186" s="14"/>
      <c r="D186" s="14"/>
      <c r="E186" s="14"/>
      <c r="F186" s="14"/>
      <c r="G186" s="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</row>
    <row r="187" spans="1:53" x14ac:dyDescent="0.25">
      <c r="A187" s="14"/>
      <c r="B187" s="14"/>
      <c r="C187" s="14"/>
      <c r="D187" s="14"/>
      <c r="E187" s="14"/>
      <c r="F187" s="14"/>
      <c r="G187" s="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</row>
    <row r="188" spans="1:53" x14ac:dyDescent="0.25">
      <c r="A188" s="14"/>
      <c r="B188" s="14"/>
      <c r="C188" s="14"/>
      <c r="D188" s="14"/>
      <c r="E188" s="14"/>
      <c r="F188" s="14"/>
      <c r="G188" s="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</row>
    <row r="189" spans="1:53" x14ac:dyDescent="0.25">
      <c r="A189" s="14"/>
      <c r="B189" s="14"/>
      <c r="C189" s="14"/>
      <c r="D189" s="14"/>
      <c r="E189" s="14"/>
      <c r="F189" s="14"/>
      <c r="G189" s="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</row>
    <row r="190" spans="1:53" x14ac:dyDescent="0.25">
      <c r="A190" s="14"/>
      <c r="B190" s="14"/>
      <c r="C190" s="14"/>
      <c r="D190" s="14"/>
      <c r="E190" s="14"/>
      <c r="F190" s="14"/>
      <c r="G190" s="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</row>
    <row r="191" spans="1:53" x14ac:dyDescent="0.25">
      <c r="A191" s="14"/>
      <c r="B191" s="14"/>
      <c r="C191" s="14"/>
      <c r="D191" s="14"/>
      <c r="E191" s="14"/>
      <c r="F191" s="14"/>
      <c r="G191" s="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</row>
    <row r="192" spans="1:53" x14ac:dyDescent="0.25">
      <c r="A192" s="14"/>
      <c r="B192" s="14"/>
      <c r="C192" s="14"/>
      <c r="D192" s="14"/>
      <c r="E192" s="14"/>
      <c r="F192" s="14"/>
      <c r="G192" s="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</row>
    <row r="193" spans="1:53" x14ac:dyDescent="0.25">
      <c r="A193" s="14"/>
      <c r="B193" s="14"/>
      <c r="C193" s="14"/>
      <c r="D193" s="14"/>
      <c r="E193" s="14"/>
      <c r="F193" s="14"/>
      <c r="G193" s="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</row>
    <row r="194" spans="1:53" x14ac:dyDescent="0.25">
      <c r="A194" s="14"/>
      <c r="B194" s="14"/>
      <c r="C194" s="14"/>
      <c r="D194" s="14"/>
      <c r="E194" s="14"/>
      <c r="F194" s="14"/>
      <c r="G194" s="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</row>
    <row r="195" spans="1:53" x14ac:dyDescent="0.25">
      <c r="A195" s="14"/>
      <c r="B195" s="14"/>
      <c r="C195" s="14"/>
      <c r="D195" s="14"/>
      <c r="E195" s="14"/>
      <c r="F195" s="14"/>
      <c r="G195" s="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</row>
    <row r="196" spans="1:53" x14ac:dyDescent="0.25">
      <c r="A196" s="14"/>
      <c r="B196" s="14"/>
      <c r="C196" s="14"/>
      <c r="D196" s="14"/>
      <c r="E196" s="14"/>
      <c r="F196" s="14"/>
      <c r="G196" s="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</row>
    <row r="197" spans="1:53" x14ac:dyDescent="0.25">
      <c r="A197" s="14"/>
      <c r="B197" s="14"/>
      <c r="C197" s="14"/>
      <c r="D197" s="14"/>
      <c r="E197" s="14"/>
      <c r="F197" s="14"/>
      <c r="G197" s="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</row>
    <row r="198" spans="1:53" x14ac:dyDescent="0.25">
      <c r="A198" s="14"/>
      <c r="B198" s="14"/>
      <c r="C198" s="14"/>
      <c r="D198" s="14"/>
      <c r="E198" s="14"/>
      <c r="F198" s="14"/>
      <c r="G198" s="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</row>
    <row r="199" spans="1:53" x14ac:dyDescent="0.25">
      <c r="A199" s="14"/>
      <c r="B199" s="14"/>
      <c r="C199" s="14"/>
      <c r="D199" s="14"/>
      <c r="E199" s="14"/>
      <c r="F199" s="14"/>
      <c r="G199" s="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</row>
    <row r="200" spans="1:53" x14ac:dyDescent="0.25">
      <c r="A200" s="14"/>
      <c r="B200" s="14"/>
      <c r="C200" s="14"/>
      <c r="D200" s="14"/>
      <c r="E200" s="14"/>
      <c r="F200" s="14"/>
      <c r="G200" s="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</row>
    <row r="201" spans="1:53" x14ac:dyDescent="0.25">
      <c r="A201" s="14"/>
      <c r="B201" s="14"/>
      <c r="C201" s="14"/>
      <c r="D201" s="14"/>
      <c r="E201" s="14"/>
      <c r="F201" s="14"/>
      <c r="G201" s="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</row>
    <row r="202" spans="1:53" x14ac:dyDescent="0.25">
      <c r="A202" s="14"/>
      <c r="B202" s="14"/>
      <c r="C202" s="14"/>
      <c r="D202" s="14"/>
      <c r="E202" s="14"/>
      <c r="F202" s="14"/>
      <c r="G202" s="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</row>
    <row r="203" spans="1:53" x14ac:dyDescent="0.25">
      <c r="A203" s="14"/>
      <c r="B203" s="14"/>
      <c r="C203" s="14"/>
      <c r="D203" s="14"/>
      <c r="E203" s="14"/>
      <c r="F203" s="14"/>
      <c r="G203" s="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</row>
    <row r="204" spans="1:53" x14ac:dyDescent="0.25">
      <c r="A204" s="14"/>
      <c r="B204" s="14"/>
      <c r="C204" s="14"/>
      <c r="D204" s="14"/>
      <c r="E204" s="14"/>
      <c r="F204" s="14"/>
      <c r="G204" s="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</row>
    <row r="205" spans="1:53" x14ac:dyDescent="0.25">
      <c r="A205" s="14"/>
      <c r="B205" s="14"/>
      <c r="C205" s="14"/>
      <c r="D205" s="14"/>
      <c r="E205" s="14"/>
      <c r="F205" s="14"/>
      <c r="G205" s="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</row>
    <row r="206" spans="1:53" x14ac:dyDescent="0.25">
      <c r="A206" s="14"/>
      <c r="B206" s="14"/>
      <c r="C206" s="14"/>
      <c r="D206" s="14"/>
      <c r="E206" s="14"/>
      <c r="F206" s="14"/>
      <c r="G206" s="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</row>
    <row r="207" spans="1:53" x14ac:dyDescent="0.25">
      <c r="A207" s="14"/>
      <c r="B207" s="14"/>
      <c r="C207" s="14"/>
      <c r="D207" s="14"/>
      <c r="E207" s="14"/>
      <c r="F207" s="14"/>
      <c r="G207" s="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</row>
    <row r="208" spans="1:53" x14ac:dyDescent="0.25">
      <c r="A208" s="14"/>
      <c r="B208" s="14"/>
      <c r="C208" s="14"/>
      <c r="D208" s="14"/>
      <c r="E208" s="14"/>
      <c r="F208" s="14"/>
      <c r="G208" s="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</row>
    <row r="209" spans="1:53" x14ac:dyDescent="0.25">
      <c r="A209" s="14"/>
      <c r="B209" s="14"/>
      <c r="C209" s="14"/>
      <c r="D209" s="14"/>
      <c r="E209" s="14"/>
      <c r="F209" s="14"/>
      <c r="G209" s="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</row>
    <row r="210" spans="1:53" x14ac:dyDescent="0.25">
      <c r="A210" s="14"/>
      <c r="B210" s="14"/>
      <c r="C210" s="14"/>
      <c r="D210" s="14"/>
      <c r="E210" s="14"/>
      <c r="F210" s="14"/>
      <c r="G210" s="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</row>
    <row r="211" spans="1:53" x14ac:dyDescent="0.25">
      <c r="A211" s="14"/>
      <c r="B211" s="14"/>
      <c r="C211" s="14"/>
      <c r="D211" s="14"/>
      <c r="E211" s="14"/>
      <c r="F211" s="14"/>
      <c r="G211" s="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</row>
    <row r="212" spans="1:53" x14ac:dyDescent="0.25">
      <c r="A212" s="14"/>
      <c r="B212" s="14"/>
      <c r="C212" s="14"/>
      <c r="D212" s="14"/>
      <c r="E212" s="14"/>
      <c r="F212" s="14"/>
      <c r="G212" s="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</row>
    <row r="213" spans="1:53" x14ac:dyDescent="0.25">
      <c r="A213" s="14"/>
      <c r="B213" s="14"/>
      <c r="C213" s="14"/>
      <c r="D213" s="14"/>
      <c r="E213" s="14"/>
      <c r="F213" s="14"/>
      <c r="G213" s="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</row>
    <row r="214" spans="1:53" x14ac:dyDescent="0.25">
      <c r="A214" s="14"/>
      <c r="B214" s="14"/>
      <c r="C214" s="14"/>
      <c r="D214" s="14"/>
      <c r="E214" s="14"/>
      <c r="F214" s="14"/>
      <c r="G214" s="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</row>
    <row r="215" spans="1:53" x14ac:dyDescent="0.25">
      <c r="A215" s="14"/>
      <c r="B215" s="14"/>
      <c r="C215" s="14"/>
      <c r="D215" s="14"/>
      <c r="E215" s="14"/>
      <c r="F215" s="14"/>
      <c r="G215" s="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</row>
    <row r="216" spans="1:53" x14ac:dyDescent="0.25">
      <c r="A216" s="14"/>
      <c r="B216" s="14"/>
      <c r="C216" s="14"/>
      <c r="D216" s="14"/>
      <c r="E216" s="14"/>
      <c r="F216" s="14"/>
      <c r="G216" s="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</row>
    <row r="217" spans="1:53" x14ac:dyDescent="0.25">
      <c r="A217" s="14"/>
      <c r="B217" s="14"/>
      <c r="C217" s="14"/>
      <c r="D217" s="14"/>
      <c r="E217" s="14"/>
      <c r="F217" s="14"/>
      <c r="G217" s="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</row>
    <row r="218" spans="1:53" x14ac:dyDescent="0.25">
      <c r="A218" s="14"/>
      <c r="B218" s="14"/>
      <c r="C218" s="14"/>
      <c r="D218" s="14"/>
      <c r="E218" s="14"/>
      <c r="F218" s="14"/>
      <c r="G218" s="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</row>
    <row r="219" spans="1:53" x14ac:dyDescent="0.25">
      <c r="A219" s="14"/>
      <c r="B219" s="14"/>
      <c r="C219" s="14"/>
      <c r="D219" s="14"/>
      <c r="E219" s="14"/>
      <c r="F219" s="14"/>
      <c r="G219" s="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</row>
    <row r="220" spans="1:53" x14ac:dyDescent="0.25">
      <c r="A220" s="14"/>
      <c r="B220" s="14"/>
      <c r="C220" s="14"/>
      <c r="D220" s="14"/>
      <c r="E220" s="14"/>
      <c r="F220" s="14"/>
      <c r="G220" s="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</row>
    <row r="221" spans="1:53" x14ac:dyDescent="0.25">
      <c r="A221" s="14"/>
      <c r="B221" s="14"/>
      <c r="C221" s="14"/>
      <c r="D221" s="14"/>
      <c r="E221" s="14"/>
      <c r="F221" s="14"/>
      <c r="G221" s="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</row>
    <row r="222" spans="1:53" x14ac:dyDescent="0.25">
      <c r="A222" s="14"/>
      <c r="B222" s="14"/>
      <c r="C222" s="14"/>
      <c r="D222" s="14"/>
      <c r="E222" s="14"/>
      <c r="F222" s="14"/>
      <c r="G222" s="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</row>
    <row r="223" spans="1:53" x14ac:dyDescent="0.25">
      <c r="A223" s="14"/>
      <c r="B223" s="14"/>
      <c r="C223" s="14"/>
      <c r="D223" s="14"/>
      <c r="E223" s="14"/>
      <c r="F223" s="14"/>
      <c r="G223" s="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</row>
    <row r="224" spans="1:53" x14ac:dyDescent="0.25">
      <c r="A224" s="14"/>
      <c r="B224" s="14"/>
      <c r="C224" s="14"/>
      <c r="D224" s="14"/>
      <c r="E224" s="14"/>
      <c r="F224" s="14"/>
      <c r="G224" s="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</row>
    <row r="225" spans="1:53" x14ac:dyDescent="0.25">
      <c r="A225" s="14"/>
      <c r="B225" s="14"/>
      <c r="C225" s="14"/>
      <c r="D225" s="14"/>
      <c r="E225" s="14"/>
      <c r="F225" s="14"/>
      <c r="G225" s="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</row>
    <row r="226" spans="1:53" x14ac:dyDescent="0.25">
      <c r="A226" s="14"/>
      <c r="B226" s="14"/>
      <c r="C226" s="14"/>
      <c r="D226" s="14"/>
      <c r="E226" s="14"/>
      <c r="F226" s="14"/>
      <c r="G226" s="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</row>
    <row r="227" spans="1:53" x14ac:dyDescent="0.25">
      <c r="A227" s="14"/>
      <c r="B227" s="14"/>
      <c r="C227" s="14"/>
      <c r="D227" s="14"/>
      <c r="E227" s="14"/>
      <c r="F227" s="14"/>
      <c r="G227" s="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</row>
    <row r="228" spans="1:53" x14ac:dyDescent="0.25">
      <c r="A228" s="14"/>
      <c r="B228" s="14"/>
      <c r="C228" s="14"/>
      <c r="D228" s="14"/>
      <c r="E228" s="14"/>
      <c r="F228" s="14"/>
      <c r="G228" s="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</row>
    <row r="229" spans="1:53" x14ac:dyDescent="0.25">
      <c r="A229" s="14"/>
      <c r="B229" s="14"/>
      <c r="C229" s="14"/>
      <c r="D229" s="14"/>
      <c r="E229" s="14"/>
      <c r="F229" s="14"/>
      <c r="G229" s="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</row>
    <row r="230" spans="1:53" x14ac:dyDescent="0.25">
      <c r="A230" s="14"/>
      <c r="B230" s="14"/>
      <c r="C230" s="14"/>
      <c r="D230" s="14"/>
      <c r="E230" s="14"/>
      <c r="F230" s="14"/>
      <c r="G230" s="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</row>
    <row r="231" spans="1:53" x14ac:dyDescent="0.25">
      <c r="A231" s="14"/>
      <c r="B231" s="14"/>
      <c r="C231" s="14"/>
      <c r="D231" s="14"/>
      <c r="E231" s="14"/>
      <c r="F231" s="14"/>
      <c r="G231" s="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</row>
    <row r="232" spans="1:53" x14ac:dyDescent="0.25">
      <c r="A232" s="14"/>
      <c r="B232" s="14"/>
      <c r="C232" s="14"/>
      <c r="D232" s="14"/>
      <c r="E232" s="14"/>
      <c r="F232" s="14"/>
      <c r="G232" s="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</row>
    <row r="233" spans="1:53" x14ac:dyDescent="0.25">
      <c r="A233" s="14"/>
      <c r="B233" s="14"/>
      <c r="C233" s="14"/>
      <c r="D233" s="14"/>
      <c r="E233" s="14"/>
      <c r="F233" s="14"/>
      <c r="G233" s="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</row>
    <row r="234" spans="1:53" x14ac:dyDescent="0.25">
      <c r="A234" s="14"/>
      <c r="B234" s="14"/>
      <c r="C234" s="14"/>
      <c r="D234" s="14"/>
      <c r="E234" s="14"/>
      <c r="F234" s="14"/>
      <c r="G234" s="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</row>
    <row r="235" spans="1:53" x14ac:dyDescent="0.25">
      <c r="A235" s="14"/>
      <c r="B235" s="14"/>
      <c r="C235" s="14"/>
      <c r="D235" s="14"/>
      <c r="E235" s="14"/>
      <c r="F235" s="14"/>
      <c r="G235" s="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</row>
    <row r="236" spans="1:53" x14ac:dyDescent="0.25">
      <c r="A236" s="14"/>
      <c r="B236" s="14"/>
      <c r="C236" s="14"/>
      <c r="D236" s="14"/>
      <c r="E236" s="14"/>
      <c r="F236" s="14"/>
      <c r="G236" s="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</row>
    <row r="237" spans="1:53" x14ac:dyDescent="0.25">
      <c r="A237" s="14"/>
      <c r="B237" s="14"/>
      <c r="C237" s="14"/>
      <c r="D237" s="14"/>
      <c r="E237" s="14"/>
      <c r="F237" s="14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</row>
    <row r="238" spans="1:53" x14ac:dyDescent="0.25">
      <c r="A238" s="14"/>
      <c r="B238" s="14"/>
      <c r="C238" s="14"/>
      <c r="D238" s="14"/>
      <c r="E238" s="14"/>
      <c r="F238" s="14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</row>
    <row r="239" spans="1:53" x14ac:dyDescent="0.25">
      <c r="A239" s="14"/>
      <c r="B239" s="14"/>
      <c r="C239" s="14"/>
      <c r="D239" s="14"/>
      <c r="E239" s="14"/>
      <c r="F239" s="14"/>
      <c r="G239" s="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</row>
    <row r="240" spans="1:53" x14ac:dyDescent="0.25">
      <c r="A240" s="14"/>
      <c r="B240" s="14"/>
      <c r="C240" s="14"/>
      <c r="D240" s="14"/>
      <c r="E240" s="14"/>
      <c r="F240" s="14"/>
      <c r="G240" s="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</row>
    <row r="241" spans="1:53" x14ac:dyDescent="0.25">
      <c r="A241" s="14"/>
      <c r="B241" s="14"/>
      <c r="C241" s="14"/>
      <c r="D241" s="14"/>
      <c r="E241" s="14"/>
      <c r="F241" s="14"/>
      <c r="G241" s="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</row>
    <row r="242" spans="1:53" x14ac:dyDescent="0.25">
      <c r="A242" s="14"/>
      <c r="B242" s="14"/>
      <c r="C242" s="14"/>
      <c r="D242" s="14"/>
      <c r="E242" s="14"/>
      <c r="F242" s="14"/>
      <c r="G242" s="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</row>
    <row r="243" spans="1:53" x14ac:dyDescent="0.25">
      <c r="A243" s="14"/>
      <c r="B243" s="14"/>
      <c r="C243" s="14"/>
      <c r="D243" s="14"/>
      <c r="E243" s="14"/>
      <c r="F243" s="14"/>
      <c r="G243" s="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</row>
    <row r="244" spans="1:53" x14ac:dyDescent="0.25">
      <c r="A244" s="14"/>
      <c r="B244" s="14"/>
      <c r="C244" s="14"/>
      <c r="D244" s="14"/>
      <c r="E244" s="14"/>
      <c r="F244" s="14"/>
      <c r="G244" s="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</row>
    <row r="245" spans="1:53" x14ac:dyDescent="0.25">
      <c r="A245" s="14"/>
      <c r="B245" s="14"/>
      <c r="C245" s="14"/>
      <c r="D245" s="14"/>
      <c r="E245" s="14"/>
      <c r="F245" s="14"/>
      <c r="G245" s="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</row>
    <row r="246" spans="1:53" x14ac:dyDescent="0.25">
      <c r="A246" s="14"/>
      <c r="B246" s="14"/>
      <c r="C246" s="14"/>
      <c r="D246" s="14"/>
      <c r="E246" s="14"/>
      <c r="F246" s="14"/>
      <c r="G246" s="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</row>
    <row r="247" spans="1:53" x14ac:dyDescent="0.25">
      <c r="A247" s="14"/>
      <c r="B247" s="14"/>
      <c r="C247" s="14"/>
      <c r="D247" s="14"/>
      <c r="E247" s="14"/>
      <c r="F247" s="14"/>
      <c r="G247" s="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</row>
    <row r="248" spans="1:53" x14ac:dyDescent="0.25">
      <c r="A248" s="14"/>
      <c r="B248" s="14"/>
      <c r="C248" s="14"/>
      <c r="D248" s="14"/>
      <c r="E248" s="14"/>
      <c r="F248" s="14"/>
      <c r="G248" s="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</row>
    <row r="249" spans="1:53" x14ac:dyDescent="0.25">
      <c r="A249" s="14"/>
      <c r="B249" s="14"/>
      <c r="C249" s="14"/>
      <c r="D249" s="14"/>
      <c r="E249" s="14"/>
      <c r="F249" s="14"/>
      <c r="G249" s="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</row>
    <row r="250" spans="1:53" x14ac:dyDescent="0.25">
      <c r="A250" s="14"/>
      <c r="B250" s="14"/>
      <c r="C250" s="14"/>
      <c r="D250" s="14"/>
      <c r="E250" s="14"/>
      <c r="F250" s="14"/>
      <c r="G250" s="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</row>
    <row r="251" spans="1:53" x14ac:dyDescent="0.25">
      <c r="A251" s="14"/>
      <c r="B251" s="14"/>
      <c r="C251" s="14"/>
      <c r="D251" s="14"/>
      <c r="E251" s="14"/>
      <c r="F251" s="14"/>
      <c r="G251" s="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</row>
    <row r="252" spans="1:53" x14ac:dyDescent="0.25">
      <c r="A252" s="14"/>
      <c r="B252" s="14"/>
      <c r="C252" s="14"/>
      <c r="D252" s="14"/>
      <c r="E252" s="14"/>
      <c r="F252" s="14"/>
      <c r="G252" s="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</row>
    <row r="253" spans="1:53" x14ac:dyDescent="0.25">
      <c r="A253" s="14"/>
      <c r="B253" s="14"/>
      <c r="C253" s="14"/>
      <c r="D253" s="14"/>
      <c r="E253" s="14"/>
      <c r="F253" s="14"/>
      <c r="G253" s="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</row>
    <row r="254" spans="1:53" x14ac:dyDescent="0.25">
      <c r="A254" s="14"/>
      <c r="B254" s="14"/>
      <c r="C254" s="14"/>
      <c r="D254" s="14"/>
      <c r="E254" s="14"/>
      <c r="F254" s="14"/>
      <c r="G254" s="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</row>
    <row r="255" spans="1:53" x14ac:dyDescent="0.25">
      <c r="A255" s="14"/>
      <c r="B255" s="14"/>
      <c r="C255" s="14"/>
      <c r="D255" s="14"/>
      <c r="E255" s="14"/>
      <c r="F255" s="14"/>
      <c r="G255" s="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</row>
    <row r="256" spans="1:53" x14ac:dyDescent="0.25">
      <c r="A256" s="14"/>
      <c r="B256" s="14"/>
      <c r="C256" s="14"/>
      <c r="D256" s="14"/>
      <c r="E256" s="14"/>
      <c r="F256" s="14"/>
      <c r="G256" s="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</row>
    <row r="257" spans="1:53" x14ac:dyDescent="0.25">
      <c r="A257" s="14"/>
      <c r="B257" s="14"/>
      <c r="C257" s="14"/>
      <c r="D257" s="14"/>
      <c r="E257" s="14"/>
      <c r="F257" s="14"/>
      <c r="G257" s="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</row>
    <row r="258" spans="1:53" x14ac:dyDescent="0.25">
      <c r="A258" s="14"/>
      <c r="B258" s="14"/>
      <c r="C258" s="14"/>
      <c r="D258" s="14"/>
      <c r="E258" s="14"/>
      <c r="F258" s="14"/>
      <c r="G258" s="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</row>
    <row r="259" spans="1:53" x14ac:dyDescent="0.25">
      <c r="A259" s="14"/>
      <c r="B259" s="14"/>
      <c r="C259" s="14"/>
      <c r="D259" s="14"/>
      <c r="E259" s="14"/>
      <c r="F259" s="14"/>
      <c r="G259" s="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</row>
    <row r="260" spans="1:53" x14ac:dyDescent="0.25">
      <c r="A260" s="14"/>
      <c r="B260" s="14"/>
      <c r="C260" s="14"/>
      <c r="D260" s="14"/>
      <c r="E260" s="14"/>
      <c r="F260" s="14"/>
      <c r="G260" s="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</row>
    <row r="261" spans="1:53" x14ac:dyDescent="0.25">
      <c r="A261" s="14"/>
      <c r="B261" s="14"/>
      <c r="C261" s="14"/>
      <c r="D261" s="14"/>
      <c r="E261" s="14"/>
      <c r="F261" s="14"/>
      <c r="G261" s="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</row>
    <row r="262" spans="1:53" x14ac:dyDescent="0.25">
      <c r="A262" s="14"/>
      <c r="B262" s="14"/>
      <c r="C262" s="14"/>
      <c r="D262" s="14"/>
      <c r="E262" s="14"/>
      <c r="F262" s="14"/>
      <c r="G262" s="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</row>
    <row r="263" spans="1:53" x14ac:dyDescent="0.25">
      <c r="A263" s="14"/>
      <c r="B263" s="14"/>
      <c r="C263" s="14"/>
      <c r="D263" s="14"/>
      <c r="E263" s="14"/>
      <c r="F263" s="14"/>
      <c r="G263" s="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</row>
    <row r="264" spans="1:53" x14ac:dyDescent="0.25">
      <c r="A264" s="14"/>
      <c r="B264" s="14"/>
      <c r="C264" s="14"/>
      <c r="D264" s="14"/>
      <c r="E264" s="14"/>
      <c r="F264" s="14"/>
      <c r="G264" s="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</row>
    <row r="265" spans="1:53" x14ac:dyDescent="0.25">
      <c r="A265" s="14"/>
      <c r="B265" s="14"/>
      <c r="C265" s="14"/>
      <c r="D265" s="14"/>
      <c r="E265" s="14"/>
      <c r="F265" s="14"/>
      <c r="G265" s="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</row>
    <row r="266" spans="1:53" x14ac:dyDescent="0.25">
      <c r="A266" s="14"/>
      <c r="B266" s="14"/>
      <c r="C266" s="14"/>
      <c r="D266" s="14"/>
      <c r="E266" s="14"/>
      <c r="F266" s="14"/>
      <c r="G266" s="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</row>
    <row r="267" spans="1:53" x14ac:dyDescent="0.25">
      <c r="A267" s="14"/>
      <c r="B267" s="14"/>
      <c r="C267" s="14"/>
      <c r="D267" s="14"/>
      <c r="E267" s="14"/>
      <c r="F267" s="14"/>
      <c r="G267" s="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</row>
    <row r="268" spans="1:53" x14ac:dyDescent="0.25">
      <c r="A268" s="14"/>
      <c r="B268" s="14"/>
      <c r="C268" s="14"/>
      <c r="D268" s="14"/>
      <c r="E268" s="14"/>
      <c r="F268" s="14"/>
      <c r="G268" s="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</row>
    <row r="269" spans="1:53" x14ac:dyDescent="0.25">
      <c r="A269" s="14"/>
      <c r="B269" s="14"/>
      <c r="C269" s="14"/>
      <c r="D269" s="14"/>
      <c r="E269" s="14"/>
      <c r="F269" s="14"/>
      <c r="G269" s="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</row>
    <row r="270" spans="1:53" x14ac:dyDescent="0.25">
      <c r="A270" s="14"/>
      <c r="B270" s="14"/>
      <c r="C270" s="14"/>
      <c r="D270" s="14"/>
      <c r="E270" s="14"/>
      <c r="F270" s="14"/>
      <c r="G270" s="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</row>
    <row r="271" spans="1:53" x14ac:dyDescent="0.25">
      <c r="A271" s="14"/>
      <c r="B271" s="14"/>
      <c r="C271" s="14"/>
      <c r="D271" s="14"/>
      <c r="E271" s="14"/>
      <c r="F271" s="14"/>
      <c r="G271" s="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</row>
    <row r="272" spans="1:53" x14ac:dyDescent="0.25">
      <c r="A272" s="14"/>
      <c r="B272" s="14"/>
      <c r="C272" s="14"/>
      <c r="D272" s="14"/>
      <c r="E272" s="14"/>
      <c r="F272" s="14"/>
      <c r="G272" s="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</row>
    <row r="273" spans="1:53" x14ac:dyDescent="0.25">
      <c r="A273" s="14"/>
      <c r="B273" s="14"/>
      <c r="C273" s="14"/>
      <c r="D273" s="14"/>
      <c r="E273" s="14"/>
      <c r="F273" s="14"/>
      <c r="G273" s="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</row>
    <row r="274" spans="1:53" x14ac:dyDescent="0.25">
      <c r="A274" s="14"/>
      <c r="B274" s="14"/>
      <c r="C274" s="14"/>
      <c r="D274" s="14"/>
      <c r="E274" s="14"/>
      <c r="F274" s="14"/>
      <c r="G274" s="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</row>
    <row r="275" spans="1:53" x14ac:dyDescent="0.25">
      <c r="A275" s="14"/>
      <c r="B275" s="14"/>
      <c r="C275" s="14"/>
      <c r="D275" s="14"/>
      <c r="E275" s="14"/>
      <c r="F275" s="14"/>
      <c r="G275" s="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</row>
    <row r="276" spans="1:53" x14ac:dyDescent="0.25">
      <c r="A276" s="14"/>
      <c r="B276" s="14"/>
      <c r="C276" s="14"/>
      <c r="D276" s="14"/>
      <c r="E276" s="14"/>
      <c r="F276" s="14"/>
      <c r="G276" s="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</row>
    <row r="277" spans="1:53" x14ac:dyDescent="0.25">
      <c r="A277" s="14"/>
      <c r="B277" s="14"/>
      <c r="C277" s="14"/>
      <c r="D277" s="14"/>
      <c r="E277" s="14"/>
      <c r="F277" s="14"/>
      <c r="G277" s="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</row>
    <row r="278" spans="1:53" x14ac:dyDescent="0.25">
      <c r="A278" s="14"/>
      <c r="B278" s="14"/>
      <c r="C278" s="14"/>
      <c r="D278" s="14"/>
      <c r="E278" s="14"/>
      <c r="F278" s="14"/>
      <c r="G278" s="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</row>
    <row r="279" spans="1:53" x14ac:dyDescent="0.25">
      <c r="A279" s="14"/>
      <c r="B279" s="14"/>
      <c r="C279" s="14"/>
      <c r="D279" s="14"/>
      <c r="E279" s="14"/>
      <c r="F279" s="14"/>
      <c r="G279" s="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</row>
    <row r="280" spans="1:53" x14ac:dyDescent="0.25">
      <c r="A280" s="14"/>
      <c r="B280" s="14"/>
      <c r="C280" s="14"/>
      <c r="D280" s="14"/>
      <c r="E280" s="14"/>
      <c r="F280" s="14"/>
      <c r="G280" s="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</row>
    <row r="281" spans="1:53" x14ac:dyDescent="0.25">
      <c r="A281" s="14"/>
      <c r="B281" s="14"/>
      <c r="C281" s="14"/>
      <c r="D281" s="14"/>
      <c r="E281" s="14"/>
      <c r="F281" s="14"/>
      <c r="G281" s="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</row>
    <row r="282" spans="1:53" x14ac:dyDescent="0.25">
      <c r="A282" s="14"/>
      <c r="B282" s="14"/>
      <c r="C282" s="14"/>
      <c r="D282" s="14"/>
      <c r="E282" s="14"/>
      <c r="F282" s="14"/>
      <c r="G282" s="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</row>
    <row r="283" spans="1:53" x14ac:dyDescent="0.25">
      <c r="A283" s="14"/>
      <c r="B283" s="14"/>
      <c r="C283" s="14"/>
      <c r="D283" s="14"/>
      <c r="E283" s="14"/>
      <c r="F283" s="14"/>
      <c r="G283" s="7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</row>
    <row r="284" spans="1:53" x14ac:dyDescent="0.25">
      <c r="A284" s="14"/>
      <c r="B284" s="14"/>
      <c r="C284" s="14"/>
      <c r="D284" s="14"/>
      <c r="E284" s="14"/>
      <c r="F284" s="14"/>
      <c r="G284" s="7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</row>
    <row r="285" spans="1:53" x14ac:dyDescent="0.25">
      <c r="A285" s="14"/>
      <c r="B285" s="14"/>
      <c r="C285" s="14"/>
      <c r="D285" s="14"/>
      <c r="E285" s="14"/>
      <c r="F285" s="14"/>
      <c r="G285" s="7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</row>
    <row r="286" spans="1:53" x14ac:dyDescent="0.25">
      <c r="A286" s="14"/>
      <c r="B286" s="14"/>
      <c r="C286" s="14"/>
      <c r="D286" s="14"/>
      <c r="E286" s="14"/>
      <c r="F286" s="14"/>
      <c r="G286" s="7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</row>
    <row r="287" spans="1:53" x14ac:dyDescent="0.25">
      <c r="A287" s="14"/>
      <c r="B287" s="14"/>
      <c r="C287" s="14"/>
      <c r="D287" s="14"/>
      <c r="E287" s="14"/>
      <c r="F287" s="14"/>
      <c r="G287" s="7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</row>
    <row r="288" spans="1:53" x14ac:dyDescent="0.25">
      <c r="A288" s="14"/>
      <c r="B288" s="14"/>
      <c r="C288" s="14"/>
      <c r="D288" s="14"/>
      <c r="E288" s="14"/>
      <c r="F288" s="14"/>
      <c r="G288" s="7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</row>
    <row r="289" spans="1:53" x14ac:dyDescent="0.25">
      <c r="A289" s="14"/>
      <c r="B289" s="14"/>
      <c r="C289" s="14"/>
      <c r="D289" s="14"/>
      <c r="E289" s="14"/>
      <c r="F289" s="14"/>
      <c r="G289" s="7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</row>
    <row r="290" spans="1:53" x14ac:dyDescent="0.25">
      <c r="A290" s="14"/>
      <c r="B290" s="14"/>
      <c r="C290" s="14"/>
      <c r="D290" s="14"/>
      <c r="E290" s="14"/>
      <c r="F290" s="14"/>
      <c r="G290" s="7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</row>
    <row r="291" spans="1:53" x14ac:dyDescent="0.25">
      <c r="A291" s="14"/>
      <c r="B291" s="14"/>
      <c r="C291" s="14"/>
      <c r="D291" s="14"/>
      <c r="E291" s="14"/>
      <c r="F291" s="14"/>
      <c r="G291" s="7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</row>
    <row r="292" spans="1:53" x14ac:dyDescent="0.25">
      <c r="A292" s="14"/>
      <c r="B292" s="14"/>
      <c r="C292" s="14"/>
      <c r="D292" s="14"/>
      <c r="E292" s="14"/>
      <c r="F292" s="14"/>
      <c r="G292" s="7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</row>
    <row r="293" spans="1:53" x14ac:dyDescent="0.25">
      <c r="A293" s="14"/>
      <c r="B293" s="14"/>
      <c r="C293" s="14"/>
      <c r="D293" s="14"/>
      <c r="E293" s="14"/>
      <c r="F293" s="14"/>
      <c r="G293" s="7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</row>
    <row r="294" spans="1:53" x14ac:dyDescent="0.25">
      <c r="A294" s="14"/>
      <c r="B294" s="14"/>
      <c r="C294" s="14"/>
      <c r="D294" s="14"/>
      <c r="E294" s="14"/>
      <c r="F294" s="14"/>
      <c r="G294" s="7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</row>
    <row r="295" spans="1:53" x14ac:dyDescent="0.25">
      <c r="A295" s="14"/>
      <c r="B295" s="14"/>
      <c r="C295" s="14"/>
      <c r="D295" s="14"/>
      <c r="E295" s="14"/>
      <c r="F295" s="14"/>
      <c r="G295" s="7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</row>
    <row r="296" spans="1:53" x14ac:dyDescent="0.25">
      <c r="A296" s="14"/>
      <c r="B296" s="14"/>
      <c r="C296" s="14"/>
      <c r="D296" s="14"/>
      <c r="E296" s="14"/>
      <c r="F296" s="14"/>
      <c r="G296" s="7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</row>
    <row r="297" spans="1:53" x14ac:dyDescent="0.25">
      <c r="A297" s="14"/>
      <c r="B297" s="14"/>
      <c r="C297" s="14"/>
      <c r="D297" s="14"/>
      <c r="E297" s="14"/>
      <c r="F297" s="14"/>
      <c r="G297" s="7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</row>
    <row r="298" spans="1:53" x14ac:dyDescent="0.25">
      <c r="A298" s="14"/>
      <c r="B298" s="14"/>
      <c r="C298" s="14"/>
      <c r="D298" s="14"/>
      <c r="E298" s="14"/>
      <c r="F298" s="14"/>
      <c r="G298" s="7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</row>
    <row r="299" spans="1:53" x14ac:dyDescent="0.25">
      <c r="A299" s="14"/>
      <c r="B299" s="14"/>
      <c r="C299" s="14"/>
      <c r="D299" s="14"/>
      <c r="E299" s="14"/>
      <c r="F299" s="14"/>
      <c r="G299" s="7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</row>
    <row r="300" spans="1:53" x14ac:dyDescent="0.25">
      <c r="A300" s="14"/>
      <c r="B300" s="14"/>
      <c r="C300" s="14"/>
      <c r="D300" s="14"/>
      <c r="E300" s="14"/>
      <c r="F300" s="14"/>
      <c r="G300" s="7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</row>
    <row r="301" spans="1:53" x14ac:dyDescent="0.25">
      <c r="A301" s="14"/>
      <c r="B301" s="14"/>
      <c r="C301" s="14"/>
      <c r="D301" s="14"/>
      <c r="E301" s="14"/>
      <c r="F301" s="14"/>
      <c r="G301" s="7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</row>
    <row r="302" spans="1:53" x14ac:dyDescent="0.25">
      <c r="A302" s="14"/>
      <c r="B302" s="14"/>
      <c r="C302" s="14"/>
      <c r="D302" s="14"/>
      <c r="E302" s="14"/>
      <c r="F302" s="14"/>
      <c r="G302" s="7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</row>
    <row r="303" spans="1:53" x14ac:dyDescent="0.25">
      <c r="A303" s="14"/>
      <c r="B303" s="14"/>
      <c r="C303" s="14"/>
      <c r="D303" s="14"/>
      <c r="E303" s="14"/>
      <c r="F303" s="14"/>
      <c r="G303" s="7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</row>
    <row r="304" spans="1:53" x14ac:dyDescent="0.25">
      <c r="A304" s="14"/>
      <c r="B304" s="14"/>
      <c r="C304" s="14"/>
      <c r="D304" s="14"/>
      <c r="E304" s="14"/>
      <c r="F304" s="14"/>
      <c r="G304" s="7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</row>
    <row r="305" spans="1:53" x14ac:dyDescent="0.25">
      <c r="A305" s="14"/>
      <c r="B305" s="14"/>
      <c r="C305" s="14"/>
      <c r="D305" s="14"/>
      <c r="E305" s="14"/>
      <c r="F305" s="14"/>
      <c r="G305" s="7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</row>
    <row r="306" spans="1:53" x14ac:dyDescent="0.25">
      <c r="A306" s="14"/>
      <c r="B306" s="14"/>
      <c r="C306" s="14"/>
      <c r="D306" s="14"/>
      <c r="E306" s="14"/>
      <c r="F306" s="14"/>
      <c r="G306" s="7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</row>
    <row r="307" spans="1:53" x14ac:dyDescent="0.25">
      <c r="A307" s="14"/>
      <c r="B307" s="14"/>
      <c r="C307" s="14"/>
      <c r="D307" s="14"/>
      <c r="E307" s="14"/>
      <c r="F307" s="14"/>
      <c r="G307" s="7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</row>
    <row r="308" spans="1:53" x14ac:dyDescent="0.25">
      <c r="A308" s="14"/>
      <c r="B308" s="14"/>
      <c r="C308" s="14"/>
      <c r="D308" s="14"/>
      <c r="E308" s="14"/>
      <c r="F308" s="14"/>
      <c r="G308" s="7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</row>
    <row r="309" spans="1:53" x14ac:dyDescent="0.25">
      <c r="A309" s="14"/>
      <c r="B309" s="14"/>
      <c r="C309" s="14"/>
      <c r="D309" s="14"/>
      <c r="E309" s="14"/>
      <c r="F309" s="14"/>
      <c r="G309" s="7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</row>
    <row r="310" spans="1:53" x14ac:dyDescent="0.25">
      <c r="A310" s="14"/>
      <c r="B310" s="14"/>
      <c r="C310" s="14"/>
      <c r="D310" s="14"/>
      <c r="E310" s="14"/>
      <c r="F310" s="14"/>
      <c r="G310" s="7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</row>
    <row r="311" spans="1:53" x14ac:dyDescent="0.25">
      <c r="A311" s="14"/>
      <c r="B311" s="14"/>
      <c r="C311" s="14"/>
      <c r="D311" s="14"/>
      <c r="E311" s="14"/>
      <c r="F311" s="14"/>
      <c r="G311" s="7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</row>
    <row r="312" spans="1:53" x14ac:dyDescent="0.25">
      <c r="A312" s="14"/>
      <c r="B312" s="14"/>
      <c r="C312" s="14"/>
      <c r="D312" s="14"/>
      <c r="E312" s="14"/>
      <c r="F312" s="14"/>
      <c r="G312" s="7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</row>
    <row r="313" spans="1:53" x14ac:dyDescent="0.25">
      <c r="A313" s="14"/>
      <c r="B313" s="14"/>
      <c r="C313" s="14"/>
      <c r="D313" s="14"/>
      <c r="E313" s="14"/>
      <c r="F313" s="14"/>
      <c r="G313" s="7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</row>
    <row r="314" spans="1:53" x14ac:dyDescent="0.25">
      <c r="A314" s="14"/>
      <c r="B314" s="14"/>
      <c r="C314" s="14"/>
      <c r="D314" s="14"/>
      <c r="E314" s="14"/>
      <c r="F314" s="14"/>
      <c r="G314" s="7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</row>
    <row r="315" spans="1:53" x14ac:dyDescent="0.25">
      <c r="A315" s="14"/>
      <c r="B315" s="14"/>
      <c r="C315" s="14"/>
      <c r="D315" s="14"/>
      <c r="E315" s="14"/>
      <c r="F315" s="14"/>
      <c r="G315" s="7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</row>
    <row r="316" spans="1:53" x14ac:dyDescent="0.25">
      <c r="A316" s="14"/>
      <c r="B316" s="14"/>
      <c r="C316" s="14"/>
      <c r="D316" s="14"/>
      <c r="E316" s="14"/>
      <c r="F316" s="14"/>
      <c r="G316" s="7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</row>
    <row r="317" spans="1:53" x14ac:dyDescent="0.25">
      <c r="A317" s="14"/>
      <c r="B317" s="14"/>
      <c r="C317" s="14"/>
      <c r="D317" s="14"/>
      <c r="E317" s="14"/>
      <c r="F317" s="14"/>
      <c r="G317" s="7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</row>
    <row r="318" spans="1:53" x14ac:dyDescent="0.25">
      <c r="A318" s="14"/>
      <c r="B318" s="14"/>
      <c r="C318" s="14"/>
      <c r="D318" s="14"/>
      <c r="E318" s="14"/>
      <c r="F318" s="14"/>
      <c r="G318" s="7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</row>
    <row r="319" spans="1:53" x14ac:dyDescent="0.25">
      <c r="A319" s="14"/>
      <c r="B319" s="14"/>
      <c r="C319" s="14"/>
      <c r="D319" s="14"/>
      <c r="E319" s="14"/>
      <c r="F319" s="14"/>
      <c r="G319" s="7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</row>
    <row r="320" spans="1:53" x14ac:dyDescent="0.25">
      <c r="A320" s="14"/>
      <c r="B320" s="14"/>
      <c r="C320" s="14"/>
      <c r="D320" s="14"/>
      <c r="E320" s="14"/>
      <c r="F320" s="14"/>
      <c r="G320" s="7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</row>
    <row r="321" spans="1:53" x14ac:dyDescent="0.25">
      <c r="A321" s="14"/>
      <c r="B321" s="14"/>
      <c r="C321" s="14"/>
      <c r="D321" s="14"/>
      <c r="E321" s="14"/>
      <c r="F321" s="14"/>
      <c r="G321" s="7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</row>
    <row r="322" spans="1:53" x14ac:dyDescent="0.25">
      <c r="A322" s="14"/>
      <c r="B322" s="14"/>
      <c r="C322" s="14"/>
      <c r="D322" s="14"/>
      <c r="E322" s="14"/>
      <c r="F322" s="14"/>
      <c r="G322" s="7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</row>
    <row r="323" spans="1:53" x14ac:dyDescent="0.25">
      <c r="A323" s="14"/>
      <c r="B323" s="14"/>
      <c r="C323" s="14"/>
      <c r="D323" s="14"/>
      <c r="E323" s="14"/>
      <c r="F323" s="14"/>
      <c r="G323" s="7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</row>
    <row r="324" spans="1:53" x14ac:dyDescent="0.25">
      <c r="A324" s="14"/>
      <c r="B324" s="14"/>
      <c r="C324" s="14"/>
      <c r="D324" s="14"/>
      <c r="E324" s="14"/>
      <c r="F324" s="14"/>
      <c r="G324" s="7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</row>
    <row r="325" spans="1:53" x14ac:dyDescent="0.25">
      <c r="A325" s="14"/>
      <c r="B325" s="14"/>
      <c r="C325" s="14"/>
      <c r="D325" s="14"/>
      <c r="E325" s="14"/>
      <c r="F325" s="14"/>
      <c r="G325" s="7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</row>
    <row r="326" spans="1:53" x14ac:dyDescent="0.25">
      <c r="A326" s="14"/>
      <c r="B326" s="14"/>
      <c r="C326" s="14"/>
      <c r="D326" s="14"/>
      <c r="E326" s="14"/>
      <c r="F326" s="14"/>
      <c r="G326" s="7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</row>
    <row r="327" spans="1:53" x14ac:dyDescent="0.25">
      <c r="A327" s="14"/>
      <c r="B327" s="14"/>
      <c r="C327" s="14"/>
      <c r="D327" s="14"/>
      <c r="E327" s="14"/>
      <c r="F327" s="14"/>
      <c r="G327" s="7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</row>
    <row r="328" spans="1:53" x14ac:dyDescent="0.25">
      <c r="A328" s="14"/>
      <c r="B328" s="14"/>
      <c r="C328" s="14"/>
      <c r="D328" s="14"/>
      <c r="E328" s="14"/>
      <c r="F328" s="14"/>
      <c r="G328" s="7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</row>
    <row r="329" spans="1:53" x14ac:dyDescent="0.25">
      <c r="A329" s="14"/>
      <c r="B329" s="14"/>
      <c r="C329" s="14"/>
      <c r="D329" s="14"/>
      <c r="E329" s="14"/>
      <c r="F329" s="14"/>
      <c r="G329" s="7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</row>
    <row r="330" spans="1:53" x14ac:dyDescent="0.25">
      <c r="A330" s="14"/>
      <c r="B330" s="14"/>
      <c r="C330" s="14"/>
      <c r="D330" s="14"/>
      <c r="E330" s="14"/>
      <c r="F330" s="14"/>
      <c r="G330" s="7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</row>
    <row r="331" spans="1:53" x14ac:dyDescent="0.25">
      <c r="A331" s="14"/>
      <c r="B331" s="14"/>
      <c r="C331" s="14"/>
      <c r="D331" s="14"/>
      <c r="E331" s="14"/>
      <c r="F331" s="14"/>
      <c r="G331" s="7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</row>
    <row r="332" spans="1:53" x14ac:dyDescent="0.25">
      <c r="A332" s="14"/>
      <c r="B332" s="14"/>
      <c r="C332" s="14"/>
      <c r="D332" s="14"/>
      <c r="E332" s="14"/>
      <c r="F332" s="14"/>
      <c r="G332" s="7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</row>
    <row r="333" spans="1:53" x14ac:dyDescent="0.25">
      <c r="A333" s="14"/>
      <c r="B333" s="14"/>
      <c r="C333" s="14"/>
      <c r="D333" s="14"/>
      <c r="E333" s="14"/>
      <c r="F333" s="14"/>
      <c r="G333" s="7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</row>
    <row r="334" spans="1:53" x14ac:dyDescent="0.25">
      <c r="A334" s="14"/>
      <c r="B334" s="14"/>
      <c r="C334" s="14"/>
      <c r="D334" s="14"/>
      <c r="E334" s="14"/>
      <c r="F334" s="14"/>
      <c r="G334" s="7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</row>
    <row r="335" spans="1:53" x14ac:dyDescent="0.25">
      <c r="A335" s="14"/>
      <c r="B335" s="14"/>
      <c r="C335" s="14"/>
      <c r="D335" s="14"/>
      <c r="E335" s="14"/>
      <c r="F335" s="14"/>
      <c r="G335" s="7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</row>
    <row r="336" spans="1:53" x14ac:dyDescent="0.25">
      <c r="A336" s="14"/>
      <c r="B336" s="14"/>
      <c r="C336" s="14"/>
      <c r="D336" s="14"/>
      <c r="E336" s="14"/>
      <c r="F336" s="14"/>
      <c r="G336" s="7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</row>
    <row r="337" spans="1:53" x14ac:dyDescent="0.25">
      <c r="A337" s="14"/>
      <c r="B337" s="14"/>
      <c r="C337" s="14"/>
      <c r="D337" s="14"/>
      <c r="E337" s="14"/>
      <c r="F337" s="14"/>
      <c r="G337" s="7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</row>
    <row r="338" spans="1:53" x14ac:dyDescent="0.25">
      <c r="A338" s="14"/>
      <c r="B338" s="14"/>
      <c r="C338" s="14"/>
      <c r="D338" s="14"/>
      <c r="E338" s="14"/>
      <c r="F338" s="14"/>
      <c r="G338" s="7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</row>
    <row r="339" spans="1:53" x14ac:dyDescent="0.25">
      <c r="A339" s="14"/>
      <c r="B339" s="14"/>
      <c r="C339" s="14"/>
      <c r="D339" s="14"/>
      <c r="E339" s="14"/>
      <c r="F339" s="14"/>
      <c r="G339" s="7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</row>
    <row r="340" spans="1:53" x14ac:dyDescent="0.25">
      <c r="A340" s="14"/>
      <c r="B340" s="14"/>
      <c r="C340" s="14"/>
      <c r="D340" s="14"/>
      <c r="E340" s="14"/>
      <c r="F340" s="14"/>
      <c r="G340" s="7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</row>
    <row r="341" spans="1:53" x14ac:dyDescent="0.25">
      <c r="A341" s="14"/>
      <c r="B341" s="14"/>
      <c r="C341" s="14"/>
      <c r="D341" s="14"/>
      <c r="E341" s="14"/>
      <c r="F341" s="14"/>
      <c r="G341" s="7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</row>
    <row r="342" spans="1:53" x14ac:dyDescent="0.25">
      <c r="A342" s="14"/>
      <c r="B342" s="14"/>
      <c r="C342" s="14"/>
      <c r="D342" s="14"/>
      <c r="E342" s="14"/>
      <c r="F342" s="14"/>
      <c r="G342" s="7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</row>
    <row r="343" spans="1:53" x14ac:dyDescent="0.25">
      <c r="A343" s="14"/>
      <c r="B343" s="14"/>
      <c r="C343" s="14"/>
      <c r="D343" s="14"/>
      <c r="E343" s="14"/>
      <c r="F343" s="14"/>
      <c r="G343" s="7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</row>
    <row r="344" spans="1:53" x14ac:dyDescent="0.25">
      <c r="A344" s="14"/>
      <c r="B344" s="14"/>
      <c r="C344" s="14"/>
      <c r="D344" s="14"/>
      <c r="E344" s="14"/>
      <c r="F344" s="14"/>
      <c r="G344" s="7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</row>
    <row r="345" spans="1:53" x14ac:dyDescent="0.25">
      <c r="A345" s="14"/>
      <c r="B345" s="14"/>
      <c r="C345" s="14"/>
      <c r="D345" s="14"/>
      <c r="E345" s="14"/>
      <c r="F345" s="14"/>
      <c r="G345" s="7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</row>
    <row r="346" spans="1:53" x14ac:dyDescent="0.25">
      <c r="A346" s="14"/>
      <c r="B346" s="14"/>
      <c r="C346" s="14"/>
      <c r="D346" s="14"/>
      <c r="E346" s="14"/>
      <c r="F346" s="14"/>
      <c r="G346" s="7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</row>
    <row r="347" spans="1:53" x14ac:dyDescent="0.25">
      <c r="A347" s="14"/>
      <c r="B347" s="14"/>
      <c r="C347" s="14"/>
      <c r="D347" s="14"/>
      <c r="E347" s="14"/>
      <c r="F347" s="14"/>
      <c r="G347" s="7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</row>
    <row r="348" spans="1:53" x14ac:dyDescent="0.25">
      <c r="A348" s="14"/>
      <c r="B348" s="14"/>
      <c r="C348" s="14"/>
      <c r="D348" s="14"/>
      <c r="E348" s="14"/>
      <c r="F348" s="14"/>
      <c r="G348" s="7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</row>
    <row r="349" spans="1:53" x14ac:dyDescent="0.25">
      <c r="A349" s="14"/>
      <c r="B349" s="14"/>
      <c r="C349" s="14"/>
      <c r="D349" s="14"/>
      <c r="E349" s="14"/>
      <c r="F349" s="14"/>
      <c r="G349" s="7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</row>
    <row r="350" spans="1:53" x14ac:dyDescent="0.25">
      <c r="A350" s="14"/>
      <c r="B350" s="14"/>
      <c r="C350" s="14"/>
      <c r="D350" s="14"/>
      <c r="E350" s="14"/>
      <c r="F350" s="14"/>
      <c r="G350" s="7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</row>
    <row r="351" spans="1:53" x14ac:dyDescent="0.25">
      <c r="A351" s="14"/>
      <c r="B351" s="14"/>
      <c r="C351" s="14"/>
      <c r="D351" s="14"/>
      <c r="E351" s="14"/>
      <c r="F351" s="14"/>
      <c r="G351" s="7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</row>
    <row r="352" spans="1:53" x14ac:dyDescent="0.25">
      <c r="A352" s="14"/>
      <c r="B352" s="14"/>
      <c r="C352" s="14"/>
      <c r="D352" s="14"/>
      <c r="E352" s="14"/>
      <c r="F352" s="14"/>
      <c r="G352" s="7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</row>
    <row r="353" spans="1:53" x14ac:dyDescent="0.25">
      <c r="A353" s="14"/>
      <c r="B353" s="14"/>
      <c r="C353" s="14"/>
      <c r="D353" s="14"/>
      <c r="E353" s="14"/>
      <c r="F353" s="14"/>
      <c r="G353" s="7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</row>
    <row r="354" spans="1:53" x14ac:dyDescent="0.25">
      <c r="A354" s="14"/>
      <c r="B354" s="14"/>
      <c r="C354" s="14"/>
      <c r="D354" s="14"/>
      <c r="E354" s="14"/>
      <c r="F354" s="14"/>
      <c r="G354" s="7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</row>
    <row r="355" spans="1:53" x14ac:dyDescent="0.25">
      <c r="A355" s="14"/>
      <c r="B355" s="14"/>
      <c r="C355" s="14"/>
      <c r="D355" s="14"/>
      <c r="E355" s="14"/>
      <c r="F355" s="14"/>
      <c r="G355" s="7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</row>
    <row r="356" spans="1:53" x14ac:dyDescent="0.25">
      <c r="A356" s="14"/>
      <c r="B356" s="14"/>
      <c r="C356" s="14"/>
      <c r="D356" s="14"/>
      <c r="E356" s="14"/>
      <c r="F356" s="14"/>
      <c r="G356" s="7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</row>
    <row r="357" spans="1:53" x14ac:dyDescent="0.25">
      <c r="A357" s="14"/>
      <c r="B357" s="14"/>
      <c r="C357" s="14"/>
      <c r="D357" s="14"/>
      <c r="E357" s="14"/>
      <c r="F357" s="14"/>
      <c r="G357" s="7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</row>
    <row r="358" spans="1:53" x14ac:dyDescent="0.25">
      <c r="A358" s="14"/>
      <c r="B358" s="14"/>
      <c r="C358" s="14"/>
      <c r="D358" s="14"/>
      <c r="E358" s="14"/>
      <c r="F358" s="14"/>
      <c r="G358" s="7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</row>
    <row r="359" spans="1:53" x14ac:dyDescent="0.25">
      <c r="A359" s="14"/>
      <c r="B359" s="14"/>
      <c r="C359" s="14"/>
      <c r="D359" s="14"/>
      <c r="E359" s="14"/>
      <c r="F359" s="14"/>
      <c r="G359" s="7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</row>
    <row r="360" spans="1:53" x14ac:dyDescent="0.25">
      <c r="A360" s="14"/>
      <c r="B360" s="14"/>
      <c r="C360" s="14"/>
      <c r="D360" s="14"/>
      <c r="E360" s="14"/>
      <c r="F360" s="14"/>
      <c r="G360" s="7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</row>
    <row r="361" spans="1:53" x14ac:dyDescent="0.25">
      <c r="A361" s="14"/>
      <c r="B361" s="14"/>
      <c r="C361" s="14"/>
      <c r="D361" s="14"/>
      <c r="E361" s="14"/>
      <c r="F361" s="14"/>
      <c r="G361" s="7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</row>
    <row r="362" spans="1:53" x14ac:dyDescent="0.25">
      <c r="A362" s="14"/>
      <c r="B362" s="14"/>
      <c r="C362" s="14"/>
      <c r="D362" s="14"/>
      <c r="E362" s="14"/>
      <c r="F362" s="14"/>
      <c r="G362" s="7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</row>
    <row r="363" spans="1:53" x14ac:dyDescent="0.25">
      <c r="A363" s="14"/>
      <c r="B363" s="14"/>
      <c r="C363" s="14"/>
      <c r="D363" s="14"/>
      <c r="E363" s="14"/>
      <c r="F363" s="14"/>
      <c r="G363" s="7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</row>
    <row r="364" spans="1:53" x14ac:dyDescent="0.25">
      <c r="A364" s="14"/>
      <c r="B364" s="14"/>
      <c r="C364" s="14"/>
      <c r="D364" s="14"/>
      <c r="E364" s="14"/>
      <c r="F364" s="14"/>
      <c r="G364" s="7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</row>
    <row r="365" spans="1:53" x14ac:dyDescent="0.25">
      <c r="A365" s="14"/>
      <c r="B365" s="14"/>
      <c r="C365" s="14"/>
      <c r="D365" s="14"/>
      <c r="E365" s="14"/>
      <c r="F365" s="14"/>
      <c r="G365" s="7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</row>
    <row r="366" spans="1:53" x14ac:dyDescent="0.25">
      <c r="A366" s="14"/>
      <c r="B366" s="14"/>
      <c r="C366" s="14"/>
      <c r="D366" s="14"/>
      <c r="E366" s="14"/>
      <c r="F366" s="14"/>
      <c r="G366" s="7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</row>
    <row r="367" spans="1:53" x14ac:dyDescent="0.25">
      <c r="A367" s="14"/>
      <c r="B367" s="14"/>
      <c r="C367" s="14"/>
      <c r="D367" s="14"/>
      <c r="E367" s="14"/>
      <c r="F367" s="14"/>
      <c r="G367" s="7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</row>
    <row r="368" spans="1:53" x14ac:dyDescent="0.25">
      <c r="A368" s="14"/>
      <c r="B368" s="14"/>
      <c r="C368" s="14"/>
      <c r="D368" s="14"/>
      <c r="E368" s="14"/>
      <c r="F368" s="14"/>
      <c r="G368" s="7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</row>
    <row r="369" spans="1:53" x14ac:dyDescent="0.25">
      <c r="A369" s="14"/>
      <c r="B369" s="14"/>
      <c r="C369" s="14"/>
      <c r="D369" s="14"/>
      <c r="E369" s="14"/>
      <c r="F369" s="14"/>
      <c r="G369" s="7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</row>
    <row r="370" spans="1:53" x14ac:dyDescent="0.25">
      <c r="A370" s="14"/>
      <c r="B370" s="14"/>
      <c r="C370" s="14"/>
      <c r="D370" s="14"/>
      <c r="E370" s="14"/>
      <c r="F370" s="14"/>
      <c r="G370" s="7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</row>
    <row r="371" spans="1:53" x14ac:dyDescent="0.25">
      <c r="A371" s="14"/>
      <c r="B371" s="14"/>
      <c r="C371" s="14"/>
      <c r="D371" s="14"/>
      <c r="E371" s="14"/>
      <c r="F371" s="14"/>
      <c r="G371" s="7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</row>
    <row r="372" spans="1:53" x14ac:dyDescent="0.25">
      <c r="A372" s="14"/>
      <c r="B372" s="14"/>
      <c r="C372" s="14"/>
      <c r="D372" s="14"/>
      <c r="E372" s="14"/>
      <c r="F372" s="14"/>
      <c r="G372" s="7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</row>
    <row r="373" spans="1:53" x14ac:dyDescent="0.25">
      <c r="A373" s="14"/>
      <c r="B373" s="14"/>
      <c r="C373" s="14"/>
      <c r="D373" s="14"/>
      <c r="E373" s="14"/>
      <c r="F373" s="14"/>
      <c r="G373" s="7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</row>
    <row r="374" spans="1:53" x14ac:dyDescent="0.25">
      <c r="A374" s="14"/>
      <c r="B374" s="14"/>
      <c r="C374" s="14"/>
      <c r="D374" s="14"/>
      <c r="E374" s="14"/>
      <c r="F374" s="14"/>
      <c r="G374" s="7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</row>
    <row r="375" spans="1:53" x14ac:dyDescent="0.25">
      <c r="A375" s="14"/>
      <c r="B375" s="14"/>
      <c r="C375" s="14"/>
      <c r="D375" s="14"/>
      <c r="E375" s="14"/>
      <c r="F375" s="14"/>
      <c r="G375" s="7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</row>
    <row r="376" spans="1:53" x14ac:dyDescent="0.25">
      <c r="A376" s="14"/>
      <c r="B376" s="14"/>
      <c r="C376" s="14"/>
      <c r="D376" s="14"/>
      <c r="E376" s="14"/>
      <c r="F376" s="14"/>
      <c r="G376" s="7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</row>
    <row r="377" spans="1:53" x14ac:dyDescent="0.25">
      <c r="A377" s="14"/>
      <c r="B377" s="14"/>
      <c r="C377" s="14"/>
      <c r="D377" s="14"/>
      <c r="E377" s="14"/>
      <c r="F377" s="14"/>
      <c r="G377" s="7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</row>
    <row r="378" spans="1:53" x14ac:dyDescent="0.25">
      <c r="A378" s="14"/>
      <c r="B378" s="14"/>
      <c r="C378" s="14"/>
      <c r="D378" s="14"/>
      <c r="E378" s="14"/>
      <c r="F378" s="14"/>
      <c r="G378" s="7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</row>
    <row r="379" spans="1:53" x14ac:dyDescent="0.25">
      <c r="A379" s="14"/>
      <c r="B379" s="14"/>
      <c r="C379" s="14"/>
      <c r="D379" s="14"/>
      <c r="E379" s="14"/>
      <c r="F379" s="14"/>
      <c r="G379" s="7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</row>
    <row r="380" spans="1:53" x14ac:dyDescent="0.25">
      <c r="A380" s="14"/>
      <c r="B380" s="14"/>
      <c r="C380" s="14"/>
      <c r="D380" s="14"/>
      <c r="E380" s="14"/>
      <c r="F380" s="14"/>
      <c r="G380" s="7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</row>
    <row r="381" spans="1:53" x14ac:dyDescent="0.25">
      <c r="A381" s="14"/>
      <c r="B381" s="14"/>
      <c r="C381" s="14"/>
      <c r="D381" s="14"/>
      <c r="E381" s="14"/>
      <c r="F381" s="14"/>
      <c r="G381" s="7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</row>
    <row r="382" spans="1:53" x14ac:dyDescent="0.25">
      <c r="A382" s="14"/>
      <c r="B382" s="14"/>
      <c r="C382" s="14"/>
      <c r="D382" s="14"/>
      <c r="E382" s="14"/>
      <c r="F382" s="14"/>
      <c r="G382" s="7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</row>
    <row r="383" spans="1:53" x14ac:dyDescent="0.25">
      <c r="A383" s="14"/>
      <c r="B383" s="14"/>
      <c r="C383" s="14"/>
      <c r="D383" s="14"/>
      <c r="E383" s="14"/>
      <c r="F383" s="14"/>
      <c r="G383" s="7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</row>
    <row r="384" spans="1:53" x14ac:dyDescent="0.25">
      <c r="A384" s="14"/>
      <c r="B384" s="14"/>
      <c r="C384" s="14"/>
      <c r="D384" s="14"/>
      <c r="E384" s="14"/>
      <c r="F384" s="14"/>
      <c r="G384" s="7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</row>
    <row r="385" spans="1:53" x14ac:dyDescent="0.25">
      <c r="A385" s="14"/>
      <c r="B385" s="14"/>
      <c r="C385" s="14"/>
      <c r="D385" s="14"/>
      <c r="E385" s="14"/>
      <c r="F385" s="14"/>
      <c r="G385" s="7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</row>
    <row r="386" spans="1:53" x14ac:dyDescent="0.25">
      <c r="A386" s="14"/>
      <c r="B386" s="14"/>
      <c r="C386" s="14"/>
      <c r="D386" s="14"/>
      <c r="E386" s="14"/>
      <c r="F386" s="14"/>
      <c r="G386" s="7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</row>
    <row r="387" spans="1:53" x14ac:dyDescent="0.25">
      <c r="A387" s="14"/>
      <c r="B387" s="14"/>
      <c r="C387" s="14"/>
      <c r="D387" s="14"/>
      <c r="E387" s="14"/>
      <c r="F387" s="14"/>
      <c r="G387" s="7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</row>
    <row r="388" spans="1:53" x14ac:dyDescent="0.25">
      <c r="A388" s="14"/>
      <c r="B388" s="14"/>
      <c r="C388" s="14"/>
      <c r="D388" s="14"/>
      <c r="E388" s="14"/>
      <c r="F388" s="14"/>
      <c r="G388" s="7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</row>
    <row r="389" spans="1:53" x14ac:dyDescent="0.25">
      <c r="A389" s="14"/>
      <c r="B389" s="14"/>
      <c r="C389" s="14"/>
      <c r="D389" s="14"/>
      <c r="E389" s="14"/>
      <c r="F389" s="14"/>
      <c r="G389" s="7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</row>
    <row r="390" spans="1:53" x14ac:dyDescent="0.25">
      <c r="A390" s="14"/>
      <c r="B390" s="14"/>
      <c r="C390" s="14"/>
      <c r="D390" s="14"/>
      <c r="E390" s="14"/>
      <c r="F390" s="14"/>
      <c r="G390" s="7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</row>
    <row r="391" spans="1:53" x14ac:dyDescent="0.25">
      <c r="A391" s="14"/>
      <c r="B391" s="14"/>
      <c r="C391" s="14"/>
      <c r="D391" s="14"/>
      <c r="E391" s="14"/>
      <c r="F391" s="14"/>
      <c r="G391" s="7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</row>
    <row r="392" spans="1:53" x14ac:dyDescent="0.25">
      <c r="A392" s="14"/>
      <c r="B392" s="14"/>
      <c r="C392" s="14"/>
      <c r="D392" s="14"/>
      <c r="E392" s="14"/>
      <c r="F392" s="14"/>
      <c r="G392" s="7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</row>
    <row r="393" spans="1:53" x14ac:dyDescent="0.25">
      <c r="A393" s="14"/>
      <c r="B393" s="14"/>
      <c r="C393" s="14"/>
      <c r="D393" s="14"/>
      <c r="E393" s="14"/>
      <c r="F393" s="14"/>
      <c r="G393" s="7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</row>
    <row r="394" spans="1:53" x14ac:dyDescent="0.25">
      <c r="A394" s="14"/>
      <c r="B394" s="14"/>
      <c r="C394" s="14"/>
      <c r="D394" s="14"/>
      <c r="E394" s="14"/>
      <c r="F394" s="14"/>
      <c r="G394" s="7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</row>
    <row r="395" spans="1:53" x14ac:dyDescent="0.25">
      <c r="A395" s="14"/>
      <c r="B395" s="14"/>
      <c r="C395" s="14"/>
      <c r="D395" s="14"/>
      <c r="E395" s="14"/>
      <c r="F395" s="14"/>
      <c r="G395" s="7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</row>
    <row r="396" spans="1:53" x14ac:dyDescent="0.25">
      <c r="A396" s="14"/>
      <c r="B396" s="14"/>
      <c r="C396" s="14"/>
      <c r="D396" s="14"/>
      <c r="E396" s="14"/>
      <c r="F396" s="14"/>
      <c r="G396" s="7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</row>
    <row r="397" spans="1:53" x14ac:dyDescent="0.25">
      <c r="A397" s="14"/>
      <c r="B397" s="14"/>
      <c r="C397" s="14"/>
      <c r="D397" s="14"/>
      <c r="E397" s="14"/>
      <c r="F397" s="14"/>
      <c r="G397" s="7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</row>
    <row r="398" spans="1:53" x14ac:dyDescent="0.25">
      <c r="A398" s="14"/>
      <c r="B398" s="14"/>
      <c r="C398" s="14"/>
      <c r="D398" s="14"/>
      <c r="E398" s="14"/>
      <c r="F398" s="14"/>
      <c r="G398" s="7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</row>
    <row r="399" spans="1:53" x14ac:dyDescent="0.25">
      <c r="A399" s="14"/>
      <c r="B399" s="14"/>
      <c r="C399" s="14"/>
      <c r="D399" s="14"/>
      <c r="E399" s="14"/>
      <c r="F399" s="14"/>
      <c r="G399" s="7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</row>
    <row r="400" spans="1:53" x14ac:dyDescent="0.25">
      <c r="A400" s="14"/>
      <c r="B400" s="14"/>
      <c r="C400" s="14"/>
      <c r="D400" s="14"/>
      <c r="E400" s="14"/>
      <c r="F400" s="14"/>
      <c r="G400" s="7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</row>
    <row r="401" spans="1:53" x14ac:dyDescent="0.25">
      <c r="A401" s="14"/>
      <c r="B401" s="14"/>
      <c r="C401" s="14"/>
      <c r="D401" s="14"/>
      <c r="E401" s="14"/>
      <c r="F401" s="14"/>
      <c r="G401" s="7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</row>
    <row r="402" spans="1:53" x14ac:dyDescent="0.25">
      <c r="A402" s="14"/>
      <c r="B402" s="14"/>
      <c r="C402" s="14"/>
      <c r="D402" s="14"/>
      <c r="E402" s="14"/>
      <c r="F402" s="14"/>
      <c r="G402" s="7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</row>
    <row r="403" spans="1:53" x14ac:dyDescent="0.25">
      <c r="A403" s="14"/>
      <c r="B403" s="14"/>
      <c r="C403" s="14"/>
      <c r="D403" s="14"/>
      <c r="E403" s="14"/>
      <c r="F403" s="14"/>
      <c r="G403" s="7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</row>
    <row r="404" spans="1:53" x14ac:dyDescent="0.25">
      <c r="A404" s="14"/>
      <c r="B404" s="14"/>
      <c r="C404" s="14"/>
      <c r="D404" s="14"/>
      <c r="E404" s="14"/>
      <c r="F404" s="14"/>
      <c r="G404" s="7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</row>
    <row r="405" spans="1:53" x14ac:dyDescent="0.25">
      <c r="A405" s="14"/>
      <c r="B405" s="14"/>
      <c r="C405" s="14"/>
      <c r="D405" s="14"/>
      <c r="E405" s="14"/>
      <c r="F405" s="14"/>
      <c r="G405" s="7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</row>
    <row r="406" spans="1:53" x14ac:dyDescent="0.25">
      <c r="A406" s="14"/>
      <c r="B406" s="14"/>
      <c r="C406" s="14"/>
      <c r="D406" s="14"/>
      <c r="E406" s="14"/>
      <c r="F406" s="14"/>
      <c r="G406" s="7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</row>
    <row r="407" spans="1:53" x14ac:dyDescent="0.25">
      <c r="A407" s="14"/>
      <c r="B407" s="14"/>
      <c r="C407" s="14"/>
      <c r="D407" s="14"/>
      <c r="E407" s="14"/>
      <c r="F407" s="14"/>
      <c r="G407" s="7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</row>
    <row r="408" spans="1:53" x14ac:dyDescent="0.25">
      <c r="A408" s="14"/>
      <c r="B408" s="14"/>
      <c r="C408" s="14"/>
      <c r="D408" s="14"/>
      <c r="E408" s="14"/>
      <c r="F408" s="14"/>
      <c r="G408" s="7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</row>
    <row r="409" spans="1:53" x14ac:dyDescent="0.25">
      <c r="A409" s="14"/>
      <c r="B409" s="14"/>
      <c r="C409" s="14"/>
      <c r="D409" s="14"/>
      <c r="E409" s="14"/>
      <c r="F409" s="14"/>
      <c r="G409" s="7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</row>
    <row r="410" spans="1:53" x14ac:dyDescent="0.25">
      <c r="A410" s="14"/>
      <c r="B410" s="14"/>
      <c r="C410" s="14"/>
      <c r="D410" s="14"/>
      <c r="E410" s="14"/>
      <c r="F410" s="14"/>
      <c r="G410" s="7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</row>
    <row r="411" spans="1:53" x14ac:dyDescent="0.25">
      <c r="A411" s="14"/>
      <c r="B411" s="14"/>
      <c r="C411" s="14"/>
      <c r="D411" s="14"/>
      <c r="E411" s="14"/>
      <c r="F411" s="14"/>
      <c r="G411" s="7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</row>
    <row r="412" spans="1:53" x14ac:dyDescent="0.25">
      <c r="A412" s="14"/>
      <c r="B412" s="14"/>
      <c r="C412" s="14"/>
      <c r="D412" s="14"/>
      <c r="E412" s="14"/>
      <c r="F412" s="14"/>
      <c r="G412" s="7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</row>
    <row r="413" spans="1:53" x14ac:dyDescent="0.25">
      <c r="A413" s="14"/>
      <c r="B413" s="14"/>
      <c r="C413" s="14"/>
      <c r="D413" s="14"/>
      <c r="E413" s="14"/>
      <c r="F413" s="14"/>
      <c r="G413" s="7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</row>
    <row r="414" spans="1:53" x14ac:dyDescent="0.25">
      <c r="A414" s="14"/>
      <c r="B414" s="14"/>
      <c r="C414" s="14"/>
      <c r="D414" s="14"/>
      <c r="E414" s="14"/>
      <c r="F414" s="14"/>
      <c r="G414" s="7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</row>
    <row r="415" spans="1:53" x14ac:dyDescent="0.25">
      <c r="A415" s="14"/>
      <c r="B415" s="14"/>
      <c r="C415" s="14"/>
      <c r="D415" s="14"/>
      <c r="E415" s="14"/>
      <c r="F415" s="14"/>
      <c r="G415" s="7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</row>
    <row r="416" spans="1:53" x14ac:dyDescent="0.25">
      <c r="A416" s="14"/>
      <c r="B416" s="14"/>
      <c r="C416" s="14"/>
      <c r="D416" s="14"/>
      <c r="E416" s="14"/>
      <c r="F416" s="14"/>
      <c r="G416" s="7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</row>
    <row r="417" spans="1:53" x14ac:dyDescent="0.25">
      <c r="A417" s="14"/>
      <c r="B417" s="14"/>
      <c r="C417" s="14"/>
      <c r="D417" s="14"/>
      <c r="E417" s="14"/>
      <c r="F417" s="14"/>
      <c r="G417" s="7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</row>
    <row r="418" spans="1:53" x14ac:dyDescent="0.25">
      <c r="A418" s="14"/>
      <c r="B418" s="14"/>
      <c r="C418" s="14"/>
      <c r="D418" s="14"/>
      <c r="E418" s="14"/>
      <c r="F418" s="14"/>
      <c r="G418" s="7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</row>
    <row r="419" spans="1:53" x14ac:dyDescent="0.25">
      <c r="A419" s="14"/>
      <c r="B419" s="14"/>
      <c r="C419" s="14"/>
      <c r="D419" s="14"/>
      <c r="E419" s="14"/>
      <c r="F419" s="14"/>
      <c r="G419" s="7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</row>
    <row r="420" spans="1:53" x14ac:dyDescent="0.25">
      <c r="A420" s="14"/>
      <c r="B420" s="14"/>
      <c r="C420" s="14"/>
      <c r="D420" s="14"/>
      <c r="E420" s="14"/>
      <c r="F420" s="14"/>
      <c r="G420" s="7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</row>
    <row r="421" spans="1:53" x14ac:dyDescent="0.25">
      <c r="A421" s="14"/>
      <c r="B421" s="14"/>
      <c r="C421" s="14"/>
      <c r="D421" s="14"/>
      <c r="E421" s="14"/>
      <c r="F421" s="14"/>
      <c r="G421" s="7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</row>
    <row r="422" spans="1:53" x14ac:dyDescent="0.25">
      <c r="A422" s="14"/>
      <c r="B422" s="14"/>
      <c r="C422" s="14"/>
      <c r="D422" s="14"/>
      <c r="E422" s="14"/>
      <c r="F422" s="14"/>
      <c r="G422" s="7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</row>
    <row r="423" spans="1:53" x14ac:dyDescent="0.25">
      <c r="A423" s="14"/>
      <c r="B423" s="14"/>
      <c r="C423" s="14"/>
      <c r="D423" s="14"/>
      <c r="E423" s="14"/>
      <c r="F423" s="14"/>
      <c r="G423" s="7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</row>
    <row r="424" spans="1:53" x14ac:dyDescent="0.25">
      <c r="A424" s="14"/>
      <c r="B424" s="14"/>
      <c r="C424" s="14"/>
      <c r="D424" s="14"/>
      <c r="E424" s="14"/>
      <c r="F424" s="14"/>
      <c r="G424" s="7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</row>
    <row r="425" spans="1:53" x14ac:dyDescent="0.25">
      <c r="A425" s="14"/>
      <c r="B425" s="14"/>
      <c r="C425" s="14"/>
      <c r="D425" s="14"/>
      <c r="E425" s="14"/>
      <c r="F425" s="14"/>
      <c r="G425" s="7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</row>
    <row r="426" spans="1:53" x14ac:dyDescent="0.25">
      <c r="A426" s="14"/>
      <c r="B426" s="14"/>
      <c r="C426" s="14"/>
      <c r="D426" s="14"/>
      <c r="E426" s="14"/>
      <c r="F426" s="14"/>
      <c r="G426" s="7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</row>
    <row r="427" spans="1:53" x14ac:dyDescent="0.25">
      <c r="A427" s="14"/>
      <c r="B427" s="14"/>
      <c r="C427" s="14"/>
      <c r="D427" s="14"/>
      <c r="E427" s="14"/>
      <c r="F427" s="14"/>
      <c r="G427" s="7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</row>
    <row r="428" spans="1:53" x14ac:dyDescent="0.25">
      <c r="A428" s="14"/>
      <c r="B428" s="14"/>
      <c r="C428" s="14"/>
      <c r="D428" s="14"/>
      <c r="E428" s="14"/>
      <c r="F428" s="14"/>
      <c r="G428" s="7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</row>
    <row r="429" spans="1:53" x14ac:dyDescent="0.25">
      <c r="A429" s="14"/>
      <c r="B429" s="14"/>
      <c r="C429" s="14"/>
      <c r="D429" s="14"/>
      <c r="E429" s="14"/>
      <c r="F429" s="14"/>
      <c r="G429" s="7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</row>
    <row r="430" spans="1:53" x14ac:dyDescent="0.25">
      <c r="A430" s="14"/>
      <c r="B430" s="14"/>
      <c r="C430" s="14"/>
      <c r="D430" s="14"/>
      <c r="E430" s="14"/>
      <c r="F430" s="14"/>
      <c r="G430" s="7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</row>
    <row r="431" spans="1:53" x14ac:dyDescent="0.25">
      <c r="A431" s="14"/>
      <c r="B431" s="14"/>
      <c r="C431" s="14"/>
      <c r="D431" s="14"/>
      <c r="E431" s="14"/>
      <c r="F431" s="14"/>
      <c r="G431" s="7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</row>
    <row r="432" spans="1:53" x14ac:dyDescent="0.25">
      <c r="A432" s="14"/>
      <c r="B432" s="14"/>
      <c r="C432" s="14"/>
      <c r="D432" s="14"/>
      <c r="E432" s="14"/>
      <c r="F432" s="14"/>
      <c r="G432" s="7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</row>
    <row r="433" spans="1:53" x14ac:dyDescent="0.25">
      <c r="A433" s="14"/>
      <c r="B433" s="14"/>
      <c r="C433" s="14"/>
      <c r="D433" s="14"/>
      <c r="E433" s="14"/>
      <c r="F433" s="14"/>
      <c r="G433" s="7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</row>
    <row r="434" spans="1:53" x14ac:dyDescent="0.25">
      <c r="A434" s="14"/>
      <c r="B434" s="14"/>
      <c r="C434" s="14"/>
      <c r="D434" s="14"/>
      <c r="E434" s="14"/>
      <c r="F434" s="14"/>
      <c r="G434" s="7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</row>
    <row r="435" spans="1:53" x14ac:dyDescent="0.25">
      <c r="A435" s="14"/>
      <c r="B435" s="14"/>
      <c r="C435" s="14"/>
      <c r="D435" s="14"/>
      <c r="E435" s="14"/>
      <c r="F435" s="14"/>
      <c r="G435" s="7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</row>
    <row r="436" spans="1:53" x14ac:dyDescent="0.25">
      <c r="A436" s="14"/>
      <c r="B436" s="14"/>
      <c r="C436" s="14"/>
      <c r="D436" s="14"/>
      <c r="E436" s="14"/>
      <c r="F436" s="14"/>
      <c r="G436" s="7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</row>
    <row r="437" spans="1:53" x14ac:dyDescent="0.25">
      <c r="A437" s="14"/>
      <c r="B437" s="14"/>
      <c r="C437" s="14"/>
      <c r="D437" s="14"/>
      <c r="E437" s="14"/>
      <c r="F437" s="14"/>
      <c r="G437" s="7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</row>
    <row r="438" spans="1:53" x14ac:dyDescent="0.25">
      <c r="A438" s="14"/>
      <c r="B438" s="14"/>
      <c r="C438" s="14"/>
      <c r="D438" s="14"/>
      <c r="E438" s="14"/>
      <c r="F438" s="14"/>
      <c r="G438" s="7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</row>
    <row r="439" spans="1:53" x14ac:dyDescent="0.25">
      <c r="A439" s="14"/>
      <c r="B439" s="14"/>
      <c r="C439" s="14"/>
      <c r="D439" s="14"/>
      <c r="E439" s="14"/>
      <c r="F439" s="14"/>
      <c r="G439" s="7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</row>
    <row r="440" spans="1:53" x14ac:dyDescent="0.25">
      <c r="A440" s="14"/>
      <c r="B440" s="14"/>
      <c r="C440" s="14"/>
      <c r="D440" s="14"/>
      <c r="E440" s="14"/>
      <c r="F440" s="14"/>
      <c r="G440" s="7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</row>
    <row r="441" spans="1:53" x14ac:dyDescent="0.25">
      <c r="A441" s="14"/>
      <c r="B441" s="14"/>
      <c r="C441" s="14"/>
      <c r="D441" s="14"/>
      <c r="E441" s="14"/>
      <c r="F441" s="14"/>
      <c r="G441" s="7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</row>
    <row r="442" spans="1:53" x14ac:dyDescent="0.25">
      <c r="A442" s="14"/>
      <c r="B442" s="14"/>
      <c r="C442" s="14"/>
      <c r="D442" s="14"/>
      <c r="E442" s="14"/>
      <c r="F442" s="14"/>
      <c r="G442" s="7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</row>
    <row r="443" spans="1:53" x14ac:dyDescent="0.25">
      <c r="A443" s="14"/>
      <c r="B443" s="14"/>
      <c r="C443" s="14"/>
      <c r="D443" s="14"/>
      <c r="E443" s="14"/>
      <c r="F443" s="14"/>
      <c r="G443" s="7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</row>
    <row r="444" spans="1:53" x14ac:dyDescent="0.25">
      <c r="A444" s="14"/>
      <c r="B444" s="14"/>
      <c r="C444" s="14"/>
      <c r="D444" s="14"/>
      <c r="E444" s="14"/>
      <c r="F444" s="14"/>
      <c r="G444" s="7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</row>
    <row r="445" spans="1:53" x14ac:dyDescent="0.25">
      <c r="A445" s="14"/>
      <c r="B445" s="14"/>
      <c r="C445" s="14"/>
      <c r="D445" s="14"/>
      <c r="E445" s="14"/>
      <c r="F445" s="14"/>
      <c r="G445" s="7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</row>
    <row r="446" spans="1:53" x14ac:dyDescent="0.25">
      <c r="A446" s="14"/>
      <c r="B446" s="14"/>
      <c r="C446" s="14"/>
      <c r="D446" s="14"/>
      <c r="E446" s="14"/>
      <c r="F446" s="14"/>
      <c r="G446" s="7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</row>
    <row r="447" spans="1:53" x14ac:dyDescent="0.25">
      <c r="A447" s="14"/>
      <c r="B447" s="14"/>
      <c r="C447" s="14"/>
      <c r="D447" s="14"/>
      <c r="E447" s="14"/>
      <c r="F447" s="14"/>
      <c r="G447" s="7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</row>
    <row r="448" spans="1:53" x14ac:dyDescent="0.25">
      <c r="A448" s="14"/>
      <c r="B448" s="14"/>
      <c r="C448" s="14"/>
      <c r="D448" s="14"/>
      <c r="E448" s="14"/>
      <c r="F448" s="14"/>
      <c r="G448" s="7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</row>
    <row r="449" spans="1:53" x14ac:dyDescent="0.25">
      <c r="A449" s="14"/>
      <c r="B449" s="14"/>
      <c r="C449" s="14"/>
      <c r="D449" s="14"/>
      <c r="E449" s="14"/>
      <c r="F449" s="14"/>
      <c r="G449" s="7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</row>
    <row r="450" spans="1:53" x14ac:dyDescent="0.25">
      <c r="A450" s="14"/>
      <c r="B450" s="14"/>
      <c r="C450" s="14"/>
      <c r="D450" s="14"/>
      <c r="E450" s="14"/>
      <c r="F450" s="14"/>
      <c r="G450" s="7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</row>
    <row r="451" spans="1:53" x14ac:dyDescent="0.25">
      <c r="A451" s="14"/>
      <c r="B451" s="14"/>
      <c r="C451" s="14"/>
      <c r="D451" s="14"/>
      <c r="E451" s="14"/>
      <c r="F451" s="14"/>
      <c r="G451" s="7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</row>
    <row r="452" spans="1:53" x14ac:dyDescent="0.25">
      <c r="A452" s="14"/>
      <c r="B452" s="14"/>
      <c r="C452" s="14"/>
      <c r="D452" s="14"/>
      <c r="E452" s="14"/>
      <c r="F452" s="14"/>
      <c r="G452" s="7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</row>
    <row r="453" spans="1:53" x14ac:dyDescent="0.25">
      <c r="A453" s="14"/>
      <c r="B453" s="14"/>
      <c r="C453" s="14"/>
      <c r="D453" s="14"/>
      <c r="E453" s="14"/>
      <c r="F453" s="14"/>
      <c r="G453" s="7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</row>
    <row r="454" spans="1:53" x14ac:dyDescent="0.25">
      <c r="A454" s="14"/>
      <c r="B454" s="14"/>
      <c r="C454" s="14"/>
      <c r="D454" s="14"/>
      <c r="E454" s="14"/>
      <c r="F454" s="14"/>
      <c r="G454" s="7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</row>
    <row r="455" spans="1:53" x14ac:dyDescent="0.25">
      <c r="A455" s="14"/>
      <c r="B455" s="14"/>
      <c r="C455" s="14"/>
      <c r="D455" s="14"/>
      <c r="E455" s="14"/>
      <c r="F455" s="14"/>
      <c r="G455" s="7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</row>
    <row r="456" spans="1:53" x14ac:dyDescent="0.25">
      <c r="A456" s="14"/>
      <c r="B456" s="14"/>
      <c r="C456" s="14"/>
      <c r="D456" s="14"/>
      <c r="E456" s="14"/>
      <c r="F456" s="14"/>
      <c r="G456" s="7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</row>
    <row r="457" spans="1:53" x14ac:dyDescent="0.25">
      <c r="A457" s="14"/>
      <c r="B457" s="14"/>
      <c r="C457" s="14"/>
      <c r="D457" s="14"/>
      <c r="E457" s="14"/>
      <c r="F457" s="14"/>
      <c r="G457" s="7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</row>
    <row r="458" spans="1:53" x14ac:dyDescent="0.25">
      <c r="A458" s="14"/>
      <c r="B458" s="14"/>
      <c r="C458" s="14"/>
      <c r="D458" s="14"/>
      <c r="E458" s="14"/>
      <c r="F458" s="14"/>
      <c r="G458" s="7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</row>
    <row r="459" spans="1:53" x14ac:dyDescent="0.25">
      <c r="A459" s="14"/>
      <c r="B459" s="14"/>
      <c r="C459" s="14"/>
      <c r="D459" s="14"/>
      <c r="E459" s="14"/>
      <c r="F459" s="14"/>
      <c r="G459" s="7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</row>
    <row r="460" spans="1:53" x14ac:dyDescent="0.25">
      <c r="A460" s="14"/>
      <c r="B460" s="14"/>
      <c r="C460" s="14"/>
      <c r="D460" s="14"/>
      <c r="E460" s="14"/>
      <c r="F460" s="14"/>
      <c r="G460" s="7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</row>
    <row r="461" spans="1:53" x14ac:dyDescent="0.25">
      <c r="A461" s="14"/>
      <c r="B461" s="14"/>
      <c r="C461" s="14"/>
      <c r="D461" s="14"/>
      <c r="E461" s="14"/>
      <c r="F461" s="14"/>
      <c r="G461" s="7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</row>
    <row r="462" spans="1:53" x14ac:dyDescent="0.25">
      <c r="A462" s="14"/>
      <c r="B462" s="14"/>
      <c r="C462" s="14"/>
      <c r="D462" s="14"/>
      <c r="E462" s="14"/>
      <c r="F462" s="14"/>
      <c r="G462" s="7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</row>
    <row r="463" spans="1:53" x14ac:dyDescent="0.25">
      <c r="A463" s="14"/>
      <c r="B463" s="14"/>
      <c r="C463" s="14"/>
      <c r="D463" s="14"/>
      <c r="E463" s="14"/>
      <c r="F463" s="14"/>
      <c r="G463" s="7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</row>
    <row r="464" spans="1:53" x14ac:dyDescent="0.25">
      <c r="A464" s="14"/>
      <c r="B464" s="14"/>
      <c r="C464" s="14"/>
      <c r="D464" s="14"/>
      <c r="E464" s="14"/>
      <c r="F464" s="14"/>
      <c r="G464" s="7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</row>
    <row r="465" spans="1:53" x14ac:dyDescent="0.25">
      <c r="A465" s="14"/>
      <c r="B465" s="14"/>
      <c r="C465" s="14"/>
      <c r="D465" s="14"/>
      <c r="E465" s="14"/>
      <c r="F465" s="14"/>
      <c r="G465" s="7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</row>
    <row r="466" spans="1:53" x14ac:dyDescent="0.25">
      <c r="A466" s="14"/>
      <c r="B466" s="14"/>
      <c r="C466" s="14"/>
      <c r="D466" s="14"/>
      <c r="E466" s="14"/>
      <c r="F466" s="14"/>
      <c r="G466" s="7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</row>
    <row r="467" spans="1:53" x14ac:dyDescent="0.25">
      <c r="A467" s="14"/>
      <c r="B467" s="14"/>
      <c r="C467" s="14"/>
      <c r="D467" s="14"/>
      <c r="E467" s="14"/>
      <c r="F467" s="14"/>
      <c r="G467" s="7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</row>
    <row r="468" spans="1:53" x14ac:dyDescent="0.25">
      <c r="A468" s="14"/>
      <c r="B468" s="14"/>
      <c r="C468" s="14"/>
      <c r="D468" s="14"/>
      <c r="E468" s="14"/>
      <c r="F468" s="14"/>
      <c r="G468" s="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</row>
    <row r="469" spans="1:53" x14ac:dyDescent="0.25">
      <c r="A469" s="14"/>
      <c r="B469" s="14"/>
      <c r="C469" s="14"/>
      <c r="D469" s="14"/>
      <c r="E469" s="14"/>
      <c r="F469" s="14"/>
      <c r="G469" s="7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</row>
    <row r="470" spans="1:53" x14ac:dyDescent="0.25">
      <c r="A470" s="14"/>
      <c r="B470" s="14"/>
      <c r="C470" s="14"/>
      <c r="D470" s="14"/>
      <c r="E470" s="14"/>
      <c r="F470" s="14"/>
      <c r="G470" s="7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</row>
    <row r="471" spans="1:53" x14ac:dyDescent="0.25">
      <c r="A471" s="14"/>
      <c r="B471" s="14"/>
      <c r="C471" s="14"/>
      <c r="D471" s="14"/>
      <c r="E471" s="14"/>
      <c r="F471" s="14"/>
      <c r="G471" s="7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</row>
    <row r="472" spans="1:53" x14ac:dyDescent="0.25">
      <c r="A472" s="14"/>
      <c r="B472" s="14"/>
      <c r="C472" s="14"/>
      <c r="D472" s="14"/>
      <c r="E472" s="14"/>
      <c r="F472" s="14"/>
      <c r="G472" s="7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</row>
    <row r="473" spans="1:53" x14ac:dyDescent="0.25">
      <c r="A473" s="14"/>
      <c r="B473" s="14"/>
      <c r="C473" s="14"/>
      <c r="D473" s="14"/>
      <c r="E473" s="14"/>
      <c r="F473" s="14"/>
      <c r="G473" s="7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</row>
    <row r="474" spans="1:53" x14ac:dyDescent="0.25">
      <c r="A474" s="14"/>
      <c r="B474" s="14"/>
      <c r="C474" s="14"/>
      <c r="D474" s="14"/>
      <c r="E474" s="14"/>
      <c r="F474" s="14"/>
      <c r="G474" s="7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</row>
    <row r="475" spans="1:53" x14ac:dyDescent="0.25">
      <c r="A475" s="14"/>
      <c r="B475" s="14"/>
      <c r="C475" s="14"/>
      <c r="D475" s="14"/>
      <c r="E475" s="14"/>
      <c r="F475" s="14"/>
      <c r="G475" s="7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</row>
    <row r="476" spans="1:53" x14ac:dyDescent="0.25">
      <c r="A476" s="14"/>
      <c r="B476" s="14"/>
      <c r="C476" s="14"/>
      <c r="D476" s="14"/>
      <c r="E476" s="14"/>
      <c r="F476" s="14"/>
      <c r="G476" s="7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</row>
    <row r="477" spans="1:53" x14ac:dyDescent="0.25">
      <c r="A477" s="14"/>
      <c r="B477" s="14"/>
      <c r="C477" s="14"/>
      <c r="D477" s="14"/>
      <c r="E477" s="14"/>
      <c r="F477" s="14"/>
      <c r="G477" s="7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</row>
    <row r="478" spans="1:53" x14ac:dyDescent="0.25">
      <c r="A478" s="14"/>
      <c r="B478" s="14"/>
      <c r="C478" s="14"/>
      <c r="D478" s="14"/>
      <c r="E478" s="14"/>
      <c r="F478" s="14"/>
      <c r="G478" s="7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</row>
    <row r="479" spans="1:53" x14ac:dyDescent="0.25">
      <c r="A479" s="14"/>
      <c r="B479" s="14"/>
      <c r="C479" s="14"/>
      <c r="D479" s="14"/>
      <c r="E479" s="14"/>
      <c r="F479" s="14"/>
      <c r="G479" s="7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</row>
    <row r="480" spans="1:53" x14ac:dyDescent="0.25">
      <c r="A480" s="14"/>
      <c r="B480" s="14"/>
      <c r="C480" s="14"/>
      <c r="D480" s="14"/>
      <c r="E480" s="14"/>
      <c r="F480" s="14"/>
      <c r="G480" s="7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</row>
    <row r="481" spans="1:53" x14ac:dyDescent="0.25">
      <c r="A481" s="14"/>
      <c r="B481" s="14"/>
      <c r="C481" s="14"/>
      <c r="D481" s="14"/>
      <c r="E481" s="14"/>
      <c r="F481" s="14"/>
      <c r="G481" s="7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</row>
    <row r="482" spans="1:53" x14ac:dyDescent="0.25">
      <c r="A482" s="14"/>
      <c r="B482" s="14"/>
      <c r="C482" s="14"/>
      <c r="D482" s="14"/>
      <c r="E482" s="14"/>
      <c r="F482" s="14"/>
      <c r="G482" s="7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</row>
    <row r="483" spans="1:53" x14ac:dyDescent="0.25">
      <c r="A483" s="14"/>
      <c r="B483" s="14"/>
      <c r="C483" s="14"/>
      <c r="D483" s="14"/>
      <c r="E483" s="14"/>
      <c r="F483" s="14"/>
      <c r="G483" s="7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</row>
    <row r="484" spans="1:53" x14ac:dyDescent="0.25">
      <c r="A484" s="14"/>
      <c r="B484" s="14"/>
      <c r="C484" s="14"/>
      <c r="D484" s="14"/>
      <c r="E484" s="14"/>
      <c r="F484" s="14"/>
      <c r="G484" s="7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</row>
    <row r="485" spans="1:53" x14ac:dyDescent="0.25">
      <c r="A485" s="14"/>
      <c r="B485" s="14"/>
      <c r="C485" s="14"/>
      <c r="D485" s="14"/>
      <c r="E485" s="14"/>
      <c r="F485" s="14"/>
      <c r="G485" s="7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</row>
    <row r="486" spans="1:53" x14ac:dyDescent="0.25">
      <c r="A486" s="14"/>
      <c r="B486" s="14"/>
      <c r="C486" s="14"/>
      <c r="D486" s="14"/>
      <c r="E486" s="14"/>
      <c r="F486" s="14"/>
      <c r="G486" s="7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</row>
    <row r="487" spans="1:53" x14ac:dyDescent="0.25">
      <c r="A487" s="14"/>
      <c r="B487" s="14"/>
      <c r="C487" s="14"/>
      <c r="D487" s="14"/>
      <c r="E487" s="14"/>
      <c r="F487" s="14"/>
      <c r="G487" s="7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</row>
    <row r="488" spans="1:53" x14ac:dyDescent="0.25">
      <c r="A488" s="14"/>
      <c r="B488" s="14"/>
      <c r="C488" s="14"/>
      <c r="D488" s="14"/>
      <c r="E488" s="14"/>
      <c r="F488" s="14"/>
      <c r="G488" s="7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</row>
    <row r="489" spans="1:53" x14ac:dyDescent="0.25">
      <c r="A489" s="14"/>
      <c r="B489" s="14"/>
      <c r="C489" s="14"/>
      <c r="D489" s="14"/>
      <c r="E489" s="14"/>
      <c r="F489" s="14"/>
      <c r="G489" s="7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</row>
    <row r="490" spans="1:53" x14ac:dyDescent="0.25">
      <c r="A490" s="14"/>
      <c r="B490" s="14"/>
      <c r="C490" s="14"/>
      <c r="D490" s="14"/>
      <c r="E490" s="14"/>
      <c r="F490" s="14"/>
      <c r="G490" s="7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</row>
    <row r="491" spans="1:53" x14ac:dyDescent="0.25">
      <c r="A491" s="14"/>
      <c r="B491" s="14"/>
      <c r="C491" s="14"/>
      <c r="D491" s="14"/>
      <c r="E491" s="14"/>
      <c r="F491" s="14"/>
      <c r="G491" s="7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</row>
    <row r="492" spans="1:53" x14ac:dyDescent="0.25">
      <c r="A492" s="14"/>
      <c r="B492" s="14"/>
      <c r="C492" s="14"/>
      <c r="D492" s="14"/>
      <c r="E492" s="14"/>
      <c r="F492" s="14"/>
      <c r="G492" s="7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</row>
    <row r="493" spans="1:53" x14ac:dyDescent="0.25">
      <c r="A493" s="14"/>
      <c r="B493" s="14"/>
      <c r="C493" s="14"/>
      <c r="D493" s="14"/>
      <c r="E493" s="14"/>
      <c r="F493" s="14"/>
      <c r="G493" s="7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</row>
    <row r="494" spans="1:53" x14ac:dyDescent="0.25">
      <c r="A494" s="14"/>
      <c r="B494" s="14"/>
      <c r="C494" s="14"/>
      <c r="D494" s="14"/>
      <c r="E494" s="14"/>
      <c r="F494" s="14"/>
      <c r="G494" s="7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</row>
    <row r="495" spans="1:53" x14ac:dyDescent="0.25">
      <c r="A495" s="14"/>
      <c r="B495" s="14"/>
      <c r="C495" s="14"/>
      <c r="D495" s="14"/>
      <c r="E495" s="14"/>
      <c r="F495" s="14"/>
      <c r="G495" s="7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</row>
    <row r="496" spans="1:53" x14ac:dyDescent="0.25">
      <c r="A496" s="14"/>
      <c r="B496" s="14"/>
      <c r="C496" s="14"/>
      <c r="D496" s="14"/>
      <c r="E496" s="14"/>
      <c r="F496" s="14"/>
      <c r="G496" s="7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</row>
    <row r="497" spans="1:53" x14ac:dyDescent="0.25">
      <c r="A497" s="14"/>
      <c r="B497" s="14"/>
      <c r="C497" s="14"/>
      <c r="D497" s="14"/>
      <c r="E497" s="14"/>
      <c r="F497" s="14"/>
      <c r="G497" s="7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</row>
    <row r="498" spans="1:53" x14ac:dyDescent="0.25">
      <c r="A498" s="14"/>
      <c r="B498" s="14"/>
      <c r="C498" s="14"/>
      <c r="D498" s="14"/>
      <c r="E498" s="14"/>
      <c r="F498" s="14"/>
      <c r="G498" s="7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</row>
    <row r="499" spans="1:53" x14ac:dyDescent="0.25">
      <c r="A499" s="14"/>
      <c r="B499" s="14"/>
      <c r="C499" s="14"/>
      <c r="D499" s="14"/>
      <c r="E499" s="14"/>
      <c r="F499" s="14"/>
      <c r="G499" s="7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</row>
    <row r="500" spans="1:53" x14ac:dyDescent="0.25">
      <c r="A500" s="14"/>
      <c r="B500" s="14"/>
      <c r="C500" s="14"/>
      <c r="D500" s="14"/>
      <c r="E500" s="14"/>
      <c r="F500" s="14"/>
      <c r="G500" s="7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</row>
  </sheetData>
  <autoFilter ref="A3:AM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2026-01-22T10:30:11Z</dcterms:created>
  <dcterms:modified xsi:type="dcterms:W3CDTF">2026-01-23T09:51:14Z</dcterms:modified>
</cp:coreProperties>
</file>