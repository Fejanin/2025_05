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4459E19A-DF20-4952-811E-5E629288EB0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X343" i="1"/>
  <c r="BP342" i="1"/>
  <c r="BO342" i="1"/>
  <c r="BN342" i="1"/>
  <c r="BM342" i="1"/>
  <c r="Z342" i="1"/>
  <c r="Y342" i="1"/>
  <c r="P342" i="1"/>
  <c r="BO341" i="1"/>
  <c r="BN341" i="1"/>
  <c r="BM341" i="1"/>
  <c r="Z341" i="1"/>
  <c r="Y341" i="1"/>
  <c r="BP341" i="1" s="1"/>
  <c r="P341" i="1"/>
  <c r="BO340" i="1"/>
  <c r="BM340" i="1"/>
  <c r="Y340" i="1"/>
  <c r="P340" i="1"/>
  <c r="X337" i="1"/>
  <c r="X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BO333" i="1"/>
  <c r="BM333" i="1"/>
  <c r="Y333" i="1"/>
  <c r="Y336" i="1" s="1"/>
  <c r="P333" i="1"/>
  <c r="X331" i="1"/>
  <c r="X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BP327" i="1" s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BP321" i="1" s="1"/>
  <c r="P321" i="1"/>
  <c r="BP320" i="1"/>
  <c r="BO320" i="1"/>
  <c r="BN320" i="1"/>
  <c r="BM320" i="1"/>
  <c r="Z320" i="1"/>
  <c r="Y320" i="1"/>
  <c r="Y324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BP315" i="1" s="1"/>
  <c r="P315" i="1"/>
  <c r="BP314" i="1"/>
  <c r="BO314" i="1"/>
  <c r="BN314" i="1"/>
  <c r="BM314" i="1"/>
  <c r="Z314" i="1"/>
  <c r="Y314" i="1"/>
  <c r="P314" i="1"/>
  <c r="BO313" i="1"/>
  <c r="BM313" i="1"/>
  <c r="Y313" i="1"/>
  <c r="Y318" i="1" s="1"/>
  <c r="P313" i="1"/>
  <c r="X311" i="1"/>
  <c r="X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BO305" i="1"/>
  <c r="BM305" i="1"/>
  <c r="Y305" i="1"/>
  <c r="BP305" i="1" s="1"/>
  <c r="P305" i="1"/>
  <c r="BP304" i="1"/>
  <c r="BO304" i="1"/>
  <c r="BN304" i="1"/>
  <c r="BM304" i="1"/>
  <c r="Z304" i="1"/>
  <c r="Y304" i="1"/>
  <c r="Y310" i="1" s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BO297" i="1"/>
  <c r="BM297" i="1"/>
  <c r="Y297" i="1"/>
  <c r="BP297" i="1" s="1"/>
  <c r="P297" i="1"/>
  <c r="BP296" i="1"/>
  <c r="BO296" i="1"/>
  <c r="BN296" i="1"/>
  <c r="BM296" i="1"/>
  <c r="Z296" i="1"/>
  <c r="Y296" i="1"/>
  <c r="Y302" i="1" s="1"/>
  <c r="P296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Y293" i="1" s="1"/>
  <c r="P290" i="1"/>
  <c r="X288" i="1"/>
  <c r="X287" i="1"/>
  <c r="BO286" i="1"/>
  <c r="BM286" i="1"/>
  <c r="Y286" i="1"/>
  <c r="BP286" i="1" s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M498" i="1" s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Y228" i="1" s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Y224" i="1" s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201" i="1"/>
  <c r="X200" i="1"/>
  <c r="BO199" i="1"/>
  <c r="BM199" i="1"/>
  <c r="Y199" i="1"/>
  <c r="Z199" i="1" s="1"/>
  <c r="P199" i="1"/>
  <c r="BP198" i="1"/>
  <c r="BO198" i="1"/>
  <c r="BN198" i="1"/>
  <c r="BM198" i="1"/>
  <c r="Z198" i="1"/>
  <c r="Z200" i="1" s="1"/>
  <c r="Y198" i="1"/>
  <c r="P198" i="1"/>
  <c r="X196" i="1"/>
  <c r="X195" i="1"/>
  <c r="BP194" i="1"/>
  <c r="BO194" i="1"/>
  <c r="BN194" i="1"/>
  <c r="BM194" i="1"/>
  <c r="Z194" i="1"/>
  <c r="Y194" i="1"/>
  <c r="P194" i="1"/>
  <c r="BO193" i="1"/>
  <c r="BM193" i="1"/>
  <c r="Y193" i="1"/>
  <c r="J498" i="1" s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Y180" i="1" s="1"/>
  <c r="P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Y152" i="1" s="1"/>
  <c r="P148" i="1"/>
  <c r="BP147" i="1"/>
  <c r="BO147" i="1"/>
  <c r="BN147" i="1"/>
  <c r="BM147" i="1"/>
  <c r="Z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H498" i="1" s="1"/>
  <c r="P142" i="1"/>
  <c r="X139" i="1"/>
  <c r="X138" i="1"/>
  <c r="BO137" i="1"/>
  <c r="BM137" i="1"/>
  <c r="Y137" i="1"/>
  <c r="Y139" i="1" s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Y129" i="1" s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Y118" i="1" s="1"/>
  <c r="P114" i="1"/>
  <c r="X112" i="1"/>
  <c r="X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Y112" i="1" s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Y104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5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Y89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0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BP71" i="1"/>
  <c r="BO71" i="1"/>
  <c r="BN71" i="1"/>
  <c r="BM71" i="1"/>
  <c r="Z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8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Y43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1" i="1" s="1"/>
  <c r="P27" i="1"/>
  <c r="X25" i="1"/>
  <c r="X24" i="1"/>
  <c r="X492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498" i="1"/>
  <c r="X489" i="1"/>
  <c r="X490" i="1"/>
  <c r="Z23" i="1"/>
  <c r="Z24" i="1" s="1"/>
  <c r="BN23" i="1"/>
  <c r="BP23" i="1"/>
  <c r="Y24" i="1"/>
  <c r="X488" i="1"/>
  <c r="Z27" i="1"/>
  <c r="BN27" i="1"/>
  <c r="BP27" i="1"/>
  <c r="Z29" i="1"/>
  <c r="BN29" i="1"/>
  <c r="Y32" i="1"/>
  <c r="Y488" i="1" s="1"/>
  <c r="C498" i="1"/>
  <c r="Z41" i="1"/>
  <c r="Z43" i="1" s="1"/>
  <c r="BN41" i="1"/>
  <c r="BP41" i="1"/>
  <c r="Y44" i="1"/>
  <c r="D498" i="1"/>
  <c r="Y57" i="1"/>
  <c r="Z52" i="1"/>
  <c r="Z57" i="1" s="1"/>
  <c r="BN52" i="1"/>
  <c r="BP54" i="1"/>
  <c r="BN54" i="1"/>
  <c r="Z54" i="1"/>
  <c r="F9" i="1"/>
  <c r="J9" i="1"/>
  <c r="BP56" i="1"/>
  <c r="BN56" i="1"/>
  <c r="Y489" i="1" s="1"/>
  <c r="Z56" i="1"/>
  <c r="Y58" i="1"/>
  <c r="Y64" i="1"/>
  <c r="Y63" i="1"/>
  <c r="BP60" i="1"/>
  <c r="BN60" i="1"/>
  <c r="Z60" i="1"/>
  <c r="Z62" i="1"/>
  <c r="BN62" i="1"/>
  <c r="Z66" i="1"/>
  <c r="Z68" i="1" s="1"/>
  <c r="BN66" i="1"/>
  <c r="BP66" i="1"/>
  <c r="Y69" i="1"/>
  <c r="Z72" i="1"/>
  <c r="Z75" i="1" s="1"/>
  <c r="BN72" i="1"/>
  <c r="BP72" i="1"/>
  <c r="Y490" i="1" s="1"/>
  <c r="Z74" i="1"/>
  <c r="BN74" i="1"/>
  <c r="Z78" i="1"/>
  <c r="Z80" i="1" s="1"/>
  <c r="BN78" i="1"/>
  <c r="BP78" i="1"/>
  <c r="Y81" i="1"/>
  <c r="E498" i="1"/>
  <c r="Z85" i="1"/>
  <c r="BN85" i="1"/>
  <c r="BP85" i="1"/>
  <c r="Z87" i="1"/>
  <c r="Z88" i="1" s="1"/>
  <c r="BN87" i="1"/>
  <c r="Y88" i="1"/>
  <c r="Z91" i="1"/>
  <c r="BN91" i="1"/>
  <c r="BP91" i="1"/>
  <c r="Z93" i="1"/>
  <c r="BN93" i="1"/>
  <c r="Y96" i="1"/>
  <c r="F498" i="1"/>
  <c r="Z100" i="1"/>
  <c r="Z104" i="1" s="1"/>
  <c r="BN100" i="1"/>
  <c r="BP100" i="1"/>
  <c r="Z102" i="1"/>
  <c r="BN102" i="1"/>
  <c r="Y105" i="1"/>
  <c r="Z108" i="1"/>
  <c r="Z111" i="1" s="1"/>
  <c r="BN108" i="1"/>
  <c r="BP108" i="1"/>
  <c r="Z110" i="1"/>
  <c r="BN110" i="1"/>
  <c r="Z114" i="1"/>
  <c r="BN114" i="1"/>
  <c r="BP114" i="1"/>
  <c r="Z116" i="1"/>
  <c r="BN116" i="1"/>
  <c r="Y119" i="1"/>
  <c r="G498" i="1"/>
  <c r="Z127" i="1"/>
  <c r="Z128" i="1" s="1"/>
  <c r="BN127" i="1"/>
  <c r="BP127" i="1"/>
  <c r="Y128" i="1"/>
  <c r="Z131" i="1"/>
  <c r="Z133" i="1" s="1"/>
  <c r="BN131" i="1"/>
  <c r="BP131" i="1"/>
  <c r="Y134" i="1"/>
  <c r="Z137" i="1"/>
  <c r="Z138" i="1" s="1"/>
  <c r="BN137" i="1"/>
  <c r="BP137" i="1"/>
  <c r="Z142" i="1"/>
  <c r="Z144" i="1" s="1"/>
  <c r="BN142" i="1"/>
  <c r="BP142" i="1"/>
  <c r="Y145" i="1"/>
  <c r="Z148" i="1"/>
  <c r="Z152" i="1" s="1"/>
  <c r="BN148" i="1"/>
  <c r="BP148" i="1"/>
  <c r="Z150" i="1"/>
  <c r="BN150" i="1"/>
  <c r="I498" i="1"/>
  <c r="Y163" i="1"/>
  <c r="Z166" i="1"/>
  <c r="Z179" i="1" s="1"/>
  <c r="BN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Y179" i="1"/>
  <c r="Z182" i="1"/>
  <c r="BN182" i="1"/>
  <c r="BP182" i="1"/>
  <c r="Z184" i="1"/>
  <c r="BN184" i="1"/>
  <c r="Y185" i="1"/>
  <c r="Z188" i="1"/>
  <c r="Z189" i="1" s="1"/>
  <c r="BN188" i="1"/>
  <c r="BP188" i="1"/>
  <c r="Y189" i="1"/>
  <c r="Z193" i="1"/>
  <c r="Z195" i="1" s="1"/>
  <c r="BN193" i="1"/>
  <c r="BP193" i="1"/>
  <c r="Y196" i="1"/>
  <c r="Y200" i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Z223" i="1" s="1"/>
  <c r="BP219" i="1"/>
  <c r="BN219" i="1"/>
  <c r="Z219" i="1"/>
  <c r="Y223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Y144" i="1"/>
  <c r="Y195" i="1"/>
  <c r="BP199" i="1"/>
  <c r="BN199" i="1"/>
  <c r="BP205" i="1"/>
  <c r="BN205" i="1"/>
  <c r="Z205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Y274" i="1"/>
  <c r="Y281" i="1"/>
  <c r="Y288" i="1"/>
  <c r="Y292" i="1"/>
  <c r="Y301" i="1"/>
  <c r="Y311" i="1"/>
  <c r="Y317" i="1"/>
  <c r="Y323" i="1"/>
  <c r="Y331" i="1"/>
  <c r="Y337" i="1"/>
  <c r="R498" i="1"/>
  <c r="Y344" i="1"/>
  <c r="Y343" i="1"/>
  <c r="BP349" i="1"/>
  <c r="BN349" i="1"/>
  <c r="Z349" i="1"/>
  <c r="BP353" i="1"/>
  <c r="BN353" i="1"/>
  <c r="Z353" i="1"/>
  <c r="BP374" i="1"/>
  <c r="BN374" i="1"/>
  <c r="Z374" i="1"/>
  <c r="Z375" i="1" s="1"/>
  <c r="Y376" i="1"/>
  <c r="Y381" i="1"/>
  <c r="BP378" i="1"/>
  <c r="BN378" i="1"/>
  <c r="Z378" i="1"/>
  <c r="Z380" i="1" s="1"/>
  <c r="BP392" i="1"/>
  <c r="BN392" i="1"/>
  <c r="Z392" i="1"/>
  <c r="Z400" i="1" s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Q498" i="1"/>
  <c r="Z270" i="1"/>
  <c r="Z274" i="1" s="1"/>
  <c r="BN270" i="1"/>
  <c r="BP270" i="1"/>
  <c r="Z272" i="1"/>
  <c r="BN272" i="1"/>
  <c r="Y275" i="1"/>
  <c r="O498" i="1"/>
  <c r="Z279" i="1"/>
  <c r="Z281" i="1" s="1"/>
  <c r="BN279" i="1"/>
  <c r="Y282" i="1"/>
  <c r="P498" i="1"/>
  <c r="Z286" i="1"/>
  <c r="Z287" i="1" s="1"/>
  <c r="BN286" i="1"/>
  <c r="Y287" i="1"/>
  <c r="Z290" i="1"/>
  <c r="Z292" i="1" s="1"/>
  <c r="BN290" i="1"/>
  <c r="BP290" i="1"/>
  <c r="Z297" i="1"/>
  <c r="Z301" i="1" s="1"/>
  <c r="BN297" i="1"/>
  <c r="Z299" i="1"/>
  <c r="BN299" i="1"/>
  <c r="Z305" i="1"/>
  <c r="Z310" i="1" s="1"/>
  <c r="BN305" i="1"/>
  <c r="Z307" i="1"/>
  <c r="BN307" i="1"/>
  <c r="Z309" i="1"/>
  <c r="BN309" i="1"/>
  <c r="Z313" i="1"/>
  <c r="BN313" i="1"/>
  <c r="BP313" i="1"/>
  <c r="Z315" i="1"/>
  <c r="BN315" i="1"/>
  <c r="Z321" i="1"/>
  <c r="Z323" i="1" s="1"/>
  <c r="BN321" i="1"/>
  <c r="Z327" i="1"/>
  <c r="Z330" i="1" s="1"/>
  <c r="BN327" i="1"/>
  <c r="Z329" i="1"/>
  <c r="BN329" i="1"/>
  <c r="Z333" i="1"/>
  <c r="Z336" i="1" s="1"/>
  <c r="BN333" i="1"/>
  <c r="BP333" i="1"/>
  <c r="Z335" i="1"/>
  <c r="BN335" i="1"/>
  <c r="Z340" i="1"/>
  <c r="Z343" i="1" s="1"/>
  <c r="BN340" i="1"/>
  <c r="BP340" i="1"/>
  <c r="S498" i="1"/>
  <c r="BP351" i="1"/>
  <c r="BN351" i="1"/>
  <c r="Z351" i="1"/>
  <c r="Z355" i="1" s="1"/>
  <c r="Y355" i="1"/>
  <c r="BP359" i="1"/>
  <c r="BN359" i="1"/>
  <c r="Z359" i="1"/>
  <c r="Z360" i="1" s="1"/>
  <c r="Y361" i="1"/>
  <c r="Y366" i="1"/>
  <c r="BP363" i="1"/>
  <c r="BN363" i="1"/>
  <c r="Z363" i="1"/>
  <c r="Z365" i="1" s="1"/>
  <c r="Y380" i="1"/>
  <c r="Z386" i="1"/>
  <c r="BP384" i="1"/>
  <c r="BN384" i="1"/>
  <c r="Z384" i="1"/>
  <c r="Y401" i="1"/>
  <c r="BP394" i="1"/>
  <c r="BN394" i="1"/>
  <c r="Z394" i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U498" i="1"/>
  <c r="Y498" i="1"/>
  <c r="Y356" i="1"/>
  <c r="T498" i="1"/>
  <c r="Y375" i="1"/>
  <c r="X498" i="1"/>
  <c r="BP430" i="1"/>
  <c r="BN430" i="1"/>
  <c r="Z430" i="1"/>
  <c r="Z439" i="1" s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0" i="1"/>
  <c r="BN460" i="1"/>
  <c r="Z460" i="1"/>
  <c r="Z463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Y491" i="1" l="1"/>
  <c r="Z454" i="1"/>
  <c r="Z417" i="1"/>
  <c r="Z257" i="1"/>
  <c r="Z211" i="1"/>
  <c r="X491" i="1"/>
  <c r="Z317" i="1"/>
  <c r="Z266" i="1"/>
  <c r="Z241" i="1"/>
  <c r="Z185" i="1"/>
  <c r="Z118" i="1"/>
  <c r="Z95" i="1"/>
  <c r="Z63" i="1"/>
  <c r="Z493" i="1" s="1"/>
  <c r="Z31" i="1"/>
  <c r="Y492" i="1"/>
</calcChain>
</file>

<file path=xl/sharedStrings.xml><?xml version="1.0" encoding="utf-8"?>
<sst xmlns="http://schemas.openxmlformats.org/spreadsheetml/2006/main" count="2319" uniqueCount="767">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</sst>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80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46048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0.41666666666666669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0</v>
      </c>
      <c r="Y40" s="546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110</v>
      </c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0</v>
      </c>
      <c r="Y43" s="547">
        <f>IFERROR(Y40/H40,"0")+IFERROR(Y41/H41,"0")+IFERROR(Y42/H42,"0")</f>
        <v>0</v>
      </c>
      <c r="Z43" s="547">
        <f>IFERROR(IF(Z40="",0,Z40),"0")+IFERROR(IF(Z41="",0,Z41),"0")+IFERROR(IF(Z42="",0,Z42),"0")</f>
        <v>0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0</v>
      </c>
      <c r="Y44" s="547">
        <f>IFERROR(SUM(Y40:Y42),"0")</f>
        <v>0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0</v>
      </c>
      <c r="Y57" s="547">
        <f>IFERROR(Y51/H51,"0")+IFERROR(Y52/H52,"0")+IFERROR(Y53/H53,"0")+IFERROR(Y54/H54,"0")+IFERROR(Y55/H55,"0")+IFERROR(Y56/H56,"0")</f>
        <v>0</v>
      </c>
      <c r="Z57" s="547">
        <f>IFERROR(IF(Z51="",0,Z51),"0")+IFERROR(IF(Z52="",0,Z52),"0")+IFERROR(IF(Z53="",0,Z53),"0")+IFERROR(IF(Z54="",0,Z54),"0")+IFERROR(IF(Z55="",0,Z55),"0")+IFERROR(IF(Z56="",0,Z56),"0")</f>
        <v>0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0</v>
      </c>
      <c r="Y58" s="547">
        <f>IFERROR(SUM(Y51:Y56),"0")</f>
        <v>0</v>
      </c>
      <c r="Z58" s="37"/>
      <c r="AA58" s="548"/>
      <c r="AB58" s="548"/>
      <c r="AC58" s="548"/>
    </row>
    <row r="59" spans="1:68" ht="14.25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0</v>
      </c>
      <c r="Y84" s="546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0</v>
      </c>
      <c r="Y88" s="547">
        <f>IFERROR(Y84/H84,"0")+IFERROR(Y85/H85,"0")+IFERROR(Y86/H86,"0")+IFERROR(Y87/H87,"0")</f>
        <v>0</v>
      </c>
      <c r="Z88" s="547">
        <f>IFERROR(IF(Z84="",0,Z84),"0")+IFERROR(IF(Z85="",0,Z85),"0")+IFERROR(IF(Z86="",0,Z86),"0")+IFERROR(IF(Z87="",0,Z87),"0")</f>
        <v>0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0</v>
      </c>
      <c r="Y89" s="547">
        <f>IFERROR(SUM(Y84:Y87),"0")</f>
        <v>0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0</v>
      </c>
      <c r="Y91" s="546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0</v>
      </c>
      <c r="Y95" s="547">
        <f>IFERROR(Y91/H91,"0")+IFERROR(Y92/H92,"0")+IFERROR(Y93/H93,"0")+IFERROR(Y94/H94,"0")</f>
        <v>0</v>
      </c>
      <c r="Z95" s="547">
        <f>IFERROR(IF(Z91="",0,Z91),"0")+IFERROR(IF(Z92="",0,Z92),"0")+IFERROR(IF(Z93="",0,Z93),"0")+IFERROR(IF(Z94="",0,Z94),"0")</f>
        <v>0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0</v>
      </c>
      <c r="Y96" s="547">
        <f>IFERROR(SUM(Y91:Y94),"0")</f>
        <v>0</v>
      </c>
      <c r="Z96" s="37"/>
      <c r="AA96" s="548"/>
      <c r="AB96" s="548"/>
      <c r="AC96" s="548"/>
    </row>
    <row r="97" spans="1:68" ht="16.5" customHeight="1" x14ac:dyDescent="0.25">
      <c r="A97" s="560" t="s">
        <v>190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0</v>
      </c>
      <c r="Y104" s="547">
        <f>IFERROR(Y99/H99,"0")+IFERROR(Y100/H100,"0")+IFERROR(Y101/H101,"0")+IFERROR(Y102/H102,"0")+IFERROR(Y103/H103,"0")</f>
        <v>0</v>
      </c>
      <c r="Z104" s="547">
        <f>IFERROR(IF(Z99="",0,Z99),"0")+IFERROR(IF(Z100="",0,Z100),"0")+IFERROR(IF(Z101="",0,Z101),"0")+IFERROR(IF(Z102="",0,Z102),"0")+IFERROR(IF(Z103="",0,Z103),"0")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0</v>
      </c>
      <c r="Y105" s="547">
        <f>IFERROR(SUM(Y99:Y103),"0")</f>
        <v>0</v>
      </c>
      <c r="Z105" s="37"/>
      <c r="AA105" s="548"/>
      <c r="AB105" s="548"/>
      <c r="AC105" s="548"/>
    </row>
    <row r="106" spans="1:68" ht="14.25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186</v>
      </c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0</v>
      </c>
      <c r="Y118" s="547">
        <f>IFERROR(Y114/H114,"0")+IFERROR(Y115/H115,"0")+IFERROR(Y116/H116,"0")+IFERROR(Y117/H117,"0")</f>
        <v>0</v>
      </c>
      <c r="Z118" s="547">
        <f>IFERROR(IF(Z114="",0,Z114),"0")+IFERROR(IF(Z115="",0,Z115),"0")+IFERROR(IF(Z116="",0,Z116),"0")+IFERROR(IF(Z117="",0,Z117),"0")</f>
        <v>0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0</v>
      </c>
      <c r="Y119" s="547">
        <f>IFERROR(SUM(Y114:Y117),"0")</f>
        <v>0</v>
      </c>
      <c r="Z119" s="37"/>
      <c r="AA119" s="548"/>
      <c r="AB119" s="548"/>
      <c r="AC119" s="548"/>
    </row>
    <row r="120" spans="1:68" ht="14.25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186</v>
      </c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0</v>
      </c>
      <c r="Y180" s="547">
        <f>IFERROR(SUM(Y165:Y178),"0")</f>
        <v>0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186</v>
      </c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0</v>
      </c>
      <c r="Y211" s="547">
        <f>IFERROR(Y203/H203,"0")+IFERROR(Y204/H204,"0")+IFERROR(Y205/H205,"0")+IFERROR(Y206/H206,"0")+IFERROR(Y207/H207,"0")+IFERROR(Y208/H208,"0")+IFERROR(Y209/H209,"0")+IFERROR(Y210/H210,"0")</f>
        <v>0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0</v>
      </c>
      <c r="Y212" s="547">
        <f>IFERROR(SUM(Y203:Y210),"0")</f>
        <v>0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 t="s">
        <v>103</v>
      </c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 t="s">
        <v>106</v>
      </c>
      <c r="AK214" s="68">
        <v>64.8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186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186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186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186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0</v>
      </c>
      <c r="Y223" s="547">
        <f>IFERROR(Y214/H214,"0")+IFERROR(Y215/H215,"0")+IFERROR(Y216/H216,"0")+IFERROR(Y217/H217,"0")+IFERROR(Y218/H218,"0")+IFERROR(Y219/H219,"0")+IFERROR(Y220/H220,"0")+IFERROR(Y221/H221,"0")+IFERROR(Y222/H222,"0")</f>
        <v>0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0</v>
      </c>
      <c r="Y224" s="547">
        <f>IFERROR(SUM(Y214:Y222),"0")</f>
        <v>0</v>
      </c>
      <c r="Z224" s="37"/>
      <c r="AA224" s="548"/>
      <c r="AB224" s="548"/>
      <c r="AC224" s="548"/>
    </row>
    <row r="225" spans="1:68" ht="14.25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 t="s">
        <v>186</v>
      </c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106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186</v>
      </c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 t="s">
        <v>103</v>
      </c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106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186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186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0</v>
      </c>
      <c r="Y281" s="547">
        <f>IFERROR(Y278/H278,"0")+IFERROR(Y279/H279,"0")+IFERROR(Y280/H280,"0")</f>
        <v>0</v>
      </c>
      <c r="Z281" s="547">
        <f>IFERROR(IF(Z278="",0,Z278),"0")+IFERROR(IF(Z279="",0,Z279),"0")+IFERROR(IF(Z280="",0,Z280),"0")</f>
        <v>0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0</v>
      </c>
      <c r="Y282" s="547">
        <f>IFERROR(SUM(Y278:Y280),"0")</f>
        <v>0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 t="s">
        <v>110</v>
      </c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106</v>
      </c>
      <c r="AK305" s="68">
        <v>50.4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 t="s">
        <v>103</v>
      </c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 t="s">
        <v>106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0</v>
      </c>
      <c r="Y323" s="547">
        <f>IFERROR(Y320/H320,"0")+IFERROR(Y321/H321,"0")+IFERROR(Y322/H322,"0")</f>
        <v>0</v>
      </c>
      <c r="Z323" s="547">
        <f>IFERROR(IF(Z320="",0,Z320),"0")+IFERROR(IF(Z321="",0,Z321),"0")+IFERROR(IF(Z322="",0,Z322),"0")</f>
        <v>0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0</v>
      </c>
      <c r="Y324" s="547">
        <f>IFERROR(SUM(Y320:Y322),"0")</f>
        <v>0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186</v>
      </c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186</v>
      </c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 t="s">
        <v>106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 t="s">
        <v>186</v>
      </c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 t="s">
        <v>186</v>
      </c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186</v>
      </c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186</v>
      </c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1120</v>
      </c>
      <c r="Y348" s="546">
        <f t="shared" ref="Y348:Y354" si="31">IFERROR(IF(X348="",0,CEILING((X348/$H348),1)*$H348),"")</f>
        <v>1125</v>
      </c>
      <c r="Z348" s="36">
        <f>IFERROR(IF(Y348=0,"",ROUNDUP(Y348/H348,0)*0.02175),"")</f>
        <v>1.6312499999999999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1155.0933333333335</v>
      </c>
      <c r="BN348" s="64">
        <f t="shared" ref="BN348:BN354" si="33">IFERROR(Y348*I348/H348,"0")</f>
        <v>1160.25</v>
      </c>
      <c r="BO348" s="64">
        <f t="shared" ref="BO348:BO354" si="34">IFERROR(1/J348*(X348/H348),"0")</f>
        <v>1.5555555555555556</v>
      </c>
      <c r="BP348" s="64">
        <f t="shared" ref="BP348:BP354" si="35">IFERROR(1/J348*(Y348/H348),"0")</f>
        <v>1.5625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customHeight="1" x14ac:dyDescent="0.25">
      <c r="A350" s="54" t="s">
        <v>558</v>
      </c>
      <c r="B350" s="54" t="s">
        <v>559</v>
      </c>
      <c r="C350" s="31">
        <v>4301012215</v>
      </c>
      <c r="D350" s="552">
        <v>4680115887046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/>
      <c r="M350" s="33" t="s">
        <v>86</v>
      </c>
      <c r="N350" s="33"/>
      <c r="O350" s="32">
        <v>60</v>
      </c>
      <c r="P350" s="66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2">
        <v>4680115884830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6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563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74.666666666666671</v>
      </c>
      <c r="Y355" s="547">
        <f>IFERROR(Y348/H348,"0")+IFERROR(Y349/H349,"0")+IFERROR(Y350/H350,"0")+IFERROR(Y351/H351,"0")+IFERROR(Y352/H352,"0")+IFERROR(Y353/H353,"0")+IFERROR(Y354/H354,"0")</f>
        <v>75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1.6312499999999999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1120</v>
      </c>
      <c r="Y356" s="547">
        <f>IFERROR(SUM(Y348:Y354),"0")</f>
        <v>1125</v>
      </c>
      <c r="Z356" s="37"/>
      <c r="AA356" s="548"/>
      <c r="AB356" s="548"/>
      <c r="AC356" s="548"/>
    </row>
    <row r="357" spans="1:68" ht="14.25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1200</v>
      </c>
      <c r="Y358" s="546">
        <f>IFERROR(IF(X358="",0,CEILING((X358/$H358),1)*$H358),"")</f>
        <v>1200</v>
      </c>
      <c r="Z358" s="36">
        <f>IFERROR(IF(Y358=0,"",ROUNDUP(Y358/H358,0)*0.02175),"")</f>
        <v>1.7399999999999998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1237.5999999999999</v>
      </c>
      <c r="BN358" s="64">
        <f>IFERROR(Y358*I358/H358,"0")</f>
        <v>1237.5999999999999</v>
      </c>
      <c r="BO358" s="64">
        <f>IFERROR(1/J358*(X358/H358),"0")</f>
        <v>1.6666666666666665</v>
      </c>
      <c r="BP358" s="64">
        <f>IFERROR(1/J358*(Y358/H358),"0")</f>
        <v>1.6666666666666665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80</v>
      </c>
      <c r="Y360" s="547">
        <f>IFERROR(Y358/H358,"0")+IFERROR(Y359/H359,"0")</f>
        <v>80</v>
      </c>
      <c r="Z360" s="547">
        <f>IFERROR(IF(Z358="",0,Z358),"0")+IFERROR(IF(Z359="",0,Z359),"0")</f>
        <v>1.7399999999999998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1200</v>
      </c>
      <c r="Y361" s="547">
        <f>IFERROR(SUM(Y358:Y359),"0")</f>
        <v>1200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 t="s">
        <v>103</v>
      </c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106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0</v>
      </c>
      <c r="Y369" s="547">
        <f>IFERROR(Y368/H368,"0")</f>
        <v>0</v>
      </c>
      <c r="Z369" s="547">
        <f>IFERROR(IF(Z368="",0,Z368),"0")</f>
        <v>0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0</v>
      </c>
      <c r="Y370" s="547">
        <f>IFERROR(SUM(Y368:Y368),"0")</f>
        <v>0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4301031457</v>
      </c>
      <c r="D378" s="552">
        <v>4607091384802</v>
      </c>
      <c r="E378" s="553"/>
      <c r="F378" s="544">
        <v>0.7</v>
      </c>
      <c r="G378" s="32">
        <v>6</v>
      </c>
      <c r="H378" s="544">
        <v>4.2</v>
      </c>
      <c r="I378" s="544">
        <v>4.45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50</v>
      </c>
      <c r="P378" s="67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4301031303</v>
      </c>
      <c r="D379" s="552">
        <v>4607091384802</v>
      </c>
      <c r="E379" s="553"/>
      <c r="F379" s="544">
        <v>0.73</v>
      </c>
      <c r="G379" s="32">
        <v>6</v>
      </c>
      <c r="H379" s="544">
        <v>4.38</v>
      </c>
      <c r="I379" s="544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5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186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0</v>
      </c>
      <c r="Y386" s="547">
        <f>IFERROR(Y383/H383,"0")+IFERROR(Y384/H384,"0")+IFERROR(Y385/H385,"0")</f>
        <v>0</v>
      </c>
      <c r="Z386" s="547">
        <f>IFERROR(IF(Z383="",0,Z383),"0")+IFERROR(IF(Z384="",0,Z384),"0")+IFERROR(IF(Z385="",0,Z385),"0")</f>
        <v>0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0</v>
      </c>
      <c r="Y387" s="547">
        <f>IFERROR(SUM(Y383:Y385),"0")</f>
        <v>0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 t="s">
        <v>110</v>
      </c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 t="s">
        <v>106</v>
      </c>
      <c r="AK391" s="68">
        <v>64.8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 t="s">
        <v>110</v>
      </c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106</v>
      </c>
      <c r="AK393" s="68">
        <v>64.8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 t="s">
        <v>282</v>
      </c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 t="s">
        <v>106</v>
      </c>
      <c r="AK398" s="68">
        <v>37.799999999999997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 t="s">
        <v>110</v>
      </c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 t="s">
        <v>106</v>
      </c>
      <c r="AK413" s="68">
        <v>64.8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 t="s">
        <v>110</v>
      </c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 t="s">
        <v>106</v>
      </c>
      <c r="AK438" s="68">
        <v>57.6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0</v>
      </c>
      <c r="Y440" s="547">
        <f>IFERROR(SUM(Y427:Y438),"0")</f>
        <v>0</v>
      </c>
      <c r="Z440" s="37"/>
      <c r="AA440" s="548"/>
      <c r="AB440" s="548"/>
      <c r="AC440" s="548"/>
    </row>
    <row r="441" spans="1:68" ht="14.25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0</v>
      </c>
      <c r="Y445" s="547">
        <f>IFERROR(Y442/H442,"0")+IFERROR(Y443/H443,"0")+IFERROR(Y444/H444,"0")</f>
        <v>0</v>
      </c>
      <c r="Z445" s="547">
        <f>IFERROR(IF(Z442="",0,Z442),"0")+IFERROR(IF(Z443="",0,Z443),"0")+IFERROR(IF(Z444="",0,Z444),"0")</f>
        <v>0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0</v>
      </c>
      <c r="Y446" s="547">
        <f>IFERROR(SUM(Y442:Y444),"0")</f>
        <v>0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0</v>
      </c>
      <c r="Y454" s="547">
        <f>IFERROR(Y448/H448,"0")+IFERROR(Y449/H449,"0")+IFERROR(Y450/H450,"0")+IFERROR(Y451/H451,"0")+IFERROR(Y452/H452,"0")+IFERROR(Y453/H453,"0")</f>
        <v>0</v>
      </c>
      <c r="Z454" s="547">
        <f>IFERROR(IF(Z448="",0,Z448),"0")+IFERROR(IF(Z449="",0,Z449),"0")+IFERROR(IF(Z450="",0,Z450),"0")+IFERROR(IF(Z451="",0,Z451),"0")+IFERROR(IF(Z452="",0,Z452),"0")+IFERROR(IF(Z453="",0,Z453),"0")</f>
        <v>0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0</v>
      </c>
      <c r="Y455" s="547">
        <f>IFERROR(SUM(Y448:Y453),"0")</f>
        <v>0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 t="s">
        <v>103</v>
      </c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 t="s">
        <v>106</v>
      </c>
      <c r="AK461" s="68">
        <v>96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2320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2325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2392.6933333333336</v>
      </c>
      <c r="Y489" s="547">
        <f>IFERROR(SUM(BN22:BN485),"0")</f>
        <v>2397.85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4</v>
      </c>
      <c r="Y490" s="38">
        <f>ROUNDUP(SUM(BP22:BP485),0)</f>
        <v>4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2492.6933333333336</v>
      </c>
      <c r="Y491" s="547">
        <f>GrossWeightTotalR+PalletQtyTotalR*25</f>
        <v>2497.85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154.66666666666669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155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3.3712499999999999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116</v>
      </c>
      <c r="E496" s="583" t="s">
        <v>167</v>
      </c>
      <c r="F496" s="583" t="s">
        <v>190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98" s="46">
        <f>IFERROR(Y84*1,"0")+IFERROR(Y85*1,"0")+IFERROR(Y86*1,"0")+IFERROR(Y87*1,"0")+IFERROR(Y91*1,"0")+IFERROR(Y92*1,"0")+IFERROR(Y93*1,"0")+IFERROR(Y94*1,"0")</f>
        <v>0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0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2325</v>
      </c>
      <c r="T498" s="46">
        <f>IFERROR(Y373*1,"0")+IFERROR(Y374*1,"0")+IFERROR(Y378*1,"0")+IFERROR(Y379*1,"0")+IFERROR(Y383*1,"0")+IFERROR(Y384*1,"0")+IFERROR(Y385*1,"0")</f>
        <v>0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0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vfdVnfE1DuYb01A2lR29izc9wgwLjKaEjdoCZ4Sx+wR/QgXe6KpIDPVsxGmqzoCc5WnjSXIO9Km/PoN/rfMvbA==" saltValue="aSu9zWYiDznTAILuO0Fap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1 X78 X84 X87 X91 X93:X94 X99 X101:X102 X107 X110 X114 X116 X126:X127 X131 X165 X167 X169 X174 X176 X199 X203:X208 X210 X214:X217 X219:X222 X226:X227 X232 X261 X279:X280 X305 X308 X313 X320:X322 X328:X329 X333:X335 X340:X342 X348:X349 X351 X358 X364 X373 X379 X383:X384 X391 X393 X398 X413 X427 X430:X431 X433 X438 X442 X444 X448:X450 X46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xrwV3Rh1i53Mq/y5TIsYkUy2vDj5rAhmyURnH4Zy5xkZqfUKe606g4hNh/nDJ3Ie6NaYFTeLKl0yMseVc/pg0w==" saltValue="x2l4av2CH17h4Zm9WS92i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2026-01-23T10:11:04Z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