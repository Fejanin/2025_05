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586A7B38-C212-4E29-94FA-76273666880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Y239" i="1"/>
  <c r="P239" i="1"/>
  <c r="Y235" i="1"/>
  <c r="X235" i="1"/>
  <c r="Z234" i="1"/>
  <c r="X234" i="1"/>
  <c r="BO233" i="1"/>
  <c r="BM233" i="1"/>
  <c r="Z233" i="1"/>
  <c r="Y233" i="1"/>
  <c r="P233" i="1"/>
  <c r="X231" i="1"/>
  <c r="Z230" i="1"/>
  <c r="X230" i="1"/>
  <c r="BO229" i="1"/>
  <c r="BM229" i="1"/>
  <c r="Z229" i="1"/>
  <c r="Y229" i="1"/>
  <c r="Y231" i="1" s="1"/>
  <c r="P229" i="1"/>
  <c r="Y225" i="1"/>
  <c r="X225" i="1"/>
  <c r="Z224" i="1"/>
  <c r="X224" i="1"/>
  <c r="BO223" i="1"/>
  <c r="BM223" i="1"/>
  <c r="Z223" i="1"/>
  <c r="Y223" i="1"/>
  <c r="P223" i="1"/>
  <c r="X219" i="1"/>
  <c r="Z218" i="1"/>
  <c r="X218" i="1"/>
  <c r="BO217" i="1"/>
  <c r="BM217" i="1"/>
  <c r="Z217" i="1"/>
  <c r="Y217" i="1"/>
  <c r="Y219" i="1" s="1"/>
  <c r="P217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Y42" i="1"/>
  <c r="X42" i="1"/>
  <c r="Z41" i="1"/>
  <c r="X41" i="1"/>
  <c r="BO40" i="1"/>
  <c r="BM40" i="1"/>
  <c r="Z40" i="1"/>
  <c r="Y40" i="1"/>
  <c r="P40" i="1"/>
  <c r="BP39" i="1"/>
  <c r="BO39" i="1"/>
  <c r="BN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P32" i="1"/>
  <c r="X29" i="1"/>
  <c r="X266" i="1" s="1"/>
  <c r="X28" i="1"/>
  <c r="X270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8" i="1" s="1"/>
  <c r="BM22" i="1"/>
  <c r="X267" i="1" s="1"/>
  <c r="X269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Y29" i="1"/>
  <c r="Y35" i="1"/>
  <c r="BP32" i="1"/>
  <c r="BN32" i="1"/>
  <c r="Y34" i="1"/>
  <c r="Y270" i="1" s="1"/>
  <c r="BP40" i="1"/>
  <c r="BN40" i="1"/>
  <c r="Y57" i="1"/>
  <c r="BP52" i="1"/>
  <c r="BN52" i="1"/>
  <c r="Y56" i="1"/>
  <c r="H9" i="1"/>
  <c r="Y48" i="1"/>
  <c r="BP45" i="1"/>
  <c r="BN45" i="1"/>
  <c r="BP47" i="1"/>
  <c r="BN47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6" i="1" l="1"/>
  <c r="Y267" i="1"/>
  <c r="Y268" i="1"/>
  <c r="C279" i="1" l="1"/>
  <c r="Y269" i="1"/>
  <c r="B279" i="1" s="1"/>
  <c r="A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<sst xmlns="http://schemas.openxmlformats.org/spreadsheetml/2006/main" count="1207" uniqueCount="392">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</sst>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8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84</v>
      </c>
      <c r="Y39" s="267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14</v>
      </c>
      <c r="Y40" s="267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98</v>
      </c>
      <c r="Y41" s="268">
        <f>IFERROR(SUM(Y39:Y40),"0")</f>
        <v>98</v>
      </c>
      <c r="Z41" s="268">
        <f>IFERROR(IF(Z39="",0,Z39),"0")+IFERROR(IF(Z40="",0,Z40),"0")</f>
        <v>0.92218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147</v>
      </c>
      <c r="Y42" s="268">
        <f>IFERROR(SUMPRODUCT(Y39:Y40*H39:H40),"0")</f>
        <v>147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36</v>
      </c>
      <c r="Y45" s="267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36</v>
      </c>
      <c r="Y46" s="267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72</v>
      </c>
      <c r="Y48" s="268">
        <f>IFERROR(SUM(Y45:Y47),"0")</f>
        <v>72</v>
      </c>
      <c r="Z48" s="268">
        <f>IFERROR(IF(Z45="",0,Z45),"0")+IFERROR(IF(Z46="",0,Z46),"0")+IFERROR(IF(Z47="",0,Z47),"0")</f>
        <v>1.1160000000000001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403.2</v>
      </c>
      <c r="Y49" s="268">
        <f>IFERROR(SUMPRODUCT(Y45:Y47*H45:H47),"0")</f>
        <v>403.2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24</v>
      </c>
      <c r="Y52" s="267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36</v>
      </c>
      <c r="Y53" s="26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36</v>
      </c>
      <c r="Y55" s="267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96</v>
      </c>
      <c r="Y56" s="268">
        <f>IFERROR(SUM(Y52:Y55),"0")</f>
        <v>96</v>
      </c>
      <c r="Z56" s="268">
        <f>IFERROR(IF(Z52="",0,Z52),"0")+IFERROR(IF(Z53="",0,Z53),"0")+IFERROR(IF(Z54="",0,Z54),"0")+IFERROR(IF(Z55="",0,Z55),"0")</f>
        <v>1.488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672</v>
      </c>
      <c r="Y57" s="268">
        <f>IFERROR(SUMPRODUCT(Y52:Y55*H52:H55),"0")</f>
        <v>672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145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36</v>
      </c>
      <c r="Y81" s="267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36</v>
      </c>
      <c r="Y82" s="268">
        <f>IFERROR(SUM(Y80:Y81),"0")</f>
        <v>36</v>
      </c>
      <c r="Z82" s="268">
        <f>IFERROR(IF(Z80="",0,Z80),"0")+IFERROR(IF(Z81="",0,Z81),"0")</f>
        <v>0.31175999999999998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180</v>
      </c>
      <c r="Y83" s="268">
        <f>IFERROR(SUMPRODUCT(Y80:Y81*H80:H81),"0")</f>
        <v>180</v>
      </c>
      <c r="Z83" s="37"/>
      <c r="AA83" s="269"/>
      <c r="AB83" s="269"/>
      <c r="AC83" s="269"/>
    </row>
    <row r="84" spans="1:68" ht="16.5" customHeight="1" x14ac:dyDescent="0.25">
      <c r="A84" s="285" t="s">
        <v>152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14</v>
      </c>
      <c r="Y86" s="26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14</v>
      </c>
      <c r="Y87" s="268">
        <f>IFERROR(SUM(Y86:Y86),"0")</f>
        <v>14</v>
      </c>
      <c r="Z87" s="268">
        <f>IFERROR(IF(Z86="",0,Z86),"0")</f>
        <v>0.25031999999999999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50.4</v>
      </c>
      <c r="Y88" s="268">
        <f>IFERROR(SUMPRODUCT(Y86:Y86*H86:H86),"0")</f>
        <v>50.4</v>
      </c>
      <c r="Z88" s="37"/>
      <c r="AA88" s="269"/>
      <c r="AB88" s="269"/>
      <c r="AC88" s="269"/>
    </row>
    <row r="89" spans="1:68" ht="16.5" customHeight="1" x14ac:dyDescent="0.25">
      <c r="A89" s="285" t="s">
        <v>156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157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84</v>
      </c>
      <c r="Y92" s="267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126</v>
      </c>
      <c r="Y93" s="268">
        <f>IFERROR(SUM(Y91:Y92),"0")</f>
        <v>126</v>
      </c>
      <c r="Z93" s="268">
        <f>IFERROR(IF(Z91="",0,Z91),"0")+IFERROR(IF(Z92="",0,Z92),"0")</f>
        <v>2.2528799999999998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453.6</v>
      </c>
      <c r="Y94" s="268">
        <f>IFERROR(SUMPRODUCT(Y91:Y92*H91:H92),"0")</f>
        <v>453.6</v>
      </c>
      <c r="Z94" s="37"/>
      <c r="AA94" s="269"/>
      <c r="AB94" s="269"/>
      <c r="AC94" s="269"/>
    </row>
    <row r="95" spans="1:68" ht="16.5" customHeight="1" x14ac:dyDescent="0.25">
      <c r="A95" s="285" t="s">
        <v>164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28</v>
      </c>
      <c r="Y99" s="267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28</v>
      </c>
      <c r="Y101" s="267">
        <f t="shared" si="6"/>
        <v>28</v>
      </c>
      <c r="Z101" s="36">
        <f t="shared" si="7"/>
        <v>0.50063999999999997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68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72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126</v>
      </c>
      <c r="Y103" s="268">
        <f>IFERROR(SUM(Y97:Y102),"0")</f>
        <v>126</v>
      </c>
      <c r="Z103" s="268">
        <f>IFERROR(IF(Z97="",0,Z97),"0")+IFERROR(IF(Z98="",0,Z98),"0")+IFERROR(IF(Z99="",0,Z99),"0")+IFERROR(IF(Z100="",0,Z100),"0")+IFERROR(IF(Z101="",0,Z101),"0")+IFERROR(IF(Z102="",0,Z102),"0")</f>
        <v>2.2528799999999998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389.76</v>
      </c>
      <c r="Y104" s="268">
        <f>IFERROR(SUMPRODUCT(Y97:Y102*H97:H102),"0")</f>
        <v>389.76</v>
      </c>
      <c r="Z104" s="37"/>
      <c r="AA104" s="269"/>
      <c r="AB104" s="269"/>
      <c r="AC104" s="269"/>
    </row>
    <row r="105" spans="1:68" ht="16.5" customHeight="1" x14ac:dyDescent="0.25">
      <c r="A105" s="285" t="s">
        <v>179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14</v>
      </c>
      <c r="Y107" s="26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14</v>
      </c>
      <c r="Y108" s="26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28</v>
      </c>
      <c r="Y109" s="268">
        <f>IFERROR(SUM(Y107:Y108),"0")</f>
        <v>28</v>
      </c>
      <c r="Z109" s="268">
        <f>IFERROR(IF(Z107="",0,Z107),"0")+IFERROR(IF(Z108="",0,Z108),"0")</f>
        <v>0.38135999999999998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80.64</v>
      </c>
      <c r="Y110" s="268">
        <f>IFERROR(SUMPRODUCT(Y107:Y108*H107:H108),"0")</f>
        <v>80.64</v>
      </c>
      <c r="Z110" s="37"/>
      <c r="AA110" s="269"/>
      <c r="AB110" s="269"/>
      <c r="AC110" s="269"/>
    </row>
    <row r="111" spans="1:68" ht="16.5" customHeight="1" x14ac:dyDescent="0.25">
      <c r="A111" s="285" t="s">
        <v>185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12</v>
      </c>
      <c r="Y113" s="26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48</v>
      </c>
      <c r="Y116" s="267">
        <f t="shared" si="12"/>
        <v>48</v>
      </c>
      <c r="Z116" s="36">
        <f t="shared" si="13"/>
        <v>0.74399999999999999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120</v>
      </c>
      <c r="Y119" s="267">
        <f t="shared" si="12"/>
        <v>120</v>
      </c>
      <c r="Z119" s="36">
        <f t="shared" si="13"/>
        <v>1.8599999999999999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180</v>
      </c>
      <c r="Y120" s="268">
        <f>IFERROR(SUM(Y113:Y119),"0")</f>
        <v>180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1260</v>
      </c>
      <c r="Y121" s="268">
        <f>IFERROR(SUMPRODUCT(Y113:Y119*H113:H119),"0")</f>
        <v>1260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206</v>
      </c>
      <c r="B124" s="54" t="s">
        <v>207</v>
      </c>
      <c r="C124" s="31">
        <v>4301135670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97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99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209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213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70</v>
      </c>
      <c r="Y134" s="267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140</v>
      </c>
      <c r="Y135" s="268">
        <f>IFERROR(SUM(Y133:Y134),"0")</f>
        <v>140</v>
      </c>
      <c r="Z135" s="268">
        <f>IFERROR(IF(Z133="",0,Z133),"0")+IFERROR(IF(Z134="",0,Z134),"0")</f>
        <v>2.5032000000000001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420</v>
      </c>
      <c r="Y136" s="268">
        <f>IFERROR(SUMPRODUCT(Y133:Y134*H133:H134),"0")</f>
        <v>420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28</v>
      </c>
      <c r="Y140" s="267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14</v>
      </c>
      <c r="Y145" s="26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14</v>
      </c>
      <c r="Y147" s="268">
        <f>IFERROR(SUM(Y145:Y146),"0")</f>
        <v>14</v>
      </c>
      <c r="Z147" s="268">
        <f>IFERROR(IF(Z145="",0,Z145),"0")+IFERROR(IF(Z146="",0,Z146),"0")</f>
        <v>0.25031999999999999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33.6</v>
      </c>
      <c r="Y148" s="268">
        <f>IFERROR(SUMPRODUCT(Y145:Y146*H145:H146),"0")</f>
        <v>33.6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14</v>
      </c>
      <c r="Y151" s="26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14</v>
      </c>
      <c r="Y152" s="268">
        <f>IFERROR(SUM(Y151:Y151),"0")</f>
        <v>14</v>
      </c>
      <c r="Z152" s="268">
        <f>IFERROR(IF(Z151="",0,Z151),"0")</f>
        <v>0.25031999999999999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42</v>
      </c>
      <c r="Y153" s="268">
        <f>IFERROR(SUMPRODUCT(Y151:Y151*H151:H151),"0")</f>
        <v>42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68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72</v>
      </c>
      <c r="AK156" s="71">
        <v>1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209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68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72</v>
      </c>
      <c r="AK161" s="71">
        <v>1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70</v>
      </c>
      <c r="Y166" s="267">
        <f>IFERROR(IF(X166="","",X166),"")</f>
        <v>70</v>
      </c>
      <c r="Z166" s="36">
        <f>IFERROR(IF(X166="","",X166*0.00941),"")</f>
        <v>0.65869999999999995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147.126</v>
      </c>
      <c r="BN166" s="67">
        <f>IFERROR(Y166*I166,"0")</f>
        <v>147.126</v>
      </c>
      <c r="BO166" s="67">
        <f>IFERROR(X166/J166,"0")</f>
        <v>0.5</v>
      </c>
      <c r="BP166" s="67">
        <f>IFERROR(Y166/J166,"0")</f>
        <v>0.5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70</v>
      </c>
      <c r="Y167" s="268">
        <f>IFERROR(SUM(Y166:Y166),"0")</f>
        <v>70</v>
      </c>
      <c r="Z167" s="268">
        <f>IFERROR(IF(Z166="",0,Z166),"0")</f>
        <v>0.65869999999999995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117.6</v>
      </c>
      <c r="Y168" s="268">
        <f>IFERROR(SUMPRODUCT(Y166:Y166*H166:H166),"0")</f>
        <v>117.6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168</v>
      </c>
      <c r="Y173" s="267">
        <f>IFERROR(IF(X173="","",X173),"")</f>
        <v>168</v>
      </c>
      <c r="Z173" s="36">
        <f>IFERROR(IF(X173="","",X173*0.00866),"")</f>
        <v>1.45488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875.81759999999997</v>
      </c>
      <c r="BN173" s="67">
        <f>IFERROR(Y173*I173,"0")</f>
        <v>875.81759999999997</v>
      </c>
      <c r="BO173" s="67">
        <f>IFERROR(X173/J173,"0")</f>
        <v>1.1666666666666667</v>
      </c>
      <c r="BP173" s="67">
        <f>IFERROR(Y173/J173,"0")</f>
        <v>1.1666666666666667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168</v>
      </c>
      <c r="Y174" s="268">
        <f>IFERROR(SUM(Y172:Y173),"0")</f>
        <v>168</v>
      </c>
      <c r="Z174" s="268">
        <f>IFERROR(IF(Z172="",0,Z172),"0")+IFERROR(IF(Z173="",0,Z173),"0")</f>
        <v>1.45488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840</v>
      </c>
      <c r="Y175" s="268">
        <f>IFERROR(SUMPRODUCT(Y172:Y173*H172:H173),"0")</f>
        <v>840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14</v>
      </c>
      <c r="Y180" s="267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14</v>
      </c>
      <c r="Y181" s="267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28</v>
      </c>
      <c r="Y183" s="268">
        <f>IFERROR(SUM(Y179:Y182),"0")</f>
        <v>28</v>
      </c>
      <c r="Z183" s="268">
        <f>IFERROR(IF(Z179="",0,Z179),"0")+IFERROR(IF(Z180="",0,Z180),"0")+IFERROR(IF(Z181="",0,Z181),"0")+IFERROR(IF(Z182="",0,Z182),"0")</f>
        <v>0.50063999999999997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84</v>
      </c>
      <c r="Y184" s="268">
        <f>IFERROR(SUMPRODUCT(Y179:Y182*H179:H182),"0")</f>
        <v>84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14</v>
      </c>
      <c r="Y192" s="26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14</v>
      </c>
      <c r="Y193" s="268">
        <f>IFERROR(SUM(Y192:Y192),"0")</f>
        <v>14</v>
      </c>
      <c r="Z193" s="268">
        <f>IFERROR(IF(Z192="",0,Z192),"0")</f>
        <v>0.25031999999999999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38.64</v>
      </c>
      <c r="Y194" s="268">
        <f>IFERROR(SUMPRODUCT(Y192:Y192*H192:H192),"0")</f>
        <v>38.64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120</v>
      </c>
      <c r="Y205" s="267">
        <f>IFERROR(IF(X205="","",X205),"")</f>
        <v>120</v>
      </c>
      <c r="Z205" s="36">
        <f>IFERROR(IF(X205="","",X205*0.0155),"")</f>
        <v>1.8599999999999999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627.6</v>
      </c>
      <c r="BN205" s="67">
        <f>IFERROR(Y205*I205,"0")</f>
        <v>627.6</v>
      </c>
      <c r="BO205" s="67">
        <f>IFERROR(X205/J205,"0")</f>
        <v>1.4285714285714286</v>
      </c>
      <c r="BP205" s="67">
        <f>IFERROR(Y205/J205,"0")</f>
        <v>1.4285714285714286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120</v>
      </c>
      <c r="Y206" s="268">
        <f>IFERROR(SUM(Y205:Y205),"0")</f>
        <v>120</v>
      </c>
      <c r="Z206" s="268">
        <f>IFERROR(IF(Z205="",0,Z205),"0")</f>
        <v>1.8599999999999999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600</v>
      </c>
      <c r="Y207" s="268">
        <f>IFERROR(SUMPRODUCT(Y205:Y205*H205:H205),"0")</f>
        <v>600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48</v>
      </c>
      <c r="Y223" s="267">
        <f>IFERROR(IF(X223="","",X223),"")</f>
        <v>48</v>
      </c>
      <c r="Z223" s="36">
        <f>IFERROR(IF(X223="","",X223*0.0155),"")</f>
        <v>0.74399999999999999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252.57599999999996</v>
      </c>
      <c r="BN223" s="67">
        <f>IFERROR(Y223*I223,"0")</f>
        <v>252.57599999999996</v>
      </c>
      <c r="BO223" s="67">
        <f>IFERROR(X223/J223,"0")</f>
        <v>0.5714285714285714</v>
      </c>
      <c r="BP223" s="67">
        <f>IFERROR(Y223/J223,"0")</f>
        <v>0.5714285714285714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48</v>
      </c>
      <c r="Y224" s="268">
        <f>IFERROR(SUM(Y223:Y223),"0")</f>
        <v>48</v>
      </c>
      <c r="Z224" s="268">
        <f>IFERROR(IF(Z223="",0,Z223),"0")</f>
        <v>0.74399999999999999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240</v>
      </c>
      <c r="Y225" s="268">
        <f>IFERROR(SUMPRODUCT(Y223:Y223*H223:H223),"0")</f>
        <v>240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60</v>
      </c>
      <c r="Y240" s="267">
        <f>IFERROR(IF(X240="","",X240),"")</f>
        <v>60</v>
      </c>
      <c r="Z240" s="36">
        <f>IFERROR(IF(X240="","",X240*0.0155),"")</f>
        <v>0.92999999999999994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436.8</v>
      </c>
      <c r="BN240" s="67">
        <f>IFERROR(Y240*I240,"0")</f>
        <v>436.8</v>
      </c>
      <c r="BO240" s="67">
        <f>IFERROR(X240/J240,"0")</f>
        <v>0.7142857142857143</v>
      </c>
      <c r="BP240" s="67">
        <f>IFERROR(Y240/J240,"0")</f>
        <v>0.7142857142857143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60</v>
      </c>
      <c r="Y241" s="268">
        <f>IFERROR(SUM(Y239:Y240),"0")</f>
        <v>60</v>
      </c>
      <c r="Z241" s="268">
        <f>IFERROR(IF(Z239="",0,Z239),"0")+IFERROR(IF(Z240="",0,Z240),"0")</f>
        <v>0.92999999999999994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420</v>
      </c>
      <c r="Y242" s="268">
        <f>IFERROR(SUMPRODUCT(Y239:Y240*H239:H240),"0")</f>
        <v>420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36</v>
      </c>
      <c r="Y244" s="267">
        <f>IFERROR(IF(X244="","",X244),"")</f>
        <v>36</v>
      </c>
      <c r="Z244" s="36">
        <f>IFERROR(IF(X244="","",X244*0.0155),"")</f>
        <v>0.55800000000000005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225.35999999999999</v>
      </c>
      <c r="BN244" s="67">
        <f>IFERROR(Y244*I244,"0")</f>
        <v>225.35999999999999</v>
      </c>
      <c r="BO244" s="67">
        <f>IFERROR(X244/J244,"0")</f>
        <v>0.42857142857142855</v>
      </c>
      <c r="BP244" s="67">
        <f>IFERROR(Y244/J244,"0")</f>
        <v>0.42857142857142855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36</v>
      </c>
      <c r="Y245" s="268">
        <f>IFERROR(SUM(Y244:Y244),"0")</f>
        <v>36</v>
      </c>
      <c r="Z245" s="268">
        <f>IFERROR(IF(Z244="",0,Z244),"0")</f>
        <v>0.55800000000000005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216</v>
      </c>
      <c r="Y246" s="268">
        <f>IFERROR(SUMPRODUCT(Y244:Y244*H244:H244),"0")</f>
        <v>216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132</v>
      </c>
      <c r="Y249" s="267">
        <f>IFERROR(IF(X249="","",X249),"")</f>
        <v>132</v>
      </c>
      <c r="Z249" s="36">
        <f>IFERROR(IF(X249="","",X249*0.0155),"")</f>
        <v>2.0459999999999998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691.0200000000001</v>
      </c>
      <c r="BN249" s="67">
        <f>IFERROR(Y249*I249,"0")</f>
        <v>691.0200000000001</v>
      </c>
      <c r="BO249" s="67">
        <f>IFERROR(X249/J249,"0")</f>
        <v>1.5714285714285714</v>
      </c>
      <c r="BP249" s="67">
        <f>IFERROR(Y249/J249,"0")</f>
        <v>1.5714285714285714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132</v>
      </c>
      <c r="Y251" s="268">
        <f>IFERROR(SUM(Y248:Y250),"0")</f>
        <v>132</v>
      </c>
      <c r="Z251" s="268">
        <f>IFERROR(IF(Z248="",0,Z248),"0")+IFERROR(IF(Z249="",0,Z249),"0")+IFERROR(IF(Z250="",0,Z250),"0")</f>
        <v>2.0459999999999998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660</v>
      </c>
      <c r="Y252" s="268">
        <f>IFERROR(SUMPRODUCT(Y248:Y250*H248:H250),"0")</f>
        <v>660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28</v>
      </c>
      <c r="Y255" s="267">
        <f t="shared" si="18"/>
        <v>28</v>
      </c>
      <c r="Z255" s="36">
        <f>IFERROR(IF(X255="","",X255*0.00936),"")</f>
        <v>0.26207999999999998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108.976</v>
      </c>
      <c r="BN255" s="67">
        <f t="shared" si="20"/>
        <v>108.976</v>
      </c>
      <c r="BO255" s="67">
        <f t="shared" si="21"/>
        <v>0.22222222222222221</v>
      </c>
      <c r="BP255" s="67">
        <f t="shared" si="22"/>
        <v>0.22222222222222221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12</v>
      </c>
      <c r="Y256" s="267">
        <f t="shared" si="18"/>
        <v>12</v>
      </c>
      <c r="Z256" s="36">
        <f>IFERROR(IF(X256="","",X256*0.0155),"")</f>
        <v>0.186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68.820000000000007</v>
      </c>
      <c r="BN256" s="67">
        <f t="shared" si="20"/>
        <v>68.820000000000007</v>
      </c>
      <c r="BO256" s="67">
        <f t="shared" si="21"/>
        <v>0.14285714285714285</v>
      </c>
      <c r="BP256" s="67">
        <f t="shared" si="22"/>
        <v>0.14285714285714285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68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28</v>
      </c>
      <c r="Y257" s="267">
        <f t="shared" si="18"/>
        <v>28</v>
      </c>
      <c r="Z257" s="36">
        <f t="shared" ref="Z257:Z262" si="23">IFERROR(IF(X257="","",X257*0.00936),"")</f>
        <v>0.26207999999999998</v>
      </c>
      <c r="AA257" s="56"/>
      <c r="AB257" s="57"/>
      <c r="AC257" s="244" t="s">
        <v>346</v>
      </c>
      <c r="AG257" s="67"/>
      <c r="AJ257" s="71" t="s">
        <v>72</v>
      </c>
      <c r="AK257" s="71">
        <v>1</v>
      </c>
      <c r="BB257" s="245" t="s">
        <v>100</v>
      </c>
      <c r="BM257" s="67">
        <f t="shared" si="19"/>
        <v>89.376000000000005</v>
      </c>
      <c r="BN257" s="67">
        <f t="shared" si="20"/>
        <v>89.376000000000005</v>
      </c>
      <c r="BO257" s="67">
        <f t="shared" si="21"/>
        <v>0.22222222222222221</v>
      </c>
      <c r="BP257" s="67">
        <f t="shared" si="22"/>
        <v>0.22222222222222221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68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72</v>
      </c>
      <c r="AK258" s="71">
        <v>1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68</v>
      </c>
      <c r="Y264" s="268">
        <f>IFERROR(SUM(Y254:Y263),"0")</f>
        <v>68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0.7101599999999999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253.60000000000002</v>
      </c>
      <c r="Y265" s="268">
        <f>IFERROR(SUMPRODUCT(Y254:Y263*H254:H263),"0")</f>
        <v>253.60000000000002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7814.4400000000014</v>
      </c>
      <c r="Y266" s="268">
        <f>IFERROR(Y29+Y35+Y42+Y49+Y57+Y62+Y66+Y71+Y77+Y83+Y88+Y94+Y104+Y110+Y121+Y126+Y130+Y136+Y142+Y148+Y153+Y158+Y163+Y168+Y175+Y184+Y188+Y194+Y202+Y207+Y213+Y219+Y225+Y231+Y235+Y242+Y246+Y252+Y265,"0")</f>
        <v>7814.4400000000014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8503.8784000000014</v>
      </c>
      <c r="Y267" s="268">
        <f>IFERROR(SUM(BN22:BN263),"0")</f>
        <v>8503.8784000000014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20</v>
      </c>
      <c r="Y268" s="38">
        <f>ROUNDUP(SUM(BP22:BP263),0)</f>
        <v>20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9003.8784000000014</v>
      </c>
      <c r="Y269" s="268">
        <f>GrossWeightTotalR+PalletQtyTotalR*25</f>
        <v>9003.8784000000014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1742</v>
      </c>
      <c r="Y270" s="268">
        <f>IFERROR(Y28+Y34+Y41+Y48+Y56+Y61+Y65+Y70+Y76+Y82+Y87+Y93+Y103+Y109+Y120+Y125+Y129+Y135+Y141+Y147+Y152+Y157+Y162+Y167+Y174+Y183+Y187+Y193+Y201+Y206+Y212+Y218+Y224+Y230+Y234+Y241+Y245+Y251+Y264,"0")</f>
        <v>1742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25.418879999999994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145</v>
      </c>
      <c r="I274" s="279" t="s">
        <v>152</v>
      </c>
      <c r="J274" s="279" t="s">
        <v>156</v>
      </c>
      <c r="K274" s="279" t="s">
        <v>164</v>
      </c>
      <c r="L274" s="279" t="s">
        <v>179</v>
      </c>
      <c r="M274" s="279" t="s">
        <v>185</v>
      </c>
      <c r="N274" s="264"/>
      <c r="O274" s="279" t="s">
        <v>213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147</v>
      </c>
      <c r="E276" s="46">
        <f>IFERROR(X45*H45,"0")+IFERROR(X46*H46,"0")+IFERROR(X47*H47,"0")</f>
        <v>403.2</v>
      </c>
      <c r="F276" s="46">
        <f>IFERROR(X52*H52,"0")+IFERROR(X53*H53,"0")+IFERROR(X54*H54,"0")+IFERROR(X55*H55,"0")</f>
        <v>672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180</v>
      </c>
      <c r="I276" s="46">
        <f>IFERROR(X86*H86,"0")</f>
        <v>50.4</v>
      </c>
      <c r="J276" s="46">
        <f>IFERROR(X91*H91,"0")+IFERROR(X92*H92,"0")</f>
        <v>453.6</v>
      </c>
      <c r="K276" s="46">
        <f>IFERROR(X97*H97,"0")+IFERROR(X98*H98,"0")+IFERROR(X99*H99,"0")+IFERROR(X100*H100,"0")+IFERROR(X101*H101,"0")+IFERROR(X102*H102,"0")</f>
        <v>389.76</v>
      </c>
      <c r="L276" s="46">
        <f>IFERROR(X107*H107,"0")+IFERROR(X108*H108,"0")</f>
        <v>80.64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1260</v>
      </c>
      <c r="N276" s="264"/>
      <c r="O276" s="46">
        <f>IFERROR(X133*H133,"0")+IFERROR(X134*H134,"0")</f>
        <v>420</v>
      </c>
      <c r="P276" s="46">
        <f>IFERROR(X139*H139,"0")+IFERROR(X140*H140,"0")</f>
        <v>126</v>
      </c>
      <c r="Q276" s="46">
        <f>IFERROR(X145*H145,"0")+IFERROR(X146*H146,"0")</f>
        <v>33.6</v>
      </c>
      <c r="R276" s="46">
        <f>IFERROR(X151*H151,"0")</f>
        <v>42</v>
      </c>
      <c r="S276" s="46">
        <f>IFERROR(X156*H156,"0")</f>
        <v>0</v>
      </c>
      <c r="T276" s="46">
        <f>IFERROR(X161*H161,"0")</f>
        <v>0</v>
      </c>
      <c r="U276" s="46">
        <f>IFERROR(X166*H166,"0")</f>
        <v>117.6</v>
      </c>
      <c r="V276" s="46">
        <f>IFERROR(X172*H172,"0")+IFERROR(X173*H173,"0")</f>
        <v>840</v>
      </c>
      <c r="W276" s="46">
        <f>IFERROR(X179*H179,"0")+IFERROR(X180*H180,"0")+IFERROR(X181*H181,"0")+IFERROR(X182*H182,"0")+IFERROR(X186*H186,"0")</f>
        <v>84</v>
      </c>
      <c r="X276" s="46">
        <f>IFERROR(X192*H192,"0")+IFERROR(X196*H196,"0")+IFERROR(X197*H197,"0")+IFERROR(X198*H198,"0")+IFERROR(X199*H199,"0")+IFERROR(X200*H200,"0")</f>
        <v>38.64</v>
      </c>
      <c r="Y276" s="46">
        <f>IFERROR(X205*H205,"0")</f>
        <v>600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240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1549.6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4701.6000000000004</v>
      </c>
      <c r="B279" s="60">
        <f>SUMPRODUCT(--(BB:BB="ПГП"),--(W:W="кор"),H:H,Y:Y)+SUMPRODUCT(--(BB:BB="ПГП"),--(W:W="кг"),Y:Y)</f>
        <v>3112.8399999999997</v>
      </c>
      <c r="C279" s="60">
        <f>SUMPRODUCT(--(BB:BB="КИЗ"),--(W:W="кор"),H:H,Y:Y)+SUMPRODUCT(--(BB:BB="КИЗ"),--(W:W="кг"),Y:Y)</f>
        <v>0</v>
      </c>
    </row>
  </sheetData>
  <sheetProtection algorithmName="SHA-512" hashValue="OrU0yAoe0kmbfOzRmFYrjd1dcxkwKNiOI+a2yGzlyG12RAp8dk0bFsuXm68pbgh09f/+7nAfbBb2ZX50nCIHzw==" saltValue="1saXBKAcs3ZdrH8r89Gl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4 X117 X123 X128 X139 X145:X146 X156 X161 X172 X182 X186 X196:X200 X210:X211 X217 X229 X233 X239 X250 X254 X257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3 X115:X116 X118:X119 X124 X133 X140 X151 X166 X173 X179:X181 X192 X205 X223 X240 X244 X248:X249 X255:X256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6KN5EOLjnWHRqEqw/l9k+rkjQf6PWaQLZX5Aa/ygOQnRkqgw2f38eVR/w2VioDqBRigJL1SDE0Cyr19mkklY1Q==" saltValue="CBrohds+WZ82CV1xxaDa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