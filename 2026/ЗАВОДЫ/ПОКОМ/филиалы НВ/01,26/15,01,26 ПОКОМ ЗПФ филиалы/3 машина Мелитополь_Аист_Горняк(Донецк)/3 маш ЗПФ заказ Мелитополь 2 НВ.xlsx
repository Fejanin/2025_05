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02B0EE55-0FF6-4227-8419-F3FD943C6C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Y239" i="1"/>
  <c r="P239" i="1"/>
  <c r="Y235" i="1"/>
  <c r="X235" i="1"/>
  <c r="Z234" i="1"/>
  <c r="X234" i="1"/>
  <c r="BO233" i="1"/>
  <c r="BM233" i="1"/>
  <c r="Z233" i="1"/>
  <c r="Y233" i="1"/>
  <c r="P233" i="1"/>
  <c r="X231" i="1"/>
  <c r="Z230" i="1"/>
  <c r="X230" i="1"/>
  <c r="BO229" i="1"/>
  <c r="BM229" i="1"/>
  <c r="Z229" i="1"/>
  <c r="Y229" i="1"/>
  <c r="Y231" i="1" s="1"/>
  <c r="P229" i="1"/>
  <c r="Y225" i="1"/>
  <c r="X225" i="1"/>
  <c r="Z224" i="1"/>
  <c r="X224" i="1"/>
  <c r="BO223" i="1"/>
  <c r="BM223" i="1"/>
  <c r="Z223" i="1"/>
  <c r="Y223" i="1"/>
  <c r="P223" i="1"/>
  <c r="X219" i="1"/>
  <c r="Z218" i="1"/>
  <c r="X218" i="1"/>
  <c r="BO217" i="1"/>
  <c r="BM217" i="1"/>
  <c r="Z217" i="1"/>
  <c r="Y217" i="1"/>
  <c r="Y219" i="1" s="1"/>
  <c r="P217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Y202" i="1" s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3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Z141" i="1" s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0" i="1" s="1"/>
  <c r="Y113" i="1"/>
  <c r="Y120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Z48" i="1" s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Y35" i="1" s="1"/>
  <c r="P32" i="1"/>
  <c r="X29" i="1"/>
  <c r="X266" i="1" s="1"/>
  <c r="X28" i="1"/>
  <c r="X270" i="1" s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X268" i="1" s="1"/>
  <c r="BM22" i="1"/>
  <c r="X267" i="1" s="1"/>
  <c r="X269" i="1" s="1"/>
  <c r="Z22" i="1"/>
  <c r="Y22" i="1"/>
  <c r="BP22" i="1" s="1"/>
  <c r="P22" i="1"/>
  <c r="H10" i="1"/>
  <c r="A9" i="1"/>
  <c r="A10" i="1" s="1"/>
  <c r="D7" i="1"/>
  <c r="Q6" i="1"/>
  <c r="P2" i="1"/>
  <c r="F9" i="1" l="1"/>
  <c r="J9" i="1"/>
  <c r="F10" i="1"/>
  <c r="Z28" i="1"/>
  <c r="BN22" i="1"/>
  <c r="H9" i="1"/>
  <c r="Y28" i="1"/>
  <c r="Y29" i="1"/>
  <c r="BN24" i="1"/>
  <c r="BN26" i="1"/>
  <c r="BN33" i="1"/>
  <c r="Y34" i="1"/>
  <c r="BN39" i="1"/>
  <c r="BP39" i="1"/>
  <c r="Y42" i="1"/>
  <c r="BN46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Y121" i="1"/>
  <c r="Y125" i="1"/>
  <c r="BN128" i="1"/>
  <c r="BP128" i="1"/>
  <c r="Y129" i="1"/>
  <c r="BN133" i="1"/>
  <c r="BP133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Y252" i="1"/>
  <c r="BN25" i="1"/>
  <c r="BN27" i="1"/>
  <c r="BN32" i="1"/>
  <c r="BP32" i="1"/>
  <c r="Y26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34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70" i="1" l="1"/>
  <c r="Y267" i="1"/>
  <c r="Y269" i="1" s="1"/>
  <c r="Y266" i="1"/>
  <c r="B279" i="1" s="1"/>
  <c r="Z271" i="1"/>
  <c r="C279" i="1" l="1"/>
  <c r="A279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<sst xmlns="http://schemas.openxmlformats.org/spreadsheetml/2006/main" count="1207" uniqueCount="392">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</sst>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61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0</v>
      </c>
      <c r="Y39" s="26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42</v>
      </c>
      <c r="Y40" s="267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42</v>
      </c>
      <c r="Y41" s="268">
        <f>IFERROR(SUM(Y39:Y40),"0")</f>
        <v>42</v>
      </c>
      <c r="Z41" s="268">
        <f>IFERROR(IF(Z39="",0,Z39),"0")+IFERROR(IF(Z40="",0,Z40),"0")</f>
        <v>0.39522000000000002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63</v>
      </c>
      <c r="Y42" s="268">
        <f>IFERROR(SUMPRODUCT(Y39:Y40*H39:H40),"0")</f>
        <v>63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0</v>
      </c>
      <c r="Y48" s="268">
        <f>IFERROR(SUM(Y45:Y47),"0")</f>
        <v>0</v>
      </c>
      <c r="Z48" s="268">
        <f>IFERROR(IF(Z45="",0,Z45),"0")+IFERROR(IF(Z46="",0,Z46),"0")+IFERROR(IF(Z47="",0,Z47),"0")</f>
        <v>0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0</v>
      </c>
      <c r="Y49" s="268">
        <f>IFERROR(SUMPRODUCT(Y45:Y47*H45:H47),"0")</f>
        <v>0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0</v>
      </c>
      <c r="Y53" s="26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0</v>
      </c>
      <c r="Y56" s="268">
        <f>IFERROR(SUM(Y52:Y55),"0")</f>
        <v>0</v>
      </c>
      <c r="Z56" s="268">
        <f>IFERROR(IF(Z52="",0,Z52),"0")+IFERROR(IF(Z53="",0,Z53),"0")+IFERROR(IF(Z54="",0,Z54),"0")+IFERROR(IF(Z55="",0,Z55),"0")</f>
        <v>0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0</v>
      </c>
      <c r="Y57" s="268">
        <f>IFERROR(SUMPRODUCT(Y52:Y55*H52:H55),"0")</f>
        <v>0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192</v>
      </c>
      <c r="Y81" s="267">
        <f>IFERROR(IF(X81="","",X81),"")</f>
        <v>192</v>
      </c>
      <c r="Z81" s="36">
        <f>IFERROR(IF(X81="","",X81*0.00866),"")</f>
        <v>1.6627199999999998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1000.9343999999999</v>
      </c>
      <c r="BN81" s="67">
        <f>IFERROR(Y81*I81,"0")</f>
        <v>1000.9343999999999</v>
      </c>
      <c r="BO81" s="67">
        <f>IFERROR(X81/J81,"0")</f>
        <v>1.3333333333333333</v>
      </c>
      <c r="BP81" s="67">
        <f>IFERROR(Y81/J81,"0")</f>
        <v>1.3333333333333333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192</v>
      </c>
      <c r="Y82" s="268">
        <f>IFERROR(SUM(Y80:Y81),"0")</f>
        <v>192</v>
      </c>
      <c r="Z82" s="268">
        <f>IFERROR(IF(Z80="",0,Z80),"0")+IFERROR(IF(Z81="",0,Z81),"0")</f>
        <v>1.6627199999999998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960</v>
      </c>
      <c r="Y83" s="268">
        <f>IFERROR(SUMPRODUCT(Y80:Y81*H80:H81),"0")</f>
        <v>960</v>
      </c>
      <c r="Z83" s="37"/>
      <c r="AA83" s="269"/>
      <c r="AB83" s="269"/>
      <c r="AC83" s="269"/>
    </row>
    <row r="84" spans="1:68" ht="16.5" customHeight="1" x14ac:dyDescent="0.25">
      <c r="A84" s="285" t="s">
        <v>154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customHeight="1" x14ac:dyDescent="0.25">
      <c r="A89" s="285" t="s">
        <v>158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159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0</v>
      </c>
      <c r="Y91" s="267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0</v>
      </c>
      <c r="Y92" s="267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0</v>
      </c>
      <c r="Y93" s="268">
        <f>IFERROR(SUM(Y91:Y92),"0")</f>
        <v>0</v>
      </c>
      <c r="Z93" s="268">
        <f>IFERROR(IF(Z91="",0,Z91),"0")+IFERROR(IF(Z92="",0,Z92),"0")</f>
        <v>0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0</v>
      </c>
      <c r="Y94" s="268">
        <f>IFERROR(SUMPRODUCT(Y91:Y92*H91:H92),"0")</f>
        <v>0</v>
      </c>
      <c r="Z94" s="37"/>
      <c r="AA94" s="269"/>
      <c r="AB94" s="269"/>
      <c r="AC94" s="269"/>
    </row>
    <row r="95" spans="1:68" ht="16.5" customHeight="1" x14ac:dyDescent="0.25">
      <c r="A95" s="285" t="s">
        <v>166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0</v>
      </c>
      <c r="Y97" s="26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0</v>
      </c>
      <c r="Y98" s="267">
        <f t="shared" si="6"/>
        <v>0</v>
      </c>
      <c r="Z98" s="36">
        <f t="shared" si="7"/>
        <v>0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42</v>
      </c>
      <c r="Y101" s="267">
        <f t="shared" si="6"/>
        <v>42</v>
      </c>
      <c r="Z101" s="36">
        <f t="shared" si="7"/>
        <v>0.75095999999999996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42</v>
      </c>
      <c r="Y103" s="268">
        <f>IFERROR(SUM(Y97:Y102),"0")</f>
        <v>42</v>
      </c>
      <c r="Z103" s="268">
        <f>IFERROR(IF(Z97="",0,Z97),"0")+IFERROR(IF(Z98="",0,Z98),"0")+IFERROR(IF(Z99="",0,Z99),"0")+IFERROR(IF(Z100="",0,Z100),"0")+IFERROR(IF(Z101="",0,Z101),"0")+IFERROR(IF(Z102="",0,Z102),"0")</f>
        <v>0.75095999999999996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161.28</v>
      </c>
      <c r="Y104" s="268">
        <f>IFERROR(SUMPRODUCT(Y97:Y102*H97:H102),"0")</f>
        <v>161.28</v>
      </c>
      <c r="Z104" s="37"/>
      <c r="AA104" s="269"/>
      <c r="AB104" s="269"/>
      <c r="AC104" s="269"/>
    </row>
    <row r="105" spans="1:68" ht="16.5" customHeight="1" x14ac:dyDescent="0.25">
      <c r="A105" s="285" t="s">
        <v>181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customHeight="1" x14ac:dyDescent="0.25">
      <c r="A111" s="285" t="s">
        <v>187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0</v>
      </c>
      <c r="Y116" s="267">
        <f t="shared" si="12"/>
        <v>0</v>
      </c>
      <c r="Z116" s="36">
        <f t="shared" si="13"/>
        <v>0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72</v>
      </c>
      <c r="Y119" s="267">
        <f t="shared" si="12"/>
        <v>72</v>
      </c>
      <c r="Z119" s="36">
        <f t="shared" si="13"/>
        <v>1.1160000000000001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72</v>
      </c>
      <c r="Y120" s="268">
        <f>IFERROR(SUM(Y113:Y119),"0")</f>
        <v>72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1.1160000000000001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504</v>
      </c>
      <c r="Y121" s="268">
        <f>IFERROR(SUMPRODUCT(Y113:Y119*H113:H119),"0")</f>
        <v>504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205</v>
      </c>
      <c r="B123" s="54" t="s">
        <v>206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211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215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0</v>
      </c>
      <c r="Y133" s="267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0</v>
      </c>
      <c r="Y134" s="267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0</v>
      </c>
      <c r="Y135" s="268">
        <f>IFERROR(SUM(Y133:Y134),"0")</f>
        <v>0</v>
      </c>
      <c r="Z135" s="268">
        <f>IFERROR(IF(Z133="",0,Z133),"0")+IFERROR(IF(Z134="",0,Z134),"0")</f>
        <v>0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0</v>
      </c>
      <c r="Y136" s="268">
        <f>IFERROR(SUMPRODUCT(Y133:Y134*H133:H134),"0")</f>
        <v>0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0</v>
      </c>
      <c r="Y140" s="267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0</v>
      </c>
      <c r="Y141" s="268">
        <f>IFERROR(SUM(Y139:Y140),"0")</f>
        <v>0</v>
      </c>
      <c r="Z141" s="268">
        <f>IFERROR(IF(Z139="",0,Z139),"0")+IFERROR(IF(Z140="",0,Z140),"0")</f>
        <v>0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0</v>
      </c>
      <c r="Y142" s="268">
        <f>IFERROR(SUMPRODUCT(Y139:Y140*H139:H140),"0")</f>
        <v>0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211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0</v>
      </c>
      <c r="Y166" s="267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0</v>
      </c>
      <c r="Y167" s="268">
        <f>IFERROR(SUM(Y166:Y166),"0")</f>
        <v>0</v>
      </c>
      <c r="Z167" s="268">
        <f>IFERROR(IF(Z166="",0,Z166),"0")</f>
        <v>0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0</v>
      </c>
      <c r="Y168" s="268">
        <f>IFERROR(SUMPRODUCT(Y166:Y166*H166:H166),"0")</f>
        <v>0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168</v>
      </c>
      <c r="Y173" s="267">
        <f>IFERROR(IF(X173="","",X173),"")</f>
        <v>168</v>
      </c>
      <c r="Z173" s="36">
        <f>IFERROR(IF(X173="","",X173*0.00866),"")</f>
        <v>1.45488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875.81759999999997</v>
      </c>
      <c r="BN173" s="67">
        <f>IFERROR(Y173*I173,"0")</f>
        <v>875.81759999999997</v>
      </c>
      <c r="BO173" s="67">
        <f>IFERROR(X173/J173,"0")</f>
        <v>1.1666666666666667</v>
      </c>
      <c r="BP173" s="67">
        <f>IFERROR(Y173/J173,"0")</f>
        <v>1.1666666666666667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168</v>
      </c>
      <c r="Y174" s="268">
        <f>IFERROR(SUM(Y172:Y173),"0")</f>
        <v>168</v>
      </c>
      <c r="Z174" s="268">
        <f>IFERROR(IF(Z172="",0,Z172),"0")+IFERROR(IF(Z173="",0,Z173),"0")</f>
        <v>1.45488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840</v>
      </c>
      <c r="Y175" s="268">
        <f>IFERROR(SUMPRODUCT(Y172:Y173*H172:H173),"0")</f>
        <v>840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0</v>
      </c>
      <c r="Y183" s="268">
        <f>IFERROR(SUM(Y179:Y182),"0")</f>
        <v>0</v>
      </c>
      <c r="Z183" s="268">
        <f>IFERROR(IF(Z179="",0,Z179),"0")+IFERROR(IF(Z180="",0,Z180),"0")+IFERROR(IF(Z181="",0,Z181),"0")+IFERROR(IF(Z182="",0,Z182),"0")</f>
        <v>0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0</v>
      </c>
      <c r="Y184" s="268">
        <f>IFERROR(SUMPRODUCT(Y179:Y182*H179:H182),"0")</f>
        <v>0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216</v>
      </c>
      <c r="Y223" s="267">
        <f>IFERROR(IF(X223="","",X223),"")</f>
        <v>216</v>
      </c>
      <c r="Z223" s="36">
        <f>IFERROR(IF(X223="","",X223*0.0155),"")</f>
        <v>3.3479999999999999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1136.5919999999999</v>
      </c>
      <c r="BN223" s="67">
        <f>IFERROR(Y223*I223,"0")</f>
        <v>1136.5919999999999</v>
      </c>
      <c r="BO223" s="67">
        <f>IFERROR(X223/J223,"0")</f>
        <v>2.5714285714285716</v>
      </c>
      <c r="BP223" s="67">
        <f>IFERROR(Y223/J223,"0")</f>
        <v>2.5714285714285716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216</v>
      </c>
      <c r="Y224" s="268">
        <f>IFERROR(SUM(Y223:Y223),"0")</f>
        <v>216</v>
      </c>
      <c r="Z224" s="268">
        <f>IFERROR(IF(Z223="",0,Z223),"0")</f>
        <v>3.3479999999999999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1080</v>
      </c>
      <c r="Y225" s="268">
        <f>IFERROR(SUMPRODUCT(Y223:Y223*H223:H223),"0")</f>
        <v>1080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0</v>
      </c>
      <c r="Y240" s="267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0</v>
      </c>
      <c r="Y241" s="268">
        <f>IFERROR(SUM(Y239:Y240),"0")</f>
        <v>0</v>
      </c>
      <c r="Z241" s="268">
        <f>IFERROR(IF(Z239="",0,Z239),"0")+IFERROR(IF(Z240="",0,Z240),"0")</f>
        <v>0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0</v>
      </c>
      <c r="Y242" s="268">
        <f>IFERROR(SUMPRODUCT(Y239:Y240*H239:H240),"0")</f>
        <v>0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0</v>
      </c>
      <c r="Y245" s="268">
        <f>IFERROR(SUM(Y244:Y244),"0")</f>
        <v>0</v>
      </c>
      <c r="Z245" s="268">
        <f>IFERROR(IF(Z244="",0,Z244),"0")</f>
        <v>0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0</v>
      </c>
      <c r="Y246" s="268">
        <f>IFERROR(SUMPRODUCT(Y244:Y244*H244:H244),"0")</f>
        <v>0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156</v>
      </c>
      <c r="Y249" s="267">
        <f>IFERROR(IF(X249="","",X249),"")</f>
        <v>156</v>
      </c>
      <c r="Z249" s="36">
        <f>IFERROR(IF(X249="","",X249*0.0155),"")</f>
        <v>2.4180000000000001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816.66000000000008</v>
      </c>
      <c r="BN249" s="67">
        <f>IFERROR(Y249*I249,"0")</f>
        <v>816.66000000000008</v>
      </c>
      <c r="BO249" s="67">
        <f>IFERROR(X249/J249,"0")</f>
        <v>1.8571428571428572</v>
      </c>
      <c r="BP249" s="67">
        <f>IFERROR(Y249/J249,"0")</f>
        <v>1.8571428571428572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156</v>
      </c>
      <c r="Y251" s="268">
        <f>IFERROR(SUM(Y248:Y250),"0")</f>
        <v>156</v>
      </c>
      <c r="Z251" s="268">
        <f>IFERROR(IF(Z248="",0,Z248),"0")+IFERROR(IF(Z249="",0,Z249),"0")+IFERROR(IF(Z250="",0,Z250),"0")</f>
        <v>2.4180000000000001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780</v>
      </c>
      <c r="Y252" s="268">
        <f>IFERROR(SUMPRODUCT(Y248:Y250*H248:H250),"0")</f>
        <v>780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112</v>
      </c>
      <c r="Y255" s="267">
        <f t="shared" si="18"/>
        <v>112</v>
      </c>
      <c r="Z255" s="36">
        <f>IFERROR(IF(X255="","",X255*0.00936),"")</f>
        <v>1.0483199999999999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435.904</v>
      </c>
      <c r="BN255" s="67">
        <f t="shared" si="20"/>
        <v>435.904</v>
      </c>
      <c r="BO255" s="67">
        <f t="shared" si="21"/>
        <v>0.88888888888888884</v>
      </c>
      <c r="BP255" s="67">
        <f t="shared" si="22"/>
        <v>0.88888888888888884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0</v>
      </c>
      <c r="Y257" s="267">
        <f t="shared" si="18"/>
        <v>0</v>
      </c>
      <c r="Z257" s="36">
        <f t="shared" ref="Z257:Z262" si="23">IFERROR(IF(X257="","",X257*0.00936),"")</f>
        <v>0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112</v>
      </c>
      <c r="Y264" s="268">
        <f>IFERROR(SUM(Y254:Y263),"0")</f>
        <v>112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1.0483199999999999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414.40000000000003</v>
      </c>
      <c r="Y265" s="268">
        <f>IFERROR(SUMPRODUCT(Y254:Y263*H254:H263),"0")</f>
        <v>414.40000000000003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4802.6799999999994</v>
      </c>
      <c r="Y266" s="268">
        <f>IFERROR(Y29+Y35+Y42+Y49+Y57+Y62+Y66+Y71+Y77+Y83+Y88+Y94+Y104+Y110+Y121+Y126+Y130+Y136+Y142+Y148+Y153+Y158+Y163+Y168+Y175+Y184+Y188+Y194+Y202+Y207+Y213+Y219+Y225+Y231+Y235+Y242+Y246+Y252+Y265,"0")</f>
        <v>4802.6799999999994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5059.0731999999989</v>
      </c>
      <c r="Y267" s="268">
        <f>IFERROR(SUM(BN22:BN263),"0")</f>
        <v>5059.0731999999989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10</v>
      </c>
      <c r="Y268" s="38">
        <f>ROUNDUP(SUM(BP22:BP263),0)</f>
        <v>10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5309.0731999999989</v>
      </c>
      <c r="Y269" s="268">
        <f>GrossWeightTotalR+PalletQtyTotalR*25</f>
        <v>5309.0731999999989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1000</v>
      </c>
      <c r="Y270" s="268">
        <f>IFERROR(Y28+Y34+Y41+Y48+Y56+Y61+Y65+Y70+Y76+Y82+Y87+Y93+Y103+Y109+Y120+Y125+Y129+Y135+Y141+Y147+Y152+Y157+Y162+Y167+Y174+Y183+Y187+Y193+Y201+Y206+Y212+Y218+Y224+Y230+Y234+Y241+Y245+Y251+Y264,"0")</f>
        <v>1000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12.194099999999999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147</v>
      </c>
      <c r="I274" s="279" t="s">
        <v>154</v>
      </c>
      <c r="J274" s="279" t="s">
        <v>158</v>
      </c>
      <c r="K274" s="279" t="s">
        <v>166</v>
      </c>
      <c r="L274" s="279" t="s">
        <v>181</v>
      </c>
      <c r="M274" s="279" t="s">
        <v>187</v>
      </c>
      <c r="N274" s="264"/>
      <c r="O274" s="279" t="s">
        <v>215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63</v>
      </c>
      <c r="E276" s="46">
        <f>IFERROR(X45*H45,"0")+IFERROR(X46*H46,"0")+IFERROR(X47*H47,"0")</f>
        <v>0</v>
      </c>
      <c r="F276" s="46">
        <f>IFERROR(X52*H52,"0")+IFERROR(X53*H53,"0")+IFERROR(X54*H54,"0")+IFERROR(X55*H55,"0")</f>
        <v>0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960</v>
      </c>
      <c r="I276" s="46">
        <f>IFERROR(X86*H86,"0")</f>
        <v>0</v>
      </c>
      <c r="J276" s="46">
        <f>IFERROR(X91*H91,"0")+IFERROR(X92*H92,"0")</f>
        <v>0</v>
      </c>
      <c r="K276" s="46">
        <f>IFERROR(X97*H97,"0")+IFERROR(X98*H98,"0")+IFERROR(X99*H99,"0")+IFERROR(X100*H100,"0")+IFERROR(X101*H101,"0")+IFERROR(X102*H102,"0")</f>
        <v>161.28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504</v>
      </c>
      <c r="N276" s="264"/>
      <c r="O276" s="46">
        <f>IFERROR(X133*H133,"0")+IFERROR(X134*H134,"0")</f>
        <v>0</v>
      </c>
      <c r="P276" s="46">
        <f>IFERROR(X139*H139,"0")+IFERROR(X140*H140,"0")</f>
        <v>0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0</v>
      </c>
      <c r="V276" s="46">
        <f>IFERROR(X172*H172,"0")+IFERROR(X173*H173,"0")</f>
        <v>840</v>
      </c>
      <c r="W276" s="46">
        <f>IFERROR(X179*H179,"0")+IFERROR(X180*H180,"0")+IFERROR(X181*H181,"0")+IFERROR(X182*H182,"0")+IFERROR(X186*H186,"0")</f>
        <v>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1080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1194.4000000000001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3384</v>
      </c>
      <c r="B279" s="60">
        <f>SUMPRODUCT(--(BB:BB="ПГП"),--(W:W="кор"),H:H,Y:Y)+SUMPRODUCT(--(BB:BB="ПГП"),--(W:W="кг"),Y:Y)</f>
        <v>1418.68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