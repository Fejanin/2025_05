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C8CC8203-4CB9-4A82-ABDB-E31E64C6FEF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Y265" i="1"/>
  <c r="X265" i="1"/>
  <c r="Z264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Y254" i="1"/>
  <c r="Y26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BP248" i="1"/>
  <c r="BO248" i="1"/>
  <c r="BN248" i="1"/>
  <c r="BM248" i="1"/>
  <c r="Z248" i="1"/>
  <c r="Z251" i="1" s="1"/>
  <c r="Y248" i="1"/>
  <c r="Y252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Z239" i="1"/>
  <c r="Z241" i="1" s="1"/>
  <c r="Y239" i="1"/>
  <c r="P239" i="1"/>
  <c r="X235" i="1"/>
  <c r="Z234" i="1"/>
  <c r="X234" i="1"/>
  <c r="BO233" i="1"/>
  <c r="BM233" i="1"/>
  <c r="Z233" i="1"/>
  <c r="Y233" i="1"/>
  <c r="P233" i="1"/>
  <c r="Y231" i="1"/>
  <c r="X231" i="1"/>
  <c r="Z230" i="1"/>
  <c r="X230" i="1"/>
  <c r="BO229" i="1"/>
  <c r="BM229" i="1"/>
  <c r="Z229" i="1"/>
  <c r="Y229" i="1"/>
  <c r="P229" i="1"/>
  <c r="X225" i="1"/>
  <c r="Z224" i="1"/>
  <c r="X224" i="1"/>
  <c r="BO223" i="1"/>
  <c r="BM223" i="1"/>
  <c r="Z223" i="1"/>
  <c r="Y223" i="1"/>
  <c r="P223" i="1"/>
  <c r="Y219" i="1"/>
  <c r="X219" i="1"/>
  <c r="Z218" i="1"/>
  <c r="X218" i="1"/>
  <c r="BO217" i="1"/>
  <c r="BM217" i="1"/>
  <c r="Z217" i="1"/>
  <c r="Y217" i="1"/>
  <c r="P217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Z125" i="1" s="1"/>
  <c r="Y123" i="1"/>
  <c r="Y126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0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0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0" i="1" s="1"/>
  <c r="Y42" i="1"/>
  <c r="Y49" i="1"/>
  <c r="Y56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H9" i="1"/>
  <c r="X267" i="1"/>
  <c r="X268" i="1"/>
  <c r="BN23" i="1"/>
  <c r="Y267" i="1" s="1"/>
  <c r="BN25" i="1"/>
  <c r="BN27" i="1"/>
  <c r="X266" i="1"/>
  <c r="BN32" i="1"/>
  <c r="BP32" i="1"/>
  <c r="Y268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Z271" i="1" s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2" i="1"/>
  <c r="Y213" i="1"/>
  <c r="Y218" i="1"/>
  <c r="BP217" i="1"/>
  <c r="BN217" i="1"/>
  <c r="Y225" i="1"/>
  <c r="Y230" i="1"/>
  <c r="BP229" i="1"/>
  <c r="BN229" i="1"/>
  <c r="Y235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C279" i="1" l="1"/>
  <c r="Y269" i="1"/>
  <c r="A279" i="1"/>
  <c r="X269" i="1"/>
  <c r="B279" i="1"/>
  <c r="Y266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<sst xmlns="http://schemas.openxmlformats.org/spreadsheetml/2006/main" count="1207" uniqueCount="392">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</sst>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8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293"/>
      <c r="F1" s="293"/>
      <c r="G1" s="12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0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400"/>
      <c r="W7" s="401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400"/>
      <c r="W8" s="401"/>
      <c r="AB8" s="51"/>
      <c r="AC8" s="51"/>
      <c r="AD8" s="51"/>
      <c r="AE8" s="51"/>
    </row>
    <row r="9" spans="1:32" s="260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58"/>
      <c r="P9" s="26" t="s">
        <v>21</v>
      </c>
      <c r="Q9" s="337"/>
      <c r="R9" s="338"/>
      <c r="T9" s="286"/>
      <c r="U9" s="366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259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3"/>
      <c r="W12" s="286"/>
      <c r="AB12" s="51"/>
      <c r="AC12" s="51"/>
      <c r="AD12" s="51"/>
      <c r="AE12" s="51"/>
    </row>
    <row r="13" spans="1:32" s="260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12</v>
      </c>
      <c r="Y24" s="267">
        <f t="shared" si="0"/>
        <v>12</v>
      </c>
      <c r="Z24" s="36">
        <f t="shared" si="1"/>
        <v>0.186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12</v>
      </c>
      <c r="Y28" s="268">
        <f>IFERROR(SUM(Y22:Y27),"0")</f>
        <v>12</v>
      </c>
      <c r="Z28" s="268">
        <f>IFERROR(IF(Z22="",0,Z22),"0")+IFERROR(IF(Z23="",0,Z23),"0")+IFERROR(IF(Z24="",0,Z24),"0")+IFERROR(IF(Z25="",0,Z25),"0")+IFERROR(IF(Z26="",0,Z26),"0")+IFERROR(IF(Z27="",0,Z27),"0")</f>
        <v>0.186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86.4</v>
      </c>
      <c r="Y29" s="268">
        <f>IFERROR(SUMPRODUCT(Y22:Y27*H22:H27),"0")</f>
        <v>86.4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14</v>
      </c>
      <c r="Y39" s="267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56</v>
      </c>
      <c r="Y40" s="267">
        <f>IFERROR(IF(X40="","",X40),"")</f>
        <v>56</v>
      </c>
      <c r="Z40" s="36">
        <f>IFERROR(IF(X40="","",X40*0.00941),"")</f>
        <v>0.52695999999999998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107.6208</v>
      </c>
      <c r="BN40" s="67">
        <f>IFERROR(Y40*I40,"0")</f>
        <v>107.6208</v>
      </c>
      <c r="BO40" s="67">
        <f>IFERROR(X40/J40,"0")</f>
        <v>0.4</v>
      </c>
      <c r="BP40" s="67">
        <f>IFERROR(Y40/J40,"0")</f>
        <v>0.4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70</v>
      </c>
      <c r="Y41" s="268">
        <f>IFERROR(SUM(Y39:Y40),"0")</f>
        <v>70</v>
      </c>
      <c r="Z41" s="268">
        <f>IFERROR(IF(Z39="",0,Z39),"0")+IFERROR(IF(Z40="",0,Z40),"0")</f>
        <v>0.65869999999999995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105</v>
      </c>
      <c r="Y42" s="268">
        <f>IFERROR(SUMPRODUCT(Y39:Y40*H39:H40),"0")</f>
        <v>105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24</v>
      </c>
      <c r="Y45" s="26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12</v>
      </c>
      <c r="Y47" s="26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36</v>
      </c>
      <c r="Y48" s="268">
        <f>IFERROR(SUM(Y45:Y47),"0")</f>
        <v>36</v>
      </c>
      <c r="Z48" s="268">
        <f>IFERROR(IF(Z45="",0,Z45),"0")+IFERROR(IF(Z46="",0,Z46),"0")+IFERROR(IF(Z47="",0,Z47),"0")</f>
        <v>0.55800000000000005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201.59999999999997</v>
      </c>
      <c r="Y49" s="268">
        <f>IFERROR(SUMPRODUCT(Y45:Y47*H45:H47),"0")</f>
        <v>201.59999999999997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0</v>
      </c>
      <c r="Y52" s="26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12</v>
      </c>
      <c r="Y53" s="26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68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24</v>
      </c>
      <c r="Y55" s="267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36</v>
      </c>
      <c r="Y56" s="268">
        <f>IFERROR(SUM(Y52:Y55),"0")</f>
        <v>36</v>
      </c>
      <c r="Z56" s="268">
        <f>IFERROR(IF(Z52="",0,Z52),"0")+IFERROR(IF(Z53="",0,Z53),"0")+IFERROR(IF(Z54="",0,Z54),"0")+IFERROR(IF(Z55="",0,Z55),"0")</f>
        <v>0.55800000000000005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252</v>
      </c>
      <c r="Y57" s="268">
        <f>IFERROR(SUMPRODUCT(Y52:Y55*H52:H55),"0")</f>
        <v>252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2"/>
      <c r="AB59" s="262"/>
      <c r="AC59" s="26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2"/>
      <c r="AB67" s="262"/>
      <c r="AC67" s="26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2"/>
      <c r="AB72" s="262"/>
      <c r="AC72" s="26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customHeight="1" x14ac:dyDescent="0.25">
      <c r="A78" s="285" t="s">
        <v>145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2"/>
      <c r="AB79" s="262"/>
      <c r="AC79" s="26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148</v>
      </c>
      <c r="L80" s="32" t="s">
        <v>68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72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192</v>
      </c>
      <c r="Y81" s="267">
        <f>IFERROR(IF(X81="","",X81),"")</f>
        <v>192</v>
      </c>
      <c r="Z81" s="36">
        <f>IFERROR(IF(X81="","",X81*0.00866),"")</f>
        <v>1.6627199999999998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1000.9343999999999</v>
      </c>
      <c r="BN81" s="67">
        <f>IFERROR(Y81*I81,"0")</f>
        <v>1000.9343999999999</v>
      </c>
      <c r="BO81" s="67">
        <f>IFERROR(X81/J81,"0")</f>
        <v>1.3333333333333333</v>
      </c>
      <c r="BP81" s="67">
        <f>IFERROR(Y81/J81,"0")</f>
        <v>1.3333333333333333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192</v>
      </c>
      <c r="Y82" s="268">
        <f>IFERROR(SUM(Y80:Y81),"0")</f>
        <v>192</v>
      </c>
      <c r="Z82" s="268">
        <f>IFERROR(IF(Z80="",0,Z80),"0")+IFERROR(IF(Z81="",0,Z81),"0")</f>
        <v>1.6627199999999998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960</v>
      </c>
      <c r="Y83" s="268">
        <f>IFERROR(SUMPRODUCT(Y80:Y81*H80:H81),"0")</f>
        <v>960</v>
      </c>
      <c r="Z83" s="37"/>
      <c r="AA83" s="269"/>
      <c r="AB83" s="269"/>
      <c r="AC83" s="269"/>
    </row>
    <row r="84" spans="1:68" ht="16.5" customHeight="1" x14ac:dyDescent="0.25">
      <c r="A84" s="285" t="s">
        <v>152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2"/>
      <c r="AB85" s="262"/>
      <c r="AC85" s="26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28</v>
      </c>
      <c r="Y86" s="26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28</v>
      </c>
      <c r="Y87" s="268">
        <f>IFERROR(SUM(Y86:Y86),"0")</f>
        <v>28</v>
      </c>
      <c r="Z87" s="268">
        <f>IFERROR(IF(Z86="",0,Z86),"0")</f>
        <v>0.50063999999999997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100.8</v>
      </c>
      <c r="Y88" s="268">
        <f>IFERROR(SUMPRODUCT(Y86:Y86*H86:H86),"0")</f>
        <v>100.8</v>
      </c>
      <c r="Z88" s="37"/>
      <c r="AA88" s="269"/>
      <c r="AB88" s="269"/>
      <c r="AC88" s="269"/>
    </row>
    <row r="89" spans="1:68" ht="16.5" customHeight="1" x14ac:dyDescent="0.25">
      <c r="A89" s="285" t="s">
        <v>156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157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2"/>
      <c r="AB90" s="262"/>
      <c r="AC90" s="26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14</v>
      </c>
      <c r="Y91" s="267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42</v>
      </c>
      <c r="Y92" s="26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56</v>
      </c>
      <c r="Y93" s="268">
        <f>IFERROR(SUM(Y91:Y92),"0")</f>
        <v>56</v>
      </c>
      <c r="Z93" s="268">
        <f>IFERROR(IF(Z91="",0,Z91),"0")+IFERROR(IF(Z92="",0,Z92),"0")</f>
        <v>1.0012799999999999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201.60000000000002</v>
      </c>
      <c r="Y94" s="268">
        <f>IFERROR(SUMPRODUCT(Y91:Y92*H91:H92),"0")</f>
        <v>201.60000000000002</v>
      </c>
      <c r="Z94" s="37"/>
      <c r="AA94" s="269"/>
      <c r="AB94" s="269"/>
      <c r="AC94" s="269"/>
    </row>
    <row r="95" spans="1:68" ht="16.5" customHeight="1" x14ac:dyDescent="0.25">
      <c r="A95" s="285" t="s">
        <v>164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2"/>
      <c r="AB96" s="262"/>
      <c r="AC96" s="26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70</v>
      </c>
      <c r="Y97" s="267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70</v>
      </c>
      <c r="Y98" s="267">
        <f t="shared" si="6"/>
        <v>70</v>
      </c>
      <c r="Z98" s="36">
        <f t="shared" si="7"/>
        <v>1.2516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70</v>
      </c>
      <c r="Y99" s="267">
        <f t="shared" si="6"/>
        <v>70</v>
      </c>
      <c r="Z99" s="36">
        <f t="shared" si="7"/>
        <v>1.2516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210</v>
      </c>
      <c r="Y103" s="268">
        <f>IFERROR(SUM(Y97:Y102),"0")</f>
        <v>210</v>
      </c>
      <c r="Z103" s="268">
        <f>IFERROR(IF(Z97="",0,Z97),"0")+IFERROR(IF(Z98="",0,Z98),"0")+IFERROR(IF(Z99="",0,Z99),"0")+IFERROR(IF(Z100="",0,Z100),"0")+IFERROR(IF(Z101="",0,Z101),"0")+IFERROR(IF(Z102="",0,Z102),"0")</f>
        <v>3.7548000000000004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604.79999999999995</v>
      </c>
      <c r="Y104" s="268">
        <f>IFERROR(SUMPRODUCT(Y97:Y102*H97:H102),"0")</f>
        <v>604.79999999999995</v>
      </c>
      <c r="Z104" s="37"/>
      <c r="AA104" s="269"/>
      <c r="AB104" s="269"/>
      <c r="AC104" s="269"/>
    </row>
    <row r="105" spans="1:68" ht="16.5" customHeight="1" x14ac:dyDescent="0.25">
      <c r="A105" s="285" t="s">
        <v>179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2"/>
      <c r="AB106" s="262"/>
      <c r="AC106" s="26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70</v>
      </c>
      <c r="Y107" s="267">
        <f>IFERROR(IF(X107="","",X107),"")</f>
        <v>70</v>
      </c>
      <c r="Z107" s="36">
        <f>IFERROR(IF(X107="","",X107*0.00936),"")</f>
        <v>0.6552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174.38400000000001</v>
      </c>
      <c r="BN107" s="67">
        <f>IFERROR(Y107*I107,"0")</f>
        <v>174.38400000000001</v>
      </c>
      <c r="BO107" s="67">
        <f>IFERROR(X107/J107,"0")</f>
        <v>0.55555555555555558</v>
      </c>
      <c r="BP107" s="67">
        <f>IFERROR(Y107/J107,"0")</f>
        <v>0.55555555555555558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70</v>
      </c>
      <c r="Y109" s="268">
        <f>IFERROR(SUM(Y107:Y108),"0")</f>
        <v>70</v>
      </c>
      <c r="Z109" s="268">
        <f>IFERROR(IF(Z107="",0,Z107),"0")+IFERROR(IF(Z108="",0,Z108),"0")</f>
        <v>0.6552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151.20000000000002</v>
      </c>
      <c r="Y110" s="268">
        <f>IFERROR(SUMPRODUCT(Y107:Y108*H107:H108),"0")</f>
        <v>151.20000000000002</v>
      </c>
      <c r="Z110" s="37"/>
      <c r="AA110" s="269"/>
      <c r="AB110" s="269"/>
      <c r="AC110" s="269"/>
    </row>
    <row r="111" spans="1:68" ht="16.5" customHeight="1" x14ac:dyDescent="0.25">
      <c r="A111" s="285" t="s">
        <v>185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2"/>
      <c r="AB112" s="262"/>
      <c r="AC112" s="26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0</v>
      </c>
      <c r="Y116" s="267">
        <f t="shared" si="12"/>
        <v>0</v>
      </c>
      <c r="Z116" s="36">
        <f t="shared" si="13"/>
        <v>0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12</v>
      </c>
      <c r="Y118" s="267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48</v>
      </c>
      <c r="Y119" s="267">
        <f t="shared" si="12"/>
        <v>48</v>
      </c>
      <c r="Z119" s="36">
        <f t="shared" si="13"/>
        <v>0.74399999999999999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350.4</v>
      </c>
      <c r="BN119" s="67">
        <f t="shared" si="15"/>
        <v>350.4</v>
      </c>
      <c r="BO119" s="67">
        <f t="shared" si="16"/>
        <v>0.5714285714285714</v>
      </c>
      <c r="BP119" s="67">
        <f t="shared" si="17"/>
        <v>0.5714285714285714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60</v>
      </c>
      <c r="Y120" s="268">
        <f>IFERROR(SUM(Y113:Y119),"0")</f>
        <v>60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0.92999999999999994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412.8</v>
      </c>
      <c r="Y121" s="268">
        <f>IFERROR(SUMPRODUCT(Y113:Y119*H113:H119),"0")</f>
        <v>412.8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2"/>
      <c r="AB122" s="262"/>
      <c r="AC122" s="262"/>
    </row>
    <row r="123" spans="1:68" ht="27" customHeight="1" x14ac:dyDescent="0.25">
      <c r="A123" s="54" t="s">
        <v>203</v>
      </c>
      <c r="B123" s="54" t="s">
        <v>204</v>
      </c>
      <c r="C123" s="31">
        <v>4301135670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42</v>
      </c>
      <c r="Y124" s="267">
        <f>IFERROR(IF(X124="","",X124),"")</f>
        <v>42</v>
      </c>
      <c r="Z124" s="36">
        <f>IFERROR(IF(X124="","",X124*0.01788),"")</f>
        <v>0.75095999999999996</v>
      </c>
      <c r="AA124" s="56"/>
      <c r="AB124" s="57"/>
      <c r="AC124" s="162" t="s">
        <v>208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140.43119999999999</v>
      </c>
      <c r="BN124" s="67">
        <f>IFERROR(Y124*I124,"0")</f>
        <v>140.43119999999999</v>
      </c>
      <c r="BO124" s="67">
        <f>IFERROR(X124/J124,"0")</f>
        <v>0.6</v>
      </c>
      <c r="BP124" s="67">
        <f>IFERROR(Y124/J124,"0")</f>
        <v>0.6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42</v>
      </c>
      <c r="Y125" s="268">
        <f>IFERROR(SUM(Y123:Y124),"0")</f>
        <v>42</v>
      </c>
      <c r="Z125" s="268">
        <f>IFERROR(IF(Z123="",0,Z123),"0")+IFERROR(IF(Z124="",0,Z124),"0")</f>
        <v>0.75095999999999996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110.88000000000001</v>
      </c>
      <c r="Y126" s="268">
        <f>IFERROR(SUMPRODUCT(Y123:Y124*H123:H124),"0")</f>
        <v>110.88000000000001</v>
      </c>
      <c r="Z126" s="37"/>
      <c r="AA126" s="269"/>
      <c r="AB126" s="269"/>
      <c r="AC126" s="269"/>
    </row>
    <row r="127" spans="1:68" ht="14.25" customHeight="1" x14ac:dyDescent="0.25">
      <c r="A127" s="301" t="s">
        <v>209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2"/>
      <c r="AB127" s="262"/>
      <c r="AC127" s="262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213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2"/>
      <c r="AB132" s="262"/>
      <c r="AC132" s="262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154</v>
      </c>
      <c r="Y133" s="267">
        <f>IFERROR(IF(X133="","",X133),"")</f>
        <v>154</v>
      </c>
      <c r="Z133" s="36">
        <f>IFERROR(IF(X133="","",X133*0.01788),"")</f>
        <v>2.75352</v>
      </c>
      <c r="AA133" s="56"/>
      <c r="AB133" s="57"/>
      <c r="AC133" s="166" t="s">
        <v>216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570.35439999999994</v>
      </c>
      <c r="BN133" s="67">
        <f>IFERROR(Y133*I133,"0")</f>
        <v>570.35439999999994</v>
      </c>
      <c r="BO133" s="67">
        <f>IFERROR(X133/J133,"0")</f>
        <v>2.2000000000000002</v>
      </c>
      <c r="BP133" s="67">
        <f>IFERROR(Y133/J133,"0")</f>
        <v>2.2000000000000002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219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140</v>
      </c>
      <c r="Y134" s="267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155</v>
      </c>
      <c r="AG134" s="67"/>
      <c r="AJ134" s="71" t="s">
        <v>220</v>
      </c>
      <c r="AK134" s="71">
        <v>70</v>
      </c>
      <c r="BB134" s="169" t="s">
        <v>100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294</v>
      </c>
      <c r="Y135" s="268">
        <f>IFERROR(SUM(Y133:Y134),"0")</f>
        <v>294</v>
      </c>
      <c r="Z135" s="268">
        <f>IFERROR(IF(Z133="",0,Z133),"0")+IFERROR(IF(Z134="",0,Z134),"0")</f>
        <v>5.2567199999999996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882</v>
      </c>
      <c r="Y136" s="268">
        <f>IFERROR(SUMPRODUCT(Y133:Y134*H133:H134),"0")</f>
        <v>882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28</v>
      </c>
      <c r="Y139" s="267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104.944</v>
      </c>
      <c r="BN139" s="67">
        <f>IFERROR(Y139*I139,"0")</f>
        <v>104.944</v>
      </c>
      <c r="BO139" s="67">
        <f>IFERROR(X139/J139,"0")</f>
        <v>0.4</v>
      </c>
      <c r="BP139" s="67">
        <f>IFERROR(Y139/J139,"0")</f>
        <v>0.4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28</v>
      </c>
      <c r="Y140" s="267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56</v>
      </c>
      <c r="Y141" s="268">
        <f>IFERROR(SUM(Y139:Y140),"0")</f>
        <v>56</v>
      </c>
      <c r="Z141" s="268">
        <f>IFERROR(IF(Z139="",0,Z139),"0")+IFERROR(IF(Z140="",0,Z140),"0")</f>
        <v>1.0012799999999999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168</v>
      </c>
      <c r="Y142" s="268">
        <f>IFERROR(SUMPRODUCT(Y139:Y140*H139:H140),"0")</f>
        <v>168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28</v>
      </c>
      <c r="Y145" s="267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216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28</v>
      </c>
      <c r="Y146" s="267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56</v>
      </c>
      <c r="Y147" s="268">
        <f>IFERROR(SUM(Y145:Y146),"0")</f>
        <v>56</v>
      </c>
      <c r="Z147" s="268">
        <f>IFERROR(IF(Z145="",0,Z145),"0")+IFERROR(IF(Z146="",0,Z146),"0")</f>
        <v>1.0012799999999999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134.4</v>
      </c>
      <c r="Y148" s="268">
        <f>IFERROR(SUMPRODUCT(Y145:Y146*H145:H146),"0")</f>
        <v>134.4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2"/>
      <c r="AB155" s="262"/>
      <c r="AC155" s="262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209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84</v>
      </c>
      <c r="Y166" s="267">
        <f>IFERROR(IF(X166="","",X166),"")</f>
        <v>84</v>
      </c>
      <c r="Z166" s="36">
        <f>IFERROR(IF(X166="","",X166*0.00941),"")</f>
        <v>0.79044000000000003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176.55119999999999</v>
      </c>
      <c r="BN166" s="67">
        <f>IFERROR(Y166*I166,"0")</f>
        <v>176.55119999999999</v>
      </c>
      <c r="BO166" s="67">
        <f>IFERROR(X166/J166,"0")</f>
        <v>0.6</v>
      </c>
      <c r="BP166" s="67">
        <f>IFERROR(Y166/J166,"0")</f>
        <v>0.6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84</v>
      </c>
      <c r="Y167" s="268">
        <f>IFERROR(SUM(Y166:Y166),"0")</f>
        <v>84</v>
      </c>
      <c r="Z167" s="268">
        <f>IFERROR(IF(Z166="",0,Z166),"0")</f>
        <v>0.79044000000000003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141.12</v>
      </c>
      <c r="Y168" s="268">
        <f>IFERROR(SUMPRODUCT(Y166:Y166*H166:H166),"0")</f>
        <v>141.12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2"/>
      <c r="AB171" s="262"/>
      <c r="AC171" s="262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144</v>
      </c>
      <c r="Y173" s="267">
        <f>IFERROR(IF(X173="","",X173),"")</f>
        <v>144</v>
      </c>
      <c r="Z173" s="36">
        <f>IFERROR(IF(X173="","",X173*0.00866),"")</f>
        <v>1.2470399999999999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750.70079999999996</v>
      </c>
      <c r="BN173" s="67">
        <f>IFERROR(Y173*I173,"0")</f>
        <v>750.70079999999996</v>
      </c>
      <c r="BO173" s="67">
        <f>IFERROR(X173/J173,"0")</f>
        <v>1</v>
      </c>
      <c r="BP173" s="67">
        <f>IFERROR(Y173/J173,"0")</f>
        <v>1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144</v>
      </c>
      <c r="Y174" s="268">
        <f>IFERROR(SUM(Y172:Y173),"0")</f>
        <v>144</v>
      </c>
      <c r="Z174" s="268">
        <f>IFERROR(IF(Z172="",0,Z172),"0")+IFERROR(IF(Z173="",0,Z173),"0")</f>
        <v>1.2470399999999999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720</v>
      </c>
      <c r="Y175" s="268">
        <f>IFERROR(SUMPRODUCT(Y172:Y173*H172:H173),"0")</f>
        <v>720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42</v>
      </c>
      <c r="Y179" s="267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0</v>
      </c>
      <c r="Y180" s="267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28</v>
      </c>
      <c r="Y181" s="267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70</v>
      </c>
      <c r="Y183" s="268">
        <f>IFERROR(SUM(Y179:Y182),"0")</f>
        <v>70</v>
      </c>
      <c r="Z183" s="268">
        <f>IFERROR(IF(Z179="",0,Z179),"0")+IFERROR(IF(Z180="",0,Z180),"0")+IFERROR(IF(Z181="",0,Z181),"0")+IFERROR(IF(Z182="",0,Z182),"0")</f>
        <v>1.2515999999999998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210</v>
      </c>
      <c r="Y184" s="268">
        <f>IFERROR(SUMPRODUCT(Y179:Y182*H179:H182),"0")</f>
        <v>210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2"/>
      <c r="AB185" s="262"/>
      <c r="AC185" s="262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2"/>
      <c r="AB195" s="262"/>
      <c r="AC195" s="262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68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72</v>
      </c>
      <c r="AK200" s="71">
        <v>1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36</v>
      </c>
      <c r="Y205" s="267">
        <f>IFERROR(IF(X205="","",X205),"")</f>
        <v>36</v>
      </c>
      <c r="Z205" s="36">
        <f>IFERROR(IF(X205="","",X205*0.0155),"")</f>
        <v>0.55800000000000005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188.28000000000003</v>
      </c>
      <c r="BN205" s="67">
        <f>IFERROR(Y205*I205,"0")</f>
        <v>188.28000000000003</v>
      </c>
      <c r="BO205" s="67">
        <f>IFERROR(X205/J205,"0")</f>
        <v>0.42857142857142855</v>
      </c>
      <c r="BP205" s="67">
        <f>IFERROR(Y205/J205,"0")</f>
        <v>0.42857142857142855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36</v>
      </c>
      <c r="Y206" s="268">
        <f>IFERROR(SUM(Y205:Y205),"0")</f>
        <v>36</v>
      </c>
      <c r="Z206" s="268">
        <f>IFERROR(IF(Z205="",0,Z205),"0")</f>
        <v>0.55800000000000005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180</v>
      </c>
      <c r="Y207" s="268">
        <f>IFERROR(SUMPRODUCT(Y205:Y205*H205:H205),"0")</f>
        <v>180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2"/>
      <c r="AB209" s="262"/>
      <c r="AC209" s="262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2"/>
      <c r="AB216" s="262"/>
      <c r="AC216" s="262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72</v>
      </c>
      <c r="AK223" s="71">
        <v>1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2"/>
      <c r="AB228" s="262"/>
      <c r="AC228" s="262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2"/>
      <c r="AB232" s="262"/>
      <c r="AC232" s="262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68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72</v>
      </c>
      <c r="AK233" s="71">
        <v>1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2"/>
      <c r="AB238" s="262"/>
      <c r="AC238" s="262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12</v>
      </c>
      <c r="Y240" s="267">
        <f>IFERROR(IF(X240="","",X240),"")</f>
        <v>12</v>
      </c>
      <c r="Z240" s="36">
        <f>IFERROR(IF(X240="","",X240*0.0155),"")</f>
        <v>0.186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87.36</v>
      </c>
      <c r="BN240" s="67">
        <f>IFERROR(Y240*I240,"0")</f>
        <v>87.36</v>
      </c>
      <c r="BO240" s="67">
        <f>IFERROR(X240/J240,"0")</f>
        <v>0.14285714285714285</v>
      </c>
      <c r="BP240" s="67">
        <f>IFERROR(Y240/J240,"0")</f>
        <v>0.14285714285714285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12</v>
      </c>
      <c r="Y241" s="268">
        <f>IFERROR(SUM(Y239:Y240),"0")</f>
        <v>12</v>
      </c>
      <c r="Z241" s="268">
        <f>IFERROR(IF(Z239="",0,Z239),"0")+IFERROR(IF(Z240="",0,Z240),"0")</f>
        <v>0.186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84</v>
      </c>
      <c r="Y242" s="268">
        <f>IFERROR(SUMPRODUCT(Y239:Y240*H239:H240),"0")</f>
        <v>84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132</v>
      </c>
      <c r="Y244" s="267">
        <f>IFERROR(IF(X244="","",X244),"")</f>
        <v>132</v>
      </c>
      <c r="Z244" s="36">
        <f>IFERROR(IF(X244="","",X244*0.0155),"")</f>
        <v>2.0459999999999998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826.31999999999994</v>
      </c>
      <c r="BN244" s="67">
        <f>IFERROR(Y244*I244,"0")</f>
        <v>826.31999999999994</v>
      </c>
      <c r="BO244" s="67">
        <f>IFERROR(X244/J244,"0")</f>
        <v>1.5714285714285714</v>
      </c>
      <c r="BP244" s="67">
        <f>IFERROR(Y244/J244,"0")</f>
        <v>1.5714285714285714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132</v>
      </c>
      <c r="Y245" s="268">
        <f>IFERROR(SUM(Y244:Y244),"0")</f>
        <v>132</v>
      </c>
      <c r="Z245" s="268">
        <f>IFERROR(IF(Z244="",0,Z244),"0")</f>
        <v>2.0459999999999998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792</v>
      </c>
      <c r="Y246" s="268">
        <f>IFERROR(SUMPRODUCT(Y244:Y244*H244:H244),"0")</f>
        <v>792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84</v>
      </c>
      <c r="Y248" s="267">
        <f>IFERROR(IF(X248="","",X248),"")</f>
        <v>84</v>
      </c>
      <c r="Z248" s="36">
        <f>IFERROR(IF(X248="","",X248*0.00936),"")</f>
        <v>0.78624000000000005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242.81040000000002</v>
      </c>
      <c r="BN248" s="67">
        <f>IFERROR(Y248*I248,"0")</f>
        <v>242.81040000000002</v>
      </c>
      <c r="BO248" s="67">
        <f>IFERROR(X248/J248,"0")</f>
        <v>0.66666666666666663</v>
      </c>
      <c r="BP248" s="67">
        <f>IFERROR(Y248/J248,"0")</f>
        <v>0.66666666666666663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84</v>
      </c>
      <c r="Y251" s="268">
        <f>IFERROR(SUM(Y248:Y250),"0")</f>
        <v>84</v>
      </c>
      <c r="Z251" s="268">
        <f>IFERROR(IF(Z248="",0,Z248),"0")+IFERROR(IF(Z249="",0,Z249),"0")+IFERROR(IF(Z250="",0,Z250),"0")</f>
        <v>0.78624000000000005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226.8</v>
      </c>
      <c r="Y252" s="268">
        <f>IFERROR(SUMPRODUCT(Y248:Y250*H248:H250),"0")</f>
        <v>226.8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2"/>
      <c r="AB253" s="262"/>
      <c r="AC253" s="262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68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72</v>
      </c>
      <c r="AK254" s="71">
        <v>1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70</v>
      </c>
      <c r="Y255" s="267">
        <f t="shared" si="18"/>
        <v>70</v>
      </c>
      <c r="Z255" s="36">
        <f>IFERROR(IF(X255="","",X255*0.00936),"")</f>
        <v>0.6552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272.44</v>
      </c>
      <c r="BN255" s="67">
        <f t="shared" si="20"/>
        <v>272.44</v>
      </c>
      <c r="BO255" s="67">
        <f t="shared" si="21"/>
        <v>0.55555555555555558</v>
      </c>
      <c r="BP255" s="67">
        <f t="shared" si="22"/>
        <v>0.55555555555555558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24</v>
      </c>
      <c r="Y256" s="267">
        <f t="shared" si="18"/>
        <v>24</v>
      </c>
      <c r="Z256" s="36">
        <f>IFERROR(IF(X256="","",X256*0.0155),"")</f>
        <v>0.372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137.64000000000001</v>
      </c>
      <c r="BN256" s="67">
        <f t="shared" si="20"/>
        <v>137.64000000000001</v>
      </c>
      <c r="BO256" s="67">
        <f t="shared" si="21"/>
        <v>0.2857142857142857</v>
      </c>
      <c r="BP256" s="67">
        <f t="shared" si="22"/>
        <v>0.2857142857142857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56</v>
      </c>
      <c r="Y257" s="267">
        <f t="shared" si="18"/>
        <v>56</v>
      </c>
      <c r="Z257" s="36">
        <f t="shared" ref="Z257:Z262" si="23">IFERROR(IF(X257="","",X257*0.00936),"")</f>
        <v>0.52415999999999996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178.75200000000001</v>
      </c>
      <c r="BN257" s="67">
        <f t="shared" si="20"/>
        <v>178.75200000000001</v>
      </c>
      <c r="BO257" s="67">
        <f t="shared" si="21"/>
        <v>0.44444444444444442</v>
      </c>
      <c r="BP257" s="67">
        <f t="shared" si="22"/>
        <v>0.44444444444444442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219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182</v>
      </c>
      <c r="Y258" s="267">
        <f t="shared" si="18"/>
        <v>182</v>
      </c>
      <c r="Z258" s="36">
        <f t="shared" si="23"/>
        <v>1.7035200000000001</v>
      </c>
      <c r="AA258" s="56"/>
      <c r="AB258" s="57"/>
      <c r="AC258" s="246" t="s">
        <v>343</v>
      </c>
      <c r="AG258" s="67"/>
      <c r="AJ258" s="71" t="s">
        <v>220</v>
      </c>
      <c r="AK258" s="71">
        <v>126</v>
      </c>
      <c r="BB258" s="247" t="s">
        <v>100</v>
      </c>
      <c r="BM258" s="67">
        <f t="shared" si="19"/>
        <v>708.34399999999994</v>
      </c>
      <c r="BN258" s="67">
        <f t="shared" si="20"/>
        <v>708.34399999999994</v>
      </c>
      <c r="BO258" s="67">
        <f t="shared" si="21"/>
        <v>1.4444444444444444</v>
      </c>
      <c r="BP258" s="67">
        <f t="shared" si="22"/>
        <v>1.4444444444444444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148</v>
      </c>
      <c r="L263" s="32" t="s">
        <v>68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332</v>
      </c>
      <c r="Y264" s="268">
        <f>IFERROR(SUM(Y254:Y263),"0")</f>
        <v>332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3.25488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1232.4000000000001</v>
      </c>
      <c r="Y265" s="268">
        <f>IFERROR(SUMPRODUCT(Y254:Y263*H254:H263),"0")</f>
        <v>1232.4000000000001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7957.7999999999993</v>
      </c>
      <c r="Y266" s="268">
        <f>IFERROR(Y29+Y35+Y42+Y49+Y57+Y62+Y66+Y71+Y77+Y83+Y88+Y94+Y104+Y110+Y121+Y126+Y130+Y136+Y142+Y148+Y153+Y158+Y163+Y168+Y175+Y184+Y188+Y194+Y202+Y207+Y213+Y219+Y225+Y231+Y235+Y242+Y246+Y252+Y265,"0")</f>
        <v>7957.7999999999993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8822.6467999999986</v>
      </c>
      <c r="Y267" s="268">
        <f>IFERROR(SUM(BN22:BN263),"0")</f>
        <v>8822.6467999999986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23</v>
      </c>
      <c r="Y268" s="38">
        <f>ROUNDUP(SUM(BP22:BP263),0)</f>
        <v>23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9397.6467999999986</v>
      </c>
      <c r="Y269" s="268">
        <f>GrossWeightTotalR+PalletQtyTotalR*25</f>
        <v>9397.6467999999986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2112</v>
      </c>
      <c r="Y270" s="268">
        <f>IFERROR(Y28+Y34+Y41+Y48+Y56+Y61+Y65+Y70+Y76+Y82+Y87+Y93+Y103+Y109+Y120+Y125+Y129+Y135+Y141+Y147+Y152+Y157+Y162+Y167+Y174+Y183+Y187+Y193+Y201+Y206+Y212+Y218+Y224+Y230+Y234+Y241+Y245+Y251+Y264,"0")</f>
        <v>2112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28.595779999999998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63" t="s">
        <v>249</v>
      </c>
      <c r="W273" s="263" t="s">
        <v>257</v>
      </c>
      <c r="X273" s="279" t="s">
        <v>279</v>
      </c>
      <c r="Y273" s="361"/>
      <c r="Z273" s="362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145</v>
      </c>
      <c r="I274" s="279" t="s">
        <v>152</v>
      </c>
      <c r="J274" s="279" t="s">
        <v>156</v>
      </c>
      <c r="K274" s="279" t="s">
        <v>164</v>
      </c>
      <c r="L274" s="279" t="s">
        <v>179</v>
      </c>
      <c r="M274" s="279" t="s">
        <v>185</v>
      </c>
      <c r="N274" s="264"/>
      <c r="O274" s="279" t="s">
        <v>213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64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64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86.4</v>
      </c>
      <c r="C276" s="46">
        <f>IFERROR(X32*H32,"0")+IFERROR(X33*H33,"0")</f>
        <v>0</v>
      </c>
      <c r="D276" s="46">
        <f>IFERROR(X39*H39,"0")+IFERROR(X40*H40,"0")</f>
        <v>105</v>
      </c>
      <c r="E276" s="46">
        <f>IFERROR(X45*H45,"0")+IFERROR(X46*H46,"0")+IFERROR(X47*H47,"0")</f>
        <v>201.59999999999997</v>
      </c>
      <c r="F276" s="46">
        <f>IFERROR(X52*H52,"0")+IFERROR(X53*H53,"0")+IFERROR(X54*H54,"0")+IFERROR(X55*H55,"0")</f>
        <v>252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960</v>
      </c>
      <c r="I276" s="46">
        <f>IFERROR(X86*H86,"0")</f>
        <v>100.8</v>
      </c>
      <c r="J276" s="46">
        <f>IFERROR(X91*H91,"0")+IFERROR(X92*H92,"0")</f>
        <v>201.60000000000002</v>
      </c>
      <c r="K276" s="46">
        <f>IFERROR(X97*H97,"0")+IFERROR(X98*H98,"0")+IFERROR(X99*H99,"0")+IFERROR(X100*H100,"0")+IFERROR(X101*H101,"0")+IFERROR(X102*H102,"0")</f>
        <v>604.79999999999995</v>
      </c>
      <c r="L276" s="46">
        <f>IFERROR(X107*H107,"0")+IFERROR(X108*H108,"0")</f>
        <v>151.20000000000002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523.68000000000006</v>
      </c>
      <c r="N276" s="264"/>
      <c r="O276" s="46">
        <f>IFERROR(X133*H133,"0")+IFERROR(X134*H134,"0")</f>
        <v>882</v>
      </c>
      <c r="P276" s="46">
        <f>IFERROR(X139*H139,"0")+IFERROR(X140*H140,"0")</f>
        <v>168</v>
      </c>
      <c r="Q276" s="46">
        <f>IFERROR(X145*H145,"0")+IFERROR(X146*H146,"0")</f>
        <v>134.4</v>
      </c>
      <c r="R276" s="46">
        <f>IFERROR(X151*H151,"0")</f>
        <v>0</v>
      </c>
      <c r="S276" s="46">
        <f>IFERROR(X156*H156,"0")</f>
        <v>0</v>
      </c>
      <c r="T276" s="46">
        <f>IFERROR(X161*H161,"0")</f>
        <v>0</v>
      </c>
      <c r="U276" s="46">
        <f>IFERROR(X166*H166,"0")</f>
        <v>141.12</v>
      </c>
      <c r="V276" s="46">
        <f>IFERROR(X172*H172,"0")+IFERROR(X173*H173,"0")</f>
        <v>720</v>
      </c>
      <c r="W276" s="46">
        <f>IFERROR(X179*H179,"0")+IFERROR(X180*H180,"0")+IFERROR(X181*H181,"0")+IFERROR(X182*H182,"0")+IFERROR(X186*H186,"0")</f>
        <v>210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180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2335.1999999999998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2896.8</v>
      </c>
      <c r="B279" s="60">
        <f>SUMPRODUCT(--(BB:BB="ПГП"),--(W:W="кор"),H:H,Y:Y)+SUMPRODUCT(--(BB:BB="ПГП"),--(W:W="кг"),Y:Y)</f>
        <v>5061</v>
      </c>
      <c r="C279" s="60">
        <f>SUMPRODUCT(--(BB:BB="КИЗ"),--(W:W="кор"),H:H,Y:Y)+SUMPRODUCT(--(BB:BB="КИЗ"),--(W:W="кг"),Y:Y)</f>
        <v>0</v>
      </c>
    </row>
  </sheetData>
  <sheetProtection algorithmName="SHA-512" hashValue="oPfq5ffiqbM6nlosDlXK+ZuvwaJxj661VCh2k1h6CzmajULe9omyEr0kkLtv1WcgUHLszxqWcuiaiemRq9dmyQ==" saltValue="9GUBuv1KpbKkxPwKBI4B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14 X117 X124 X128 X139 X145 X172 X182 X186 X196 X198 X200 X210:X211 X217 X223 X229 X233 X239 X250 X254 X259:X26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2 X107:X108 X113 X115:X116 X118:X119 X123 X133 X140 X146 X151 X156 X161 X166 X173 X179:X181 X192 X197 X199 X205 X240 X244 X248:X249 X255:X25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58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s3IngsrejitBIoz0NIo1yi0P+meTs0t6RaP0GScgyKNZSE1LN6cQJkOn6TzRQT/yyF+sbrFCRTwviizs8PPBrg==" saltValue="mbyKgTBMZCmeyCUKzS8f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