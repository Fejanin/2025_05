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6F1B63B1-1680-4CBB-9AE9-03AF2AFBC30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Y265" i="1"/>
  <c r="X265" i="1"/>
  <c r="Z264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Y254" i="1"/>
  <c r="Y264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BP248" i="1"/>
  <c r="BO248" i="1"/>
  <c r="BN248" i="1"/>
  <c r="BM248" i="1"/>
  <c r="Z248" i="1"/>
  <c r="Z251" i="1" s="1"/>
  <c r="Y248" i="1"/>
  <c r="Y252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Z239" i="1"/>
  <c r="Z241" i="1" s="1"/>
  <c r="Y239" i="1"/>
  <c r="P239" i="1"/>
  <c r="X235" i="1"/>
  <c r="Z234" i="1"/>
  <c r="X234" i="1"/>
  <c r="BO233" i="1"/>
  <c r="BM233" i="1"/>
  <c r="Z233" i="1"/>
  <c r="Y233" i="1"/>
  <c r="P233" i="1"/>
  <c r="Y231" i="1"/>
  <c r="X231" i="1"/>
  <c r="Z230" i="1"/>
  <c r="X230" i="1"/>
  <c r="BO229" i="1"/>
  <c r="BM229" i="1"/>
  <c r="Z229" i="1"/>
  <c r="Y229" i="1"/>
  <c r="P229" i="1"/>
  <c r="X225" i="1"/>
  <c r="Z224" i="1"/>
  <c r="X224" i="1"/>
  <c r="BO223" i="1"/>
  <c r="BM223" i="1"/>
  <c r="Z223" i="1"/>
  <c r="Y223" i="1"/>
  <c r="P223" i="1"/>
  <c r="Y219" i="1"/>
  <c r="X219" i="1"/>
  <c r="Z218" i="1"/>
  <c r="X218" i="1"/>
  <c r="BO217" i="1"/>
  <c r="BM217" i="1"/>
  <c r="Z217" i="1"/>
  <c r="Y217" i="1"/>
  <c r="P217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Z123" i="1"/>
  <c r="Z125" i="1" s="1"/>
  <c r="Y123" i="1"/>
  <c r="Y126" i="1" s="1"/>
  <c r="P123" i="1"/>
  <c r="X121" i="1"/>
  <c r="X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0" i="1" s="1"/>
  <c r="Y114" i="1"/>
  <c r="P114" i="1"/>
  <c r="BO113" i="1"/>
  <c r="BM113" i="1"/>
  <c r="Z113" i="1"/>
  <c r="Y113" i="1"/>
  <c r="Y120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0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0" i="1" s="1"/>
  <c r="Y42" i="1"/>
  <c r="Y49" i="1"/>
  <c r="Y56" i="1"/>
  <c r="Y71" i="1"/>
  <c r="Y77" i="1"/>
  <c r="Y82" i="1"/>
  <c r="Y94" i="1"/>
  <c r="Y103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H9" i="1"/>
  <c r="X267" i="1"/>
  <c r="X268" i="1"/>
  <c r="BN23" i="1"/>
  <c r="Y267" i="1" s="1"/>
  <c r="BN25" i="1"/>
  <c r="BN27" i="1"/>
  <c r="X266" i="1"/>
  <c r="BN32" i="1"/>
  <c r="BP32" i="1"/>
  <c r="Y268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Y135" i="1"/>
  <c r="BN134" i="1"/>
  <c r="Z141" i="1"/>
  <c r="Z271" i="1" s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2" i="1"/>
  <c r="Y213" i="1"/>
  <c r="Y218" i="1"/>
  <c r="BP217" i="1"/>
  <c r="BN217" i="1"/>
  <c r="Y225" i="1"/>
  <c r="Y230" i="1"/>
  <c r="BP229" i="1"/>
  <c r="BN229" i="1"/>
  <c r="Y235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C279" i="1" l="1"/>
  <c r="Y269" i="1"/>
  <c r="A279" i="1"/>
  <c r="X269" i="1"/>
  <c r="B279" i="1"/>
  <c r="Y266" i="1"/>
</calcChain>
</file>

<file path=xl/sharedStrings.xml><?xml version="1.0" encoding="utf-8"?>
<sst xmlns="http://schemas.openxmlformats.org/spreadsheetml/2006/main" count="1207" uniqueCount="392">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</sst>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topLeftCell="A255" zoomScaleNormal="100" zoomScaleSheetLayoutView="100" workbookViewId="0">
      <selection activeCell="AA272" sqref="AA272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293"/>
      <c r="F1" s="293"/>
      <c r="G1" s="12" t="s">
        <v>1</v>
      </c>
      <c r="H1" s="311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342" t="s">
        <v>8</v>
      </c>
      <c r="B5" s="317"/>
      <c r="C5" s="318"/>
      <c r="D5" s="312"/>
      <c r="E5" s="313"/>
      <c r="F5" s="434" t="s">
        <v>9</v>
      </c>
      <c r="G5" s="318"/>
      <c r="H5" s="312"/>
      <c r="I5" s="410"/>
      <c r="J5" s="410"/>
      <c r="K5" s="410"/>
      <c r="L5" s="410"/>
      <c r="M5" s="313"/>
      <c r="N5" s="61"/>
      <c r="P5" s="24" t="s">
        <v>10</v>
      </c>
      <c r="Q5" s="441">
        <v>46041</v>
      </c>
      <c r="R5" s="340"/>
      <c r="T5" s="369" t="s">
        <v>11</v>
      </c>
      <c r="U5" s="366"/>
      <c r="V5" s="370" t="s">
        <v>12</v>
      </c>
      <c r="W5" s="340"/>
      <c r="AB5" s="51"/>
      <c r="AC5" s="51"/>
      <c r="AD5" s="51"/>
      <c r="AE5" s="51"/>
    </row>
    <row r="6" spans="1:32" s="260" customFormat="1" ht="24" customHeight="1" x14ac:dyDescent="0.2">
      <c r="A6" s="342" t="s">
        <v>13</v>
      </c>
      <c r="B6" s="317"/>
      <c r="C6" s="318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1"/>
      <c r="T6" s="373" t="s">
        <v>16</v>
      </c>
      <c r="U6" s="366"/>
      <c r="V6" s="399" t="s">
        <v>17</v>
      </c>
      <c r="W6" s="298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63"/>
      <c r="P7" s="24"/>
      <c r="Q7" s="42"/>
      <c r="R7" s="42"/>
      <c r="T7" s="286"/>
      <c r="U7" s="366"/>
      <c r="V7" s="400"/>
      <c r="W7" s="401"/>
      <c r="AB7" s="51"/>
      <c r="AC7" s="51"/>
      <c r="AD7" s="51"/>
      <c r="AE7" s="51"/>
    </row>
    <row r="8" spans="1:32" s="260" customFormat="1" ht="25.5" customHeight="1" x14ac:dyDescent="0.2">
      <c r="A8" s="452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8">
        <v>0.41666666666666669</v>
      </c>
      <c r="R8" s="304"/>
      <c r="T8" s="286"/>
      <c r="U8" s="366"/>
      <c r="V8" s="400"/>
      <c r="W8" s="401"/>
      <c r="AB8" s="51"/>
      <c r="AC8" s="51"/>
      <c r="AD8" s="51"/>
      <c r="AE8" s="51"/>
    </row>
    <row r="9" spans="1:32" s="260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3"/>
      <c r="E9" s="282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81" t="str">
        <f>IF(AND($A$9="Тип доверенности/получателя при получении в адресе перегруза:",$D$9="Разовая доверенность"),"Введите ФИО","")</f>
        <v/>
      </c>
      <c r="I9" s="282"/>
      <c r="J9" s="2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2"/>
      <c r="L9" s="282"/>
      <c r="M9" s="282"/>
      <c r="N9" s="258"/>
      <c r="P9" s="26" t="s">
        <v>21</v>
      </c>
      <c r="Q9" s="337"/>
      <c r="R9" s="338"/>
      <c r="T9" s="286"/>
      <c r="U9" s="366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3"/>
      <c r="E10" s="282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4" t="str">
        <f>IFERROR(VLOOKUP($D$10,Proxy,2,FALSE),"")</f>
        <v/>
      </c>
      <c r="I10" s="286"/>
      <c r="J10" s="286"/>
      <c r="K10" s="286"/>
      <c r="L10" s="286"/>
      <c r="M10" s="286"/>
      <c r="N10" s="259"/>
      <c r="P10" s="26" t="s">
        <v>22</v>
      </c>
      <c r="Q10" s="374"/>
      <c r="R10" s="375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6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7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48"/>
      <c r="R12" s="304"/>
      <c r="S12" s="23"/>
      <c r="U12" s="24"/>
      <c r="V12" s="293"/>
      <c r="W12" s="286"/>
      <c r="AB12" s="51"/>
      <c r="AC12" s="51"/>
      <c r="AD12" s="51"/>
      <c r="AE12" s="51"/>
    </row>
    <row r="13" spans="1:32" s="260" customFormat="1" ht="23.25" customHeight="1" x14ac:dyDescent="0.2">
      <c r="A13" s="367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7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81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59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0" t="s">
        <v>38</v>
      </c>
      <c r="D17" s="294" t="s">
        <v>39</v>
      </c>
      <c r="E17" s="329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8"/>
      <c r="R17" s="328"/>
      <c r="S17" s="328"/>
      <c r="T17" s="329"/>
      <c r="U17" s="449" t="s">
        <v>51</v>
      </c>
      <c r="V17" s="318"/>
      <c r="W17" s="294" t="s">
        <v>52</v>
      </c>
      <c r="X17" s="294" t="s">
        <v>53</v>
      </c>
      <c r="Y17" s="450" t="s">
        <v>54</v>
      </c>
      <c r="Z17" s="408" t="s">
        <v>55</v>
      </c>
      <c r="AA17" s="392" t="s">
        <v>56</v>
      </c>
      <c r="AB17" s="392" t="s">
        <v>57</v>
      </c>
      <c r="AC17" s="392" t="s">
        <v>58</v>
      </c>
      <c r="AD17" s="392" t="s">
        <v>59</v>
      </c>
      <c r="AE17" s="429"/>
      <c r="AF17" s="430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0"/>
      <c r="E18" s="33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0"/>
      <c r="Q18" s="331"/>
      <c r="R18" s="331"/>
      <c r="S18" s="331"/>
      <c r="T18" s="332"/>
      <c r="U18" s="70" t="s">
        <v>61</v>
      </c>
      <c r="V18" s="70" t="s">
        <v>62</v>
      </c>
      <c r="W18" s="295"/>
      <c r="X18" s="295"/>
      <c r="Y18" s="451"/>
      <c r="Z18" s="409"/>
      <c r="AA18" s="393"/>
      <c r="AB18" s="393"/>
      <c r="AC18" s="393"/>
      <c r="AD18" s="431"/>
      <c r="AE18" s="432"/>
      <c r="AF18" s="433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1"/>
      <c r="AB20" s="261"/>
      <c r="AC20" s="261"/>
    </row>
    <row r="21" spans="1:68" ht="14.25" customHeight="1" x14ac:dyDescent="0.25">
      <c r="A21" s="301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0">
        <v>4607111035912</v>
      </c>
      <c r="E22" s="271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3"/>
      <c r="R22" s="273"/>
      <c r="S22" s="273"/>
      <c r="T22" s="274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0">
        <v>4607111035103</v>
      </c>
      <c r="E23" s="271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3"/>
      <c r="R23" s="273"/>
      <c r="S23" s="273"/>
      <c r="T23" s="274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0">
        <v>4607111035929</v>
      </c>
      <c r="E24" s="271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3"/>
      <c r="R24" s="273"/>
      <c r="S24" s="273"/>
      <c r="T24" s="274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0">
        <v>4607111035882</v>
      </c>
      <c r="E25" s="271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3"/>
      <c r="R25" s="273"/>
      <c r="S25" s="273"/>
      <c r="T25" s="274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0">
        <v>4607111035110</v>
      </c>
      <c r="E26" s="271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3"/>
      <c r="R26" s="273"/>
      <c r="S26" s="273"/>
      <c r="T26" s="274"/>
      <c r="U26" s="34"/>
      <c r="V26" s="34"/>
      <c r="W26" s="35" t="s">
        <v>70</v>
      </c>
      <c r="X26" s="266">
        <v>0</v>
      </c>
      <c r="Y26" s="267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0">
        <v>4607111035905</v>
      </c>
      <c r="E27" s="271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3"/>
      <c r="R27" s="273"/>
      <c r="S27" s="273"/>
      <c r="T27" s="274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0</v>
      </c>
      <c r="Y28" s="268">
        <f>IFERROR(SUM(Y22:Y27),"0")</f>
        <v>0</v>
      </c>
      <c r="Z28" s="268">
        <f>IFERROR(IF(Z22="",0,Z22),"0")+IFERROR(IF(Z23="",0,Z23),"0")+IFERROR(IF(Z24="",0,Z24),"0")+IFERROR(IF(Z25="",0,Z25),"0")+IFERROR(IF(Z26="",0,Z26),"0")+IFERROR(IF(Z27="",0,Z27),"0")</f>
        <v>0</v>
      </c>
      <c r="AA28" s="269"/>
      <c r="AB28" s="269"/>
      <c r="AC28" s="269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0</v>
      </c>
      <c r="Y29" s="268">
        <f>IFERROR(SUMPRODUCT(Y22:Y27*H22:H27),"0")</f>
        <v>0</v>
      </c>
      <c r="Z29" s="37"/>
      <c r="AA29" s="269"/>
      <c r="AB29" s="269"/>
      <c r="AC29" s="269"/>
    </row>
    <row r="30" spans="1:68" ht="16.5" customHeight="1" x14ac:dyDescent="0.25">
      <c r="A30" s="285" t="s">
        <v>85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1"/>
      <c r="AB30" s="261"/>
      <c r="AC30" s="261"/>
    </row>
    <row r="31" spans="1:68" ht="14.25" customHeight="1" x14ac:dyDescent="0.25">
      <c r="A31" s="301" t="s">
        <v>64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0">
        <v>4607111039019</v>
      </c>
      <c r="E32" s="271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3"/>
      <c r="R32" s="273"/>
      <c r="S32" s="273"/>
      <c r="T32" s="274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0">
        <v>4607111038708</v>
      </c>
      <c r="E33" s="271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3"/>
      <c r="R33" s="273"/>
      <c r="S33" s="273"/>
      <c r="T33" s="274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5" t="s">
        <v>92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1"/>
      <c r="AB37" s="261"/>
      <c r="AC37" s="261"/>
    </row>
    <row r="38" spans="1:68" ht="14.25" customHeight="1" x14ac:dyDescent="0.25">
      <c r="A38" s="301" t="s">
        <v>93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0">
        <v>4607111036537</v>
      </c>
      <c r="E39" s="271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3"/>
      <c r="R39" s="273"/>
      <c r="S39" s="273"/>
      <c r="T39" s="274"/>
      <c r="U39" s="34"/>
      <c r="V39" s="34"/>
      <c r="W39" s="35" t="s">
        <v>70</v>
      </c>
      <c r="X39" s="266">
        <v>0</v>
      </c>
      <c r="Y39" s="267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0">
        <v>4607111036605</v>
      </c>
      <c r="E40" s="271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3"/>
      <c r="R40" s="273"/>
      <c r="S40" s="273"/>
      <c r="T40" s="274"/>
      <c r="U40" s="34"/>
      <c r="V40" s="34"/>
      <c r="W40" s="35" t="s">
        <v>70</v>
      </c>
      <c r="X40" s="266">
        <v>0</v>
      </c>
      <c r="Y40" s="26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0</v>
      </c>
      <c r="Y41" s="268">
        <f>IFERROR(SUM(Y39:Y40),"0")</f>
        <v>0</v>
      </c>
      <c r="Z41" s="268">
        <f>IFERROR(IF(Z39="",0,Z39),"0")+IFERROR(IF(Z40="",0,Z40),"0")</f>
        <v>0</v>
      </c>
      <c r="AA41" s="269"/>
      <c r="AB41" s="269"/>
      <c r="AC41" s="269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0</v>
      </c>
      <c r="Y42" s="268">
        <f>IFERROR(SUMPRODUCT(Y39:Y40*H39:H40),"0")</f>
        <v>0</v>
      </c>
      <c r="Z42" s="37"/>
      <c r="AA42" s="269"/>
      <c r="AB42" s="269"/>
      <c r="AC42" s="269"/>
    </row>
    <row r="43" spans="1:68" ht="16.5" customHeight="1" x14ac:dyDescent="0.25">
      <c r="A43" s="285" t="s">
        <v>103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1"/>
      <c r="AB43" s="261"/>
      <c r="AC43" s="261"/>
    </row>
    <row r="44" spans="1:68" ht="14.25" customHeight="1" x14ac:dyDescent="0.25">
      <c r="A44" s="301" t="s">
        <v>64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0">
        <v>4620207490075</v>
      </c>
      <c r="E45" s="271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3"/>
      <c r="R45" s="273"/>
      <c r="S45" s="273"/>
      <c r="T45" s="274"/>
      <c r="U45" s="34"/>
      <c r="V45" s="34"/>
      <c r="W45" s="35" t="s">
        <v>70</v>
      </c>
      <c r="X45" s="266">
        <v>24</v>
      </c>
      <c r="Y45" s="267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0">
        <v>4620207490174</v>
      </c>
      <c r="E46" s="271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3"/>
      <c r="R46" s="273"/>
      <c r="S46" s="273"/>
      <c r="T46" s="274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0">
        <v>4620207490044</v>
      </c>
      <c r="E47" s="271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3"/>
      <c r="R47" s="273"/>
      <c r="S47" s="273"/>
      <c r="T47" s="274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24</v>
      </c>
      <c r="Y48" s="268">
        <f>IFERROR(SUM(Y45:Y47),"0")</f>
        <v>24</v>
      </c>
      <c r="Z48" s="268">
        <f>IFERROR(IF(Z45="",0,Z45),"0")+IFERROR(IF(Z46="",0,Z46),"0")+IFERROR(IF(Z47="",0,Z47),"0")</f>
        <v>0.372</v>
      </c>
      <c r="AA48" s="269"/>
      <c r="AB48" s="269"/>
      <c r="AC48" s="269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134.39999999999998</v>
      </c>
      <c r="Y49" s="268">
        <f>IFERROR(SUMPRODUCT(Y45:Y47*H45:H47),"0")</f>
        <v>134.39999999999998</v>
      </c>
      <c r="Z49" s="37"/>
      <c r="AA49" s="269"/>
      <c r="AB49" s="269"/>
      <c r="AC49" s="269"/>
    </row>
    <row r="50" spans="1:68" ht="16.5" customHeight="1" x14ac:dyDescent="0.25">
      <c r="A50" s="285" t="s">
        <v>113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1"/>
      <c r="AB50" s="261"/>
      <c r="AC50" s="261"/>
    </row>
    <row r="51" spans="1:68" ht="14.25" customHeight="1" x14ac:dyDescent="0.25">
      <c r="A51" s="301" t="s">
        <v>64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0">
        <v>4607111039385</v>
      </c>
      <c r="E52" s="271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3"/>
      <c r="R52" s="273"/>
      <c r="S52" s="273"/>
      <c r="T52" s="274"/>
      <c r="U52" s="34"/>
      <c r="V52" s="34"/>
      <c r="W52" s="35" t="s">
        <v>70</v>
      </c>
      <c r="X52" s="266">
        <v>0</v>
      </c>
      <c r="Y52" s="26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0">
        <v>4607111038982</v>
      </c>
      <c r="E53" s="271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6">
        <v>0</v>
      </c>
      <c r="Y53" s="26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0">
        <v>4607111039354</v>
      </c>
      <c r="E54" s="271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3"/>
      <c r="R54" s="273"/>
      <c r="S54" s="273"/>
      <c r="T54" s="274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0">
        <v>4607111039330</v>
      </c>
      <c r="E55" s="271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3"/>
      <c r="R55" s="273"/>
      <c r="S55" s="273"/>
      <c r="T55" s="274"/>
      <c r="U55" s="34"/>
      <c r="V55" s="34"/>
      <c r="W55" s="35" t="s">
        <v>70</v>
      </c>
      <c r="X55" s="266">
        <v>0</v>
      </c>
      <c r="Y55" s="26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0</v>
      </c>
      <c r="Y56" s="268">
        <f>IFERROR(SUM(Y52:Y55),"0")</f>
        <v>0</v>
      </c>
      <c r="Z56" s="268">
        <f>IFERROR(IF(Z52="",0,Z52),"0")+IFERROR(IF(Z53="",0,Z53),"0")+IFERROR(IF(Z54="",0,Z54),"0")+IFERROR(IF(Z55="",0,Z55),"0")</f>
        <v>0</v>
      </c>
      <c r="AA56" s="269"/>
      <c r="AB56" s="269"/>
      <c r="AC56" s="269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0</v>
      </c>
      <c r="Y57" s="268">
        <f>IFERROR(SUMPRODUCT(Y52:Y55*H52:H55),"0")</f>
        <v>0</v>
      </c>
      <c r="Z57" s="37"/>
      <c r="AA57" s="269"/>
      <c r="AB57" s="269"/>
      <c r="AC57" s="269"/>
    </row>
    <row r="58" spans="1:68" ht="16.5" customHeight="1" x14ac:dyDescent="0.25">
      <c r="A58" s="285" t="s">
        <v>124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1"/>
      <c r="AB58" s="261"/>
      <c r="AC58" s="261"/>
    </row>
    <row r="59" spans="1:68" ht="14.25" customHeight="1" x14ac:dyDescent="0.25">
      <c r="A59" s="301" t="s">
        <v>64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2"/>
      <c r="AB59" s="262"/>
      <c r="AC59" s="26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70">
        <v>4620207490822</v>
      </c>
      <c r="E60" s="271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3"/>
      <c r="R60" s="273"/>
      <c r="S60" s="273"/>
      <c r="T60" s="274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customHeight="1" x14ac:dyDescent="0.25">
      <c r="A63" s="301" t="s">
        <v>93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2"/>
      <c r="AB63" s="262"/>
      <c r="AC63" s="26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70">
        <v>4607111039712</v>
      </c>
      <c r="E64" s="271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97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99</v>
      </c>
      <c r="AK64" s="71">
        <v>14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customHeight="1" x14ac:dyDescent="0.25">
      <c r="A67" s="301" t="s">
        <v>131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2"/>
      <c r="AB67" s="262"/>
      <c r="AC67" s="26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70">
        <v>4607111037008</v>
      </c>
      <c r="E68" s="271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3"/>
      <c r="R68" s="273"/>
      <c r="S68" s="273"/>
      <c r="T68" s="274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70">
        <v>4607111037398</v>
      </c>
      <c r="E69" s="271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3"/>
      <c r="R69" s="273"/>
      <c r="S69" s="273"/>
      <c r="T69" s="274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customHeight="1" x14ac:dyDescent="0.25">
      <c r="A72" s="301" t="s">
        <v>137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2"/>
      <c r="AB72" s="262"/>
      <c r="AC72" s="26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70">
        <v>4607111039705</v>
      </c>
      <c r="E73" s="271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140</v>
      </c>
      <c r="M73" s="33" t="s">
        <v>69</v>
      </c>
      <c r="N73" s="33"/>
      <c r="O73" s="32">
        <v>365</v>
      </c>
      <c r="P73" s="2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3"/>
      <c r="R73" s="273"/>
      <c r="S73" s="273"/>
      <c r="T73" s="274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141</v>
      </c>
      <c r="AK73" s="71">
        <v>140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0">
        <v>4607111039729</v>
      </c>
      <c r="E74" s="271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140</v>
      </c>
      <c r="M74" s="33" t="s">
        <v>69</v>
      </c>
      <c r="N74" s="33"/>
      <c r="O74" s="32">
        <v>365</v>
      </c>
      <c r="P74" s="3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3"/>
      <c r="R74" s="273"/>
      <c r="S74" s="273"/>
      <c r="T74" s="274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144</v>
      </c>
      <c r="AG74" s="67"/>
      <c r="AJ74" s="71" t="s">
        <v>141</v>
      </c>
      <c r="AK74" s="71">
        <v>140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0">
        <v>4620207490228</v>
      </c>
      <c r="E75" s="271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140</v>
      </c>
      <c r="M75" s="33" t="s">
        <v>69</v>
      </c>
      <c r="N75" s="33"/>
      <c r="O75" s="32">
        <v>365</v>
      </c>
      <c r="P75" s="4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141</v>
      </c>
      <c r="AK75" s="71">
        <v>140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customHeight="1" x14ac:dyDescent="0.25">
      <c r="A78" s="285" t="s">
        <v>147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1"/>
      <c r="AB78" s="261"/>
      <c r="AC78" s="261"/>
    </row>
    <row r="79" spans="1:68" ht="14.25" customHeight="1" x14ac:dyDescent="0.25">
      <c r="A79" s="301" t="s">
        <v>64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2"/>
      <c r="AB79" s="262"/>
      <c r="AC79" s="262"/>
    </row>
    <row r="80" spans="1:68" ht="27" customHeight="1" x14ac:dyDescent="0.25">
      <c r="A80" s="54" t="s">
        <v>148</v>
      </c>
      <c r="B80" s="54" t="s">
        <v>149</v>
      </c>
      <c r="C80" s="31">
        <v>4301070977</v>
      </c>
      <c r="D80" s="270">
        <v>4607111037411</v>
      </c>
      <c r="E80" s="271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150</v>
      </c>
      <c r="L80" s="32" t="s">
        <v>97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3"/>
      <c r="R80" s="273"/>
      <c r="S80" s="273"/>
      <c r="T80" s="274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0">
        <v>4607111036728</v>
      </c>
      <c r="E81" s="271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3"/>
      <c r="R81" s="273"/>
      <c r="S81" s="273"/>
      <c r="T81" s="274"/>
      <c r="U81" s="34"/>
      <c r="V81" s="34"/>
      <c r="W81" s="35" t="s">
        <v>70</v>
      </c>
      <c r="X81" s="266">
        <v>0</v>
      </c>
      <c r="Y81" s="267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151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0</v>
      </c>
      <c r="Y82" s="268">
        <f>IFERROR(SUM(Y80:Y81),"0")</f>
        <v>0</v>
      </c>
      <c r="Z82" s="268">
        <f>IFERROR(IF(Z80="",0,Z80),"0")+IFERROR(IF(Z81="",0,Z81),"0")</f>
        <v>0</v>
      </c>
      <c r="AA82" s="269"/>
      <c r="AB82" s="269"/>
      <c r="AC82" s="269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0</v>
      </c>
      <c r="Y83" s="268">
        <f>IFERROR(SUMPRODUCT(Y80:Y81*H80:H81),"0")</f>
        <v>0</v>
      </c>
      <c r="Z83" s="37"/>
      <c r="AA83" s="269"/>
      <c r="AB83" s="269"/>
      <c r="AC83" s="269"/>
    </row>
    <row r="84" spans="1:68" ht="16.5" customHeight="1" x14ac:dyDescent="0.25">
      <c r="A84" s="285" t="s">
        <v>154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1"/>
      <c r="AB84" s="261"/>
      <c r="AC84" s="261"/>
    </row>
    <row r="85" spans="1:68" ht="14.25" customHeight="1" x14ac:dyDescent="0.25">
      <c r="A85" s="301" t="s">
        <v>137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2"/>
      <c r="AB85" s="262"/>
      <c r="AC85" s="262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0">
        <v>4607111033659</v>
      </c>
      <c r="E86" s="271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6">
        <v>0</v>
      </c>
      <c r="Y86" s="26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157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0</v>
      </c>
      <c r="Y87" s="268">
        <f>IFERROR(SUM(Y86:Y86),"0")</f>
        <v>0</v>
      </c>
      <c r="Z87" s="268">
        <f>IFERROR(IF(Z86="",0,Z86),"0")</f>
        <v>0</v>
      </c>
      <c r="AA87" s="269"/>
      <c r="AB87" s="269"/>
      <c r="AC87" s="269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0</v>
      </c>
      <c r="Y88" s="268">
        <f>IFERROR(SUMPRODUCT(Y86:Y86*H86:H86),"0")</f>
        <v>0</v>
      </c>
      <c r="Z88" s="37"/>
      <c r="AA88" s="269"/>
      <c r="AB88" s="269"/>
      <c r="AC88" s="269"/>
    </row>
    <row r="89" spans="1:68" ht="16.5" customHeight="1" x14ac:dyDescent="0.25">
      <c r="A89" s="285" t="s">
        <v>158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1"/>
      <c r="AB89" s="261"/>
      <c r="AC89" s="261"/>
    </row>
    <row r="90" spans="1:68" ht="14.25" customHeight="1" x14ac:dyDescent="0.25">
      <c r="A90" s="301" t="s">
        <v>159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0">
        <v>4607111034120</v>
      </c>
      <c r="E91" s="271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3"/>
      <c r="R91" s="273"/>
      <c r="S91" s="273"/>
      <c r="T91" s="274"/>
      <c r="U91" s="34"/>
      <c r="V91" s="34"/>
      <c r="W91" s="35" t="s">
        <v>70</v>
      </c>
      <c r="X91" s="266">
        <v>42</v>
      </c>
      <c r="Y91" s="267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162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0">
        <v>4607111034137</v>
      </c>
      <c r="E92" s="271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3"/>
      <c r="R92" s="273"/>
      <c r="S92" s="273"/>
      <c r="T92" s="274"/>
      <c r="U92" s="34"/>
      <c r="V92" s="34"/>
      <c r="W92" s="35" t="s">
        <v>70</v>
      </c>
      <c r="X92" s="266">
        <v>14</v>
      </c>
      <c r="Y92" s="267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165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56</v>
      </c>
      <c r="Y93" s="268">
        <f>IFERROR(SUM(Y91:Y92),"0")</f>
        <v>56</v>
      </c>
      <c r="Z93" s="268">
        <f>IFERROR(IF(Z91="",0,Z91),"0")+IFERROR(IF(Z92="",0,Z92),"0")</f>
        <v>1.0012799999999999</v>
      </c>
      <c r="AA93" s="269"/>
      <c r="AB93" s="269"/>
      <c r="AC93" s="269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201.60000000000002</v>
      </c>
      <c r="Y94" s="268">
        <f>IFERROR(SUMPRODUCT(Y91:Y92*H91:H92),"0")</f>
        <v>201.60000000000002</v>
      </c>
      <c r="Z94" s="37"/>
      <c r="AA94" s="269"/>
      <c r="AB94" s="269"/>
      <c r="AC94" s="269"/>
    </row>
    <row r="95" spans="1:68" ht="16.5" customHeight="1" x14ac:dyDescent="0.25">
      <c r="A95" s="285" t="s">
        <v>166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1"/>
      <c r="AB95" s="261"/>
      <c r="AC95" s="261"/>
    </row>
    <row r="96" spans="1:68" ht="14.25" customHeight="1" x14ac:dyDescent="0.25">
      <c r="A96" s="301" t="s">
        <v>137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0">
        <v>4620207491027</v>
      </c>
      <c r="E97" s="271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6">
        <v>0</v>
      </c>
      <c r="Y97" s="26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0">
        <v>4620207491003</v>
      </c>
      <c r="E98" s="271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3"/>
      <c r="R98" s="273"/>
      <c r="S98" s="273"/>
      <c r="T98" s="274"/>
      <c r="U98" s="34"/>
      <c r="V98" s="34"/>
      <c r="W98" s="35" t="s">
        <v>70</v>
      </c>
      <c r="X98" s="266">
        <v>28</v>
      </c>
      <c r="Y98" s="267">
        <f t="shared" si="6"/>
        <v>28</v>
      </c>
      <c r="Z98" s="36">
        <f t="shared" si="7"/>
        <v>0.50063999999999997</v>
      </c>
      <c r="AA98" s="56"/>
      <c r="AB98" s="57"/>
      <c r="AC98" s="132" t="s">
        <v>157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0">
        <v>4620207491034</v>
      </c>
      <c r="E99" s="271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3"/>
      <c r="R99" s="273"/>
      <c r="S99" s="273"/>
      <c r="T99" s="274"/>
      <c r="U99" s="34"/>
      <c r="V99" s="34"/>
      <c r="W99" s="35" t="s">
        <v>70</v>
      </c>
      <c r="X99" s="266">
        <v>28</v>
      </c>
      <c r="Y99" s="267">
        <f t="shared" si="6"/>
        <v>28</v>
      </c>
      <c r="Z99" s="36">
        <f t="shared" si="7"/>
        <v>0.50063999999999997</v>
      </c>
      <c r="AA99" s="56"/>
      <c r="AB99" s="57"/>
      <c r="AC99" s="134" t="s">
        <v>173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0">
        <v>4620207491010</v>
      </c>
      <c r="E100" s="271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3"/>
      <c r="R100" s="273"/>
      <c r="S100" s="273"/>
      <c r="T100" s="274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157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0">
        <v>4607111035028</v>
      </c>
      <c r="E101" s="271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3"/>
      <c r="R101" s="273"/>
      <c r="S101" s="273"/>
      <c r="T101" s="274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0">
        <v>4607111036407</v>
      </c>
      <c r="E102" s="271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3"/>
      <c r="R102" s="273"/>
      <c r="S102" s="273"/>
      <c r="T102" s="274"/>
      <c r="U102" s="34"/>
      <c r="V102" s="34"/>
      <c r="W102" s="35" t="s">
        <v>70</v>
      </c>
      <c r="X102" s="266">
        <v>14</v>
      </c>
      <c r="Y102" s="267">
        <f t="shared" si="6"/>
        <v>14</v>
      </c>
      <c r="Z102" s="36">
        <f t="shared" si="7"/>
        <v>0.25031999999999999</v>
      </c>
      <c r="AA102" s="56"/>
      <c r="AB102" s="57"/>
      <c r="AC102" s="140" t="s">
        <v>180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70</v>
      </c>
      <c r="Y103" s="268">
        <f>IFERROR(SUM(Y97:Y102),"0")</f>
        <v>70</v>
      </c>
      <c r="Z103" s="268">
        <f>IFERROR(IF(Z97="",0,Z97),"0")+IFERROR(IF(Z98="",0,Z98),"0")+IFERROR(IF(Z99="",0,Z99),"0")+IFERROR(IF(Z100="",0,Z100),"0")+IFERROR(IF(Z101="",0,Z101),"0")+IFERROR(IF(Z102="",0,Z102),"0")</f>
        <v>1.2515999999999998</v>
      </c>
      <c r="AA103" s="269"/>
      <c r="AB103" s="269"/>
      <c r="AC103" s="269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220.08</v>
      </c>
      <c r="Y104" s="268">
        <f>IFERROR(SUMPRODUCT(Y97:Y102*H97:H102),"0")</f>
        <v>220.08</v>
      </c>
      <c r="Z104" s="37"/>
      <c r="AA104" s="269"/>
      <c r="AB104" s="269"/>
      <c r="AC104" s="269"/>
    </row>
    <row r="105" spans="1:68" ht="16.5" customHeight="1" x14ac:dyDescent="0.25">
      <c r="A105" s="285" t="s">
        <v>181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1"/>
      <c r="AB105" s="261"/>
      <c r="AC105" s="261"/>
    </row>
    <row r="106" spans="1:68" ht="14.25" customHeight="1" x14ac:dyDescent="0.25">
      <c r="A106" s="301" t="s">
        <v>131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2"/>
      <c r="AB106" s="262"/>
      <c r="AC106" s="262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0">
        <v>4607025784012</v>
      </c>
      <c r="E107" s="271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3"/>
      <c r="R107" s="273"/>
      <c r="S107" s="273"/>
      <c r="T107" s="274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0">
        <v>4607025784319</v>
      </c>
      <c r="E108" s="271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6">
        <v>0</v>
      </c>
      <c r="Y108" s="26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0</v>
      </c>
      <c r="Y109" s="268">
        <f>IFERROR(SUM(Y107:Y108),"0")</f>
        <v>0</v>
      </c>
      <c r="Z109" s="268">
        <f>IFERROR(IF(Z107="",0,Z107),"0")+IFERROR(IF(Z108="",0,Z108),"0")</f>
        <v>0</v>
      </c>
      <c r="AA109" s="269"/>
      <c r="AB109" s="269"/>
      <c r="AC109" s="269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0</v>
      </c>
      <c r="Y110" s="268">
        <f>IFERROR(SUMPRODUCT(Y107:Y108*H107:H108),"0")</f>
        <v>0</v>
      </c>
      <c r="Z110" s="37"/>
      <c r="AA110" s="269"/>
      <c r="AB110" s="269"/>
      <c r="AC110" s="269"/>
    </row>
    <row r="111" spans="1:68" ht="16.5" customHeight="1" x14ac:dyDescent="0.25">
      <c r="A111" s="285" t="s">
        <v>187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1"/>
      <c r="AB111" s="261"/>
      <c r="AC111" s="261"/>
    </row>
    <row r="112" spans="1:68" ht="14.25" customHeight="1" x14ac:dyDescent="0.25">
      <c r="A112" s="301" t="s">
        <v>64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0">
        <v>4620207491157</v>
      </c>
      <c r="E113" s="271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3"/>
      <c r="R113" s="273"/>
      <c r="S113" s="273"/>
      <c r="T113" s="274"/>
      <c r="U113" s="34"/>
      <c r="V113" s="34"/>
      <c r="W113" s="35" t="s">
        <v>70</v>
      </c>
      <c r="X113" s="266">
        <v>12</v>
      </c>
      <c r="Y113" s="267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190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0">
        <v>4620207491393</v>
      </c>
      <c r="E114" s="271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3"/>
      <c r="R114" s="273"/>
      <c r="S114" s="273"/>
      <c r="T114" s="274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0">
        <v>4607111039262</v>
      </c>
      <c r="E115" s="271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3"/>
      <c r="R115" s="273"/>
      <c r="S115" s="273"/>
      <c r="T115" s="274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151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0">
        <v>4607111039248</v>
      </c>
      <c r="E116" s="271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6">
        <v>24</v>
      </c>
      <c r="Y116" s="267">
        <f t="shared" si="12"/>
        <v>24</v>
      </c>
      <c r="Z116" s="36">
        <f t="shared" si="13"/>
        <v>0.372</v>
      </c>
      <c r="AA116" s="56"/>
      <c r="AB116" s="57"/>
      <c r="AC116" s="152" t="s">
        <v>151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175.2</v>
      </c>
      <c r="BN116" s="67">
        <f t="shared" si="15"/>
        <v>175.2</v>
      </c>
      <c r="BO116" s="67">
        <f t="shared" si="16"/>
        <v>0.2857142857142857</v>
      </c>
      <c r="BP116" s="67">
        <f t="shared" si="17"/>
        <v>0.2857142857142857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0">
        <v>4607111037145</v>
      </c>
      <c r="E117" s="271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3"/>
      <c r="R117" s="273"/>
      <c r="S117" s="273"/>
      <c r="T117" s="274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0">
        <v>4607111039293</v>
      </c>
      <c r="E118" s="271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3"/>
      <c r="R118" s="273"/>
      <c r="S118" s="273"/>
      <c r="T118" s="274"/>
      <c r="U118" s="34"/>
      <c r="V118" s="34"/>
      <c r="W118" s="35" t="s">
        <v>70</v>
      </c>
      <c r="X118" s="266">
        <v>0</v>
      </c>
      <c r="Y118" s="267">
        <f t="shared" si="12"/>
        <v>0</v>
      </c>
      <c r="Z118" s="36">
        <f t="shared" si="13"/>
        <v>0</v>
      </c>
      <c r="AA118" s="56"/>
      <c r="AB118" s="57"/>
      <c r="AC118" s="156" t="s">
        <v>151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0">
        <v>4607111039279</v>
      </c>
      <c r="E119" s="271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3"/>
      <c r="R119" s="273"/>
      <c r="S119" s="273"/>
      <c r="T119" s="274"/>
      <c r="U119" s="34"/>
      <c r="V119" s="34"/>
      <c r="W119" s="35" t="s">
        <v>70</v>
      </c>
      <c r="X119" s="266">
        <v>0</v>
      </c>
      <c r="Y119" s="267">
        <f t="shared" si="12"/>
        <v>0</v>
      </c>
      <c r="Z119" s="36">
        <f t="shared" si="13"/>
        <v>0</v>
      </c>
      <c r="AA119" s="56"/>
      <c r="AB119" s="57"/>
      <c r="AC119" s="158" t="s">
        <v>151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x14ac:dyDescent="0.2">
      <c r="A120" s="287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8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36</v>
      </c>
      <c r="Y120" s="268">
        <f>IFERROR(SUM(Y113:Y119),"0")</f>
        <v>36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0.55800000000000005</v>
      </c>
      <c r="AA120" s="269"/>
      <c r="AB120" s="269"/>
      <c r="AC120" s="269"/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8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252</v>
      </c>
      <c r="Y121" s="268">
        <f>IFERROR(SUMPRODUCT(Y113:Y119*H113:H119),"0")</f>
        <v>252</v>
      </c>
      <c r="Z121" s="37"/>
      <c r="AA121" s="269"/>
      <c r="AB121" s="269"/>
      <c r="AC121" s="269"/>
    </row>
    <row r="122" spans="1:68" ht="14.25" customHeight="1" x14ac:dyDescent="0.25">
      <c r="A122" s="301" t="s">
        <v>137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62"/>
      <c r="AB122" s="262"/>
      <c r="AC122" s="262"/>
    </row>
    <row r="123" spans="1:68" ht="27" customHeight="1" x14ac:dyDescent="0.25">
      <c r="A123" s="54" t="s">
        <v>205</v>
      </c>
      <c r="B123" s="54" t="s">
        <v>206</v>
      </c>
      <c r="C123" s="31">
        <v>4301135670</v>
      </c>
      <c r="D123" s="270">
        <v>4620207490983</v>
      </c>
      <c r="E123" s="271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3"/>
      <c r="R123" s="273"/>
      <c r="S123" s="273"/>
      <c r="T123" s="274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207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0">
        <v>4620207490983</v>
      </c>
      <c r="E124" s="271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3"/>
      <c r="R124" s="273"/>
      <c r="S124" s="273"/>
      <c r="T124" s="274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8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customHeight="1" x14ac:dyDescent="0.25">
      <c r="A127" s="301" t="s">
        <v>211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62"/>
      <c r="AB127" s="262"/>
      <c r="AC127" s="262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0">
        <v>4620207491140</v>
      </c>
      <c r="E128" s="271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8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customHeight="1" x14ac:dyDescent="0.25">
      <c r="A131" s="285" t="s">
        <v>215</v>
      </c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61"/>
      <c r="AB131" s="261"/>
      <c r="AC131" s="261"/>
    </row>
    <row r="132" spans="1:68" ht="14.25" customHeight="1" x14ac:dyDescent="0.25">
      <c r="A132" s="301" t="s">
        <v>137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2"/>
      <c r="AB132" s="262"/>
      <c r="AC132" s="262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0">
        <v>4607111034014</v>
      </c>
      <c r="E133" s="271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6">
        <v>0</v>
      </c>
      <c r="Y133" s="267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218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0">
        <v>4607111033994</v>
      </c>
      <c r="E134" s="271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140</v>
      </c>
      <c r="M134" s="33" t="s">
        <v>69</v>
      </c>
      <c r="N134" s="33"/>
      <c r="O134" s="32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6">
        <v>14</v>
      </c>
      <c r="Y134" s="267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8" t="s">
        <v>157</v>
      </c>
      <c r="AG134" s="67"/>
      <c r="AJ134" s="71" t="s">
        <v>141</v>
      </c>
      <c r="AK134" s="71">
        <v>70</v>
      </c>
      <c r="BB134" s="169" t="s">
        <v>100</v>
      </c>
      <c r="BM134" s="67">
        <f>IFERROR(X134*I134,"0")</f>
        <v>51.850399999999993</v>
      </c>
      <c r="BN134" s="67">
        <f>IFERROR(Y134*I134,"0")</f>
        <v>51.850399999999993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287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8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14</v>
      </c>
      <c r="Y135" s="268">
        <f>IFERROR(SUM(Y133:Y134),"0")</f>
        <v>14</v>
      </c>
      <c r="Z135" s="268">
        <f>IFERROR(IF(Z133="",0,Z133),"0")+IFERROR(IF(Z134="",0,Z134),"0")</f>
        <v>0.25031999999999999</v>
      </c>
      <c r="AA135" s="269"/>
      <c r="AB135" s="269"/>
      <c r="AC135" s="269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42</v>
      </c>
      <c r="Y136" s="268">
        <f>IFERROR(SUMPRODUCT(Y133:Y134*H133:H134),"0")</f>
        <v>42</v>
      </c>
      <c r="Z136" s="37"/>
      <c r="AA136" s="269"/>
      <c r="AB136" s="269"/>
      <c r="AC136" s="269"/>
    </row>
    <row r="137" spans="1:68" ht="16.5" customHeight="1" x14ac:dyDescent="0.25">
      <c r="A137" s="285" t="s">
        <v>221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61"/>
      <c r="AB137" s="261"/>
      <c r="AC137" s="261"/>
    </row>
    <row r="138" spans="1:68" ht="14.25" customHeight="1" x14ac:dyDescent="0.25">
      <c r="A138" s="301" t="s">
        <v>137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0">
        <v>4607111039095</v>
      </c>
      <c r="E139" s="271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6">
        <v>42</v>
      </c>
      <c r="Y139" s="267">
        <f>IFERROR(IF(X139="","",X139),"")</f>
        <v>42</v>
      </c>
      <c r="Z139" s="36">
        <f>IFERROR(IF(X139="","",X139*0.01788),"")</f>
        <v>0.75095999999999996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157.416</v>
      </c>
      <c r="BN139" s="67">
        <f>IFERROR(Y139*I139,"0")</f>
        <v>157.416</v>
      </c>
      <c r="BO139" s="67">
        <f>IFERROR(X139/J139,"0")</f>
        <v>0.6</v>
      </c>
      <c r="BP139" s="67">
        <f>IFERROR(Y139/J139,"0")</f>
        <v>0.6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0">
        <v>4607111034199</v>
      </c>
      <c r="E140" s="271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3"/>
      <c r="R140" s="273"/>
      <c r="S140" s="273"/>
      <c r="T140" s="274"/>
      <c r="U140" s="34"/>
      <c r="V140" s="34"/>
      <c r="W140" s="35" t="s">
        <v>70</v>
      </c>
      <c r="X140" s="266">
        <v>0</v>
      </c>
      <c r="Y140" s="267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8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42</v>
      </c>
      <c r="Y141" s="268">
        <f>IFERROR(SUM(Y139:Y140),"0")</f>
        <v>42</v>
      </c>
      <c r="Z141" s="268">
        <f>IFERROR(IF(Z139="",0,Z139),"0")+IFERROR(IF(Z140="",0,Z140),"0")</f>
        <v>0.75095999999999996</v>
      </c>
      <c r="AA141" s="269"/>
      <c r="AB141" s="269"/>
      <c r="AC141" s="269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126</v>
      </c>
      <c r="Y142" s="268">
        <f>IFERROR(SUMPRODUCT(Y139:Y140*H139:H140),"0")</f>
        <v>126</v>
      </c>
      <c r="Z142" s="37"/>
      <c r="AA142" s="269"/>
      <c r="AB142" s="269"/>
      <c r="AC142" s="269"/>
    </row>
    <row r="143" spans="1:68" ht="16.5" customHeight="1" x14ac:dyDescent="0.25">
      <c r="A143" s="285" t="s">
        <v>228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61"/>
      <c r="AB143" s="261"/>
      <c r="AC143" s="261"/>
    </row>
    <row r="144" spans="1:68" ht="14.25" customHeight="1" x14ac:dyDescent="0.25">
      <c r="A144" s="301" t="s">
        <v>137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0">
        <v>4620207490914</v>
      </c>
      <c r="E145" s="271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3"/>
      <c r="R145" s="273"/>
      <c r="S145" s="273"/>
      <c r="T145" s="274"/>
      <c r="U145" s="34"/>
      <c r="V145" s="34"/>
      <c r="W145" s="35" t="s">
        <v>70</v>
      </c>
      <c r="X145" s="266">
        <v>0</v>
      </c>
      <c r="Y145" s="267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0">
        <v>4620207490853</v>
      </c>
      <c r="E146" s="271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3"/>
      <c r="R146" s="273"/>
      <c r="S146" s="273"/>
      <c r="T146" s="274"/>
      <c r="U146" s="34"/>
      <c r="V146" s="34"/>
      <c r="W146" s="35" t="s">
        <v>70</v>
      </c>
      <c r="X146" s="266">
        <v>0</v>
      </c>
      <c r="Y146" s="26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8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0</v>
      </c>
      <c r="Y147" s="268">
        <f>IFERROR(SUM(Y145:Y146),"0")</f>
        <v>0</v>
      </c>
      <c r="Z147" s="268">
        <f>IFERROR(IF(Z145="",0,Z145),"0")+IFERROR(IF(Z146="",0,Z146),"0")</f>
        <v>0</v>
      </c>
      <c r="AA147" s="269"/>
      <c r="AB147" s="269"/>
      <c r="AC147" s="269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0</v>
      </c>
      <c r="Y148" s="268">
        <f>IFERROR(SUMPRODUCT(Y145:Y146*H145:H146),"0")</f>
        <v>0</v>
      </c>
      <c r="Z148" s="37"/>
      <c r="AA148" s="269"/>
      <c r="AB148" s="269"/>
      <c r="AC148" s="269"/>
    </row>
    <row r="149" spans="1:68" ht="16.5" customHeight="1" x14ac:dyDescent="0.25">
      <c r="A149" s="285" t="s">
        <v>233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61"/>
      <c r="AB149" s="261"/>
      <c r="AC149" s="261"/>
    </row>
    <row r="150" spans="1:68" ht="14.25" customHeight="1" x14ac:dyDescent="0.25">
      <c r="A150" s="301" t="s">
        <v>137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0">
        <v>4607111035806</v>
      </c>
      <c r="E151" s="271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3"/>
      <c r="R151" s="273"/>
      <c r="S151" s="273"/>
      <c r="T151" s="274"/>
      <c r="U151" s="34"/>
      <c r="V151" s="34"/>
      <c r="W151" s="35" t="s">
        <v>70</v>
      </c>
      <c r="X151" s="266">
        <v>0</v>
      </c>
      <c r="Y151" s="267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8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0</v>
      </c>
      <c r="Y152" s="268">
        <f>IFERROR(SUM(Y151:Y151),"0")</f>
        <v>0</v>
      </c>
      <c r="Z152" s="268">
        <f>IFERROR(IF(Z151="",0,Z151),"0")</f>
        <v>0</v>
      </c>
      <c r="AA152" s="269"/>
      <c r="AB152" s="269"/>
      <c r="AC152" s="26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0</v>
      </c>
      <c r="Y153" s="268">
        <f>IFERROR(SUMPRODUCT(Y151:Y151*H151:H151),"0")</f>
        <v>0</v>
      </c>
      <c r="Z153" s="37"/>
      <c r="AA153" s="269"/>
      <c r="AB153" s="269"/>
      <c r="AC153" s="269"/>
    </row>
    <row r="154" spans="1:68" ht="16.5" customHeight="1" x14ac:dyDescent="0.25">
      <c r="A154" s="285" t="s">
        <v>237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61"/>
      <c r="AB154" s="261"/>
      <c r="AC154" s="261"/>
    </row>
    <row r="155" spans="1:68" ht="14.25" customHeight="1" x14ac:dyDescent="0.25">
      <c r="A155" s="301" t="s">
        <v>137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2"/>
      <c r="AB155" s="262"/>
      <c r="AC155" s="262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0">
        <v>4607111039613</v>
      </c>
      <c r="E156" s="271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3"/>
      <c r="R156" s="273"/>
      <c r="S156" s="273"/>
      <c r="T156" s="274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8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customHeight="1" x14ac:dyDescent="0.25">
      <c r="A159" s="285" t="s">
        <v>240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61"/>
      <c r="AB159" s="261"/>
      <c r="AC159" s="261"/>
    </row>
    <row r="160" spans="1:68" ht="14.25" customHeight="1" x14ac:dyDescent="0.25">
      <c r="A160" s="301" t="s">
        <v>211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2"/>
      <c r="AB160" s="262"/>
      <c r="AC160" s="262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0">
        <v>4607111035646</v>
      </c>
      <c r="E161" s="271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3"/>
      <c r="R161" s="273"/>
      <c r="S161" s="273"/>
      <c r="T161" s="274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8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customHeight="1" x14ac:dyDescent="0.25">
      <c r="A164" s="285" t="s">
        <v>245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61"/>
      <c r="AB164" s="261"/>
      <c r="AC164" s="261"/>
    </row>
    <row r="165" spans="1:68" ht="14.25" customHeight="1" x14ac:dyDescent="0.25">
      <c r="A165" s="301" t="s">
        <v>137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0">
        <v>4607111036568</v>
      </c>
      <c r="E166" s="271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3"/>
      <c r="R166" s="273"/>
      <c r="S166" s="273"/>
      <c r="T166" s="274"/>
      <c r="U166" s="34"/>
      <c r="V166" s="34"/>
      <c r="W166" s="35" t="s">
        <v>70</v>
      </c>
      <c r="X166" s="266">
        <v>56</v>
      </c>
      <c r="Y166" s="267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87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8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56</v>
      </c>
      <c r="Y167" s="268">
        <f>IFERROR(SUM(Y166:Y166),"0")</f>
        <v>56</v>
      </c>
      <c r="Z167" s="268">
        <f>IFERROR(IF(Z166="",0,Z166),"0")</f>
        <v>0.52695999999999998</v>
      </c>
      <c r="AA167" s="269"/>
      <c r="AB167" s="269"/>
      <c r="AC167" s="269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94.08</v>
      </c>
      <c r="Y168" s="268">
        <f>IFERROR(SUMPRODUCT(Y166:Y166*H166:H166),"0")</f>
        <v>94.08</v>
      </c>
      <c r="Z168" s="37"/>
      <c r="AA168" s="269"/>
      <c r="AB168" s="269"/>
      <c r="AC168" s="269"/>
    </row>
    <row r="169" spans="1:68" ht="27.75" customHeight="1" x14ac:dyDescent="0.2">
      <c r="A169" s="283" t="s">
        <v>249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48"/>
      <c r="AB169" s="48"/>
      <c r="AC169" s="48"/>
    </row>
    <row r="170" spans="1:68" ht="16.5" customHeight="1" x14ac:dyDescent="0.25">
      <c r="A170" s="285" t="s">
        <v>250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61"/>
      <c r="AB170" s="261"/>
      <c r="AC170" s="261"/>
    </row>
    <row r="171" spans="1:68" ht="14.25" customHeight="1" x14ac:dyDescent="0.25">
      <c r="A171" s="301" t="s">
        <v>64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2"/>
      <c r="AB171" s="262"/>
      <c r="AC171" s="262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0">
        <v>4607111036384</v>
      </c>
      <c r="E172" s="271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3"/>
      <c r="R172" s="273"/>
      <c r="S172" s="273"/>
      <c r="T172" s="274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0">
        <v>4607111036216</v>
      </c>
      <c r="E173" s="271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3"/>
      <c r="R173" s="273"/>
      <c r="S173" s="273"/>
      <c r="T173" s="274"/>
      <c r="U173" s="34"/>
      <c r="V173" s="34"/>
      <c r="W173" s="35" t="s">
        <v>70</v>
      </c>
      <c r="X173" s="266">
        <v>0</v>
      </c>
      <c r="Y173" s="267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8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0</v>
      </c>
      <c r="Y174" s="268">
        <f>IFERROR(SUM(Y172:Y173),"0")</f>
        <v>0</v>
      </c>
      <c r="Z174" s="268">
        <f>IFERROR(IF(Z172="",0,Z172),"0")+IFERROR(IF(Z173="",0,Z173),"0")</f>
        <v>0</v>
      </c>
      <c r="AA174" s="269"/>
      <c r="AB174" s="269"/>
      <c r="AC174" s="269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0</v>
      </c>
      <c r="Y175" s="268">
        <f>IFERROR(SUMPRODUCT(Y172:Y173*H172:H173),"0")</f>
        <v>0</v>
      </c>
      <c r="Z175" s="37"/>
      <c r="AA175" s="269"/>
      <c r="AB175" s="269"/>
      <c r="AC175" s="269"/>
    </row>
    <row r="176" spans="1:68" ht="27.75" customHeight="1" x14ac:dyDescent="0.2">
      <c r="A176" s="283" t="s">
        <v>257</v>
      </c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48"/>
      <c r="AB176" s="48"/>
      <c r="AC176" s="48"/>
    </row>
    <row r="177" spans="1:68" ht="16.5" customHeight="1" x14ac:dyDescent="0.25">
      <c r="A177" s="285" t="s">
        <v>258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61"/>
      <c r="AB177" s="261"/>
      <c r="AC177" s="261"/>
    </row>
    <row r="178" spans="1:68" ht="14.25" customHeight="1" x14ac:dyDescent="0.25">
      <c r="A178" s="301" t="s">
        <v>93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0">
        <v>4607111035691</v>
      </c>
      <c r="E179" s="271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3"/>
      <c r="R179" s="273"/>
      <c r="S179" s="273"/>
      <c r="T179" s="274"/>
      <c r="U179" s="34"/>
      <c r="V179" s="34"/>
      <c r="W179" s="35" t="s">
        <v>70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0">
        <v>4607111035721</v>
      </c>
      <c r="E180" s="271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3"/>
      <c r="R180" s="273"/>
      <c r="S180" s="273"/>
      <c r="T180" s="274"/>
      <c r="U180" s="34"/>
      <c r="V180" s="34"/>
      <c r="W180" s="35" t="s">
        <v>70</v>
      </c>
      <c r="X180" s="266">
        <v>0</v>
      </c>
      <c r="Y180" s="267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0">
        <v>4607111038487</v>
      </c>
      <c r="E181" s="271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3"/>
      <c r="R181" s="273"/>
      <c r="S181" s="273"/>
      <c r="T181" s="274"/>
      <c r="U181" s="34"/>
      <c r="V181" s="34"/>
      <c r="W181" s="35" t="s">
        <v>70</v>
      </c>
      <c r="X181" s="266">
        <v>0</v>
      </c>
      <c r="Y181" s="267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268</v>
      </c>
      <c r="B182" s="54" t="s">
        <v>269</v>
      </c>
      <c r="C182" s="31">
        <v>4301132243</v>
      </c>
      <c r="D182" s="270">
        <v>4620207491195</v>
      </c>
      <c r="E182" s="271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3"/>
      <c r="R182" s="273"/>
      <c r="S182" s="273"/>
      <c r="T182" s="274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0</v>
      </c>
      <c r="Y183" s="268">
        <f>IFERROR(SUM(Y179:Y182),"0")</f>
        <v>0</v>
      </c>
      <c r="Z183" s="268">
        <f>IFERROR(IF(Z179="",0,Z179),"0")+IFERROR(IF(Z180="",0,Z180),"0")+IFERROR(IF(Z181="",0,Z181),"0")+IFERROR(IF(Z182="",0,Z182),"0")</f>
        <v>0</v>
      </c>
      <c r="AA183" s="269"/>
      <c r="AB183" s="269"/>
      <c r="AC183" s="269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0</v>
      </c>
      <c r="Y184" s="268">
        <f>IFERROR(SUMPRODUCT(Y179:Y182*H179:H182),"0")</f>
        <v>0</v>
      </c>
      <c r="Z184" s="37"/>
      <c r="AA184" s="269"/>
      <c r="AB184" s="269"/>
      <c r="AC184" s="269"/>
    </row>
    <row r="185" spans="1:68" ht="14.25" customHeight="1" x14ac:dyDescent="0.25">
      <c r="A185" s="301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2"/>
      <c r="AB185" s="262"/>
      <c r="AC185" s="262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0">
        <v>4680115885875</v>
      </c>
      <c r="E186" s="271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35" t="s">
        <v>276</v>
      </c>
      <c r="Q186" s="273"/>
      <c r="R186" s="273"/>
      <c r="S186" s="273"/>
      <c r="T186" s="274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customHeight="1" x14ac:dyDescent="0.2">
      <c r="A189" s="283" t="s">
        <v>279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48"/>
      <c r="AB189" s="48"/>
      <c r="AC189" s="48"/>
    </row>
    <row r="190" spans="1:68" ht="16.5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1"/>
      <c r="AB190" s="261"/>
      <c r="AC190" s="261"/>
    </row>
    <row r="191" spans="1:68" ht="14.25" customHeight="1" x14ac:dyDescent="0.25">
      <c r="A191" s="301" t="s">
        <v>93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2"/>
      <c r="AB191" s="262"/>
      <c r="AC191" s="262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0">
        <v>4620207491133</v>
      </c>
      <c r="E192" s="271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3"/>
      <c r="R192" s="273"/>
      <c r="S192" s="273"/>
      <c r="T192" s="274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customHeight="1" x14ac:dyDescent="0.25">
      <c r="A195" s="301" t="s">
        <v>137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2"/>
      <c r="AB195" s="262"/>
      <c r="AC195" s="262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0">
        <v>4620207491188</v>
      </c>
      <c r="E196" s="271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3"/>
      <c r="R196" s="273"/>
      <c r="S196" s="273"/>
      <c r="T196" s="274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0">
        <v>4620207490198</v>
      </c>
      <c r="E197" s="271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3"/>
      <c r="R197" s="273"/>
      <c r="S197" s="273"/>
      <c r="T197" s="274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0">
        <v>4620207490235</v>
      </c>
      <c r="E198" s="271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3"/>
      <c r="R198" s="273"/>
      <c r="S198" s="273"/>
      <c r="T198" s="274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0">
        <v>4620207490259</v>
      </c>
      <c r="E199" s="271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3"/>
      <c r="R199" s="273"/>
      <c r="S199" s="273"/>
      <c r="T199" s="274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0">
        <v>4620207490143</v>
      </c>
      <c r="E200" s="271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97</v>
      </c>
      <c r="M200" s="33" t="s">
        <v>69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3"/>
      <c r="R200" s="273"/>
      <c r="S200" s="273"/>
      <c r="T200" s="274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1"/>
      <c r="AB203" s="261"/>
      <c r="AC203" s="261"/>
    </row>
    <row r="204" spans="1:68" ht="14.25" customHeight="1" x14ac:dyDescent="0.25">
      <c r="A204" s="301" t="s">
        <v>64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0">
        <v>4620207491096</v>
      </c>
      <c r="E205" s="271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1"/>
      <c r="AB208" s="261"/>
      <c r="AC208" s="261"/>
    </row>
    <row r="209" spans="1:68" ht="14.25" customHeight="1" x14ac:dyDescent="0.25">
      <c r="A209" s="301" t="s">
        <v>137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2"/>
      <c r="AB209" s="262"/>
      <c r="AC209" s="262"/>
    </row>
    <row r="210" spans="1:68" ht="27" customHeight="1" x14ac:dyDescent="0.25">
      <c r="A210" s="54" t="s">
        <v>303</v>
      </c>
      <c r="B210" s="54" t="s">
        <v>304</v>
      </c>
      <c r="C210" s="31">
        <v>4301135691</v>
      </c>
      <c r="D210" s="270">
        <v>4620207490549</v>
      </c>
      <c r="E210" s="271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97</v>
      </c>
      <c r="M210" s="33" t="s">
        <v>69</v>
      </c>
      <c r="N210" s="33"/>
      <c r="O210" s="32">
        <v>180</v>
      </c>
      <c r="P210" s="36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99</v>
      </c>
      <c r="AK210" s="71">
        <v>14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306</v>
      </c>
      <c r="B211" s="54" t="s">
        <v>307</v>
      </c>
      <c r="C211" s="31">
        <v>4301135694</v>
      </c>
      <c r="D211" s="270">
        <v>4620207490501</v>
      </c>
      <c r="E211" s="271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97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99</v>
      </c>
      <c r="AK211" s="71">
        <v>14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7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8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customHeight="1" x14ac:dyDescent="0.2">
      <c r="A214" s="283" t="s">
        <v>308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48"/>
      <c r="AB214" s="48"/>
      <c r="AC214" s="48"/>
    </row>
    <row r="215" spans="1:68" ht="16.5" customHeight="1" x14ac:dyDescent="0.25">
      <c r="A215" s="285" t="s">
        <v>309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61"/>
      <c r="AB215" s="261"/>
      <c r="AC215" s="261"/>
    </row>
    <row r="216" spans="1:68" ht="14.25" customHeight="1" x14ac:dyDescent="0.25">
      <c r="A216" s="301" t="s">
        <v>64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62"/>
      <c r="AB216" s="262"/>
      <c r="AC216" s="262"/>
    </row>
    <row r="217" spans="1:68" ht="27" customHeight="1" x14ac:dyDescent="0.25">
      <c r="A217" s="54" t="s">
        <v>310</v>
      </c>
      <c r="B217" s="54" t="s">
        <v>311</v>
      </c>
      <c r="C217" s="31">
        <v>4301071036</v>
      </c>
      <c r="D217" s="270">
        <v>4607111036162</v>
      </c>
      <c r="E217" s="271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3"/>
      <c r="R217" s="273"/>
      <c r="S217" s="273"/>
      <c r="T217" s="274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7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8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8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customHeight="1" x14ac:dyDescent="0.2">
      <c r="A220" s="283" t="s">
        <v>313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48"/>
      <c r="AB220" s="48"/>
      <c r="AC220" s="48"/>
    </row>
    <row r="221" spans="1:68" ht="16.5" customHeight="1" x14ac:dyDescent="0.25">
      <c r="A221" s="285" t="s">
        <v>314</v>
      </c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61"/>
      <c r="AB221" s="261"/>
      <c r="AC221" s="261"/>
    </row>
    <row r="222" spans="1:68" ht="14.25" customHeight="1" x14ac:dyDescent="0.25">
      <c r="A222" s="301" t="s">
        <v>64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0">
        <v>4607111035899</v>
      </c>
      <c r="E223" s="271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3"/>
      <c r="R223" s="273"/>
      <c r="S223" s="273"/>
      <c r="T223" s="274"/>
      <c r="U223" s="34"/>
      <c r="V223" s="34"/>
      <c r="W223" s="35" t="s">
        <v>70</v>
      </c>
      <c r="X223" s="266">
        <v>0</v>
      </c>
      <c r="Y223" s="267">
        <f>IFERROR(IF(X223="","",X223),"")</f>
        <v>0</v>
      </c>
      <c r="Z223" s="36">
        <f>IFERROR(IF(X223="","",X223*0.0155),"")</f>
        <v>0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7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8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0</v>
      </c>
      <c r="Y224" s="268">
        <f>IFERROR(SUM(Y223:Y223),"0")</f>
        <v>0</v>
      </c>
      <c r="Z224" s="268">
        <f>IFERROR(IF(Z223="",0,Z223),"0")</f>
        <v>0</v>
      </c>
      <c r="AA224" s="269"/>
      <c r="AB224" s="269"/>
      <c r="AC224" s="269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8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0</v>
      </c>
      <c r="Y225" s="268">
        <f>IFERROR(SUMPRODUCT(Y223:Y223*H223:H223),"0")</f>
        <v>0</v>
      </c>
      <c r="Z225" s="37"/>
      <c r="AA225" s="269"/>
      <c r="AB225" s="269"/>
      <c r="AC225" s="269"/>
    </row>
    <row r="226" spans="1:68" ht="27.75" customHeight="1" x14ac:dyDescent="0.2">
      <c r="A226" s="283" t="s">
        <v>317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48"/>
      <c r="AB226" s="48"/>
      <c r="AC226" s="48"/>
    </row>
    <row r="227" spans="1:68" ht="16.5" customHeight="1" x14ac:dyDescent="0.25">
      <c r="A227" s="285" t="s">
        <v>318</v>
      </c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61"/>
      <c r="AB227" s="261"/>
      <c r="AC227" s="261"/>
    </row>
    <row r="228" spans="1:68" ht="14.25" customHeight="1" x14ac:dyDescent="0.25">
      <c r="A228" s="301" t="s">
        <v>319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62"/>
      <c r="AB228" s="262"/>
      <c r="AC228" s="262"/>
    </row>
    <row r="229" spans="1:68" ht="27" customHeight="1" x14ac:dyDescent="0.25">
      <c r="A229" s="54" t="s">
        <v>320</v>
      </c>
      <c r="B229" s="54" t="s">
        <v>321</v>
      </c>
      <c r="C229" s="31">
        <v>4301133004</v>
      </c>
      <c r="D229" s="270">
        <v>4607111039774</v>
      </c>
      <c r="E229" s="271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3"/>
      <c r="R229" s="273"/>
      <c r="S229" s="273"/>
      <c r="T229" s="274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7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8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8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customHeight="1" x14ac:dyDescent="0.25">
      <c r="A232" s="301" t="s">
        <v>137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2"/>
      <c r="AB232" s="262"/>
      <c r="AC232" s="262"/>
    </row>
    <row r="233" spans="1:68" ht="37.5" customHeight="1" x14ac:dyDescent="0.25">
      <c r="A233" s="54" t="s">
        <v>323</v>
      </c>
      <c r="B233" s="54" t="s">
        <v>324</v>
      </c>
      <c r="C233" s="31">
        <v>4301135400</v>
      </c>
      <c r="D233" s="270">
        <v>4607111039361</v>
      </c>
      <c r="E233" s="271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97</v>
      </c>
      <c r="M233" s="33" t="s">
        <v>69</v>
      </c>
      <c r="N233" s="33"/>
      <c r="O233" s="32">
        <v>180</v>
      </c>
      <c r="P233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3"/>
      <c r="R233" s="273"/>
      <c r="S233" s="273"/>
      <c r="T233" s="274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99</v>
      </c>
      <c r="AK233" s="71">
        <v>14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customHeight="1" x14ac:dyDescent="0.2">
      <c r="A236" s="283" t="s">
        <v>325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48"/>
      <c r="AB236" s="48"/>
      <c r="AC236" s="48"/>
    </row>
    <row r="237" spans="1:68" ht="16.5" customHeight="1" x14ac:dyDescent="0.25">
      <c r="A237" s="285" t="s">
        <v>325</v>
      </c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61"/>
      <c r="AB237" s="261"/>
      <c r="AC237" s="261"/>
    </row>
    <row r="238" spans="1:68" ht="14.25" customHeight="1" x14ac:dyDescent="0.25">
      <c r="A238" s="301" t="s">
        <v>64</v>
      </c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62"/>
      <c r="AB238" s="262"/>
      <c r="AC238" s="262"/>
    </row>
    <row r="239" spans="1:68" ht="27" customHeight="1" x14ac:dyDescent="0.25">
      <c r="A239" s="54" t="s">
        <v>326</v>
      </c>
      <c r="B239" s="54" t="s">
        <v>327</v>
      </c>
      <c r="C239" s="31">
        <v>4301071014</v>
      </c>
      <c r="D239" s="270">
        <v>4640242181264</v>
      </c>
      <c r="E239" s="271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3"/>
      <c r="R239" s="273"/>
      <c r="S239" s="273"/>
      <c r="T239" s="274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0">
        <v>4640242181325</v>
      </c>
      <c r="E240" s="271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3"/>
      <c r="R240" s="273"/>
      <c r="S240" s="273"/>
      <c r="T240" s="274"/>
      <c r="U240" s="34"/>
      <c r="V240" s="34"/>
      <c r="W240" s="35" t="s">
        <v>70</v>
      </c>
      <c r="X240" s="266">
        <v>12</v>
      </c>
      <c r="Y240" s="267">
        <f>IFERROR(IF(X240="","",X240),"")</f>
        <v>12</v>
      </c>
      <c r="Z240" s="36">
        <f>IFERROR(IF(X240="","",X240*0.0155),"")</f>
        <v>0.186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87.36</v>
      </c>
      <c r="BN240" s="67">
        <f>IFERROR(Y240*I240,"0")</f>
        <v>87.36</v>
      </c>
      <c r="BO240" s="67">
        <f>IFERROR(X240/J240,"0")</f>
        <v>0.14285714285714285</v>
      </c>
      <c r="BP240" s="67">
        <f>IFERROR(Y240/J240,"0")</f>
        <v>0.14285714285714285</v>
      </c>
    </row>
    <row r="241" spans="1:68" x14ac:dyDescent="0.2">
      <c r="A241" s="287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8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12</v>
      </c>
      <c r="Y241" s="268">
        <f>IFERROR(SUM(Y239:Y240),"0")</f>
        <v>12</v>
      </c>
      <c r="Z241" s="268">
        <f>IFERROR(IF(Z239="",0,Z239),"0")+IFERROR(IF(Z240="",0,Z240),"0")</f>
        <v>0.186</v>
      </c>
      <c r="AA241" s="269"/>
      <c r="AB241" s="269"/>
      <c r="AC241" s="269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8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84</v>
      </c>
      <c r="Y242" s="268">
        <f>IFERROR(SUMPRODUCT(Y239:Y240*H239:H240),"0")</f>
        <v>84</v>
      </c>
      <c r="Z242" s="37"/>
      <c r="AA242" s="269"/>
      <c r="AB242" s="269"/>
      <c r="AC242" s="269"/>
    </row>
    <row r="243" spans="1:68" ht="14.25" customHeight="1" x14ac:dyDescent="0.25">
      <c r="A243" s="301" t="s">
        <v>93</v>
      </c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0">
        <v>4640242180397</v>
      </c>
      <c r="E244" s="271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7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3"/>
      <c r="R244" s="273"/>
      <c r="S244" s="273"/>
      <c r="T244" s="274"/>
      <c r="U244" s="34"/>
      <c r="V244" s="34"/>
      <c r="W244" s="35" t="s">
        <v>70</v>
      </c>
      <c r="X244" s="266">
        <v>72</v>
      </c>
      <c r="Y244" s="267">
        <f>IFERROR(IF(X244="","",X244),"")</f>
        <v>72</v>
      </c>
      <c r="Z244" s="36">
        <f>IFERROR(IF(X244="","",X244*0.0155),"")</f>
        <v>1.1160000000000001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450.71999999999997</v>
      </c>
      <c r="BN244" s="67">
        <f>IFERROR(Y244*I244,"0")</f>
        <v>450.71999999999997</v>
      </c>
      <c r="BO244" s="67">
        <f>IFERROR(X244/J244,"0")</f>
        <v>0.8571428571428571</v>
      </c>
      <c r="BP244" s="67">
        <f>IFERROR(Y244/J244,"0")</f>
        <v>0.8571428571428571</v>
      </c>
    </row>
    <row r="245" spans="1:68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72</v>
      </c>
      <c r="Y245" s="268">
        <f>IFERROR(SUM(Y244:Y244),"0")</f>
        <v>72</v>
      </c>
      <c r="Z245" s="268">
        <f>IFERROR(IF(Z244="",0,Z244),"0")</f>
        <v>1.1160000000000001</v>
      </c>
      <c r="AA245" s="269"/>
      <c r="AB245" s="269"/>
      <c r="AC245" s="269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432</v>
      </c>
      <c r="Y246" s="268">
        <f>IFERROR(SUMPRODUCT(Y244:Y244*H244:H244),"0")</f>
        <v>432</v>
      </c>
      <c r="Z246" s="37"/>
      <c r="AA246" s="269"/>
      <c r="AB246" s="269"/>
      <c r="AC246" s="269"/>
    </row>
    <row r="247" spans="1:68" ht="14.25" customHeight="1" x14ac:dyDescent="0.25">
      <c r="A247" s="301" t="s">
        <v>131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2"/>
      <c r="AB247" s="262"/>
      <c r="AC247" s="262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0">
        <v>4640242180304</v>
      </c>
      <c r="E248" s="271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38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3"/>
      <c r="R248" s="273"/>
      <c r="S248" s="273"/>
      <c r="T248" s="274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0">
        <v>4640242180236</v>
      </c>
      <c r="E249" s="271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9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3"/>
      <c r="R249" s="273"/>
      <c r="S249" s="273"/>
      <c r="T249" s="274"/>
      <c r="U249" s="34"/>
      <c r="V249" s="34"/>
      <c r="W249" s="35" t="s">
        <v>70</v>
      </c>
      <c r="X249" s="266">
        <v>0</v>
      </c>
      <c r="Y249" s="267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339</v>
      </c>
      <c r="B250" s="54" t="s">
        <v>340</v>
      </c>
      <c r="C250" s="31">
        <v>4301136052</v>
      </c>
      <c r="D250" s="270">
        <v>4640242180410</v>
      </c>
      <c r="E250" s="271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3"/>
      <c r="R250" s="273"/>
      <c r="S250" s="273"/>
      <c r="T250" s="274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7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0</v>
      </c>
      <c r="Y251" s="268">
        <f>IFERROR(SUM(Y248:Y250),"0")</f>
        <v>0</v>
      </c>
      <c r="Z251" s="268">
        <f>IFERROR(IF(Z248="",0,Z248),"0")+IFERROR(IF(Z249="",0,Z249),"0")+IFERROR(IF(Z250="",0,Z250),"0")</f>
        <v>0</v>
      </c>
      <c r="AA251" s="269"/>
      <c r="AB251" s="269"/>
      <c r="AC251" s="269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8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0</v>
      </c>
      <c r="Y252" s="268">
        <f>IFERROR(SUMPRODUCT(Y248:Y250*H248:H250),"0")</f>
        <v>0</v>
      </c>
      <c r="Z252" s="37"/>
      <c r="AA252" s="269"/>
      <c r="AB252" s="269"/>
      <c r="AC252" s="269"/>
    </row>
    <row r="253" spans="1:68" ht="14.25" customHeight="1" x14ac:dyDescent="0.25">
      <c r="A253" s="301" t="s">
        <v>137</v>
      </c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62"/>
      <c r="AB253" s="262"/>
      <c r="AC253" s="262"/>
    </row>
    <row r="254" spans="1:68" ht="37.5" customHeight="1" x14ac:dyDescent="0.25">
      <c r="A254" s="54" t="s">
        <v>341</v>
      </c>
      <c r="B254" s="54" t="s">
        <v>342</v>
      </c>
      <c r="C254" s="31">
        <v>4301135504</v>
      </c>
      <c r="D254" s="270">
        <v>4640242181554</v>
      </c>
      <c r="E254" s="271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3"/>
      <c r="R254" s="273"/>
      <c r="S254" s="273"/>
      <c r="T254" s="274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0">
        <v>4640242181561</v>
      </c>
      <c r="E255" s="271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3"/>
      <c r="R255" s="273"/>
      <c r="S255" s="273"/>
      <c r="T255" s="274"/>
      <c r="U255" s="34"/>
      <c r="V255" s="34"/>
      <c r="W255" s="35" t="s">
        <v>70</v>
      </c>
      <c r="X255" s="266">
        <v>0</v>
      </c>
      <c r="Y255" s="267">
        <f t="shared" si="18"/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0">
        <v>4640242181424</v>
      </c>
      <c r="E256" s="271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3"/>
      <c r="R256" s="273"/>
      <c r="S256" s="273"/>
      <c r="T256" s="274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0">
        <v>4640242181523</v>
      </c>
      <c r="E257" s="271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3"/>
      <c r="R257" s="273"/>
      <c r="S257" s="273"/>
      <c r="T257" s="274"/>
      <c r="U257" s="34"/>
      <c r="V257" s="34"/>
      <c r="W257" s="35" t="s">
        <v>70</v>
      </c>
      <c r="X257" s="266">
        <v>14</v>
      </c>
      <c r="Y257" s="267">
        <f t="shared" si="18"/>
        <v>14</v>
      </c>
      <c r="Z257" s="36">
        <f t="shared" ref="Z257:Z262" si="23">IFERROR(IF(X257="","",X257*0.00936),"")</f>
        <v>0.13103999999999999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44.688000000000002</v>
      </c>
      <c r="BN257" s="67">
        <f t="shared" si="20"/>
        <v>44.688000000000002</v>
      </c>
      <c r="BO257" s="67">
        <f t="shared" si="21"/>
        <v>0.1111111111111111</v>
      </c>
      <c r="BP257" s="67">
        <f t="shared" si="22"/>
        <v>0.1111111111111111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0">
        <v>4640242181486</v>
      </c>
      <c r="E258" s="271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140</v>
      </c>
      <c r="M258" s="33" t="s">
        <v>69</v>
      </c>
      <c r="N258" s="33"/>
      <c r="O258" s="32">
        <v>180</v>
      </c>
      <c r="P258" s="3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3"/>
      <c r="R258" s="273"/>
      <c r="S258" s="273"/>
      <c r="T258" s="274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141</v>
      </c>
      <c r="AK258" s="71">
        <v>126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353</v>
      </c>
      <c r="B259" s="54" t="s">
        <v>354</v>
      </c>
      <c r="C259" s="31">
        <v>4301135402</v>
      </c>
      <c r="D259" s="270">
        <v>4640242181493</v>
      </c>
      <c r="E259" s="271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97</v>
      </c>
      <c r="M259" s="33" t="s">
        <v>69</v>
      </c>
      <c r="N259" s="33"/>
      <c r="O259" s="32">
        <v>180</v>
      </c>
      <c r="P259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3"/>
      <c r="R259" s="273"/>
      <c r="S259" s="273"/>
      <c r="T259" s="274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99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customHeight="1" x14ac:dyDescent="0.25">
      <c r="A260" s="54" t="s">
        <v>355</v>
      </c>
      <c r="B260" s="54" t="s">
        <v>356</v>
      </c>
      <c r="C260" s="31">
        <v>4301135403</v>
      </c>
      <c r="D260" s="270">
        <v>4640242181509</v>
      </c>
      <c r="E260" s="271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97</v>
      </c>
      <c r="M260" s="33" t="s">
        <v>69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3"/>
      <c r="R260" s="273"/>
      <c r="S260" s="273"/>
      <c r="T260" s="274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99</v>
      </c>
      <c r="AK260" s="71">
        <v>14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357</v>
      </c>
      <c r="B261" s="54" t="s">
        <v>358</v>
      </c>
      <c r="C261" s="31">
        <v>4301135304</v>
      </c>
      <c r="D261" s="270">
        <v>4640242181240</v>
      </c>
      <c r="E261" s="271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97</v>
      </c>
      <c r="M261" s="33" t="s">
        <v>69</v>
      </c>
      <c r="N261" s="33"/>
      <c r="O261" s="32">
        <v>180</v>
      </c>
      <c r="P261" s="38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3"/>
      <c r="R261" s="273"/>
      <c r="S261" s="273"/>
      <c r="T261" s="274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99</v>
      </c>
      <c r="AK261" s="71">
        <v>14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359</v>
      </c>
      <c r="B262" s="54" t="s">
        <v>360</v>
      </c>
      <c r="C262" s="31">
        <v>4301135610</v>
      </c>
      <c r="D262" s="270">
        <v>4640242181318</v>
      </c>
      <c r="E262" s="271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97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3"/>
      <c r="R262" s="273"/>
      <c r="S262" s="273"/>
      <c r="T262" s="274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99</v>
      </c>
      <c r="AK262" s="71">
        <v>14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361</v>
      </c>
      <c r="B263" s="54" t="s">
        <v>362</v>
      </c>
      <c r="C263" s="31">
        <v>4301135306</v>
      </c>
      <c r="D263" s="270">
        <v>4640242181387</v>
      </c>
      <c r="E263" s="271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150</v>
      </c>
      <c r="L263" s="32" t="s">
        <v>97</v>
      </c>
      <c r="M263" s="33" t="s">
        <v>69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3"/>
      <c r="R263" s="273"/>
      <c r="S263" s="273"/>
      <c r="T263" s="274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99</v>
      </c>
      <c r="AK263" s="71">
        <v>18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7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8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14</v>
      </c>
      <c r="Y264" s="268">
        <f>IFERROR(SUM(Y254:Y263),"0")</f>
        <v>14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0.13103999999999999</v>
      </c>
      <c r="AA264" s="269"/>
      <c r="AB264" s="269"/>
      <c r="AC264" s="26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8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42</v>
      </c>
      <c r="Y265" s="268">
        <f>IFERROR(SUMPRODUCT(Y254:Y263*H254:H263),"0")</f>
        <v>42</v>
      </c>
      <c r="Z265" s="37"/>
      <c r="AA265" s="269"/>
      <c r="AB265" s="269"/>
      <c r="AC265" s="269"/>
    </row>
    <row r="266" spans="1:68" ht="15" customHeight="1" x14ac:dyDescent="0.2">
      <c r="A266" s="365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366"/>
      <c r="P266" s="316" t="s">
        <v>363</v>
      </c>
      <c r="Q266" s="317"/>
      <c r="R266" s="317"/>
      <c r="S266" s="317"/>
      <c r="T266" s="317"/>
      <c r="U266" s="317"/>
      <c r="V266" s="318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1628.16</v>
      </c>
      <c r="Y266" s="268">
        <f>IFERROR(Y29+Y35+Y42+Y49+Y57+Y62+Y66+Y71+Y77+Y83+Y88+Y94+Y104+Y110+Y121+Y126+Y130+Y136+Y142+Y148+Y153+Y158+Y163+Y168+Y175+Y184+Y188+Y194+Y202+Y207+Y213+Y219+Y225+Y231+Y235+Y242+Y246+Y252+Y265,"0")</f>
        <v>1628.16</v>
      </c>
      <c r="Z266" s="37"/>
      <c r="AA266" s="269"/>
      <c r="AB266" s="269"/>
      <c r="AC266" s="269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366"/>
      <c r="P267" s="316" t="s">
        <v>364</v>
      </c>
      <c r="Q267" s="317"/>
      <c r="R267" s="317"/>
      <c r="S267" s="317"/>
      <c r="T267" s="317"/>
      <c r="U267" s="317"/>
      <c r="V267" s="318"/>
      <c r="W267" s="37" t="s">
        <v>84</v>
      </c>
      <c r="X267" s="268">
        <f>IFERROR(SUM(BM22:BM263),"0")</f>
        <v>1818.2672000000002</v>
      </c>
      <c r="Y267" s="268">
        <f>IFERROR(SUM(BN22:BN263),"0")</f>
        <v>1818.2672000000002</v>
      </c>
      <c r="Z267" s="37"/>
      <c r="AA267" s="269"/>
      <c r="AB267" s="269"/>
      <c r="AC267" s="269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366"/>
      <c r="P268" s="316" t="s">
        <v>365</v>
      </c>
      <c r="Q268" s="317"/>
      <c r="R268" s="317"/>
      <c r="S268" s="317"/>
      <c r="T268" s="317"/>
      <c r="U268" s="317"/>
      <c r="V268" s="318"/>
      <c r="W268" s="37" t="s">
        <v>366</v>
      </c>
      <c r="X268" s="38">
        <f>ROUNDUP(SUM(BO22:BO263),0)</f>
        <v>5</v>
      </c>
      <c r="Y268" s="38">
        <f>ROUNDUP(SUM(BP22:BP263),0)</f>
        <v>5</v>
      </c>
      <c r="Z268" s="37"/>
      <c r="AA268" s="269"/>
      <c r="AB268" s="269"/>
      <c r="AC268" s="269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366"/>
      <c r="P269" s="316" t="s">
        <v>367</v>
      </c>
      <c r="Q269" s="317"/>
      <c r="R269" s="317"/>
      <c r="S269" s="317"/>
      <c r="T269" s="317"/>
      <c r="U269" s="317"/>
      <c r="V269" s="318"/>
      <c r="W269" s="37" t="s">
        <v>84</v>
      </c>
      <c r="X269" s="268">
        <f>GrossWeightTotal+PalletQtyTotal*25</f>
        <v>1943.2672000000002</v>
      </c>
      <c r="Y269" s="268">
        <f>GrossWeightTotalR+PalletQtyTotalR*25</f>
        <v>1943.2672000000002</v>
      </c>
      <c r="Z269" s="37"/>
      <c r="AA269" s="269"/>
      <c r="AB269" s="269"/>
      <c r="AC269" s="269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366"/>
      <c r="P270" s="316" t="s">
        <v>368</v>
      </c>
      <c r="Q270" s="317"/>
      <c r="R270" s="317"/>
      <c r="S270" s="317"/>
      <c r="T270" s="317"/>
      <c r="U270" s="317"/>
      <c r="V270" s="318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396</v>
      </c>
      <c r="Y270" s="268">
        <f>IFERROR(Y28+Y34+Y41+Y48+Y56+Y61+Y65+Y70+Y76+Y82+Y87+Y93+Y103+Y109+Y120+Y125+Y129+Y135+Y141+Y147+Y152+Y157+Y162+Y167+Y174+Y183+Y187+Y193+Y201+Y206+Y212+Y218+Y224+Y230+Y234+Y241+Y245+Y251+Y264,"0")</f>
        <v>396</v>
      </c>
      <c r="Z270" s="37"/>
      <c r="AA270" s="269"/>
      <c r="AB270" s="269"/>
      <c r="AC270" s="269"/>
    </row>
    <row r="271" spans="1:68" ht="14.25" customHeight="1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66"/>
      <c r="P271" s="316" t="s">
        <v>369</v>
      </c>
      <c r="Q271" s="317"/>
      <c r="R271" s="317"/>
      <c r="S271" s="317"/>
      <c r="T271" s="317"/>
      <c r="U271" s="317"/>
      <c r="V271" s="318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6.1441599999999985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9" t="s">
        <v>63</v>
      </c>
      <c r="C273" s="362"/>
      <c r="D273" s="279" t="s">
        <v>91</v>
      </c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2"/>
      <c r="V273" s="263" t="s">
        <v>249</v>
      </c>
      <c r="W273" s="263" t="s">
        <v>257</v>
      </c>
      <c r="X273" s="279" t="s">
        <v>279</v>
      </c>
      <c r="Y273" s="361"/>
      <c r="Z273" s="362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1" t="s">
        <v>372</v>
      </c>
      <c r="B274" s="279" t="s">
        <v>63</v>
      </c>
      <c r="C274" s="279" t="s">
        <v>85</v>
      </c>
      <c r="D274" s="279" t="s">
        <v>92</v>
      </c>
      <c r="E274" s="279" t="s">
        <v>103</v>
      </c>
      <c r="F274" s="279" t="s">
        <v>113</v>
      </c>
      <c r="G274" s="279" t="s">
        <v>124</v>
      </c>
      <c r="H274" s="279" t="s">
        <v>147</v>
      </c>
      <c r="I274" s="279" t="s">
        <v>154</v>
      </c>
      <c r="J274" s="279" t="s">
        <v>158</v>
      </c>
      <c r="K274" s="279" t="s">
        <v>166</v>
      </c>
      <c r="L274" s="279" t="s">
        <v>181</v>
      </c>
      <c r="M274" s="279" t="s">
        <v>187</v>
      </c>
      <c r="N274" s="264"/>
      <c r="O274" s="279" t="s">
        <v>215</v>
      </c>
      <c r="P274" s="279" t="s">
        <v>221</v>
      </c>
      <c r="Q274" s="279" t="s">
        <v>228</v>
      </c>
      <c r="R274" s="279" t="s">
        <v>233</v>
      </c>
      <c r="S274" s="279" t="s">
        <v>237</v>
      </c>
      <c r="T274" s="279" t="s">
        <v>240</v>
      </c>
      <c r="U274" s="279" t="s">
        <v>245</v>
      </c>
      <c r="V274" s="279" t="s">
        <v>250</v>
      </c>
      <c r="W274" s="279" t="s">
        <v>258</v>
      </c>
      <c r="X274" s="279" t="s">
        <v>280</v>
      </c>
      <c r="Y274" s="279" t="s">
        <v>298</v>
      </c>
      <c r="Z274" s="279" t="s">
        <v>302</v>
      </c>
      <c r="AA274" s="279" t="s">
        <v>309</v>
      </c>
      <c r="AB274" s="279" t="s">
        <v>314</v>
      </c>
      <c r="AC274" s="279" t="s">
        <v>318</v>
      </c>
      <c r="AD274" s="279" t="s">
        <v>325</v>
      </c>
      <c r="AF274" s="264"/>
    </row>
    <row r="275" spans="1:32" ht="13.5" customHeight="1" thickBot="1" x14ac:dyDescent="0.25">
      <c r="A275" s="352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64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0</v>
      </c>
      <c r="C276" s="46">
        <f>IFERROR(X32*H32,"0")+IFERROR(X33*H33,"0")</f>
        <v>0</v>
      </c>
      <c r="D276" s="46">
        <f>IFERROR(X39*H39,"0")+IFERROR(X40*H40,"0")</f>
        <v>0</v>
      </c>
      <c r="E276" s="46">
        <f>IFERROR(X45*H45,"0")+IFERROR(X46*H46,"0")+IFERROR(X47*H47,"0")</f>
        <v>134.39999999999998</v>
      </c>
      <c r="F276" s="46">
        <f>IFERROR(X52*H52,"0")+IFERROR(X53*H53,"0")+IFERROR(X54*H54,"0")+IFERROR(X55*H55,"0")</f>
        <v>0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0</v>
      </c>
      <c r="I276" s="46">
        <f>IFERROR(X86*H86,"0")</f>
        <v>0</v>
      </c>
      <c r="J276" s="46">
        <f>IFERROR(X91*H91,"0")+IFERROR(X92*H92,"0")</f>
        <v>201.60000000000002</v>
      </c>
      <c r="K276" s="46">
        <f>IFERROR(X97*H97,"0")+IFERROR(X98*H98,"0")+IFERROR(X99*H99,"0")+IFERROR(X100*H100,"0")+IFERROR(X101*H101,"0")+IFERROR(X102*H102,"0")</f>
        <v>220.08</v>
      </c>
      <c r="L276" s="46">
        <f>IFERROR(X107*H107,"0")+IFERROR(X108*H108,"0")</f>
        <v>0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252</v>
      </c>
      <c r="N276" s="264"/>
      <c r="O276" s="46">
        <f>IFERROR(X133*H133,"0")+IFERROR(X134*H134,"0")</f>
        <v>42</v>
      </c>
      <c r="P276" s="46">
        <f>IFERROR(X139*H139,"0")+IFERROR(X140*H140,"0")</f>
        <v>126</v>
      </c>
      <c r="Q276" s="46">
        <f>IFERROR(X145*H145,"0")+IFERROR(X146*H146,"0")</f>
        <v>0</v>
      </c>
      <c r="R276" s="46">
        <f>IFERROR(X151*H151,"0")</f>
        <v>0</v>
      </c>
      <c r="S276" s="46">
        <f>IFERROR(X156*H156,"0")</f>
        <v>0</v>
      </c>
      <c r="T276" s="46">
        <f>IFERROR(X161*H161,"0")</f>
        <v>0</v>
      </c>
      <c r="U276" s="46">
        <f>IFERROR(X166*H166,"0")</f>
        <v>94.08</v>
      </c>
      <c r="V276" s="46">
        <f>IFERROR(X172*H172,"0")+IFERROR(X173*H173,"0")</f>
        <v>0</v>
      </c>
      <c r="W276" s="46">
        <f>IFERROR(X179*H179,"0")+IFERROR(X180*H180,"0")+IFERROR(X181*H181,"0")+IFERROR(X182*H182,"0")+IFERROR(X186*H186,"0")</f>
        <v>0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558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470.4</v>
      </c>
      <c r="B279" s="60">
        <f>SUMPRODUCT(--(BB:BB="ПГП"),--(W:W="кор"),H:H,Y:Y)+SUMPRODUCT(--(BB:BB="ПГП"),--(W:W="кг"),Y:Y)</f>
        <v>1157.7600000000002</v>
      </c>
      <c r="C279" s="60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P60:T60"/>
    <mergeCell ref="D239:E239"/>
    <mergeCell ref="U17:V17"/>
    <mergeCell ref="Y17:Y18"/>
    <mergeCell ref="AD17:AF18"/>
    <mergeCell ref="P167:V167"/>
    <mergeCell ref="P142:V142"/>
    <mergeCell ref="D101:E101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H5:M5"/>
    <mergeCell ref="P158:V158"/>
    <mergeCell ref="A154:Z154"/>
    <mergeCell ref="P98:T98"/>
    <mergeCell ref="A214:Z214"/>
    <mergeCell ref="D146:E146"/>
    <mergeCell ref="D6:M6"/>
    <mergeCell ref="P266:V266"/>
    <mergeCell ref="A85:Z85"/>
    <mergeCell ref="P33:T33"/>
    <mergeCell ref="D256:E256"/>
    <mergeCell ref="P120:V120"/>
    <mergeCell ref="P57:V57"/>
    <mergeCell ref="G17:G18"/>
    <mergeCell ref="P184:V184"/>
    <mergeCell ref="A152:O153"/>
    <mergeCell ref="A143:Z143"/>
    <mergeCell ref="P242:V242"/>
    <mergeCell ref="A232:Z232"/>
    <mergeCell ref="P121:V121"/>
    <mergeCell ref="D80:E80"/>
    <mergeCell ref="P42:V42"/>
    <mergeCell ref="A169:Z169"/>
    <mergeCell ref="P148:V148"/>
    <mergeCell ref="V6:W9"/>
    <mergeCell ref="J274:J275"/>
    <mergeCell ref="P234:V234"/>
    <mergeCell ref="A59:Z59"/>
    <mergeCell ref="D186:E186"/>
    <mergeCell ref="D217:E217"/>
    <mergeCell ref="A93:O94"/>
    <mergeCell ref="P22:T22"/>
    <mergeCell ref="P40:T40"/>
    <mergeCell ref="P257:T257"/>
    <mergeCell ref="P80:T80"/>
    <mergeCell ref="Z17:Z18"/>
    <mergeCell ref="P29:V29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A9:C9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Q13:R13"/>
    <mergeCell ref="A220:Z220"/>
    <mergeCell ref="P139:T139"/>
    <mergeCell ref="J9:M9"/>
    <mergeCell ref="A65:O66"/>
    <mergeCell ref="P233:T233"/>
    <mergeCell ref="A56:O57"/>
    <mergeCell ref="D114:E114"/>
    <mergeCell ref="D64:E64"/>
    <mergeCell ref="P248:T248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P27:T27"/>
    <mergeCell ref="D75:E75"/>
    <mergeCell ref="A13:M13"/>
    <mergeCell ref="A230:O231"/>
    <mergeCell ref="Q274:Q275"/>
    <mergeCell ref="P115:T115"/>
    <mergeCell ref="D254:E254"/>
    <mergeCell ref="P231:V231"/>
    <mergeCell ref="A15:M15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P260:T260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222:Z222"/>
    <mergeCell ref="D257:E257"/>
    <mergeCell ref="D86:E86"/>
    <mergeCell ref="D151:E151"/>
    <mergeCell ref="P107:T107"/>
    <mergeCell ref="P129:V129"/>
    <mergeCell ref="P101:T101"/>
    <mergeCell ref="P194:V194"/>
    <mergeCell ref="A103:O104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7:Z137"/>
    <mergeCell ref="A208:Z208"/>
    <mergeCell ref="A37:Z37"/>
    <mergeCell ref="D74:E74"/>
    <mergeCell ref="A203:Z203"/>
    <mergeCell ref="D68:E68"/>
    <mergeCell ref="P126:V126"/>
    <mergeCell ref="P24:T24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G274:G275"/>
    <mergeCell ref="A274:A275"/>
    <mergeCell ref="D180:E180"/>
    <mergeCell ref="D9:E9"/>
    <mergeCell ref="P197:T197"/>
    <mergeCell ref="A183:O184"/>
    <mergeCell ref="D118:E118"/>
    <mergeCell ref="P53:T53"/>
    <mergeCell ref="F9:G9"/>
    <mergeCell ref="D161:E161"/>
    <mergeCell ref="P239:T239"/>
    <mergeCell ref="P68:T68"/>
    <mergeCell ref="P82:V82"/>
    <mergeCell ref="A44:Z44"/>
    <mergeCell ref="A31:Z31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D22:E22"/>
    <mergeCell ref="M17:M18"/>
    <mergeCell ref="O17:O18"/>
    <mergeCell ref="L274:L275"/>
    <mergeCell ref="P270:V270"/>
    <mergeCell ref="A95:Z95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P258:T258"/>
    <mergeCell ref="P223:T223"/>
    <mergeCell ref="P52:T52"/>
    <mergeCell ref="P201:V201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D145:E145"/>
    <mergeCell ref="D210:E210"/>
    <mergeCell ref="A226:Z226"/>
    <mergeCell ref="D139:E139"/>
    <mergeCell ref="P251:V251"/>
    <mergeCell ref="A228:Z228"/>
    <mergeCell ref="A212:O213"/>
    <mergeCell ref="H1:Q1"/>
    <mergeCell ref="P109:V109"/>
    <mergeCell ref="A243:Z243"/>
    <mergeCell ref="P193:V193"/>
    <mergeCell ref="P246:V246"/>
    <mergeCell ref="P39:T39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:F1"/>
    <mergeCell ref="P47:T47"/>
    <mergeCell ref="T274:T275"/>
    <mergeCell ref="V274:V275"/>
    <mergeCell ref="D258:E258"/>
    <mergeCell ref="P235:V235"/>
    <mergeCell ref="P207:V207"/>
    <mergeCell ref="D124:E124"/>
    <mergeCell ref="P81:T81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A50:Z50"/>
    <mergeCell ref="A264:O265"/>
    <mergeCell ref="W17:W18"/>
    <mergeCell ref="A150:Z150"/>
    <mergeCell ref="A144:Z144"/>
    <mergeCell ref="A215:Z215"/>
    <mergeCell ref="A120:O121"/>
    <mergeCell ref="P92:T92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P183:V183"/>
    <mergeCell ref="P62:V62"/>
    <mergeCell ref="A5:C5"/>
    <mergeCell ref="T5:U5"/>
    <mergeCell ref="D60:E60"/>
    <mergeCell ref="P244:T244"/>
    <mergeCell ref="P73:T73"/>
    <mergeCell ref="P87:V87"/>
    <mergeCell ref="P245:V2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2026-01-16T09:17:04Z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