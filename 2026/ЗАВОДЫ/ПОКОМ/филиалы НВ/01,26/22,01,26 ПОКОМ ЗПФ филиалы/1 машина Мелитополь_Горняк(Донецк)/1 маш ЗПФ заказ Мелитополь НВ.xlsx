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1ADFA5B8-60BF-4B12-B5BD-A7A013258BD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Y239" i="1"/>
  <c r="P239" i="1"/>
  <c r="Y235" i="1"/>
  <c r="X235" i="1"/>
  <c r="Z234" i="1"/>
  <c r="X234" i="1"/>
  <c r="BO233" i="1"/>
  <c r="BM233" i="1"/>
  <c r="Z233" i="1"/>
  <c r="Y233" i="1"/>
  <c r="P233" i="1"/>
  <c r="X231" i="1"/>
  <c r="Z230" i="1"/>
  <c r="X230" i="1"/>
  <c r="BO229" i="1"/>
  <c r="BM229" i="1"/>
  <c r="Z229" i="1"/>
  <c r="Y229" i="1"/>
  <c r="P229" i="1"/>
  <c r="Y225" i="1"/>
  <c r="X225" i="1"/>
  <c r="Z224" i="1"/>
  <c r="X224" i="1"/>
  <c r="BO223" i="1"/>
  <c r="BM223" i="1"/>
  <c r="Z223" i="1"/>
  <c r="Y223" i="1"/>
  <c r="P223" i="1"/>
  <c r="X219" i="1"/>
  <c r="Z218" i="1"/>
  <c r="X218" i="1"/>
  <c r="BO217" i="1"/>
  <c r="BM217" i="1"/>
  <c r="Z217" i="1"/>
  <c r="Y217" i="1"/>
  <c r="P217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Y202" i="1" s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3" i="1" s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Z141" i="1" s="1"/>
  <c r="Y139" i="1"/>
  <c r="P139" i="1"/>
  <c r="X136" i="1"/>
  <c r="X135" i="1"/>
  <c r="BO134" i="1"/>
  <c r="BN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29" i="1" s="1"/>
  <c r="P128" i="1"/>
  <c r="X126" i="1"/>
  <c r="X125" i="1"/>
  <c r="BO124" i="1"/>
  <c r="BM124" i="1"/>
  <c r="Z124" i="1"/>
  <c r="Y124" i="1"/>
  <c r="BP124" i="1" s="1"/>
  <c r="P124" i="1"/>
  <c r="BP123" i="1"/>
  <c r="BO123" i="1"/>
  <c r="BN123" i="1"/>
  <c r="BM123" i="1"/>
  <c r="Z123" i="1"/>
  <c r="Z125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66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8" i="1" s="1"/>
  <c r="BM22" i="1"/>
  <c r="X267" i="1" s="1"/>
  <c r="X269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66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26" i="1"/>
  <c r="Y130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F9" i="1"/>
  <c r="J9" i="1"/>
  <c r="BN22" i="1"/>
  <c r="BP22" i="1"/>
  <c r="BN24" i="1"/>
  <c r="BN26" i="1"/>
  <c r="X270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4" i="1"/>
  <c r="BN128" i="1"/>
  <c r="BP128" i="1"/>
  <c r="BN133" i="1"/>
  <c r="BP133" i="1"/>
  <c r="Y136" i="1"/>
  <c r="Y142" i="1"/>
  <c r="BP139" i="1"/>
  <c r="BN139" i="1"/>
  <c r="Y141" i="1"/>
  <c r="BP146" i="1"/>
  <c r="BN146" i="1"/>
  <c r="Y153" i="1"/>
  <c r="Y157" i="1"/>
  <c r="BP156" i="1"/>
  <c r="BN156" i="1"/>
  <c r="Y163" i="1"/>
  <c r="Y167" i="1"/>
  <c r="BP166" i="1"/>
  <c r="BN166" i="1"/>
  <c r="Z174" i="1"/>
  <c r="Z271" i="1" s="1"/>
  <c r="Y183" i="1"/>
  <c r="Y184" i="1"/>
  <c r="BP197" i="1"/>
  <c r="BN197" i="1"/>
  <c r="BP199" i="1"/>
  <c r="BN199" i="1"/>
  <c r="Y201" i="1"/>
  <c r="BP211" i="1"/>
  <c r="BN211" i="1"/>
  <c r="Y219" i="1"/>
  <c r="Y224" i="1"/>
  <c r="BP223" i="1"/>
  <c r="BN223" i="1"/>
  <c r="Y231" i="1"/>
  <c r="Y234" i="1"/>
  <c r="BP233" i="1"/>
  <c r="BN233" i="1"/>
  <c r="Z241" i="1"/>
  <c r="Y252" i="1"/>
  <c r="Y264" i="1"/>
  <c r="Y265" i="1"/>
  <c r="C279" i="1" l="1"/>
  <c r="Y268" i="1"/>
  <c r="Y267" i="1"/>
  <c r="Y269" i="1" s="1"/>
  <c r="Y270" i="1"/>
  <c r="B279" i="1" l="1"/>
  <c r="A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<sst xmlns="http://schemas.openxmlformats.org/spreadsheetml/2006/main" count="1207" uniqueCount="392">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</sst>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8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48</v>
      </c>
      <c r="Y24" s="267">
        <f t="shared" si="0"/>
        <v>48</v>
      </c>
      <c r="Z24" s="36">
        <f t="shared" si="1"/>
        <v>0.74399999999999999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24</v>
      </c>
      <c r="Y26" s="267">
        <f t="shared" si="0"/>
        <v>24</v>
      </c>
      <c r="Z26" s="36">
        <f t="shared" si="1"/>
        <v>0.372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179.28</v>
      </c>
      <c r="BN26" s="67">
        <f t="shared" si="3"/>
        <v>179.28</v>
      </c>
      <c r="BO26" s="67">
        <f t="shared" si="4"/>
        <v>0.2857142857142857</v>
      </c>
      <c r="BP26" s="67">
        <f t="shared" si="5"/>
        <v>0.2857142857142857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72</v>
      </c>
      <c r="Y28" s="268">
        <f>IFERROR(SUM(Y22:Y27),"0")</f>
        <v>72</v>
      </c>
      <c r="Z28" s="268">
        <f>IFERROR(IF(Z22="",0,Z22),"0")+IFERROR(IF(Z23="",0,Z23),"0")+IFERROR(IF(Z24="",0,Z24),"0")+IFERROR(IF(Z25="",0,Z25),"0")+IFERROR(IF(Z26="",0,Z26),"0")+IFERROR(IF(Z27="",0,Z27),"0")</f>
        <v>1.1160000000000001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518.40000000000009</v>
      </c>
      <c r="Y29" s="268">
        <f>IFERROR(SUMPRODUCT(Y22:Y27*H22:H27),"0")</f>
        <v>518.40000000000009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56</v>
      </c>
      <c r="Y39" s="267">
        <f>IFERROR(IF(X39="","",X39),"")</f>
        <v>56</v>
      </c>
      <c r="Z39" s="36">
        <f>IFERROR(IF(X39="","",X39*0.00941),"")</f>
        <v>0.52695999999999998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107.6208</v>
      </c>
      <c r="BN39" s="67">
        <f>IFERROR(Y39*I39,"0")</f>
        <v>107.6208</v>
      </c>
      <c r="BO39" s="67">
        <f>IFERROR(X39/J39,"0")</f>
        <v>0.4</v>
      </c>
      <c r="BP39" s="67">
        <f>IFERROR(Y39/J39,"0")</f>
        <v>0.4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56</v>
      </c>
      <c r="Y41" s="268">
        <f>IFERROR(SUM(Y39:Y40),"0")</f>
        <v>56</v>
      </c>
      <c r="Z41" s="268">
        <f>IFERROR(IF(Z39="",0,Z39),"0")+IFERROR(IF(Z40="",0,Z40),"0")</f>
        <v>0.52695999999999998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84</v>
      </c>
      <c r="Y42" s="268">
        <f>IFERROR(SUMPRODUCT(Y39:Y40*H39:H40),"0")</f>
        <v>84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12</v>
      </c>
      <c r="Y45" s="267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12</v>
      </c>
      <c r="Y46" s="26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24</v>
      </c>
      <c r="Y48" s="268">
        <f>IFERROR(SUM(Y45:Y47),"0")</f>
        <v>24</v>
      </c>
      <c r="Z48" s="268">
        <f>IFERROR(IF(Z45="",0,Z45),"0")+IFERROR(IF(Z46="",0,Z46),"0")+IFERROR(IF(Z47="",0,Z47),"0")</f>
        <v>0.372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134.39999999999998</v>
      </c>
      <c r="Y49" s="268">
        <f>IFERROR(SUMPRODUCT(Y45:Y47*H45:H47),"0")</f>
        <v>134.39999999999998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36</v>
      </c>
      <c r="Y52" s="26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48</v>
      </c>
      <c r="Y53" s="26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12</v>
      </c>
      <c r="Y55" s="26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96</v>
      </c>
      <c r="Y56" s="268">
        <f>IFERROR(SUM(Y52:Y55),"0")</f>
        <v>96</v>
      </c>
      <c r="Z56" s="268">
        <f>IFERROR(IF(Z52="",0,Z52),"0")+IFERROR(IF(Z53="",0,Z53),"0")+IFERROR(IF(Z54="",0,Z54),"0")+IFERROR(IF(Z55="",0,Z55),"0")</f>
        <v>1.488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672</v>
      </c>
      <c r="Y57" s="268">
        <f>IFERROR(SUMPRODUCT(Y52:Y55*H52:H55),"0")</f>
        <v>672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12</v>
      </c>
      <c r="Y81" s="267">
        <f>IFERROR(IF(X81="","",X81),"")</f>
        <v>12</v>
      </c>
      <c r="Z81" s="36">
        <f>IFERROR(IF(X81="","",X81*0.00866),"")</f>
        <v>0.10391999999999998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62.558399999999992</v>
      </c>
      <c r="BN81" s="67">
        <f>IFERROR(Y81*I81,"0")</f>
        <v>62.558399999999992</v>
      </c>
      <c r="BO81" s="67">
        <f>IFERROR(X81/J81,"0")</f>
        <v>8.3333333333333329E-2</v>
      </c>
      <c r="BP81" s="67">
        <f>IFERROR(Y81/J81,"0")</f>
        <v>8.3333333333333329E-2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12</v>
      </c>
      <c r="Y82" s="268">
        <f>IFERROR(SUM(Y80:Y81),"0")</f>
        <v>12</v>
      </c>
      <c r="Z82" s="268">
        <f>IFERROR(IF(Z80="",0,Z80),"0")+IFERROR(IF(Z81="",0,Z81),"0")</f>
        <v>0.10391999999999998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60</v>
      </c>
      <c r="Y83" s="268">
        <f>IFERROR(SUMPRODUCT(Y80:Y81*H80:H81),"0")</f>
        <v>60</v>
      </c>
      <c r="Z83" s="37"/>
      <c r="AA83" s="269"/>
      <c r="AB83" s="269"/>
      <c r="AC83" s="269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56</v>
      </c>
      <c r="Y91" s="267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70</v>
      </c>
      <c r="Y92" s="267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126</v>
      </c>
      <c r="Y93" s="268">
        <f>IFERROR(SUM(Y91:Y92),"0")</f>
        <v>126</v>
      </c>
      <c r="Z93" s="268">
        <f>IFERROR(IF(Z91="",0,Z91),"0")+IFERROR(IF(Z92="",0,Z92),"0")</f>
        <v>2.2528800000000002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453.6</v>
      </c>
      <c r="Y94" s="268">
        <f>IFERROR(SUMPRODUCT(Y91:Y92*H91:H92),"0")</f>
        <v>453.6</v>
      </c>
      <c r="Z94" s="37"/>
      <c r="AA94" s="269"/>
      <c r="AB94" s="269"/>
      <c r="AC94" s="269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14</v>
      </c>
      <c r="Y97" s="267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28</v>
      </c>
      <c r="Y98" s="267">
        <f t="shared" si="6"/>
        <v>28</v>
      </c>
      <c r="Z98" s="36">
        <f t="shared" si="7"/>
        <v>0.50063999999999997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42</v>
      </c>
      <c r="Y100" s="267">
        <f t="shared" si="6"/>
        <v>42</v>
      </c>
      <c r="Z100" s="36">
        <f t="shared" si="7"/>
        <v>0.75095999999999996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84</v>
      </c>
      <c r="Y103" s="268">
        <f>IFERROR(SUM(Y97:Y102),"0")</f>
        <v>84</v>
      </c>
      <c r="Z103" s="268">
        <f>IFERROR(IF(Z97="",0,Z97),"0")+IFERROR(IF(Z98="",0,Z98),"0")+IFERROR(IF(Z99="",0,Z99),"0")+IFERROR(IF(Z100="",0,Z100),"0")+IFERROR(IF(Z101="",0,Z101),"0")+IFERROR(IF(Z102="",0,Z102),"0")</f>
        <v>1.5019199999999999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241.92000000000002</v>
      </c>
      <c r="Y104" s="268">
        <f>IFERROR(SUMPRODUCT(Y97:Y102*H97:H102),"0")</f>
        <v>241.92000000000002</v>
      </c>
      <c r="Z104" s="37"/>
      <c r="AA104" s="269"/>
      <c r="AB104" s="269"/>
      <c r="AC104" s="269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28</v>
      </c>
      <c r="Y108" s="26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28</v>
      </c>
      <c r="Y109" s="268">
        <f>IFERROR(SUM(Y107:Y108),"0")</f>
        <v>28</v>
      </c>
      <c r="Z109" s="268">
        <f>IFERROR(IF(Z107="",0,Z107),"0")+IFERROR(IF(Z108="",0,Z108),"0")</f>
        <v>0.50063999999999997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100.8</v>
      </c>
      <c r="Y110" s="268">
        <f>IFERROR(SUMPRODUCT(Y107:Y108*H107:H108),"0")</f>
        <v>100.8</v>
      </c>
      <c r="Z110" s="37"/>
      <c r="AA110" s="269"/>
      <c r="AB110" s="269"/>
      <c r="AC110" s="269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24</v>
      </c>
      <c r="Y115" s="267">
        <f t="shared" si="12"/>
        <v>24</v>
      </c>
      <c r="Z115" s="36">
        <f t="shared" si="13"/>
        <v>0.372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84</v>
      </c>
      <c r="Y116" s="267">
        <f t="shared" si="12"/>
        <v>84</v>
      </c>
      <c r="Z116" s="36">
        <f t="shared" si="13"/>
        <v>1.302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24</v>
      </c>
      <c r="Y118" s="267">
        <f t="shared" si="12"/>
        <v>24</v>
      </c>
      <c r="Z118" s="36">
        <f t="shared" si="13"/>
        <v>0.372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144</v>
      </c>
      <c r="Y119" s="267">
        <f t="shared" si="12"/>
        <v>144</v>
      </c>
      <c r="Z119" s="36">
        <f t="shared" si="13"/>
        <v>2.2320000000000002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276</v>
      </c>
      <c r="Y120" s="268">
        <f>IFERROR(SUM(Y113:Y119),"0")</f>
        <v>276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4.2780000000000005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1903.2</v>
      </c>
      <c r="Y121" s="268">
        <f>IFERROR(SUMPRODUCT(Y113:Y119*H113:H119),"0")</f>
        <v>1903.2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205</v>
      </c>
      <c r="B123" s="54" t="s">
        <v>206</v>
      </c>
      <c r="C123" s="31">
        <v>4301135670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14</v>
      </c>
      <c r="Y124" s="267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14</v>
      </c>
      <c r="Y125" s="268">
        <f>IFERROR(SUM(Y123:Y124),"0")</f>
        <v>14</v>
      </c>
      <c r="Z125" s="268">
        <f>IFERROR(IF(Z123="",0,Z123),"0")+IFERROR(IF(Z124="",0,Z124),"0")</f>
        <v>0.25031999999999999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36.96</v>
      </c>
      <c r="Y126" s="268">
        <f>IFERROR(SUMPRODUCT(Y123:Y124*H123:H124),"0")</f>
        <v>36.96</v>
      </c>
      <c r="Z126" s="37"/>
      <c r="AA126" s="269"/>
      <c r="AB126" s="269"/>
      <c r="AC126" s="269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126</v>
      </c>
      <c r="Y135" s="268">
        <f>IFERROR(SUM(Y133:Y134),"0")</f>
        <v>126</v>
      </c>
      <c r="Z135" s="268">
        <f>IFERROR(IF(Z133="",0,Z133),"0")+IFERROR(IF(Z134="",0,Z134),"0")</f>
        <v>2.2528800000000002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378</v>
      </c>
      <c r="Y136" s="268">
        <f>IFERROR(SUMPRODUCT(Y133:Y134*H133:H134),"0")</f>
        <v>378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70</v>
      </c>
      <c r="Y140" s="267">
        <f>IFERROR(IF(X140="","",X140),"")</f>
        <v>70</v>
      </c>
      <c r="Z140" s="36">
        <f>IFERROR(IF(X140="","",X140*0.01788),"")</f>
        <v>1.2516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259.25200000000001</v>
      </c>
      <c r="BN140" s="67">
        <f>IFERROR(Y140*I140,"0")</f>
        <v>259.25200000000001</v>
      </c>
      <c r="BO140" s="67">
        <f>IFERROR(X140/J140,"0")</f>
        <v>1</v>
      </c>
      <c r="BP140" s="67">
        <f>IFERROR(Y140/J140,"0")</f>
        <v>1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70</v>
      </c>
      <c r="Y141" s="268">
        <f>IFERROR(SUM(Y139:Y140),"0")</f>
        <v>70</v>
      </c>
      <c r="Z141" s="268">
        <f>IFERROR(IF(Z139="",0,Z139),"0")+IFERROR(IF(Z140="",0,Z140),"0")</f>
        <v>1.2516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210</v>
      </c>
      <c r="Y142" s="268">
        <f>IFERROR(SUMPRODUCT(Y139:Y140*H139:H140),"0")</f>
        <v>210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28</v>
      </c>
      <c r="Y166" s="267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28</v>
      </c>
      <c r="Y167" s="268">
        <f>IFERROR(SUM(Y166:Y166),"0")</f>
        <v>28</v>
      </c>
      <c r="Z167" s="268">
        <f>IFERROR(IF(Z166="",0,Z166),"0")</f>
        <v>0.26347999999999999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47.04</v>
      </c>
      <c r="Y168" s="268">
        <f>IFERROR(SUMPRODUCT(Y166:Y166*H166:H166),"0")</f>
        <v>47.04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36</v>
      </c>
      <c r="Y173" s="267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36</v>
      </c>
      <c r="Y174" s="268">
        <f>IFERROR(SUM(Y172:Y173),"0")</f>
        <v>36</v>
      </c>
      <c r="Z174" s="268">
        <f>IFERROR(IF(Z172="",0,Z172),"0")+IFERROR(IF(Z173="",0,Z173),"0")</f>
        <v>0.31175999999999998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180</v>
      </c>
      <c r="Y175" s="268">
        <f>IFERROR(SUMPRODUCT(Y172:Y173*H172:H173),"0")</f>
        <v>180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14</v>
      </c>
      <c r="Y179" s="267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56</v>
      </c>
      <c r="Y180" s="267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56</v>
      </c>
      <c r="Y181" s="267">
        <f>IFERROR(IF(X181="","",X181),"")</f>
        <v>56</v>
      </c>
      <c r="Z181" s="36">
        <f>IFERROR(IF(X181="","",X181*0.01788),"")</f>
        <v>1.0012799999999999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209.21600000000001</v>
      </c>
      <c r="BN181" s="67">
        <f>IFERROR(Y181*I181,"0")</f>
        <v>209.21600000000001</v>
      </c>
      <c r="BO181" s="67">
        <f>IFERROR(X181/J181,"0")</f>
        <v>0.8</v>
      </c>
      <c r="BP181" s="67">
        <f>IFERROR(Y181/J181,"0")</f>
        <v>0.8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126</v>
      </c>
      <c r="Y183" s="268">
        <f>IFERROR(SUM(Y179:Y182),"0")</f>
        <v>126</v>
      </c>
      <c r="Z183" s="268">
        <f>IFERROR(IF(Z179="",0,Z179),"0")+IFERROR(IF(Z180="",0,Z180),"0")+IFERROR(IF(Z181="",0,Z181),"0")+IFERROR(IF(Z182="",0,Z182),"0")</f>
        <v>2.2528799999999998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378</v>
      </c>
      <c r="Y184" s="268">
        <f>IFERROR(SUMPRODUCT(Y179:Y182*H179:H182),"0")</f>
        <v>378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60</v>
      </c>
      <c r="Y223" s="267">
        <f>IFERROR(IF(X223="","",X223),"")</f>
        <v>60</v>
      </c>
      <c r="Z223" s="36">
        <f>IFERROR(IF(X223="","",X223*0.0155),"")</f>
        <v>0.92999999999999994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315.71999999999997</v>
      </c>
      <c r="BN223" s="67">
        <f>IFERROR(Y223*I223,"0")</f>
        <v>315.71999999999997</v>
      </c>
      <c r="BO223" s="67">
        <f>IFERROR(X223/J223,"0")</f>
        <v>0.7142857142857143</v>
      </c>
      <c r="BP223" s="67">
        <f>IFERROR(Y223/J223,"0")</f>
        <v>0.7142857142857143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60</v>
      </c>
      <c r="Y224" s="268">
        <f>IFERROR(SUM(Y223:Y223),"0")</f>
        <v>60</v>
      </c>
      <c r="Z224" s="268">
        <f>IFERROR(IF(Z223="",0,Z223),"0")</f>
        <v>0.92999999999999994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300</v>
      </c>
      <c r="Y225" s="268">
        <f>IFERROR(SUMPRODUCT(Y223:Y223*H223:H223),"0")</f>
        <v>300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36</v>
      </c>
      <c r="Y240" s="267">
        <f>IFERROR(IF(X240="","",X240),"")</f>
        <v>36</v>
      </c>
      <c r="Z240" s="36">
        <f>IFERROR(IF(X240="","",X240*0.0155),"")</f>
        <v>0.55800000000000005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262.08</v>
      </c>
      <c r="BN240" s="67">
        <f>IFERROR(Y240*I240,"0")</f>
        <v>262.08</v>
      </c>
      <c r="BO240" s="67">
        <f>IFERROR(X240/J240,"0")</f>
        <v>0.42857142857142855</v>
      </c>
      <c r="BP240" s="67">
        <f>IFERROR(Y240/J240,"0")</f>
        <v>0.42857142857142855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36</v>
      </c>
      <c r="Y241" s="268">
        <f>IFERROR(SUM(Y239:Y240),"0")</f>
        <v>36</v>
      </c>
      <c r="Z241" s="268">
        <f>IFERROR(IF(Z239="",0,Z239),"0")+IFERROR(IF(Z240="",0,Z240),"0")</f>
        <v>0.55800000000000005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252</v>
      </c>
      <c r="Y242" s="268">
        <f>IFERROR(SUMPRODUCT(Y239:Y240*H239:H240),"0")</f>
        <v>252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14</v>
      </c>
      <c r="Y264" s="268">
        <f>IFERROR(SUM(Y254:Y263),"0")</f>
        <v>14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0.13103999999999999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42</v>
      </c>
      <c r="Y265" s="268">
        <f>IFERROR(SUMPRODUCT(Y254:Y263*H254:H263),"0")</f>
        <v>42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5992.3200000000006</v>
      </c>
      <c r="Y266" s="268">
        <f>IFERROR(Y29+Y35+Y42+Y49+Y57+Y62+Y66+Y71+Y77+Y83+Y88+Y94+Y104+Y110+Y121+Y126+Y130+Y136+Y142+Y148+Y153+Y158+Y163+Y168+Y175+Y184+Y188+Y194+Y202+Y207+Y213+Y219+Y225+Y231+Y235+Y242+Y246+Y252+Y265,"0")</f>
        <v>5992.3200000000006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6586.1816000000008</v>
      </c>
      <c r="Y267" s="268">
        <f>IFERROR(SUM(BN22:BN263),"0")</f>
        <v>6586.1816000000008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16</v>
      </c>
      <c r="Y268" s="38">
        <f>ROUNDUP(SUM(BP22:BP263),0)</f>
        <v>16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6986.1816000000008</v>
      </c>
      <c r="Y269" s="268">
        <f>GrossWeightTotalR+PalletQtyTotalR*25</f>
        <v>6986.1816000000008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1284</v>
      </c>
      <c r="Y270" s="268">
        <f>IFERROR(Y28+Y34+Y41+Y48+Y56+Y61+Y65+Y70+Y76+Y82+Y87+Y93+Y103+Y109+Y120+Y125+Y129+Y135+Y141+Y147+Y152+Y157+Y162+Y167+Y174+Y183+Y187+Y193+Y201+Y206+Y212+Y218+Y224+Y230+Y234+Y241+Y245+Y251+Y264,"0")</f>
        <v>1284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20.342279999999999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264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518.40000000000009</v>
      </c>
      <c r="C276" s="46">
        <f>IFERROR(X32*H32,"0")+IFERROR(X33*H33,"0")</f>
        <v>0</v>
      </c>
      <c r="D276" s="46">
        <f>IFERROR(X39*H39,"0")+IFERROR(X40*H40,"0")</f>
        <v>84</v>
      </c>
      <c r="E276" s="46">
        <f>IFERROR(X45*H45,"0")+IFERROR(X46*H46,"0")+IFERROR(X47*H47,"0")</f>
        <v>134.39999999999998</v>
      </c>
      <c r="F276" s="46">
        <f>IFERROR(X52*H52,"0")+IFERROR(X53*H53,"0")+IFERROR(X54*H54,"0")+IFERROR(X55*H55,"0")</f>
        <v>672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60</v>
      </c>
      <c r="I276" s="46">
        <f>IFERROR(X86*H86,"0")</f>
        <v>0</v>
      </c>
      <c r="J276" s="46">
        <f>IFERROR(X91*H91,"0")+IFERROR(X92*H92,"0")</f>
        <v>453.6</v>
      </c>
      <c r="K276" s="46">
        <f>IFERROR(X97*H97,"0")+IFERROR(X98*H98,"0")+IFERROR(X99*H99,"0")+IFERROR(X100*H100,"0")+IFERROR(X101*H101,"0")+IFERROR(X102*H102,"0")</f>
        <v>241.92000000000002</v>
      </c>
      <c r="L276" s="46">
        <f>IFERROR(X107*H107,"0")+IFERROR(X108*H108,"0")</f>
        <v>100.8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1940.16</v>
      </c>
      <c r="N276" s="264"/>
      <c r="O276" s="46">
        <f>IFERROR(X133*H133,"0")+IFERROR(X134*H134,"0")</f>
        <v>378</v>
      </c>
      <c r="P276" s="46">
        <f>IFERROR(X139*H139,"0")+IFERROR(X140*H140,"0")</f>
        <v>210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47.04</v>
      </c>
      <c r="V276" s="46">
        <f>IFERROR(X172*H172,"0")+IFERROR(X173*H173,"0")</f>
        <v>180</v>
      </c>
      <c r="W276" s="46">
        <f>IFERROR(X179*H179,"0")+IFERROR(X180*H180,"0")+IFERROR(X181*H181,"0")+IFERROR(X182*H182,"0")+IFERROR(X186*H186,"0")</f>
        <v>378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300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294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4020</v>
      </c>
      <c r="B279" s="60">
        <f>SUMPRODUCT(--(BB:BB="ПГП"),--(W:W="кор"),H:H,Y:Y)+SUMPRODUCT(--(BB:BB="ПГП"),--(W:W="кг"),Y:Y)</f>
        <v>1972.3200000000002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