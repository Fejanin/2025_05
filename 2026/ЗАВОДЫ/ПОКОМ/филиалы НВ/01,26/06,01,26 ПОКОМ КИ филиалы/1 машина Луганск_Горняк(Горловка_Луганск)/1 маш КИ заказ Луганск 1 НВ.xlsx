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AD82FC2D-55A6-4EB7-A0CF-82FF5B6B2E0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19" i="1" l="1"/>
  <c r="Z145" i="1"/>
  <c r="Z474" i="1"/>
  <c r="Z81" i="1"/>
  <c r="Z367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Z345" i="1"/>
  <c r="BP343" i="1"/>
  <c r="BN343" i="1"/>
  <c r="Z343" i="1"/>
  <c r="Y345" i="1"/>
  <c r="D505" i="1"/>
  <c r="H9" i="1"/>
  <c r="B505" i="1"/>
  <c r="X496" i="1"/>
  <c r="X498" i="1" s="1"/>
  <c r="X497" i="1"/>
  <c r="Z23" i="1"/>
  <c r="Z24" i="1" s="1"/>
  <c r="BN23" i="1"/>
  <c r="Y24" i="1"/>
  <c r="X495" i="1"/>
  <c r="Z27" i="1"/>
  <c r="Z32" i="1" s="1"/>
  <c r="BN27" i="1"/>
  <c r="BP27" i="1"/>
  <c r="Y497" i="1" s="1"/>
  <c r="Z29" i="1"/>
  <c r="BN29" i="1"/>
  <c r="Y496" i="1" s="1"/>
  <c r="Y498" i="1" s="1"/>
  <c r="Z31" i="1"/>
  <c r="BN31" i="1"/>
  <c r="Z35" i="1"/>
  <c r="Z36" i="1" s="1"/>
  <c r="BN35" i="1"/>
  <c r="BP35" i="1"/>
  <c r="Z41" i="1"/>
  <c r="Z44" i="1" s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Y82" i="1"/>
  <c r="E505" i="1"/>
  <c r="Y90" i="1"/>
  <c r="BP85" i="1"/>
  <c r="BN85" i="1"/>
  <c r="Z85" i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Y146" i="1"/>
  <c r="Y155" i="1"/>
  <c r="BP148" i="1"/>
  <c r="BN148" i="1"/>
  <c r="Z148" i="1"/>
  <c r="Z154" i="1" s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Z325" i="1" s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Z243" i="1" s="1"/>
  <c r="Y243" i="1"/>
  <c r="Z259" i="1"/>
  <c r="BP255" i="1"/>
  <c r="BN255" i="1"/>
  <c r="Z255" i="1"/>
  <c r="Y259" i="1"/>
  <c r="BP264" i="1"/>
  <c r="BN264" i="1"/>
  <c r="Z264" i="1"/>
  <c r="Z268" i="1" s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Y332" i="1"/>
  <c r="BP336" i="1"/>
  <c r="BN336" i="1"/>
  <c r="Z336" i="1"/>
  <c r="Z338" i="1" s="1"/>
  <c r="BP351" i="1"/>
  <c r="BN351" i="1"/>
  <c r="Z351" i="1"/>
  <c r="Z357" i="1" s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Z447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41" i="1" l="1"/>
  <c r="Z469" i="1"/>
  <c r="Y499" i="1"/>
  <c r="Y495" i="1"/>
  <c r="Z388" i="1"/>
  <c r="Z402" i="1"/>
  <c r="Z332" i="1"/>
  <c r="Z213" i="1"/>
  <c r="Z89" i="1"/>
  <c r="Z58" i="1"/>
  <c r="Z500" i="1" s="1"/>
  <c r="Z312" i="1"/>
  <c r="Z303" i="1"/>
  <c r="Z283" i="1"/>
  <c r="Z225" i="1"/>
  <c r="Z181" i="1"/>
  <c r="Z112" i="1"/>
  <c r="Z105" i="1"/>
</calcChain>
</file>

<file path=xl/sharedStrings.xml><?xml version="1.0" encoding="utf-8"?>
<sst xmlns="http://schemas.openxmlformats.org/spreadsheetml/2006/main" count="2294" uniqueCount="781">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</sst>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1200</v>
      </c>
      <c r="Y41" s="554">
        <f>IFERROR(IF(X41="",0,CEILING((X41/$H41),1)*$H41),"")</f>
        <v>1209.6000000000001</v>
      </c>
      <c r="Z41" s="36">
        <f>IFERROR(IF(Y41=0,"",ROUNDUP(Y41/H41,0)*0.01898),"")</f>
        <v>2.1257600000000001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1245.5555555555557</v>
      </c>
      <c r="BN41" s="64">
        <f>IFERROR(Y41*I41/H41,"0")</f>
        <v>1255.52</v>
      </c>
      <c r="BO41" s="64">
        <f>IFERROR(1/J41*(X41/H41),"0")</f>
        <v>1.7361111111111109</v>
      </c>
      <c r="BP41" s="64">
        <f>IFERROR(1/J41*(Y41/H41),"0")</f>
        <v>1.75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111.1111111111111</v>
      </c>
      <c r="Y44" s="555">
        <f>IFERROR(Y41/H41,"0")+IFERROR(Y42/H42,"0")+IFERROR(Y43/H43,"0")</f>
        <v>112</v>
      </c>
      <c r="Z44" s="555">
        <f>IFERROR(IF(Z41="",0,Z41),"0")+IFERROR(IF(Z42="",0,Z42),"0")+IFERROR(IF(Z43="",0,Z43),"0")</f>
        <v>2.1257600000000001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1200</v>
      </c>
      <c r="Y45" s="555">
        <f>IFERROR(SUM(Y41:Y43),"0")</f>
        <v>1209.6000000000001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800</v>
      </c>
      <c r="Y100" s="554">
        <f>IFERROR(IF(X100="",0,CEILING((X100/$H100),1)*$H100),"")</f>
        <v>810</v>
      </c>
      <c r="Z100" s="36">
        <f>IFERROR(IF(Y100=0,"",ROUNDUP(Y100/H100,0)*0.01898),"")</f>
        <v>1.4235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830.37037037037032</v>
      </c>
      <c r="BN100" s="64">
        <f>IFERROR(Y100*I100/H100,"0")</f>
        <v>840.75</v>
      </c>
      <c r="BO100" s="64">
        <f>IFERROR(1/J100*(X100/H100),"0")</f>
        <v>1.1574074074074074</v>
      </c>
      <c r="BP100" s="64">
        <f>IFERROR(1/J100*(Y100/H100),"0")</f>
        <v>1.171875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74.074074074074076</v>
      </c>
      <c r="Y105" s="555">
        <f>IFERROR(Y100/H100,"0")+IFERROR(Y101/H101,"0")+IFERROR(Y102/H102,"0")+IFERROR(Y103/H103,"0")+IFERROR(Y104/H104,"0")</f>
        <v>75</v>
      </c>
      <c r="Z105" s="555">
        <f>IFERROR(IF(Z100="",0,Z100),"0")+IFERROR(IF(Z101="",0,Z101),"0")+IFERROR(IF(Z102="",0,Z102),"0")+IFERROR(IF(Z103="",0,Z103),"0")+IFERROR(IF(Z104="",0,Z104),"0")</f>
        <v>1.4235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800</v>
      </c>
      <c r="Y106" s="555">
        <f>IFERROR(SUM(Y100:Y104),"0")</f>
        <v>810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1800</v>
      </c>
      <c r="Y350" s="554">
        <f t="shared" ref="Y350:Y356" si="36">IFERROR(IF(X350="",0,CEILING((X350/$H350),1)*$H350),"")</f>
        <v>1800</v>
      </c>
      <c r="Z350" s="36">
        <f>IFERROR(IF(Y350=0,"",ROUNDUP(Y350/H350,0)*0.02175),"")</f>
        <v>2.61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1856.4</v>
      </c>
      <c r="BN350" s="64">
        <f t="shared" ref="BN350:BN356" si="38">IFERROR(Y350*I350/H350,"0")</f>
        <v>1856.4</v>
      </c>
      <c r="BO350" s="64">
        <f t="shared" ref="BO350:BO356" si="39">IFERROR(1/J350*(X350/H350),"0")</f>
        <v>2.5</v>
      </c>
      <c r="BP350" s="64">
        <f t="shared" ref="BP350:BP356" si="40">IFERROR(1/J350*(Y350/H350),"0")</f>
        <v>2.5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1000</v>
      </c>
      <c r="Y352" s="554">
        <f t="shared" si="36"/>
        <v>1005</v>
      </c>
      <c r="Z352" s="36">
        <f>IFERROR(IF(Y352=0,"",ROUNDUP(Y352/H352,0)*0.02175),"")</f>
        <v>1.4572499999999999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1031.3333333333333</v>
      </c>
      <c r="BN352" s="64">
        <f t="shared" si="38"/>
        <v>1036.49</v>
      </c>
      <c r="BO352" s="64">
        <f t="shared" si="39"/>
        <v>1.3888888888888888</v>
      </c>
      <c r="BP352" s="64">
        <f t="shared" si="40"/>
        <v>1.3958333333333333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1000</v>
      </c>
      <c r="Y353" s="554">
        <f t="shared" si="36"/>
        <v>1005</v>
      </c>
      <c r="Z353" s="36">
        <f>IFERROR(IF(Y353=0,"",ROUNDUP(Y353/H353,0)*0.02175),"")</f>
        <v>1.4572499999999999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1031.3333333333333</v>
      </c>
      <c r="BN353" s="64">
        <f t="shared" si="38"/>
        <v>1036.49</v>
      </c>
      <c r="BO353" s="64">
        <f t="shared" si="39"/>
        <v>1.3888888888888888</v>
      </c>
      <c r="BP353" s="64">
        <f t="shared" si="40"/>
        <v>1.3958333333333333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253.33333333333337</v>
      </c>
      <c r="Y357" s="555">
        <f>IFERROR(Y350/H350,"0")+IFERROR(Y351/H351,"0")+IFERROR(Y352/H352,"0")+IFERROR(Y353/H353,"0")+IFERROR(Y354/H354,"0")+IFERROR(Y355/H355,"0")+IFERROR(Y356/H356,"0")</f>
        <v>254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5.5244999999999997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3800</v>
      </c>
      <c r="Y358" s="555">
        <f>IFERROR(SUM(Y350:Y356),"0")</f>
        <v>3810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500</v>
      </c>
      <c r="Y360" s="554">
        <f>IFERROR(IF(X360="",0,CEILING((X360/$H360),1)*$H360),"")</f>
        <v>510</v>
      </c>
      <c r="Z360" s="36">
        <f>IFERROR(IF(Y360=0,"",ROUNDUP(Y360/H360,0)*0.02175),"")</f>
        <v>0.73949999999999994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515.66666666666663</v>
      </c>
      <c r="BN360" s="64">
        <f>IFERROR(Y360*I360/H360,"0")</f>
        <v>525.98</v>
      </c>
      <c r="BO360" s="64">
        <f>IFERROR(1/J360*(X360/H360),"0")</f>
        <v>0.69444444444444442</v>
      </c>
      <c r="BP360" s="64">
        <f>IFERROR(1/J360*(Y360/H360),"0")</f>
        <v>0.70833333333333326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33.333333333333336</v>
      </c>
      <c r="Y362" s="555">
        <f>IFERROR(Y360/H360,"0")+IFERROR(Y361/H361,"0")</f>
        <v>34</v>
      </c>
      <c r="Z362" s="555">
        <f>IFERROR(IF(Z360="",0,Z360),"0")+IFERROR(IF(Z361="",0,Z361),"0")</f>
        <v>0.73949999999999994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500</v>
      </c>
      <c r="Y363" s="555">
        <f>IFERROR(SUM(Y360:Y361),"0")</f>
        <v>510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1000</v>
      </c>
      <c r="Y435" s="554">
        <f t="shared" si="47"/>
        <v>1003.2</v>
      </c>
      <c r="Z435" s="36">
        <f t="shared" si="48"/>
        <v>2.2724000000000002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1066.2878787878788</v>
      </c>
      <c r="BN435" s="64">
        <f t="shared" si="50"/>
        <v>1069.7</v>
      </c>
      <c r="BO435" s="64">
        <f t="shared" si="51"/>
        <v>1.821095571095571</v>
      </c>
      <c r="BP435" s="64">
        <f t="shared" si="52"/>
        <v>1.8269230769230771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189.39393939393938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190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2.2724000000000002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1000</v>
      </c>
      <c r="Y442" s="555">
        <f>IFERROR(SUM(Y429:Y440),"0")</f>
        <v>1003.2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7300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7342.8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7576.9471380471387</v>
      </c>
      <c r="Y496" s="555">
        <f>IFERROR(SUM(BN22:BN492),"0")</f>
        <v>7621.329999999999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11</v>
      </c>
      <c r="Y497" s="38">
        <f>ROUNDUP(SUM(BP22:BP492),0)</f>
        <v>11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7851.9471380471387</v>
      </c>
      <c r="Y498" s="555">
        <f>GrossWeightTotalR+PalletQtyTotalR*25</f>
        <v>7896.329999999999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661.24579124579122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665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12.085660000000001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1209.6000000000001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0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810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4320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1003.2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2026-01-07T08:50:36Z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