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6665A9B-48CB-470E-AB9E-582B38691C1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5" i="1" l="1"/>
  <c r="O505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Y425" i="1"/>
  <c r="X425" i="1"/>
  <c r="X424" i="1"/>
  <c r="BP423" i="1"/>
  <c r="BO423" i="1"/>
  <c r="BN423" i="1"/>
  <c r="BM423" i="1"/>
  <c r="Z423" i="1"/>
  <c r="Z424" i="1" s="1"/>
  <c r="Y423" i="1"/>
  <c r="Y424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89" i="1"/>
  <c r="Y388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Y389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Y294" i="1" s="1"/>
  <c r="P292" i="1"/>
  <c r="X290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N266" i="1"/>
  <c r="BM266" i="1"/>
  <c r="Z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6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5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5" i="1" s="1"/>
  <c r="X24" i="1"/>
  <c r="BP23" i="1"/>
  <c r="BO23" i="1"/>
  <c r="BN23" i="1"/>
  <c r="BM23" i="1"/>
  <c r="Z23" i="1"/>
  <c r="Y23" i="1"/>
  <c r="P23" i="1"/>
  <c r="BO22" i="1"/>
  <c r="X497" i="1" s="1"/>
  <c r="BM22" i="1"/>
  <c r="X496" i="1" s="1"/>
  <c r="X498" i="1" s="1"/>
  <c r="Y22" i="1"/>
  <c r="B505" i="1" s="1"/>
  <c r="P22" i="1"/>
  <c r="H10" i="1"/>
  <c r="A9" i="1"/>
  <c r="F10" i="1" s="1"/>
  <c r="D7" i="1"/>
  <c r="Q6" i="1"/>
  <c r="P2" i="1"/>
  <c r="Y24" i="1" l="1"/>
  <c r="Y32" i="1"/>
  <c r="Y65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BP223" i="1"/>
  <c r="BN223" i="1"/>
  <c r="Z223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300" i="1"/>
  <c r="BN300" i="1"/>
  <c r="Z300" i="1"/>
  <c r="BP308" i="1"/>
  <c r="BN308" i="1"/>
  <c r="Z308" i="1"/>
  <c r="Y312" i="1"/>
  <c r="BP316" i="1"/>
  <c r="BN316" i="1"/>
  <c r="Z316" i="1"/>
  <c r="Z319" i="1" s="1"/>
  <c r="Y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38" i="1" s="1"/>
  <c r="Y338" i="1"/>
  <c r="BP376" i="1"/>
  <c r="BN376" i="1"/>
  <c r="Z376" i="1"/>
  <c r="Z377" i="1" s="1"/>
  <c r="Y378" i="1"/>
  <c r="Y383" i="1"/>
  <c r="BP380" i="1"/>
  <c r="BN380" i="1"/>
  <c r="Z380" i="1"/>
  <c r="Z382" i="1" s="1"/>
  <c r="Y382" i="1"/>
  <c r="H9" i="1"/>
  <c r="A10" i="1"/>
  <c r="Y44" i="1"/>
  <c r="Y59" i="1"/>
  <c r="Y69" i="1"/>
  <c r="Y77" i="1"/>
  <c r="Y81" i="1"/>
  <c r="Y90" i="1"/>
  <c r="F9" i="1"/>
  <c r="J9" i="1"/>
  <c r="Z22" i="1"/>
  <c r="Z24" i="1" s="1"/>
  <c r="BN22" i="1"/>
  <c r="BP22" i="1"/>
  <c r="X499" i="1"/>
  <c r="Y25" i="1"/>
  <c r="Z28" i="1"/>
  <c r="Z32" i="1" s="1"/>
  <c r="BN28" i="1"/>
  <c r="Z30" i="1"/>
  <c r="BN30" i="1"/>
  <c r="C505" i="1"/>
  <c r="Z42" i="1"/>
  <c r="Z44" i="1" s="1"/>
  <c r="BN42" i="1"/>
  <c r="Y45" i="1"/>
  <c r="D505" i="1"/>
  <c r="Z53" i="1"/>
  <c r="Z58" i="1" s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5" i="1"/>
  <c r="Z86" i="1"/>
  <c r="Z89" i="1" s="1"/>
  <c r="BN86" i="1"/>
  <c r="Z88" i="1"/>
  <c r="BN88" i="1"/>
  <c r="Y89" i="1"/>
  <c r="Z92" i="1"/>
  <c r="BN92" i="1"/>
  <c r="BP92" i="1"/>
  <c r="Z94" i="1"/>
  <c r="BN94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J505" i="1"/>
  <c r="Z196" i="1"/>
  <c r="Z197" i="1" s="1"/>
  <c r="BN196" i="1"/>
  <c r="Y197" i="1"/>
  <c r="Z200" i="1"/>
  <c r="Z202" i="1" s="1"/>
  <c r="BN200" i="1"/>
  <c r="BP200" i="1"/>
  <c r="Z206" i="1"/>
  <c r="Z213" i="1" s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BP221" i="1"/>
  <c r="BN221" i="1"/>
  <c r="Z221" i="1"/>
  <c r="Y225" i="1"/>
  <c r="BP229" i="1"/>
  <c r="BN229" i="1"/>
  <c r="Z229" i="1"/>
  <c r="Z230" i="1" s="1"/>
  <c r="Y231" i="1"/>
  <c r="K505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L505" i="1"/>
  <c r="Y269" i="1"/>
  <c r="BP263" i="1"/>
  <c r="BN263" i="1"/>
  <c r="Z263" i="1"/>
  <c r="Z268" i="1" s="1"/>
  <c r="Y268" i="1"/>
  <c r="BP273" i="1"/>
  <c r="BN273" i="1"/>
  <c r="Z273" i="1"/>
  <c r="Y277" i="1"/>
  <c r="BP282" i="1"/>
  <c r="BN282" i="1"/>
  <c r="Z282" i="1"/>
  <c r="Y284" i="1"/>
  <c r="P505" i="1"/>
  <c r="Y290" i="1"/>
  <c r="BP287" i="1"/>
  <c r="BN287" i="1"/>
  <c r="Z287" i="1"/>
  <c r="Z289" i="1" s="1"/>
  <c r="Y289" i="1"/>
  <c r="BP351" i="1"/>
  <c r="BN351" i="1"/>
  <c r="Z351" i="1"/>
  <c r="S505" i="1"/>
  <c r="Y357" i="1"/>
  <c r="BP355" i="1"/>
  <c r="BN355" i="1"/>
  <c r="Z355" i="1"/>
  <c r="BP394" i="1"/>
  <c r="BN394" i="1"/>
  <c r="Z394" i="1"/>
  <c r="BP398" i="1"/>
  <c r="BN398" i="1"/>
  <c r="Z398" i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BP275" i="1"/>
  <c r="BN275" i="1"/>
  <c r="Z275" i="1"/>
  <c r="Z276" i="1" s="1"/>
  <c r="Y283" i="1"/>
  <c r="BP280" i="1"/>
  <c r="BN280" i="1"/>
  <c r="Z280" i="1"/>
  <c r="Z283" i="1" s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Z312" i="1" s="1"/>
  <c r="BP310" i="1"/>
  <c r="BN310" i="1"/>
  <c r="Z310" i="1"/>
  <c r="Y319" i="1"/>
  <c r="BP318" i="1"/>
  <c r="BN318" i="1"/>
  <c r="Z318" i="1"/>
  <c r="Y325" i="1"/>
  <c r="BP322" i="1"/>
  <c r="BN322" i="1"/>
  <c r="Z322" i="1"/>
  <c r="Z325" i="1" s="1"/>
  <c r="BP330" i="1"/>
  <c r="BN330" i="1"/>
  <c r="Z330" i="1"/>
  <c r="Y339" i="1"/>
  <c r="Z345" i="1"/>
  <c r="BP343" i="1"/>
  <c r="BN343" i="1"/>
  <c r="Z343" i="1"/>
  <c r="Y358" i="1"/>
  <c r="BP353" i="1"/>
  <c r="BN353" i="1"/>
  <c r="Z353" i="1"/>
  <c r="Z357" i="1" s="1"/>
  <c r="BP361" i="1"/>
  <c r="BN361" i="1"/>
  <c r="Z361" i="1"/>
  <c r="Z362" i="1" s="1"/>
  <c r="Y363" i="1"/>
  <c r="Y368" i="1"/>
  <c r="BP365" i="1"/>
  <c r="BN365" i="1"/>
  <c r="Z365" i="1"/>
  <c r="Z367" i="1" s="1"/>
  <c r="Z388" i="1"/>
  <c r="BP386" i="1"/>
  <c r="BN386" i="1"/>
  <c r="Z386" i="1"/>
  <c r="U505" i="1"/>
  <c r="BP396" i="1"/>
  <c r="BN396" i="1"/>
  <c r="Z396" i="1"/>
  <c r="Z402" i="1" s="1"/>
  <c r="BP400" i="1"/>
  <c r="BN400" i="1"/>
  <c r="Z400" i="1"/>
  <c r="Y407" i="1"/>
  <c r="BP417" i="1"/>
  <c r="BN417" i="1"/>
  <c r="Z417" i="1"/>
  <c r="BP453" i="1"/>
  <c r="BN453" i="1"/>
  <c r="Z453" i="1"/>
  <c r="BP467" i="1"/>
  <c r="BN467" i="1"/>
  <c r="Z467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Z441" i="1" l="1"/>
  <c r="Z419" i="1"/>
  <c r="Z259" i="1"/>
  <c r="Z225" i="1"/>
  <c r="Z119" i="1"/>
  <c r="Z96" i="1"/>
  <c r="Y495" i="1"/>
  <c r="Y497" i="1"/>
  <c r="Z332" i="1"/>
  <c r="Z243" i="1"/>
  <c r="Z500" i="1" s="1"/>
  <c r="Y496" i="1"/>
  <c r="Y498" i="1" s="1"/>
  <c r="Y499" i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<sst xmlns="http://schemas.openxmlformats.org/spreadsheetml/2006/main" count="2294" uniqueCount="781">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</sst>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86.4</v>
      </c>
      <c r="Y53" s="554">
        <f t="shared" si="0"/>
        <v>86.4</v>
      </c>
      <c r="Z53" s="36">
        <f>IFERROR(IF(Y53=0,"",ROUNDUP(Y53/H53,0)*0.01898),"")</f>
        <v>0.15184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89.68</v>
      </c>
      <c r="BN53" s="64">
        <f t="shared" si="2"/>
        <v>89.68</v>
      </c>
      <c r="BO53" s="64">
        <f t="shared" si="3"/>
        <v>0.125</v>
      </c>
      <c r="BP53" s="64">
        <f t="shared" si="4"/>
        <v>0.125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8</v>
      </c>
      <c r="Y58" s="555">
        <f>IFERROR(Y52/H52,"0")+IFERROR(Y53/H53,"0")+IFERROR(Y54/H54,"0")+IFERROR(Y55/H55,"0")+IFERROR(Y56/H56,"0")+IFERROR(Y57/H57,"0")</f>
        <v>8</v>
      </c>
      <c r="Z58" s="555">
        <f>IFERROR(IF(Z52="",0,Z52),"0")+IFERROR(IF(Z53="",0,Z53),"0")+IFERROR(IF(Z54="",0,Z54),"0")+IFERROR(IF(Z55="",0,Z55),"0")+IFERROR(IF(Z56="",0,Z56),"0")+IFERROR(IF(Z57="",0,Z57),"0")</f>
        <v>0.15184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86.4</v>
      </c>
      <c r="Y59" s="555">
        <f>IFERROR(SUM(Y52:Y57),"0")</f>
        <v>86.4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62.4</v>
      </c>
      <c r="Y79" s="554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65.680000000000007</v>
      </c>
      <c r="BN79" s="64">
        <f>IFERROR(Y79*I79/H79,"0")</f>
        <v>65.680000000000007</v>
      </c>
      <c r="BO79" s="64">
        <f>IFERROR(1/J79*(X79/H79),"0")</f>
        <v>0.125</v>
      </c>
      <c r="BP79" s="64">
        <f>IFERROR(1/J79*(Y79/H79),"0")</f>
        <v>0.125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8</v>
      </c>
      <c r="Y81" s="555">
        <f>IFERROR(Y79/H79,"0")+IFERROR(Y80/H80,"0")</f>
        <v>8</v>
      </c>
      <c r="Z81" s="555">
        <f>IFERROR(IF(Z79="",0,Z79),"0")+IFERROR(IF(Z80="",0,Z80),"0")</f>
        <v>0.15184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62.4</v>
      </c>
      <c r="Y82" s="555">
        <f>IFERROR(SUM(Y79:Y80),"0")</f>
        <v>62.4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64.8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68.751999999999995</v>
      </c>
      <c r="BN92" s="64">
        <f>IFERROR(Y92*I92/H92,"0")</f>
        <v>68.751999999999995</v>
      </c>
      <c r="BO92" s="64">
        <f>IFERROR(1/J92*(X92/H92),"0")</f>
        <v>0.125</v>
      </c>
      <c r="BP92" s="64">
        <f>IFERROR(1/J92*(Y92/H92),"0")</f>
        <v>0.125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8</v>
      </c>
      <c r="Y96" s="555">
        <f>IFERROR(Y92/H92,"0")+IFERROR(Y93/H93,"0")+IFERROR(Y94/H94,"0")+IFERROR(Y95/H95,"0")</f>
        <v>8</v>
      </c>
      <c r="Z96" s="555">
        <f>IFERROR(IF(Z92="",0,Z92),"0")+IFERROR(IF(Z93="",0,Z93),"0")+IFERROR(IF(Z94="",0,Z94),"0")+IFERROR(IF(Z95="",0,Z95),"0")</f>
        <v>0.15184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64.8</v>
      </c>
      <c r="Y97" s="555">
        <f>IFERROR(SUM(Y92:Y95),"0")</f>
        <v>64.8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64.8</v>
      </c>
      <c r="Y115" s="554">
        <f>IFERROR(IF(X115="",0,CEILING((X115/$H115),1)*$H115),"")</f>
        <v>64.8</v>
      </c>
      <c r="Z115" s="36">
        <f>IFERROR(IF(Y115=0,"",ROUNDUP(Y115/H115,0)*0.01898),"")</f>
        <v>0.15184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68.703999999999994</v>
      </c>
      <c r="BN115" s="64">
        <f>IFERROR(Y115*I115/H115,"0")</f>
        <v>68.703999999999994</v>
      </c>
      <c r="BO115" s="64">
        <f>IFERROR(1/J115*(X115/H115),"0")</f>
        <v>0.125</v>
      </c>
      <c r="BP115" s="64">
        <f>IFERROR(1/J115*(Y115/H115),"0")</f>
        <v>0.125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8</v>
      </c>
      <c r="Y119" s="555">
        <f>IFERROR(Y115/H115,"0")+IFERROR(Y116/H116,"0")+IFERROR(Y117/H117,"0")+IFERROR(Y118/H118,"0")</f>
        <v>8</v>
      </c>
      <c r="Z119" s="555">
        <f>IFERROR(IF(Z115="",0,Z115),"0")+IFERROR(IF(Z116="",0,Z116),"0")+IFERROR(IF(Z117="",0,Z117),"0")+IFERROR(IF(Z118="",0,Z118),"0")</f>
        <v>0.15184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64.8</v>
      </c>
      <c r="Y120" s="555">
        <f>IFERROR(SUM(Y115:Y118),"0")</f>
        <v>64.8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67.2</v>
      </c>
      <c r="Y322" s="554">
        <f>IFERROR(IF(X322="",0,CEILING((X322/$H322),1)*$H322),"")</f>
        <v>67.2</v>
      </c>
      <c r="Z322" s="36">
        <f>IFERROR(IF(Y322=0,"",ROUNDUP(Y322/H322,0)*0.01898),"")</f>
        <v>0.15184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71.152000000000001</v>
      </c>
      <c r="BN322" s="64">
        <f>IFERROR(Y322*I322/H322,"0")</f>
        <v>71.152000000000001</v>
      </c>
      <c r="BO322" s="64">
        <f>IFERROR(1/J322*(X322/H322),"0")</f>
        <v>0.125</v>
      </c>
      <c r="BP322" s="64">
        <f>IFERROR(1/J322*(Y322/H322),"0")</f>
        <v>0.125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124.8</v>
      </c>
      <c r="Y323" s="554">
        <f>IFERROR(IF(X323="",0,CEILING((X323/$H323),1)*$H323),"")</f>
        <v>124.8</v>
      </c>
      <c r="Z323" s="36">
        <f>IFERROR(IF(Y323=0,"",ROUNDUP(Y323/H323,0)*0.01898),"")</f>
        <v>0.30368000000000001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132.70400000000001</v>
      </c>
      <c r="BN323" s="64">
        <f>IFERROR(Y323*I323/H323,"0")</f>
        <v>132.70400000000001</v>
      </c>
      <c r="BO323" s="64">
        <f>IFERROR(1/J323*(X323/H323),"0")</f>
        <v>0.25</v>
      </c>
      <c r="BP323" s="64">
        <f>IFERROR(1/J323*(Y323/H323),"0")</f>
        <v>0.25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67.2</v>
      </c>
      <c r="Y324" s="554">
        <f>IFERROR(IF(X324="",0,CEILING((X324/$H324),1)*$H324),"")</f>
        <v>67.2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71.152000000000001</v>
      </c>
      <c r="BN324" s="64">
        <f>IFERROR(Y324*I324/H324,"0")</f>
        <v>71.152000000000001</v>
      </c>
      <c r="BO324" s="64">
        <f>IFERROR(1/J324*(X324/H324),"0")</f>
        <v>0.125</v>
      </c>
      <c r="BP324" s="64">
        <f>IFERROR(1/J324*(Y324/H324),"0")</f>
        <v>0.125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32</v>
      </c>
      <c r="Y325" s="555">
        <f>IFERROR(Y322/H322,"0")+IFERROR(Y323/H323,"0")+IFERROR(Y324/H324,"0")</f>
        <v>32</v>
      </c>
      <c r="Z325" s="555">
        <f>IFERROR(IF(Z322="",0,Z322),"0")+IFERROR(IF(Z323="",0,Z323),"0")+IFERROR(IF(Z324="",0,Z324),"0")</f>
        <v>0.60736000000000001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259.2</v>
      </c>
      <c r="Y326" s="555">
        <f>IFERROR(SUM(Y322:Y324),"0")</f>
        <v>259.2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64.8</v>
      </c>
      <c r="Y342" s="554">
        <f>IFERROR(IF(X342="",0,CEILING((X342/$H342),1)*$H342),"")</f>
        <v>64.8</v>
      </c>
      <c r="Z342" s="36">
        <f>IFERROR(IF(Y342=0,"",ROUNDUP(Y342/H342,0)*0.01898),"")</f>
        <v>0.15184</v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68.751999999999995</v>
      </c>
      <c r="BN342" s="64">
        <f>IFERROR(Y342*I342/H342,"0")</f>
        <v>68.751999999999995</v>
      </c>
      <c r="BO342" s="64">
        <f>IFERROR(1/J342*(X342/H342),"0")</f>
        <v>0.125</v>
      </c>
      <c r="BP342" s="64">
        <f>IFERROR(1/J342*(Y342/H342),"0")</f>
        <v>0.125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8</v>
      </c>
      <c r="Y345" s="555">
        <f>IFERROR(Y342/H342,"0")+IFERROR(Y343/H343,"0")+IFERROR(Y344/H344,"0")</f>
        <v>8</v>
      </c>
      <c r="Z345" s="555">
        <f>IFERROR(IF(Z342="",0,Z342),"0")+IFERROR(IF(Z343="",0,Z343),"0")+IFERROR(IF(Z344="",0,Z344),"0")</f>
        <v>0.15184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64.8</v>
      </c>
      <c r="Y346" s="555">
        <f>IFERROR(SUM(Y342:Y344),"0")</f>
        <v>64.8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</v>
      </c>
      <c r="Y350" s="554">
        <f t="shared" ref="Y350:Y356" si="36">IFERROR(IF(X350="",0,CEILING((X350/$H350),1)*$H350),"")</f>
        <v>120</v>
      </c>
      <c r="Z350" s="36">
        <f>IFERROR(IF(Y350=0,"",ROUNDUP(Y350/H350,0)*0.02175),"")</f>
        <v>0.17399999999999999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123.76</v>
      </c>
      <c r="BN350" s="64">
        <f t="shared" ref="BN350:BN356" si="38">IFERROR(Y350*I350/H350,"0")</f>
        <v>123.76</v>
      </c>
      <c r="BO350" s="64">
        <f t="shared" ref="BO350:BO356" si="39">IFERROR(1/J350*(X350/H350),"0")</f>
        <v>0.16666666666666666</v>
      </c>
      <c r="BP350" s="64">
        <f t="shared" ref="BP350:BP356" si="40">IFERROR(1/J350*(Y350/H350),"0")</f>
        <v>0.16666666666666666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120</v>
      </c>
      <c r="Y352" s="554">
        <f t="shared" si="36"/>
        <v>120</v>
      </c>
      <c r="Z352" s="36">
        <f>IFERROR(IF(Y352=0,"",ROUNDUP(Y352/H352,0)*0.02175),"")</f>
        <v>0.17399999999999999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123.76</v>
      </c>
      <c r="BN352" s="64">
        <f t="shared" si="38"/>
        <v>123.76</v>
      </c>
      <c r="BO352" s="64">
        <f t="shared" si="39"/>
        <v>0.16666666666666666</v>
      </c>
      <c r="BP352" s="64">
        <f t="shared" si="40"/>
        <v>0.16666666666666666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16</v>
      </c>
      <c r="Y357" s="555">
        <f>IFERROR(Y350/H350,"0")+IFERROR(Y351/H351,"0")+IFERROR(Y352/H352,"0")+IFERROR(Y353/H353,"0")+IFERROR(Y354/H354,"0")+IFERROR(Y355/H355,"0")+IFERROR(Y356/H356,"0")</f>
        <v>16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240</v>
      </c>
      <c r="Y358" s="555">
        <f>IFERROR(SUM(Y350:Y356),"0")</f>
        <v>240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120</v>
      </c>
      <c r="Y360" s="554">
        <f>IFERROR(IF(X360="",0,CEILING((X360/$H360),1)*$H360),"")</f>
        <v>120</v>
      </c>
      <c r="Z360" s="36">
        <f>IFERROR(IF(Y360=0,"",ROUNDUP(Y360/H360,0)*0.02175),"")</f>
        <v>0.17399999999999999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123.76</v>
      </c>
      <c r="BN360" s="64">
        <f>IFERROR(Y360*I360/H360,"0")</f>
        <v>123.76</v>
      </c>
      <c r="BO360" s="64">
        <f>IFERROR(1/J360*(X360/H360),"0")</f>
        <v>0.16666666666666666</v>
      </c>
      <c r="BP360" s="64">
        <f>IFERROR(1/J360*(Y360/H360),"0")</f>
        <v>0.16666666666666666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8</v>
      </c>
      <c r="Y362" s="555">
        <f>IFERROR(Y360/H360,"0")+IFERROR(Y361/H361,"0")</f>
        <v>8</v>
      </c>
      <c r="Z362" s="555">
        <f>IFERROR(IF(Z360="",0,Z360),"0")+IFERROR(IF(Z361="",0,Z361),"0")</f>
        <v>0.17399999999999999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120</v>
      </c>
      <c r="Y363" s="555">
        <f>IFERROR(SUM(Y360:Y361),"0")</f>
        <v>120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72</v>
      </c>
      <c r="Y385" s="554">
        <f>IFERROR(IF(X385="",0,CEILING((X385/$H385),1)*$H385),"")</f>
        <v>72</v>
      </c>
      <c r="Z385" s="36">
        <f>IFERROR(IF(Y385=0,"",ROUNDUP(Y385/H385,0)*0.01898),"")</f>
        <v>0.15184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75.951999999999998</v>
      </c>
      <c r="BN385" s="64">
        <f>IFERROR(Y385*I385/H385,"0")</f>
        <v>75.951999999999998</v>
      </c>
      <c r="BO385" s="64">
        <f>IFERROR(1/J385*(X385/H385),"0")</f>
        <v>0.125</v>
      </c>
      <c r="BP385" s="64">
        <f>IFERROR(1/J385*(Y385/H385),"0")</f>
        <v>0.125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67.2</v>
      </c>
      <c r="Y386" s="554">
        <f>IFERROR(IF(X386="",0,CEILING((X386/$H386),1)*$H386),"")</f>
        <v>67.2</v>
      </c>
      <c r="Z386" s="36">
        <f>IFERROR(IF(Y386=0,"",ROUNDUP(Y386/H386,0)*0.00651),"")</f>
        <v>0.18228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74.592000000000013</v>
      </c>
      <c r="BN386" s="64">
        <f>IFERROR(Y386*I386/H386,"0")</f>
        <v>74.592000000000013</v>
      </c>
      <c r="BO386" s="64">
        <f>IFERROR(1/J386*(X386/H386),"0")</f>
        <v>0.15384615384615388</v>
      </c>
      <c r="BP386" s="64">
        <f>IFERROR(1/J386*(Y386/H386),"0")</f>
        <v>0.15384615384615388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36</v>
      </c>
      <c r="Y388" s="555">
        <f>IFERROR(Y385/H385,"0")+IFERROR(Y386/H386,"0")+IFERROR(Y387/H387,"0")</f>
        <v>36</v>
      </c>
      <c r="Z388" s="555">
        <f>IFERROR(IF(Z385="",0,Z385),"0")+IFERROR(IF(Z386="",0,Z386),"0")+IFERROR(IF(Z387="",0,Z387),"0")</f>
        <v>0.33411999999999997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139.19999999999999</v>
      </c>
      <c r="Y389" s="555">
        <f>IFERROR(SUM(Y385:Y387),"0")</f>
        <v>139.19999999999999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42.24</v>
      </c>
      <c r="Y433" s="554">
        <f t="shared" si="47"/>
        <v>42.24</v>
      </c>
      <c r="Z433" s="36">
        <f t="shared" si="48"/>
        <v>9.5680000000000001E-2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45.04</v>
      </c>
      <c r="BN433" s="64">
        <f t="shared" si="50"/>
        <v>45.04</v>
      </c>
      <c r="BO433" s="64">
        <f t="shared" si="51"/>
        <v>7.6923076923076927E-2</v>
      </c>
      <c r="BP433" s="64">
        <f t="shared" si="52"/>
        <v>7.6923076923076927E-2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84.48</v>
      </c>
      <c r="Y435" s="554">
        <f t="shared" si="47"/>
        <v>84.48</v>
      </c>
      <c r="Z435" s="36">
        <f t="shared" si="48"/>
        <v>0.19136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90.08</v>
      </c>
      <c r="BN435" s="64">
        <f t="shared" si="50"/>
        <v>90.08</v>
      </c>
      <c r="BO435" s="64">
        <f t="shared" si="51"/>
        <v>0.15384615384615385</v>
      </c>
      <c r="BP435" s="64">
        <f t="shared" si="52"/>
        <v>0.15384615384615385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0.28704000000000002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126.72</v>
      </c>
      <c r="Y442" s="555">
        <f>IFERROR(SUM(Y429:Y440),"0")</f>
        <v>126.72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42.24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45.04</v>
      </c>
      <c r="BN450" s="64">
        <f t="shared" ref="BN450:BN455" si="55">IFERROR(Y450*I450/H450,"0")</f>
        <v>45.04</v>
      </c>
      <c r="BO450" s="64">
        <f t="shared" ref="BO450:BO455" si="56">IFERROR(1/J450*(X450/H450),"0")</f>
        <v>7.6923076923076927E-2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42.24</v>
      </c>
      <c r="Y451" s="554">
        <f t="shared" si="53"/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45.04</v>
      </c>
      <c r="BN451" s="64">
        <f t="shared" si="55"/>
        <v>45.04</v>
      </c>
      <c r="BO451" s="64">
        <f t="shared" si="56"/>
        <v>7.6923076923076927E-2</v>
      </c>
      <c r="BP451" s="64">
        <f t="shared" si="57"/>
        <v>7.6923076923076927E-2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16</v>
      </c>
      <c r="Y456" s="555">
        <f>IFERROR(Y450/H450,"0")+IFERROR(Y451/H451,"0")+IFERROR(Y452/H452,"0")+IFERROR(Y453/H453,"0")+IFERROR(Y454/H454,"0")+IFERROR(Y455/H455,"0")</f>
        <v>16</v>
      </c>
      <c r="Z456" s="555">
        <f>IFERROR(IF(Z450="",0,Z450),"0")+IFERROR(IF(Z451="",0,Z451),"0")+IFERROR(IF(Z452="",0,Z452),"0")+IFERROR(IF(Z453="",0,Z453),"0")+IFERROR(IF(Z454="",0,Z454),"0")+IFERROR(IF(Z455="",0,Z455),"0")</f>
        <v>0.19136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84.48</v>
      </c>
      <c r="Y457" s="555">
        <f>IFERROR(SUM(Y450:Y455),"0")</f>
        <v>84.48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1312.8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1312.8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1383.6</v>
      </c>
      <c r="Y496" s="555">
        <f>IFERROR(SUM(BN22:BN492),"0")</f>
        <v>1383.6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1458.6</v>
      </c>
      <c r="Y498" s="555">
        <f>GrossWeightTotalR+PalletQtyTotalR*25</f>
        <v>1458.6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172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172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2.7010800000000001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148.80000000000001</v>
      </c>
      <c r="E505" s="46">
        <f>IFERROR(Y85*1,"0")+IFERROR(Y86*1,"0")+IFERROR(Y87*1,"0")+IFERROR(Y88*1,"0")+IFERROR(Y92*1,"0")+IFERROR(Y93*1,"0")+IFERROR(Y94*1,"0")+IFERROR(Y95*1,"0")</f>
        <v>64.8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64.8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259.2</v>
      </c>
      <c r="R505" s="46">
        <f>IFERROR(Y342*1,"0")+IFERROR(Y343*1,"0")+IFERROR(Y344*1,"0")</f>
        <v>64.8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360</v>
      </c>
      <c r="T505" s="46">
        <f>IFERROR(Y375*1,"0")+IFERROR(Y376*1,"0")+IFERROR(Y380*1,"0")+IFERROR(Y381*1,"0")+IFERROR(Y385*1,"0")+IFERROR(Y386*1,"0")+IFERROR(Y387*1,"0")</f>
        <v>139.19999999999999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211.20000000000002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2026-01-07T07:23:15Z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