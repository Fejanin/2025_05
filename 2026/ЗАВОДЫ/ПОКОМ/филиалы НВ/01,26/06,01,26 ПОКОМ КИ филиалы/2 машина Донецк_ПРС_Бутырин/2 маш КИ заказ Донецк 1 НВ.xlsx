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C6CD26B4-794D-438E-A20B-5F6BA50F8DB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64" i="1" l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Y497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213" i="1"/>
  <c r="Z402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<sst xmlns="http://schemas.openxmlformats.org/spreadsheetml/2006/main" count="2320" uniqueCount="781">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</sst>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544</v>
      </c>
      <c r="Y41" s="554">
        <f>IFERROR(IF(X41="",0,CEILING((X41/$H41),1)*$H41),"")</f>
        <v>550.80000000000007</v>
      </c>
      <c r="Z41" s="36">
        <f>IFERROR(IF(Y41=0,"",ROUNDUP(Y41/H41,0)*0.01898),"")</f>
        <v>0.96798000000000006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564.65185185185192</v>
      </c>
      <c r="BN41" s="64">
        <f>IFERROR(Y41*I41/H41,"0")</f>
        <v>571.71000000000015</v>
      </c>
      <c r="BO41" s="64">
        <f>IFERROR(1/J41*(X41/H41),"0")</f>
        <v>0.78703703703703698</v>
      </c>
      <c r="BP41" s="64">
        <f>IFERROR(1/J41*(Y41/H41),"0")</f>
        <v>0.796875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50.370370370370367</v>
      </c>
      <c r="Y44" s="555">
        <f>IFERROR(Y41/H41,"0")+IFERROR(Y42/H42,"0")+IFERROR(Y43/H43,"0")</f>
        <v>51</v>
      </c>
      <c r="Z44" s="555">
        <f>IFERROR(IF(Z41="",0,Z41),"0")+IFERROR(IF(Z42="",0,Z42),"0")+IFERROR(IF(Z43="",0,Z43),"0")</f>
        <v>0.96798000000000006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544</v>
      </c>
      <c r="Y45" s="555">
        <f>IFERROR(SUM(Y41:Y43),"0")</f>
        <v>550.80000000000007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28</v>
      </c>
      <c r="Y52" s="554">
        <f t="shared" ref="Y52:Y57" si="0">IFERROR(IF(X52="",0,CEILING((X52/$H52),1)*$H52),"")</f>
        <v>33.599999999999994</v>
      </c>
      <c r="Z52" s="36">
        <f>IFERROR(IF(Y52=0,"",ROUNDUP(Y52/H52,0)*0.01898),"")</f>
        <v>5.6940000000000004E-2</v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29.025000000000002</v>
      </c>
      <c r="BN52" s="64">
        <f t="shared" ref="BN52:BN57" si="2">IFERROR(Y52*I52/H52,"0")</f>
        <v>34.829999999999991</v>
      </c>
      <c r="BO52" s="64">
        <f t="shared" ref="BO52:BO57" si="3">IFERROR(1/J52*(X52/H52),"0")</f>
        <v>3.90625E-2</v>
      </c>
      <c r="BP52" s="64">
        <f t="shared" ref="BP52:BP57" si="4">IFERROR(1/J52*(Y52/H52),"0")</f>
        <v>4.6874999999999993E-2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324</v>
      </c>
      <c r="Y53" s="554">
        <f t="shared" si="0"/>
        <v>324</v>
      </c>
      <c r="Z53" s="36">
        <f>IFERROR(IF(Y53=0,"",ROUNDUP(Y53/H53,0)*0.01898),"")</f>
        <v>0.56940000000000002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336.3</v>
      </c>
      <c r="BN53" s="64">
        <f t="shared" si="2"/>
        <v>336.3</v>
      </c>
      <c r="BO53" s="64">
        <f t="shared" si="3"/>
        <v>0.46874999999999994</v>
      </c>
      <c r="BP53" s="64">
        <f t="shared" si="4"/>
        <v>0.46874999999999994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7</v>
      </c>
      <c r="Y55" s="554">
        <f t="shared" si="0"/>
        <v>8</v>
      </c>
      <c r="Z55" s="36">
        <f>IFERROR(IF(Y55=0,"",ROUNDUP(Y55/H55,0)*0.00902),"")</f>
        <v>1.804E-2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7.3325000000000005</v>
      </c>
      <c r="BN55" s="64">
        <f t="shared" si="2"/>
        <v>8.3800000000000008</v>
      </c>
      <c r="BO55" s="64">
        <f t="shared" si="3"/>
        <v>1.3257575757575758E-2</v>
      </c>
      <c r="BP55" s="64">
        <f t="shared" si="4"/>
        <v>1.5151515151515152E-2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34.25</v>
      </c>
      <c r="Y58" s="555">
        <f>IFERROR(Y52/H52,"0")+IFERROR(Y53/H53,"0")+IFERROR(Y54/H54,"0")+IFERROR(Y55/H55,"0")+IFERROR(Y56/H56,"0")+IFERROR(Y57/H57,"0")</f>
        <v>34.999999999999993</v>
      </c>
      <c r="Z58" s="555">
        <f>IFERROR(IF(Z52="",0,Z52),"0")+IFERROR(IF(Z53="",0,Z53),"0")+IFERROR(IF(Z54="",0,Z54),"0")+IFERROR(IF(Z55="",0,Z55),"0")+IFERROR(IF(Z56="",0,Z56),"0")+IFERROR(IF(Z57="",0,Z57),"0")</f>
        <v>0.64437999999999995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359</v>
      </c>
      <c r="Y59" s="555">
        <f>IFERROR(SUM(Y52:Y57),"0")</f>
        <v>365.6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68</v>
      </c>
      <c r="Y61" s="554">
        <f>IFERROR(IF(X61="",0,CEILING((X61/$H61),1)*$H61),"")</f>
        <v>75.600000000000009</v>
      </c>
      <c r="Z61" s="36">
        <f>IFERROR(IF(Y61=0,"",ROUNDUP(Y61/H61,0)*0.01898),"")</f>
        <v>0.13286000000000001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70.581481481481489</v>
      </c>
      <c r="BN61" s="64">
        <f>IFERROR(Y61*I61/H61,"0")</f>
        <v>78.47</v>
      </c>
      <c r="BO61" s="64">
        <f>IFERROR(1/J61*(X61/H61),"0")</f>
        <v>9.8379629629629622E-2</v>
      </c>
      <c r="BP61" s="64">
        <f>IFERROR(1/J61*(Y61/H61),"0")</f>
        <v>0.109375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6.2962962962962958</v>
      </c>
      <c r="Y64" s="555">
        <f>IFERROR(Y61/H61,"0")+IFERROR(Y62/H62,"0")+IFERROR(Y63/H63,"0")</f>
        <v>7</v>
      </c>
      <c r="Z64" s="555">
        <f>IFERROR(IF(Z61="",0,Z61),"0")+IFERROR(IF(Z62="",0,Z62),"0")+IFERROR(IF(Z63="",0,Z63),"0")</f>
        <v>0.13286000000000001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68</v>
      </c>
      <c r="Y65" s="555">
        <f>IFERROR(SUM(Y61:Y63),"0")</f>
        <v>75.600000000000009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80</v>
      </c>
      <c r="Y79" s="554">
        <f>IFERROR(IF(X79="",0,CEILING((X79/$H79),1)*$H79),"")</f>
        <v>85.8</v>
      </c>
      <c r="Z79" s="36">
        <f>IFERROR(IF(Y79=0,"",ROUNDUP(Y79/H79,0)*0.01898),"")</f>
        <v>0.20877999999999999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84.205128205128219</v>
      </c>
      <c r="BN79" s="64">
        <f>IFERROR(Y79*I79/H79,"0")</f>
        <v>90.31</v>
      </c>
      <c r="BO79" s="64">
        <f>IFERROR(1/J79*(X79/H79),"0")</f>
        <v>0.16025641025641027</v>
      </c>
      <c r="BP79" s="64">
        <f>IFERROR(1/J79*(Y79/H79),"0")</f>
        <v>0.171875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10.256410256410257</v>
      </c>
      <c r="Y81" s="555">
        <f>IFERROR(Y79/H79,"0")+IFERROR(Y80/H80,"0")</f>
        <v>11</v>
      </c>
      <c r="Z81" s="555">
        <f>IFERROR(IF(Z79="",0,Z79),"0")+IFERROR(IF(Z80="",0,Z80),"0")</f>
        <v>0.20877999999999999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80</v>
      </c>
      <c r="Y82" s="555">
        <f>IFERROR(SUM(Y79:Y80),"0")</f>
        <v>85.8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507</v>
      </c>
      <c r="Y85" s="554">
        <f>IFERROR(IF(X85="",0,CEILING((X85/$H85),1)*$H85),"")</f>
        <v>507.6</v>
      </c>
      <c r="Z85" s="36">
        <f>IFERROR(IF(Y85=0,"",ROUNDUP(Y85/H85,0)*0.01898),"")</f>
        <v>0.89205999999999996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526.24722222222226</v>
      </c>
      <c r="BN85" s="64">
        <f>IFERROR(Y85*I85/H85,"0")</f>
        <v>526.87</v>
      </c>
      <c r="BO85" s="64">
        <f>IFERROR(1/J85*(X85/H85),"0")</f>
        <v>0.73350694444444442</v>
      </c>
      <c r="BP85" s="64">
        <f>IFERROR(1/J85*(Y85/H85),"0")</f>
        <v>0.734375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46.944444444444443</v>
      </c>
      <c r="Y89" s="555">
        <f>IFERROR(Y85/H85,"0")+IFERROR(Y86/H86,"0")+IFERROR(Y87/H87,"0")+IFERROR(Y88/H88,"0")</f>
        <v>47</v>
      </c>
      <c r="Z89" s="555">
        <f>IFERROR(IF(Z85="",0,Z85),"0")+IFERROR(IF(Z86="",0,Z86),"0")+IFERROR(IF(Z87="",0,Z87),"0")+IFERROR(IF(Z88="",0,Z88),"0")</f>
        <v>0.89205999999999996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507</v>
      </c>
      <c r="Y90" s="555">
        <f>IFERROR(SUM(Y85:Y88),"0")</f>
        <v>507.6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118</v>
      </c>
      <c r="Y92" s="554">
        <f>IFERROR(IF(X92="",0,CEILING((X92/$H92),1)*$H92),"")</f>
        <v>121.5</v>
      </c>
      <c r="Z92" s="36">
        <f>IFERROR(IF(Y92=0,"",ROUNDUP(Y92/H92,0)*0.01898),"")</f>
        <v>0.28470000000000001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125.19654320987655</v>
      </c>
      <c r="BN92" s="64">
        <f>IFERROR(Y92*I92/H92,"0")</f>
        <v>128.91</v>
      </c>
      <c r="BO92" s="64">
        <f>IFERROR(1/J92*(X92/H92),"0")</f>
        <v>0.22762345679012347</v>
      </c>
      <c r="BP92" s="64">
        <f>IFERROR(1/J92*(Y92/H92),"0")</f>
        <v>0.234375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206</v>
      </c>
      <c r="Y94" s="554">
        <f>IFERROR(IF(X94="",0,CEILING((X94/$H94),1)*$H94),"")</f>
        <v>207.9</v>
      </c>
      <c r="Z94" s="36">
        <f>IFERROR(IF(Y94=0,"",ROUNDUP(Y94/H94,0)*0.00651),"")</f>
        <v>0.50126999999999999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225.22666666666663</v>
      </c>
      <c r="BN94" s="64">
        <f>IFERROR(Y94*I94/H94,"0")</f>
        <v>227.304</v>
      </c>
      <c r="BO94" s="64">
        <f>IFERROR(1/J94*(X94/H94),"0")</f>
        <v>0.41921041921041924</v>
      </c>
      <c r="BP94" s="64">
        <f>IFERROR(1/J94*(Y94/H94),"0")</f>
        <v>0.42307692307692313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90.864197530864189</v>
      </c>
      <c r="Y96" s="555">
        <f>IFERROR(Y92/H92,"0")+IFERROR(Y93/H93,"0")+IFERROR(Y94/H94,"0")+IFERROR(Y95/H95,"0")</f>
        <v>92</v>
      </c>
      <c r="Z96" s="555">
        <f>IFERROR(IF(Z92="",0,Z92),"0")+IFERROR(IF(Z93="",0,Z93),"0")+IFERROR(IF(Z94="",0,Z94),"0")+IFERROR(IF(Z95="",0,Z95),"0")</f>
        <v>0.78597000000000006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324</v>
      </c>
      <c r="Y97" s="555">
        <f>IFERROR(SUM(Y92:Y95),"0")</f>
        <v>329.4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919</v>
      </c>
      <c r="Y100" s="554">
        <f>IFERROR(IF(X100="",0,CEILING((X100/$H100),1)*$H100),"")</f>
        <v>928.80000000000007</v>
      </c>
      <c r="Z100" s="36">
        <f>IFERROR(IF(Y100=0,"",ROUNDUP(Y100/H100,0)*0.01898),"")</f>
        <v>1.63228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953.887962962963</v>
      </c>
      <c r="BN100" s="64">
        <f>IFERROR(Y100*I100/H100,"0")</f>
        <v>964.06000000000006</v>
      </c>
      <c r="BO100" s="64">
        <f>IFERROR(1/J100*(X100/H100),"0")</f>
        <v>1.3295717592592591</v>
      </c>
      <c r="BP100" s="64">
        <f>IFERROR(1/J100*(Y100/H100),"0")</f>
        <v>1.34375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213</v>
      </c>
      <c r="Y103" s="554">
        <f>IFERROR(IF(X103="",0,CEILING((X103/$H103),1)*$H103),"")</f>
        <v>216</v>
      </c>
      <c r="Z103" s="36">
        <f>IFERROR(IF(Y103=0,"",ROUNDUP(Y103/H103,0)*0.00902),"")</f>
        <v>0.43296000000000001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221.99333333333334</v>
      </c>
      <c r="BN103" s="64">
        <f>IFERROR(Y103*I103/H103,"0")</f>
        <v>225.12</v>
      </c>
      <c r="BO103" s="64">
        <f>IFERROR(1/J103*(X103/H103),"0")</f>
        <v>0.35858585858585862</v>
      </c>
      <c r="BP103" s="64">
        <f>IFERROR(1/J103*(Y103/H103),"0")</f>
        <v>0.36363636363636365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132.42592592592592</v>
      </c>
      <c r="Y105" s="555">
        <f>IFERROR(Y100/H100,"0")+IFERROR(Y101/H101,"0")+IFERROR(Y102/H102,"0")+IFERROR(Y103/H103,"0")+IFERROR(Y104/H104,"0")</f>
        <v>134</v>
      </c>
      <c r="Z105" s="555">
        <f>IFERROR(IF(Z100="",0,Z100),"0")+IFERROR(IF(Z101="",0,Z101),"0")+IFERROR(IF(Z102="",0,Z102),"0")+IFERROR(IF(Z103="",0,Z103),"0")+IFERROR(IF(Z104="",0,Z104),"0")</f>
        <v>2.0652400000000002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1132</v>
      </c>
      <c r="Y106" s="555">
        <f>IFERROR(SUM(Y100:Y104),"0")</f>
        <v>1144.8000000000002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35</v>
      </c>
      <c r="Y111" s="554">
        <f>IFERROR(IF(X111="",0,CEILING((X111/$H111),1)*$H111),"")</f>
        <v>36</v>
      </c>
      <c r="Z111" s="36">
        <f>IFERROR(IF(Y111=0,"",ROUNDUP(Y111/H111,0)*0.00651),"")</f>
        <v>9.7650000000000001E-2</v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37.625</v>
      </c>
      <c r="BN111" s="64">
        <f>IFERROR(Y111*I111/H111,"0")</f>
        <v>38.700000000000003</v>
      </c>
      <c r="BO111" s="64">
        <f>IFERROR(1/J111*(X111/H111),"0")</f>
        <v>8.0128205128205135E-2</v>
      </c>
      <c r="BP111" s="64">
        <f>IFERROR(1/J111*(Y111/H111),"0")</f>
        <v>8.241758241758243E-2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14.583333333333334</v>
      </c>
      <c r="Y112" s="555">
        <f>IFERROR(Y108/H108,"0")+IFERROR(Y109/H109,"0")+IFERROR(Y110/H110,"0")+IFERROR(Y111/H111,"0")</f>
        <v>15</v>
      </c>
      <c r="Z112" s="555">
        <f>IFERROR(IF(Z108="",0,Z108),"0")+IFERROR(IF(Z109="",0,Z109),"0")+IFERROR(IF(Z110="",0,Z110),"0")+IFERROR(IF(Z111="",0,Z111),"0")</f>
        <v>9.7650000000000001E-2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35</v>
      </c>
      <c r="Y113" s="555">
        <f>IFERROR(SUM(Y108:Y111),"0")</f>
        <v>36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507</v>
      </c>
      <c r="Y115" s="554">
        <f>IFERROR(IF(X115="",0,CEILING((X115/$H115),1)*$H115),"")</f>
        <v>510.29999999999995</v>
      </c>
      <c r="Z115" s="36">
        <f>IFERROR(IF(Y115=0,"",ROUNDUP(Y115/H115,0)*0.01898),"")</f>
        <v>1.19574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537.54518518518523</v>
      </c>
      <c r="BN115" s="64">
        <f>IFERROR(Y115*I115/H115,"0")</f>
        <v>541.04399999999987</v>
      </c>
      <c r="BO115" s="64">
        <f>IFERROR(1/J115*(X115/H115),"0")</f>
        <v>0.9780092592592593</v>
      </c>
      <c r="BP115" s="64">
        <f>IFERROR(1/J115*(Y115/H115),"0")</f>
        <v>0.984375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151</v>
      </c>
      <c r="Y117" s="554">
        <f>IFERROR(IF(X117="",0,CEILING((X117/$H117),1)*$H117),"")</f>
        <v>151.20000000000002</v>
      </c>
      <c r="Z117" s="36">
        <f>IFERROR(IF(Y117=0,"",ROUNDUP(Y117/H117,0)*0.00651),"")</f>
        <v>0.36456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165.09333333333333</v>
      </c>
      <c r="BN117" s="64">
        <f>IFERROR(Y117*I117/H117,"0")</f>
        <v>165.31200000000001</v>
      </c>
      <c r="BO117" s="64">
        <f>IFERROR(1/J117*(X117/H117),"0")</f>
        <v>0.30728530728530729</v>
      </c>
      <c r="BP117" s="64">
        <f>IFERROR(1/J117*(Y117/H117),"0")</f>
        <v>0.30769230769230771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118.51851851851852</v>
      </c>
      <c r="Y119" s="555">
        <f>IFERROR(Y115/H115,"0")+IFERROR(Y116/H116,"0")+IFERROR(Y117/H117,"0")+IFERROR(Y118/H118,"0")</f>
        <v>119</v>
      </c>
      <c r="Z119" s="555">
        <f>IFERROR(IF(Z115="",0,Z115),"0")+IFERROR(IF(Z116="",0,Z116),"0")+IFERROR(IF(Z117="",0,Z117),"0")+IFERROR(IF(Z118="",0,Z118),"0")</f>
        <v>1.5603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658</v>
      </c>
      <c r="Y120" s="555">
        <f>IFERROR(SUM(Y115:Y118),"0")</f>
        <v>661.5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4301031450</v>
      </c>
      <c r="D148" s="560">
        <v>4680115887428</v>
      </c>
      <c r="E148" s="561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4301030895</v>
      </c>
      <c r="D149" s="560">
        <v>4607091387667</v>
      </c>
      <c r="E149" s="561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7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29</v>
      </c>
      <c r="Y169" s="554">
        <f t="shared" si="10"/>
        <v>29.400000000000002</v>
      </c>
      <c r="Z169" s="36">
        <f>IFERROR(IF(Y169=0,"",ROUNDUP(Y169/H169,0)*0.00902),"")</f>
        <v>6.3140000000000002E-2</v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30.726190476190478</v>
      </c>
      <c r="BN169" s="64">
        <f t="shared" si="12"/>
        <v>31.150000000000002</v>
      </c>
      <c r="BO169" s="64">
        <f t="shared" si="13"/>
        <v>5.2308802308802305E-2</v>
      </c>
      <c r="BP169" s="64">
        <f t="shared" si="14"/>
        <v>5.3030303030303032E-2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25</v>
      </c>
      <c r="Y171" s="554">
        <f t="shared" si="10"/>
        <v>25.200000000000003</v>
      </c>
      <c r="Z171" s="36">
        <f>IFERROR(IF(Y171=0,"",ROUNDUP(Y171/H171,0)*0.00902),"")</f>
        <v>5.4120000000000001E-2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26.130952380952376</v>
      </c>
      <c r="BN171" s="64">
        <f t="shared" si="12"/>
        <v>26.34</v>
      </c>
      <c r="BO171" s="64">
        <f t="shared" si="13"/>
        <v>4.5093795093795096E-2</v>
      </c>
      <c r="BP171" s="64">
        <f t="shared" si="14"/>
        <v>4.5454545454545456E-2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6</v>
      </c>
      <c r="Y176" s="554">
        <f t="shared" si="10"/>
        <v>7.2</v>
      </c>
      <c r="Z176" s="36">
        <f>IFERROR(IF(Y176=0,"",ROUNDUP(Y176/H176,0)*0.00502),"")</f>
        <v>2.0080000000000001E-2</v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6.4333333333333336</v>
      </c>
      <c r="BN176" s="64">
        <f t="shared" si="12"/>
        <v>7.7199999999999989</v>
      </c>
      <c r="BO176" s="64">
        <f t="shared" si="13"/>
        <v>1.4245014245014245E-2</v>
      </c>
      <c r="BP176" s="64">
        <f t="shared" si="14"/>
        <v>1.7094017094017096E-2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213</v>
      </c>
      <c r="Y178" s="554">
        <f t="shared" si="10"/>
        <v>214.20000000000002</v>
      </c>
      <c r="Z178" s="36">
        <f>IFERROR(IF(Y178=0,"",ROUNDUP(Y178/H178,0)*0.00502),"")</f>
        <v>0.51204000000000005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223.14285714285714</v>
      </c>
      <c r="BN178" s="64">
        <f t="shared" si="12"/>
        <v>224.40000000000003</v>
      </c>
      <c r="BO178" s="64">
        <f t="shared" si="13"/>
        <v>0.43345543345543353</v>
      </c>
      <c r="BP178" s="64">
        <f t="shared" si="14"/>
        <v>0.43589743589743596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117.61904761904762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119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0.64938000000000007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273</v>
      </c>
      <c r="Y182" s="555">
        <f>IFERROR(SUM(Y167:Y180),"0")</f>
        <v>276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4</v>
      </c>
      <c r="Y185" s="554">
        <f>IFERROR(IF(X185="",0,CEILING((X185/$H185),1)*$H185),"")</f>
        <v>5.04</v>
      </c>
      <c r="Z185" s="36">
        <f>IFERROR(IF(Y185=0,"",ROUNDUP(Y185/H185,0)*0.0059),"")</f>
        <v>2.3599999999999999E-2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4.6031746031746028</v>
      </c>
      <c r="BN185" s="64">
        <f>IFERROR(Y185*I185/H185,"0")</f>
        <v>5.8</v>
      </c>
      <c r="BO185" s="64">
        <f>IFERROR(1/J185*(X185/H185),"0")</f>
        <v>1.469723691945914E-2</v>
      </c>
      <c r="BP185" s="64">
        <f>IFERROR(1/J185*(Y185/H185),"0")</f>
        <v>1.8518518518518517E-2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1</v>
      </c>
      <c r="Y186" s="554">
        <f>IFERROR(IF(X186="",0,CEILING((X186/$H186),1)*$H186),"")</f>
        <v>1.26</v>
      </c>
      <c r="Z186" s="36">
        <f>IFERROR(IF(Y186=0,"",ROUNDUP(Y186/H186,0)*0.0059),"")</f>
        <v>5.8999999999999999E-3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1.1507936507936507</v>
      </c>
      <c r="BN186" s="64">
        <f>IFERROR(Y186*I186/H186,"0")</f>
        <v>1.45</v>
      </c>
      <c r="BO186" s="64">
        <f>IFERROR(1/J186*(X186/H186),"0")</f>
        <v>3.6743092298647849E-3</v>
      </c>
      <c r="BP186" s="64">
        <f>IFERROR(1/J186*(Y186/H186),"0")</f>
        <v>4.6296296296296294E-3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3.9682539682539679</v>
      </c>
      <c r="Y187" s="555">
        <f>IFERROR(Y184/H184,"0")+IFERROR(Y185/H185,"0")+IFERROR(Y186/H186,"0")</f>
        <v>5</v>
      </c>
      <c r="Z187" s="555">
        <f>IFERROR(IF(Z184="",0,Z184),"0")+IFERROR(IF(Z185="",0,Z185),"0")+IFERROR(IF(Z186="",0,Z186),"0")</f>
        <v>2.9499999999999998E-2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5</v>
      </c>
      <c r="Y188" s="555">
        <f>IFERROR(SUM(Y184:Y186),"0")</f>
        <v>6.3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991</v>
      </c>
      <c r="Y205" s="554">
        <f t="shared" ref="Y205:Y212" si="15">IFERROR(IF(X205="",0,CEILING((X205/$H205),1)*$H205),"")</f>
        <v>993.6</v>
      </c>
      <c r="Z205" s="36">
        <f>IFERROR(IF(Y205=0,"",ROUNDUP(Y205/H205,0)*0.00902),"")</f>
        <v>1.65968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1025.8685185185184</v>
      </c>
      <c r="BN205" s="64">
        <f t="shared" ref="BN205:BN212" si="17">IFERROR(Y205*I205/H205,"0")</f>
        <v>1028.56</v>
      </c>
      <c r="BO205" s="64">
        <f t="shared" ref="BO205:BO212" si="18">IFERROR(1/J205*(X205/H205),"0")</f>
        <v>1.3902918069584735</v>
      </c>
      <c r="BP205" s="64">
        <f t="shared" ref="BP205:BP212" si="19">IFERROR(1/J205*(Y205/H205),"0")</f>
        <v>1.393939393939394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146</v>
      </c>
      <c r="Y206" s="554">
        <f t="shared" si="15"/>
        <v>151.20000000000002</v>
      </c>
      <c r="Z206" s="36">
        <f>IFERROR(IF(Y206=0,"",ROUNDUP(Y206/H206,0)*0.00902),"")</f>
        <v>0.25256000000000001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151.13703703703703</v>
      </c>
      <c r="BN206" s="64">
        <f t="shared" si="17"/>
        <v>156.52000000000001</v>
      </c>
      <c r="BO206" s="64">
        <f t="shared" si="18"/>
        <v>0.20482603815937148</v>
      </c>
      <c r="BP206" s="64">
        <f t="shared" si="19"/>
        <v>0.21212121212121213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133</v>
      </c>
      <c r="Y208" s="554">
        <f t="shared" si="15"/>
        <v>135</v>
      </c>
      <c r="Z208" s="36">
        <f>IFERROR(IF(Y208=0,"",ROUNDUP(Y208/H208,0)*0.00902),"")</f>
        <v>0.22550000000000001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137.67962962962963</v>
      </c>
      <c r="BN208" s="64">
        <f t="shared" si="17"/>
        <v>139.75</v>
      </c>
      <c r="BO208" s="64">
        <f t="shared" si="18"/>
        <v>0.18658810325476993</v>
      </c>
      <c r="BP208" s="64">
        <f t="shared" si="19"/>
        <v>0.18939393939393939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40</v>
      </c>
      <c r="Y209" s="554">
        <f t="shared" si="15"/>
        <v>41.4</v>
      </c>
      <c r="Z209" s="36">
        <f>IFERROR(IF(Y209=0,"",ROUNDUP(Y209/H209,0)*0.00502),"")</f>
        <v>0.11546000000000001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42.888888888888893</v>
      </c>
      <c r="BN209" s="64">
        <f t="shared" si="17"/>
        <v>44.39</v>
      </c>
      <c r="BO209" s="64">
        <f t="shared" si="18"/>
        <v>9.4966761633428307E-2</v>
      </c>
      <c r="BP209" s="64">
        <f t="shared" si="19"/>
        <v>9.8290598290598302E-2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34</v>
      </c>
      <c r="Y210" s="554">
        <f t="shared" si="15"/>
        <v>34.200000000000003</v>
      </c>
      <c r="Z210" s="36">
        <f>IFERROR(IF(Y210=0,"",ROUNDUP(Y210/H210,0)*0.00502),"")</f>
        <v>9.5380000000000006E-2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35.888888888888886</v>
      </c>
      <c r="BN210" s="64">
        <f t="shared" si="17"/>
        <v>36.1</v>
      </c>
      <c r="BO210" s="64">
        <f t="shared" si="18"/>
        <v>8.0721747388414061E-2</v>
      </c>
      <c r="BP210" s="64">
        <f t="shared" si="19"/>
        <v>8.11965811965812E-2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49</v>
      </c>
      <c r="Y212" s="554">
        <f t="shared" si="15"/>
        <v>50.4</v>
      </c>
      <c r="Z212" s="36">
        <f>IFERROR(IF(Y212=0,"",ROUNDUP(Y212/H212,0)*0.00502),"")</f>
        <v>0.14056000000000002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51.722222222222214</v>
      </c>
      <c r="BN212" s="64">
        <f t="shared" si="17"/>
        <v>53.199999999999996</v>
      </c>
      <c r="BO212" s="64">
        <f t="shared" si="18"/>
        <v>0.11633428300094968</v>
      </c>
      <c r="BP212" s="64">
        <f t="shared" si="19"/>
        <v>0.11965811965811968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303.51851851851853</v>
      </c>
      <c r="Y213" s="555">
        <f>IFERROR(Y205/H205,"0")+IFERROR(Y206/H206,"0")+IFERROR(Y207/H207,"0")+IFERROR(Y208/H208,"0")+IFERROR(Y209/H209,"0")+IFERROR(Y210/H210,"0")+IFERROR(Y211/H211,"0")+IFERROR(Y212/H212,"0")</f>
        <v>307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2.4891399999999999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1393</v>
      </c>
      <c r="Y214" s="555">
        <f>IFERROR(SUM(Y205:Y212),"0")</f>
        <v>1405.8000000000002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64</v>
      </c>
      <c r="Y216" s="554">
        <f t="shared" ref="Y216:Y224" si="20">IFERROR(IF(X216="",0,CEILING((X216/$H216),1)*$H216),"")</f>
        <v>64.8</v>
      </c>
      <c r="Z216" s="36">
        <f>IFERROR(IF(Y216=0,"",ROUNDUP(Y216/H216,0)*0.01898),"")</f>
        <v>0.15184</v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67.903209876543215</v>
      </c>
      <c r="BN216" s="64">
        <f t="shared" ref="BN216:BN224" si="22">IFERROR(Y216*I216/H216,"0")</f>
        <v>68.751999999999995</v>
      </c>
      <c r="BO216" s="64">
        <f t="shared" ref="BO216:BO224" si="23">IFERROR(1/J216*(X216/H216),"0")</f>
        <v>0.1234567901234568</v>
      </c>
      <c r="BP216" s="64">
        <f t="shared" ref="BP216:BP224" si="24">IFERROR(1/J216*(Y216/H216),"0")</f>
        <v>0.125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15</v>
      </c>
      <c r="Y217" s="554">
        <f t="shared" si="20"/>
        <v>16.2</v>
      </c>
      <c r="Z217" s="36">
        <f>IFERROR(IF(Y217=0,"",ROUNDUP(Y217/H217,0)*0.01898),"")</f>
        <v>3.7960000000000001E-2</v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15.881481481481485</v>
      </c>
      <c r="BN217" s="64">
        <f t="shared" si="22"/>
        <v>17.152000000000001</v>
      </c>
      <c r="BO217" s="64">
        <f t="shared" si="23"/>
        <v>2.8935185185185185E-2</v>
      </c>
      <c r="BP217" s="64">
        <f t="shared" si="24"/>
        <v>3.125E-2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146</v>
      </c>
      <c r="Y218" s="554">
        <f t="shared" si="20"/>
        <v>147.89999999999998</v>
      </c>
      <c r="Z218" s="36">
        <f>IFERROR(IF(Y218=0,"",ROUNDUP(Y218/H218,0)*0.01898),"")</f>
        <v>0.32266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154.29011494252876</v>
      </c>
      <c r="BN218" s="64">
        <f t="shared" si="22"/>
        <v>156.298</v>
      </c>
      <c r="BO218" s="64">
        <f t="shared" si="23"/>
        <v>0.26221264367816094</v>
      </c>
      <c r="BP218" s="64">
        <f t="shared" si="24"/>
        <v>0.265625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2</v>
      </c>
      <c r="Y223" s="554">
        <f t="shared" si="20"/>
        <v>2.4</v>
      </c>
      <c r="Z223" s="36">
        <f t="shared" si="25"/>
        <v>6.5100000000000002E-3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2.2100000000000004</v>
      </c>
      <c r="BN223" s="64">
        <f t="shared" si="22"/>
        <v>2.6520000000000001</v>
      </c>
      <c r="BO223" s="64">
        <f t="shared" si="23"/>
        <v>4.578754578754579E-3</v>
      </c>
      <c r="BP223" s="64">
        <f t="shared" si="24"/>
        <v>5.4945054945054949E-3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41</v>
      </c>
      <c r="Y224" s="554">
        <f t="shared" si="20"/>
        <v>43.199999999999996</v>
      </c>
      <c r="Z224" s="36">
        <f t="shared" si="25"/>
        <v>0.11718000000000001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45.407499999999999</v>
      </c>
      <c r="BN224" s="64">
        <f t="shared" si="22"/>
        <v>47.843999999999994</v>
      </c>
      <c r="BO224" s="64">
        <f t="shared" si="23"/>
        <v>9.3864468864468878E-2</v>
      </c>
      <c r="BP224" s="64">
        <f t="shared" si="24"/>
        <v>9.8901098901098911E-2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44.451362281822057</v>
      </c>
      <c r="Y225" s="555">
        <f>IFERROR(Y216/H216,"0")+IFERROR(Y217/H217,"0")+IFERROR(Y218/H218,"0")+IFERROR(Y219/H219,"0")+IFERROR(Y220/H220,"0")+IFERROR(Y221/H221,"0")+IFERROR(Y222/H222,"0")+IFERROR(Y223/H223,"0")+IFERROR(Y224/H224,"0")</f>
        <v>46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0.63614999999999999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268</v>
      </c>
      <c r="Y226" s="555">
        <f>IFERROR(SUM(Y216:Y224),"0")</f>
        <v>274.5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5</v>
      </c>
      <c r="Y228" s="554">
        <f>IFERROR(IF(X228="",0,CEILING((X228/$H228),1)*$H228),"")</f>
        <v>7.1999999999999993</v>
      </c>
      <c r="Z228" s="36">
        <f>IFERROR(IF(Y228=0,"",ROUNDUP(Y228/H228,0)*0.00651),"")</f>
        <v>1.9529999999999999E-2</v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5.5250000000000012</v>
      </c>
      <c r="BN228" s="64">
        <f>IFERROR(Y228*I228/H228,"0")</f>
        <v>7.9560000000000004</v>
      </c>
      <c r="BO228" s="64">
        <f>IFERROR(1/J228*(X228/H228),"0")</f>
        <v>1.1446886446886448E-2</v>
      </c>
      <c r="BP228" s="64">
        <f>IFERROR(1/J228*(Y228/H228),"0")</f>
        <v>1.6483516483516484E-2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2.0833333333333335</v>
      </c>
      <c r="Y230" s="555">
        <f>IFERROR(Y228/H228,"0")+IFERROR(Y229/H229,"0")</f>
        <v>3</v>
      </c>
      <c r="Z230" s="555">
        <f>IFERROR(IF(Z228="",0,Z228),"0")+IFERROR(IF(Z229="",0,Z229),"0")</f>
        <v>1.9529999999999999E-2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5</v>
      </c>
      <c r="Y231" s="555">
        <f>IFERROR(SUM(Y228:Y229),"0")</f>
        <v>7.1999999999999993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5</v>
      </c>
      <c r="Y250" s="554">
        <f>IFERROR(IF(X250="",0,CEILING((X250/$H250),1)*$H250),"")</f>
        <v>5.4</v>
      </c>
      <c r="Z250" s="36">
        <f>IFERROR(IF(Y250=0,"",ROUNDUP(Y250/H250,0)*0.0059),"")</f>
        <v>1.77E-2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5.4861111111111107</v>
      </c>
      <c r="BN250" s="64">
        <f>IFERROR(Y250*I250/H250,"0")</f>
        <v>5.9250000000000007</v>
      </c>
      <c r="BO250" s="64">
        <f>IFERROR(1/J250*(X250/H250),"0")</f>
        <v>1.2860082304526748E-2</v>
      </c>
      <c r="BP250" s="64">
        <f>IFERROR(1/J250*(Y250/H250),"0")</f>
        <v>1.3888888888888888E-2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2.7777777777777777</v>
      </c>
      <c r="Y251" s="555">
        <f>IFERROR(Y250/H250,"0")</f>
        <v>3</v>
      </c>
      <c r="Z251" s="555">
        <f>IFERROR(IF(Z250="",0,Z250),"0")</f>
        <v>1.77E-2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5</v>
      </c>
      <c r="Y252" s="555">
        <f>IFERROR(SUM(Y250:Y250),"0")</f>
        <v>5.4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2</v>
      </c>
      <c r="Y257" s="554">
        <f>IFERROR(IF(X257="",0,CEILING((X257/$H257),1)*$H257),"")</f>
        <v>2.9699999999999998</v>
      </c>
      <c r="Z257" s="36">
        <f>IFERROR(IF(Y257=0,"",ROUNDUP(Y257/H257,0)*0.0059),"")</f>
        <v>1.77E-2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2.3838383838383836</v>
      </c>
      <c r="BN257" s="64">
        <f>IFERROR(Y257*I257/H257,"0")</f>
        <v>3.5399999999999996</v>
      </c>
      <c r="BO257" s="64">
        <f>IFERROR(1/J257*(X257/H257),"0")</f>
        <v>9.3527871305649091E-3</v>
      </c>
      <c r="BP257" s="64">
        <f>IFERROR(1/J257*(Y257/H257),"0")</f>
        <v>1.3888888888888886E-2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2.0202020202020203</v>
      </c>
      <c r="Y259" s="555">
        <f>IFERROR(Y254/H254,"0")+IFERROR(Y255/H255,"0")+IFERROR(Y256/H256,"0")+IFERROR(Y257/H257,"0")+IFERROR(Y258/H258,"0")</f>
        <v>2.9999999999999996</v>
      </c>
      <c r="Z259" s="555">
        <f>IFERROR(IF(Z254="",0,Z254),"0")+IFERROR(IF(Z255="",0,Z255),"0")+IFERROR(IF(Z256="",0,Z256),"0")+IFERROR(IF(Z257="",0,Z257),"0")+IFERROR(IF(Z258="",0,Z258),"0")</f>
        <v>1.77E-2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2</v>
      </c>
      <c r="Y260" s="555">
        <f>IFERROR(SUM(Y254:Y258),"0")</f>
        <v>2.9699999999999998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105</v>
      </c>
      <c r="Y281" s="554">
        <f>IFERROR(IF(X281="",0,CEILING((X281/$H281),1)*$H281),"")</f>
        <v>105.6</v>
      </c>
      <c r="Z281" s="36">
        <f>IFERROR(IF(Y281=0,"",ROUNDUP(Y281/H281,0)*0.00651),"")</f>
        <v>0.28644000000000003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116.02500000000002</v>
      </c>
      <c r="BN281" s="64">
        <f>IFERROR(Y281*I281/H281,"0")</f>
        <v>116.688</v>
      </c>
      <c r="BO281" s="64">
        <f>IFERROR(1/J281*(X281/H281),"0")</f>
        <v>0.24038461538461539</v>
      </c>
      <c r="BP281" s="64">
        <f>IFERROR(1/J281*(Y281/H281),"0")</f>
        <v>0.24175824175824179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51</v>
      </c>
      <c r="Y282" s="554">
        <f>IFERROR(IF(X282="",0,CEILING((X282/$H282),1)*$H282),"")</f>
        <v>52.8</v>
      </c>
      <c r="Z282" s="36">
        <f>IFERROR(IF(Y282=0,"",ROUNDUP(Y282/H282,0)*0.00651),"")</f>
        <v>0.14322000000000001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54.82500000000001</v>
      </c>
      <c r="BN282" s="64">
        <f>IFERROR(Y282*I282/H282,"0")</f>
        <v>56.76</v>
      </c>
      <c r="BO282" s="64">
        <f>IFERROR(1/J282*(X282/H282),"0")</f>
        <v>0.11675824175824177</v>
      </c>
      <c r="BP282" s="64">
        <f>IFERROR(1/J282*(Y282/H282),"0")</f>
        <v>0.12087912087912089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65</v>
      </c>
      <c r="Y283" s="555">
        <f>IFERROR(Y280/H280,"0")+IFERROR(Y281/H281,"0")+IFERROR(Y282/H282,"0")</f>
        <v>66</v>
      </c>
      <c r="Z283" s="555">
        <f>IFERROR(IF(Z280="",0,Z280),"0")+IFERROR(IF(Z281="",0,Z281),"0")+IFERROR(IF(Z282="",0,Z282),"0")</f>
        <v>0.42966000000000004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156</v>
      </c>
      <c r="Y284" s="555">
        <f>IFERROR(SUM(Y280:Y282),"0")</f>
        <v>158.39999999999998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3</v>
      </c>
      <c r="Y311" s="554">
        <f t="shared" si="31"/>
        <v>3.6</v>
      </c>
      <c r="Z311" s="36">
        <f>IFERROR(IF(Y311=0,"",ROUNDUP(Y311/H311,0)*0.00651),"")</f>
        <v>1.302E-2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3.38</v>
      </c>
      <c r="BN311" s="64">
        <f t="shared" si="33"/>
        <v>4.056</v>
      </c>
      <c r="BO311" s="64">
        <f t="shared" si="34"/>
        <v>9.1575091575091579E-3</v>
      </c>
      <c r="BP311" s="64">
        <f t="shared" si="35"/>
        <v>1.098901098901099E-2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1.6666666666666665</v>
      </c>
      <c r="Y312" s="555">
        <f>IFERROR(Y306/H306,"0")+IFERROR(Y307/H307,"0")+IFERROR(Y308/H308,"0")+IFERROR(Y309/H309,"0")+IFERROR(Y310/H310,"0")+IFERROR(Y311/H311,"0")</f>
        <v>2</v>
      </c>
      <c r="Z312" s="555">
        <f>IFERROR(IF(Z306="",0,Z306),"0")+IFERROR(IF(Z307="",0,Z307),"0")+IFERROR(IF(Z308="",0,Z308),"0")+IFERROR(IF(Z309="",0,Z309),"0")+IFERROR(IF(Z310="",0,Z310),"0")+IFERROR(IF(Z311="",0,Z311),"0")</f>
        <v>1.302E-2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3</v>
      </c>
      <c r="Y313" s="555">
        <f>IFERROR(SUM(Y306:Y311),"0")</f>
        <v>3.6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344</v>
      </c>
      <c r="Y323" s="554">
        <f>IFERROR(IF(X323="",0,CEILING((X323/$H323),1)*$H323),"")</f>
        <v>351</v>
      </c>
      <c r="Z323" s="36">
        <f>IFERROR(IF(Y323=0,"",ROUNDUP(Y323/H323,0)*0.01898),"")</f>
        <v>0.85409999999999997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365.78666666666669</v>
      </c>
      <c r="BN323" s="64">
        <f>IFERROR(Y323*I323/H323,"0")</f>
        <v>373.23</v>
      </c>
      <c r="BO323" s="64">
        <f>IFERROR(1/J323*(X323/H323),"0")</f>
        <v>0.6891025641025641</v>
      </c>
      <c r="BP323" s="64">
        <f>IFERROR(1/J323*(Y323/H323),"0")</f>
        <v>0.703125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44.102564102564102</v>
      </c>
      <c r="Y325" s="555">
        <f>IFERROR(Y322/H322,"0")+IFERROR(Y323/H323,"0")+IFERROR(Y324/H324,"0")</f>
        <v>45</v>
      </c>
      <c r="Z325" s="555">
        <f>IFERROR(IF(Z322="",0,Z322),"0")+IFERROR(IF(Z323="",0,Z323),"0")+IFERROR(IF(Z324="",0,Z324),"0")</f>
        <v>0.85409999999999997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344</v>
      </c>
      <c r="Y326" s="555">
        <f>IFERROR(SUM(Y322:Y324),"0")</f>
        <v>351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7</v>
      </c>
      <c r="Y329" s="554">
        <f>IFERROR(IF(X329="",0,CEILING((X329/$H329),1)*$H329),"")</f>
        <v>9.120000000000001</v>
      </c>
      <c r="Z329" s="36">
        <f>IFERROR(IF(Y329=0,"",ROUNDUP(Y329/H329,0)*0.00902),"")</f>
        <v>2.7060000000000001E-2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7.5296052631578947</v>
      </c>
      <c r="BN329" s="64">
        <f>IFERROR(Y329*I329/H329,"0")</f>
        <v>9.81</v>
      </c>
      <c r="BO329" s="64">
        <f>IFERROR(1/J329*(X329/H329),"0")</f>
        <v>1.7444178628389158E-2</v>
      </c>
      <c r="BP329" s="64">
        <f>IFERROR(1/J329*(Y329/H329),"0")</f>
        <v>2.2727272727272731E-2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22</v>
      </c>
      <c r="Y330" s="554">
        <f>IFERROR(IF(X330="",0,CEILING((X330/$H330),1)*$H330),"")</f>
        <v>22.95</v>
      </c>
      <c r="Z330" s="36">
        <f>IFERROR(IF(Y330=0,"",ROUNDUP(Y330/H330,0)*0.00651),"")</f>
        <v>5.8590000000000003E-2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25.494117647058829</v>
      </c>
      <c r="BN330" s="64">
        <f>IFERROR(Y330*I330/H330,"0")</f>
        <v>26.595000000000002</v>
      </c>
      <c r="BO330" s="64">
        <f>IFERROR(1/J330*(X330/H330),"0")</f>
        <v>4.7403576815341533E-2</v>
      </c>
      <c r="BP330" s="64">
        <f>IFERROR(1/J330*(Y330/H330),"0")</f>
        <v>4.9450549450549455E-2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10.930082559339526</v>
      </c>
      <c r="Y332" s="555">
        <f>IFERROR(Y328/H328,"0")+IFERROR(Y329/H329,"0")+IFERROR(Y330/H330,"0")+IFERROR(Y331/H331,"0")</f>
        <v>12</v>
      </c>
      <c r="Z332" s="555">
        <f>IFERROR(IF(Z328="",0,Z328),"0")+IFERROR(IF(Z329="",0,Z329),"0")+IFERROR(IF(Z330="",0,Z330),"0")+IFERROR(IF(Z331="",0,Z331),"0")</f>
        <v>8.5650000000000004E-2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29</v>
      </c>
      <c r="Y333" s="555">
        <f>IFERROR(SUM(Y328:Y331),"0")</f>
        <v>32.07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942</v>
      </c>
      <c r="Y350" s="554">
        <f t="shared" ref="Y350:Y356" si="36">IFERROR(IF(X350="",0,CEILING((X350/$H350),1)*$H350),"")</f>
        <v>945</v>
      </c>
      <c r="Z350" s="36">
        <f>IFERROR(IF(Y350=0,"",ROUNDUP(Y350/H350,0)*0.02175),"")</f>
        <v>1.37025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971.51599999999996</v>
      </c>
      <c r="BN350" s="64">
        <f t="shared" ref="BN350:BN356" si="38">IFERROR(Y350*I350/H350,"0")</f>
        <v>974.61000000000013</v>
      </c>
      <c r="BO350" s="64">
        <f t="shared" ref="BO350:BO356" si="39">IFERROR(1/J350*(X350/H350),"0")</f>
        <v>1.3083333333333331</v>
      </c>
      <c r="BP350" s="64">
        <f t="shared" ref="BP350:BP356" si="40">IFERROR(1/J350*(Y350/H350),"0")</f>
        <v>1.3125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584</v>
      </c>
      <c r="Y351" s="554">
        <f t="shared" si="36"/>
        <v>585</v>
      </c>
      <c r="Z351" s="36">
        <f>IFERROR(IF(Y351=0,"",ROUNDUP(Y351/H351,0)*0.02175),"")</f>
        <v>0.84824999999999995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602.29866666666669</v>
      </c>
      <c r="BN351" s="64">
        <f t="shared" si="38"/>
        <v>603.33000000000004</v>
      </c>
      <c r="BO351" s="64">
        <f t="shared" si="39"/>
        <v>0.81111111111111101</v>
      </c>
      <c r="BP351" s="64">
        <f t="shared" si="40"/>
        <v>0.8125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704</v>
      </c>
      <c r="Y352" s="554">
        <f t="shared" si="36"/>
        <v>705</v>
      </c>
      <c r="Z352" s="36">
        <f>IFERROR(IF(Y352=0,"",ROUNDUP(Y352/H352,0)*0.02175),"")</f>
        <v>1.0222499999999999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726.05866666666668</v>
      </c>
      <c r="BN352" s="64">
        <f t="shared" si="38"/>
        <v>727.09</v>
      </c>
      <c r="BO352" s="64">
        <f t="shared" si="39"/>
        <v>0.97777777777777763</v>
      </c>
      <c r="BP352" s="64">
        <f t="shared" si="40"/>
        <v>0.97916666666666663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957</v>
      </c>
      <c r="Y353" s="554">
        <f t="shared" si="36"/>
        <v>960</v>
      </c>
      <c r="Z353" s="36">
        <f>IFERROR(IF(Y353=0,"",ROUNDUP(Y353/H353,0)*0.02175),"")</f>
        <v>1.3919999999999999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986.9860000000001</v>
      </c>
      <c r="BN353" s="64">
        <f t="shared" si="38"/>
        <v>990.08</v>
      </c>
      <c r="BO353" s="64">
        <f t="shared" si="39"/>
        <v>1.3291666666666666</v>
      </c>
      <c r="BP353" s="64">
        <f t="shared" si="40"/>
        <v>1.3333333333333333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212.46666666666664</v>
      </c>
      <c r="Y357" s="555">
        <f>IFERROR(Y350/H350,"0")+IFERROR(Y351/H351,"0")+IFERROR(Y352/H352,"0")+IFERROR(Y353/H353,"0")+IFERROR(Y354/H354,"0")+IFERROR(Y355/H355,"0")+IFERROR(Y356/H356,"0")</f>
        <v>213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4.6327499999999997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3187</v>
      </c>
      <c r="Y358" s="555">
        <f>IFERROR(SUM(Y350:Y356),"0")</f>
        <v>3195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498</v>
      </c>
      <c r="Y360" s="554">
        <f>IFERROR(IF(X360="",0,CEILING((X360/$H360),1)*$H360),"")</f>
        <v>510</v>
      </c>
      <c r="Z360" s="36">
        <f>IFERROR(IF(Y360=0,"",ROUNDUP(Y360/H360,0)*0.02175),"")</f>
        <v>0.73949999999999994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513.60400000000004</v>
      </c>
      <c r="BN360" s="64">
        <f>IFERROR(Y360*I360/H360,"0")</f>
        <v>525.98</v>
      </c>
      <c r="BO360" s="64">
        <f>IFERROR(1/J360*(X360/H360),"0")</f>
        <v>0.69166666666666665</v>
      </c>
      <c r="BP360" s="64">
        <f>IFERROR(1/J360*(Y360/H360),"0")</f>
        <v>0.70833333333333326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33.200000000000003</v>
      </c>
      <c r="Y362" s="555">
        <f>IFERROR(Y360/H360,"0")+IFERROR(Y361/H361,"0")</f>
        <v>34</v>
      </c>
      <c r="Z362" s="555">
        <f>IFERROR(IF(Z360="",0,Z360),"0")+IFERROR(IF(Z361="",0,Z361),"0")</f>
        <v>0.73949999999999994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498</v>
      </c>
      <c r="Y363" s="555">
        <f>IFERROR(SUM(Y360:Y361),"0")</f>
        <v>510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12</v>
      </c>
      <c r="Y385" s="554">
        <f>IFERROR(IF(X385="",0,CEILING((X385/$H385),1)*$H385),"")</f>
        <v>18</v>
      </c>
      <c r="Z385" s="36">
        <f>IFERROR(IF(Y385=0,"",ROUNDUP(Y385/H385,0)*0.01898),"")</f>
        <v>3.7960000000000001E-2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12.658666666666667</v>
      </c>
      <c r="BN385" s="64">
        <f>IFERROR(Y385*I385/H385,"0")</f>
        <v>18.988</v>
      </c>
      <c r="BO385" s="64">
        <f>IFERROR(1/J385*(X385/H385),"0")</f>
        <v>2.0833333333333332E-2</v>
      </c>
      <c r="BP385" s="64">
        <f>IFERROR(1/J385*(Y385/H385),"0")</f>
        <v>3.125E-2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1.3333333333333333</v>
      </c>
      <c r="Y388" s="555">
        <f>IFERROR(Y385/H385,"0")+IFERROR(Y386/H386,"0")+IFERROR(Y387/H387,"0")</f>
        <v>2</v>
      </c>
      <c r="Z388" s="555">
        <f>IFERROR(IF(Z385="",0,Z385),"0")+IFERROR(IF(Z386="",0,Z386),"0")+IFERROR(IF(Z387="",0,Z387),"0")</f>
        <v>3.7960000000000001E-2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12</v>
      </c>
      <c r="Y389" s="555">
        <f>IFERROR(SUM(Y385:Y387),"0")</f>
        <v>18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11</v>
      </c>
      <c r="Y429" s="554">
        <f t="shared" ref="Y429:Y440" si="47">IFERROR(IF(X429="",0,CEILING((X429/$H429),1)*$H429),"")</f>
        <v>15.84</v>
      </c>
      <c r="Z429" s="36">
        <f t="shared" ref="Z429:Z435" si="48">IFERROR(IF(Y429=0,"",ROUNDUP(Y429/H429,0)*0.01196),"")</f>
        <v>3.5880000000000002E-2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11.729166666666666</v>
      </c>
      <c r="BN429" s="64">
        <f t="shared" ref="BN429:BN440" si="50">IFERROR(Y429*I429/H429,"0")</f>
        <v>16.889999999999997</v>
      </c>
      <c r="BO429" s="64">
        <f t="shared" ref="BO429:BO440" si="51">IFERROR(1/J429*(X429/H429),"0")</f>
        <v>2.003205128205128E-2</v>
      </c>
      <c r="BP429" s="64">
        <f t="shared" ref="BP429:BP440" si="52">IFERROR(1/J429*(Y429/H429),"0")</f>
        <v>2.8846153846153848E-2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794</v>
      </c>
      <c r="Y433" s="554">
        <f t="shared" si="47"/>
        <v>797.28000000000009</v>
      </c>
      <c r="Z433" s="36">
        <f t="shared" si="48"/>
        <v>1.80596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846.63257575757575</v>
      </c>
      <c r="BN433" s="64">
        <f t="shared" si="50"/>
        <v>850.13000000000011</v>
      </c>
      <c r="BO433" s="64">
        <f t="shared" si="51"/>
        <v>1.4459498834498834</v>
      </c>
      <c r="BP433" s="64">
        <f t="shared" si="52"/>
        <v>1.4519230769230771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538</v>
      </c>
      <c r="Y435" s="554">
        <f t="shared" si="47"/>
        <v>538.56000000000006</v>
      </c>
      <c r="Z435" s="36">
        <f t="shared" si="48"/>
        <v>1.2199200000000001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573.66287878787875</v>
      </c>
      <c r="BN435" s="64">
        <f t="shared" si="50"/>
        <v>574.26</v>
      </c>
      <c r="BO435" s="64">
        <f t="shared" si="51"/>
        <v>0.97974941724941722</v>
      </c>
      <c r="BP435" s="64">
        <f t="shared" si="52"/>
        <v>0.98076923076923084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155</v>
      </c>
      <c r="Y437" s="554">
        <f t="shared" si="47"/>
        <v>158.4</v>
      </c>
      <c r="Z437" s="36">
        <f>IFERROR(IF(Y437=0,"",ROUNDUP(Y437/H437,0)*0.00902),"")</f>
        <v>0.29766000000000004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223.13541666666666</v>
      </c>
      <c r="BN437" s="64">
        <f t="shared" si="50"/>
        <v>228.03000000000003</v>
      </c>
      <c r="BO437" s="64">
        <f t="shared" si="51"/>
        <v>0.24463383838383843</v>
      </c>
      <c r="BP437" s="64">
        <f t="shared" si="52"/>
        <v>0.25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286.64772727272731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289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3.3594200000000001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1498</v>
      </c>
      <c r="Y442" s="555">
        <f>IFERROR(SUM(Y429:Y440),"0")</f>
        <v>1510.0800000000004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652</v>
      </c>
      <c r="Y444" s="554">
        <f>IFERROR(IF(X444="",0,CEILING((X444/$H444),1)*$H444),"")</f>
        <v>654.72</v>
      </c>
      <c r="Z444" s="36">
        <f>IFERROR(IF(Y444=0,"",ROUNDUP(Y444/H444,0)*0.01196),"")</f>
        <v>1.4830399999999999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695.21969696969688</v>
      </c>
      <c r="BN444" s="64">
        <f>IFERROR(Y444*I444/H444,"0")</f>
        <v>698.12</v>
      </c>
      <c r="BO444" s="64">
        <f>IFERROR(1/J444*(X444/H444),"0")</f>
        <v>1.1873543123543124</v>
      </c>
      <c r="BP444" s="64">
        <f>IFERROR(1/J444*(Y444/H444),"0")</f>
        <v>1.1923076923076923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123.48484848484848</v>
      </c>
      <c r="Y447" s="555">
        <f>IFERROR(Y444/H444,"0")+IFERROR(Y445/H445,"0")+IFERROR(Y446/H446,"0")</f>
        <v>124</v>
      </c>
      <c r="Z447" s="555">
        <f>IFERROR(IF(Z444="",0,Z444),"0")+IFERROR(IF(Z445="",0,Z445),"0")+IFERROR(IF(Z446="",0,Z446),"0")</f>
        <v>1.4830399999999999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652</v>
      </c>
      <c r="Y448" s="555">
        <f>IFERROR(SUM(Y444:Y446),"0")</f>
        <v>654.72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233</v>
      </c>
      <c r="Y450" s="554">
        <f t="shared" ref="Y450:Y455" si="53">IFERROR(IF(X450="",0,CEILING((X450/$H450),1)*$H450),"")</f>
        <v>237.60000000000002</v>
      </c>
      <c r="Z450" s="36">
        <f>IFERROR(IF(Y450=0,"",ROUNDUP(Y450/H450,0)*0.01196),"")</f>
        <v>0.53820000000000001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248.44507575757575</v>
      </c>
      <c r="BN450" s="64">
        <f t="shared" ref="BN450:BN455" si="55">IFERROR(Y450*I450/H450,"0")</f>
        <v>253.35</v>
      </c>
      <c r="BO450" s="64">
        <f t="shared" ref="BO450:BO455" si="56">IFERROR(1/J450*(X450/H450),"0")</f>
        <v>0.42431526806526804</v>
      </c>
      <c r="BP450" s="64">
        <f t="shared" ref="BP450:BP455" si="57">IFERROR(1/J450*(Y450/H450),"0")</f>
        <v>0.43269230769230771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60</v>
      </c>
      <c r="Y451" s="554">
        <f t="shared" si="53"/>
        <v>63.36</v>
      </c>
      <c r="Z451" s="36">
        <f>IFERROR(IF(Y451=0,"",ROUNDUP(Y451/H451,0)*0.01196),"")</f>
        <v>0.14352000000000001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63.977272727272727</v>
      </c>
      <c r="BN451" s="64">
        <f t="shared" si="55"/>
        <v>67.559999999999988</v>
      </c>
      <c r="BO451" s="64">
        <f t="shared" si="56"/>
        <v>0.10926573426573427</v>
      </c>
      <c r="BP451" s="64">
        <f t="shared" si="57"/>
        <v>0.11538461538461539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59</v>
      </c>
      <c r="Y452" s="554">
        <f t="shared" si="53"/>
        <v>63.36</v>
      </c>
      <c r="Z452" s="36">
        <f>IFERROR(IF(Y452=0,"",ROUNDUP(Y452/H452,0)*0.01196),"")</f>
        <v>0.14352000000000001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62.910984848484851</v>
      </c>
      <c r="BN452" s="64">
        <f t="shared" si="55"/>
        <v>67.559999999999988</v>
      </c>
      <c r="BO452" s="64">
        <f t="shared" si="56"/>
        <v>0.1074446386946387</v>
      </c>
      <c r="BP452" s="64">
        <f t="shared" si="57"/>
        <v>0.11538461538461539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66.666666666666657</v>
      </c>
      <c r="Y456" s="555">
        <f>IFERROR(Y450/H450,"0")+IFERROR(Y451/H451,"0")+IFERROR(Y452/H452,"0")+IFERROR(Y453/H453,"0")+IFERROR(Y454/H454,"0")+IFERROR(Y455/H455,"0")</f>
        <v>69</v>
      </c>
      <c r="Z456" s="555">
        <f>IFERROR(IF(Z450="",0,Z450),"0")+IFERROR(IF(Z451="",0,Z451),"0")+IFERROR(IF(Z452="",0,Z452),"0")+IFERROR(IF(Z453="",0,Z453),"0")+IFERROR(IF(Z454="",0,Z454),"0")+IFERROR(IF(Z455="",0,Z455),"0")</f>
        <v>0.82523999999999997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352</v>
      </c>
      <c r="Y457" s="555">
        <f>IFERROR(SUM(Y450:Y455),"0")</f>
        <v>364.32000000000005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12389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12532.46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13033.246408778728</v>
      </c>
      <c r="Y496" s="555">
        <f>IFERROR(SUM(BN22:BN492),"0")</f>
        <v>13185.936000000002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20</v>
      </c>
      <c r="Y497" s="38">
        <f>ROUNDUP(SUM(BP22:BP492),0)</f>
        <v>21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13533.246408778728</v>
      </c>
      <c r="Y498" s="555">
        <f>GrossWeightTotalR+PalletQtyTotalR*25</f>
        <v>13710.936000000002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1826.4465479479318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1853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23.674660000000003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550.80000000000007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527</v>
      </c>
      <c r="E505" s="46">
        <f>IFERROR(Y85*1,"0")+IFERROR(Y86*1,"0")+IFERROR(Y87*1,"0")+IFERROR(Y88*1,"0")+IFERROR(Y92*1,"0")+IFERROR(Y93*1,"0")+IFERROR(Y94*1,"0")+IFERROR(Y95*1,"0")</f>
        <v>837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1842.3000000000002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282.3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1687.5000000000005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8.370000000000001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158.39999999999998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386.67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3705</v>
      </c>
      <c r="T505" s="46">
        <f>IFERROR(Y375*1,"0")+IFERROR(Y376*1,"0")+IFERROR(Y380*1,"0")+IFERROR(Y381*1,"0")+IFERROR(Y385*1,"0")+IFERROR(Y386*1,"0")+IFERROR(Y387*1,"0")</f>
        <v>18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2529.1200000000003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2026-01-07T08:53:07Z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