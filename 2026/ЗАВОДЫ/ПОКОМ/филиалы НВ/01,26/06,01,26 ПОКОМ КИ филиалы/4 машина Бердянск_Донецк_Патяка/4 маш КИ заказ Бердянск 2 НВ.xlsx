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D8A2A6F4-4F3A-42DE-8294-20D2EC15B76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64" i="1" l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Z105" i="1" s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Z303" i="1" s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496" i="1" s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Y497" i="1" s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402" i="1"/>
  <c r="Z213" i="1"/>
  <c r="Z312" i="1"/>
  <c r="Z283" i="1"/>
  <c r="Z225" i="1"/>
  <c r="Z181" i="1"/>
  <c r="Z112" i="1"/>
  <c r="Z441" i="1"/>
  <c r="Z419" i="1"/>
  <c r="Z319" i="1"/>
  <c r="Z276" i="1"/>
  <c r="Z469" i="1"/>
  <c r="Z325" i="1"/>
  <c r="Z187" i="1"/>
  <c r="Z154" i="1"/>
  <c r="Z44" i="1"/>
  <c r="Z32" i="1"/>
  <c r="Z500" i="1" s="1"/>
  <c r="Y499" i="1"/>
  <c r="X498" i="1"/>
  <c r="Y495" i="1"/>
</calcChain>
</file>

<file path=xl/sharedStrings.xml><?xml version="1.0" encoding="utf-8"?>
<sst xmlns="http://schemas.openxmlformats.org/spreadsheetml/2006/main" count="2244" uniqueCount="781">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</sst>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85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50</v>
      </c>
      <c r="Y42" s="554">
        <f>IFERROR(IF(X42="",0,CEILING((X42/$H42),1)*$H42),"")</f>
        <v>51.800000000000004</v>
      </c>
      <c r="Z42" s="36">
        <f>IFERROR(IF(Y42=0,"",ROUNDUP(Y42/H42,0)*0.00902),"")</f>
        <v>0.12628</v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52.567567567567565</v>
      </c>
      <c r="BN42" s="64">
        <f>IFERROR(Y42*I42/H42,"0")</f>
        <v>54.46</v>
      </c>
      <c r="BO42" s="64">
        <f>IFERROR(1/J42*(X42/H42),"0")</f>
        <v>0.10237510237510238</v>
      </c>
      <c r="BP42" s="64">
        <f>IFERROR(1/J42*(Y42/H42),"0")</f>
        <v>0.10606060606060606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13.513513513513512</v>
      </c>
      <c r="Y44" s="555">
        <f>IFERROR(Y41/H41,"0")+IFERROR(Y42/H42,"0")+IFERROR(Y43/H43,"0")</f>
        <v>14</v>
      </c>
      <c r="Z44" s="555">
        <f>IFERROR(IF(Z41="",0,Z41),"0")+IFERROR(IF(Z42="",0,Z42),"0")+IFERROR(IF(Z43="",0,Z43),"0")</f>
        <v>0.12628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50</v>
      </c>
      <c r="Y45" s="555">
        <f>IFERROR(SUM(Y41:Y43),"0")</f>
        <v>51.800000000000004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114</v>
      </c>
      <c r="B47" s="54" t="s">
        <v>115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116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117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118</v>
      </c>
      <c r="B52" s="54" t="s">
        <v>119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120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121</v>
      </c>
      <c r="B53" s="54" t="s">
        <v>122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123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124</v>
      </c>
      <c r="B54" s="54" t="s">
        <v>125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126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127</v>
      </c>
      <c r="B55" s="54" t="s">
        <v>128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129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132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133</v>
      </c>
      <c r="B57" s="54" t="s">
        <v>134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135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customHeight="1" x14ac:dyDescent="0.25">
      <c r="A60" s="569" t="s">
        <v>136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137</v>
      </c>
      <c r="B61" s="54" t="s">
        <v>138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/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138</v>
      </c>
      <c r="Y61" s="554">
        <f>IFERROR(IF(X61="",0,CEILING((X61/$H61),1)*$H61),"")</f>
        <v>140.4</v>
      </c>
      <c r="Z61" s="36">
        <f>IFERROR(IF(Y61=0,"",ROUNDUP(Y61/H61,0)*0.01898),"")</f>
        <v>0.24674000000000001</v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143.23888888888888</v>
      </c>
      <c r="BN61" s="64">
        <f>IFERROR(Y61*I61/H61,"0")</f>
        <v>145.73000000000002</v>
      </c>
      <c r="BO61" s="64">
        <f>IFERROR(1/J61*(X61/H61),"0")</f>
        <v>0.19965277777777776</v>
      </c>
      <c r="BP61" s="64">
        <f>IFERROR(1/J61*(Y61/H61),"0")</f>
        <v>0.203125</v>
      </c>
    </row>
    <row r="62" spans="1:68" ht="16.5" customHeight="1" x14ac:dyDescent="0.25">
      <c r="A62" s="54" t="s">
        <v>140</v>
      </c>
      <c r="B62" s="54" t="s">
        <v>141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142</v>
      </c>
      <c r="B63" s="54" t="s">
        <v>143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139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12.777777777777777</v>
      </c>
      <c r="Y64" s="555">
        <f>IFERROR(Y61/H61,"0")+IFERROR(Y62/H62,"0")+IFERROR(Y63/H63,"0")</f>
        <v>13</v>
      </c>
      <c r="Z64" s="555">
        <f>IFERROR(IF(Z61="",0,Z61),"0")+IFERROR(IF(Z62="",0,Z62),"0")+IFERROR(IF(Z63="",0,Z63),"0")</f>
        <v>0.24674000000000001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138</v>
      </c>
      <c r="Y65" s="555">
        <f>IFERROR(SUM(Y61:Y63),"0")</f>
        <v>140.4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144</v>
      </c>
      <c r="B67" s="54" t="s">
        <v>145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146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147</v>
      </c>
      <c r="B68" s="54" t="s">
        <v>148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149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150</v>
      </c>
      <c r="B72" s="54" t="s">
        <v>151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152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153</v>
      </c>
      <c r="B73" s="54" t="s">
        <v>154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155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156</v>
      </c>
      <c r="B74" s="54" t="s">
        <v>157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152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158</v>
      </c>
      <c r="B75" s="54" t="s">
        <v>159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160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161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162</v>
      </c>
      <c r="B79" s="54" t="s">
        <v>163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164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165</v>
      </c>
      <c r="B80" s="54" t="s">
        <v>166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167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168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169</v>
      </c>
      <c r="B85" s="54" t="s">
        <v>170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61</v>
      </c>
      <c r="Y85" s="554">
        <f>IFERROR(IF(X85="",0,CEILING((X85/$H85),1)*$H85),"")</f>
        <v>64.800000000000011</v>
      </c>
      <c r="Z85" s="36">
        <f>IFERROR(IF(Y85=0,"",ROUNDUP(Y85/H85,0)*0.01898),"")</f>
        <v>0.11388000000000001</v>
      </c>
      <c r="AA85" s="56"/>
      <c r="AB85" s="57"/>
      <c r="AC85" s="127" t="s">
        <v>171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63.315740740740743</v>
      </c>
      <c r="BN85" s="64">
        <f>IFERROR(Y85*I85/H85,"0")</f>
        <v>67.260000000000005</v>
      </c>
      <c r="BO85" s="64">
        <f>IFERROR(1/J85*(X85/H85),"0")</f>
        <v>8.8252314814814811E-2</v>
      </c>
      <c r="BP85" s="64">
        <f>IFERROR(1/J85*(Y85/H85),"0")</f>
        <v>9.3750000000000014E-2</v>
      </c>
    </row>
    <row r="86" spans="1:68" ht="27" customHeight="1" x14ac:dyDescent="0.25">
      <c r="A86" s="54" t="s">
        <v>172</v>
      </c>
      <c r="B86" s="54" t="s">
        <v>173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174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175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178</v>
      </c>
      <c r="B88" s="54" t="s">
        <v>179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5</v>
      </c>
      <c r="Y88" s="554">
        <f>IFERROR(IF(X88="",0,CEILING((X88/$H88),1)*$H88),"")</f>
        <v>9</v>
      </c>
      <c r="Z88" s="36">
        <f>IFERROR(IF(Y88=0,"",ROUNDUP(Y88/H88,0)*0.00902),"")</f>
        <v>1.804E-2</v>
      </c>
      <c r="AA88" s="56"/>
      <c r="AB88" s="57"/>
      <c r="AC88" s="133" t="s">
        <v>171</v>
      </c>
      <c r="AG88" s="64"/>
      <c r="AJ88" s="68"/>
      <c r="AK88" s="68">
        <v>0</v>
      </c>
      <c r="BB88" s="134" t="s">
        <v>1</v>
      </c>
      <c r="BM88" s="64">
        <f>IFERROR(X88*I88/H88,"0")</f>
        <v>5.2111111111111121</v>
      </c>
      <c r="BN88" s="64">
        <f>IFERROR(Y88*I88/H88,"0")</f>
        <v>9.3800000000000008</v>
      </c>
      <c r="BO88" s="64">
        <f>IFERROR(1/J88*(X88/H88),"0")</f>
        <v>8.4175084175084174E-3</v>
      </c>
      <c r="BP88" s="64">
        <f>IFERROR(1/J88*(Y88/H88),"0")</f>
        <v>1.5151515151515152E-2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6.7592592592592595</v>
      </c>
      <c r="Y89" s="555">
        <f>IFERROR(Y85/H85,"0")+IFERROR(Y86/H86,"0")+IFERROR(Y87/H87,"0")+IFERROR(Y88/H88,"0")</f>
        <v>8</v>
      </c>
      <c r="Z89" s="555">
        <f>IFERROR(IF(Z85="",0,Z85),"0")+IFERROR(IF(Z86="",0,Z86),"0")+IFERROR(IF(Z87="",0,Z87),"0")+IFERROR(IF(Z88="",0,Z88),"0")</f>
        <v>0.13192000000000001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66</v>
      </c>
      <c r="Y90" s="555">
        <f>IFERROR(SUM(Y85:Y88),"0")</f>
        <v>73.800000000000011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180</v>
      </c>
      <c r="B92" s="54" t="s">
        <v>181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13</v>
      </c>
      <c r="Y92" s="554">
        <f>IFERROR(IF(X92="",0,CEILING((X92/$H92),1)*$H92),"")</f>
        <v>16.2</v>
      </c>
      <c r="Z92" s="36">
        <f>IFERROR(IF(Y92=0,"",ROUNDUP(Y92/H92,0)*0.01898),"")</f>
        <v>3.7960000000000001E-2</v>
      </c>
      <c r="AA92" s="56"/>
      <c r="AB92" s="57"/>
      <c r="AC92" s="135" t="s">
        <v>182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13.792839506172839</v>
      </c>
      <c r="BN92" s="64">
        <f>IFERROR(Y92*I92/H92,"0")</f>
        <v>17.187999999999999</v>
      </c>
      <c r="BO92" s="64">
        <f>IFERROR(1/J92*(X92/H92),"0")</f>
        <v>2.5077160493827161E-2</v>
      </c>
      <c r="BP92" s="64">
        <f>IFERROR(1/J92*(Y92/H92),"0")</f>
        <v>3.125E-2</v>
      </c>
    </row>
    <row r="93" spans="1:68" ht="27" customHeight="1" x14ac:dyDescent="0.25">
      <c r="A93" s="54" t="s">
        <v>183</v>
      </c>
      <c r="B93" s="54" t="s">
        <v>184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185</v>
      </c>
      <c r="B94" s="54" t="s">
        <v>186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187</v>
      </c>
      <c r="B95" s="54" t="s">
        <v>188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1.6049382716049383</v>
      </c>
      <c r="Y96" s="555">
        <f>IFERROR(Y92/H92,"0")+IFERROR(Y93/H93,"0")+IFERROR(Y94/H94,"0")+IFERROR(Y95/H95,"0")</f>
        <v>2</v>
      </c>
      <c r="Z96" s="555">
        <f>IFERROR(IF(Z92="",0,Z92),"0")+IFERROR(IF(Z93="",0,Z93),"0")+IFERROR(IF(Z94="",0,Z94),"0")+IFERROR(IF(Z95="",0,Z95),"0")</f>
        <v>3.7960000000000001E-2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13</v>
      </c>
      <c r="Y97" s="555">
        <f>IFERROR(SUM(Y92:Y95),"0")</f>
        <v>16.2</v>
      </c>
      <c r="Z97" s="37"/>
      <c r="AA97" s="556"/>
      <c r="AB97" s="556"/>
      <c r="AC97" s="556"/>
    </row>
    <row r="98" spans="1:68" ht="16.5" customHeight="1" x14ac:dyDescent="0.25">
      <c r="A98" s="567" t="s">
        <v>190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191</v>
      </c>
      <c r="B100" s="54" t="s">
        <v>192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193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194</v>
      </c>
      <c r="B101" s="54" t="s">
        <v>195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174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196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199</v>
      </c>
      <c r="B103" s="54" t="s">
        <v>200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201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65</v>
      </c>
      <c r="Y103" s="554">
        <f>IFERROR(IF(X103="",0,CEILING((X103/$H103),1)*$H103),"")</f>
        <v>67.5</v>
      </c>
      <c r="Z103" s="36">
        <f>IFERROR(IF(Y103=0,"",ROUNDUP(Y103/H103,0)*0.00902),"")</f>
        <v>0.1353</v>
      </c>
      <c r="AA103" s="56"/>
      <c r="AB103" s="57"/>
      <c r="AC103" s="149" t="s">
        <v>193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67.744444444444454</v>
      </c>
      <c r="BN103" s="64">
        <f>IFERROR(Y103*I103/H103,"0")</f>
        <v>70.350000000000009</v>
      </c>
      <c r="BO103" s="64">
        <f>IFERROR(1/J103*(X103/H103),"0")</f>
        <v>0.10942760942760943</v>
      </c>
      <c r="BP103" s="64">
        <f>IFERROR(1/J103*(Y103/H103),"0")</f>
        <v>0.11363636363636365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193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14.444444444444445</v>
      </c>
      <c r="Y105" s="555">
        <f>IFERROR(Y100/H100,"0")+IFERROR(Y101/H101,"0")+IFERROR(Y102/H102,"0")+IFERROR(Y103/H103,"0")+IFERROR(Y104/H104,"0")</f>
        <v>15</v>
      </c>
      <c r="Z105" s="555">
        <f>IFERROR(IF(Z100="",0,Z100),"0")+IFERROR(IF(Z101="",0,Z101),"0")+IFERROR(IF(Z102="",0,Z102),"0")+IFERROR(IF(Z103="",0,Z103),"0")+IFERROR(IF(Z104="",0,Z104),"0")</f>
        <v>0.1353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65</v>
      </c>
      <c r="Y106" s="555">
        <f>IFERROR(SUM(Y100:Y104),"0")</f>
        <v>67.5</v>
      </c>
      <c r="Z106" s="37"/>
      <c r="AA106" s="556"/>
      <c r="AB106" s="556"/>
      <c r="AC106" s="556"/>
    </row>
    <row r="107" spans="1:68" ht="14.25" customHeight="1" x14ac:dyDescent="0.25">
      <c r="A107" s="569" t="s">
        <v>136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/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38</v>
      </c>
      <c r="Y111" s="554">
        <f>IFERROR(IF(X111="",0,CEILING((X111/$H111),1)*$H111),"")</f>
        <v>38.4</v>
      </c>
      <c r="Z111" s="36">
        <f>IFERROR(IF(Y111=0,"",ROUNDUP(Y111/H111,0)*0.00651),"")</f>
        <v>0.10416</v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40.85</v>
      </c>
      <c r="BN111" s="64">
        <f>IFERROR(Y111*I111/H111,"0")</f>
        <v>41.28</v>
      </c>
      <c r="BO111" s="64">
        <f>IFERROR(1/J111*(X111/H111),"0")</f>
        <v>8.6996336996337006E-2</v>
      </c>
      <c r="BP111" s="64">
        <f>IFERROR(1/J111*(Y111/H111),"0")</f>
        <v>8.7912087912087919E-2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15.833333333333334</v>
      </c>
      <c r="Y112" s="555">
        <f>IFERROR(Y108/H108,"0")+IFERROR(Y109/H109,"0")+IFERROR(Y110/H110,"0")+IFERROR(Y111/H111,"0")</f>
        <v>16</v>
      </c>
      <c r="Z112" s="555">
        <f>IFERROR(IF(Z108="",0,Z108),"0")+IFERROR(IF(Z109="",0,Z109),"0")+IFERROR(IF(Z110="",0,Z110),"0")+IFERROR(IF(Z111="",0,Z111),"0")</f>
        <v>0.10416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38</v>
      </c>
      <c r="Y113" s="555">
        <f>IFERROR(SUM(Y108:Y111),"0")</f>
        <v>38.4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5</v>
      </c>
      <c r="Y115" s="554">
        <f>IFERROR(IF(X115="",0,CEILING((X115/$H115),1)*$H115),"")</f>
        <v>8.1</v>
      </c>
      <c r="Z115" s="36">
        <f>IFERROR(IF(Y115=0,"",ROUNDUP(Y115/H115,0)*0.01898),"")</f>
        <v>1.898E-2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5.3012345679012345</v>
      </c>
      <c r="BN115" s="64">
        <f>IFERROR(Y115*I115/H115,"0")</f>
        <v>8.5879999999999992</v>
      </c>
      <c r="BO115" s="64">
        <f>IFERROR(1/J115*(X115/H115),"0")</f>
        <v>9.6450617283950629E-3</v>
      </c>
      <c r="BP115" s="64">
        <f>IFERROR(1/J115*(Y115/H115),"0")</f>
        <v>1.5625E-2</v>
      </c>
    </row>
    <row r="116" spans="1:68" ht="27" customHeight="1" x14ac:dyDescent="0.25">
      <c r="A116" s="54" t="s">
        <v>218</v>
      </c>
      <c r="B116" s="54" t="s">
        <v>219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0.61728395061728403</v>
      </c>
      <c r="Y119" s="555">
        <f>IFERROR(Y115/H115,"0")+IFERROR(Y116/H116,"0")+IFERROR(Y117/H117,"0")+IFERROR(Y118/H118,"0")</f>
        <v>1</v>
      </c>
      <c r="Z119" s="555">
        <f>IFERROR(IF(Z115="",0,Z115),"0")+IFERROR(IF(Z116="",0,Z116),"0")+IFERROR(IF(Z117="",0,Z117),"0")+IFERROR(IF(Z118="",0,Z118),"0")</f>
        <v>1.898E-2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5</v>
      </c>
      <c r="Y120" s="555">
        <f>IFERROR(SUM(Y115:Y118),"0")</f>
        <v>8.1</v>
      </c>
      <c r="Z120" s="37"/>
      <c r="AA120" s="556"/>
      <c r="AB120" s="556"/>
      <c r="AC120" s="556"/>
    </row>
    <row r="121" spans="1:68" ht="14.25" customHeight="1" x14ac:dyDescent="0.25">
      <c r="A121" s="569" t="s">
        <v>161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136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201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184</v>
      </c>
      <c r="Y169" s="554">
        <f t="shared" si="10"/>
        <v>184.8</v>
      </c>
      <c r="Z169" s="36">
        <f>IFERROR(IF(Y169=0,"",ROUNDUP(Y169/H169,0)*0.00902),"")</f>
        <v>0.39688000000000001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194.95238095238096</v>
      </c>
      <c r="BN169" s="64">
        <f t="shared" si="12"/>
        <v>195.8</v>
      </c>
      <c r="BO169" s="64">
        <f t="shared" si="13"/>
        <v>0.3318903318903319</v>
      </c>
      <c r="BP169" s="64">
        <f t="shared" si="14"/>
        <v>0.33333333333333337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201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174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47</v>
      </c>
      <c r="Y178" s="554">
        <f t="shared" si="10"/>
        <v>48.300000000000004</v>
      </c>
      <c r="Z178" s="36">
        <f>IFERROR(IF(Y178=0,"",ROUNDUP(Y178/H178,0)*0.00502),"")</f>
        <v>0.11546000000000001</v>
      </c>
      <c r="AA178" s="56"/>
      <c r="AB178" s="57"/>
      <c r="AC178" s="225" t="s">
        <v>290</v>
      </c>
      <c r="AG178" s="64"/>
      <c r="AJ178" s="68"/>
      <c r="AK178" s="68">
        <v>0</v>
      </c>
      <c r="BB178" s="226" t="s">
        <v>1</v>
      </c>
      <c r="BM178" s="64">
        <f t="shared" si="11"/>
        <v>49.238095238095241</v>
      </c>
      <c r="BN178" s="64">
        <f t="shared" si="12"/>
        <v>50.600000000000009</v>
      </c>
      <c r="BO178" s="64">
        <f t="shared" si="13"/>
        <v>9.5645095645095643E-2</v>
      </c>
      <c r="BP178" s="64">
        <f t="shared" si="14"/>
        <v>9.8290598290598302E-2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66.19047619047619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67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0.51234000000000002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231</v>
      </c>
      <c r="Y182" s="555">
        <f>IFERROR(SUM(Y167:Y180),"0")</f>
        <v>233.10000000000002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2</v>
      </c>
      <c r="Y186" s="554">
        <f>IFERROR(IF(X186="",0,CEILING((X186/$H186),1)*$H186),"")</f>
        <v>2.52</v>
      </c>
      <c r="Z186" s="36">
        <f>IFERROR(IF(Y186=0,"",ROUNDUP(Y186/H186,0)*0.0059),"")</f>
        <v>1.18E-2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2.3015873015873014</v>
      </c>
      <c r="BN186" s="64">
        <f>IFERROR(Y186*I186/H186,"0")</f>
        <v>2.9</v>
      </c>
      <c r="BO186" s="64">
        <f>IFERROR(1/J186*(X186/H186),"0")</f>
        <v>7.3486184597295699E-3</v>
      </c>
      <c r="BP186" s="64">
        <f>IFERROR(1/J186*(Y186/H186),"0")</f>
        <v>9.2592592592592587E-3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1.5873015873015872</v>
      </c>
      <c r="Y187" s="555">
        <f>IFERROR(Y184/H184,"0")+IFERROR(Y185/H185,"0")+IFERROR(Y186/H186,"0")</f>
        <v>2</v>
      </c>
      <c r="Z187" s="555">
        <f>IFERROR(IF(Z184="",0,Z184),"0")+IFERROR(IF(Z185="",0,Z185),"0")+IFERROR(IF(Z186="",0,Z186),"0")</f>
        <v>1.18E-2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2</v>
      </c>
      <c r="Y188" s="555">
        <f>IFERROR(SUM(Y184:Y186),"0")</f>
        <v>2.52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2</v>
      </c>
      <c r="Y190" s="554">
        <f>IFERROR(IF(X190="",0,CEILING((X190/$H190),1)*$H190),"")</f>
        <v>2.52</v>
      </c>
      <c r="Z190" s="36">
        <f>IFERROR(IF(Y190=0,"",ROUNDUP(Y190/H190,0)*0.0059),"")</f>
        <v>1.18E-2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2.3015873015873014</v>
      </c>
      <c r="BN190" s="64">
        <f>IFERROR(Y190*I190/H190,"0")</f>
        <v>2.9</v>
      </c>
      <c r="BO190" s="64">
        <f>IFERROR(1/J190*(X190/H190),"0")</f>
        <v>7.3486184597295699E-3</v>
      </c>
      <c r="BP190" s="64">
        <f>IFERROR(1/J190*(Y190/H190),"0")</f>
        <v>9.2592592592592587E-3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1.5873015873015872</v>
      </c>
      <c r="Y191" s="555">
        <f>IFERROR(Y190/H190,"0")</f>
        <v>2</v>
      </c>
      <c r="Z191" s="555">
        <f>IFERROR(IF(Z190="",0,Z190),"0")</f>
        <v>1.18E-2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2</v>
      </c>
      <c r="Y192" s="555">
        <f>IFERROR(SUM(Y190:Y190),"0")</f>
        <v>2.52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136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201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225</v>
      </c>
      <c r="Y205" s="554">
        <f t="shared" ref="Y205:Y212" si="15">IFERROR(IF(X205="",0,CEILING((X205/$H205),1)*$H205),"")</f>
        <v>226.8</v>
      </c>
      <c r="Z205" s="36">
        <f>IFERROR(IF(Y205=0,"",ROUNDUP(Y205/H205,0)*0.00902),"")</f>
        <v>0.37884000000000001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232.91666666666666</v>
      </c>
      <c r="BN205" s="64">
        <f t="shared" ref="BN205:BN212" si="17">IFERROR(Y205*I205/H205,"0")</f>
        <v>234.78</v>
      </c>
      <c r="BO205" s="64">
        <f t="shared" ref="BO205:BO212" si="18">IFERROR(1/J205*(X205/H205),"0")</f>
        <v>0.31565656565656564</v>
      </c>
      <c r="BP205" s="64">
        <f t="shared" ref="BP205:BP212" si="19">IFERROR(1/J205*(Y205/H205),"0")</f>
        <v>0.31818181818181818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201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145</v>
      </c>
      <c r="Y206" s="554">
        <f t="shared" si="15"/>
        <v>145.80000000000001</v>
      </c>
      <c r="Z206" s="36">
        <f>IFERROR(IF(Y206=0,"",ROUNDUP(Y206/H206,0)*0.00902),"")</f>
        <v>0.24354000000000001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150.10185185185185</v>
      </c>
      <c r="BN206" s="64">
        <f t="shared" si="17"/>
        <v>150.93</v>
      </c>
      <c r="BO206" s="64">
        <f t="shared" si="18"/>
        <v>0.20342312008978675</v>
      </c>
      <c r="BP206" s="64">
        <f t="shared" si="19"/>
        <v>0.20454545454545456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201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7</v>
      </c>
      <c r="Y209" s="554">
        <f t="shared" si="15"/>
        <v>7.2</v>
      </c>
      <c r="Z209" s="36">
        <f>IFERROR(IF(Y209=0,"",ROUNDUP(Y209/H209,0)*0.00502),"")</f>
        <v>2.0080000000000001E-2</v>
      </c>
      <c r="AA209" s="56"/>
      <c r="AB209" s="57"/>
      <c r="AC209" s="255" t="s">
        <v>340</v>
      </c>
      <c r="AG209" s="64"/>
      <c r="AJ209" s="68"/>
      <c r="AK209" s="68">
        <v>0</v>
      </c>
      <c r="BB209" s="256" t="s">
        <v>1</v>
      </c>
      <c r="BM209" s="64">
        <f t="shared" si="16"/>
        <v>7.5055555555555555</v>
      </c>
      <c r="BN209" s="64">
        <f t="shared" si="17"/>
        <v>7.7199999999999989</v>
      </c>
      <c r="BO209" s="64">
        <f t="shared" si="18"/>
        <v>1.6619183285849954E-2</v>
      </c>
      <c r="BP209" s="64">
        <f t="shared" si="19"/>
        <v>1.7094017094017096E-2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60</v>
      </c>
      <c r="Y210" s="554">
        <f t="shared" si="15"/>
        <v>61.2</v>
      </c>
      <c r="Z210" s="36">
        <f>IFERROR(IF(Y210=0,"",ROUNDUP(Y210/H210,0)*0.00502),"")</f>
        <v>0.17068</v>
      </c>
      <c r="AA210" s="56"/>
      <c r="AB210" s="57"/>
      <c r="AC210" s="257" t="s">
        <v>343</v>
      </c>
      <c r="AG210" s="64"/>
      <c r="AJ210" s="68"/>
      <c r="AK210" s="68">
        <v>0</v>
      </c>
      <c r="BB210" s="258" t="s">
        <v>1</v>
      </c>
      <c r="BM210" s="64">
        <f t="shared" si="16"/>
        <v>63.333333333333329</v>
      </c>
      <c r="BN210" s="64">
        <f t="shared" si="17"/>
        <v>64.599999999999994</v>
      </c>
      <c r="BO210" s="64">
        <f t="shared" si="18"/>
        <v>0.14245014245014248</v>
      </c>
      <c r="BP210" s="64">
        <f t="shared" si="19"/>
        <v>0.14529914529914531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/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38</v>
      </c>
      <c r="Y212" s="554">
        <f t="shared" si="15"/>
        <v>39.6</v>
      </c>
      <c r="Z212" s="36">
        <f>IFERROR(IF(Y212=0,"",ROUNDUP(Y212/H212,0)*0.00502),"")</f>
        <v>0.11044000000000001</v>
      </c>
      <c r="AA212" s="56"/>
      <c r="AB212" s="57"/>
      <c r="AC212" s="261" t="s">
        <v>349</v>
      </c>
      <c r="AG212" s="64"/>
      <c r="AJ212" s="68"/>
      <c r="AK212" s="68">
        <v>0</v>
      </c>
      <c r="BB212" s="262" t="s">
        <v>1</v>
      </c>
      <c r="BM212" s="64">
        <f t="shared" si="16"/>
        <v>40.111111111111114</v>
      </c>
      <c r="BN212" s="64">
        <f t="shared" si="17"/>
        <v>41.8</v>
      </c>
      <c r="BO212" s="64">
        <f t="shared" si="18"/>
        <v>9.0218423551756896E-2</v>
      </c>
      <c r="BP212" s="64">
        <f t="shared" si="19"/>
        <v>9.401709401709403E-2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126.85185185185185</v>
      </c>
      <c r="Y213" s="555">
        <f>IFERROR(Y205/H205,"0")+IFERROR(Y206/H206,"0")+IFERROR(Y207/H207,"0")+IFERROR(Y208/H208,"0")+IFERROR(Y209/H209,"0")+IFERROR(Y210/H210,"0")+IFERROR(Y211/H211,"0")+IFERROR(Y212/H212,"0")</f>
        <v>129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0.92357999999999996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475</v>
      </c>
      <c r="Y214" s="555">
        <f>IFERROR(SUM(Y205:Y212),"0")</f>
        <v>480.6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112</v>
      </c>
      <c r="Y216" s="554">
        <f t="shared" ref="Y216:Y224" si="20">IFERROR(IF(X216="",0,CEILING((X216/$H216),1)*$H216),"")</f>
        <v>113.39999999999999</v>
      </c>
      <c r="Z216" s="36">
        <f>IFERROR(IF(Y216=0,"",ROUNDUP(Y216/H216,0)*0.01898),"")</f>
        <v>0.26572000000000001</v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118.83061728395062</v>
      </c>
      <c r="BN216" s="64">
        <f t="shared" ref="BN216:BN224" si="22">IFERROR(Y216*I216/H216,"0")</f>
        <v>120.31599999999999</v>
      </c>
      <c r="BO216" s="64">
        <f t="shared" ref="BO216:BO224" si="23">IFERROR(1/J216*(X216/H216),"0")</f>
        <v>0.2160493827160494</v>
      </c>
      <c r="BP216" s="64">
        <f t="shared" ref="BP216:BP224" si="24">IFERROR(1/J216*(Y216/H216),"0")</f>
        <v>0.21875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/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105</v>
      </c>
      <c r="Y219" s="554">
        <f t="shared" si="20"/>
        <v>105.6</v>
      </c>
      <c r="Z219" s="36">
        <f t="shared" ref="Z219:Z224" si="25">IFERROR(IF(Y219=0,"",ROUNDUP(Y219/H219,0)*0.00651),"")</f>
        <v>0.28644000000000003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116.81249999999999</v>
      </c>
      <c r="BN219" s="64">
        <f t="shared" si="22"/>
        <v>117.48</v>
      </c>
      <c r="BO219" s="64">
        <f t="shared" si="23"/>
        <v>0.24038461538461539</v>
      </c>
      <c r="BP219" s="64">
        <f t="shared" si="24"/>
        <v>0.24175824175824179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222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77</v>
      </c>
      <c r="Y222" s="554">
        <f t="shared" si="20"/>
        <v>79.2</v>
      </c>
      <c r="Z222" s="36">
        <f t="shared" si="25"/>
        <v>0.21482999999999999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85.085000000000008</v>
      </c>
      <c r="BN222" s="64">
        <f t="shared" si="22"/>
        <v>87.51600000000002</v>
      </c>
      <c r="BO222" s="64">
        <f t="shared" si="23"/>
        <v>0.17628205128205132</v>
      </c>
      <c r="BP222" s="64">
        <f t="shared" si="24"/>
        <v>0.18131868131868134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108</v>
      </c>
      <c r="Y223" s="554">
        <f t="shared" si="20"/>
        <v>108</v>
      </c>
      <c r="Z223" s="36">
        <f t="shared" si="25"/>
        <v>0.29294999999999999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119.34</v>
      </c>
      <c r="BN223" s="64">
        <f t="shared" si="22"/>
        <v>119.34</v>
      </c>
      <c r="BO223" s="64">
        <f t="shared" si="23"/>
        <v>0.24725274725274726</v>
      </c>
      <c r="BP223" s="64">
        <f t="shared" si="24"/>
        <v>0.24725274725274726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130</v>
      </c>
      <c r="Y224" s="554">
        <f t="shared" si="20"/>
        <v>132</v>
      </c>
      <c r="Z224" s="36">
        <f t="shared" si="25"/>
        <v>0.35805000000000003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143.97499999999999</v>
      </c>
      <c r="BN224" s="64">
        <f t="shared" si="22"/>
        <v>146.19</v>
      </c>
      <c r="BO224" s="64">
        <f t="shared" si="23"/>
        <v>0.29761904761904767</v>
      </c>
      <c r="BP224" s="64">
        <f t="shared" si="24"/>
        <v>0.30219780219780223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188.82716049382719</v>
      </c>
      <c r="Y225" s="555">
        <f>IFERROR(Y216/H216,"0")+IFERROR(Y217/H217,"0")+IFERROR(Y218/H218,"0")+IFERROR(Y219/H219,"0")+IFERROR(Y220/H220,"0")+IFERROR(Y221/H221,"0")+IFERROR(Y222/H222,"0")+IFERROR(Y223/H223,"0")+IFERROR(Y224/H224,"0")</f>
        <v>191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1.4179899999999999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532</v>
      </c>
      <c r="Y226" s="555">
        <f>IFERROR(SUM(Y216:Y224),"0")</f>
        <v>538.20000000000005</v>
      </c>
      <c r="Z226" s="37"/>
      <c r="AA226" s="556"/>
      <c r="AB226" s="556"/>
      <c r="AC226" s="556"/>
    </row>
    <row r="227" spans="1:68" ht="14.25" customHeight="1" x14ac:dyDescent="0.25">
      <c r="A227" s="569" t="s">
        <v>161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10</v>
      </c>
      <c r="Y229" s="554">
        <f>IFERROR(IF(X229="",0,CEILING((X229/$H229),1)*$H229),"")</f>
        <v>12</v>
      </c>
      <c r="Z229" s="36">
        <f>IFERROR(IF(Y229=0,"",ROUNDUP(Y229/H229,0)*0.00651),"")</f>
        <v>3.2550000000000003E-2</v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11.050000000000002</v>
      </c>
      <c r="BN229" s="64">
        <f>IFERROR(Y229*I229/H229,"0")</f>
        <v>13.260000000000002</v>
      </c>
      <c r="BO229" s="64">
        <f>IFERROR(1/J229*(X229/H229),"0")</f>
        <v>2.2893772893772896E-2</v>
      </c>
      <c r="BP229" s="64">
        <f>IFERROR(1/J229*(Y229/H229),"0")</f>
        <v>2.7472527472527476E-2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4.166666666666667</v>
      </c>
      <c r="Y230" s="555">
        <f>IFERROR(Y228/H228,"0")+IFERROR(Y229/H229,"0")</f>
        <v>5</v>
      </c>
      <c r="Z230" s="555">
        <f>IFERROR(IF(Z228="",0,Z228),"0")+IFERROR(IF(Z229="",0,Z229),"0")</f>
        <v>3.2550000000000003E-2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10</v>
      </c>
      <c r="Y231" s="555">
        <f>IFERROR(SUM(Y228:Y229),"0")</f>
        <v>12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136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6</v>
      </c>
      <c r="Y250" s="554">
        <f>IFERROR(IF(X250="",0,CEILING((X250/$H250),1)*$H250),"")</f>
        <v>7.2</v>
      </c>
      <c r="Z250" s="36">
        <f>IFERROR(IF(Y250=0,"",ROUNDUP(Y250/H250,0)*0.0059),"")</f>
        <v>2.3599999999999999E-2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6.5833333333333339</v>
      </c>
      <c r="BN250" s="64">
        <f>IFERROR(Y250*I250/H250,"0")</f>
        <v>7.9</v>
      </c>
      <c r="BO250" s="64">
        <f>IFERROR(1/J250*(X250/H250),"0")</f>
        <v>1.5432098765432096E-2</v>
      </c>
      <c r="BP250" s="64">
        <f>IFERROR(1/J250*(Y250/H250),"0")</f>
        <v>1.8518518518518517E-2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3.333333333333333</v>
      </c>
      <c r="Y251" s="555">
        <f>IFERROR(Y250/H250,"0")</f>
        <v>4</v>
      </c>
      <c r="Z251" s="555">
        <f>IFERROR(IF(Z250="",0,Z250),"0")</f>
        <v>2.3599999999999999E-2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6</v>
      </c>
      <c r="Y252" s="555">
        <f>IFERROR(SUM(Y250:Y250),"0")</f>
        <v>7.2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2</v>
      </c>
      <c r="Y256" s="554">
        <f>IFERROR(IF(X256="",0,CEILING((X256/$H256),1)*$H256),"")</f>
        <v>2.7</v>
      </c>
      <c r="Z256" s="36">
        <f>IFERROR(IF(Y256=0,"",ROUNDUP(Y256/H256,0)*0.0059),"")</f>
        <v>1.77E-2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2.4222222222222225</v>
      </c>
      <c r="BN256" s="64">
        <f>IFERROR(Y256*I256/H256,"0")</f>
        <v>3.2700000000000005</v>
      </c>
      <c r="BO256" s="64">
        <f>IFERROR(1/J256*(X256/H256),"0")</f>
        <v>1.0288065843621399E-2</v>
      </c>
      <c r="BP256" s="64">
        <f>IFERROR(1/J256*(Y256/H256),"0")</f>
        <v>1.3888888888888888E-2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2</v>
      </c>
      <c r="Y258" s="554">
        <f>IFERROR(IF(X258="",0,CEILING((X258/$H258),1)*$H258),"")</f>
        <v>2.9699999999999998</v>
      </c>
      <c r="Z258" s="36">
        <f>IFERROR(IF(Y258=0,"",ROUNDUP(Y258/H258,0)*0.0059),"")</f>
        <v>1.77E-2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2.3838383838383836</v>
      </c>
      <c r="BN258" s="64">
        <f>IFERROR(Y258*I258/H258,"0")</f>
        <v>3.5399999999999996</v>
      </c>
      <c r="BO258" s="64">
        <f>IFERROR(1/J258*(X258/H258),"0")</f>
        <v>9.3527871305649091E-3</v>
      </c>
      <c r="BP258" s="64">
        <f>IFERROR(1/J258*(Y258/H258),"0")</f>
        <v>1.3888888888888886E-2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4.2424242424242422</v>
      </c>
      <c r="Y259" s="555">
        <f>IFERROR(Y254/H254,"0")+IFERROR(Y255/H255,"0")+IFERROR(Y256/H256,"0")+IFERROR(Y257/H257,"0")+IFERROR(Y258/H258,"0")</f>
        <v>6</v>
      </c>
      <c r="Z259" s="555">
        <f>IFERROR(IF(Z254="",0,Z254),"0")+IFERROR(IF(Z255="",0,Z255),"0")+IFERROR(IF(Z256="",0,Z256),"0")+IFERROR(IF(Z257="",0,Z257),"0")+IFERROR(IF(Z258="",0,Z258),"0")</f>
        <v>3.5400000000000001E-2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4</v>
      </c>
      <c r="Y260" s="555">
        <f>IFERROR(SUM(Y254:Y258),"0")</f>
        <v>5.67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222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161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0</v>
      </c>
      <c r="Y325" s="555">
        <f>IFERROR(Y322/H322,"0")+IFERROR(Y323/H323,"0")+IFERROR(Y324/H324,"0")</f>
        <v>0</v>
      </c>
      <c r="Z325" s="555">
        <f>IFERROR(IF(Z322="",0,Z322),"0")+IFERROR(IF(Z323="",0,Z323),"0")+IFERROR(IF(Z324="",0,Z324),"0")</f>
        <v>0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0</v>
      </c>
      <c r="Y326" s="555">
        <f>IFERROR(SUM(Y322:Y324),"0")</f>
        <v>0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7</v>
      </c>
      <c r="Y328" s="554">
        <f>IFERROR(IF(X328="",0,CEILING((X328/$H328),1)*$H328),"")</f>
        <v>9.120000000000001</v>
      </c>
      <c r="Z328" s="36">
        <f>IFERROR(IF(Y328=0,"",ROUNDUP(Y328/H328,0)*0.00902),"")</f>
        <v>2.7060000000000001E-2</v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7.6217105263157903</v>
      </c>
      <c r="BN328" s="64">
        <f>IFERROR(Y328*I328/H328,"0")</f>
        <v>9.9300000000000015</v>
      </c>
      <c r="BO328" s="64">
        <f>IFERROR(1/J328*(X328/H328),"0")</f>
        <v>1.7444178628389158E-2</v>
      </c>
      <c r="BP328" s="64">
        <f>IFERROR(1/J328*(Y328/H328),"0")</f>
        <v>2.2727272727272731E-2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/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2.3026315789473686</v>
      </c>
      <c r="Y332" s="555">
        <f>IFERROR(Y328/H328,"0")+IFERROR(Y329/H329,"0")+IFERROR(Y330/H330,"0")+IFERROR(Y331/H331,"0")</f>
        <v>3.0000000000000004</v>
      </c>
      <c r="Z332" s="555">
        <f>IFERROR(IF(Z328="",0,Z328),"0")+IFERROR(IF(Z329="",0,Z329),"0")+IFERROR(IF(Z330="",0,Z330),"0")+IFERROR(IF(Z331="",0,Z331),"0")</f>
        <v>2.7060000000000001E-2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7</v>
      </c>
      <c r="Y333" s="555">
        <f>IFERROR(SUM(Y328:Y331),"0")</f>
        <v>9.120000000000001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6</v>
      </c>
      <c r="Y335" s="554">
        <f>IFERROR(IF(X335="",0,CEILING((X335/$H335),1)*$H335),"")</f>
        <v>6</v>
      </c>
      <c r="Z335" s="36">
        <f>IFERROR(IF(Y335=0,"",ROUNDUP(Y335/H335,0)*0.00474),"")</f>
        <v>1.422E-2</v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6.7200000000000006</v>
      </c>
      <c r="BN335" s="64">
        <f>IFERROR(Y335*I335/H335,"0")</f>
        <v>6.7200000000000006</v>
      </c>
      <c r="BO335" s="64">
        <f>IFERROR(1/J335*(X335/H335),"0")</f>
        <v>1.2605042016806723E-2</v>
      </c>
      <c r="BP335" s="64">
        <f>IFERROR(1/J335*(Y335/H335),"0")</f>
        <v>1.2605042016806723E-2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3</v>
      </c>
      <c r="Y338" s="555">
        <f>IFERROR(Y335/H335,"0")+IFERROR(Y336/H336,"0")+IFERROR(Y337/H337,"0")</f>
        <v>3</v>
      </c>
      <c r="Z338" s="555">
        <f>IFERROR(IF(Z335="",0,Z335),"0")+IFERROR(IF(Z336="",0,Z336),"0")+IFERROR(IF(Z337="",0,Z337),"0")</f>
        <v>1.422E-2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6</v>
      </c>
      <c r="Y339" s="555">
        <f>IFERROR(SUM(Y335:Y337),"0")</f>
        <v>6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995</v>
      </c>
      <c r="Y350" s="554">
        <f t="shared" ref="Y350:Y356" si="36">IFERROR(IF(X350="",0,CEILING((X350/$H350),1)*$H350),"")</f>
        <v>1005</v>
      </c>
      <c r="Z350" s="36">
        <f>IFERROR(IF(Y350=0,"",ROUNDUP(Y350/H350,0)*0.02175),"")</f>
        <v>1.4572499999999999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1026.1766666666667</v>
      </c>
      <c r="BN350" s="64">
        <f t="shared" ref="BN350:BN356" si="38">IFERROR(Y350*I350/H350,"0")</f>
        <v>1036.49</v>
      </c>
      <c r="BO350" s="64">
        <f t="shared" ref="BO350:BO356" si="39">IFERROR(1/J350*(X350/H350),"0")</f>
        <v>1.3819444444444442</v>
      </c>
      <c r="BP350" s="64">
        <f t="shared" ref="BP350:BP356" si="40">IFERROR(1/J350*(Y350/H350),"0")</f>
        <v>1.3958333333333333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439</v>
      </c>
      <c r="Y351" s="554">
        <f t="shared" si="36"/>
        <v>450</v>
      </c>
      <c r="Z351" s="36">
        <f>IFERROR(IF(Y351=0,"",ROUNDUP(Y351/H351,0)*0.02175),"")</f>
        <v>0.65249999999999997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452.75533333333334</v>
      </c>
      <c r="BN351" s="64">
        <f t="shared" si="38"/>
        <v>464.1</v>
      </c>
      <c r="BO351" s="64">
        <f t="shared" si="39"/>
        <v>0.60972222222222217</v>
      </c>
      <c r="BP351" s="64">
        <f t="shared" si="40"/>
        <v>0.625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0">
        <v>4680115887046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7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272</v>
      </c>
      <c r="Y352" s="554">
        <f t="shared" si="36"/>
        <v>285</v>
      </c>
      <c r="Z352" s="36">
        <f>IFERROR(IF(Y352=0,"",ROUNDUP(Y352/H352,0)*0.02175),"")</f>
        <v>0.41324999999999995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280.52266666666668</v>
      </c>
      <c r="BN352" s="64">
        <f t="shared" si="38"/>
        <v>293.93</v>
      </c>
      <c r="BO352" s="64">
        <f t="shared" si="39"/>
        <v>0.37777777777777777</v>
      </c>
      <c r="BP352" s="64">
        <f t="shared" si="40"/>
        <v>0.39583333333333331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0">
        <v>4680115884830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215</v>
      </c>
      <c r="Y353" s="554">
        <f t="shared" si="36"/>
        <v>225</v>
      </c>
      <c r="Z353" s="36">
        <f>IFERROR(IF(Y353=0,"",ROUNDUP(Y353/H353,0)*0.02175),"")</f>
        <v>0.32624999999999998</v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221.73666666666668</v>
      </c>
      <c r="BN353" s="64">
        <f t="shared" si="38"/>
        <v>232.05</v>
      </c>
      <c r="BO353" s="64">
        <f t="shared" si="39"/>
        <v>0.2986111111111111</v>
      </c>
      <c r="BP353" s="64">
        <f t="shared" si="40"/>
        <v>0.3125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128.06666666666666</v>
      </c>
      <c r="Y357" s="555">
        <f>IFERROR(Y350/H350,"0")+IFERROR(Y351/H351,"0")+IFERROR(Y352/H352,"0")+IFERROR(Y353/H353,"0")+IFERROR(Y354/H354,"0")+IFERROR(Y355/H355,"0")+IFERROR(Y356/H356,"0")</f>
        <v>131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2.8492500000000001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1921</v>
      </c>
      <c r="Y358" s="555">
        <f>IFERROR(SUM(Y350:Y356),"0")</f>
        <v>1965</v>
      </c>
      <c r="Z358" s="37"/>
      <c r="AA358" s="556"/>
      <c r="AB358" s="556"/>
      <c r="AC358" s="556"/>
    </row>
    <row r="359" spans="1:68" ht="14.25" customHeight="1" x14ac:dyDescent="0.25">
      <c r="A359" s="569" t="s">
        <v>136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484</v>
      </c>
      <c r="Y360" s="554">
        <f>IFERROR(IF(X360="",0,CEILING((X360/$H360),1)*$H360),"")</f>
        <v>495</v>
      </c>
      <c r="Z360" s="36">
        <f>IFERROR(IF(Y360=0,"",ROUNDUP(Y360/H360,0)*0.02175),"")</f>
        <v>0.71775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499.16533333333336</v>
      </c>
      <c r="BN360" s="64">
        <f>IFERROR(Y360*I360/H360,"0")</f>
        <v>510.51000000000005</v>
      </c>
      <c r="BO360" s="64">
        <f>IFERROR(1/J360*(X360/H360),"0")</f>
        <v>0.67222222222222217</v>
      </c>
      <c r="BP360" s="64">
        <f>IFERROR(1/J360*(Y360/H360),"0")</f>
        <v>0.6875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32.266666666666666</v>
      </c>
      <c r="Y362" s="555">
        <f>IFERROR(Y360/H360,"0")+IFERROR(Y361/H361,"0")</f>
        <v>33</v>
      </c>
      <c r="Z362" s="555">
        <f>IFERROR(IF(Z360="",0,Z360),"0")+IFERROR(IF(Z361="",0,Z361),"0")</f>
        <v>0.71775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484</v>
      </c>
      <c r="Y363" s="555">
        <f>IFERROR(SUM(Y360:Y361),"0")</f>
        <v>495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161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25</v>
      </c>
      <c r="Y370" s="554">
        <f>IFERROR(IF(X370="",0,CEILING((X370/$H370),1)*$H370),"")</f>
        <v>27</v>
      </c>
      <c r="Z370" s="36">
        <f>IFERROR(IF(Y370=0,"",ROUNDUP(Y370/H370,0)*0.01898),"")</f>
        <v>5.6940000000000004E-2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26.37222222222222</v>
      </c>
      <c r="BN370" s="64">
        <f>IFERROR(Y370*I370/H370,"0")</f>
        <v>28.481999999999996</v>
      </c>
      <c r="BO370" s="64">
        <f>IFERROR(1/J370*(X370/H370),"0")</f>
        <v>4.3402777777777776E-2</v>
      </c>
      <c r="BP370" s="64">
        <f>IFERROR(1/J370*(Y370/H370),"0")</f>
        <v>4.6875E-2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2.7777777777777777</v>
      </c>
      <c r="Y371" s="555">
        <f>IFERROR(Y370/H370,"0")</f>
        <v>3</v>
      </c>
      <c r="Z371" s="555">
        <f>IFERROR(IF(Z370="",0,Z370),"0")</f>
        <v>5.6940000000000004E-2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25</v>
      </c>
      <c r="Y372" s="555">
        <f>IFERROR(SUM(Y370:Y370),"0")</f>
        <v>27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4301031457</v>
      </c>
      <c r="D380" s="560">
        <v>4607091384802</v>
      </c>
      <c r="E380" s="561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7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4301031303</v>
      </c>
      <c r="D381" s="560">
        <v>4607091384802</v>
      </c>
      <c r="E381" s="561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35</v>
      </c>
      <c r="P381" s="60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271</v>
      </c>
      <c r="Y385" s="554">
        <f>IFERROR(IF(X385="",0,CEILING((X385/$H385),1)*$H385),"")</f>
        <v>279</v>
      </c>
      <c r="Z385" s="36">
        <f>IFERROR(IF(Y385=0,"",ROUNDUP(Y385/H385,0)*0.01898),"")</f>
        <v>0.58838000000000001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285.87488888888885</v>
      </c>
      <c r="BN385" s="64">
        <f>IFERROR(Y385*I385/H385,"0")</f>
        <v>294.31400000000002</v>
      </c>
      <c r="BO385" s="64">
        <f>IFERROR(1/J385*(X385/H385),"0")</f>
        <v>0.4704861111111111</v>
      </c>
      <c r="BP385" s="64">
        <f>IFERROR(1/J385*(Y385/H385),"0")</f>
        <v>0.484375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30.111111111111111</v>
      </c>
      <c r="Y388" s="555">
        <f>IFERROR(Y385/H385,"0")+IFERROR(Y386/H386,"0")+IFERROR(Y387/H387,"0")</f>
        <v>31</v>
      </c>
      <c r="Z388" s="555">
        <f>IFERROR(IF(Z385="",0,Z385),"0")+IFERROR(IF(Z386="",0,Z386),"0")+IFERROR(IF(Z387="",0,Z387),"0")</f>
        <v>0.58838000000000001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271</v>
      </c>
      <c r="Y389" s="555">
        <f>IFERROR(SUM(Y385:Y387),"0")</f>
        <v>279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201</v>
      </c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131</v>
      </c>
      <c r="Y393" s="554">
        <f t="shared" ref="Y393:Y401" si="41">IFERROR(IF(X393="",0,CEILING((X393/$H393),1)*$H393),"")</f>
        <v>135</v>
      </c>
      <c r="Z393" s="36">
        <f>IFERROR(IF(Y393=0,"",ROUNDUP(Y393/H393,0)*0.00902),"")</f>
        <v>0.22550000000000001</v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135.60925925925923</v>
      </c>
      <c r="BN393" s="64">
        <f t="shared" ref="BN393:BN401" si="43">IFERROR(Y393*I393/H393,"0")</f>
        <v>139.75</v>
      </c>
      <c r="BO393" s="64">
        <f t="shared" ref="BO393:BO401" si="44">IFERROR(1/J393*(X393/H393),"0")</f>
        <v>0.18378226711560042</v>
      </c>
      <c r="BP393" s="64">
        <f t="shared" ref="BP393:BP401" si="45">IFERROR(1/J393*(Y393/H393),"0")</f>
        <v>0.18939393939393939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24.259259259259256</v>
      </c>
      <c r="Y402" s="555">
        <f>IFERROR(Y393/H393,"0")+IFERROR(Y394/H394,"0")+IFERROR(Y395/H395,"0")+IFERROR(Y396/H396,"0")+IFERROR(Y397/H397,"0")+IFERROR(Y398/H398,"0")+IFERROR(Y399/H399,"0")+IFERROR(Y400/H400,"0")+IFERROR(Y401/H401,"0")</f>
        <v>25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0.22550000000000001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131</v>
      </c>
      <c r="Y403" s="555">
        <f>IFERROR(SUM(Y393:Y401),"0")</f>
        <v>135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136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201</v>
      </c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15</v>
      </c>
      <c r="Y432" s="554">
        <f t="shared" si="47"/>
        <v>15.84</v>
      </c>
      <c r="Z432" s="36">
        <f t="shared" si="48"/>
        <v>3.5880000000000002E-2</v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15.994318181818182</v>
      </c>
      <c r="BN432" s="64">
        <f t="shared" si="50"/>
        <v>16.889999999999997</v>
      </c>
      <c r="BO432" s="64">
        <f t="shared" si="51"/>
        <v>2.7316433566433568E-2</v>
      </c>
      <c r="BP432" s="64">
        <f t="shared" si="52"/>
        <v>2.8846153846153848E-2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202</v>
      </c>
      <c r="Y433" s="554">
        <f t="shared" si="47"/>
        <v>205.92000000000002</v>
      </c>
      <c r="Z433" s="36">
        <f t="shared" si="48"/>
        <v>0.46644000000000002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215.3901515151515</v>
      </c>
      <c r="BN433" s="64">
        <f t="shared" si="50"/>
        <v>219.57</v>
      </c>
      <c r="BO433" s="64">
        <f t="shared" si="51"/>
        <v>0.3678613053613054</v>
      </c>
      <c r="BP433" s="64">
        <f t="shared" si="52"/>
        <v>0.375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0</v>
      </c>
      <c r="Y435" s="554">
        <f t="shared" si="47"/>
        <v>0</v>
      </c>
      <c r="Z435" s="36" t="str">
        <f t="shared" si="48"/>
        <v/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21</v>
      </c>
      <c r="Y440" s="554">
        <f t="shared" si="47"/>
        <v>24</v>
      </c>
      <c r="Z440" s="36">
        <f>IFERROR(IF(Y440=0,"",ROUNDUP(Y440/H440,0)*0.00902),"")</f>
        <v>4.5100000000000001E-2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30.231250000000003</v>
      </c>
      <c r="BN440" s="64">
        <f t="shared" si="50"/>
        <v>34.550000000000004</v>
      </c>
      <c r="BO440" s="64">
        <f t="shared" si="51"/>
        <v>3.3143939393939392E-2</v>
      </c>
      <c r="BP440" s="64">
        <f t="shared" si="52"/>
        <v>3.787878787878788E-2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45.473484848484851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47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0.54742000000000002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238</v>
      </c>
      <c r="Y442" s="555">
        <f>IFERROR(SUM(Y429:Y440),"0")</f>
        <v>245.76000000000002</v>
      </c>
      <c r="Z442" s="37"/>
      <c r="AA442" s="556"/>
      <c r="AB442" s="556"/>
      <c r="AC442" s="556"/>
    </row>
    <row r="443" spans="1:68" ht="14.25" customHeight="1" x14ac:dyDescent="0.25">
      <c r="A443" s="569" t="s">
        <v>136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39</v>
      </c>
      <c r="Y451" s="554">
        <f t="shared" si="53"/>
        <v>42.24</v>
      </c>
      <c r="Z451" s="36">
        <f>IFERROR(IF(Y451=0,"",ROUNDUP(Y451/H451,0)*0.01196),"")</f>
        <v>9.5680000000000001E-2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41.585227272727266</v>
      </c>
      <c r="BN451" s="64">
        <f t="shared" si="55"/>
        <v>45.04</v>
      </c>
      <c r="BO451" s="64">
        <f t="shared" si="56"/>
        <v>7.1022727272727265E-2</v>
      </c>
      <c r="BP451" s="64">
        <f t="shared" si="57"/>
        <v>7.6923076923076927E-2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7.3863636363636358</v>
      </c>
      <c r="Y456" s="555">
        <f>IFERROR(Y450/H450,"0")+IFERROR(Y451/H451,"0")+IFERROR(Y452/H452,"0")+IFERROR(Y453/H453,"0")+IFERROR(Y454/H454,"0")+IFERROR(Y455/H455,"0")</f>
        <v>8</v>
      </c>
      <c r="Z456" s="555">
        <f>IFERROR(IF(Z450="",0,Z450),"0")+IFERROR(IF(Z451="",0,Z451),"0")+IFERROR(IF(Z452="",0,Z452),"0")+IFERROR(IF(Z453="",0,Z453),"0")+IFERROR(IF(Z454="",0,Z454),"0")+IFERROR(IF(Z455="",0,Z455),"0")</f>
        <v>9.5680000000000001E-2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39</v>
      </c>
      <c r="Y457" s="555">
        <f>IFERROR(SUM(Y450:Y455),"0")</f>
        <v>42.24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136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161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136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4759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4882.13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4987.02220189539</v>
      </c>
      <c r="Y496" s="555">
        <f>IFERROR(SUM(BN22:BN492),"0")</f>
        <v>5117.4040000000005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8</v>
      </c>
      <c r="Y497" s="38">
        <f>ROUNDUP(SUM(BP22:BP492),0)</f>
        <v>8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5187.02220189539</v>
      </c>
      <c r="Y498" s="555">
        <f>GrossWeightTotalR+PalletQtyTotalR*25</f>
        <v>5317.4040000000005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737.98102804901043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759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8.8926000000000016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117</v>
      </c>
      <c r="E503" s="598" t="s">
        <v>168</v>
      </c>
      <c r="F503" s="598" t="s">
        <v>190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51.800000000000004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140.4</v>
      </c>
      <c r="E505" s="46">
        <f>IFERROR(Y85*1,"0")+IFERROR(Y86*1,"0")+IFERROR(Y87*1,"0")+IFERROR(Y88*1,"0")+IFERROR(Y92*1,"0")+IFERROR(Y93*1,"0")+IFERROR(Y94*1,"0")+IFERROR(Y95*1,"0")</f>
        <v>90.000000000000014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114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238.14000000000004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1030.8000000000002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12.870000000000001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15.120000000000001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2487</v>
      </c>
      <c r="T505" s="46">
        <f>IFERROR(Y375*1,"0")+IFERROR(Y376*1,"0")+IFERROR(Y380*1,"0")+IFERROR(Y381*1,"0")+IFERROR(Y385*1,"0")+IFERROR(Y386*1,"0")+IFERROR(Y387*1,"0")</f>
        <v>279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135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288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6jJLVR9Kh3xkPeOjX9tI0ECkwRW+QVtdgqDKqI1ZpQoXVz8JjHAmGUOiLzYyxB/TVjzKo0TWSo3oxPZmiXiGtA==" saltValue="tvhr3l2hPHTKT/bzG7FOE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85 X92 X100 X103 X115 X117 X169 X171 X173 X205:X206 X208 X219 X221:X224 X281:X282 X323 X350:X351 X353 X360 X385 X393 X415 X433 X435 X444 X450:X452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irhARvDOmEDhYt2jKtuBONf/mh7oA6BfKTQBjT0hSP5OeZ/POQXKwI4umYDz1w5//Wi5B1imRo653gbFCNcvpQ==" saltValue="dQD4P7UdeeFqgr6FQD3X2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2026-01-07T09:09:14Z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