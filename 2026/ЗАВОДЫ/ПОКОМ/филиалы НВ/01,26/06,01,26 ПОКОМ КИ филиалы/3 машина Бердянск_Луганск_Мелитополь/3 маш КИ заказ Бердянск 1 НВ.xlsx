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51720E6-602A-4A34-A75C-9EDAFC4388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Y284" i="1" s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Y213" i="1" s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5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5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Z44" i="1" l="1"/>
  <c r="Z89" i="1"/>
  <c r="Z202" i="1"/>
  <c r="Z112" i="1"/>
  <c r="Z139" i="1"/>
  <c r="Z294" i="1"/>
  <c r="H9" i="1"/>
  <c r="A10" i="1"/>
  <c r="Y65" i="1"/>
  <c r="Y69" i="1"/>
  <c r="Y81" i="1"/>
  <c r="Y96" i="1"/>
  <c r="Y105" i="1"/>
  <c r="Y113" i="1"/>
  <c r="Y119" i="1"/>
  <c r="Y130" i="1"/>
  <c r="Y134" i="1"/>
  <c r="Y140" i="1"/>
  <c r="Y145" i="1"/>
  <c r="Z152" i="1"/>
  <c r="BN152" i="1"/>
  <c r="Y155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Z186" i="1"/>
  <c r="BN186" i="1"/>
  <c r="Y187" i="1"/>
  <c r="Z190" i="1"/>
  <c r="Z191" i="1" s="1"/>
  <c r="BN190" i="1"/>
  <c r="BP190" i="1"/>
  <c r="Y191" i="1"/>
  <c r="Z195" i="1"/>
  <c r="Z197" i="1" s="1"/>
  <c r="BN195" i="1"/>
  <c r="BP195" i="1"/>
  <c r="Y198" i="1"/>
  <c r="Z201" i="1"/>
  <c r="BN201" i="1"/>
  <c r="BP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Y24" i="1"/>
  <c r="Y32" i="1"/>
  <c r="Y44" i="1"/>
  <c r="Y59" i="1"/>
  <c r="Y77" i="1"/>
  <c r="Y90" i="1"/>
  <c r="F9" i="1"/>
  <c r="J9" i="1"/>
  <c r="Z22" i="1"/>
  <c r="Z24" i="1" s="1"/>
  <c r="BN22" i="1"/>
  <c r="BP22" i="1"/>
  <c r="X499" i="1"/>
  <c r="Y25" i="1"/>
  <c r="Z28" i="1"/>
  <c r="Z32" i="1" s="1"/>
  <c r="BN28" i="1"/>
  <c r="Z30" i="1"/>
  <c r="BN30" i="1"/>
  <c r="C505" i="1"/>
  <c r="Z42" i="1"/>
  <c r="BN42" i="1"/>
  <c r="Y45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Z96" i="1" s="1"/>
  <c r="BN92" i="1"/>
  <c r="BP92" i="1"/>
  <c r="Z94" i="1"/>
  <c r="BN94" i="1"/>
  <c r="F505" i="1"/>
  <c r="Z101" i="1"/>
  <c r="Z105" i="1" s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Z154" i="1" s="1"/>
  <c r="BN149" i="1"/>
  <c r="Z151" i="1"/>
  <c r="BN151" i="1"/>
  <c r="Y197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Z243" i="1" s="1"/>
  <c r="BP241" i="1"/>
  <c r="BN241" i="1"/>
  <c r="Z241" i="1"/>
  <c r="BP257" i="1"/>
  <c r="BN257" i="1"/>
  <c r="Z257" i="1"/>
  <c r="Z259" i="1" s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Z283" i="1" s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225" i="1" l="1"/>
  <c r="Y496" i="1"/>
  <c r="Z276" i="1"/>
  <c r="Z213" i="1"/>
  <c r="Z441" i="1"/>
  <c r="Z419" i="1"/>
  <c r="Z469" i="1"/>
  <c r="Z312" i="1"/>
  <c r="Z303" i="1"/>
  <c r="Z119" i="1"/>
  <c r="Z64" i="1"/>
  <c r="Y495" i="1"/>
  <c r="Y497" i="1"/>
  <c r="Y499" i="1"/>
  <c r="Z402" i="1"/>
  <c r="Z332" i="1"/>
  <c r="Z187" i="1"/>
  <c r="Z181" i="1"/>
  <c r="Z500" i="1" s="1"/>
  <c r="Y498" i="1" l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<sst xmlns="http://schemas.openxmlformats.org/spreadsheetml/2006/main" count="2244" uniqueCount="781">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</sst>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200</v>
      </c>
      <c r="Y352" s="554">
        <f t="shared" si="36"/>
        <v>210</v>
      </c>
      <c r="Z352" s="36">
        <f>IFERROR(IF(Y352=0,"",ROUNDUP(Y352/H352,0)*0.02175),"")</f>
        <v>0.30449999999999999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206.26666666666668</v>
      </c>
      <c r="BN352" s="64">
        <f t="shared" si="38"/>
        <v>216.58</v>
      </c>
      <c r="BO352" s="64">
        <f t="shared" si="39"/>
        <v>0.27777777777777779</v>
      </c>
      <c r="BP352" s="64">
        <f t="shared" si="40"/>
        <v>0.29166666666666663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80</v>
      </c>
      <c r="Y357" s="555">
        <f>IFERROR(Y350/H350,"0")+IFERROR(Y351/H351,"0")+IFERROR(Y352/H352,"0")+IFERROR(Y353/H353,"0")+IFERROR(Y354/H354,"0")+IFERROR(Y355/H355,"0")+IFERROR(Y356/H356,"0")</f>
        <v>81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1.7617499999999999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1200</v>
      </c>
      <c r="Y358" s="555">
        <f>IFERROR(SUM(Y350:Y356),"0")</f>
        <v>1215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2025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2062.6666666666665</v>
      </c>
      <c r="Y496" s="555">
        <f>IFERROR(SUM(BN22:BN492),"0")</f>
        <v>2088.4499999999998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2137.6666666666665</v>
      </c>
      <c r="Y498" s="555">
        <f>GrossWeightTotalR+PalletQtyTotalR*25</f>
        <v>2163.4499999999998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133.33333333333334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2.9362499999999998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2025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