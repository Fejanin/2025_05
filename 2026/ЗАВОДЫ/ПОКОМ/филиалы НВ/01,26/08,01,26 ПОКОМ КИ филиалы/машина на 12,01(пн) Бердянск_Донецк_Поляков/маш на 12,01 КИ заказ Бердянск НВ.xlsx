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481D91B1-335B-4972-8DB5-67B058DA3F0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119" i="1" l="1"/>
  <c r="Z145" i="1"/>
  <c r="Z474" i="1"/>
  <c r="Z81" i="1"/>
  <c r="Z367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Y140" i="1"/>
  <c r="BP137" i="1"/>
  <c r="BN137" i="1"/>
  <c r="Z137" i="1"/>
  <c r="Z139" i="1" s="1"/>
  <c r="BP133" i="1"/>
  <c r="BN133" i="1"/>
  <c r="Z133" i="1"/>
  <c r="Z134" i="1" s="1"/>
  <c r="Y135" i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Z345" i="1"/>
  <c r="BP343" i="1"/>
  <c r="BN343" i="1"/>
  <c r="Z343" i="1"/>
  <c r="Y345" i="1"/>
  <c r="D505" i="1"/>
  <c r="H9" i="1"/>
  <c r="B505" i="1"/>
  <c r="X496" i="1"/>
  <c r="X498" i="1" s="1"/>
  <c r="X497" i="1"/>
  <c r="Z23" i="1"/>
  <c r="Z24" i="1" s="1"/>
  <c r="BN23" i="1"/>
  <c r="Y24" i="1"/>
  <c r="X495" i="1"/>
  <c r="Z27" i="1"/>
  <c r="Z32" i="1" s="1"/>
  <c r="BN27" i="1"/>
  <c r="BP27" i="1"/>
  <c r="Y497" i="1" s="1"/>
  <c r="Z29" i="1"/>
  <c r="BN29" i="1"/>
  <c r="Y496" i="1" s="1"/>
  <c r="Y498" i="1" s="1"/>
  <c r="Z31" i="1"/>
  <c r="BN31" i="1"/>
  <c r="Z35" i="1"/>
  <c r="Z36" i="1" s="1"/>
  <c r="BN35" i="1"/>
  <c r="BP35" i="1"/>
  <c r="Z41" i="1"/>
  <c r="Z44" i="1" s="1"/>
  <c r="BN41" i="1"/>
  <c r="BP41" i="1"/>
  <c r="Z43" i="1"/>
  <c r="BN43" i="1"/>
  <c r="Y44" i="1"/>
  <c r="Z47" i="1"/>
  <c r="Z48" i="1" s="1"/>
  <c r="BN47" i="1"/>
  <c r="BP47" i="1"/>
  <c r="Z52" i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Y82" i="1"/>
  <c r="E505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Y146" i="1"/>
  <c r="Y155" i="1"/>
  <c r="BP148" i="1"/>
  <c r="BN148" i="1"/>
  <c r="Z148" i="1"/>
  <c r="Z154" i="1" s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Z325" i="1" s="1"/>
  <c r="Y326" i="1"/>
  <c r="BP330" i="1"/>
  <c r="BN330" i="1"/>
  <c r="Z330" i="1"/>
  <c r="BP353" i="1"/>
  <c r="BN353" i="1"/>
  <c r="Z353" i="1"/>
  <c r="Y357" i="1"/>
  <c r="BP366" i="1"/>
  <c r="BN366" i="1"/>
  <c r="Z366" i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Z243" i="1" s="1"/>
  <c r="Y243" i="1"/>
  <c r="Z259" i="1"/>
  <c r="BP255" i="1"/>
  <c r="BN255" i="1"/>
  <c r="Z255" i="1"/>
  <c r="Y259" i="1"/>
  <c r="BP264" i="1"/>
  <c r="BN264" i="1"/>
  <c r="Z264" i="1"/>
  <c r="Z268" i="1" s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Z319" i="1" s="1"/>
  <c r="BP324" i="1"/>
  <c r="BN324" i="1"/>
  <c r="Z324" i="1"/>
  <c r="Y333" i="1"/>
  <c r="BP328" i="1"/>
  <c r="BN328" i="1"/>
  <c r="Z328" i="1"/>
  <c r="Y332" i="1"/>
  <c r="BP336" i="1"/>
  <c r="BN336" i="1"/>
  <c r="Z336" i="1"/>
  <c r="Z338" i="1" s="1"/>
  <c r="BP351" i="1"/>
  <c r="BN351" i="1"/>
  <c r="Z351" i="1"/>
  <c r="Z357" i="1" s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441" i="1" l="1"/>
  <c r="Z388" i="1"/>
  <c r="Z402" i="1"/>
  <c r="Z332" i="1"/>
  <c r="Z213" i="1"/>
  <c r="Z89" i="1"/>
  <c r="Z58" i="1"/>
  <c r="Z500" i="1" s="1"/>
  <c r="Z312" i="1"/>
  <c r="Z303" i="1"/>
  <c r="Z283" i="1"/>
  <c r="Z225" i="1"/>
  <c r="Z181" i="1"/>
  <c r="Z112" i="1"/>
  <c r="Z105" i="1"/>
  <c r="Z469" i="1"/>
  <c r="Y499" i="1"/>
  <c r="Y495" i="1"/>
</calcChain>
</file>

<file path=xl/sharedStrings.xml><?xml version="1.0" encoding="utf-8"?>
<sst xmlns="http://schemas.openxmlformats.org/spreadsheetml/2006/main" count="2244" uniqueCount="781">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</sst>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2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17</v>
      </c>
      <c r="Y42" s="554">
        <f>IFERROR(IF(X42="",0,CEILING((X42/$H42),1)*$H42),"")</f>
        <v>18.5</v>
      </c>
      <c r="Z42" s="36">
        <f>IFERROR(IF(Y42=0,"",ROUNDUP(Y42/H42,0)*0.00902),"")</f>
        <v>4.5100000000000001E-2</v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17.87297297297297</v>
      </c>
      <c r="BN42" s="64">
        <f>IFERROR(Y42*I42/H42,"0")</f>
        <v>19.45</v>
      </c>
      <c r="BO42" s="64">
        <f>IFERROR(1/J42*(X42/H42),"0")</f>
        <v>3.4807534807534811E-2</v>
      </c>
      <c r="BP42" s="64">
        <f>IFERROR(1/J42*(Y42/H42),"0")</f>
        <v>3.787878787878788E-2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4.5945945945945947</v>
      </c>
      <c r="Y44" s="555">
        <f>IFERROR(Y41/H41,"0")+IFERROR(Y42/H42,"0")+IFERROR(Y43/H43,"0")</f>
        <v>5</v>
      </c>
      <c r="Z44" s="555">
        <f>IFERROR(IF(Z41="",0,Z41),"0")+IFERROR(IF(Z42="",0,Z42),"0")+IFERROR(IF(Z43="",0,Z43),"0")</f>
        <v>4.5100000000000001E-2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17</v>
      </c>
      <c r="Y45" s="555">
        <f>IFERROR(SUM(Y41:Y43),"0")</f>
        <v>18.5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114</v>
      </c>
      <c r="B47" s="54" t="s">
        <v>115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116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117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118</v>
      </c>
      <c r="B52" s="54" t="s">
        <v>119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120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121</v>
      </c>
      <c r="B53" s="54" t="s">
        <v>122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123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124</v>
      </c>
      <c r="B54" s="54" t="s">
        <v>125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126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127</v>
      </c>
      <c r="B55" s="54" t="s">
        <v>128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129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130</v>
      </c>
      <c r="B56" s="54" t="s">
        <v>131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132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133</v>
      </c>
      <c r="B57" s="54" t="s">
        <v>134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135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136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137</v>
      </c>
      <c r="B61" s="54" t="s">
        <v>138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64</v>
      </c>
      <c r="Y61" s="554">
        <f>IFERROR(IF(X61="",0,CEILING((X61/$H61),1)*$H61),"")</f>
        <v>64.800000000000011</v>
      </c>
      <c r="Z61" s="36">
        <f>IFERROR(IF(Y61=0,"",ROUNDUP(Y61/H61,0)*0.01898),"")</f>
        <v>0.11388000000000001</v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66.42962962962963</v>
      </c>
      <c r="BN61" s="64">
        <f>IFERROR(Y61*I61/H61,"0")</f>
        <v>67.260000000000005</v>
      </c>
      <c r="BO61" s="64">
        <f>IFERROR(1/J61*(X61/H61),"0")</f>
        <v>9.2592592592592587E-2</v>
      </c>
      <c r="BP61" s="64">
        <f>IFERROR(1/J61*(Y61/H61),"0")</f>
        <v>9.3750000000000014E-2</v>
      </c>
    </row>
    <row r="62" spans="1:68" ht="16.5" customHeight="1" x14ac:dyDescent="0.25">
      <c r="A62" s="54" t="s">
        <v>140</v>
      </c>
      <c r="B62" s="54" t="s">
        <v>141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142</v>
      </c>
      <c r="B63" s="54" t="s">
        <v>143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139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5.9259259259259256</v>
      </c>
      <c r="Y64" s="555">
        <f>IFERROR(Y61/H61,"0")+IFERROR(Y62/H62,"0")+IFERROR(Y63/H63,"0")</f>
        <v>6.0000000000000009</v>
      </c>
      <c r="Z64" s="555">
        <f>IFERROR(IF(Z61="",0,Z61),"0")+IFERROR(IF(Z62="",0,Z62),"0")+IFERROR(IF(Z63="",0,Z63),"0")</f>
        <v>0.11388000000000001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64</v>
      </c>
      <c r="Y65" s="555">
        <f>IFERROR(SUM(Y61:Y63),"0")</f>
        <v>64.800000000000011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144</v>
      </c>
      <c r="B67" s="54" t="s">
        <v>145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146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147</v>
      </c>
      <c r="B68" s="54" t="s">
        <v>148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149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150</v>
      </c>
      <c r="B72" s="54" t="s">
        <v>151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152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153</v>
      </c>
      <c r="B73" s="54" t="s">
        <v>154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155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156</v>
      </c>
      <c r="B74" s="54" t="s">
        <v>157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152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158</v>
      </c>
      <c r="B75" s="54" t="s">
        <v>159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160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161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162</v>
      </c>
      <c r="B79" s="54" t="s">
        <v>163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164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165</v>
      </c>
      <c r="B80" s="54" t="s">
        <v>166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167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168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169</v>
      </c>
      <c r="B85" s="54" t="s">
        <v>170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171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172</v>
      </c>
      <c r="B86" s="54" t="s">
        <v>173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174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178</v>
      </c>
      <c r="B88" s="54" t="s">
        <v>179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28</v>
      </c>
      <c r="Y88" s="554">
        <f>IFERROR(IF(X88="",0,CEILING((X88/$H88),1)*$H88),"")</f>
        <v>31.5</v>
      </c>
      <c r="Z88" s="36">
        <f>IFERROR(IF(Y88=0,"",ROUNDUP(Y88/H88,0)*0.00902),"")</f>
        <v>6.3140000000000002E-2</v>
      </c>
      <c r="AA88" s="56"/>
      <c r="AB88" s="57"/>
      <c r="AC88" s="133" t="s">
        <v>171</v>
      </c>
      <c r="AG88" s="64"/>
      <c r="AJ88" s="68"/>
      <c r="AK88" s="68">
        <v>0</v>
      </c>
      <c r="BB88" s="134" t="s">
        <v>1</v>
      </c>
      <c r="BM88" s="64">
        <f>IFERROR(X88*I88/H88,"0")</f>
        <v>29.182222222222226</v>
      </c>
      <c r="BN88" s="64">
        <f>IFERROR(Y88*I88/H88,"0")</f>
        <v>32.830000000000005</v>
      </c>
      <c r="BO88" s="64">
        <f>IFERROR(1/J88*(X88/H88),"0")</f>
        <v>4.7138047138047139E-2</v>
      </c>
      <c r="BP88" s="64">
        <f>IFERROR(1/J88*(Y88/H88),"0")</f>
        <v>5.3030303030303032E-2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6.2222222222222223</v>
      </c>
      <c r="Y89" s="555">
        <f>IFERROR(Y85/H85,"0")+IFERROR(Y86/H86,"0")+IFERROR(Y87/H87,"0")+IFERROR(Y88/H88,"0")</f>
        <v>7</v>
      </c>
      <c r="Z89" s="555">
        <f>IFERROR(IF(Z85="",0,Z85),"0")+IFERROR(IF(Z86="",0,Z86),"0")+IFERROR(IF(Z87="",0,Z87),"0")+IFERROR(IF(Z88="",0,Z88),"0")</f>
        <v>6.3140000000000002E-2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28</v>
      </c>
      <c r="Y90" s="555">
        <f>IFERROR(SUM(Y85:Y88),"0")</f>
        <v>31.5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180</v>
      </c>
      <c r="B92" s="54" t="s">
        <v>181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182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185</v>
      </c>
      <c r="B94" s="54" t="s">
        <v>186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96</v>
      </c>
      <c r="Y94" s="554">
        <f>IFERROR(IF(X94="",0,CEILING((X94/$H94),1)*$H94),"")</f>
        <v>97.2</v>
      </c>
      <c r="Z94" s="36">
        <f>IFERROR(IF(Y94=0,"",ROUNDUP(Y94/H94,0)*0.00651),"")</f>
        <v>0.23436000000000001</v>
      </c>
      <c r="AA94" s="56"/>
      <c r="AB94" s="57"/>
      <c r="AC94" s="139" t="s">
        <v>182</v>
      </c>
      <c r="AG94" s="64"/>
      <c r="AJ94" s="68"/>
      <c r="AK94" s="68">
        <v>0</v>
      </c>
      <c r="BB94" s="140" t="s">
        <v>1</v>
      </c>
      <c r="BM94" s="64">
        <f>IFERROR(X94*I94/H94,"0")</f>
        <v>104.96</v>
      </c>
      <c r="BN94" s="64">
        <f>IFERROR(Y94*I94/H94,"0")</f>
        <v>106.27199999999999</v>
      </c>
      <c r="BO94" s="64">
        <f>IFERROR(1/J94*(X94/H94),"0")</f>
        <v>0.19536019536019533</v>
      </c>
      <c r="BP94" s="64">
        <f>IFERROR(1/J94*(Y94/H94),"0")</f>
        <v>0.19780219780219782</v>
      </c>
    </row>
    <row r="95" spans="1:68" ht="16.5" customHeight="1" x14ac:dyDescent="0.25">
      <c r="A95" s="54" t="s">
        <v>187</v>
      </c>
      <c r="B95" s="54" t="s">
        <v>188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189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35.55555555555555</v>
      </c>
      <c r="Y96" s="555">
        <f>IFERROR(Y92/H92,"0")+IFERROR(Y93/H93,"0")+IFERROR(Y94/H94,"0")+IFERROR(Y95/H95,"0")</f>
        <v>36</v>
      </c>
      <c r="Z96" s="555">
        <f>IFERROR(IF(Z92="",0,Z92),"0")+IFERROR(IF(Z93="",0,Z93),"0")+IFERROR(IF(Z94="",0,Z94),"0")+IFERROR(IF(Z95="",0,Z95),"0")</f>
        <v>0.23436000000000001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96</v>
      </c>
      <c r="Y97" s="555">
        <f>IFERROR(SUM(Y92:Y95),"0")</f>
        <v>97.2</v>
      </c>
      <c r="Z97" s="37"/>
      <c r="AA97" s="556"/>
      <c r="AB97" s="556"/>
      <c r="AC97" s="556"/>
    </row>
    <row r="98" spans="1:68" ht="16.5" customHeight="1" x14ac:dyDescent="0.25">
      <c r="A98" s="567" t="s">
        <v>190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191</v>
      </c>
      <c r="B100" s="54" t="s">
        <v>192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193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194</v>
      </c>
      <c r="B101" s="54" t="s">
        <v>195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174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196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199</v>
      </c>
      <c r="B103" s="54" t="s">
        <v>200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201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69</v>
      </c>
      <c r="Y103" s="554">
        <f>IFERROR(IF(X103="",0,CEILING((X103/$H103),1)*$H103),"")</f>
        <v>72</v>
      </c>
      <c r="Z103" s="36">
        <f>IFERROR(IF(Y103=0,"",ROUNDUP(Y103/H103,0)*0.00902),"")</f>
        <v>0.14432</v>
      </c>
      <c r="AA103" s="56"/>
      <c r="AB103" s="57"/>
      <c r="AC103" s="149" t="s">
        <v>193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71.913333333333341</v>
      </c>
      <c r="BN103" s="64">
        <f>IFERROR(Y103*I103/H103,"0")</f>
        <v>75.040000000000006</v>
      </c>
      <c r="BO103" s="64">
        <f>IFERROR(1/J103*(X103/H103),"0")</f>
        <v>0.11616161616161617</v>
      </c>
      <c r="BP103" s="64">
        <f>IFERROR(1/J103*(Y103/H103),"0")</f>
        <v>0.12121212121212122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193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15.333333333333334</v>
      </c>
      <c r="Y105" s="555">
        <f>IFERROR(Y100/H100,"0")+IFERROR(Y101/H101,"0")+IFERROR(Y102/H102,"0")+IFERROR(Y103/H103,"0")+IFERROR(Y104/H104,"0")</f>
        <v>16</v>
      </c>
      <c r="Z105" s="555">
        <f>IFERROR(IF(Z100="",0,Z100),"0")+IFERROR(IF(Z101="",0,Z101),"0")+IFERROR(IF(Z102="",0,Z102),"0")+IFERROR(IF(Z103="",0,Z103),"0")+IFERROR(IF(Z104="",0,Z104),"0")</f>
        <v>0.14432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69</v>
      </c>
      <c r="Y106" s="555">
        <f>IFERROR(SUM(Y100:Y104),"0")</f>
        <v>72</v>
      </c>
      <c r="Z106" s="37"/>
      <c r="AA106" s="556"/>
      <c r="AB106" s="556"/>
      <c r="AC106" s="556"/>
    </row>
    <row r="107" spans="1:68" ht="14.25" customHeight="1" x14ac:dyDescent="0.25">
      <c r="A107" s="569" t="s">
        <v>136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15</v>
      </c>
      <c r="Y111" s="554">
        <f>IFERROR(IF(X111="",0,CEILING((X111/$H111),1)*$H111),"")</f>
        <v>16.8</v>
      </c>
      <c r="Z111" s="36">
        <f>IFERROR(IF(Y111=0,"",ROUNDUP(Y111/H111,0)*0.00651),"")</f>
        <v>4.5569999999999999E-2</v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16.125000000000004</v>
      </c>
      <c r="BN111" s="64">
        <f>IFERROR(Y111*I111/H111,"0")</f>
        <v>18.060000000000002</v>
      </c>
      <c r="BO111" s="64">
        <f>IFERROR(1/J111*(X111/H111),"0")</f>
        <v>3.4340659340659344E-2</v>
      </c>
      <c r="BP111" s="64">
        <f>IFERROR(1/J111*(Y111/H111),"0")</f>
        <v>3.8461538461538471E-2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6.25</v>
      </c>
      <c r="Y112" s="555">
        <f>IFERROR(Y108/H108,"0")+IFERROR(Y109/H109,"0")+IFERROR(Y110/H110,"0")+IFERROR(Y111/H111,"0")</f>
        <v>7.0000000000000009</v>
      </c>
      <c r="Z112" s="555">
        <f>IFERROR(IF(Z108="",0,Z108),"0")+IFERROR(IF(Z109="",0,Z109),"0")+IFERROR(IF(Z110="",0,Z110),"0")+IFERROR(IF(Z111="",0,Z111),"0")</f>
        <v>4.5569999999999999E-2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15</v>
      </c>
      <c r="Y113" s="555">
        <f>IFERROR(SUM(Y108:Y111),"0")</f>
        <v>16.8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104</v>
      </c>
      <c r="Y117" s="554">
        <f>IFERROR(IF(X117="",0,CEILING((X117/$H117),1)*$H117),"")</f>
        <v>105.30000000000001</v>
      </c>
      <c r="Z117" s="36">
        <f>IFERROR(IF(Y117=0,"",ROUNDUP(Y117/H117,0)*0.00651),"")</f>
        <v>0.25389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113.70666666666665</v>
      </c>
      <c r="BN117" s="64">
        <f>IFERROR(Y117*I117/H117,"0")</f>
        <v>115.12800000000001</v>
      </c>
      <c r="BO117" s="64">
        <f>IFERROR(1/J117*(X117/H117),"0")</f>
        <v>0.21164021164021166</v>
      </c>
      <c r="BP117" s="64">
        <f>IFERROR(1/J117*(Y117/H117),"0")</f>
        <v>0.2142857142857143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38.518518518518519</v>
      </c>
      <c r="Y119" s="555">
        <f>IFERROR(Y115/H115,"0")+IFERROR(Y116/H116,"0")+IFERROR(Y117/H117,"0")+IFERROR(Y118/H118,"0")</f>
        <v>39</v>
      </c>
      <c r="Z119" s="555">
        <f>IFERROR(IF(Z115="",0,Z115),"0")+IFERROR(IF(Z116="",0,Z116),"0")+IFERROR(IF(Z117="",0,Z117),"0")+IFERROR(IF(Z118="",0,Z118),"0")</f>
        <v>0.25389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104</v>
      </c>
      <c r="Y120" s="555">
        <f>IFERROR(SUM(Y115:Y118),"0")</f>
        <v>105.30000000000001</v>
      </c>
      <c r="Z120" s="37"/>
      <c r="AA120" s="556"/>
      <c r="AB120" s="556"/>
      <c r="AC120" s="556"/>
    </row>
    <row r="121" spans="1:68" ht="14.25" customHeight="1" x14ac:dyDescent="0.25">
      <c r="A121" s="569" t="s">
        <v>161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136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201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201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4</v>
      </c>
      <c r="Y171" s="554">
        <f t="shared" si="10"/>
        <v>4.2</v>
      </c>
      <c r="Z171" s="36">
        <f>IFERROR(IF(Y171=0,"",ROUNDUP(Y171/H171,0)*0.00902),"")</f>
        <v>9.0200000000000002E-3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4.1809523809523803</v>
      </c>
      <c r="BN171" s="64">
        <f t="shared" si="12"/>
        <v>4.3899999999999997</v>
      </c>
      <c r="BO171" s="64">
        <f t="shared" si="13"/>
        <v>7.215007215007215E-3</v>
      </c>
      <c r="BP171" s="64">
        <f t="shared" si="14"/>
        <v>7.575757575757576E-3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12</v>
      </c>
      <c r="Y173" s="554">
        <f t="shared" si="10"/>
        <v>12.600000000000001</v>
      </c>
      <c r="Z173" s="36">
        <f>IFERROR(IF(Y173=0,"",ROUNDUP(Y173/H173,0)*0.00502),"")</f>
        <v>3.0120000000000001E-2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12.742857142857142</v>
      </c>
      <c r="BN173" s="64">
        <f t="shared" si="12"/>
        <v>13.38</v>
      </c>
      <c r="BO173" s="64">
        <f t="shared" si="13"/>
        <v>2.4420024420024423E-2</v>
      </c>
      <c r="BP173" s="64">
        <f t="shared" si="14"/>
        <v>2.5641025641025644E-2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174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6.666666666666667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7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3.9140000000000001E-2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16</v>
      </c>
      <c r="Y182" s="555">
        <f>IFERROR(SUM(Y167:Y180),"0")</f>
        <v>16.8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136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201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201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35</v>
      </c>
      <c r="Y206" s="554">
        <f t="shared" si="15"/>
        <v>37.800000000000004</v>
      </c>
      <c r="Z206" s="36">
        <f>IFERROR(IF(Y206=0,"",ROUNDUP(Y206/H206,0)*0.00902),"")</f>
        <v>6.3140000000000002E-2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36.231481481481481</v>
      </c>
      <c r="BN206" s="64">
        <f t="shared" si="17"/>
        <v>39.130000000000003</v>
      </c>
      <c r="BO206" s="64">
        <f t="shared" si="18"/>
        <v>4.9102132435465767E-2</v>
      </c>
      <c r="BP206" s="64">
        <f t="shared" si="19"/>
        <v>5.3030303030303032E-2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201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1</v>
      </c>
      <c r="Y209" s="554">
        <f t="shared" si="15"/>
        <v>1.8</v>
      </c>
      <c r="Z209" s="36">
        <f>IFERROR(IF(Y209=0,"",ROUNDUP(Y209/H209,0)*0.00502),"")</f>
        <v>5.0200000000000002E-3</v>
      </c>
      <c r="AA209" s="56"/>
      <c r="AB209" s="57"/>
      <c r="AC209" s="255" t="s">
        <v>340</v>
      </c>
      <c r="AG209" s="64"/>
      <c r="AJ209" s="68"/>
      <c r="AK209" s="68">
        <v>0</v>
      </c>
      <c r="BB209" s="256" t="s">
        <v>1</v>
      </c>
      <c r="BM209" s="64">
        <f t="shared" si="16"/>
        <v>1.0722222222222222</v>
      </c>
      <c r="BN209" s="64">
        <f t="shared" si="17"/>
        <v>1.9299999999999997</v>
      </c>
      <c r="BO209" s="64">
        <f t="shared" si="18"/>
        <v>2.3741690408357078E-3</v>
      </c>
      <c r="BP209" s="64">
        <f t="shared" si="19"/>
        <v>4.2735042735042739E-3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7.0370370370370363</v>
      </c>
      <c r="Y213" s="555">
        <f>IFERROR(Y205/H205,"0")+IFERROR(Y206/H206,"0")+IFERROR(Y207/H207,"0")+IFERROR(Y208/H208,"0")+IFERROR(Y209/H209,"0")+IFERROR(Y210/H210,"0")+IFERROR(Y211/H211,"0")+IFERROR(Y212/H212,"0")</f>
        <v>8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6.8159999999999998E-2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36</v>
      </c>
      <c r="Y214" s="555">
        <f>IFERROR(SUM(Y205:Y212),"0")</f>
        <v>39.6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49</v>
      </c>
      <c r="Y216" s="554">
        <f t="shared" ref="Y216:Y224" si="20">IFERROR(IF(X216="",0,CEILING((X216/$H216),1)*$H216),"")</f>
        <v>56.699999999999996</v>
      </c>
      <c r="Z216" s="36">
        <f>IFERROR(IF(Y216=0,"",ROUNDUP(Y216/H216,0)*0.01898),"")</f>
        <v>0.13286000000000001</v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51.988395061728397</v>
      </c>
      <c r="BN216" s="64">
        <f t="shared" ref="BN216:BN224" si="22">IFERROR(Y216*I216/H216,"0")</f>
        <v>60.157999999999994</v>
      </c>
      <c r="BO216" s="64">
        <f t="shared" ref="BO216:BO224" si="23">IFERROR(1/J216*(X216/H216),"0")</f>
        <v>9.4521604938271608E-2</v>
      </c>
      <c r="BP216" s="64">
        <f t="shared" ref="BP216:BP224" si="24">IFERROR(1/J216*(Y216/H216),"0")</f>
        <v>0.109375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24</v>
      </c>
      <c r="Y219" s="554">
        <f t="shared" si="20"/>
        <v>24</v>
      </c>
      <c r="Z219" s="36">
        <f t="shared" ref="Z219:Z224" si="25">IFERROR(IF(Y219=0,"",ROUNDUP(Y219/H219,0)*0.00651),"")</f>
        <v>6.5100000000000005E-2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26.7</v>
      </c>
      <c r="BN219" s="64">
        <f t="shared" si="22"/>
        <v>26.7</v>
      </c>
      <c r="BO219" s="64">
        <f t="shared" si="23"/>
        <v>5.4945054945054951E-2</v>
      </c>
      <c r="BP219" s="64">
        <f t="shared" si="24"/>
        <v>5.4945054945054951E-2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108</v>
      </c>
      <c r="Y221" s="554">
        <f t="shared" si="20"/>
        <v>108</v>
      </c>
      <c r="Z221" s="36">
        <f t="shared" si="25"/>
        <v>0.29294999999999999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119.34</v>
      </c>
      <c r="BN221" s="64">
        <f t="shared" si="22"/>
        <v>119.34</v>
      </c>
      <c r="BO221" s="64">
        <f t="shared" si="23"/>
        <v>0.24725274725274726</v>
      </c>
      <c r="BP221" s="64">
        <f t="shared" si="24"/>
        <v>0.24725274725274726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222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99</v>
      </c>
      <c r="Y222" s="554">
        <f t="shared" si="20"/>
        <v>100.8</v>
      </c>
      <c r="Z222" s="36">
        <f t="shared" si="25"/>
        <v>0.27342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109.39500000000001</v>
      </c>
      <c r="BN222" s="64">
        <f t="shared" si="22"/>
        <v>111.384</v>
      </c>
      <c r="BO222" s="64">
        <f t="shared" si="23"/>
        <v>0.22664835164835168</v>
      </c>
      <c r="BP222" s="64">
        <f t="shared" si="24"/>
        <v>0.23076923076923078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139</v>
      </c>
      <c r="Y223" s="554">
        <f t="shared" si="20"/>
        <v>139.19999999999999</v>
      </c>
      <c r="Z223" s="36">
        <f t="shared" si="25"/>
        <v>0.37758000000000003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153.59500000000003</v>
      </c>
      <c r="BN223" s="64">
        <f t="shared" si="22"/>
        <v>153.816</v>
      </c>
      <c r="BO223" s="64">
        <f t="shared" si="23"/>
        <v>0.31822344322344326</v>
      </c>
      <c r="BP223" s="64">
        <f t="shared" si="24"/>
        <v>0.31868131868131871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72</v>
      </c>
      <c r="Y224" s="554">
        <f t="shared" si="20"/>
        <v>72</v>
      </c>
      <c r="Z224" s="36">
        <f t="shared" si="25"/>
        <v>0.1953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79.740000000000009</v>
      </c>
      <c r="BN224" s="64">
        <f t="shared" si="22"/>
        <v>79.740000000000009</v>
      </c>
      <c r="BO224" s="64">
        <f t="shared" si="23"/>
        <v>0.16483516483516486</v>
      </c>
      <c r="BP224" s="64">
        <f t="shared" si="24"/>
        <v>0.16483516483516486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190.21604938271605</v>
      </c>
      <c r="Y225" s="555">
        <f>IFERROR(Y216/H216,"0")+IFERROR(Y217/H217,"0")+IFERROR(Y218/H218,"0")+IFERROR(Y219/H219,"0")+IFERROR(Y220/H220,"0")+IFERROR(Y221/H221,"0")+IFERROR(Y222/H222,"0")+IFERROR(Y223/H223,"0")+IFERROR(Y224/H224,"0")</f>
        <v>192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1.33721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491</v>
      </c>
      <c r="Y226" s="555">
        <f>IFERROR(SUM(Y216:Y224),"0")</f>
        <v>500.7</v>
      </c>
      <c r="Z226" s="37"/>
      <c r="AA226" s="556"/>
      <c r="AB226" s="556"/>
      <c r="AC226" s="556"/>
    </row>
    <row r="227" spans="1:68" ht="14.25" customHeight="1" x14ac:dyDescent="0.25">
      <c r="A227" s="569" t="s">
        <v>161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136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1</v>
      </c>
      <c r="Y258" s="554">
        <f>IFERROR(IF(X258="",0,CEILING((X258/$H258),1)*$H258),"")</f>
        <v>1.98</v>
      </c>
      <c r="Z258" s="36">
        <f>IFERROR(IF(Y258=0,"",ROUNDUP(Y258/H258,0)*0.0059),"")</f>
        <v>1.18E-2</v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1.1919191919191918</v>
      </c>
      <c r="BN258" s="64">
        <f>IFERROR(Y258*I258/H258,"0")</f>
        <v>2.36</v>
      </c>
      <c r="BO258" s="64">
        <f>IFERROR(1/J258*(X258/H258),"0")</f>
        <v>4.6763935652824546E-3</v>
      </c>
      <c r="BP258" s="64">
        <f>IFERROR(1/J258*(Y258/H258),"0")</f>
        <v>9.2592592592592587E-3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1.0101010101010102</v>
      </c>
      <c r="Y259" s="555">
        <f>IFERROR(Y254/H254,"0")+IFERROR(Y255/H255,"0")+IFERROR(Y256/H256,"0")+IFERROR(Y257/H257,"0")+IFERROR(Y258/H258,"0")</f>
        <v>2</v>
      </c>
      <c r="Z259" s="555">
        <f>IFERROR(IF(Z254="",0,Z254),"0")+IFERROR(IF(Z255="",0,Z255),"0")+IFERROR(IF(Z256="",0,Z256),"0")+IFERROR(IF(Z257="",0,Z257),"0")+IFERROR(IF(Z258="",0,Z258),"0")</f>
        <v>1.18E-2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</v>
      </c>
      <c r="Y260" s="555">
        <f>IFERROR(SUM(Y254:Y258),"0")</f>
        <v>1.98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222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8</v>
      </c>
      <c r="Y311" s="554">
        <f t="shared" si="31"/>
        <v>9</v>
      </c>
      <c r="Z311" s="36">
        <f>IFERROR(IF(Y311=0,"",ROUNDUP(Y311/H311,0)*0.00651),"")</f>
        <v>3.2550000000000003E-2</v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9.0133333333333336</v>
      </c>
      <c r="BN311" s="64">
        <f t="shared" si="33"/>
        <v>10.139999999999999</v>
      </c>
      <c r="BO311" s="64">
        <f t="shared" si="34"/>
        <v>2.4420024420024423E-2</v>
      </c>
      <c r="BP311" s="64">
        <f t="shared" si="35"/>
        <v>2.7472527472527476E-2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4.4444444444444446</v>
      </c>
      <c r="Y312" s="555">
        <f>IFERROR(Y306/H306,"0")+IFERROR(Y307/H307,"0")+IFERROR(Y308/H308,"0")+IFERROR(Y309/H309,"0")+IFERROR(Y310/H310,"0")+IFERROR(Y311/H311,"0")</f>
        <v>5</v>
      </c>
      <c r="Z312" s="555">
        <f>IFERROR(IF(Z306="",0,Z306),"0")+IFERROR(IF(Z307="",0,Z307),"0")+IFERROR(IF(Z308="",0,Z308),"0")+IFERROR(IF(Z309="",0,Z309),"0")+IFERROR(IF(Z310="",0,Z310),"0")+IFERROR(IF(Z311="",0,Z311),"0")</f>
        <v>3.2550000000000003E-2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8</v>
      </c>
      <c r="Y313" s="555">
        <f>IFERROR(SUM(Y306:Y311),"0")</f>
        <v>9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161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13</v>
      </c>
      <c r="Y330" s="554">
        <f>IFERROR(IF(X330="",0,CEILING((X330/$H330),1)*$H330),"")</f>
        <v>15.299999999999999</v>
      </c>
      <c r="Z330" s="36">
        <f>IFERROR(IF(Y330=0,"",ROUNDUP(Y330/H330,0)*0.00651),"")</f>
        <v>3.9059999999999997E-2</v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15.064705882352943</v>
      </c>
      <c r="BN330" s="64">
        <f>IFERROR(Y330*I330/H330,"0")</f>
        <v>17.73</v>
      </c>
      <c r="BO330" s="64">
        <f>IFERROR(1/J330*(X330/H330),"0")</f>
        <v>2.8011204481792722E-2</v>
      </c>
      <c r="BP330" s="64">
        <f>IFERROR(1/J330*(Y330/H330),"0")</f>
        <v>3.2967032967032968E-2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15</v>
      </c>
      <c r="Y331" s="554">
        <f>IFERROR(IF(X331="",0,CEILING((X331/$H331),1)*$H331),"")</f>
        <v>15.299999999999999</v>
      </c>
      <c r="Z331" s="36">
        <f>IFERROR(IF(Y331=0,"",ROUNDUP(Y331/H331,0)*0.00651),"")</f>
        <v>3.9059999999999997E-2</v>
      </c>
      <c r="AA331" s="56"/>
      <c r="AB331" s="57"/>
      <c r="AC331" s="391" t="s">
        <v>532</v>
      </c>
      <c r="AG331" s="64"/>
      <c r="AJ331" s="68"/>
      <c r="AK331" s="68">
        <v>0</v>
      </c>
      <c r="BB331" s="392" t="s">
        <v>1</v>
      </c>
      <c r="BM331" s="64">
        <f>IFERROR(X331*I331/H331,"0")</f>
        <v>16.941176470588236</v>
      </c>
      <c r="BN331" s="64">
        <f>IFERROR(Y331*I331/H331,"0")</f>
        <v>17.279999999999998</v>
      </c>
      <c r="BO331" s="64">
        <f>IFERROR(1/J331*(X331/H331),"0")</f>
        <v>3.2320620555914677E-2</v>
      </c>
      <c r="BP331" s="64">
        <f>IFERROR(1/J331*(Y331/H331),"0")</f>
        <v>3.2967032967032968E-2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10.980392156862745</v>
      </c>
      <c r="Y332" s="555">
        <f>IFERROR(Y328/H328,"0")+IFERROR(Y329/H329,"0")+IFERROR(Y330/H330,"0")+IFERROR(Y331/H331,"0")</f>
        <v>12</v>
      </c>
      <c r="Z332" s="555">
        <f>IFERROR(IF(Z328="",0,Z328),"0")+IFERROR(IF(Z329="",0,Z329),"0")+IFERROR(IF(Z330="",0,Z330),"0")+IFERROR(IF(Z331="",0,Z331),"0")</f>
        <v>7.8119999999999995E-2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28</v>
      </c>
      <c r="Y333" s="555">
        <f>IFERROR(SUM(Y328:Y331),"0")</f>
        <v>30.599999999999998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164</v>
      </c>
      <c r="Y351" s="554">
        <f t="shared" si="36"/>
        <v>165</v>
      </c>
      <c r="Z351" s="36">
        <f>IFERROR(IF(Y351=0,"",ROUNDUP(Y351/H351,0)*0.02175),"")</f>
        <v>0.23924999999999999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169.13866666666667</v>
      </c>
      <c r="BN351" s="64">
        <f t="shared" si="38"/>
        <v>170.17000000000002</v>
      </c>
      <c r="BO351" s="64">
        <f t="shared" si="39"/>
        <v>0.22777777777777777</v>
      </c>
      <c r="BP351" s="64">
        <f t="shared" si="40"/>
        <v>0.22916666666666666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170</v>
      </c>
      <c r="Y353" s="554">
        <f t="shared" si="36"/>
        <v>180</v>
      </c>
      <c r="Z353" s="36">
        <f>IFERROR(IF(Y353=0,"",ROUNDUP(Y353/H353,0)*0.02175),"")</f>
        <v>0.26100000000000001</v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175.32666666666668</v>
      </c>
      <c r="BN353" s="64">
        <f t="shared" si="38"/>
        <v>185.64</v>
      </c>
      <c r="BO353" s="64">
        <f t="shared" si="39"/>
        <v>0.2361111111111111</v>
      </c>
      <c r="BP353" s="64">
        <f t="shared" si="40"/>
        <v>0.25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22.266666666666666</v>
      </c>
      <c r="Y357" s="555">
        <f>IFERROR(Y350/H350,"0")+IFERROR(Y351/H351,"0")+IFERROR(Y352/H352,"0")+IFERROR(Y353/H353,"0")+IFERROR(Y354/H354,"0")+IFERROR(Y355/H355,"0")+IFERROR(Y356/H356,"0")</f>
        <v>23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0.50024999999999997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334</v>
      </c>
      <c r="Y358" s="555">
        <f>IFERROR(SUM(Y350:Y356),"0")</f>
        <v>345</v>
      </c>
      <c r="Z358" s="37"/>
      <c r="AA358" s="556"/>
      <c r="AB358" s="556"/>
      <c r="AC358" s="556"/>
    </row>
    <row r="359" spans="1:68" ht="14.25" customHeight="1" x14ac:dyDescent="0.25">
      <c r="A359" s="569" t="s">
        <v>136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26</v>
      </c>
      <c r="Y366" s="554">
        <f>IFERROR(IF(X366="",0,CEILING((X366/$H366),1)*$H366),"")</f>
        <v>27</v>
      </c>
      <c r="Z366" s="36">
        <f>IFERROR(IF(Y366=0,"",ROUNDUP(Y366/H366,0)*0.01898),"")</f>
        <v>5.6940000000000004E-2</v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27.42711111111111</v>
      </c>
      <c r="BN366" s="64">
        <f>IFERROR(Y366*I366/H366,"0")</f>
        <v>28.481999999999996</v>
      </c>
      <c r="BO366" s="64">
        <f>IFERROR(1/J366*(X366/H366),"0")</f>
        <v>4.5138888888888888E-2</v>
      </c>
      <c r="BP366" s="64">
        <f>IFERROR(1/J366*(Y366/H366),"0")</f>
        <v>4.6875E-2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2.8888888888888888</v>
      </c>
      <c r="Y367" s="555">
        <f>IFERROR(Y365/H365,"0")+IFERROR(Y366/H366,"0")</f>
        <v>3</v>
      </c>
      <c r="Z367" s="555">
        <f>IFERROR(IF(Z365="",0,Z365),"0")+IFERROR(IF(Z366="",0,Z366),"0")</f>
        <v>5.6940000000000004E-2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26</v>
      </c>
      <c r="Y368" s="555">
        <f>IFERROR(SUM(Y365:Y366),"0")</f>
        <v>27</v>
      </c>
      <c r="Z368" s="37"/>
      <c r="AA368" s="556"/>
      <c r="AB368" s="556"/>
      <c r="AC368" s="556"/>
    </row>
    <row r="369" spans="1:68" ht="14.25" customHeight="1" x14ac:dyDescent="0.25">
      <c r="A369" s="569" t="s">
        <v>161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 t="s">
        <v>201</v>
      </c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 t="s">
        <v>108</v>
      </c>
      <c r="AK393" s="68">
        <v>64.8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136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 t="s">
        <v>201</v>
      </c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 t="s">
        <v>108</v>
      </c>
      <c r="AK415" s="68">
        <v>64.8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50</v>
      </c>
      <c r="Y429" s="554">
        <f t="shared" ref="Y429:Y440" si="47">IFERROR(IF(X429="",0,CEILING((X429/$H429),1)*$H429),"")</f>
        <v>52.800000000000004</v>
      </c>
      <c r="Z429" s="36">
        <f t="shared" ref="Z429:Z435" si="48">IFERROR(IF(Y429=0,"",ROUNDUP(Y429/H429,0)*0.01196),"")</f>
        <v>0.1196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53.314393939393938</v>
      </c>
      <c r="BN429" s="64">
        <f t="shared" ref="BN429:BN440" si="50">IFERROR(Y429*I429/H429,"0")</f>
        <v>56.3</v>
      </c>
      <c r="BO429" s="64">
        <f t="shared" ref="BO429:BO440" si="51">IFERROR(1/J429*(X429/H429),"0")</f>
        <v>9.1054778554778545E-2</v>
      </c>
      <c r="BP429" s="64">
        <f t="shared" ref="BP429:BP440" si="52">IFERROR(1/J429*(Y429/H429),"0")</f>
        <v>9.6153846153846159E-2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39</v>
      </c>
      <c r="Y432" s="554">
        <f t="shared" si="47"/>
        <v>42.24</v>
      </c>
      <c r="Z432" s="36">
        <f t="shared" si="48"/>
        <v>9.5680000000000001E-2</v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41.585227272727266</v>
      </c>
      <c r="BN432" s="64">
        <f t="shared" si="50"/>
        <v>45.04</v>
      </c>
      <c r="BO432" s="64">
        <f t="shared" si="51"/>
        <v>7.1022727272727265E-2</v>
      </c>
      <c r="BP432" s="64">
        <f t="shared" si="52"/>
        <v>7.6923076923076927E-2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52</v>
      </c>
      <c r="Y433" s="554">
        <f t="shared" si="47"/>
        <v>52.800000000000004</v>
      </c>
      <c r="Z433" s="36">
        <f t="shared" si="48"/>
        <v>0.1196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55.446969696969695</v>
      </c>
      <c r="BN433" s="64">
        <f t="shared" si="50"/>
        <v>56.3</v>
      </c>
      <c r="BO433" s="64">
        <f t="shared" si="51"/>
        <v>9.4696969696969696E-2</v>
      </c>
      <c r="BP433" s="64">
        <f t="shared" si="52"/>
        <v>9.6153846153846159E-2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204</v>
      </c>
      <c r="Y435" s="554">
        <f t="shared" si="47"/>
        <v>205.92000000000002</v>
      </c>
      <c r="Z435" s="36">
        <f t="shared" si="48"/>
        <v>0.46644000000000002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217.52272727272725</v>
      </c>
      <c r="BN435" s="64">
        <f t="shared" si="50"/>
        <v>219.57</v>
      </c>
      <c r="BO435" s="64">
        <f t="shared" si="51"/>
        <v>0.37150349650349651</v>
      </c>
      <c r="BP435" s="64">
        <f t="shared" si="52"/>
        <v>0.375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65.340909090909093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67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0.80132000000000003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345</v>
      </c>
      <c r="Y442" s="555">
        <f>IFERROR(SUM(Y429:Y440),"0")</f>
        <v>353.76</v>
      </c>
      <c r="Z442" s="37"/>
      <c r="AA442" s="556"/>
      <c r="AB442" s="556"/>
      <c r="AC442" s="556"/>
    </row>
    <row r="443" spans="1:68" ht="14.25" customHeight="1" x14ac:dyDescent="0.25">
      <c r="A443" s="569" t="s">
        <v>136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127</v>
      </c>
      <c r="Y450" s="554">
        <f t="shared" ref="Y450:Y455" si="53">IFERROR(IF(X450="",0,CEILING((X450/$H450),1)*$H450),"")</f>
        <v>132</v>
      </c>
      <c r="Z450" s="36">
        <f>IFERROR(IF(Y450=0,"",ROUNDUP(Y450/H450,0)*0.01196),"")</f>
        <v>0.29899999999999999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135.41856060606059</v>
      </c>
      <c r="BN450" s="64">
        <f t="shared" ref="BN450:BN455" si="55">IFERROR(Y450*I450/H450,"0")</f>
        <v>140.75</v>
      </c>
      <c r="BO450" s="64">
        <f t="shared" ref="BO450:BO455" si="56">IFERROR(1/J450*(X450/H450),"0")</f>
        <v>0.23127913752913754</v>
      </c>
      <c r="BP450" s="64">
        <f t="shared" ref="BP450:BP455" si="57">IFERROR(1/J450*(Y450/H450),"0")</f>
        <v>0.24038461538461539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80</v>
      </c>
      <c r="Y451" s="554">
        <f t="shared" si="53"/>
        <v>84.48</v>
      </c>
      <c r="Z451" s="36">
        <f>IFERROR(IF(Y451=0,"",ROUNDUP(Y451/H451,0)*0.01196),"")</f>
        <v>0.19136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85.303030303030297</v>
      </c>
      <c r="BN451" s="64">
        <f t="shared" si="55"/>
        <v>90.08</v>
      </c>
      <c r="BO451" s="64">
        <f t="shared" si="56"/>
        <v>0.14568764568764569</v>
      </c>
      <c r="BP451" s="64">
        <f t="shared" si="57"/>
        <v>0.15384615384615385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47</v>
      </c>
      <c r="Y452" s="554">
        <f t="shared" si="53"/>
        <v>47.52</v>
      </c>
      <c r="Z452" s="36">
        <f>IFERROR(IF(Y452=0,"",ROUNDUP(Y452/H452,0)*0.01196),"")</f>
        <v>0.10764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50.115530303030305</v>
      </c>
      <c r="BN452" s="64">
        <f t="shared" si="55"/>
        <v>50.669999999999995</v>
      </c>
      <c r="BO452" s="64">
        <f t="shared" si="56"/>
        <v>8.559149184149184E-2</v>
      </c>
      <c r="BP452" s="64">
        <f t="shared" si="57"/>
        <v>8.6538461538461536E-2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48.106060606060602</v>
      </c>
      <c r="Y456" s="555">
        <f>IFERROR(Y450/H450,"0")+IFERROR(Y451/H451,"0")+IFERROR(Y452/H452,"0")+IFERROR(Y453/H453,"0")+IFERROR(Y454/H454,"0")+IFERROR(Y455/H455,"0")</f>
        <v>50</v>
      </c>
      <c r="Z456" s="555">
        <f>IFERROR(IF(Z450="",0,Z450),"0")+IFERROR(IF(Z451="",0,Z451),"0")+IFERROR(IF(Z452="",0,Z452),"0")+IFERROR(IF(Z453="",0,Z453),"0")+IFERROR(IF(Z454="",0,Z454),"0")+IFERROR(IF(Z455="",0,Z455),"0")</f>
        <v>0.59799999999999998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254</v>
      </c>
      <c r="Y457" s="555">
        <f>IFERROR(SUM(Y450:Y455),"0")</f>
        <v>264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136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20</v>
      </c>
      <c r="Y482" s="554">
        <f>IFERROR(IF(X482="",0,CEILING((X482/$H482),1)*$H482),"")</f>
        <v>27</v>
      </c>
      <c r="Z482" s="36">
        <f>IFERROR(IF(Y482=0,"",ROUNDUP(Y482/H482,0)*0.01898),"")</f>
        <v>5.6940000000000004E-2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21.097777777777779</v>
      </c>
      <c r="BN482" s="64">
        <f>IFERROR(Y482*I482/H482,"0")</f>
        <v>28.481999999999996</v>
      </c>
      <c r="BO482" s="64">
        <f>IFERROR(1/J482*(X482/H482),"0")</f>
        <v>3.4722222222222224E-2</v>
      </c>
      <c r="BP482" s="64">
        <f>IFERROR(1/J482*(Y482/H482),"0")</f>
        <v>4.6875E-2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2.2222222222222223</v>
      </c>
      <c r="Y483" s="555">
        <f>IFERROR(Y482/H482,"0")</f>
        <v>3</v>
      </c>
      <c r="Z483" s="555">
        <f>IFERROR(IF(Z482="",0,Z482),"0")</f>
        <v>5.6940000000000004E-2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20</v>
      </c>
      <c r="Y484" s="555">
        <f>IFERROR(SUM(Y482:Y482),"0")</f>
        <v>27</v>
      </c>
      <c r="Z484" s="37"/>
      <c r="AA484" s="556"/>
      <c r="AB484" s="556"/>
      <c r="AC484" s="556"/>
    </row>
    <row r="485" spans="1:68" ht="14.25" customHeight="1" x14ac:dyDescent="0.25">
      <c r="A485" s="569" t="s">
        <v>161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136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1952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2021.5400000000002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2089.0835296084219</v>
      </c>
      <c r="Y496" s="555">
        <f>IFERROR(SUM(BN22:BN492),"0")</f>
        <v>2163.0020000000004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4</v>
      </c>
      <c r="Y497" s="38">
        <f>ROUNDUP(SUM(BP22:BP492),0)</f>
        <v>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2189.0835296084219</v>
      </c>
      <c r="Y498" s="555">
        <f>GrossWeightTotalR+PalletQtyTotalR*25</f>
        <v>2263.0020000000004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473.57958832272556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488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4.4806900000000001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117</v>
      </c>
      <c r="E503" s="598" t="s">
        <v>168</v>
      </c>
      <c r="F503" s="598" t="s">
        <v>190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18.5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64.800000000000011</v>
      </c>
      <c r="E505" s="46">
        <f>IFERROR(Y85*1,"0")+IFERROR(Y86*1,"0")+IFERROR(Y87*1,"0")+IFERROR(Y88*1,"0")+IFERROR(Y92*1,"0")+IFERROR(Y93*1,"0")+IFERROR(Y94*1,"0")+IFERROR(Y95*1,"0")</f>
        <v>128.69999999999999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194.10000000000002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16.8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540.29999999999995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1.98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39.599999999999994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372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617.76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27</v>
      </c>
      <c r="Z505" s="46">
        <f>IFERROR(Y492*1,"0")</f>
        <v>0</v>
      </c>
      <c r="AB505" s="52"/>
      <c r="AC505" s="52"/>
      <c r="AF505" s="551"/>
    </row>
  </sheetData>
  <sheetProtection algorithmName="SHA-512" hashValue="6jJLVR9Kh3xkPeOjX9tI0ECkwRW+QVtdgqDKqI1ZpQoXVz8JjHAmGUOiLzYyxB/TVjzKo0TWSo3oxPZmiXiGtA==" saltValue="tvhr3l2hPHTKT/bzG7FOE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85 X92 X100 X103 X115 X117 X169 X171 X173 X205:X206 X208 X219 X221:X224 X281:X282 X323 X350:X351 X353 X360 X385 X393 X415 X433 X435 X444 X450:X452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irhARvDOmEDhYt2jKtuBONf/mh7oA6BfKTQBjT0hSP5OeZ/POQXKwI4umYDz1w5//Wi5B1imRo653gbFCNcvpQ==" saltValue="dQD4P7UdeeFqgr6FQD3X2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2026-01-09T07:14:41Z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