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E01E033-DB0B-4CFD-9DB4-D3B10CFFD7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Y214" i="1" s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Y154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3" i="1" l="1"/>
  <c r="Y37" i="1"/>
  <c r="Y58" i="1"/>
  <c r="BP95" i="1"/>
  <c r="BN95" i="1"/>
  <c r="Z95" i="1"/>
  <c r="Y97" i="1"/>
  <c r="BP104" i="1"/>
  <c r="BN104" i="1"/>
  <c r="Z104" i="1"/>
  <c r="Y113" i="1"/>
  <c r="BP108" i="1"/>
  <c r="BN108" i="1"/>
  <c r="Z108" i="1"/>
  <c r="BP116" i="1"/>
  <c r="BN116" i="1"/>
  <c r="Z116" i="1"/>
  <c r="Z119" i="1" s="1"/>
  <c r="Y140" i="1"/>
  <c r="BP137" i="1"/>
  <c r="BN137" i="1"/>
  <c r="Z137" i="1"/>
  <c r="Z139" i="1" s="1"/>
  <c r="Y181" i="1"/>
  <c r="BP167" i="1"/>
  <c r="BN167" i="1"/>
  <c r="Z167" i="1"/>
  <c r="BP170" i="1"/>
  <c r="BN170" i="1"/>
  <c r="Z170" i="1"/>
  <c r="BP178" i="1"/>
  <c r="BN178" i="1"/>
  <c r="Z178" i="1"/>
  <c r="BP186" i="1"/>
  <c r="BN186" i="1"/>
  <c r="Z186" i="1"/>
  <c r="Y191" i="1"/>
  <c r="BP190" i="1"/>
  <c r="BN190" i="1"/>
  <c r="Z190" i="1"/>
  <c r="Z191" i="1" s="1"/>
  <c r="Y192" i="1"/>
  <c r="BP212" i="1"/>
  <c r="BN212" i="1"/>
  <c r="Z212" i="1"/>
  <c r="Y231" i="1"/>
  <c r="BP228" i="1"/>
  <c r="BN228" i="1"/>
  <c r="Z228" i="1"/>
  <c r="Z230" i="1" s="1"/>
  <c r="Y230" i="1"/>
  <c r="Y25" i="1"/>
  <c r="Y45" i="1"/>
  <c r="Y49" i="1"/>
  <c r="Y64" i="1"/>
  <c r="BP74" i="1"/>
  <c r="BN74" i="1"/>
  <c r="Z74" i="1"/>
  <c r="BP87" i="1"/>
  <c r="BN87" i="1"/>
  <c r="Z87" i="1"/>
  <c r="F505" i="1"/>
  <c r="Y105" i="1"/>
  <c r="BP100" i="1"/>
  <c r="BN100" i="1"/>
  <c r="Z100" i="1"/>
  <c r="Y106" i="1"/>
  <c r="Y112" i="1"/>
  <c r="BP133" i="1"/>
  <c r="BN133" i="1"/>
  <c r="Z133" i="1"/>
  <c r="Z134" i="1" s="1"/>
  <c r="Y135" i="1"/>
  <c r="BP150" i="1"/>
  <c r="BN150" i="1"/>
  <c r="Z150" i="1"/>
  <c r="BP174" i="1"/>
  <c r="BN174" i="1"/>
  <c r="Z174" i="1"/>
  <c r="Y188" i="1"/>
  <c r="J505" i="1"/>
  <c r="Y198" i="1"/>
  <c r="BP195" i="1"/>
  <c r="BN195" i="1"/>
  <c r="Z195" i="1"/>
  <c r="Z197" i="1" s="1"/>
  <c r="BP208" i="1"/>
  <c r="BN208" i="1"/>
  <c r="Z208" i="1"/>
  <c r="Y225" i="1"/>
  <c r="BP216" i="1"/>
  <c r="BN216" i="1"/>
  <c r="Z216" i="1"/>
  <c r="BP220" i="1"/>
  <c r="BN220" i="1"/>
  <c r="Z220" i="1"/>
  <c r="BP224" i="1"/>
  <c r="BN224" i="1"/>
  <c r="Z224" i="1"/>
  <c r="Y226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498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02" i="1" l="1"/>
  <c r="Z213" i="1"/>
  <c r="Z312" i="1"/>
  <c r="Z303" i="1"/>
  <c r="Z283" i="1"/>
  <c r="Z105" i="1"/>
  <c r="Y495" i="1"/>
  <c r="Z112" i="1"/>
  <c r="Z441" i="1"/>
  <c r="Z469" i="1"/>
  <c r="Z325" i="1"/>
  <c r="Z154" i="1"/>
  <c r="Z44" i="1"/>
  <c r="Z32" i="1"/>
  <c r="Z500" i="1" s="1"/>
  <c r="Y499" i="1"/>
  <c r="X498" i="1"/>
  <c r="Z225" i="1"/>
  <c r="Z181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<sst xmlns="http://schemas.openxmlformats.org/spreadsheetml/2006/main" count="2320" uniqueCount="781">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</sst>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8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523</v>
      </c>
      <c r="Y41" s="554">
        <f>IFERROR(IF(X41="",0,CEILING((X41/$H41),1)*$H41),"")</f>
        <v>529.20000000000005</v>
      </c>
      <c r="Z41" s="36">
        <f>IFERROR(IF(Y41=0,"",ROUNDUP(Y41/H41,0)*0.01898),"")</f>
        <v>0.93002000000000007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542.8546296296297</v>
      </c>
      <c r="BN41" s="64">
        <f>IFERROR(Y41*I41/H41,"0")</f>
        <v>549.29000000000008</v>
      </c>
      <c r="BO41" s="64">
        <f>IFERROR(1/J41*(X41/H41),"0")</f>
        <v>0.75665509259259256</v>
      </c>
      <c r="BP41" s="64">
        <f>IFERROR(1/J41*(Y41/H41),"0")</f>
        <v>0.765625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48.425925925925924</v>
      </c>
      <c r="Y44" s="555">
        <f>IFERROR(Y41/H41,"0")+IFERROR(Y42/H42,"0")+IFERROR(Y43/H43,"0")</f>
        <v>49</v>
      </c>
      <c r="Z44" s="555">
        <f>IFERROR(IF(Z41="",0,Z41),"0")+IFERROR(IF(Z42="",0,Z42),"0")+IFERROR(IF(Z43="",0,Z43),"0")</f>
        <v>0.93002000000000007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523</v>
      </c>
      <c r="Y45" s="555">
        <f>IFERROR(SUM(Y41:Y43),"0")</f>
        <v>529.20000000000005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4</v>
      </c>
      <c r="Y52" s="554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4.1464285714285714</v>
      </c>
      <c r="BN52" s="64">
        <f t="shared" ref="BN52:BN57" si="2">IFERROR(Y52*I52/H52,"0")</f>
        <v>11.61</v>
      </c>
      <c r="BO52" s="64">
        <f t="shared" ref="BO52:BO57" si="3">IFERROR(1/J52*(X52/H52),"0")</f>
        <v>5.580357142857143E-3</v>
      </c>
      <c r="BP52" s="64">
        <f t="shared" ref="BP52:BP57" si="4">IFERROR(1/J52*(Y52/H52),"0")</f>
        <v>1.5625E-2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110</v>
      </c>
      <c r="Y53" s="554">
        <f t="shared" si="0"/>
        <v>118.80000000000001</v>
      </c>
      <c r="Z53" s="36">
        <f>IFERROR(IF(Y53=0,"",ROUNDUP(Y53/H53,0)*0.01898),"")</f>
        <v>0.20877999999999999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114.17592592592594</v>
      </c>
      <c r="BN53" s="64">
        <f t="shared" si="2"/>
        <v>123.31000000000002</v>
      </c>
      <c r="BO53" s="64">
        <f t="shared" si="3"/>
        <v>0.15914351851851852</v>
      </c>
      <c r="BP53" s="64">
        <f t="shared" si="4"/>
        <v>0.171875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10.542328042328043</v>
      </c>
      <c r="Y58" s="555">
        <f>IFERROR(Y52/H52,"0")+IFERROR(Y53/H53,"0")+IFERROR(Y54/H54,"0")+IFERROR(Y55/H55,"0")+IFERROR(Y56/H56,"0")+IFERROR(Y57/H57,"0")</f>
        <v>12</v>
      </c>
      <c r="Z58" s="555">
        <f>IFERROR(IF(Z52="",0,Z52),"0")+IFERROR(IF(Z53="",0,Z53),"0")+IFERROR(IF(Z54="",0,Z54),"0")+IFERROR(IF(Z55="",0,Z55),"0")+IFERROR(IF(Z56="",0,Z56),"0")+IFERROR(IF(Z57="",0,Z57),"0")</f>
        <v>0.22775999999999999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114</v>
      </c>
      <c r="Y59" s="555">
        <f>IFERROR(SUM(Y52:Y57),"0")</f>
        <v>130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27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28.024999999999999</v>
      </c>
      <c r="BN61" s="64">
        <f>IFERROR(Y61*I61/H61,"0")</f>
        <v>33.630000000000003</v>
      </c>
      <c r="BO61" s="64">
        <f>IFERROR(1/J61*(X61/H61),"0")</f>
        <v>3.90625E-2</v>
      </c>
      <c r="BP61" s="64">
        <f>IFERROR(1/J61*(Y61/H61),"0")</f>
        <v>4.6875000000000007E-2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2.5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27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21</v>
      </c>
      <c r="Y79" s="554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22.103846153846156</v>
      </c>
      <c r="BN79" s="64">
        <f>IFERROR(Y79*I79/H79,"0")</f>
        <v>24.630000000000003</v>
      </c>
      <c r="BO79" s="64">
        <f>IFERROR(1/J79*(X79/H79),"0")</f>
        <v>4.2067307692307696E-2</v>
      </c>
      <c r="BP79" s="64">
        <f>IFERROR(1/J79*(Y79/H79),"0")</f>
        <v>4.6875E-2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2.6923076923076925</v>
      </c>
      <c r="Y81" s="555">
        <f>IFERROR(Y79/H79,"0")+IFERROR(Y80/H80,"0")</f>
        <v>3</v>
      </c>
      <c r="Z81" s="555">
        <f>IFERROR(IF(Z79="",0,Z79),"0")+IFERROR(IF(Z80="",0,Z80),"0")</f>
        <v>5.6940000000000004E-2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21</v>
      </c>
      <c r="Y82" s="555">
        <f>IFERROR(SUM(Y79:Y80),"0")</f>
        <v>23.4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125</v>
      </c>
      <c r="Y85" s="554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129.74537037037035</v>
      </c>
      <c r="BN85" s="64">
        <f>IFERROR(Y85*I85/H85,"0")</f>
        <v>134.52000000000001</v>
      </c>
      <c r="BO85" s="64">
        <f>IFERROR(1/J85*(X85/H85),"0")</f>
        <v>0.18084490740740738</v>
      </c>
      <c r="BP85" s="64">
        <f>IFERROR(1/J85*(Y85/H85),"0")</f>
        <v>0.18750000000000003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11.574074074074073</v>
      </c>
      <c r="Y89" s="555">
        <f>IFERROR(Y85/H85,"0")+IFERROR(Y86/H86,"0")+IFERROR(Y87/H87,"0")+IFERROR(Y88/H88,"0")</f>
        <v>12.000000000000002</v>
      </c>
      <c r="Z89" s="555">
        <f>IFERROR(IF(Z85="",0,Z85),"0")+IFERROR(IF(Z86="",0,Z86),"0")+IFERROR(IF(Z87="",0,Z87),"0")+IFERROR(IF(Z88="",0,Z88),"0")</f>
        <v>0.22776000000000002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125</v>
      </c>
      <c r="Y90" s="555">
        <f>IFERROR(SUM(Y85:Y88),"0")</f>
        <v>129.60000000000002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67.903209876543215</v>
      </c>
      <c r="BN92" s="64">
        <f>IFERROR(Y92*I92/H92,"0")</f>
        <v>68.751999999999995</v>
      </c>
      <c r="BO92" s="64">
        <f>IFERROR(1/J92*(X92/H92),"0")</f>
        <v>0.1234567901234568</v>
      </c>
      <c r="BP92" s="64">
        <f>IFERROR(1/J92*(Y92/H92),"0")</f>
        <v>0.125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387</v>
      </c>
      <c r="Y94" s="554">
        <f>IFERROR(IF(X94="",0,CEILING((X94/$H94),1)*$H94),"")</f>
        <v>388.8</v>
      </c>
      <c r="Z94" s="36">
        <f>IFERROR(IF(Y94=0,"",ROUNDUP(Y94/H94,0)*0.00651),"")</f>
        <v>0.93744000000000005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423.11999999999995</v>
      </c>
      <c r="BN94" s="64">
        <f>IFERROR(Y94*I94/H94,"0")</f>
        <v>425.08799999999997</v>
      </c>
      <c r="BO94" s="64">
        <f>IFERROR(1/J94*(X94/H94),"0")</f>
        <v>0.78754578754578752</v>
      </c>
      <c r="BP94" s="64">
        <f>IFERROR(1/J94*(Y94/H94),"0")</f>
        <v>0.79120879120879128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151.23456790123456</v>
      </c>
      <c r="Y96" s="555">
        <f>IFERROR(Y92/H92,"0")+IFERROR(Y93/H93,"0")+IFERROR(Y94/H94,"0")+IFERROR(Y95/H95,"0")</f>
        <v>152</v>
      </c>
      <c r="Z96" s="555">
        <f>IFERROR(IF(Z92="",0,Z92),"0")+IFERROR(IF(Z93="",0,Z93),"0")+IFERROR(IF(Z94="",0,Z94),"0")+IFERROR(IF(Z95="",0,Z95),"0")</f>
        <v>1.08928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451</v>
      </c>
      <c r="Y97" s="555">
        <f>IFERROR(SUM(Y92:Y95),"0")</f>
        <v>453.6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585</v>
      </c>
      <c r="Y100" s="554">
        <f>IFERROR(IF(X100="",0,CEILING((X100/$H100),1)*$H100),"")</f>
        <v>594</v>
      </c>
      <c r="Z100" s="36">
        <f>IFERROR(IF(Y100=0,"",ROUNDUP(Y100/H100,0)*0.01898),"")</f>
        <v>1.0439000000000001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607.20833333333337</v>
      </c>
      <c r="BN100" s="64">
        <f>IFERROR(Y100*I100/H100,"0")</f>
        <v>616.55000000000007</v>
      </c>
      <c r="BO100" s="64">
        <f>IFERROR(1/J100*(X100/H100),"0")</f>
        <v>0.84635416666666663</v>
      </c>
      <c r="BP100" s="64">
        <f>IFERROR(1/J100*(Y100/H100),"0")</f>
        <v>0.85937499999999989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83</v>
      </c>
      <c r="Y103" s="554">
        <f>IFERROR(IF(X103="",0,CEILING((X103/$H103),1)*$H103),"")</f>
        <v>85.5</v>
      </c>
      <c r="Z103" s="36">
        <f>IFERROR(IF(Y103=0,"",ROUNDUP(Y103/H103,0)*0.00902),"")</f>
        <v>0.17138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86.504444444444459</v>
      </c>
      <c r="BN103" s="64">
        <f>IFERROR(Y103*I103/H103,"0")</f>
        <v>89.110000000000014</v>
      </c>
      <c r="BO103" s="64">
        <f>IFERROR(1/J103*(X103/H103),"0")</f>
        <v>0.13973063973063973</v>
      </c>
      <c r="BP103" s="64">
        <f>IFERROR(1/J103*(Y103/H103),"0")</f>
        <v>0.14393939393939395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72.611111111111114</v>
      </c>
      <c r="Y105" s="555">
        <f>IFERROR(Y100/H100,"0")+IFERROR(Y101/H101,"0")+IFERROR(Y102/H102,"0")+IFERROR(Y103/H103,"0")+IFERROR(Y104/H104,"0")</f>
        <v>74</v>
      </c>
      <c r="Z105" s="555">
        <f>IFERROR(IF(Z100="",0,Z100),"0")+IFERROR(IF(Z101="",0,Z101),"0")+IFERROR(IF(Z102="",0,Z102),"0")+IFERROR(IF(Z103="",0,Z103),"0")+IFERROR(IF(Z104="",0,Z104),"0")</f>
        <v>1.2152800000000001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668</v>
      </c>
      <c r="Y106" s="555">
        <f>IFERROR(SUM(Y100:Y104),"0")</f>
        <v>679.5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173</v>
      </c>
      <c r="Y115" s="554">
        <f>IFERROR(IF(X115="",0,CEILING((X115/$H115),1)*$H115),"")</f>
        <v>178.2</v>
      </c>
      <c r="Z115" s="36">
        <f>IFERROR(IF(Y115=0,"",ROUNDUP(Y115/H115,0)*0.01898),"")</f>
        <v>0.41755999999999999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183.42271604938273</v>
      </c>
      <c r="BN115" s="64">
        <f>IFERROR(Y115*I115/H115,"0")</f>
        <v>188.93599999999998</v>
      </c>
      <c r="BO115" s="64">
        <f>IFERROR(1/J115*(X115/H115),"0")</f>
        <v>0.33371913580246915</v>
      </c>
      <c r="BP115" s="64">
        <f>IFERROR(1/J115*(Y115/H115),"0")</f>
        <v>0.34375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589</v>
      </c>
      <c r="Y117" s="554">
        <f>IFERROR(IF(X117="",0,CEILING((X117/$H117),1)*$H117),"")</f>
        <v>591.30000000000007</v>
      </c>
      <c r="Z117" s="36">
        <f>IFERROR(IF(Y117=0,"",ROUNDUP(Y117/H117,0)*0.00651),"")</f>
        <v>1.4256900000000001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643.97333333333336</v>
      </c>
      <c r="BN117" s="64">
        <f>IFERROR(Y117*I117/H117,"0")</f>
        <v>646.48800000000006</v>
      </c>
      <c r="BO117" s="64">
        <f>IFERROR(1/J117*(X117/H117),"0")</f>
        <v>1.1986161986161985</v>
      </c>
      <c r="BP117" s="64">
        <f>IFERROR(1/J117*(Y117/H117),"0")</f>
        <v>1.2032967032967035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239.50617283950615</v>
      </c>
      <c r="Y119" s="555">
        <f>IFERROR(Y115/H115,"0")+IFERROR(Y116/H116,"0")+IFERROR(Y117/H117,"0")+IFERROR(Y118/H118,"0")</f>
        <v>241</v>
      </c>
      <c r="Z119" s="555">
        <f>IFERROR(IF(Z115="",0,Z115),"0")+IFERROR(IF(Z116="",0,Z116),"0")+IFERROR(IF(Z117="",0,Z117),"0")+IFERROR(IF(Z118="",0,Z118),"0")</f>
        <v>1.8432500000000001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762</v>
      </c>
      <c r="Y120" s="555">
        <f>IFERROR(SUM(Y115:Y118),"0")</f>
        <v>769.5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15</v>
      </c>
      <c r="Y173" s="554">
        <f t="shared" si="10"/>
        <v>16.8</v>
      </c>
      <c r="Z173" s="36">
        <f>IFERROR(IF(Y173=0,"",ROUNDUP(Y173/H173,0)*0.00502),"")</f>
        <v>4.0160000000000001E-2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15.928571428571429</v>
      </c>
      <c r="BN173" s="64">
        <f t="shared" si="12"/>
        <v>17.84</v>
      </c>
      <c r="BO173" s="64">
        <f t="shared" si="13"/>
        <v>3.0525030525030528E-2</v>
      </c>
      <c r="BP173" s="64">
        <f t="shared" si="14"/>
        <v>3.4188034188034191E-2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525</v>
      </c>
      <c r="Y178" s="554">
        <f t="shared" si="10"/>
        <v>525</v>
      </c>
      <c r="Z178" s="36">
        <f>IFERROR(IF(Y178=0,"",ROUNDUP(Y178/H178,0)*0.00502),"")</f>
        <v>1.2550000000000001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550</v>
      </c>
      <c r="BN178" s="64">
        <f t="shared" si="12"/>
        <v>550</v>
      </c>
      <c r="BO178" s="64">
        <f t="shared" si="13"/>
        <v>1.0683760683760686</v>
      </c>
      <c r="BP178" s="64">
        <f t="shared" si="14"/>
        <v>1.0683760683760686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257.14285714285717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258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1.2951600000000001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540</v>
      </c>
      <c r="Y182" s="555">
        <f>IFERROR(SUM(Y167:Y180),"0")</f>
        <v>541.79999999999995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4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4.6031746031746028</v>
      </c>
      <c r="BN185" s="64">
        <f>IFERROR(Y185*I185/H185,"0")</f>
        <v>5.8</v>
      </c>
      <c r="BO185" s="64">
        <f>IFERROR(1/J185*(X185/H185),"0")</f>
        <v>1.469723691945914E-2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6</v>
      </c>
      <c r="Y186" s="554">
        <f>IFERROR(IF(X186="",0,CEILING((X186/$H186),1)*$H186),"")</f>
        <v>6.3</v>
      </c>
      <c r="Z186" s="36">
        <f>IFERROR(IF(Y186=0,"",ROUNDUP(Y186/H186,0)*0.0059),"")</f>
        <v>2.9499999999999998E-2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6.9047619047619042</v>
      </c>
      <c r="BN186" s="64">
        <f>IFERROR(Y186*I186/H186,"0")</f>
        <v>7.25</v>
      </c>
      <c r="BO186" s="64">
        <f>IFERROR(1/J186*(X186/H186),"0")</f>
        <v>2.2045855379188711E-2</v>
      </c>
      <c r="BP186" s="64">
        <f>IFERROR(1/J186*(Y186/H186),"0")</f>
        <v>2.3148148148148147E-2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7.9365079365079367</v>
      </c>
      <c r="Y187" s="555">
        <f>IFERROR(Y184/H184,"0")+IFERROR(Y185/H185,"0")+IFERROR(Y186/H186,"0")</f>
        <v>9</v>
      </c>
      <c r="Z187" s="555">
        <f>IFERROR(IF(Z184="",0,Z184),"0")+IFERROR(IF(Z185="",0,Z185),"0")+IFERROR(IF(Z186="",0,Z186),"0")</f>
        <v>5.3099999999999994E-2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10</v>
      </c>
      <c r="Y188" s="555">
        <f>IFERROR(SUM(Y184:Y186),"0")</f>
        <v>11.34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8</v>
      </c>
      <c r="Y190" s="554">
        <f>IFERROR(IF(X190="",0,CEILING((X190/$H190),1)*$H190),"")</f>
        <v>8.82</v>
      </c>
      <c r="Z190" s="36">
        <f>IFERROR(IF(Y190=0,"",ROUNDUP(Y190/H190,0)*0.0059),"")</f>
        <v>4.1299999999999996E-2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9.2063492063492056</v>
      </c>
      <c r="BN190" s="64">
        <f>IFERROR(Y190*I190/H190,"0")</f>
        <v>10.15</v>
      </c>
      <c r="BO190" s="64">
        <f>IFERROR(1/J190*(X190/H190),"0")</f>
        <v>2.9394473838918279E-2</v>
      </c>
      <c r="BP190" s="64">
        <f>IFERROR(1/J190*(Y190/H190),"0")</f>
        <v>3.2407407407407406E-2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6.3492063492063489</v>
      </c>
      <c r="Y191" s="555">
        <f>IFERROR(Y190/H190,"0")</f>
        <v>7</v>
      </c>
      <c r="Z191" s="555">
        <f>IFERROR(IF(Z190="",0,Z190),"0")</f>
        <v>4.1299999999999996E-2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8</v>
      </c>
      <c r="Y192" s="555">
        <f>IFERROR(SUM(Y190:Y190),"0")</f>
        <v>8.82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68</v>
      </c>
      <c r="Y208" s="554">
        <f t="shared" si="15"/>
        <v>70.2</v>
      </c>
      <c r="Z208" s="36">
        <f>IFERROR(IF(Y208=0,"",ROUNDUP(Y208/H208,0)*0.00902),"")</f>
        <v>0.11726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70.392592592592592</v>
      </c>
      <c r="BN208" s="64">
        <f t="shared" si="17"/>
        <v>72.67</v>
      </c>
      <c r="BO208" s="64">
        <f t="shared" si="18"/>
        <v>9.5398428731762061E-2</v>
      </c>
      <c r="BP208" s="64">
        <f t="shared" si="19"/>
        <v>9.8484848484848481E-2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12</v>
      </c>
      <c r="Y209" s="554">
        <f t="shared" si="15"/>
        <v>12.6</v>
      </c>
      <c r="Z209" s="36">
        <f>IFERROR(IF(Y209=0,"",ROUNDUP(Y209/H209,0)*0.00502),"")</f>
        <v>3.5140000000000005E-2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12.866666666666667</v>
      </c>
      <c r="BN209" s="64">
        <f t="shared" si="17"/>
        <v>13.509999999999998</v>
      </c>
      <c r="BO209" s="64">
        <f t="shared" si="18"/>
        <v>2.8490028490028491E-2</v>
      </c>
      <c r="BP209" s="64">
        <f t="shared" si="19"/>
        <v>2.9914529914529919E-2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</v>
      </c>
      <c r="Y210" s="554">
        <f t="shared" si="15"/>
        <v>7.2</v>
      </c>
      <c r="Z210" s="36">
        <f>IFERROR(IF(Y210=0,"",ROUNDUP(Y210/H210,0)*0.00502),"")</f>
        <v>2.0080000000000001E-2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6.3333333333333321</v>
      </c>
      <c r="BN210" s="64">
        <f t="shared" si="17"/>
        <v>7.6</v>
      </c>
      <c r="BO210" s="64">
        <f t="shared" si="18"/>
        <v>1.4245014245014245E-2</v>
      </c>
      <c r="BP210" s="64">
        <f t="shared" si="19"/>
        <v>1.7094017094017096E-2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34</v>
      </c>
      <c r="Y212" s="554">
        <f t="shared" si="15"/>
        <v>34.200000000000003</v>
      </c>
      <c r="Z212" s="36">
        <f>IFERROR(IF(Y212=0,"",ROUNDUP(Y212/H212,0)*0.00502),"")</f>
        <v>9.5380000000000006E-2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35.888888888888886</v>
      </c>
      <c r="BN212" s="64">
        <f t="shared" si="17"/>
        <v>36.1</v>
      </c>
      <c r="BO212" s="64">
        <f t="shared" si="18"/>
        <v>8.0721747388414061E-2</v>
      </c>
      <c r="BP212" s="64">
        <f t="shared" si="19"/>
        <v>8.11965811965812E-2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50.74074074074074</v>
      </c>
      <c r="Y213" s="555">
        <f>IFERROR(Y205/H205,"0")+IFERROR(Y206/H206,"0")+IFERROR(Y207/H207,"0")+IFERROR(Y208/H208,"0")+IFERROR(Y209/H209,"0")+IFERROR(Y210/H210,"0")+IFERROR(Y211/H211,"0")+IFERROR(Y212/H212,"0")</f>
        <v>53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0.35806000000000004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170</v>
      </c>
      <c r="Y214" s="555">
        <f>IFERROR(SUM(Y205:Y212),"0")</f>
        <v>178.2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</v>
      </c>
      <c r="Y219" s="554">
        <f t="shared" si="20"/>
        <v>7.1999999999999993</v>
      </c>
      <c r="Z219" s="36">
        <f t="shared" ref="Z219:Z224" si="25">IFERROR(IF(Y219=0,"",ROUNDUP(Y219/H219,0)*0.00651),"")</f>
        <v>1.9529999999999999E-2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6.6749999999999998</v>
      </c>
      <c r="BN219" s="64">
        <f t="shared" si="22"/>
        <v>8.009999999999998</v>
      </c>
      <c r="BO219" s="64">
        <f t="shared" si="23"/>
        <v>1.3736263736263738E-2</v>
      </c>
      <c r="BP219" s="64">
        <f t="shared" si="24"/>
        <v>1.6483516483516484E-2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169</v>
      </c>
      <c r="Y221" s="554">
        <f t="shared" si="20"/>
        <v>170.4</v>
      </c>
      <c r="Z221" s="36">
        <f t="shared" si="25"/>
        <v>0.46221000000000001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186.74500000000003</v>
      </c>
      <c r="BN221" s="64">
        <f t="shared" si="22"/>
        <v>188.29200000000003</v>
      </c>
      <c r="BO221" s="64">
        <f t="shared" si="23"/>
        <v>0.38690476190476197</v>
      </c>
      <c r="BP221" s="64">
        <f t="shared" si="24"/>
        <v>0.39010989010989017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165</v>
      </c>
      <c r="Y223" s="554">
        <f t="shared" si="20"/>
        <v>165.6</v>
      </c>
      <c r="Z223" s="36">
        <f t="shared" si="25"/>
        <v>0.44919000000000003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182.32500000000002</v>
      </c>
      <c r="BN223" s="64">
        <f t="shared" si="22"/>
        <v>182.988</v>
      </c>
      <c r="BO223" s="64">
        <f t="shared" si="23"/>
        <v>0.37774725274725279</v>
      </c>
      <c r="BP223" s="64">
        <f t="shared" si="24"/>
        <v>0.37912087912087916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147</v>
      </c>
      <c r="Y224" s="554">
        <f t="shared" si="20"/>
        <v>148.79999999999998</v>
      </c>
      <c r="Z224" s="36">
        <f t="shared" si="25"/>
        <v>0.40362000000000003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162.80250000000001</v>
      </c>
      <c r="BN224" s="64">
        <f t="shared" si="22"/>
        <v>164.79599999999999</v>
      </c>
      <c r="BO224" s="64">
        <f t="shared" si="23"/>
        <v>0.33653846153846156</v>
      </c>
      <c r="BP224" s="64">
        <f t="shared" si="24"/>
        <v>0.34065934065934067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202.91666666666669</v>
      </c>
      <c r="Y225" s="555">
        <f>IFERROR(Y216/H216,"0")+IFERROR(Y217/H217,"0")+IFERROR(Y218/H218,"0")+IFERROR(Y219/H219,"0")+IFERROR(Y220/H220,"0")+IFERROR(Y221/H221,"0")+IFERROR(Y222/H222,"0")+IFERROR(Y223/H223,"0")+IFERROR(Y224/H224,"0")</f>
        <v>205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1.3345500000000001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487</v>
      </c>
      <c r="Y226" s="555">
        <f>IFERROR(SUM(Y216:Y224),"0")</f>
        <v>492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39</v>
      </c>
      <c r="Y228" s="554">
        <f>IFERROR(IF(X228="",0,CEILING((X228/$H228),1)*$H228),"")</f>
        <v>40.799999999999997</v>
      </c>
      <c r="Z228" s="36">
        <f>IFERROR(IF(Y228=0,"",ROUNDUP(Y228/H228,0)*0.00651),"")</f>
        <v>0.11067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43.095000000000006</v>
      </c>
      <c r="BN228" s="64">
        <f>IFERROR(Y228*I228/H228,"0")</f>
        <v>45.084000000000003</v>
      </c>
      <c r="BO228" s="64">
        <f>IFERROR(1/J228*(X228/H228),"0")</f>
        <v>8.9285714285714288E-2</v>
      </c>
      <c r="BP228" s="64">
        <f>IFERROR(1/J228*(Y228/H228),"0")</f>
        <v>9.3406593406593408E-2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7.7350000000000003</v>
      </c>
      <c r="BN229" s="64">
        <f>IFERROR(Y229*I229/H229,"0")</f>
        <v>7.9560000000000004</v>
      </c>
      <c r="BO229" s="64">
        <f>IFERROR(1/J229*(X229/H229),"0")</f>
        <v>1.6025641025641028E-2</v>
      </c>
      <c r="BP229" s="64">
        <f>IFERROR(1/J229*(Y229/H229),"0")</f>
        <v>1.6483516483516484E-2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19.166666666666668</v>
      </c>
      <c r="Y230" s="555">
        <f>IFERROR(Y228/H228,"0")+IFERROR(Y229/H229,"0")</f>
        <v>20</v>
      </c>
      <c r="Z230" s="555">
        <f>IFERROR(IF(Z228="",0,Z228),"0")+IFERROR(IF(Z229="",0,Z229),"0")</f>
        <v>0.13020000000000001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46</v>
      </c>
      <c r="Y231" s="555">
        <f>IFERROR(SUM(Y228:Y229),"0")</f>
        <v>48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2</v>
      </c>
      <c r="Y257" s="554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2.3838383838383836</v>
      </c>
      <c r="BN257" s="64">
        <f>IFERROR(Y257*I257/H257,"0")</f>
        <v>3.5399999999999996</v>
      </c>
      <c r="BO257" s="64">
        <f>IFERROR(1/J257*(X257/H257),"0")</f>
        <v>9.3527871305649091E-3</v>
      </c>
      <c r="BP257" s="64">
        <f>IFERROR(1/J257*(Y257/H257),"0")</f>
        <v>1.3888888888888886E-2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6</v>
      </c>
      <c r="Y258" s="554">
        <f>IFERROR(IF(X258="",0,CEILING((X258/$H258),1)*$H258),"")</f>
        <v>6.93</v>
      </c>
      <c r="Z258" s="36">
        <f>IFERROR(IF(Y258=0,"",ROUNDUP(Y258/H258,0)*0.0059),"")</f>
        <v>4.1299999999999996E-2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7.1515151515151514</v>
      </c>
      <c r="BN258" s="64">
        <f>IFERROR(Y258*I258/H258,"0")</f>
        <v>8.259999999999998</v>
      </c>
      <c r="BO258" s="64">
        <f>IFERROR(1/J258*(X258/H258),"0")</f>
        <v>2.8058361391694722E-2</v>
      </c>
      <c r="BP258" s="64">
        <f>IFERROR(1/J258*(Y258/H258),"0")</f>
        <v>3.2407407407407406E-2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13.636363636363637</v>
      </c>
      <c r="Y259" s="555">
        <f>IFERROR(Y254/H254,"0")+IFERROR(Y255/H255,"0")+IFERROR(Y256/H256,"0")+IFERROR(Y257/H257,"0")+IFERROR(Y258/H258,"0")</f>
        <v>16</v>
      </c>
      <c r="Z259" s="555">
        <f>IFERROR(IF(Z254="",0,Z254),"0")+IFERROR(IF(Z255="",0,Z255),"0")+IFERROR(IF(Z256="",0,Z256),"0")+IFERROR(IF(Z257="",0,Z257),"0")+IFERROR(IF(Z258="",0,Z258),"0")</f>
        <v>9.4399999999999998E-2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13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75</v>
      </c>
      <c r="Y282" s="554">
        <f>IFERROR(IF(X282="",0,CEILING((X282/$H282),1)*$H282),"")</f>
        <v>76.8</v>
      </c>
      <c r="Z282" s="36">
        <f>IFERROR(IF(Y282=0,"",ROUNDUP(Y282/H282,0)*0.00651),"")</f>
        <v>0.20832000000000001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80.625</v>
      </c>
      <c r="BN282" s="64">
        <f>IFERROR(Y282*I282/H282,"0")</f>
        <v>82.56</v>
      </c>
      <c r="BO282" s="64">
        <f>IFERROR(1/J282*(X282/H282),"0")</f>
        <v>0.1717032967032967</v>
      </c>
      <c r="BP282" s="64">
        <f>IFERROR(1/J282*(Y282/H282),"0")</f>
        <v>0.17582417582417584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31.25</v>
      </c>
      <c r="Y283" s="555">
        <f>IFERROR(Y280/H280,"0")+IFERROR(Y281/H281,"0")+IFERROR(Y282/H282,"0")</f>
        <v>32</v>
      </c>
      <c r="Z283" s="555">
        <f>IFERROR(IF(Z280="",0,Z280),"0")+IFERROR(IF(Z281="",0,Z281),"0")+IFERROR(IF(Z282="",0,Z282),"0")</f>
        <v>0.20832000000000001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75</v>
      </c>
      <c r="Y284" s="555">
        <f>IFERROR(SUM(Y280:Y282),"0")</f>
        <v>76.8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186</v>
      </c>
      <c r="Y323" s="554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197.78000000000003</v>
      </c>
      <c r="BN323" s="64">
        <f>IFERROR(Y323*I323/H323,"0")</f>
        <v>199.05600000000001</v>
      </c>
      <c r="BO323" s="64">
        <f>IFERROR(1/J323*(X323/H323),"0")</f>
        <v>0.37259615384615385</v>
      </c>
      <c r="BP323" s="64">
        <f>IFERROR(1/J323*(Y323/H323),"0")</f>
        <v>0.375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23.846153846153847</v>
      </c>
      <c r="Y325" s="555">
        <f>IFERROR(Y322/H322,"0")+IFERROR(Y323/H323,"0")+IFERROR(Y324/H324,"0")</f>
        <v>24</v>
      </c>
      <c r="Z325" s="555">
        <f>IFERROR(IF(Z322="",0,Z322),"0")+IFERROR(IF(Z323="",0,Z323),"0")+IFERROR(IF(Z324="",0,Z324),"0")</f>
        <v>0.45552000000000004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186</v>
      </c>
      <c r="Y326" s="555">
        <f>IFERROR(SUM(Y322:Y324),"0")</f>
        <v>187.2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4</v>
      </c>
      <c r="Y329" s="554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4.3026315789473681</v>
      </c>
      <c r="BN329" s="64">
        <f>IFERROR(Y329*I329/H329,"0")</f>
        <v>6.5399999999999991</v>
      </c>
      <c r="BO329" s="64">
        <f>IFERROR(1/J329*(X329/H329),"0")</f>
        <v>9.9681020733652318E-3</v>
      </c>
      <c r="BP329" s="64">
        <f>IFERROR(1/J329*(Y329/H329),"0")</f>
        <v>1.5151515151515152E-2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</v>
      </c>
      <c r="Y330" s="554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2.3176470588235296</v>
      </c>
      <c r="BN330" s="64">
        <f>IFERROR(Y330*I330/H330,"0")</f>
        <v>2.9550000000000001</v>
      </c>
      <c r="BO330" s="64">
        <f>IFERROR(1/J330*(X330/H330),"0")</f>
        <v>4.3094160741219576E-3</v>
      </c>
      <c r="BP330" s="64">
        <f>IFERROR(1/J330*(Y330/H330),"0")</f>
        <v>5.4945054945054949E-3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2.1001031991744066</v>
      </c>
      <c r="Y332" s="555">
        <f>IFERROR(Y328/H328,"0")+IFERROR(Y329/H329,"0")+IFERROR(Y330/H330,"0")+IFERROR(Y331/H331,"0")</f>
        <v>3</v>
      </c>
      <c r="Z332" s="555">
        <f>IFERROR(IF(Z328="",0,Z328),"0")+IFERROR(IF(Z329="",0,Z329),"0")+IFERROR(IF(Z330="",0,Z330),"0")+IFERROR(IF(Z331="",0,Z331),"0")</f>
        <v>2.4550000000000002E-2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6</v>
      </c>
      <c r="Y333" s="555">
        <f>IFERROR(SUM(Y328:Y331),"0")</f>
        <v>8.629999999999999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1208</v>
      </c>
      <c r="Y350" s="554">
        <f t="shared" ref="Y350:Y356" si="36">IFERROR(IF(X350="",0,CEILING((X350/$H350),1)*$H350),"")</f>
        <v>1215</v>
      </c>
      <c r="Z350" s="36">
        <f>IFERROR(IF(Y350=0,"",ROUNDUP(Y350/H350,0)*0.02175),"")</f>
        <v>1.7617499999999999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1245.8506666666667</v>
      </c>
      <c r="BN350" s="64">
        <f t="shared" ref="BN350:BN356" si="38">IFERROR(Y350*I350/H350,"0")</f>
        <v>1253.07</v>
      </c>
      <c r="BO350" s="64">
        <f t="shared" ref="BO350:BO356" si="39">IFERROR(1/J350*(X350/H350),"0")</f>
        <v>1.6777777777777776</v>
      </c>
      <c r="BP350" s="64">
        <f t="shared" ref="BP350:BP356" si="40">IFERROR(1/J350*(Y350/H350),"0")</f>
        <v>1.6875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341</v>
      </c>
      <c r="Y351" s="554">
        <f t="shared" si="36"/>
        <v>345</v>
      </c>
      <c r="Z351" s="36">
        <f>IFERROR(IF(Y351=0,"",ROUNDUP(Y351/H351,0)*0.02175),"")</f>
        <v>0.50024999999999997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351.68466666666671</v>
      </c>
      <c r="BN351" s="64">
        <f t="shared" si="38"/>
        <v>355.81000000000006</v>
      </c>
      <c r="BO351" s="64">
        <f t="shared" si="39"/>
        <v>0.47361111111111109</v>
      </c>
      <c r="BP351" s="64">
        <f t="shared" si="40"/>
        <v>0.47916666666666663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1515</v>
      </c>
      <c r="Y353" s="554">
        <f t="shared" si="36"/>
        <v>1515</v>
      </c>
      <c r="Z353" s="36">
        <f>IFERROR(IF(Y353=0,"",ROUNDUP(Y353/H353,0)*0.02175),"")</f>
        <v>2.1967499999999998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1562.47</v>
      </c>
      <c r="BN353" s="64">
        <f t="shared" si="38"/>
        <v>1562.47</v>
      </c>
      <c r="BO353" s="64">
        <f t="shared" si="39"/>
        <v>2.1041666666666665</v>
      </c>
      <c r="BP353" s="64">
        <f t="shared" si="40"/>
        <v>2.1041666666666665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204.26666666666665</v>
      </c>
      <c r="Y357" s="555">
        <f>IFERROR(Y350/H350,"0")+IFERROR(Y351/H351,"0")+IFERROR(Y352/H352,"0")+IFERROR(Y353/H353,"0")+IFERROR(Y354/H354,"0")+IFERROR(Y355/H355,"0")+IFERROR(Y356/H356,"0")</f>
        <v>205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4.4587500000000002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3064</v>
      </c>
      <c r="Y358" s="555">
        <f>IFERROR(SUM(Y350:Y356),"0")</f>
        <v>3075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596</v>
      </c>
      <c r="Y360" s="554">
        <f>IFERROR(IF(X360="",0,CEILING((X360/$H360),1)*$H360),"")</f>
        <v>600</v>
      </c>
      <c r="Z360" s="36">
        <f>IFERROR(IF(Y360=0,"",ROUNDUP(Y360/H360,0)*0.02175),"")</f>
        <v>0.86999999999999988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614.67466666666667</v>
      </c>
      <c r="BN360" s="64">
        <f>IFERROR(Y360*I360/H360,"0")</f>
        <v>618.79999999999995</v>
      </c>
      <c r="BO360" s="64">
        <f>IFERROR(1/J360*(X360/H360),"0")</f>
        <v>0.82777777777777772</v>
      </c>
      <c r="BP360" s="64">
        <f>IFERROR(1/J360*(Y360/H360),"0")</f>
        <v>0.83333333333333326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39.733333333333334</v>
      </c>
      <c r="Y362" s="555">
        <f>IFERROR(Y360/H360,"0")+IFERROR(Y361/H361,"0")</f>
        <v>40</v>
      </c>
      <c r="Z362" s="555">
        <f>IFERROR(IF(Z360="",0,Z360),"0")+IFERROR(IF(Z361="",0,Z361),"0")</f>
        <v>0.86999999999999988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596</v>
      </c>
      <c r="Y363" s="555">
        <f>IFERROR(SUM(Y360:Y361),"0")</f>
        <v>600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1180</v>
      </c>
      <c r="Y385" s="554">
        <f>IFERROR(IF(X385="",0,CEILING((X385/$H385),1)*$H385),"")</f>
        <v>1188</v>
      </c>
      <c r="Z385" s="36">
        <f>IFERROR(IF(Y385=0,"",ROUNDUP(Y385/H385,0)*0.01898),"")</f>
        <v>2.50536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1244.7688888888888</v>
      </c>
      <c r="BN385" s="64">
        <f>IFERROR(Y385*I385/H385,"0")</f>
        <v>1253.2079999999999</v>
      </c>
      <c r="BO385" s="64">
        <f>IFERROR(1/J385*(X385/H385),"0")</f>
        <v>2.0486111111111112</v>
      </c>
      <c r="BP385" s="64">
        <f>IFERROR(1/J385*(Y385/H385),"0")</f>
        <v>2.0625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131.11111111111111</v>
      </c>
      <c r="Y388" s="555">
        <f>IFERROR(Y385/H385,"0")+IFERROR(Y386/H386,"0")+IFERROR(Y387/H387,"0")</f>
        <v>132</v>
      </c>
      <c r="Z388" s="555">
        <f>IFERROR(IF(Z385="",0,Z385),"0")+IFERROR(IF(Z386="",0,Z386),"0")+IFERROR(IF(Z387="",0,Z387),"0")</f>
        <v>2.50536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1180</v>
      </c>
      <c r="Y389" s="555">
        <f>IFERROR(SUM(Y385:Y387),"0")</f>
        <v>1188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1339</v>
      </c>
      <c r="Y433" s="554">
        <f t="shared" si="47"/>
        <v>1341.1200000000001</v>
      </c>
      <c r="Z433" s="36">
        <f t="shared" si="48"/>
        <v>3.0378400000000001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1427.7594696969695</v>
      </c>
      <c r="BN433" s="64">
        <f t="shared" si="50"/>
        <v>1430.02</v>
      </c>
      <c r="BO433" s="64">
        <f t="shared" si="51"/>
        <v>2.4384469696969697</v>
      </c>
      <c r="BP433" s="64">
        <f t="shared" si="52"/>
        <v>2.4423076923076925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1355</v>
      </c>
      <c r="Y435" s="554">
        <f t="shared" si="47"/>
        <v>1356.96</v>
      </c>
      <c r="Z435" s="36">
        <f t="shared" si="48"/>
        <v>3.0737200000000002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1444.8200757575755</v>
      </c>
      <c r="BN435" s="64">
        <f t="shared" si="50"/>
        <v>1446.9099999999999</v>
      </c>
      <c r="BO435" s="64">
        <f t="shared" si="51"/>
        <v>2.467584498834499</v>
      </c>
      <c r="BP435" s="64">
        <f t="shared" si="52"/>
        <v>2.4711538461538463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510.22727272727275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511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6.1115600000000008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2694</v>
      </c>
      <c r="Y442" s="555">
        <f>IFERROR(SUM(Y429:Y440),"0")</f>
        <v>2698.08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853</v>
      </c>
      <c r="Y444" s="554">
        <f>IFERROR(IF(X444="",0,CEILING((X444/$H444),1)*$H444),"")</f>
        <v>855.36</v>
      </c>
      <c r="Z444" s="36">
        <f>IFERROR(IF(Y444=0,"",ROUNDUP(Y444/H444,0)*0.01196),"")</f>
        <v>1.9375200000000001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909.54356060606062</v>
      </c>
      <c r="BN444" s="64">
        <f>IFERROR(Y444*I444/H444,"0")</f>
        <v>912.06</v>
      </c>
      <c r="BO444" s="64">
        <f>IFERROR(1/J444*(X444/H444),"0")</f>
        <v>1.553394522144522</v>
      </c>
      <c r="BP444" s="64">
        <f>IFERROR(1/J444*(Y444/H444),"0")</f>
        <v>1.5576923076923077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161.55303030303028</v>
      </c>
      <c r="Y447" s="555">
        <f>IFERROR(Y444/H444,"0")+IFERROR(Y445/H445,"0")+IFERROR(Y446/H446,"0")</f>
        <v>162</v>
      </c>
      <c r="Z447" s="555">
        <f>IFERROR(IF(Z444="",0,Z444),"0")+IFERROR(IF(Z445="",0,Z445),"0")+IFERROR(IF(Z446="",0,Z446),"0")</f>
        <v>1.9375200000000001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853</v>
      </c>
      <c r="Y448" s="555">
        <f>IFERROR(SUM(Y444:Y446),"0")</f>
        <v>855.36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97</v>
      </c>
      <c r="Y450" s="554">
        <f t="shared" ref="Y450:Y455" si="53">IFERROR(IF(X450="",0,CEILING((X450/$H450),1)*$H450),"")</f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103.42992424242424</v>
      </c>
      <c r="BN450" s="64">
        <f t="shared" ref="BN450:BN455" si="55">IFERROR(Y450*I450/H450,"0")</f>
        <v>106.97</v>
      </c>
      <c r="BO450" s="64">
        <f t="shared" ref="BO450:BO455" si="56">IFERROR(1/J450*(X450/H450),"0")</f>
        <v>0.1766462703962704</v>
      </c>
      <c r="BP450" s="64">
        <f t="shared" ref="BP450:BP455" si="57">IFERROR(1/J450*(Y450/H450),"0")</f>
        <v>0.18269230769230771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365</v>
      </c>
      <c r="Y451" s="554">
        <f t="shared" si="53"/>
        <v>369.6</v>
      </c>
      <c r="Z451" s="36">
        <f>IFERROR(IF(Y451=0,"",ROUNDUP(Y451/H451,0)*0.01196),"")</f>
        <v>0.83720000000000006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389.19507575757569</v>
      </c>
      <c r="BN451" s="64">
        <f t="shared" si="55"/>
        <v>394.09999999999997</v>
      </c>
      <c r="BO451" s="64">
        <f t="shared" si="56"/>
        <v>0.6646998834498834</v>
      </c>
      <c r="BP451" s="64">
        <f t="shared" si="57"/>
        <v>0.67307692307692313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607</v>
      </c>
      <c r="Y452" s="554">
        <f t="shared" si="53"/>
        <v>607.20000000000005</v>
      </c>
      <c r="Z452" s="36">
        <f>IFERROR(IF(Y452=0,"",ROUNDUP(Y452/H452,0)*0.01196),"")</f>
        <v>1.3754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647.23674242424238</v>
      </c>
      <c r="BN452" s="64">
        <f t="shared" si="55"/>
        <v>647.44999999999993</v>
      </c>
      <c r="BO452" s="64">
        <f t="shared" si="56"/>
        <v>1.1054050116550116</v>
      </c>
      <c r="BP452" s="64">
        <f t="shared" si="57"/>
        <v>1.1057692307692308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202.46212121212119</v>
      </c>
      <c r="Y456" s="555">
        <f>IFERROR(Y450/H450,"0")+IFERROR(Y451/H451,"0")+IFERROR(Y452/H452,"0")+IFERROR(Y453/H453,"0")+IFERROR(Y454/H454,"0")+IFERROR(Y455/H455,"0")</f>
        <v>204</v>
      </c>
      <c r="Z456" s="555">
        <f>IFERROR(IF(Z450="",0,Z450),"0")+IFERROR(IF(Z451="",0,Z451),"0")+IFERROR(IF(Z452="",0,Z452),"0")+IFERROR(IF(Z453="",0,Z453),"0")+IFERROR(IF(Z454="",0,Z454),"0")+IFERROR(IF(Z455="",0,Z455),"0")</f>
        <v>2.4398400000000002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1069</v>
      </c>
      <c r="Y457" s="555">
        <f>IFERROR(SUM(Y450:Y455),"0")</f>
        <v>1077.1200000000001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13694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13816.050000000001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14455.077594007584</v>
      </c>
      <c r="Y496" s="555">
        <f>IFERROR(SUM(BN22:BN492),"0")</f>
        <v>14584.079000000002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24</v>
      </c>
      <c r="Y497" s="38">
        <f>ROUNDUP(SUM(BP22:BP492),0)</f>
        <v>24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15055.077594007584</v>
      </c>
      <c r="Y498" s="555">
        <f>GrossWeightTotalR+PalletQtyTotalR*25</f>
        <v>15184.079000000002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2406.8586224576939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2431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27.98902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529.20000000000005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185.8</v>
      </c>
      <c r="E505" s="46">
        <f>IFERROR(Y85*1,"0")+IFERROR(Y86*1,"0")+IFERROR(Y87*1,"0")+IFERROR(Y88*1,"0")+IFERROR(Y92*1,"0")+IFERROR(Y93*1,"0")+IFERROR(Y94*1,"0")+IFERROR(Y95*1,"0")</f>
        <v>583.20000000000005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1449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561.95999999999992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718.19999999999993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22.5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76.8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195.83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3675</v>
      </c>
      <c r="T505" s="46">
        <f>IFERROR(Y375*1,"0")+IFERROR(Y376*1,"0")+IFERROR(Y380*1,"0")+IFERROR(Y381*1,"0")+IFERROR(Y385*1,"0")+IFERROR(Y386*1,"0")+IFERROR(Y387*1,"0")</f>
        <v>1188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4630.5600000000004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2026-01-09T07:16:31Z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