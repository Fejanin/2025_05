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3AA0169D-EB13-4433-97B5-695AF41781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5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Y24" i="1"/>
  <c r="X24" i="1"/>
  <c r="BP23" i="1"/>
  <c r="BO23" i="1"/>
  <c r="BN23" i="1"/>
  <c r="BM23" i="1"/>
  <c r="Z23" i="1"/>
  <c r="Y23" i="1"/>
  <c r="P23" i="1"/>
  <c r="BO22" i="1"/>
  <c r="BM22" i="1"/>
  <c r="X496" i="1" s="1"/>
  <c r="Y22" i="1"/>
  <c r="P22" i="1"/>
  <c r="H10" i="1"/>
  <c r="A9" i="1"/>
  <c r="D7" i="1"/>
  <c r="Q6" i="1"/>
  <c r="P2" i="1"/>
  <c r="F10" i="1" l="1"/>
  <c r="J9" i="1"/>
  <c r="F9" i="1"/>
  <c r="A10" i="1"/>
  <c r="X498" i="1"/>
  <c r="BP28" i="1"/>
  <c r="BN28" i="1"/>
  <c r="Z28" i="1"/>
  <c r="Y32" i="1"/>
  <c r="Y499" i="1" s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Z213" i="1"/>
  <c r="Z488" i="1"/>
  <c r="H9" i="1"/>
  <c r="Y25" i="1"/>
  <c r="BP22" i="1"/>
  <c r="BN22" i="1"/>
  <c r="Z22" i="1"/>
  <c r="Z24" i="1" s="1"/>
  <c r="B505" i="1"/>
  <c r="X497" i="1"/>
  <c r="X495" i="1"/>
  <c r="Y33" i="1"/>
  <c r="BP30" i="1"/>
  <c r="BN30" i="1"/>
  <c r="Z30" i="1"/>
  <c r="Z32" i="1" s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Y90" i="1"/>
  <c r="Z112" i="1"/>
  <c r="Z139" i="1"/>
  <c r="Z294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Z268" i="1"/>
  <c r="BP275" i="1"/>
  <c r="BN275" i="1"/>
  <c r="Z275" i="1"/>
  <c r="Y277" i="1"/>
  <c r="Y283" i="1"/>
  <c r="BP280" i="1"/>
  <c r="BN280" i="1"/>
  <c r="Z280" i="1"/>
  <c r="Z283" i="1" s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Z345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Z338" i="1"/>
  <c r="BP336" i="1"/>
  <c r="BN336" i="1"/>
  <c r="Z336" i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Z402" i="1" s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Z456" i="1" s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Y496" i="1" l="1"/>
  <c r="Y495" i="1"/>
  <c r="Z441" i="1"/>
  <c r="Z419" i="1"/>
  <c r="Z225" i="1"/>
  <c r="Z119" i="1"/>
  <c r="Z96" i="1"/>
  <c r="Z312" i="1"/>
  <c r="Z303" i="1"/>
  <c r="Z500" i="1"/>
  <c r="Y497" i="1"/>
  <c r="Y498" i="1" l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<sst xmlns="http://schemas.openxmlformats.org/spreadsheetml/2006/main" count="2294" uniqueCount="781">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</sst>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8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325</v>
      </c>
      <c r="Y41" s="554">
        <f>IFERROR(IF(X41="",0,CEILING((X41/$H41),1)*$H41),"")</f>
        <v>334.8</v>
      </c>
      <c r="Z41" s="36">
        <f>IFERROR(IF(Y41=0,"",ROUNDUP(Y41/H41,0)*0.01898),"")</f>
        <v>0.58838000000000001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337.33796296296299</v>
      </c>
      <c r="BN41" s="64">
        <f>IFERROR(Y41*I41/H41,"0")</f>
        <v>347.51000000000005</v>
      </c>
      <c r="BO41" s="64">
        <f>IFERROR(1/J41*(X41/H41),"0")</f>
        <v>0.47019675925925924</v>
      </c>
      <c r="BP41" s="64">
        <f>IFERROR(1/J41*(Y41/H41),"0")</f>
        <v>0.484375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42</v>
      </c>
      <c r="Y42" s="554">
        <f>IFERROR(IF(X42="",0,CEILING((X42/$H42),1)*$H42),"")</f>
        <v>44.400000000000006</v>
      </c>
      <c r="Z42" s="36">
        <f>IFERROR(IF(Y42=0,"",ROUNDUP(Y42/H42,0)*0.00902),"")</f>
        <v>0.10824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44.156756756756756</v>
      </c>
      <c r="BN42" s="64">
        <f>IFERROR(Y42*I42/H42,"0")</f>
        <v>46.680000000000007</v>
      </c>
      <c r="BO42" s="64">
        <f>IFERROR(1/J42*(X42/H42),"0")</f>
        <v>8.5995085995085999E-2</v>
      </c>
      <c r="BP42" s="64">
        <f>IFERROR(1/J42*(Y42/H42),"0")</f>
        <v>9.0909090909090925E-2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41.443943943943943</v>
      </c>
      <c r="Y44" s="555">
        <f>IFERROR(Y41/H41,"0")+IFERROR(Y42/H42,"0")+IFERROR(Y43/H43,"0")</f>
        <v>43</v>
      </c>
      <c r="Z44" s="555">
        <f>IFERROR(IF(Z41="",0,Z41),"0")+IFERROR(IF(Z42="",0,Z42),"0")+IFERROR(IF(Z43="",0,Z43),"0")</f>
        <v>0.69662000000000002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367</v>
      </c>
      <c r="Y45" s="555">
        <f>IFERROR(SUM(Y41:Y43),"0")</f>
        <v>379.20000000000005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136</v>
      </c>
      <c r="Y52" s="554">
        <f t="shared" ref="Y52:Y57" si="0">IFERROR(IF(X52="",0,CEILING((X52/$H52),1)*$H52),"")</f>
        <v>145.6</v>
      </c>
      <c r="Z52" s="36">
        <f>IFERROR(IF(Y52=0,"",ROUNDUP(Y52/H52,0)*0.01898),"")</f>
        <v>0.24674000000000001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140.97857142857143</v>
      </c>
      <c r="BN52" s="64">
        <f t="shared" ref="BN52:BN57" si="2">IFERROR(Y52*I52/H52,"0")</f>
        <v>150.93</v>
      </c>
      <c r="BO52" s="64">
        <f t="shared" ref="BO52:BO57" si="3">IFERROR(1/J52*(X52/H52),"0")</f>
        <v>0.18973214285714288</v>
      </c>
      <c r="BP52" s="64">
        <f t="shared" ref="BP52:BP57" si="4">IFERROR(1/J52*(Y52/H52),"0")</f>
        <v>0.203125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251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260.52870370370368</v>
      </c>
      <c r="BN53" s="64">
        <f t="shared" si="2"/>
        <v>269.04000000000002</v>
      </c>
      <c r="BO53" s="64">
        <f t="shared" si="3"/>
        <v>0.36313657407407407</v>
      </c>
      <c r="BP53" s="64">
        <f t="shared" si="4"/>
        <v>0.37500000000000006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66</v>
      </c>
      <c r="Y55" s="554">
        <f t="shared" si="0"/>
        <v>68</v>
      </c>
      <c r="Z55" s="36">
        <f>IFERROR(IF(Y55=0,"",ROUNDUP(Y55/H55,0)*0.00902),"")</f>
        <v>0.15334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69.135000000000005</v>
      </c>
      <c r="BN55" s="64">
        <f t="shared" si="2"/>
        <v>71.23</v>
      </c>
      <c r="BO55" s="64">
        <f t="shared" si="3"/>
        <v>0.125</v>
      </c>
      <c r="BP55" s="64">
        <f t="shared" si="4"/>
        <v>0.12878787878787878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51.883597883597886</v>
      </c>
      <c r="Y58" s="555">
        <f>IFERROR(Y52/H52,"0")+IFERROR(Y53/H53,"0")+IFERROR(Y54/H54,"0")+IFERROR(Y55/H55,"0")+IFERROR(Y56/H56,"0")+IFERROR(Y57/H57,"0")</f>
        <v>54</v>
      </c>
      <c r="Z58" s="555">
        <f>IFERROR(IF(Z52="",0,Z52),"0")+IFERROR(IF(Z53="",0,Z53),"0")+IFERROR(IF(Z54="",0,Z54),"0")+IFERROR(IF(Z55="",0,Z55),"0")+IFERROR(IF(Z56="",0,Z56),"0")+IFERROR(IF(Z57="",0,Z57),"0")</f>
        <v>0.85560000000000014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453</v>
      </c>
      <c r="Y59" s="555">
        <f>IFERROR(SUM(Y52:Y57),"0")</f>
        <v>472.80000000000007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114</v>
      </c>
      <c r="Y61" s="554">
        <f>IFERROR(IF(X61="",0,CEILING((X61/$H61),1)*$H61),"")</f>
        <v>118.80000000000001</v>
      </c>
      <c r="Z61" s="36">
        <f>IFERROR(IF(Y61=0,"",ROUNDUP(Y61/H61,0)*0.01898),"")</f>
        <v>0.20877999999999999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118.32777777777777</v>
      </c>
      <c r="BN61" s="64">
        <f>IFERROR(Y61*I61/H61,"0")</f>
        <v>123.31000000000002</v>
      </c>
      <c r="BO61" s="64">
        <f>IFERROR(1/J61*(X61/H61),"0")</f>
        <v>0.16493055555555555</v>
      </c>
      <c r="BP61" s="64">
        <f>IFERROR(1/J61*(Y61/H61),"0")</f>
        <v>0.171875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10.555555555555555</v>
      </c>
      <c r="Y64" s="555">
        <f>IFERROR(Y61/H61,"0")+IFERROR(Y62/H62,"0")+IFERROR(Y63/H63,"0")</f>
        <v>11</v>
      </c>
      <c r="Z64" s="555">
        <f>IFERROR(IF(Z61="",0,Z61),"0")+IFERROR(IF(Z62="",0,Z62),"0")+IFERROR(IF(Z63="",0,Z63),"0")</f>
        <v>0.20877999999999999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114</v>
      </c>
      <c r="Y65" s="555">
        <f>IFERROR(SUM(Y61:Y63),"0")</f>
        <v>118.80000000000001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59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62.101282051282055</v>
      </c>
      <c r="BN79" s="64">
        <f>IFERROR(Y79*I79/H79,"0")</f>
        <v>65.680000000000007</v>
      </c>
      <c r="BO79" s="64">
        <f>IFERROR(1/J79*(X79/H79),"0")</f>
        <v>0.11818910256410256</v>
      </c>
      <c r="BP79" s="64">
        <f>IFERROR(1/J79*(Y79/H79),"0")</f>
        <v>0.125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11</v>
      </c>
      <c r="Y80" s="554">
        <f>IFERROR(IF(X80="",0,CEILING((X80/$H80),1)*$H80),"")</f>
        <v>12</v>
      </c>
      <c r="Z80" s="36">
        <f>IFERROR(IF(Y80=0,"",ROUNDUP(Y80/H80,0)*0.00902),"")</f>
        <v>4.5100000000000001E-2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11.870833333333334</v>
      </c>
      <c r="BN80" s="64">
        <f>IFERROR(Y80*I80/H80,"0")</f>
        <v>12.95</v>
      </c>
      <c r="BO80" s="64">
        <f>IFERROR(1/J80*(X80/H80),"0")</f>
        <v>3.4722222222222231E-2</v>
      </c>
      <c r="BP80" s="64">
        <f>IFERROR(1/J80*(Y80/H80),"0")</f>
        <v>3.787878787878788E-2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12.147435897435898</v>
      </c>
      <c r="Y81" s="555">
        <f>IFERROR(Y79/H79,"0")+IFERROR(Y80/H80,"0")</f>
        <v>13</v>
      </c>
      <c r="Z81" s="555">
        <f>IFERROR(IF(Z79="",0,Z79),"0")+IFERROR(IF(Z80="",0,Z80),"0")</f>
        <v>0.19694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70</v>
      </c>
      <c r="Y82" s="555">
        <f>IFERROR(SUM(Y79:Y80),"0")</f>
        <v>74.400000000000006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201</v>
      </c>
      <c r="Y85" s="554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208.63055555555553</v>
      </c>
      <c r="BN85" s="64">
        <f>IFERROR(Y85*I85/H85,"0")</f>
        <v>212.99</v>
      </c>
      <c r="BO85" s="64">
        <f>IFERROR(1/J85*(X85/H85),"0")</f>
        <v>0.2907986111111111</v>
      </c>
      <c r="BP85" s="64">
        <f>IFERROR(1/J85*(Y85/H85),"0")</f>
        <v>0.296875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132</v>
      </c>
      <c r="Y88" s="554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137.57333333333335</v>
      </c>
      <c r="BN88" s="64">
        <f>IFERROR(Y88*I88/H88,"0")</f>
        <v>140.70000000000002</v>
      </c>
      <c r="BO88" s="64">
        <f>IFERROR(1/J88*(X88/H88),"0")</f>
        <v>0.22222222222222221</v>
      </c>
      <c r="BP88" s="64">
        <f>IFERROR(1/J88*(Y88/H88),"0")</f>
        <v>0.22727272727272729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47.944444444444443</v>
      </c>
      <c r="Y89" s="555">
        <f>IFERROR(Y85/H85,"0")+IFERROR(Y86/H86,"0")+IFERROR(Y87/H87,"0")+IFERROR(Y88/H88,"0")</f>
        <v>49</v>
      </c>
      <c r="Z89" s="555">
        <f>IFERROR(IF(Z85="",0,Z85),"0")+IFERROR(IF(Z86="",0,Z86),"0")+IFERROR(IF(Z87="",0,Z87),"0")+IFERROR(IF(Z88="",0,Z88),"0")</f>
        <v>0.63122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333</v>
      </c>
      <c r="Y90" s="555">
        <f>IFERROR(SUM(Y85:Y88),"0")</f>
        <v>340.20000000000005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37</v>
      </c>
      <c r="Y92" s="554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39.25654320987654</v>
      </c>
      <c r="BN92" s="64">
        <f>IFERROR(Y92*I92/H92,"0")</f>
        <v>42.97</v>
      </c>
      <c r="BO92" s="64">
        <f>IFERROR(1/J92*(X92/H92),"0")</f>
        <v>7.1373456790123455E-2</v>
      </c>
      <c r="BP92" s="64">
        <f>IFERROR(1/J92*(Y92/H92),"0")</f>
        <v>7.8125E-2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4.5679012345679011</v>
      </c>
      <c r="Y96" s="555">
        <f>IFERROR(Y92/H92,"0")+IFERROR(Y93/H93,"0")+IFERROR(Y94/H94,"0")+IFERROR(Y95/H95,"0")</f>
        <v>5</v>
      </c>
      <c r="Z96" s="555">
        <f>IFERROR(IF(Z92="",0,Z92),"0")+IFERROR(IF(Z93="",0,Z93),"0")+IFERROR(IF(Z94="",0,Z94),"0")+IFERROR(IF(Z95="",0,Z95),"0")</f>
        <v>9.4899999999999998E-2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37</v>
      </c>
      <c r="Y97" s="555">
        <f>IFERROR(SUM(Y92:Y95),"0")</f>
        <v>40.5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232</v>
      </c>
      <c r="Y100" s="554">
        <f>IFERROR(IF(X100="",0,CEILING((X100/$H100),1)*$H100),"")</f>
        <v>237.60000000000002</v>
      </c>
      <c r="Z100" s="36">
        <f>IFERROR(IF(Y100=0,"",ROUNDUP(Y100/H100,0)*0.01898),"")</f>
        <v>0.41755999999999999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240.80740740740742</v>
      </c>
      <c r="BN100" s="64">
        <f>IFERROR(Y100*I100/H100,"0")</f>
        <v>246.62000000000003</v>
      </c>
      <c r="BO100" s="64">
        <f>IFERROR(1/J100*(X100/H100),"0")</f>
        <v>0.33564814814814814</v>
      </c>
      <c r="BP100" s="64">
        <f>IFERROR(1/J100*(Y100/H100),"0")</f>
        <v>0.34375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111</v>
      </c>
      <c r="Y103" s="554">
        <f>IFERROR(IF(X103="",0,CEILING((X103/$H103),1)*$H103),"")</f>
        <v>112.5</v>
      </c>
      <c r="Z103" s="36">
        <f>IFERROR(IF(Y103=0,"",ROUNDUP(Y103/H103,0)*0.00902),"")</f>
        <v>0.22550000000000001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115.68666666666667</v>
      </c>
      <c r="BN103" s="64">
        <f>IFERROR(Y103*I103/H103,"0")</f>
        <v>117.25</v>
      </c>
      <c r="BO103" s="64">
        <f>IFERROR(1/J103*(X103/H103),"0")</f>
        <v>0.18686868686868688</v>
      </c>
      <c r="BP103" s="64">
        <f>IFERROR(1/J103*(Y103/H103),"0")</f>
        <v>0.18939393939393939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46.148148148148152</v>
      </c>
      <c r="Y105" s="555">
        <f>IFERROR(Y100/H100,"0")+IFERROR(Y101/H101,"0")+IFERROR(Y102/H102,"0")+IFERROR(Y103/H103,"0")+IFERROR(Y104/H104,"0")</f>
        <v>47</v>
      </c>
      <c r="Z105" s="555">
        <f>IFERROR(IF(Z100="",0,Z100),"0")+IFERROR(IF(Z101="",0,Z101),"0")+IFERROR(IF(Z102="",0,Z102),"0")+IFERROR(IF(Z103="",0,Z103),"0")+IFERROR(IF(Z104="",0,Z104),"0")</f>
        <v>0.64305999999999996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343</v>
      </c>
      <c r="Y106" s="555">
        <f>IFERROR(SUM(Y100:Y104),"0")</f>
        <v>350.1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19</v>
      </c>
      <c r="Y108" s="554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19.721296296296295</v>
      </c>
      <c r="BN108" s="64">
        <f>IFERROR(Y108*I108/H108,"0")</f>
        <v>22.42</v>
      </c>
      <c r="BO108" s="64">
        <f>IFERROR(1/J108*(X108/H108),"0")</f>
        <v>2.7488425925925923E-2</v>
      </c>
      <c r="BP108" s="64">
        <f>IFERROR(1/J108*(Y108/H108),"0")</f>
        <v>3.125E-2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63</v>
      </c>
      <c r="Y111" s="554">
        <f>IFERROR(IF(X111="",0,CEILING((X111/$H111),1)*$H111),"")</f>
        <v>64.8</v>
      </c>
      <c r="Z111" s="36">
        <f>IFERROR(IF(Y111=0,"",ROUNDUP(Y111/H111,0)*0.00651),"")</f>
        <v>0.17577000000000001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67.724999999999994</v>
      </c>
      <c r="BN111" s="64">
        <f>IFERROR(Y111*I111/H111,"0")</f>
        <v>69.66</v>
      </c>
      <c r="BO111" s="64">
        <f>IFERROR(1/J111*(X111/H111),"0")</f>
        <v>0.14423076923076925</v>
      </c>
      <c r="BP111" s="64">
        <f>IFERROR(1/J111*(Y111/H111),"0")</f>
        <v>0.14835164835164835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28.00925925925926</v>
      </c>
      <c r="Y112" s="555">
        <f>IFERROR(Y108/H108,"0")+IFERROR(Y109/H109,"0")+IFERROR(Y110/H110,"0")+IFERROR(Y111/H111,"0")</f>
        <v>29</v>
      </c>
      <c r="Z112" s="555">
        <f>IFERROR(IF(Z108="",0,Z108),"0")+IFERROR(IF(Z109="",0,Z109),"0")+IFERROR(IF(Z110="",0,Z110),"0")+IFERROR(IF(Z111="",0,Z111),"0")</f>
        <v>0.21373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82</v>
      </c>
      <c r="Y113" s="555">
        <f>IFERROR(SUM(Y108:Y111),"0")</f>
        <v>86.4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23</v>
      </c>
      <c r="Y115" s="554">
        <f>IFERROR(IF(X115="",0,CEILING((X115/$H115),1)*$H115),"")</f>
        <v>24.299999999999997</v>
      </c>
      <c r="Z115" s="36">
        <f>IFERROR(IF(Y115=0,"",ROUNDUP(Y115/H115,0)*0.01898),"")</f>
        <v>5.6940000000000004E-2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24.385679012345676</v>
      </c>
      <c r="BN115" s="64">
        <f>IFERROR(Y115*I115/H115,"0")</f>
        <v>25.763999999999996</v>
      </c>
      <c r="BO115" s="64">
        <f>IFERROR(1/J115*(X115/H115),"0")</f>
        <v>4.4367283950617287E-2</v>
      </c>
      <c r="BP115" s="64">
        <f>IFERROR(1/J115*(Y115/H115),"0")</f>
        <v>4.6875E-2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27</v>
      </c>
      <c r="Y117" s="554">
        <f>IFERROR(IF(X117="",0,CEILING((X117/$H117),1)*$H117),"")</f>
        <v>27</v>
      </c>
      <c r="Z117" s="36">
        <f>IFERROR(IF(Y117=0,"",ROUNDUP(Y117/H117,0)*0.00651),"")</f>
        <v>6.5100000000000005E-2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29.519999999999996</v>
      </c>
      <c r="BN117" s="64">
        <f>IFERROR(Y117*I117/H117,"0")</f>
        <v>29.519999999999996</v>
      </c>
      <c r="BO117" s="64">
        <f>IFERROR(1/J117*(X117/H117),"0")</f>
        <v>5.4945054945054951E-2</v>
      </c>
      <c r="BP117" s="64">
        <f>IFERROR(1/J117*(Y117/H117),"0")</f>
        <v>5.4945054945054951E-2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12.839506172839506</v>
      </c>
      <c r="Y119" s="555">
        <f>IFERROR(Y115/H115,"0")+IFERROR(Y116/H116,"0")+IFERROR(Y117/H117,"0")+IFERROR(Y118/H118,"0")</f>
        <v>13</v>
      </c>
      <c r="Z119" s="555">
        <f>IFERROR(IF(Z115="",0,Z115),"0")+IFERROR(IF(Z116="",0,Z116),"0")+IFERROR(IF(Z117="",0,Z117),"0")+IFERROR(IF(Z118="",0,Z118),"0")</f>
        <v>0.12204000000000001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50</v>
      </c>
      <c r="Y120" s="555">
        <f>IFERROR(SUM(Y115:Y118),"0")</f>
        <v>51.3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58</v>
      </c>
      <c r="Y173" s="554">
        <f t="shared" si="10"/>
        <v>58.800000000000004</v>
      </c>
      <c r="Z173" s="36">
        <f>IFERROR(IF(Y173=0,"",ROUNDUP(Y173/H173,0)*0.00502),"")</f>
        <v>0.14056000000000002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61.590476190476188</v>
      </c>
      <c r="BN173" s="64">
        <f t="shared" si="12"/>
        <v>62.44</v>
      </c>
      <c r="BO173" s="64">
        <f t="shared" si="13"/>
        <v>0.11803011803011804</v>
      </c>
      <c r="BP173" s="64">
        <f t="shared" si="14"/>
        <v>0.11965811965811968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20</v>
      </c>
      <c r="Y176" s="554">
        <f t="shared" si="10"/>
        <v>21.6</v>
      </c>
      <c r="Z176" s="36">
        <f>IFERROR(IF(Y176=0,"",ROUNDUP(Y176/H176,0)*0.00502),"")</f>
        <v>6.0240000000000002E-2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21.444444444444446</v>
      </c>
      <c r="BN176" s="64">
        <f t="shared" si="12"/>
        <v>23.16</v>
      </c>
      <c r="BO176" s="64">
        <f t="shared" si="13"/>
        <v>4.7483380816714153E-2</v>
      </c>
      <c r="BP176" s="64">
        <f t="shared" si="14"/>
        <v>5.1282051282051287E-2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219</v>
      </c>
      <c r="Y178" s="554">
        <f t="shared" si="10"/>
        <v>220.5</v>
      </c>
      <c r="Z178" s="36">
        <f>IFERROR(IF(Y178=0,"",ROUNDUP(Y178/H178,0)*0.00502),"")</f>
        <v>0.52710000000000001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229.42857142857142</v>
      </c>
      <c r="BN178" s="64">
        <f t="shared" si="12"/>
        <v>231</v>
      </c>
      <c r="BO178" s="64">
        <f t="shared" si="13"/>
        <v>0.44566544566544569</v>
      </c>
      <c r="BP178" s="64">
        <f t="shared" si="14"/>
        <v>0.44871794871794879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143.01587301587301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145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0.72789999999999999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297</v>
      </c>
      <c r="Y182" s="555">
        <f>IFERROR(SUM(Y167:Y180),"0")</f>
        <v>300.89999999999998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3</v>
      </c>
      <c r="Y185" s="554">
        <f>IFERROR(IF(X185="",0,CEILING((X185/$H185),1)*$H185),"")</f>
        <v>3.7800000000000002</v>
      </c>
      <c r="Z185" s="36">
        <f>IFERROR(IF(Y185=0,"",ROUNDUP(Y185/H185,0)*0.0059),"")</f>
        <v>1.77E-2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3.4523809523809521</v>
      </c>
      <c r="BN185" s="64">
        <f>IFERROR(Y185*I185/H185,"0")</f>
        <v>4.3499999999999996</v>
      </c>
      <c r="BO185" s="64">
        <f>IFERROR(1/J185*(X185/H185),"0")</f>
        <v>1.1022927689594356E-2</v>
      </c>
      <c r="BP185" s="64">
        <f>IFERROR(1/J185*(Y185/H185),"0")</f>
        <v>1.3888888888888888E-2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4</v>
      </c>
      <c r="Y186" s="554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5.5555555555555554</v>
      </c>
      <c r="Y187" s="555">
        <f>IFERROR(Y184/H184,"0")+IFERROR(Y185/H185,"0")+IFERROR(Y186/H186,"0")</f>
        <v>7</v>
      </c>
      <c r="Z187" s="555">
        <f>IFERROR(IF(Z184="",0,Z184),"0")+IFERROR(IF(Z185="",0,Z185),"0")+IFERROR(IF(Z186="",0,Z186),"0")</f>
        <v>4.1300000000000003E-2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7</v>
      </c>
      <c r="Y188" s="555">
        <f>IFERROR(SUM(Y184:Y186),"0")</f>
        <v>8.82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4</v>
      </c>
      <c r="Y190" s="554">
        <f>IFERROR(IF(X190="",0,CEILING((X190/$H190),1)*$H190),"")</f>
        <v>5.04</v>
      </c>
      <c r="Z190" s="36">
        <f>IFERROR(IF(Y190=0,"",ROUNDUP(Y190/H190,0)*0.0059),"")</f>
        <v>2.3599999999999999E-2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4.6031746031746028</v>
      </c>
      <c r="BN190" s="64">
        <f>IFERROR(Y190*I190/H190,"0")</f>
        <v>5.8</v>
      </c>
      <c r="BO190" s="64">
        <f>IFERROR(1/J190*(X190/H190),"0")</f>
        <v>1.469723691945914E-2</v>
      </c>
      <c r="BP190" s="64">
        <f>IFERROR(1/J190*(Y190/H190),"0")</f>
        <v>1.8518518518518517E-2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3.1746031746031744</v>
      </c>
      <c r="Y191" s="555">
        <f>IFERROR(Y190/H190,"0")</f>
        <v>4</v>
      </c>
      <c r="Z191" s="555">
        <f>IFERROR(IF(Z190="",0,Z190),"0")</f>
        <v>2.3599999999999999E-2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4</v>
      </c>
      <c r="Y192" s="555">
        <f>IFERROR(SUM(Y190:Y190),"0")</f>
        <v>5.04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75</v>
      </c>
      <c r="Y209" s="554">
        <f t="shared" si="15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80.416666666666671</v>
      </c>
      <c r="BN209" s="64">
        <f t="shared" si="17"/>
        <v>81.06</v>
      </c>
      <c r="BO209" s="64">
        <f t="shared" si="18"/>
        <v>0.17806267806267806</v>
      </c>
      <c r="BP209" s="64">
        <f t="shared" si="19"/>
        <v>0.17948717948717954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32</v>
      </c>
      <c r="Y210" s="554">
        <f t="shared" si="15"/>
        <v>32.4</v>
      </c>
      <c r="Z210" s="36">
        <f>IFERROR(IF(Y210=0,"",ROUNDUP(Y210/H210,0)*0.00502),"")</f>
        <v>9.0359999999999996E-2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33.777777777777779</v>
      </c>
      <c r="BN210" s="64">
        <f t="shared" si="17"/>
        <v>34.199999999999996</v>
      </c>
      <c r="BO210" s="64">
        <f t="shared" si="18"/>
        <v>7.5973409306742651E-2</v>
      </c>
      <c r="BP210" s="64">
        <f t="shared" si="19"/>
        <v>7.6923076923076927E-2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36</v>
      </c>
      <c r="Y212" s="554">
        <f t="shared" si="15"/>
        <v>36</v>
      </c>
      <c r="Z212" s="36">
        <f>IFERROR(IF(Y212=0,"",ROUNDUP(Y212/H212,0)*0.00502),"")</f>
        <v>0.1004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37.999999999999993</v>
      </c>
      <c r="BN212" s="64">
        <f t="shared" si="17"/>
        <v>37.999999999999993</v>
      </c>
      <c r="BO212" s="64">
        <f t="shared" si="18"/>
        <v>8.5470085470085472E-2</v>
      </c>
      <c r="BP212" s="64">
        <f t="shared" si="19"/>
        <v>8.5470085470085472E-2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79.444444444444443</v>
      </c>
      <c r="Y213" s="555">
        <f>IFERROR(Y205/H205,"0")+IFERROR(Y206/H206,"0")+IFERROR(Y207/H207,"0")+IFERROR(Y208/H208,"0")+IFERROR(Y209/H209,"0")+IFERROR(Y210/H210,"0")+IFERROR(Y211/H211,"0")+IFERROR(Y212/H212,"0")</f>
        <v>80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0.40160000000000001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143</v>
      </c>
      <c r="Y214" s="555">
        <f>IFERROR(SUM(Y205:Y212),"0")</f>
        <v>144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38</v>
      </c>
      <c r="Y216" s="554">
        <f t="shared" ref="Y216:Y224" si="20">IFERROR(IF(X216="",0,CEILING((X216/$H216),1)*$H216),"")</f>
        <v>40.5</v>
      </c>
      <c r="Z216" s="36">
        <f>IFERROR(IF(Y216=0,"",ROUNDUP(Y216/H216,0)*0.01898),"")</f>
        <v>9.4899999999999998E-2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40.317530864197536</v>
      </c>
      <c r="BN216" s="64">
        <f t="shared" ref="BN216:BN224" si="22">IFERROR(Y216*I216/H216,"0")</f>
        <v>42.97</v>
      </c>
      <c r="BO216" s="64">
        <f t="shared" ref="BO216:BO224" si="23">IFERROR(1/J216*(X216/H216),"0")</f>
        <v>7.3302469135802475E-2</v>
      </c>
      <c r="BP216" s="64">
        <f t="shared" ref="BP216:BP224" si="24">IFERROR(1/J216*(Y216/H216),"0")</f>
        <v>7.8125E-2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14</v>
      </c>
      <c r="Y217" s="554">
        <f t="shared" si="20"/>
        <v>16.2</v>
      </c>
      <c r="Z217" s="36">
        <f>IFERROR(IF(Y217=0,"",ROUNDUP(Y217/H217,0)*0.01898),"")</f>
        <v>3.7960000000000001E-2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14.822716049382718</v>
      </c>
      <c r="BN217" s="64">
        <f t="shared" si="22"/>
        <v>17.152000000000001</v>
      </c>
      <c r="BO217" s="64">
        <f t="shared" si="23"/>
        <v>2.7006172839506175E-2</v>
      </c>
      <c r="BP217" s="64">
        <f t="shared" si="24"/>
        <v>3.125E-2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124</v>
      </c>
      <c r="Y218" s="554">
        <f t="shared" si="20"/>
        <v>130.5</v>
      </c>
      <c r="Z218" s="36">
        <f>IFERROR(IF(Y218=0,"",ROUNDUP(Y218/H218,0)*0.01898),"")</f>
        <v>0.28470000000000001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131.04091954022991</v>
      </c>
      <c r="BN218" s="64">
        <f t="shared" si="22"/>
        <v>137.91000000000003</v>
      </c>
      <c r="BO218" s="64">
        <f t="shared" si="23"/>
        <v>0.22270114942528738</v>
      </c>
      <c r="BP218" s="64">
        <f t="shared" si="24"/>
        <v>0.23437500000000003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188</v>
      </c>
      <c r="Y219" s="554">
        <f t="shared" si="20"/>
        <v>189.6</v>
      </c>
      <c r="Z219" s="36">
        <f t="shared" ref="Z219:Z224" si="25">IFERROR(IF(Y219=0,"",ROUNDUP(Y219/H219,0)*0.00651),"")</f>
        <v>0.51429000000000002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209.15</v>
      </c>
      <c r="BN219" s="64">
        <f t="shared" si="22"/>
        <v>210.93</v>
      </c>
      <c r="BO219" s="64">
        <f t="shared" si="23"/>
        <v>0.43040293040293048</v>
      </c>
      <c r="BP219" s="64">
        <f t="shared" si="24"/>
        <v>0.43406593406593408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551</v>
      </c>
      <c r="Y221" s="554">
        <f t="shared" si="20"/>
        <v>552</v>
      </c>
      <c r="Z221" s="36">
        <f t="shared" si="25"/>
        <v>1.4973000000000001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608.85500000000013</v>
      </c>
      <c r="BN221" s="64">
        <f t="shared" si="22"/>
        <v>609.96</v>
      </c>
      <c r="BO221" s="64">
        <f t="shared" si="23"/>
        <v>1.2614468864468866</v>
      </c>
      <c r="BP221" s="64">
        <f t="shared" si="24"/>
        <v>1.2637362637362639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95</v>
      </c>
      <c r="Y223" s="554">
        <f t="shared" si="20"/>
        <v>96</v>
      </c>
      <c r="Z223" s="36">
        <f t="shared" si="25"/>
        <v>0.26040000000000002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104.97500000000001</v>
      </c>
      <c r="BN223" s="64">
        <f t="shared" si="22"/>
        <v>106.08000000000001</v>
      </c>
      <c r="BO223" s="64">
        <f t="shared" si="23"/>
        <v>0.21749084249084252</v>
      </c>
      <c r="BP223" s="64">
        <f t="shared" si="24"/>
        <v>0.2197802197802198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124</v>
      </c>
      <c r="Y224" s="554">
        <f t="shared" si="20"/>
        <v>124.8</v>
      </c>
      <c r="Z224" s="36">
        <f t="shared" si="25"/>
        <v>0.33851999999999999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137.33000000000001</v>
      </c>
      <c r="BN224" s="64">
        <f t="shared" si="22"/>
        <v>138.21600000000001</v>
      </c>
      <c r="BO224" s="64">
        <f t="shared" si="23"/>
        <v>0.28388278388278393</v>
      </c>
      <c r="BP224" s="64">
        <f t="shared" si="24"/>
        <v>0.28571428571428575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419.83929331630486</v>
      </c>
      <c r="Y225" s="555">
        <f>IFERROR(Y216/H216,"0")+IFERROR(Y217/H217,"0")+IFERROR(Y218/H218,"0")+IFERROR(Y219/H219,"0")+IFERROR(Y220/H220,"0")+IFERROR(Y221/H221,"0")+IFERROR(Y222/H222,"0")+IFERROR(Y223/H223,"0")+IFERROR(Y224/H224,"0")</f>
        <v>423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3.02807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1134</v>
      </c>
      <c r="Y226" s="555">
        <f>IFERROR(SUM(Y216:Y224),"0")</f>
        <v>1149.5999999999999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11</v>
      </c>
      <c r="Y229" s="554">
        <f>IFERROR(IF(X229="",0,CEILING((X229/$H229),1)*$H229),"")</f>
        <v>12</v>
      </c>
      <c r="Z229" s="36">
        <f>IFERROR(IF(Y229=0,"",ROUNDUP(Y229/H229,0)*0.00651),"")</f>
        <v>3.2550000000000003E-2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12.155000000000001</v>
      </c>
      <c r="BN229" s="64">
        <f>IFERROR(Y229*I229/H229,"0")</f>
        <v>13.260000000000002</v>
      </c>
      <c r="BO229" s="64">
        <f>IFERROR(1/J229*(X229/H229),"0")</f>
        <v>2.5183150183150187E-2</v>
      </c>
      <c r="BP229" s="64">
        <f>IFERROR(1/J229*(Y229/H229),"0")</f>
        <v>2.7472527472527476E-2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4.5833333333333339</v>
      </c>
      <c r="Y230" s="555">
        <f>IFERROR(Y228/H228,"0")+IFERROR(Y229/H229,"0")</f>
        <v>5</v>
      </c>
      <c r="Z230" s="555">
        <f>IFERROR(IF(Z228="",0,Z228),"0")+IFERROR(IF(Z229="",0,Z229),"0")</f>
        <v>3.2550000000000003E-2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11</v>
      </c>
      <c r="Y231" s="555">
        <f>IFERROR(SUM(Y228:Y229),"0")</f>
        <v>12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7</v>
      </c>
      <c r="Y237" s="554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7.3325000000000005</v>
      </c>
      <c r="BN237" s="64">
        <f t="shared" si="28"/>
        <v>8.3800000000000008</v>
      </c>
      <c r="BO237" s="64">
        <f t="shared" si="29"/>
        <v>1.3257575757575758E-2</v>
      </c>
      <c r="BP237" s="64">
        <f t="shared" si="30"/>
        <v>1.5151515151515152E-2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1.75</v>
      </c>
      <c r="Y243" s="555">
        <f>IFERROR(Y234/H234,"0")+IFERROR(Y235/H235,"0")+IFERROR(Y236/H236,"0")+IFERROR(Y237/H237,"0")+IFERROR(Y238/H238,"0")+IFERROR(Y239/H239,"0")+IFERROR(Y240/H240,"0")+IFERROR(Y241/H241,"0")+IFERROR(Y242/H242,"0")</f>
        <v>2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1.804E-2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7</v>
      </c>
      <c r="Y244" s="555">
        <f>IFERROR(SUM(Y234:Y242),"0")</f>
        <v>8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1</v>
      </c>
      <c r="Y250" s="554">
        <f>IFERROR(IF(X250="",0,CEILING((X250/$H250),1)*$H250),"")</f>
        <v>1.8</v>
      </c>
      <c r="Z250" s="36">
        <f>IFERROR(IF(Y250=0,"",ROUNDUP(Y250/H250,0)*0.0059),"")</f>
        <v>5.8999999999999999E-3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1.0972222222222223</v>
      </c>
      <c r="BN250" s="64">
        <f>IFERROR(Y250*I250/H250,"0")</f>
        <v>1.9750000000000001</v>
      </c>
      <c r="BO250" s="64">
        <f>IFERROR(1/J250*(X250/H250),"0")</f>
        <v>2.5720164609053498E-3</v>
      </c>
      <c r="BP250" s="64">
        <f>IFERROR(1/J250*(Y250/H250),"0")</f>
        <v>4.6296296296296294E-3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0.55555555555555558</v>
      </c>
      <c r="Y251" s="555">
        <f>IFERROR(Y250/H250,"0")</f>
        <v>1</v>
      </c>
      <c r="Z251" s="555">
        <f>IFERROR(IF(Z250="",0,Z250),"0")</f>
        <v>5.8999999999999999E-3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1</v>
      </c>
      <c r="Y252" s="555">
        <f>IFERROR(SUM(Y250:Y250),"0")</f>
        <v>1.8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3</v>
      </c>
      <c r="Y256" s="554">
        <f>IFERROR(IF(X256="",0,CEILING((X256/$H256),1)*$H256),"")</f>
        <v>3.6</v>
      </c>
      <c r="Z256" s="36">
        <f>IFERROR(IF(Y256=0,"",ROUNDUP(Y256/H256,0)*0.0059),"")</f>
        <v>2.3599999999999999E-2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3.6333333333333337</v>
      </c>
      <c r="BN256" s="64">
        <f>IFERROR(Y256*I256/H256,"0")</f>
        <v>4.3600000000000003</v>
      </c>
      <c r="BO256" s="64">
        <f>IFERROR(1/J256*(X256/H256),"0")</f>
        <v>1.5432098765432096E-2</v>
      </c>
      <c r="BP256" s="64">
        <f>IFERROR(1/J256*(Y256/H256),"0")</f>
        <v>1.8518518518518517E-2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3</v>
      </c>
      <c r="Y258" s="554">
        <f>IFERROR(IF(X258="",0,CEILING((X258/$H258),1)*$H258),"")</f>
        <v>3.96</v>
      </c>
      <c r="Z258" s="36">
        <f>IFERROR(IF(Y258=0,"",ROUNDUP(Y258/H258,0)*0.0059),"")</f>
        <v>2.3599999999999999E-2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3.5757575757575757</v>
      </c>
      <c r="BN258" s="64">
        <f>IFERROR(Y258*I258/H258,"0")</f>
        <v>4.72</v>
      </c>
      <c r="BO258" s="64">
        <f>IFERROR(1/J258*(X258/H258),"0")</f>
        <v>1.4029180695847361E-2</v>
      </c>
      <c r="BP258" s="64">
        <f>IFERROR(1/J258*(Y258/H258),"0")</f>
        <v>1.8518518518518517E-2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6.3636363636363633</v>
      </c>
      <c r="Y259" s="555">
        <f>IFERROR(Y254/H254,"0")+IFERROR(Y255/H255,"0")+IFERROR(Y256/H256,"0")+IFERROR(Y257/H257,"0")+IFERROR(Y258/H258,"0")</f>
        <v>8</v>
      </c>
      <c r="Z259" s="555">
        <f>IFERROR(IF(Z254="",0,Z254),"0")+IFERROR(IF(Z255="",0,Z255),"0")+IFERROR(IF(Z256="",0,Z256),"0")+IFERROR(IF(Z257="",0,Z257),"0")+IFERROR(IF(Z258="",0,Z258),"0")</f>
        <v>4.7199999999999999E-2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6</v>
      </c>
      <c r="Y260" s="555">
        <f>IFERROR(SUM(Y254:Y258),"0")</f>
        <v>7.5600000000000005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55</v>
      </c>
      <c r="Y281" s="554">
        <f>IFERROR(IF(X281="",0,CEILING((X281/$H281),1)*$H281),"")</f>
        <v>55.199999999999996</v>
      </c>
      <c r="Z281" s="36">
        <f>IFERROR(IF(Y281=0,"",ROUNDUP(Y281/H281,0)*0.00651),"")</f>
        <v>0.14973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60.775000000000006</v>
      </c>
      <c r="BN281" s="64">
        <f>IFERROR(Y281*I281/H281,"0")</f>
        <v>60.996000000000002</v>
      </c>
      <c r="BO281" s="64">
        <f>IFERROR(1/J281*(X281/H281),"0")</f>
        <v>0.12591575091575094</v>
      </c>
      <c r="BP281" s="64">
        <f>IFERROR(1/J281*(Y281/H281),"0")</f>
        <v>0.1263736263736264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22.916666666666668</v>
      </c>
      <c r="Y283" s="555">
        <f>IFERROR(Y280/H280,"0")+IFERROR(Y281/H281,"0")+IFERROR(Y282/H282,"0")</f>
        <v>23</v>
      </c>
      <c r="Z283" s="555">
        <f>IFERROR(IF(Z280="",0,Z280),"0")+IFERROR(IF(Z281="",0,Z281),"0")+IFERROR(IF(Z282="",0,Z282),"0")</f>
        <v>0.14973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55</v>
      </c>
      <c r="Y284" s="555">
        <f>IFERROR(SUM(Y280:Y282),"0")</f>
        <v>55.199999999999996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63</v>
      </c>
      <c r="Y322" s="554">
        <f>IFERROR(IF(X322="",0,CEILING((X322/$H322),1)*$H322),"")</f>
        <v>67.2</v>
      </c>
      <c r="Z322" s="36">
        <f>IFERROR(IF(Y322=0,"",ROUNDUP(Y322/H322,0)*0.01898),"")</f>
        <v>0.15184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66.704999999999998</v>
      </c>
      <c r="BN322" s="64">
        <f>IFERROR(Y322*I322/H322,"0")</f>
        <v>71.152000000000001</v>
      </c>
      <c r="BO322" s="64">
        <f>IFERROR(1/J322*(X322/H322),"0")</f>
        <v>0.1171875</v>
      </c>
      <c r="BP322" s="64">
        <f>IFERROR(1/J322*(Y322/H322),"0")</f>
        <v>0.125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185</v>
      </c>
      <c r="Y323" s="554">
        <f>IFERROR(IF(X323="",0,CEILING((X323/$H323),1)*$H323),"")</f>
        <v>187.2</v>
      </c>
      <c r="Z323" s="36">
        <f>IFERROR(IF(Y323=0,"",ROUNDUP(Y323/H323,0)*0.01898),"")</f>
        <v>0.45552000000000004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196.7166666666667</v>
      </c>
      <c r="BN323" s="64">
        <f>IFERROR(Y323*I323/H323,"0")</f>
        <v>199.05600000000001</v>
      </c>
      <c r="BO323" s="64">
        <f>IFERROR(1/J323*(X323/H323),"0")</f>
        <v>0.37059294871794873</v>
      </c>
      <c r="BP323" s="64">
        <f>IFERROR(1/J323*(Y323/H323),"0")</f>
        <v>0.375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22</v>
      </c>
      <c r="Y324" s="554">
        <f>IFERROR(IF(X324="",0,CEILING((X324/$H324),1)*$H324),"")</f>
        <v>25.200000000000003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23.293809523809525</v>
      </c>
      <c r="BN324" s="64">
        <f>IFERROR(Y324*I324/H324,"0")</f>
        <v>26.682000000000002</v>
      </c>
      <c r="BO324" s="64">
        <f>IFERROR(1/J324*(X324/H324),"0")</f>
        <v>4.0922619047619048E-2</v>
      </c>
      <c r="BP324" s="64">
        <f>IFERROR(1/J324*(Y324/H324),"0")</f>
        <v>4.6875E-2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33.836996336996336</v>
      </c>
      <c r="Y325" s="555">
        <f>IFERROR(Y322/H322,"0")+IFERROR(Y323/H323,"0")+IFERROR(Y324/H324,"0")</f>
        <v>35</v>
      </c>
      <c r="Z325" s="555">
        <f>IFERROR(IF(Z322="",0,Z322),"0")+IFERROR(IF(Z323="",0,Z323),"0")+IFERROR(IF(Z324="",0,Z324),"0")</f>
        <v>0.6643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270</v>
      </c>
      <c r="Y326" s="555">
        <f>IFERROR(SUM(Y322:Y324),"0")</f>
        <v>279.59999999999997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3</v>
      </c>
      <c r="Y336" s="554">
        <f>IFERROR(IF(X336="",0,CEILING((X336/$H336),1)*$H336),"")</f>
        <v>4</v>
      </c>
      <c r="Z336" s="36">
        <f>IFERROR(IF(Y336=0,"",ROUNDUP(Y336/H336,0)*0.00474),"")</f>
        <v>9.4800000000000006E-3</v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3.3600000000000003</v>
      </c>
      <c r="BN336" s="64">
        <f>IFERROR(Y336*I336/H336,"0")</f>
        <v>4.4800000000000004</v>
      </c>
      <c r="BO336" s="64">
        <f>IFERROR(1/J336*(X336/H336),"0")</f>
        <v>6.3025210084033615E-3</v>
      </c>
      <c r="BP336" s="64">
        <f>IFERROR(1/J336*(Y336/H336),"0")</f>
        <v>8.4033613445378148E-3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9</v>
      </c>
      <c r="Y337" s="554">
        <f>IFERROR(IF(X337="",0,CEILING((X337/$H337),1)*$H337),"")</f>
        <v>10</v>
      </c>
      <c r="Z337" s="36">
        <f>IFERROR(IF(Y337=0,"",ROUNDUP(Y337/H337,0)*0.00474),"")</f>
        <v>2.3700000000000002E-2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10.080000000000002</v>
      </c>
      <c r="BN337" s="64">
        <f>IFERROR(Y337*I337/H337,"0")</f>
        <v>11.200000000000001</v>
      </c>
      <c r="BO337" s="64">
        <f>IFERROR(1/J337*(X337/H337),"0")</f>
        <v>1.8907563025210083E-2</v>
      </c>
      <c r="BP337" s="64">
        <f>IFERROR(1/J337*(Y337/H337),"0")</f>
        <v>2.1008403361344536E-2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6</v>
      </c>
      <c r="Y338" s="555">
        <f>IFERROR(Y335/H335,"0")+IFERROR(Y336/H336,"0")+IFERROR(Y337/H337,"0")</f>
        <v>7</v>
      </c>
      <c r="Z338" s="555">
        <f>IFERROR(IF(Z335="",0,Z335),"0")+IFERROR(IF(Z336="",0,Z336),"0")+IFERROR(IF(Z337="",0,Z337),"0")</f>
        <v>3.3180000000000001E-2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12</v>
      </c>
      <c r="Y339" s="555">
        <f>IFERROR(SUM(Y335:Y337),"0")</f>
        <v>14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879</v>
      </c>
      <c r="Y350" s="554">
        <f t="shared" ref="Y350:Y356" si="36">IFERROR(IF(X350="",0,CEILING((X350/$H350),1)*$H350),"")</f>
        <v>885</v>
      </c>
      <c r="Z350" s="36">
        <f>IFERROR(IF(Y350=0,"",ROUNDUP(Y350/H350,0)*0.02175),"")</f>
        <v>1.28325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906.54200000000003</v>
      </c>
      <c r="BN350" s="64">
        <f t="shared" ref="BN350:BN356" si="38">IFERROR(Y350*I350/H350,"0")</f>
        <v>912.73</v>
      </c>
      <c r="BO350" s="64">
        <f t="shared" ref="BO350:BO356" si="39">IFERROR(1/J350*(X350/H350),"0")</f>
        <v>1.2208333333333332</v>
      </c>
      <c r="BP350" s="64">
        <f t="shared" ref="BP350:BP356" si="40">IFERROR(1/J350*(Y350/H350),"0")</f>
        <v>1.2291666666666665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460</v>
      </c>
      <c r="Y351" s="554">
        <f t="shared" si="36"/>
        <v>465</v>
      </c>
      <c r="Z351" s="36">
        <f>IFERROR(IF(Y351=0,"",ROUNDUP(Y351/H351,0)*0.02175),"")</f>
        <v>0.6742499999999999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474.41333333333336</v>
      </c>
      <c r="BN351" s="64">
        <f t="shared" si="38"/>
        <v>479.57</v>
      </c>
      <c r="BO351" s="64">
        <f t="shared" si="39"/>
        <v>0.63888888888888884</v>
      </c>
      <c r="BP351" s="64">
        <f t="shared" si="40"/>
        <v>0.64583333333333326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302</v>
      </c>
      <c r="Y352" s="554">
        <f t="shared" si="36"/>
        <v>315</v>
      </c>
      <c r="Z352" s="36">
        <f>IFERROR(IF(Y352=0,"",ROUNDUP(Y352/H352,0)*0.02175),"")</f>
        <v>0.45674999999999999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311.46266666666668</v>
      </c>
      <c r="BN352" s="64">
        <f t="shared" si="38"/>
        <v>324.87</v>
      </c>
      <c r="BO352" s="64">
        <f t="shared" si="39"/>
        <v>0.4194444444444444</v>
      </c>
      <c r="BP352" s="64">
        <f t="shared" si="40"/>
        <v>0.4375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109.4</v>
      </c>
      <c r="Y357" s="555">
        <f>IFERROR(Y350/H350,"0")+IFERROR(Y351/H351,"0")+IFERROR(Y352/H352,"0")+IFERROR(Y353/H353,"0")+IFERROR(Y354/H354,"0")+IFERROR(Y355/H355,"0")+IFERROR(Y356/H356,"0")</f>
        <v>111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2.41425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1641</v>
      </c>
      <c r="Y358" s="555">
        <f>IFERROR(SUM(Y350:Y356),"0")</f>
        <v>1665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14</v>
      </c>
      <c r="Y370" s="554">
        <f>IFERROR(IF(X370="",0,CEILING((X370/$H370),1)*$H370),"")</f>
        <v>18</v>
      </c>
      <c r="Z370" s="36">
        <f>IFERROR(IF(Y370=0,"",ROUNDUP(Y370/H370,0)*0.01898),"")</f>
        <v>3.7960000000000001E-2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14.768444444444444</v>
      </c>
      <c r="BN370" s="64">
        <f>IFERROR(Y370*I370/H370,"0")</f>
        <v>18.988</v>
      </c>
      <c r="BO370" s="64">
        <f>IFERROR(1/J370*(X370/H370),"0")</f>
        <v>2.4305555555555556E-2</v>
      </c>
      <c r="BP370" s="64">
        <f>IFERROR(1/J370*(Y370/H370),"0")</f>
        <v>3.125E-2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1.5555555555555556</v>
      </c>
      <c r="Y371" s="555">
        <f>IFERROR(Y370/H370,"0")</f>
        <v>2</v>
      </c>
      <c r="Z371" s="555">
        <f>IFERROR(IF(Z370="",0,Z370),"0")</f>
        <v>3.7960000000000001E-2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14</v>
      </c>
      <c r="Y372" s="555">
        <f>IFERROR(SUM(Y370:Y370),"0")</f>
        <v>18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22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22.751666666666665</v>
      </c>
      <c r="BN375" s="64">
        <f>IFERROR(Y375*I375/H375,"0")</f>
        <v>24.820000000000004</v>
      </c>
      <c r="BO375" s="64">
        <f>IFERROR(1/J375*(X375/H375),"0")</f>
        <v>2.8645833333333332E-2</v>
      </c>
      <c r="BP375" s="64">
        <f>IFERROR(1/J375*(Y375/H375),"0")</f>
        <v>3.125E-2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1.8333333333333333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22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337</v>
      </c>
      <c r="Y385" s="554">
        <f>IFERROR(IF(X385="",0,CEILING((X385/$H385),1)*$H385),"")</f>
        <v>342</v>
      </c>
      <c r="Z385" s="36">
        <f>IFERROR(IF(Y385=0,"",ROUNDUP(Y385/H385,0)*0.01898),"")</f>
        <v>0.72123999999999999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355.49755555555555</v>
      </c>
      <c r="BN385" s="64">
        <f>IFERROR(Y385*I385/H385,"0")</f>
        <v>360.77199999999999</v>
      </c>
      <c r="BO385" s="64">
        <f>IFERROR(1/J385*(X385/H385),"0")</f>
        <v>0.58506944444444442</v>
      </c>
      <c r="BP385" s="64">
        <f>IFERROR(1/J385*(Y385/H385),"0")</f>
        <v>0.59375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37.444444444444443</v>
      </c>
      <c r="Y388" s="555">
        <f>IFERROR(Y385/H385,"0")+IFERROR(Y386/H386,"0")+IFERROR(Y387/H387,"0")</f>
        <v>38</v>
      </c>
      <c r="Z388" s="555">
        <f>IFERROR(IF(Z385="",0,Z385),"0")+IFERROR(IF(Z386="",0,Z386),"0")+IFERROR(IF(Z387="",0,Z387),"0")</f>
        <v>0.72123999999999999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337</v>
      </c>
      <c r="Y389" s="555">
        <f>IFERROR(SUM(Y385:Y387),"0")</f>
        <v>342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4</v>
      </c>
      <c r="Y429" s="554">
        <f t="shared" ref="Y429:Y440" si="47">IFERROR(IF(X429="",0,CEILING((X429/$H429),1)*$H429),"")</f>
        <v>5.28</v>
      </c>
      <c r="Z429" s="36">
        <f t="shared" ref="Z429:Z435" si="48">IFERROR(IF(Y429=0,"",ROUNDUP(Y429/H429,0)*0.01196),"")</f>
        <v>1.196E-2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4.2651515151515147</v>
      </c>
      <c r="BN429" s="64">
        <f t="shared" ref="BN429:BN440" si="50">IFERROR(Y429*I429/H429,"0")</f>
        <v>5.63</v>
      </c>
      <c r="BO429" s="64">
        <f t="shared" ref="BO429:BO440" si="51">IFERROR(1/J429*(X429/H429),"0")</f>
        <v>7.2843822843822849E-3</v>
      </c>
      <c r="BP429" s="64">
        <f t="shared" ref="BP429:BP440" si="52">IFERROR(1/J429*(Y429/H429),"0")</f>
        <v>9.6153846153846159E-3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19</v>
      </c>
      <c r="Y432" s="554">
        <f t="shared" si="47"/>
        <v>21.12</v>
      </c>
      <c r="Z432" s="36">
        <f t="shared" si="48"/>
        <v>4.7840000000000001E-2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20.259469696969695</v>
      </c>
      <c r="BN432" s="64">
        <f t="shared" si="50"/>
        <v>22.52</v>
      </c>
      <c r="BO432" s="64">
        <f t="shared" si="51"/>
        <v>3.4600815850815848E-2</v>
      </c>
      <c r="BP432" s="64">
        <f t="shared" si="52"/>
        <v>3.8461538461538464E-2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365</v>
      </c>
      <c r="Y433" s="554">
        <f t="shared" si="47"/>
        <v>369.6</v>
      </c>
      <c r="Z433" s="36">
        <f t="shared" si="48"/>
        <v>0.83720000000000006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389.19507575757569</v>
      </c>
      <c r="BN433" s="64">
        <f t="shared" si="50"/>
        <v>394.09999999999997</v>
      </c>
      <c r="BO433" s="64">
        <f t="shared" si="51"/>
        <v>0.6646998834498834</v>
      </c>
      <c r="BP433" s="64">
        <f t="shared" si="52"/>
        <v>0.67307692307692313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521</v>
      </c>
      <c r="Y435" s="554">
        <f t="shared" si="47"/>
        <v>522.72</v>
      </c>
      <c r="Z435" s="36">
        <f t="shared" si="48"/>
        <v>1.18404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555.53598484848487</v>
      </c>
      <c r="BN435" s="64">
        <f t="shared" si="50"/>
        <v>557.37</v>
      </c>
      <c r="BO435" s="64">
        <f t="shared" si="51"/>
        <v>0.94879079254079257</v>
      </c>
      <c r="BP435" s="64">
        <f t="shared" si="52"/>
        <v>0.95192307692307698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8</v>
      </c>
      <c r="Y440" s="554">
        <f t="shared" si="47"/>
        <v>9.6</v>
      </c>
      <c r="Z440" s="36">
        <f>IFERROR(IF(Y440=0,"",ROUNDUP(Y440/H440,0)*0.00902),"")</f>
        <v>1.804E-2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11.516666666666667</v>
      </c>
      <c r="BN440" s="64">
        <f t="shared" si="50"/>
        <v>13.82</v>
      </c>
      <c r="BO440" s="64">
        <f t="shared" si="51"/>
        <v>1.2626262626262628E-2</v>
      </c>
      <c r="BP440" s="64">
        <f t="shared" si="52"/>
        <v>1.5151515151515152E-2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173.82575757575756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176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2.0990799999999998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917</v>
      </c>
      <c r="Y442" s="555">
        <f>IFERROR(SUM(Y429:Y440),"0")</f>
        <v>928.32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173</v>
      </c>
      <c r="Y444" s="554">
        <f>IFERROR(IF(X444="",0,CEILING((X444/$H444),1)*$H444),"")</f>
        <v>174.24</v>
      </c>
      <c r="Z444" s="36">
        <f>IFERROR(IF(Y444=0,"",ROUNDUP(Y444/H444,0)*0.01196),"")</f>
        <v>0.39468000000000003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184.46780303030303</v>
      </c>
      <c r="BN444" s="64">
        <f>IFERROR(Y444*I444/H444,"0")</f>
        <v>185.79</v>
      </c>
      <c r="BO444" s="64">
        <f>IFERROR(1/J444*(X444/H444),"0")</f>
        <v>0.31504953379953382</v>
      </c>
      <c r="BP444" s="64">
        <f>IFERROR(1/J444*(Y444/H444),"0")</f>
        <v>0.31730769230769235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38</v>
      </c>
      <c r="Y446" s="554">
        <f>IFERROR(IF(X446="",0,CEILING((X446/$H446),1)*$H446),"")</f>
        <v>38.4</v>
      </c>
      <c r="Z446" s="36">
        <f>IFERROR(IF(Y446=0,"",ROUNDUP(Y446/H446,0)*0.00902),"")</f>
        <v>7.2160000000000002E-2</v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54.704166666666666</v>
      </c>
      <c r="BN446" s="64">
        <f>IFERROR(Y446*I446/H446,"0")</f>
        <v>55.28</v>
      </c>
      <c r="BO446" s="64">
        <f>IFERROR(1/J446*(X446/H446),"0")</f>
        <v>5.9974747474747479E-2</v>
      </c>
      <c r="BP446" s="64">
        <f>IFERROR(1/J446*(Y446/H446),"0")</f>
        <v>6.0606060606060608E-2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40.68181818181818</v>
      </c>
      <c r="Y447" s="555">
        <f>IFERROR(Y444/H444,"0")+IFERROR(Y445/H445,"0")+IFERROR(Y446/H446,"0")</f>
        <v>41</v>
      </c>
      <c r="Z447" s="555">
        <f>IFERROR(IF(Z444="",0,Z444),"0")+IFERROR(IF(Z445="",0,Z445),"0")+IFERROR(IF(Z446="",0,Z446),"0")</f>
        <v>0.46684000000000003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211</v>
      </c>
      <c r="Y448" s="555">
        <f>IFERROR(SUM(Y444:Y446),"0")</f>
        <v>212.64000000000001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92</v>
      </c>
      <c r="Y452" s="554">
        <f t="shared" si="53"/>
        <v>95.04</v>
      </c>
      <c r="Z452" s="36">
        <f>IFERROR(IF(Y452=0,"",ROUNDUP(Y452/H452,0)*0.01196),"")</f>
        <v>0.21528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98.098484848484844</v>
      </c>
      <c r="BN452" s="64">
        <f t="shared" si="55"/>
        <v>101.33999999999999</v>
      </c>
      <c r="BO452" s="64">
        <f t="shared" si="56"/>
        <v>0.16754079254079252</v>
      </c>
      <c r="BP452" s="64">
        <f t="shared" si="57"/>
        <v>0.17307692307692307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17.424242424242422</v>
      </c>
      <c r="Y456" s="555">
        <f>IFERROR(Y450/H450,"0")+IFERROR(Y451/H451,"0")+IFERROR(Y452/H452,"0")+IFERROR(Y453/H453,"0")+IFERROR(Y454/H454,"0")+IFERROR(Y455/H455,"0")</f>
        <v>18</v>
      </c>
      <c r="Z456" s="555">
        <f>IFERROR(IF(Z450="",0,Z450),"0")+IFERROR(IF(Z451="",0,Z451),"0")+IFERROR(IF(Z452="",0,Z452),"0")+IFERROR(IF(Z453="",0,Z453),"0")+IFERROR(IF(Z454="",0,Z454),"0")+IFERROR(IF(Z455="",0,Z455),"0")</f>
        <v>0.21528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92</v>
      </c>
      <c r="Y457" s="555">
        <f>IFERROR(SUM(Y450:Y455),"0")</f>
        <v>95.04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7030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7185.22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7443.753961635105</v>
      </c>
      <c r="Y496" s="555">
        <f>IFERROR(SUM(BN22:BN492),"0")</f>
        <v>7608.1129999999985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13</v>
      </c>
      <c r="Y497" s="38">
        <f>ROUNDUP(SUM(BP22:BP492),0)</f>
        <v>13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7768.753961635105</v>
      </c>
      <c r="Y498" s="555">
        <f>GrossWeightTotalR+PalletQtyTotalR*25</f>
        <v>7933.1129999999985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1364.7409018179135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1392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14.82887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379.20000000000005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666.00000000000011</v>
      </c>
      <c r="E505" s="46">
        <f>IFERROR(Y85*1,"0")+IFERROR(Y86*1,"0")+IFERROR(Y87*1,"0")+IFERROR(Y88*1,"0")+IFERROR(Y92*1,"0")+IFERROR(Y93*1,"0")+IFERROR(Y94*1,"0")+IFERROR(Y95*1,"0")</f>
        <v>380.70000000000005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487.80000000000007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314.76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1305.5999999999999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17.36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55.199999999999996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293.59999999999997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1683</v>
      </c>
      <c r="T505" s="46">
        <f>IFERROR(Y375*1,"0")+IFERROR(Y376*1,"0")+IFERROR(Y380*1,"0")+IFERROR(Y381*1,"0")+IFERROR(Y385*1,"0")+IFERROR(Y386*1,"0")+IFERROR(Y387*1,"0")</f>
        <v>366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1236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2026-01-09T07:06:57Z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