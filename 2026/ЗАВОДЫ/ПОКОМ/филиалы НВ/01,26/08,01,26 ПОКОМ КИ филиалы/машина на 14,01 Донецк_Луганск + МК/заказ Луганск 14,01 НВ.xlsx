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FEE484D-C9EB-4A78-847C-830FB173366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D505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B505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F9" i="1"/>
  <c r="J9" i="1"/>
  <c r="Z22" i="1"/>
  <c r="Z24" i="1" s="1"/>
  <c r="BN22" i="1"/>
  <c r="BP22" i="1"/>
  <c r="X499" i="1"/>
  <c r="Y25" i="1"/>
  <c r="Z28" i="1"/>
  <c r="Z32" i="1" s="1"/>
  <c r="BN28" i="1"/>
  <c r="Z30" i="1"/>
  <c r="BN30" i="1"/>
  <c r="C505" i="1"/>
  <c r="Z42" i="1"/>
  <c r="Z44" i="1" s="1"/>
  <c r="BN42" i="1"/>
  <c r="Y45" i="1"/>
  <c r="Z53" i="1"/>
  <c r="Z58" i="1" s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Z89" i="1" s="1"/>
  <c r="BN86" i="1"/>
  <c r="Z88" i="1"/>
  <c r="BN88" i="1"/>
  <c r="Y89" i="1"/>
  <c r="Z92" i="1"/>
  <c r="Z96" i="1" s="1"/>
  <c r="BN92" i="1"/>
  <c r="BP92" i="1"/>
  <c r="Z94" i="1"/>
  <c r="BN94" i="1"/>
  <c r="F505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5" i="1"/>
  <c r="Z196" i="1"/>
  <c r="Z197" i="1" s="1"/>
  <c r="BN196" i="1"/>
  <c r="Y197" i="1"/>
  <c r="Z200" i="1"/>
  <c r="Z202" i="1" s="1"/>
  <c r="BN200" i="1"/>
  <c r="BP200" i="1"/>
  <c r="Y213" i="1"/>
  <c r="Z206" i="1"/>
  <c r="Z213" i="1" s="1"/>
  <c r="BN206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Y269" i="1"/>
  <c r="BP266" i="1"/>
  <c r="BN266" i="1"/>
  <c r="Z266" i="1"/>
  <c r="Z268" i="1" s="1"/>
  <c r="BP275" i="1"/>
  <c r="BN275" i="1"/>
  <c r="Z275" i="1"/>
  <c r="Y277" i="1"/>
  <c r="O505" i="1"/>
  <c r="Y283" i="1"/>
  <c r="BP280" i="1"/>
  <c r="BN280" i="1"/>
  <c r="Z280" i="1"/>
  <c r="Z283" i="1" s="1"/>
  <c r="Y289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Z312" i="1" s="1"/>
  <c r="BP310" i="1"/>
  <c r="BN310" i="1"/>
  <c r="Z310" i="1"/>
  <c r="Y319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Y339" i="1"/>
  <c r="Y338" i="1"/>
  <c r="Z345" i="1"/>
  <c r="BP343" i="1"/>
  <c r="BN343" i="1"/>
  <c r="Z343" i="1"/>
  <c r="BP353" i="1"/>
  <c r="BN353" i="1"/>
  <c r="Z353" i="1"/>
  <c r="Z357" i="1" s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U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225" i="1" l="1"/>
  <c r="Y496" i="1"/>
  <c r="Z441" i="1"/>
  <c r="Z469" i="1"/>
  <c r="Z119" i="1"/>
  <c r="Z64" i="1"/>
  <c r="Z500" i="1" s="1"/>
  <c r="Y495" i="1"/>
  <c r="Y497" i="1"/>
  <c r="Z402" i="1"/>
  <c r="Z332" i="1"/>
  <c r="Y499" i="1"/>
  <c r="Y498" i="1" l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<sst xmlns="http://schemas.openxmlformats.org/spreadsheetml/2006/main" count="2294" uniqueCount="781">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</sst>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527</v>
      </c>
      <c r="Y41" s="554">
        <f>IFERROR(IF(X41="",0,CEILING((X41/$H41),1)*$H41),"")</f>
        <v>529.20000000000005</v>
      </c>
      <c r="Z41" s="36">
        <f>IFERROR(IF(Y41=0,"",ROUNDUP(Y41/H41,0)*0.01898),"")</f>
        <v>0.93002000000000007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547.0064814814815</v>
      </c>
      <c r="BN41" s="64">
        <f>IFERROR(Y41*I41/H41,"0")</f>
        <v>549.29000000000008</v>
      </c>
      <c r="BO41" s="64">
        <f>IFERROR(1/J41*(X41/H41),"0")</f>
        <v>0.76244212962962954</v>
      </c>
      <c r="BP41" s="64">
        <f>IFERROR(1/J41*(Y41/H41),"0")</f>
        <v>0.765625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68</v>
      </c>
      <c r="Y42" s="554">
        <f>IFERROR(IF(X42="",0,CEILING((X42/$H42),1)*$H42),"")</f>
        <v>70.3</v>
      </c>
      <c r="Z42" s="36">
        <f>IFERROR(IF(Y42=0,"",ROUNDUP(Y42/H42,0)*0.00902),"")</f>
        <v>0.17138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71.491891891891882</v>
      </c>
      <c r="BN42" s="64">
        <f>IFERROR(Y42*I42/H42,"0")</f>
        <v>73.91</v>
      </c>
      <c r="BO42" s="64">
        <f>IFERROR(1/J42*(X42/H42),"0")</f>
        <v>0.13923013923013924</v>
      </c>
      <c r="BP42" s="64">
        <f>IFERROR(1/J42*(Y42/H42),"0")</f>
        <v>0.14393939393939395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67.174674674674662</v>
      </c>
      <c r="Y44" s="555">
        <f>IFERROR(Y41/H41,"0")+IFERROR(Y42/H42,"0")+IFERROR(Y43/H43,"0")</f>
        <v>68</v>
      </c>
      <c r="Z44" s="555">
        <f>IFERROR(IF(Z41="",0,Z41),"0")+IFERROR(IF(Z42="",0,Z42),"0")+IFERROR(IF(Z43="",0,Z43),"0")</f>
        <v>1.1014000000000002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595</v>
      </c>
      <c r="Y45" s="555">
        <f>IFERROR(SUM(Y41:Y43),"0")</f>
        <v>599.5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82</v>
      </c>
      <c r="Y52" s="554">
        <f t="shared" ref="Y52:Y57" si="0">IFERROR(IF(X52="",0,CEILING((X52/$H52),1)*$H52),"")</f>
        <v>89.6</v>
      </c>
      <c r="Z52" s="36">
        <f>IFERROR(IF(Y52=0,"",ROUNDUP(Y52/H52,0)*0.01898),"")</f>
        <v>0.15184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85.001785714285717</v>
      </c>
      <c r="BN52" s="64">
        <f t="shared" ref="BN52:BN57" si="2">IFERROR(Y52*I52/H52,"0")</f>
        <v>92.88</v>
      </c>
      <c r="BO52" s="64">
        <f t="shared" ref="BO52:BO57" si="3">IFERROR(1/J52*(X52/H52),"0")</f>
        <v>0.11439732142857144</v>
      </c>
      <c r="BP52" s="64">
        <f t="shared" ref="BP52:BP57" si="4">IFERROR(1/J52*(Y52/H52),"0")</f>
        <v>0.125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173</v>
      </c>
      <c r="Y53" s="554">
        <f t="shared" si="0"/>
        <v>183.60000000000002</v>
      </c>
      <c r="Z53" s="36">
        <f>IFERROR(IF(Y53=0,"",ROUNDUP(Y53/H53,0)*0.01898),"")</f>
        <v>0.32266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179.5675925925926</v>
      </c>
      <c r="BN53" s="64">
        <f t="shared" si="2"/>
        <v>190.57000000000002</v>
      </c>
      <c r="BO53" s="64">
        <f t="shared" si="3"/>
        <v>0.25028935185185186</v>
      </c>
      <c r="BP53" s="64">
        <f t="shared" si="4"/>
        <v>0.265625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106</v>
      </c>
      <c r="Y55" s="554">
        <f t="shared" si="0"/>
        <v>108</v>
      </c>
      <c r="Z55" s="36">
        <f>IFERROR(IF(Y55=0,"",ROUNDUP(Y55/H55,0)*0.00902),"")</f>
        <v>0.24354000000000001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111.03500000000001</v>
      </c>
      <c r="BN55" s="64">
        <f t="shared" si="2"/>
        <v>113.13000000000001</v>
      </c>
      <c r="BO55" s="64">
        <f t="shared" si="3"/>
        <v>0.20075757575757577</v>
      </c>
      <c r="BP55" s="64">
        <f t="shared" si="4"/>
        <v>0.20454545454545456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49.839947089947088</v>
      </c>
      <c r="Y58" s="555">
        <f>IFERROR(Y52/H52,"0")+IFERROR(Y53/H53,"0")+IFERROR(Y54/H54,"0")+IFERROR(Y55/H55,"0")+IFERROR(Y56/H56,"0")+IFERROR(Y57/H57,"0")</f>
        <v>52</v>
      </c>
      <c r="Z58" s="555">
        <f>IFERROR(IF(Z52="",0,Z52),"0")+IFERROR(IF(Z53="",0,Z53),"0")+IFERROR(IF(Z54="",0,Z54),"0")+IFERROR(IF(Z55="",0,Z55),"0")+IFERROR(IF(Z56="",0,Z56),"0")+IFERROR(IF(Z57="",0,Z57),"0")</f>
        <v>0.71804000000000001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361</v>
      </c>
      <c r="Y59" s="555">
        <f>IFERROR(SUM(Y52:Y57),"0")</f>
        <v>381.20000000000005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184</v>
      </c>
      <c r="Y61" s="554">
        <f>IFERROR(IF(X61="",0,CEILING((X61/$H61),1)*$H61),"")</f>
        <v>194.4</v>
      </c>
      <c r="Z61" s="36">
        <f>IFERROR(IF(Y61=0,"",ROUNDUP(Y61/H61,0)*0.01898),"")</f>
        <v>0.34164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190.9851851851852</v>
      </c>
      <c r="BN61" s="64">
        <f>IFERROR(Y61*I61/H61,"0")</f>
        <v>201.78</v>
      </c>
      <c r="BO61" s="64">
        <f>IFERROR(1/J61*(X61/H61),"0")</f>
        <v>0.26620370370370366</v>
      </c>
      <c r="BP61" s="64">
        <f>IFERROR(1/J61*(Y61/H61),"0")</f>
        <v>0.28125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17.037037037037035</v>
      </c>
      <c r="Y64" s="555">
        <f>IFERROR(Y61/H61,"0")+IFERROR(Y62/H62,"0")+IFERROR(Y63/H63,"0")</f>
        <v>18</v>
      </c>
      <c r="Z64" s="555">
        <f>IFERROR(IF(Z61="",0,Z61),"0")+IFERROR(IF(Z62="",0,Z62),"0")+IFERROR(IF(Z63="",0,Z63),"0")</f>
        <v>0.34164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184</v>
      </c>
      <c r="Y65" s="555">
        <f>IFERROR(SUM(Y61:Y63),"0")</f>
        <v>194.4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295</v>
      </c>
      <c r="Y85" s="55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306.19907407407408</v>
      </c>
      <c r="BN85" s="64">
        <f>IFERROR(Y85*I85/H85,"0")</f>
        <v>313.88</v>
      </c>
      <c r="BO85" s="64">
        <f>IFERROR(1/J85*(X85/H85),"0")</f>
        <v>0.42679398148148145</v>
      </c>
      <c r="BP85" s="64">
        <f>IFERROR(1/J85*(Y85/H85),"0")</f>
        <v>0.4375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99</v>
      </c>
      <c r="Y88" s="554">
        <f>IFERROR(IF(X88="",0,CEILING((X88/$H88),1)*$H88),"")</f>
        <v>99</v>
      </c>
      <c r="Z88" s="36">
        <f>IFERROR(IF(Y88=0,"",ROUNDUP(Y88/H88,0)*0.00902),"")</f>
        <v>0.19844000000000001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103.18</v>
      </c>
      <c r="BN88" s="64">
        <f>IFERROR(Y88*I88/H88,"0")</f>
        <v>103.18</v>
      </c>
      <c r="BO88" s="64">
        <f>IFERROR(1/J88*(X88/H88),"0")</f>
        <v>0.16666666666666669</v>
      </c>
      <c r="BP88" s="64">
        <f>IFERROR(1/J88*(Y88/H88),"0")</f>
        <v>0.16666666666666669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49.31481481481481</v>
      </c>
      <c r="Y89" s="555">
        <f>IFERROR(Y85/H85,"0")+IFERROR(Y86/H86,"0")+IFERROR(Y87/H87,"0")+IFERROR(Y88/H88,"0")</f>
        <v>50</v>
      </c>
      <c r="Z89" s="555">
        <f>IFERROR(IF(Z85="",0,Z85),"0")+IFERROR(IF(Z86="",0,Z86),"0")+IFERROR(IF(Z87="",0,Z87),"0")+IFERROR(IF(Z88="",0,Z88),"0")</f>
        <v>0.72988000000000008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394</v>
      </c>
      <c r="Y90" s="555">
        <f>IFERROR(SUM(Y85:Y88),"0")</f>
        <v>401.40000000000003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90</v>
      </c>
      <c r="Y103" s="554">
        <f>IFERROR(IF(X103="",0,CEILING((X103/$H103),1)*$H103),"")</f>
        <v>90</v>
      </c>
      <c r="Z103" s="36">
        <f>IFERROR(IF(Y103=0,"",ROUNDUP(Y103/H103,0)*0.00902),"")</f>
        <v>0.1804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93.800000000000011</v>
      </c>
      <c r="BN103" s="64">
        <f>IFERROR(Y103*I103/H103,"0")</f>
        <v>93.800000000000011</v>
      </c>
      <c r="BO103" s="64">
        <f>IFERROR(1/J103*(X103/H103),"0")</f>
        <v>0.15151515151515152</v>
      </c>
      <c r="BP103" s="64">
        <f>IFERROR(1/J103*(Y103/H103),"0")</f>
        <v>0.15151515151515152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20</v>
      </c>
      <c r="Y105" s="555">
        <f>IFERROR(Y100/H100,"0")+IFERROR(Y101/H101,"0")+IFERROR(Y102/H102,"0")+IFERROR(Y103/H103,"0")+IFERROR(Y104/H104,"0")</f>
        <v>20</v>
      </c>
      <c r="Z105" s="555">
        <f>IFERROR(IF(Z100="",0,Z100),"0")+IFERROR(IF(Z101="",0,Z101),"0")+IFERROR(IF(Z102="",0,Z102),"0")+IFERROR(IF(Z103="",0,Z103),"0")+IFERROR(IF(Z104="",0,Z104),"0")</f>
        <v>0.1804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90</v>
      </c>
      <c r="Y106" s="555">
        <f>IFERROR(SUM(Y100:Y104),"0")</f>
        <v>90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74</v>
      </c>
      <c r="Y111" s="554">
        <f>IFERROR(IF(X111="",0,CEILING((X111/$H111),1)*$H111),"")</f>
        <v>74.399999999999991</v>
      </c>
      <c r="Z111" s="36">
        <f>IFERROR(IF(Y111=0,"",ROUNDUP(Y111/H111,0)*0.00651),"")</f>
        <v>0.20181000000000002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79.550000000000011</v>
      </c>
      <c r="BN111" s="64">
        <f>IFERROR(Y111*I111/H111,"0")</f>
        <v>79.97999999999999</v>
      </c>
      <c r="BO111" s="64">
        <f>IFERROR(1/J111*(X111/H111),"0")</f>
        <v>0.16941391941391945</v>
      </c>
      <c r="BP111" s="64">
        <f>IFERROR(1/J111*(Y111/H111),"0")</f>
        <v>0.17032967032967034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30.833333333333336</v>
      </c>
      <c r="Y112" s="555">
        <f>IFERROR(Y108/H108,"0")+IFERROR(Y109/H109,"0")+IFERROR(Y110/H110,"0")+IFERROR(Y111/H111,"0")</f>
        <v>30.999999999999996</v>
      </c>
      <c r="Z112" s="555">
        <f>IFERROR(IF(Z108="",0,Z108),"0")+IFERROR(IF(Z109="",0,Z109),"0")+IFERROR(IF(Z110="",0,Z110),"0")+IFERROR(IF(Z111="",0,Z111),"0")</f>
        <v>0.20181000000000002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74</v>
      </c>
      <c r="Y113" s="555">
        <f>IFERROR(SUM(Y108:Y111),"0")</f>
        <v>74.399999999999991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744</v>
      </c>
      <c r="Y350" s="554">
        <f t="shared" ref="Y350:Y356" si="36">IFERROR(IF(X350="",0,CEILING((X350/$H350),1)*$H350),"")</f>
        <v>750</v>
      </c>
      <c r="Z350" s="36">
        <f>IFERROR(IF(Y350=0,"",ROUNDUP(Y350/H350,0)*0.02175),"")</f>
        <v>1.0874999999999999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767.31200000000001</v>
      </c>
      <c r="BN350" s="64">
        <f t="shared" ref="BN350:BN356" si="38">IFERROR(Y350*I350/H350,"0")</f>
        <v>773.5</v>
      </c>
      <c r="BO350" s="64">
        <f t="shared" ref="BO350:BO356" si="39">IFERROR(1/J350*(X350/H350),"0")</f>
        <v>1.0333333333333332</v>
      </c>
      <c r="BP350" s="64">
        <f t="shared" ref="BP350:BP356" si="40">IFERROR(1/J350*(Y350/H350),"0")</f>
        <v>1.0416666666666665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298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307.33733333333333</v>
      </c>
      <c r="BN351" s="64">
        <f t="shared" si="38"/>
        <v>309.39999999999998</v>
      </c>
      <c r="BO351" s="64">
        <f t="shared" si="39"/>
        <v>0.41388888888888886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489</v>
      </c>
      <c r="Y352" s="554">
        <f t="shared" si="36"/>
        <v>495</v>
      </c>
      <c r="Z352" s="36">
        <f>IFERROR(IF(Y352=0,"",ROUNDUP(Y352/H352,0)*0.02175),"")</f>
        <v>0.71775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504.322</v>
      </c>
      <c r="BN352" s="64">
        <f t="shared" si="38"/>
        <v>510.51000000000005</v>
      </c>
      <c r="BO352" s="64">
        <f t="shared" si="39"/>
        <v>0.6791666666666667</v>
      </c>
      <c r="BP352" s="64">
        <f t="shared" si="40"/>
        <v>0.6875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102.06666666666666</v>
      </c>
      <c r="Y357" s="555">
        <f>IFERROR(Y350/H350,"0")+IFERROR(Y351/H351,"0")+IFERROR(Y352/H352,"0")+IFERROR(Y353/H353,"0")+IFERROR(Y354/H354,"0")+IFERROR(Y355/H355,"0")+IFERROR(Y356/H356,"0")</f>
        <v>103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2.2402500000000001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1531</v>
      </c>
      <c r="Y358" s="555">
        <f>IFERROR(SUM(Y350:Y356),"0")</f>
        <v>1545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301</v>
      </c>
      <c r="Y433" s="554">
        <f t="shared" si="47"/>
        <v>306.24</v>
      </c>
      <c r="Z433" s="36">
        <f t="shared" si="48"/>
        <v>0.69367999999999996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320.9526515151515</v>
      </c>
      <c r="BN433" s="64">
        <f t="shared" si="50"/>
        <v>326.53999999999996</v>
      </c>
      <c r="BO433" s="64">
        <f t="shared" si="51"/>
        <v>0.54814976689976691</v>
      </c>
      <c r="BP433" s="64">
        <f t="shared" si="52"/>
        <v>0.55769230769230771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540</v>
      </c>
      <c r="Y435" s="554">
        <f t="shared" si="47"/>
        <v>543.84</v>
      </c>
      <c r="Z435" s="36">
        <f t="shared" si="48"/>
        <v>1.2318800000000001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575.7954545454545</v>
      </c>
      <c r="BN435" s="64">
        <f t="shared" si="50"/>
        <v>579.89</v>
      </c>
      <c r="BO435" s="64">
        <f t="shared" si="51"/>
        <v>0.98339160839160833</v>
      </c>
      <c r="BP435" s="64">
        <f t="shared" si="52"/>
        <v>0.99038461538461542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159.28030303030303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161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1.9255599999999999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841</v>
      </c>
      <c r="Y442" s="555">
        <f>IFERROR(SUM(Y429:Y440),"0")</f>
        <v>850.08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233</v>
      </c>
      <c r="Y444" s="554">
        <f>IFERROR(IF(X444="",0,CEILING((X444/$H444),1)*$H444),"")</f>
        <v>237.60000000000002</v>
      </c>
      <c r="Z444" s="36">
        <f>IFERROR(IF(Y444=0,"",ROUNDUP(Y444/H444,0)*0.01196),"")</f>
        <v>0.53820000000000001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248.44507575757575</v>
      </c>
      <c r="BN444" s="64">
        <f>IFERROR(Y444*I444/H444,"0")</f>
        <v>253.35</v>
      </c>
      <c r="BO444" s="64">
        <f>IFERROR(1/J444*(X444/H444),"0")</f>
        <v>0.42431526806526804</v>
      </c>
      <c r="BP444" s="64">
        <f>IFERROR(1/J444*(Y444/H444),"0")</f>
        <v>0.43269230769230771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44.128787878787875</v>
      </c>
      <c r="Y447" s="555">
        <f>IFERROR(Y444/H444,"0")+IFERROR(Y445/H445,"0")+IFERROR(Y446/H446,"0")</f>
        <v>45</v>
      </c>
      <c r="Z447" s="555">
        <f>IFERROR(IF(Z444="",0,Z444),"0")+IFERROR(IF(Z445="",0,Z445),"0")+IFERROR(IF(Z446="",0,Z446),"0")</f>
        <v>0.53820000000000001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233</v>
      </c>
      <c r="Y448" s="555">
        <f>IFERROR(SUM(Y444:Y446),"0")</f>
        <v>237.60000000000002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149</v>
      </c>
      <c r="Y452" s="554">
        <f t="shared" si="53"/>
        <v>153.12</v>
      </c>
      <c r="Z452" s="36">
        <f>IFERROR(IF(Y452=0,"",ROUNDUP(Y452/H452,0)*0.01196),"")</f>
        <v>0.34683999999999998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158.87689393939394</v>
      </c>
      <c r="BN452" s="64">
        <f t="shared" si="55"/>
        <v>163.26999999999998</v>
      </c>
      <c r="BO452" s="64">
        <f t="shared" si="56"/>
        <v>0.27134324009324012</v>
      </c>
      <c r="BP452" s="64">
        <f t="shared" si="57"/>
        <v>0.27884615384615385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28.219696969696969</v>
      </c>
      <c r="Y456" s="555">
        <f>IFERROR(Y450/H450,"0")+IFERROR(Y451/H451,"0")+IFERROR(Y452/H452,"0")+IFERROR(Y453/H453,"0")+IFERROR(Y454/H454,"0")+IFERROR(Y455/H455,"0")</f>
        <v>29</v>
      </c>
      <c r="Z456" s="555">
        <f>IFERROR(IF(Z450="",0,Z450),"0")+IFERROR(IF(Z451="",0,Z451),"0")+IFERROR(IF(Z452="",0,Z452),"0")+IFERROR(IF(Z453="",0,Z453),"0")+IFERROR(IF(Z454="",0,Z454),"0")+IFERROR(IF(Z455="",0,Z455),"0")</f>
        <v>0.34683999999999998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149</v>
      </c>
      <c r="Y457" s="555">
        <f>IFERROR(SUM(Y450:Y455),"0")</f>
        <v>153.12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4452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4526.7000000000007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4650.8584200304203</v>
      </c>
      <c r="Y496" s="555">
        <f>IFERROR(SUM(BN22:BN492),"0")</f>
        <v>4728.8600000000006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8</v>
      </c>
      <c r="Y497" s="38">
        <f>ROUNDUP(SUM(BP22:BP492),0)</f>
        <v>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4850.8584200304203</v>
      </c>
      <c r="Y498" s="555">
        <f>GrossWeightTotalR+PalletQtyTotalR*25</f>
        <v>4928.8600000000006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567.89526149526148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577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8.3240199999999991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599.5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575.6</v>
      </c>
      <c r="E505" s="46">
        <f>IFERROR(Y85*1,"0")+IFERROR(Y86*1,"0")+IFERROR(Y87*1,"0")+IFERROR(Y88*1,"0")+IFERROR(Y92*1,"0")+IFERROR(Y93*1,"0")+IFERROR(Y94*1,"0")+IFERROR(Y95*1,"0")</f>
        <v>401.40000000000003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164.39999999999998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1545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1240.8000000000002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2026-01-12T07:48:05Z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