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2C59CC1A-AF11-478F-9AF0-446253FE749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Y479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6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Y425" i="1"/>
  <c r="X425" i="1"/>
  <c r="X424" i="1"/>
  <c r="BP423" i="1"/>
  <c r="BO423" i="1"/>
  <c r="BN423" i="1"/>
  <c r="BM423" i="1"/>
  <c r="Z423" i="1"/>
  <c r="Z424" i="1" s="1"/>
  <c r="Y423" i="1"/>
  <c r="Y424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BP417" i="1" s="1"/>
  <c r="P417" i="1"/>
  <c r="BP416" i="1"/>
  <c r="BO416" i="1"/>
  <c r="BN416" i="1"/>
  <c r="BM416" i="1"/>
  <c r="Z416" i="1"/>
  <c r="Y416" i="1"/>
  <c r="P416" i="1"/>
  <c r="BO415" i="1"/>
  <c r="BM415" i="1"/>
  <c r="Y415" i="1"/>
  <c r="Y420" i="1" s="1"/>
  <c r="P415" i="1"/>
  <c r="X413" i="1"/>
  <c r="X412" i="1"/>
  <c r="BO411" i="1"/>
  <c r="BM411" i="1"/>
  <c r="Y411" i="1"/>
  <c r="V505" i="1" s="1"/>
  <c r="P411" i="1"/>
  <c r="X408" i="1"/>
  <c r="X407" i="1"/>
  <c r="BO406" i="1"/>
  <c r="BM406" i="1"/>
  <c r="Y406" i="1"/>
  <c r="BP406" i="1" s="1"/>
  <c r="P406" i="1"/>
  <c r="BP405" i="1"/>
  <c r="BO405" i="1"/>
  <c r="BN405" i="1"/>
  <c r="BM405" i="1"/>
  <c r="Z405" i="1"/>
  <c r="Y405" i="1"/>
  <c r="Y407" i="1" s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U505" i="1" s="1"/>
  <c r="P393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Y388" i="1" s="1"/>
  <c r="P386" i="1"/>
  <c r="BP385" i="1"/>
  <c r="BO385" i="1"/>
  <c r="BN385" i="1"/>
  <c r="BM385" i="1"/>
  <c r="Z385" i="1"/>
  <c r="Y385" i="1"/>
  <c r="P385" i="1"/>
  <c r="X383" i="1"/>
  <c r="Y382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Y367" i="1" s="1"/>
  <c r="P365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Y358" i="1" s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Y345" i="1" s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Y326" i="1" s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Y312" i="1" s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Y284" i="1" s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Y259" i="1" s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0" i="1" s="1"/>
  <c r="P228" i="1"/>
  <c r="X226" i="1"/>
  <c r="X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Y213" i="1" s="1"/>
  <c r="P205" i="1"/>
  <c r="X203" i="1"/>
  <c r="X202" i="1"/>
  <c r="BO201" i="1"/>
  <c r="BM201" i="1"/>
  <c r="Y201" i="1"/>
  <c r="Y203" i="1" s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J505" i="1" s="1"/>
  <c r="P195" i="1"/>
  <c r="X192" i="1"/>
  <c r="X191" i="1"/>
  <c r="BO190" i="1"/>
  <c r="BM190" i="1"/>
  <c r="Y190" i="1"/>
  <c r="Y192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Y188" i="1" s="1"/>
  <c r="P184" i="1"/>
  <c r="X182" i="1"/>
  <c r="X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BO167" i="1"/>
  <c r="BM167" i="1"/>
  <c r="Y167" i="1"/>
  <c r="Y182" i="1" s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Y154" i="1" s="1"/>
  <c r="P148" i="1"/>
  <c r="X146" i="1"/>
  <c r="X145" i="1"/>
  <c r="BO144" i="1"/>
  <c r="BM144" i="1"/>
  <c r="Y144" i="1"/>
  <c r="Y146" i="1" s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Y135" i="1" s="1"/>
  <c r="P133" i="1"/>
  <c r="BP132" i="1"/>
  <c r="BO132" i="1"/>
  <c r="BN132" i="1"/>
  <c r="BM132" i="1"/>
  <c r="Z132" i="1"/>
  <c r="Y132" i="1"/>
  <c r="Y134" i="1" s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G505" i="1" s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0" i="1" s="1"/>
  <c r="P116" i="1"/>
  <c r="BP115" i="1"/>
  <c r="BO115" i="1"/>
  <c r="BN115" i="1"/>
  <c r="BM115" i="1"/>
  <c r="Z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2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F505" i="1" s="1"/>
  <c r="P100" i="1"/>
  <c r="X97" i="1"/>
  <c r="X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Y97" i="1" s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505" i="1" s="1"/>
  <c r="P85" i="1"/>
  <c r="X82" i="1"/>
  <c r="X81" i="1"/>
  <c r="BO80" i="1"/>
  <c r="BM80" i="1"/>
  <c r="Y80" i="1"/>
  <c r="Y82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P62" i="1"/>
  <c r="BP61" i="1"/>
  <c r="BO61" i="1"/>
  <c r="BN61" i="1"/>
  <c r="BM61" i="1"/>
  <c r="Z61" i="1"/>
  <c r="Y61" i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5" i="1" s="1"/>
  <c r="X24" i="1"/>
  <c r="BP23" i="1"/>
  <c r="BO23" i="1"/>
  <c r="BN23" i="1"/>
  <c r="BM23" i="1"/>
  <c r="Z23" i="1"/>
  <c r="Y23" i="1"/>
  <c r="P23" i="1"/>
  <c r="BO22" i="1"/>
  <c r="X497" i="1" s="1"/>
  <c r="BM22" i="1"/>
  <c r="X496" i="1" s="1"/>
  <c r="Y22" i="1"/>
  <c r="B505" i="1" s="1"/>
  <c r="P22" i="1"/>
  <c r="H10" i="1"/>
  <c r="A9" i="1"/>
  <c r="F10" i="1" s="1"/>
  <c r="D7" i="1"/>
  <c r="Q6" i="1"/>
  <c r="P2" i="1"/>
  <c r="Y24" i="1" l="1"/>
  <c r="Y32" i="1"/>
  <c r="BP54" i="1"/>
  <c r="BN54" i="1"/>
  <c r="Z54" i="1"/>
  <c r="BP74" i="1"/>
  <c r="BN74" i="1"/>
  <c r="Z74" i="1"/>
  <c r="H9" i="1"/>
  <c r="A10" i="1"/>
  <c r="X498" i="1"/>
  <c r="Y44" i="1"/>
  <c r="Y58" i="1"/>
  <c r="BP62" i="1"/>
  <c r="BN62" i="1"/>
  <c r="Z62" i="1"/>
  <c r="Z64" i="1" s="1"/>
  <c r="F9" i="1"/>
  <c r="J9" i="1"/>
  <c r="Z22" i="1"/>
  <c r="Z24" i="1" s="1"/>
  <c r="BN22" i="1"/>
  <c r="BP22" i="1"/>
  <c r="X499" i="1"/>
  <c r="Y25" i="1"/>
  <c r="Z28" i="1"/>
  <c r="Z32" i="1" s="1"/>
  <c r="BN28" i="1"/>
  <c r="Z30" i="1"/>
  <c r="BN30" i="1"/>
  <c r="C505" i="1"/>
  <c r="Z42" i="1"/>
  <c r="Z44" i="1" s="1"/>
  <c r="BN42" i="1"/>
  <c r="Y45" i="1"/>
  <c r="Y48" i="1"/>
  <c r="BP47" i="1"/>
  <c r="BN47" i="1"/>
  <c r="Z47" i="1"/>
  <c r="Z48" i="1" s="1"/>
  <c r="Y49" i="1"/>
  <c r="D505" i="1"/>
  <c r="Y59" i="1"/>
  <c r="BP52" i="1"/>
  <c r="BN52" i="1"/>
  <c r="Z52" i="1"/>
  <c r="BP56" i="1"/>
  <c r="BN56" i="1"/>
  <c r="Z56" i="1"/>
  <c r="Y65" i="1"/>
  <c r="Y64" i="1"/>
  <c r="BP68" i="1"/>
  <c r="BN68" i="1"/>
  <c r="Z68" i="1"/>
  <c r="Z69" i="1" s="1"/>
  <c r="Y70" i="1"/>
  <c r="Y76" i="1"/>
  <c r="Y77" i="1"/>
  <c r="BP72" i="1"/>
  <c r="BN72" i="1"/>
  <c r="Z72" i="1"/>
  <c r="Z76" i="1" s="1"/>
  <c r="Z80" i="1"/>
  <c r="Z81" i="1" s="1"/>
  <c r="BN80" i="1"/>
  <c r="BP80" i="1"/>
  <c r="Z85" i="1"/>
  <c r="Z89" i="1" s="1"/>
  <c r="BN85" i="1"/>
  <c r="BP85" i="1"/>
  <c r="Z87" i="1"/>
  <c r="BN87" i="1"/>
  <c r="Y90" i="1"/>
  <c r="Z93" i="1"/>
  <c r="Z96" i="1" s="1"/>
  <c r="BN93" i="1"/>
  <c r="BP93" i="1"/>
  <c r="Z95" i="1"/>
  <c r="BN95" i="1"/>
  <c r="Z100" i="1"/>
  <c r="BN100" i="1"/>
  <c r="BP100" i="1"/>
  <c r="Z102" i="1"/>
  <c r="BN102" i="1"/>
  <c r="Z104" i="1"/>
  <c r="BN104" i="1"/>
  <c r="Y105" i="1"/>
  <c r="Z108" i="1"/>
  <c r="BN108" i="1"/>
  <c r="BP108" i="1"/>
  <c r="Z110" i="1"/>
  <c r="BN110" i="1"/>
  <c r="Y113" i="1"/>
  <c r="Z116" i="1"/>
  <c r="Z119" i="1" s="1"/>
  <c r="BN116" i="1"/>
  <c r="BP116" i="1"/>
  <c r="Z118" i="1"/>
  <c r="BN118" i="1"/>
  <c r="Z122" i="1"/>
  <c r="Z123" i="1" s="1"/>
  <c r="BN122" i="1"/>
  <c r="BP122" i="1"/>
  <c r="Y123" i="1"/>
  <c r="Z127" i="1"/>
  <c r="Z129" i="1" s="1"/>
  <c r="BN127" i="1"/>
  <c r="BP127" i="1"/>
  <c r="Y130" i="1"/>
  <c r="Z133" i="1"/>
  <c r="Z134" i="1" s="1"/>
  <c r="BN133" i="1"/>
  <c r="BP133" i="1"/>
  <c r="Z137" i="1"/>
  <c r="Z139" i="1" s="1"/>
  <c r="BN137" i="1"/>
  <c r="BP137" i="1"/>
  <c r="Y140" i="1"/>
  <c r="H505" i="1"/>
  <c r="Z144" i="1"/>
  <c r="Z145" i="1" s="1"/>
  <c r="BN144" i="1"/>
  <c r="BP144" i="1"/>
  <c r="Y145" i="1"/>
  <c r="Z148" i="1"/>
  <c r="BN148" i="1"/>
  <c r="BP148" i="1"/>
  <c r="Z150" i="1"/>
  <c r="BN150" i="1"/>
  <c r="Z152" i="1"/>
  <c r="BN152" i="1"/>
  <c r="Y155" i="1"/>
  <c r="I505" i="1"/>
  <c r="Y165" i="1"/>
  <c r="Z167" i="1"/>
  <c r="Z181" i="1" s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Y181" i="1"/>
  <c r="Z184" i="1"/>
  <c r="Z187" i="1" s="1"/>
  <c r="BN184" i="1"/>
  <c r="BP184" i="1"/>
  <c r="Z186" i="1"/>
  <c r="BN186" i="1"/>
  <c r="Y187" i="1"/>
  <c r="Z190" i="1"/>
  <c r="Z191" i="1" s="1"/>
  <c r="BN190" i="1"/>
  <c r="BP190" i="1"/>
  <c r="Y191" i="1"/>
  <c r="Z195" i="1"/>
  <c r="Z197" i="1" s="1"/>
  <c r="BN195" i="1"/>
  <c r="BP195" i="1"/>
  <c r="Y198" i="1"/>
  <c r="Z201" i="1"/>
  <c r="Z202" i="1" s="1"/>
  <c r="BN201" i="1"/>
  <c r="BP201" i="1"/>
  <c r="Z205" i="1"/>
  <c r="BN205" i="1"/>
  <c r="BP205" i="1"/>
  <c r="Z207" i="1"/>
  <c r="BN207" i="1"/>
  <c r="Z209" i="1"/>
  <c r="BN209" i="1"/>
  <c r="BP210" i="1"/>
  <c r="BN210" i="1"/>
  <c r="Z210" i="1"/>
  <c r="Y89" i="1"/>
  <c r="Y106" i="1"/>
  <c r="Y129" i="1"/>
  <c r="Y197" i="1"/>
  <c r="BP212" i="1"/>
  <c r="BN212" i="1"/>
  <c r="Z212" i="1"/>
  <c r="Y214" i="1"/>
  <c r="Y226" i="1"/>
  <c r="Y225" i="1"/>
  <c r="BP216" i="1"/>
  <c r="BN216" i="1"/>
  <c r="Z216" i="1"/>
  <c r="Z225" i="1" s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Y231" i="1"/>
  <c r="K505" i="1"/>
  <c r="Z235" i="1"/>
  <c r="Z243" i="1" s="1"/>
  <c r="BN235" i="1"/>
  <c r="Z237" i="1"/>
  <c r="BN237" i="1"/>
  <c r="Z239" i="1"/>
  <c r="BN239" i="1"/>
  <c r="Z241" i="1"/>
  <c r="BN241" i="1"/>
  <c r="Y244" i="1"/>
  <c r="Z255" i="1"/>
  <c r="Z259" i="1" s="1"/>
  <c r="BN255" i="1"/>
  <c r="BP255" i="1"/>
  <c r="Z257" i="1"/>
  <c r="BN257" i="1"/>
  <c r="L505" i="1"/>
  <c r="Y269" i="1"/>
  <c r="Z264" i="1"/>
  <c r="BN264" i="1"/>
  <c r="Z266" i="1"/>
  <c r="BN266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Z338" i="1"/>
  <c r="BP336" i="1"/>
  <c r="BN336" i="1"/>
  <c r="Z336" i="1"/>
  <c r="BP351" i="1"/>
  <c r="BN351" i="1"/>
  <c r="Z351" i="1"/>
  <c r="BP355" i="1"/>
  <c r="BN355" i="1"/>
  <c r="Z355" i="1"/>
  <c r="Y362" i="1"/>
  <c r="BP376" i="1"/>
  <c r="BN376" i="1"/>
  <c r="Z376" i="1"/>
  <c r="Z377" i="1" s="1"/>
  <c r="Y378" i="1"/>
  <c r="Y383" i="1"/>
  <c r="BP380" i="1"/>
  <c r="BN380" i="1"/>
  <c r="Z380" i="1"/>
  <c r="Z382" i="1" s="1"/>
  <c r="Y389" i="1"/>
  <c r="BP394" i="1"/>
  <c r="BN394" i="1"/>
  <c r="Z394" i="1"/>
  <c r="Z402" i="1" s="1"/>
  <c r="Y402" i="1"/>
  <c r="BP398" i="1"/>
  <c r="BN398" i="1"/>
  <c r="Z398" i="1"/>
  <c r="Y243" i="1"/>
  <c r="Z268" i="1"/>
  <c r="BP275" i="1"/>
  <c r="BN275" i="1"/>
  <c r="Z275" i="1"/>
  <c r="Y277" i="1"/>
  <c r="Y283" i="1"/>
  <c r="BP280" i="1"/>
  <c r="BN280" i="1"/>
  <c r="Z280" i="1"/>
  <c r="Z283" i="1" s="1"/>
  <c r="O505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Z312" i="1" s="1"/>
  <c r="BP310" i="1"/>
  <c r="BN310" i="1"/>
  <c r="Z310" i="1"/>
  <c r="BP318" i="1"/>
  <c r="BN318" i="1"/>
  <c r="Z318" i="1"/>
  <c r="Y320" i="1"/>
  <c r="Y325" i="1"/>
  <c r="BP322" i="1"/>
  <c r="BN322" i="1"/>
  <c r="Z322" i="1"/>
  <c r="Z325" i="1" s="1"/>
  <c r="BP330" i="1"/>
  <c r="BN330" i="1"/>
  <c r="Z330" i="1"/>
  <c r="BP343" i="1"/>
  <c r="BN343" i="1"/>
  <c r="Z343" i="1"/>
  <c r="Z345" i="1" s="1"/>
  <c r="BP353" i="1"/>
  <c r="BN353" i="1"/>
  <c r="Z353" i="1"/>
  <c r="Z357" i="1" s="1"/>
  <c r="Y357" i="1"/>
  <c r="BP361" i="1"/>
  <c r="BN361" i="1"/>
  <c r="Z361" i="1"/>
  <c r="Z362" i="1" s="1"/>
  <c r="Y363" i="1"/>
  <c r="Y368" i="1"/>
  <c r="BP365" i="1"/>
  <c r="BN365" i="1"/>
  <c r="Z365" i="1"/>
  <c r="Z367" i="1" s="1"/>
  <c r="BP386" i="1"/>
  <c r="BN386" i="1"/>
  <c r="Z386" i="1"/>
  <c r="Z388" i="1" s="1"/>
  <c r="BP396" i="1"/>
  <c r="BN396" i="1"/>
  <c r="Z396" i="1"/>
  <c r="BP400" i="1"/>
  <c r="BN400" i="1"/>
  <c r="Z400" i="1"/>
  <c r="Y408" i="1"/>
  <c r="Y413" i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BP453" i="1"/>
  <c r="BN453" i="1"/>
  <c r="Z453" i="1"/>
  <c r="BP467" i="1"/>
  <c r="BN467" i="1"/>
  <c r="Z467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S505" i="1"/>
  <c r="M505" i="1"/>
  <c r="Y276" i="1"/>
  <c r="R505" i="1"/>
  <c r="Y346" i="1"/>
  <c r="T505" i="1"/>
  <c r="Y377" i="1"/>
  <c r="Y403" i="1"/>
  <c r="Z406" i="1"/>
  <c r="Z407" i="1" s="1"/>
  <c r="BN406" i="1"/>
  <c r="Z411" i="1"/>
  <c r="Z412" i="1" s="1"/>
  <c r="BN411" i="1"/>
  <c r="BP411" i="1"/>
  <c r="Y412" i="1"/>
  <c r="Z415" i="1"/>
  <c r="Z419" i="1" s="1"/>
  <c r="BN415" i="1"/>
  <c r="BP415" i="1"/>
  <c r="Z417" i="1"/>
  <c r="BN417" i="1"/>
  <c r="BP431" i="1"/>
  <c r="BN431" i="1"/>
  <c r="Z431" i="1"/>
  <c r="BP435" i="1"/>
  <c r="BN435" i="1"/>
  <c r="Z435" i="1"/>
  <c r="BP439" i="1"/>
  <c r="BN439" i="1"/>
  <c r="Z439" i="1"/>
  <c r="Y448" i="1"/>
  <c r="Y447" i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Z474" i="1" s="1"/>
  <c r="Y475" i="1"/>
  <c r="Y480" i="1"/>
  <c r="BP477" i="1"/>
  <c r="BN477" i="1"/>
  <c r="Z477" i="1"/>
  <c r="Z479" i="1" s="1"/>
  <c r="Y488" i="1"/>
  <c r="Y505" i="1"/>
  <c r="Z319" i="1" l="1"/>
  <c r="Z276" i="1"/>
  <c r="Z213" i="1"/>
  <c r="Z112" i="1"/>
  <c r="Z105" i="1"/>
  <c r="Y496" i="1"/>
  <c r="Y499" i="1"/>
  <c r="Z441" i="1"/>
  <c r="Z332" i="1"/>
  <c r="Z154" i="1"/>
  <c r="Z58" i="1"/>
  <c r="Y495" i="1"/>
  <c r="Y497" i="1"/>
  <c r="Z500" i="1"/>
  <c r="Y498" i="1" l="1"/>
</calcChain>
</file>

<file path=xl/sharedStrings.xml><?xml version="1.0" encoding="utf-8"?>
<sst xmlns="http://schemas.openxmlformats.org/spreadsheetml/2006/main" count="2320" uniqueCount="781">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</sst>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5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388</v>
      </c>
      <c r="Y100" s="554">
        <f>IFERROR(IF(X100="",0,CEILING((X100/$H100),1)*$H100),"")</f>
        <v>388.8</v>
      </c>
      <c r="Z100" s="36">
        <f>IFERROR(IF(Y100=0,"",ROUNDUP(Y100/H100,0)*0.01898),"")</f>
        <v>0.68328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402.72962962962964</v>
      </c>
      <c r="BN100" s="64">
        <f>IFERROR(Y100*I100/H100,"0")</f>
        <v>403.56</v>
      </c>
      <c r="BO100" s="64">
        <f>IFERROR(1/J100*(X100/H100),"0")</f>
        <v>0.56134259259259256</v>
      </c>
      <c r="BP100" s="64">
        <f>IFERROR(1/J100*(Y100/H100),"0")</f>
        <v>0.5625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48</v>
      </c>
      <c r="Y103" s="554">
        <f>IFERROR(IF(X103="",0,CEILING((X103/$H103),1)*$H103),"")</f>
        <v>49.5</v>
      </c>
      <c r="Z103" s="36">
        <f>IFERROR(IF(Y103=0,"",ROUNDUP(Y103/H103,0)*0.00902),"")</f>
        <v>9.9220000000000003E-2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50.026666666666671</v>
      </c>
      <c r="BN103" s="64">
        <f>IFERROR(Y103*I103/H103,"0")</f>
        <v>51.59</v>
      </c>
      <c r="BO103" s="64">
        <f>IFERROR(1/J103*(X103/H103),"0")</f>
        <v>8.0808080808080801E-2</v>
      </c>
      <c r="BP103" s="64">
        <f>IFERROR(1/J103*(Y103/H103),"0")</f>
        <v>8.3333333333333343E-2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46.592592592592588</v>
      </c>
      <c r="Y105" s="555">
        <f>IFERROR(Y100/H100,"0")+IFERROR(Y101/H101,"0")+IFERROR(Y102/H102,"0")+IFERROR(Y103/H103,"0")+IFERROR(Y104/H104,"0")</f>
        <v>47</v>
      </c>
      <c r="Z105" s="555">
        <f>IFERROR(IF(Z100="",0,Z100),"0")+IFERROR(IF(Z101="",0,Z101),"0")+IFERROR(IF(Z102="",0,Z102),"0")+IFERROR(IF(Z103="",0,Z103),"0")+IFERROR(IF(Z104="",0,Z104),"0")</f>
        <v>0.78249999999999997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436</v>
      </c>
      <c r="Y106" s="555">
        <f>IFERROR(SUM(Y100:Y104),"0")</f>
        <v>438.3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4301031450</v>
      </c>
      <c r="D148" s="560">
        <v>4680115887428</v>
      </c>
      <c r="E148" s="561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4301030895</v>
      </c>
      <c r="D149" s="560">
        <v>4607091387667</v>
      </c>
      <c r="E149" s="561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7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706</v>
      </c>
      <c r="Y350" s="554">
        <f t="shared" ref="Y350:Y356" si="36">IFERROR(IF(X350="",0,CEILING((X350/$H350),1)*$H350),"")</f>
        <v>720</v>
      </c>
      <c r="Z350" s="36">
        <f>IFERROR(IF(Y350=0,"",ROUNDUP(Y350/H350,0)*0.02175),"")</f>
        <v>1.044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728.12133333333327</v>
      </c>
      <c r="BN350" s="64">
        <f t="shared" ref="BN350:BN356" si="38">IFERROR(Y350*I350/H350,"0")</f>
        <v>742.56</v>
      </c>
      <c r="BO350" s="64">
        <f t="shared" ref="BO350:BO356" si="39">IFERROR(1/J350*(X350/H350),"0")</f>
        <v>0.98055555555555562</v>
      </c>
      <c r="BP350" s="64">
        <f t="shared" ref="BP350:BP356" si="40">IFERROR(1/J350*(Y350/H350),"0")</f>
        <v>1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173</v>
      </c>
      <c r="Y351" s="554">
        <f t="shared" si="36"/>
        <v>180</v>
      </c>
      <c r="Z351" s="36">
        <f>IFERROR(IF(Y351=0,"",ROUNDUP(Y351/H351,0)*0.02175),"")</f>
        <v>0.26100000000000001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178.42066666666668</v>
      </c>
      <c r="BN351" s="64">
        <f t="shared" si="38"/>
        <v>185.64</v>
      </c>
      <c r="BO351" s="64">
        <f t="shared" si="39"/>
        <v>0.24027777777777776</v>
      </c>
      <c r="BP351" s="64">
        <f t="shared" si="40"/>
        <v>0.25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592</v>
      </c>
      <c r="Y353" s="554">
        <f t="shared" si="36"/>
        <v>600</v>
      </c>
      <c r="Z353" s="36">
        <f>IFERROR(IF(Y353=0,"",ROUNDUP(Y353/H353,0)*0.02175),"")</f>
        <v>0.86999999999999988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610.54933333333327</v>
      </c>
      <c r="BN353" s="64">
        <f t="shared" si="38"/>
        <v>618.79999999999995</v>
      </c>
      <c r="BO353" s="64">
        <f t="shared" si="39"/>
        <v>0.82222222222222219</v>
      </c>
      <c r="BP353" s="64">
        <f t="shared" si="40"/>
        <v>0.83333333333333326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98.066666666666663</v>
      </c>
      <c r="Y357" s="555">
        <f>IFERROR(Y350/H350,"0")+IFERROR(Y351/H351,"0")+IFERROR(Y352/H352,"0")+IFERROR(Y353/H353,"0")+IFERROR(Y354/H354,"0")+IFERROR(Y355/H355,"0")+IFERROR(Y356/H356,"0")</f>
        <v>100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2.1749999999999998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1471</v>
      </c>
      <c r="Y358" s="555">
        <f>IFERROR(SUM(Y350:Y356),"0")</f>
        <v>1500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688</v>
      </c>
      <c r="Y360" s="554">
        <f>IFERROR(IF(X360="",0,CEILING((X360/$H360),1)*$H360),"")</f>
        <v>690</v>
      </c>
      <c r="Z360" s="36">
        <f>IFERROR(IF(Y360=0,"",ROUNDUP(Y360/H360,0)*0.02175),"")</f>
        <v>1.0004999999999999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709.55733333333342</v>
      </c>
      <c r="BN360" s="64">
        <f>IFERROR(Y360*I360/H360,"0")</f>
        <v>711.62000000000012</v>
      </c>
      <c r="BO360" s="64">
        <f>IFERROR(1/J360*(X360/H360),"0")</f>
        <v>0.95555555555555549</v>
      </c>
      <c r="BP360" s="64">
        <f>IFERROR(1/J360*(Y360/H360),"0")</f>
        <v>0.95833333333333326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45.866666666666667</v>
      </c>
      <c r="Y362" s="555">
        <f>IFERROR(Y360/H360,"0")+IFERROR(Y361/H361,"0")</f>
        <v>46</v>
      </c>
      <c r="Z362" s="555">
        <f>IFERROR(IF(Z360="",0,Z360),"0")+IFERROR(IF(Z361="",0,Z361),"0")</f>
        <v>1.0004999999999999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688</v>
      </c>
      <c r="Y363" s="555">
        <f>IFERROR(SUM(Y360:Y361),"0")</f>
        <v>690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773</v>
      </c>
      <c r="Y433" s="554">
        <f t="shared" si="47"/>
        <v>776.16000000000008</v>
      </c>
      <c r="Z433" s="36">
        <f t="shared" si="48"/>
        <v>1.7581200000000001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824.24053030303025</v>
      </c>
      <c r="BN433" s="64">
        <f t="shared" si="50"/>
        <v>827.61</v>
      </c>
      <c r="BO433" s="64">
        <f t="shared" si="51"/>
        <v>1.4077068764568765</v>
      </c>
      <c r="BP433" s="64">
        <f t="shared" si="52"/>
        <v>1.4134615384615385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965</v>
      </c>
      <c r="Y435" s="554">
        <f t="shared" si="47"/>
        <v>966.24</v>
      </c>
      <c r="Z435" s="36">
        <f t="shared" si="48"/>
        <v>2.1886800000000002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1028.967803030303</v>
      </c>
      <c r="BN435" s="64">
        <f t="shared" si="50"/>
        <v>1030.29</v>
      </c>
      <c r="BO435" s="64">
        <f t="shared" si="51"/>
        <v>1.7573572261072261</v>
      </c>
      <c r="BP435" s="64">
        <f t="shared" si="52"/>
        <v>1.7596153846153848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329.16666666666663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330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3.9468000000000005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1738</v>
      </c>
      <c r="Y442" s="555">
        <f>IFERROR(SUM(Y429:Y440),"0")</f>
        <v>1742.4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636</v>
      </c>
      <c r="Y444" s="554">
        <f>IFERROR(IF(X444="",0,CEILING((X444/$H444),1)*$H444),"")</f>
        <v>638.88</v>
      </c>
      <c r="Z444" s="36">
        <f>IFERROR(IF(Y444=0,"",ROUNDUP(Y444/H444,0)*0.01196),"")</f>
        <v>1.44716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678.15909090909088</v>
      </c>
      <c r="BN444" s="64">
        <f>IFERROR(Y444*I444/H444,"0")</f>
        <v>681.23</v>
      </c>
      <c r="BO444" s="64">
        <f>IFERROR(1/J444*(X444/H444),"0")</f>
        <v>1.1582167832167833</v>
      </c>
      <c r="BP444" s="64">
        <f>IFERROR(1/J444*(Y444/H444),"0")</f>
        <v>1.1634615384615385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120.45454545454545</v>
      </c>
      <c r="Y447" s="555">
        <f>IFERROR(Y444/H444,"0")+IFERROR(Y445/H445,"0")+IFERROR(Y446/H446,"0")</f>
        <v>121</v>
      </c>
      <c r="Z447" s="555">
        <f>IFERROR(IF(Z444="",0,Z444),"0")+IFERROR(IF(Z445="",0,Z445),"0")+IFERROR(IF(Z446="",0,Z446),"0")</f>
        <v>1.44716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636</v>
      </c>
      <c r="Y448" s="555">
        <f>IFERROR(SUM(Y444:Y446),"0")</f>
        <v>638.88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186</v>
      </c>
      <c r="Y451" s="554">
        <f t="shared" si="53"/>
        <v>190.08</v>
      </c>
      <c r="Z451" s="36">
        <f>IFERROR(IF(Y451=0,"",ROUNDUP(Y451/H451,0)*0.01196),"")</f>
        <v>0.43056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198.32954545454547</v>
      </c>
      <c r="BN451" s="64">
        <f t="shared" si="55"/>
        <v>202.67999999999998</v>
      </c>
      <c r="BO451" s="64">
        <f t="shared" si="56"/>
        <v>0.33872377622377625</v>
      </c>
      <c r="BP451" s="64">
        <f t="shared" si="57"/>
        <v>0.34615384615384615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432</v>
      </c>
      <c r="Y452" s="554">
        <f t="shared" si="53"/>
        <v>432.96000000000004</v>
      </c>
      <c r="Z452" s="36">
        <f>IFERROR(IF(Y452=0,"",ROUNDUP(Y452/H452,0)*0.01196),"")</f>
        <v>0.98072000000000004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460.63636363636357</v>
      </c>
      <c r="BN452" s="64">
        <f t="shared" si="55"/>
        <v>461.66</v>
      </c>
      <c r="BO452" s="64">
        <f t="shared" si="56"/>
        <v>0.78671328671328666</v>
      </c>
      <c r="BP452" s="64">
        <f t="shared" si="57"/>
        <v>0.78846153846153855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117.04545454545453</v>
      </c>
      <c r="Y456" s="555">
        <f>IFERROR(Y450/H450,"0")+IFERROR(Y451/H451,"0")+IFERROR(Y452/H452,"0")+IFERROR(Y453/H453,"0")+IFERROR(Y454/H454,"0")+IFERROR(Y455/H455,"0")</f>
        <v>118</v>
      </c>
      <c r="Z456" s="555">
        <f>IFERROR(IF(Z450="",0,Z450),"0")+IFERROR(IF(Z451="",0,Z451),"0")+IFERROR(IF(Z452="",0,Z452),"0")+IFERROR(IF(Z453="",0,Z453),"0")+IFERROR(IF(Z454="",0,Z454),"0")+IFERROR(IF(Z455="",0,Z455),"0")</f>
        <v>1.4112800000000001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618</v>
      </c>
      <c r="Y457" s="555">
        <f>IFERROR(SUM(Y450:Y455),"0")</f>
        <v>623.04000000000008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5587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5632.6200000000008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5869.7382962962956</v>
      </c>
      <c r="Y496" s="555">
        <f>IFERROR(SUM(BN22:BN492),"0")</f>
        <v>5917.24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10</v>
      </c>
      <c r="Y497" s="38">
        <f>ROUNDUP(SUM(BP22:BP492),0)</f>
        <v>10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6119.7382962962956</v>
      </c>
      <c r="Y498" s="555">
        <f>GrossWeightTotalR+PalletQtyTotalR*25</f>
        <v>6167.24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757.19259259259252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762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10.76324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0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438.3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2190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3004.32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2026-01-12T07:46:28Z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