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08,01,26 ПОКОМ КИ филиалы\"/>
    </mc:Choice>
  </mc:AlternateContent>
  <xr:revisionPtr revIDLastSave="0" documentId="13_ncr:1_{A12CE3F0-9DC5-4D44-9998-58B92947994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Sheet!$A$3:$AK$98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9" i="1" l="1"/>
  <c r="W10" i="1"/>
  <c r="W12" i="1"/>
  <c r="W13" i="1"/>
  <c r="AK13" i="1" s="1"/>
  <c r="W14" i="1"/>
  <c r="W16" i="1"/>
  <c r="W18" i="1"/>
  <c r="W20" i="1"/>
  <c r="W22" i="1"/>
  <c r="W23" i="1"/>
  <c r="AK23" i="1" s="1"/>
  <c r="W24" i="1"/>
  <c r="W29" i="1"/>
  <c r="AK29" i="1" s="1"/>
  <c r="W30" i="1"/>
  <c r="W32" i="1"/>
  <c r="W33" i="1"/>
  <c r="AK33" i="1" s="1"/>
  <c r="W36" i="1"/>
  <c r="W37" i="1"/>
  <c r="AK37" i="1" s="1"/>
  <c r="W38" i="1"/>
  <c r="W42" i="1"/>
  <c r="W44" i="1"/>
  <c r="W45" i="1"/>
  <c r="W50" i="1"/>
  <c r="W51" i="1"/>
  <c r="W53" i="1"/>
  <c r="AK53" i="1" s="1"/>
  <c r="W55" i="1"/>
  <c r="W57" i="1"/>
  <c r="AK57" i="1" s="1"/>
  <c r="W66" i="1"/>
  <c r="W67" i="1"/>
  <c r="AK67" i="1" s="1"/>
  <c r="W68" i="1"/>
  <c r="W70" i="1"/>
  <c r="W72" i="1"/>
  <c r="W76" i="1"/>
  <c r="W79" i="1"/>
  <c r="AK79" i="1" s="1"/>
  <c r="W90" i="1"/>
  <c r="AK90" i="1" s="1"/>
  <c r="W93" i="1"/>
  <c r="AK9" i="1"/>
  <c r="AK45" i="1"/>
  <c r="AK51" i="1"/>
  <c r="AK55" i="1"/>
  <c r="AK93" i="1"/>
  <c r="AK76" i="1" l="1"/>
  <c r="AK72" i="1"/>
  <c r="AK70" i="1"/>
  <c r="AK68" i="1"/>
  <c r="AK66" i="1"/>
  <c r="AK50" i="1"/>
  <c r="AK44" i="1"/>
  <c r="AK42" i="1"/>
  <c r="AK38" i="1"/>
  <c r="AK36" i="1"/>
  <c r="AK32" i="1"/>
  <c r="AK30" i="1"/>
  <c r="AK24" i="1"/>
  <c r="AK22" i="1"/>
  <c r="AK20" i="1"/>
  <c r="AK18" i="1"/>
  <c r="AK16" i="1"/>
  <c r="AK14" i="1"/>
  <c r="AK12" i="1"/>
  <c r="AK10" i="1"/>
  <c r="M7" i="1"/>
  <c r="T7" i="1" s="1"/>
  <c r="M8" i="1"/>
  <c r="T8" i="1" s="1"/>
  <c r="U8" i="1" s="1"/>
  <c r="W8" i="1" s="1"/>
  <c r="AK8" i="1" s="1"/>
  <c r="M9" i="1"/>
  <c r="T9" i="1" s="1"/>
  <c r="Z9" i="1" s="1"/>
  <c r="M10" i="1"/>
  <c r="T10" i="1" s="1"/>
  <c r="Z10" i="1" s="1"/>
  <c r="M11" i="1"/>
  <c r="T11" i="1" s="1"/>
  <c r="U11" i="1" s="1"/>
  <c r="W11" i="1" s="1"/>
  <c r="M12" i="1"/>
  <c r="T12" i="1" s="1"/>
  <c r="Z12" i="1" s="1"/>
  <c r="M13" i="1"/>
  <c r="T13" i="1" s="1"/>
  <c r="Z13" i="1" s="1"/>
  <c r="M14" i="1"/>
  <c r="T14" i="1" s="1"/>
  <c r="Z14" i="1" s="1"/>
  <c r="M15" i="1"/>
  <c r="T15" i="1" s="1"/>
  <c r="M16" i="1"/>
  <c r="T16" i="1" s="1"/>
  <c r="Z16" i="1" s="1"/>
  <c r="M17" i="1"/>
  <c r="T17" i="1" s="1"/>
  <c r="U17" i="1" s="1"/>
  <c r="W17" i="1" s="1"/>
  <c r="M18" i="1"/>
  <c r="T18" i="1" s="1"/>
  <c r="Z18" i="1" s="1"/>
  <c r="M19" i="1"/>
  <c r="T19" i="1" s="1"/>
  <c r="U19" i="1" s="1"/>
  <c r="W19" i="1" s="1"/>
  <c r="M20" i="1"/>
  <c r="T20" i="1" s="1"/>
  <c r="Z20" i="1" s="1"/>
  <c r="M21" i="1"/>
  <c r="T21" i="1" s="1"/>
  <c r="M22" i="1"/>
  <c r="T22" i="1" s="1"/>
  <c r="Z22" i="1" s="1"/>
  <c r="M23" i="1"/>
  <c r="T23" i="1" s="1"/>
  <c r="Z23" i="1" s="1"/>
  <c r="M24" i="1"/>
  <c r="T24" i="1" s="1"/>
  <c r="Z24" i="1" s="1"/>
  <c r="M25" i="1"/>
  <c r="T25" i="1" s="1"/>
  <c r="M26" i="1"/>
  <c r="T26" i="1" s="1"/>
  <c r="U26" i="1" s="1"/>
  <c r="W26" i="1" s="1"/>
  <c r="AK26" i="1" s="1"/>
  <c r="M27" i="1"/>
  <c r="T27" i="1" s="1"/>
  <c r="M28" i="1"/>
  <c r="T28" i="1" s="1"/>
  <c r="M29" i="1"/>
  <c r="T29" i="1" s="1"/>
  <c r="Z29" i="1" s="1"/>
  <c r="M30" i="1"/>
  <c r="T30" i="1" s="1"/>
  <c r="Z30" i="1" s="1"/>
  <c r="M31" i="1"/>
  <c r="T31" i="1" s="1"/>
  <c r="M32" i="1"/>
  <c r="T32" i="1" s="1"/>
  <c r="Z32" i="1" s="1"/>
  <c r="M33" i="1"/>
  <c r="T33" i="1" s="1"/>
  <c r="Z33" i="1" s="1"/>
  <c r="M34" i="1"/>
  <c r="T34" i="1" s="1"/>
  <c r="U34" i="1" s="1"/>
  <c r="W34" i="1" s="1"/>
  <c r="AK34" i="1" s="1"/>
  <c r="M35" i="1"/>
  <c r="T35" i="1" s="1"/>
  <c r="M36" i="1"/>
  <c r="T36" i="1" s="1"/>
  <c r="Z36" i="1" s="1"/>
  <c r="M37" i="1"/>
  <c r="T37" i="1" s="1"/>
  <c r="Z37" i="1" s="1"/>
  <c r="M38" i="1"/>
  <c r="T38" i="1" s="1"/>
  <c r="Z38" i="1" s="1"/>
  <c r="M39" i="1"/>
  <c r="T39" i="1" s="1"/>
  <c r="M40" i="1"/>
  <c r="T40" i="1" s="1"/>
  <c r="M41" i="1"/>
  <c r="T41" i="1" s="1"/>
  <c r="M42" i="1"/>
  <c r="T42" i="1" s="1"/>
  <c r="Z42" i="1" s="1"/>
  <c r="M43" i="1"/>
  <c r="T43" i="1" s="1"/>
  <c r="M44" i="1"/>
  <c r="T44" i="1" s="1"/>
  <c r="Z44" i="1" s="1"/>
  <c r="M45" i="1"/>
  <c r="T45" i="1" s="1"/>
  <c r="Z45" i="1" s="1"/>
  <c r="M46" i="1"/>
  <c r="T46" i="1" s="1"/>
  <c r="M47" i="1"/>
  <c r="T47" i="1" s="1"/>
  <c r="M48" i="1"/>
  <c r="T48" i="1" s="1"/>
  <c r="M49" i="1"/>
  <c r="T49" i="1" s="1"/>
  <c r="V49" i="1" s="1"/>
  <c r="M50" i="1"/>
  <c r="T50" i="1" s="1"/>
  <c r="Z50" i="1" s="1"/>
  <c r="M51" i="1"/>
  <c r="T51" i="1" s="1"/>
  <c r="Z51" i="1" s="1"/>
  <c r="M52" i="1"/>
  <c r="T52" i="1" s="1"/>
  <c r="V52" i="1" s="1"/>
  <c r="M53" i="1"/>
  <c r="T53" i="1" s="1"/>
  <c r="Z53" i="1" s="1"/>
  <c r="M54" i="1"/>
  <c r="T54" i="1" s="1"/>
  <c r="U54" i="1" s="1"/>
  <c r="W54" i="1" s="1"/>
  <c r="AK54" i="1" s="1"/>
  <c r="M55" i="1"/>
  <c r="T55" i="1" s="1"/>
  <c r="Z55" i="1" s="1"/>
  <c r="M56" i="1"/>
  <c r="T56" i="1" s="1"/>
  <c r="M57" i="1"/>
  <c r="T57" i="1" s="1"/>
  <c r="Z57" i="1" s="1"/>
  <c r="M58" i="1"/>
  <c r="T58" i="1" s="1"/>
  <c r="M59" i="1"/>
  <c r="T59" i="1" s="1"/>
  <c r="U59" i="1" s="1"/>
  <c r="W59" i="1" s="1"/>
  <c r="M60" i="1"/>
  <c r="T60" i="1" s="1"/>
  <c r="U60" i="1" s="1"/>
  <c r="W60" i="1" s="1"/>
  <c r="AK60" i="1" s="1"/>
  <c r="M61" i="1"/>
  <c r="T61" i="1" s="1"/>
  <c r="M62" i="1"/>
  <c r="T62" i="1" s="1"/>
  <c r="U62" i="1" s="1"/>
  <c r="W62" i="1" s="1"/>
  <c r="AK62" i="1" s="1"/>
  <c r="M63" i="1"/>
  <c r="T63" i="1" s="1"/>
  <c r="U63" i="1" s="1"/>
  <c r="W63" i="1" s="1"/>
  <c r="M64" i="1"/>
  <c r="T64" i="1" s="1"/>
  <c r="U64" i="1" s="1"/>
  <c r="W64" i="1" s="1"/>
  <c r="AK64" i="1" s="1"/>
  <c r="M65" i="1"/>
  <c r="T65" i="1" s="1"/>
  <c r="U65" i="1" s="1"/>
  <c r="W65" i="1" s="1"/>
  <c r="M66" i="1"/>
  <c r="T66" i="1" s="1"/>
  <c r="Z66" i="1" s="1"/>
  <c r="M67" i="1"/>
  <c r="T67" i="1" s="1"/>
  <c r="Z67" i="1" s="1"/>
  <c r="M68" i="1"/>
  <c r="T68" i="1" s="1"/>
  <c r="Z68" i="1" s="1"/>
  <c r="M69" i="1"/>
  <c r="T69" i="1" s="1"/>
  <c r="U69" i="1" s="1"/>
  <c r="W69" i="1" s="1"/>
  <c r="M70" i="1"/>
  <c r="T70" i="1" s="1"/>
  <c r="Z70" i="1" s="1"/>
  <c r="M71" i="1"/>
  <c r="T71" i="1" s="1"/>
  <c r="U71" i="1" s="1"/>
  <c r="W71" i="1" s="1"/>
  <c r="M72" i="1"/>
  <c r="T72" i="1" s="1"/>
  <c r="Z72" i="1" s="1"/>
  <c r="M73" i="1"/>
  <c r="T73" i="1" s="1"/>
  <c r="M74" i="1"/>
  <c r="T74" i="1" s="1"/>
  <c r="U74" i="1" s="1"/>
  <c r="W74" i="1" s="1"/>
  <c r="AK74" i="1" s="1"/>
  <c r="M75" i="1"/>
  <c r="T75" i="1" s="1"/>
  <c r="M76" i="1"/>
  <c r="T76" i="1" s="1"/>
  <c r="Z76" i="1" s="1"/>
  <c r="M77" i="1"/>
  <c r="T77" i="1" s="1"/>
  <c r="V77" i="1" s="1"/>
  <c r="M78" i="1"/>
  <c r="T78" i="1" s="1"/>
  <c r="U78" i="1" s="1"/>
  <c r="W78" i="1" s="1"/>
  <c r="AK78" i="1" s="1"/>
  <c r="M79" i="1"/>
  <c r="T79" i="1" s="1"/>
  <c r="Z79" i="1" s="1"/>
  <c r="M80" i="1"/>
  <c r="T80" i="1" s="1"/>
  <c r="M81" i="1"/>
  <c r="T81" i="1" s="1"/>
  <c r="V81" i="1" s="1"/>
  <c r="M82" i="1"/>
  <c r="T82" i="1" s="1"/>
  <c r="M83" i="1"/>
  <c r="T83" i="1" s="1"/>
  <c r="V83" i="1" s="1"/>
  <c r="M84" i="1"/>
  <c r="T84" i="1" s="1"/>
  <c r="U84" i="1" s="1"/>
  <c r="W84" i="1" s="1"/>
  <c r="AK84" i="1" s="1"/>
  <c r="M85" i="1"/>
  <c r="T85" i="1" s="1"/>
  <c r="M86" i="1"/>
  <c r="T86" i="1" s="1"/>
  <c r="U86" i="1" s="1"/>
  <c r="W86" i="1" s="1"/>
  <c r="M87" i="1"/>
  <c r="T87" i="1" s="1"/>
  <c r="M88" i="1"/>
  <c r="T88" i="1" s="1"/>
  <c r="U88" i="1" s="1"/>
  <c r="W88" i="1" s="1"/>
  <c r="M89" i="1"/>
  <c r="T89" i="1" s="1"/>
  <c r="M90" i="1"/>
  <c r="T90" i="1" s="1"/>
  <c r="Z90" i="1" s="1"/>
  <c r="M91" i="1"/>
  <c r="T91" i="1" s="1"/>
  <c r="M92" i="1"/>
  <c r="T92" i="1" s="1"/>
  <c r="AA92" i="1" s="1"/>
  <c r="M93" i="1"/>
  <c r="T93" i="1" s="1"/>
  <c r="M94" i="1"/>
  <c r="T94" i="1" s="1"/>
  <c r="AA94" i="1" s="1"/>
  <c r="M95" i="1"/>
  <c r="T95" i="1" s="1"/>
  <c r="AA95" i="1" s="1"/>
  <c r="M96" i="1"/>
  <c r="T96" i="1" s="1"/>
  <c r="M97" i="1"/>
  <c r="T97" i="1" s="1"/>
  <c r="AA97" i="1" s="1"/>
  <c r="M98" i="1"/>
  <c r="T98" i="1" s="1"/>
  <c r="AA98" i="1" s="1"/>
  <c r="M6" i="1"/>
  <c r="T6" i="1" s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I5" i="1"/>
  <c r="AH5" i="1"/>
  <c r="AG5" i="1"/>
  <c r="AF5" i="1"/>
  <c r="AE5" i="1"/>
  <c r="AD5" i="1"/>
  <c r="AC5" i="1"/>
  <c r="AB5" i="1"/>
  <c r="X5" i="1"/>
  <c r="S5" i="1"/>
  <c r="R5" i="1"/>
  <c r="Q5" i="1"/>
  <c r="P5" i="1"/>
  <c r="O5" i="1"/>
  <c r="N5" i="1"/>
  <c r="K5" i="1"/>
  <c r="F5" i="1"/>
  <c r="E5" i="1"/>
  <c r="AA96" i="1" l="1"/>
  <c r="V96" i="1"/>
  <c r="V82" i="1"/>
  <c r="W82" i="1" s="1"/>
  <c r="AK82" i="1" s="1"/>
  <c r="U80" i="1"/>
  <c r="V80" i="1"/>
  <c r="V58" i="1"/>
  <c r="W58" i="1" s="1"/>
  <c r="AK58" i="1" s="1"/>
  <c r="U56" i="1"/>
  <c r="V56" i="1"/>
  <c r="V48" i="1"/>
  <c r="W48" i="1" s="1"/>
  <c r="AK48" i="1" s="1"/>
  <c r="V6" i="1"/>
  <c r="V73" i="1"/>
  <c r="W73" i="1" s="1"/>
  <c r="AK73" i="1" s="1"/>
  <c r="V61" i="1"/>
  <c r="W61" i="1" s="1"/>
  <c r="AK61" i="1" s="1"/>
  <c r="U35" i="1"/>
  <c r="V35" i="1"/>
  <c r="V25" i="1"/>
  <c r="W25" i="1" s="1"/>
  <c r="AK25" i="1" s="1"/>
  <c r="U21" i="1"/>
  <c r="V21" i="1"/>
  <c r="U15" i="1"/>
  <c r="V15" i="1"/>
  <c r="AK88" i="1"/>
  <c r="Z88" i="1"/>
  <c r="AK86" i="1"/>
  <c r="Z86" i="1"/>
  <c r="Z8" i="1"/>
  <c r="Z26" i="1"/>
  <c r="Z34" i="1"/>
  <c r="Z54" i="1"/>
  <c r="Z60" i="1"/>
  <c r="Z62" i="1"/>
  <c r="Z64" i="1"/>
  <c r="Z74" i="1"/>
  <c r="Z78" i="1"/>
  <c r="Z84" i="1"/>
  <c r="AA93" i="1"/>
  <c r="Z93" i="1"/>
  <c r="AK71" i="1"/>
  <c r="Z71" i="1"/>
  <c r="AK69" i="1"/>
  <c r="Z69" i="1"/>
  <c r="AK65" i="1"/>
  <c r="Z65" i="1"/>
  <c r="AK63" i="1"/>
  <c r="Z63" i="1"/>
  <c r="AK59" i="1"/>
  <c r="Z59" i="1"/>
  <c r="Z19" i="1"/>
  <c r="AK19" i="1"/>
  <c r="AK17" i="1"/>
  <c r="Z17" i="1"/>
  <c r="AK11" i="1"/>
  <c r="Z11" i="1"/>
  <c r="U28" i="1"/>
  <c r="W28" i="1" s="1"/>
  <c r="U27" i="1"/>
  <c r="W27" i="1" s="1"/>
  <c r="U31" i="1"/>
  <c r="W31" i="1" s="1"/>
  <c r="U92" i="1"/>
  <c r="W92" i="1" s="1"/>
  <c r="U91" i="1"/>
  <c r="W91" i="1" s="1"/>
  <c r="U89" i="1"/>
  <c r="W89" i="1" s="1"/>
  <c r="U87" i="1"/>
  <c r="W87" i="1" s="1"/>
  <c r="U85" i="1"/>
  <c r="W85" i="1" s="1"/>
  <c r="U83" i="1"/>
  <c r="W83" i="1" s="1"/>
  <c r="U81" i="1"/>
  <c r="W81" i="1" s="1"/>
  <c r="U77" i="1"/>
  <c r="W77" i="1" s="1"/>
  <c r="U41" i="1"/>
  <c r="W41" i="1" s="1"/>
  <c r="U49" i="1"/>
  <c r="W49" i="1" s="1"/>
  <c r="U95" i="1"/>
  <c r="W95" i="1" s="1"/>
  <c r="U7" i="1"/>
  <c r="W7" i="1" s="1"/>
  <c r="U39" i="1"/>
  <c r="W39" i="1" s="1"/>
  <c r="U43" i="1"/>
  <c r="W43" i="1" s="1"/>
  <c r="U47" i="1"/>
  <c r="W47" i="1" s="1"/>
  <c r="U75" i="1"/>
  <c r="W75" i="1" s="1"/>
  <c r="U97" i="1"/>
  <c r="W97" i="1" s="1"/>
  <c r="U40" i="1"/>
  <c r="W40" i="1" s="1"/>
  <c r="U46" i="1"/>
  <c r="W46" i="1" s="1"/>
  <c r="U52" i="1"/>
  <c r="W52" i="1" s="1"/>
  <c r="U94" i="1"/>
  <c r="W94" i="1" s="1"/>
  <c r="U96" i="1"/>
  <c r="U98" i="1"/>
  <c r="W98" i="1" s="1"/>
  <c r="AA90" i="1"/>
  <c r="AA86" i="1"/>
  <c r="AA82" i="1"/>
  <c r="AA78" i="1"/>
  <c r="AA74" i="1"/>
  <c r="AA70" i="1"/>
  <c r="AA66" i="1"/>
  <c r="AA62" i="1"/>
  <c r="AA58" i="1"/>
  <c r="AA54" i="1"/>
  <c r="AA50" i="1"/>
  <c r="AA46" i="1"/>
  <c r="AA42" i="1"/>
  <c r="AA38" i="1"/>
  <c r="AA34" i="1"/>
  <c r="AA30" i="1"/>
  <c r="AA26" i="1"/>
  <c r="AA22" i="1"/>
  <c r="AA18" i="1"/>
  <c r="AA14" i="1"/>
  <c r="AA10" i="1"/>
  <c r="AA88" i="1"/>
  <c r="AA84" i="1"/>
  <c r="AA80" i="1"/>
  <c r="AA76" i="1"/>
  <c r="AA72" i="1"/>
  <c r="AA68" i="1"/>
  <c r="AA64" i="1"/>
  <c r="AA60" i="1"/>
  <c r="AA56" i="1"/>
  <c r="AA52" i="1"/>
  <c r="AA48" i="1"/>
  <c r="AA44" i="1"/>
  <c r="AA40" i="1"/>
  <c r="AA36" i="1"/>
  <c r="AA32" i="1"/>
  <c r="AA28" i="1"/>
  <c r="AA24" i="1"/>
  <c r="AA20" i="1"/>
  <c r="AA16" i="1"/>
  <c r="AA12" i="1"/>
  <c r="AA8" i="1"/>
  <c r="AA6" i="1"/>
  <c r="AA91" i="1"/>
  <c r="AA89" i="1"/>
  <c r="AA87" i="1"/>
  <c r="AA85" i="1"/>
  <c r="AA83" i="1"/>
  <c r="AA81" i="1"/>
  <c r="AA79" i="1"/>
  <c r="AA77" i="1"/>
  <c r="AA75" i="1"/>
  <c r="AA73" i="1"/>
  <c r="AA71" i="1"/>
  <c r="AA69" i="1"/>
  <c r="AA67" i="1"/>
  <c r="AA65" i="1"/>
  <c r="AA63" i="1"/>
  <c r="AA61" i="1"/>
  <c r="AA59" i="1"/>
  <c r="AA57" i="1"/>
  <c r="AA55" i="1"/>
  <c r="AA53" i="1"/>
  <c r="AA51" i="1"/>
  <c r="AA49" i="1"/>
  <c r="AA47" i="1"/>
  <c r="AA45" i="1"/>
  <c r="AA43" i="1"/>
  <c r="AA41" i="1"/>
  <c r="AA39" i="1"/>
  <c r="AA37" i="1"/>
  <c r="AA35" i="1"/>
  <c r="AA33" i="1"/>
  <c r="AA31" i="1"/>
  <c r="AA29" i="1"/>
  <c r="AA27" i="1"/>
  <c r="AA25" i="1"/>
  <c r="AA23" i="1"/>
  <c r="AA21" i="1"/>
  <c r="AA19" i="1"/>
  <c r="AA17" i="1"/>
  <c r="AA15" i="1"/>
  <c r="AA13" i="1"/>
  <c r="AA11" i="1"/>
  <c r="AA9" i="1"/>
  <c r="AA7" i="1"/>
  <c r="L5" i="1"/>
  <c r="M5" i="1"/>
  <c r="T5" i="1"/>
  <c r="W15" i="1" l="1"/>
  <c r="Z15" i="1" s="1"/>
  <c r="W21" i="1"/>
  <c r="Z21" i="1" s="1"/>
  <c r="Z25" i="1"/>
  <c r="W35" i="1"/>
  <c r="Z61" i="1"/>
  <c r="Z73" i="1"/>
  <c r="AK15" i="1"/>
  <c r="W96" i="1"/>
  <c r="AK96" i="1" s="1"/>
  <c r="Z48" i="1"/>
  <c r="W56" i="1"/>
  <c r="Z58" i="1"/>
  <c r="W80" i="1"/>
  <c r="Z82" i="1"/>
  <c r="W6" i="1"/>
  <c r="V5" i="1"/>
  <c r="AK98" i="1"/>
  <c r="Z98" i="1"/>
  <c r="AK94" i="1"/>
  <c r="Z94" i="1"/>
  <c r="AK46" i="1"/>
  <c r="Z46" i="1"/>
  <c r="AK97" i="1"/>
  <c r="Z97" i="1"/>
  <c r="AK47" i="1"/>
  <c r="Z47" i="1"/>
  <c r="AK39" i="1"/>
  <c r="Z39" i="1"/>
  <c r="Z95" i="1"/>
  <c r="AK95" i="1"/>
  <c r="AK41" i="1"/>
  <c r="Z41" i="1"/>
  <c r="AK81" i="1"/>
  <c r="Z81" i="1"/>
  <c r="AK85" i="1"/>
  <c r="Z85" i="1"/>
  <c r="AK89" i="1"/>
  <c r="Z89" i="1"/>
  <c r="AK92" i="1"/>
  <c r="Z92" i="1"/>
  <c r="AK27" i="1"/>
  <c r="Z27" i="1"/>
  <c r="AK52" i="1"/>
  <c r="Z52" i="1"/>
  <c r="AK40" i="1"/>
  <c r="Z40" i="1"/>
  <c r="AK75" i="1"/>
  <c r="Z75" i="1"/>
  <c r="Z43" i="1"/>
  <c r="AK43" i="1"/>
  <c r="AK7" i="1"/>
  <c r="Z7" i="1"/>
  <c r="AK49" i="1"/>
  <c r="Z49" i="1"/>
  <c r="AK77" i="1"/>
  <c r="Z77" i="1"/>
  <c r="AK83" i="1"/>
  <c r="Z83" i="1"/>
  <c r="Z87" i="1"/>
  <c r="AK87" i="1"/>
  <c r="Z91" i="1"/>
  <c r="AK91" i="1"/>
  <c r="AK31" i="1"/>
  <c r="Z31" i="1"/>
  <c r="AK28" i="1"/>
  <c r="Z28" i="1"/>
  <c r="U5" i="1"/>
  <c r="Z35" i="1" l="1"/>
  <c r="AK35" i="1"/>
  <c r="Z96" i="1"/>
  <c r="AK21" i="1"/>
  <c r="AK80" i="1"/>
  <c r="Z80" i="1"/>
  <c r="AK56" i="1"/>
  <c r="Z56" i="1"/>
  <c r="AK6" i="1"/>
  <c r="AK5" i="1" s="1"/>
  <c r="Z6" i="1"/>
  <c r="W5" i="1"/>
</calcChain>
</file>

<file path=xl/sharedStrings.xml><?xml version="1.0" encoding="utf-8"?>
<sst xmlns="http://schemas.openxmlformats.org/spreadsheetml/2006/main" count="366" uniqueCount="153">
  <si>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</si>
  <si>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</si>
  <si>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</si>
  <si>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</si>
  <si>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</si>
  <si>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</si>
  <si>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</si>
  <si>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</si>
  <si>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</si>
  <si>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</si>
  <si>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</si>
  <si>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</si>
  <si>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</si>
  <si>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</si>
  <si>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</si>
  <si>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</si>
  <si>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</si>
  <si>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</si>
  <si>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</si>
  <si>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</si>
  <si>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</si>
  <si>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</si>
  <si>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</si>
  <si>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</si>
  <si>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04,01,</t>
  </si>
  <si>
    <t>05,01,(2)</t>
  </si>
  <si>
    <t>05,01,(3)</t>
  </si>
  <si>
    <t>10,01,(1)</t>
  </si>
  <si>
    <t>10,01,(2)</t>
  </si>
  <si>
    <t>08,01,</t>
  </si>
  <si>
    <t>06,01,</t>
  </si>
  <si>
    <t>25,12,</t>
  </si>
  <si>
    <t>18,12,</t>
  </si>
  <si>
    <t>16,12,</t>
  </si>
  <si>
    <t>11,12,</t>
  </si>
  <si>
    <t>09,12,</t>
  </si>
  <si>
    <t>04,12,</t>
  </si>
  <si>
    <t>02,12,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</si>
  <si>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</si>
  <si>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</si>
  <si>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</si>
  <si>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</si>
  <si>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</si>
  <si>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</si>
  <si>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</si>
  <si>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 в матрице</t>
  </si>
  <si>
    <t>перемещение (Новороссийск)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</si>
  <si>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</si>
  <si>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</si>
  <si>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</si>
  <si>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</si>
  <si>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</si>
  <si>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</si>
  <si>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>ТМА декабрь_январь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</si>
  <si>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</si>
  <si>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</si>
  <si>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</si>
  <si>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</si>
  <si>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</si>
  <si>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</si>
  <si>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</si>
  <si>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</si>
  <si>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</si>
  <si>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</si>
  <si>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</si>
  <si>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</si>
  <si>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</si>
  <si>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</si>
  <si>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</si>
  <si>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</si>
  <si>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</si>
  <si>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>нет потребности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</si>
  <si>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</si>
  <si>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</si>
  <si>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ТМА декабрь_январь / сети</t>
  </si>
  <si>
    <t xml:space="preserve"> 276  Колбаса Сливушка ТМ Вязанка в оболочке полиамид 0,45 кг  ПОКОМ</t>
  </si>
  <si>
    <t>СПАР</t>
  </si>
  <si>
    <t xml:space="preserve"> 278  Сосиски Сочинки с сочным окороком, МГС 0.4кг,   ПОКОМ</t>
  </si>
  <si>
    <t>сети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</si>
  <si>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</si>
  <si>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</si>
  <si>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>нужно увеличить продаж!!!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</si>
  <si>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</si>
  <si>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</si>
  <si>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</si>
  <si>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>ТК Вояж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</si>
  <si>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</si>
  <si>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</si>
  <si>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</si>
  <si>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</si>
  <si>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</si>
  <si>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</si>
  <si>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</si>
  <si>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</si>
  <si>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</si>
  <si>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</si>
  <si>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</si>
  <si>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>ТК ВОЯЖ</t>
  </si>
  <si>
    <t xml:space="preserve"> 324  Ветчина Филейская ТМ Вязанка Столичная 0,45 кг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</si>
  <si>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</si>
  <si>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</si>
  <si>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</si>
  <si>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</si>
  <si>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</si>
  <si>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</si>
  <si>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</si>
  <si>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</si>
  <si>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Spar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</si>
  <si>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</si>
  <si>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</si>
  <si>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</si>
  <si>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</si>
  <si>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</si>
  <si>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</si>
  <si>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</si>
  <si>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</si>
  <si>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</si>
  <si>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</si>
  <si>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>новинка</t>
  </si>
  <si>
    <t xml:space="preserve"> 394 Ветчина Сочинка с сочным окороком ТМ Стародворье полиамид ф/в 0,35 кг  Поком</t>
  </si>
  <si>
    <t>вывод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</si>
  <si>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</si>
  <si>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</si>
  <si>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</si>
  <si>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</si>
  <si>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</si>
  <si>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</si>
  <si>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</si>
  <si>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</si>
  <si>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</si>
  <si>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</si>
  <si>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</si>
  <si>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465  Колбаса Филейная оригинальная ВЕС 0,8кг ТМ Особый рецепт в оболочке полиамид  ПОКОМ</t>
  </si>
  <si>
    <t xml:space="preserve"> 498  Колбаса Сочинка рубленая с сочным окороком 0,3кг ТМ Стародворье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</si>
  <si>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</si>
  <si>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</si>
  <si>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</si>
  <si>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</si>
  <si>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</si>
  <si>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530  Окорок Хамон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</si>
  <si>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</si>
  <si>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348  Колбаса Молочная оригинальная ТМ Особый рецепт. большой батон, ВЕС ПОКОМ</t>
  </si>
  <si>
    <t>нет потребности / нет в бланке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</si>
  <si>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</si>
  <si>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</si>
  <si>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</si>
  <si>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</si>
  <si>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</si>
  <si>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нет в бланке</t>
  </si>
  <si>
    <t>нужно увеличить продаж</t>
  </si>
  <si>
    <t>до машины</t>
  </si>
  <si>
    <t>заказ</t>
  </si>
  <si>
    <t>11,01,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</si>
</sst>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22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1" fillId="7" borderId="1" xfId="1" applyNumberFormat="1" applyFill="1"/>
    <xf numFmtId="164" fontId="1" fillId="7" borderId="2" xfId="1" applyNumberFormat="1" applyFill="1" applyBorder="1"/>
    <xf numFmtId="164" fontId="4" fillId="7" borderId="1" xfId="1" applyNumberFormat="1" applyFont="1" applyFill="1"/>
    <xf numFmtId="164" fontId="1" fillId="8" borderId="1" xfId="1" applyNumberFormat="1" applyFill="1"/>
    <xf numFmtId="164" fontId="5" fillId="8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X4" sqref="X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85546875" customWidth="1"/>
    <col min="10" max="10" width="1" customWidth="1"/>
    <col min="11" max="24" width="7" customWidth="1"/>
    <col min="25" max="25" width="12.42578125" customWidth="1"/>
    <col min="26" max="27" width="5" customWidth="1"/>
    <col min="28" max="35" width="6" customWidth="1"/>
    <col min="36" max="36" width="23.140625" customWidth="1"/>
    <col min="37" max="37" width="7" customWidth="1"/>
    <col min="38" max="52" width="8" customWidth="1"/>
  </cols>
  <sheetData>
    <row r="1" spans="1:52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1">
        <v>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3" t="s">
        <v>150</v>
      </c>
      <c r="W3" s="3" t="s">
        <v>151</v>
      </c>
      <c r="X3" s="7" t="s">
        <v>17</v>
      </c>
      <c r="Y3" s="7" t="s">
        <v>18</v>
      </c>
      <c r="Z3" s="2" t="s">
        <v>19</v>
      </c>
      <c r="AA3" s="2" t="s">
        <v>20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21</v>
      </c>
      <c r="AJ3" s="2" t="s">
        <v>22</v>
      </c>
      <c r="AK3" s="2" t="s">
        <v>23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" t="s">
        <v>28</v>
      </c>
      <c r="T4" s="1" t="s">
        <v>29</v>
      </c>
      <c r="U4" s="1"/>
      <c r="V4" s="1"/>
      <c r="W4" s="1" t="s">
        <v>152</v>
      </c>
      <c r="X4" s="1"/>
      <c r="Y4" s="1"/>
      <c r="Z4" s="1"/>
      <c r="AA4" s="1"/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 t="s">
        <v>35</v>
      </c>
      <c r="AH4" s="1" t="s">
        <v>36</v>
      </c>
      <c r="AI4" s="1" t="s">
        <v>37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SUM(E6:E500)</f>
        <v>51437.316999999988</v>
      </c>
      <c r="F5" s="4">
        <f>SUM(F6:F500)</f>
        <v>39804.140999999996</v>
      </c>
      <c r="G5" s="8"/>
      <c r="H5" s="1"/>
      <c r="I5" s="1"/>
      <c r="J5" s="1"/>
      <c r="K5" s="4">
        <f t="shared" ref="K5:X5" si="0">SUM(K6:K500)</f>
        <v>55244</v>
      </c>
      <c r="L5" s="4">
        <f t="shared" si="0"/>
        <v>-3806.6830000000009</v>
      </c>
      <c r="M5" s="4">
        <f t="shared" si="0"/>
        <v>49075.339000000007</v>
      </c>
      <c r="N5" s="4">
        <f t="shared" si="0"/>
        <v>2361.9780000000001</v>
      </c>
      <c r="O5" s="4">
        <f t="shared" si="0"/>
        <v>4000</v>
      </c>
      <c r="P5" s="4">
        <f t="shared" si="0"/>
        <v>16894.263301799998</v>
      </c>
      <c r="Q5" s="4">
        <f t="shared" si="0"/>
        <v>9690</v>
      </c>
      <c r="R5" s="4">
        <f t="shared" si="0"/>
        <v>7300</v>
      </c>
      <c r="S5" s="4">
        <f t="shared" si="0"/>
        <v>18063.063641066674</v>
      </c>
      <c r="T5" s="4">
        <f t="shared" si="0"/>
        <v>8179.2231666666648</v>
      </c>
      <c r="U5" s="4">
        <f t="shared" si="0"/>
        <v>7121.0229384666636</v>
      </c>
      <c r="V5" s="4">
        <f t="shared" si="0"/>
        <v>3361.0328333333337</v>
      </c>
      <c r="W5" s="4">
        <f t="shared" si="0"/>
        <v>10482.0557718</v>
      </c>
      <c r="X5" s="4">
        <f t="shared" si="0"/>
        <v>0</v>
      </c>
      <c r="Y5" s="1"/>
      <c r="Z5" s="1"/>
      <c r="AA5" s="1"/>
      <c r="AB5" s="4">
        <f t="shared" ref="AB5:AI5" si="1">SUM(AB6:AB500)</f>
        <v>9919.4415000000026</v>
      </c>
      <c r="AC5" s="4">
        <f t="shared" si="1"/>
        <v>9149.114400000004</v>
      </c>
      <c r="AD5" s="4">
        <f t="shared" si="1"/>
        <v>7993.0832</v>
      </c>
      <c r="AE5" s="4">
        <f t="shared" si="1"/>
        <v>7797.6295999999966</v>
      </c>
      <c r="AF5" s="4">
        <f t="shared" si="1"/>
        <v>7546.3587999999991</v>
      </c>
      <c r="AG5" s="4">
        <f t="shared" si="1"/>
        <v>7606.0971999999992</v>
      </c>
      <c r="AH5" s="4">
        <f t="shared" si="1"/>
        <v>7269.5209999999979</v>
      </c>
      <c r="AI5" s="4">
        <f t="shared" si="1"/>
        <v>7225.3923999999988</v>
      </c>
      <c r="AJ5" s="1"/>
      <c r="AK5" s="4">
        <f>SUM(AK6:AK500)</f>
        <v>7035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1" t="s">
        <v>38</v>
      </c>
      <c r="B6" s="1" t="s">
        <v>39</v>
      </c>
      <c r="C6" s="1">
        <v>583.16600000000005</v>
      </c>
      <c r="D6" s="1">
        <v>4408.0640000000003</v>
      </c>
      <c r="E6" s="1">
        <v>2121.328</v>
      </c>
      <c r="F6" s="1">
        <v>459.43</v>
      </c>
      <c r="G6" s="8">
        <v>1</v>
      </c>
      <c r="H6" s="1">
        <v>50</v>
      </c>
      <c r="I6" s="1" t="s">
        <v>40</v>
      </c>
      <c r="J6" s="1"/>
      <c r="K6" s="1">
        <v>2252.779</v>
      </c>
      <c r="L6" s="1">
        <f t="shared" ref="L6:L37" si="2">E6-K6</f>
        <v>-131.45100000000002</v>
      </c>
      <c r="M6" s="1">
        <f>E6-N6</f>
        <v>1952.0339999999999</v>
      </c>
      <c r="N6" s="1">
        <v>169.29400000000001</v>
      </c>
      <c r="O6" s="1">
        <v>500</v>
      </c>
      <c r="P6" s="1">
        <v>397.99550779999998</v>
      </c>
      <c r="Q6" s="1">
        <v>700</v>
      </c>
      <c r="R6" s="1">
        <v>1200</v>
      </c>
      <c r="S6" s="1">
        <v>699.73949220000077</v>
      </c>
      <c r="T6" s="1">
        <f>M6/6</f>
        <v>325.339</v>
      </c>
      <c r="U6" s="5"/>
      <c r="V6" s="5">
        <f>$V$1*T6</f>
        <v>325.339</v>
      </c>
      <c r="W6" s="5">
        <f>V6+U6</f>
        <v>325.339</v>
      </c>
      <c r="X6" s="5"/>
      <c r="Y6" s="1"/>
      <c r="Z6" s="1">
        <f>(F6+O6+P6+Q6+R6+S6+W6)/T6</f>
        <v>13.163205149090643</v>
      </c>
      <c r="AA6" s="1">
        <f>(F6+O6+P6+Q6+R6+S6)/T6</f>
        <v>12.163205149090643</v>
      </c>
      <c r="AB6" s="1">
        <v>404.40899999999999</v>
      </c>
      <c r="AC6" s="1">
        <v>322.1234</v>
      </c>
      <c r="AD6" s="1">
        <v>211.72800000000001</v>
      </c>
      <c r="AE6" s="1">
        <v>200.25479999999999</v>
      </c>
      <c r="AF6" s="1">
        <v>192.68879999999999</v>
      </c>
      <c r="AG6" s="1">
        <v>182.98179999999999</v>
      </c>
      <c r="AH6" s="1">
        <v>190.1738</v>
      </c>
      <c r="AI6" s="1">
        <v>194.68440000000001</v>
      </c>
      <c r="AJ6" s="1"/>
      <c r="AK6" s="1">
        <f>ROUND(G6*W6,0)</f>
        <v>325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1" t="s">
        <v>41</v>
      </c>
      <c r="B7" s="1" t="s">
        <v>39</v>
      </c>
      <c r="C7" s="1">
        <v>395.50400000000002</v>
      </c>
      <c r="D7" s="1">
        <v>849.649</v>
      </c>
      <c r="E7" s="1">
        <v>371.46800000000002</v>
      </c>
      <c r="F7" s="1">
        <v>242.25899999999999</v>
      </c>
      <c r="G7" s="8">
        <v>1</v>
      </c>
      <c r="H7" s="1">
        <v>45</v>
      </c>
      <c r="I7" s="1" t="s">
        <v>40</v>
      </c>
      <c r="J7" s="1"/>
      <c r="K7" s="1">
        <v>465.81599999999997</v>
      </c>
      <c r="L7" s="1">
        <f t="shared" si="2"/>
        <v>-94.347999999999956</v>
      </c>
      <c r="M7" s="1">
        <f t="shared" ref="M7:M70" si="3">E7-N7</f>
        <v>303.74900000000002</v>
      </c>
      <c r="N7" s="1">
        <v>67.718999999999994</v>
      </c>
      <c r="O7" s="1"/>
      <c r="P7" s="1">
        <v>63.519886200000002</v>
      </c>
      <c r="Q7" s="1"/>
      <c r="R7" s="1"/>
      <c r="S7" s="1">
        <v>264.80944713333332</v>
      </c>
      <c r="T7" s="1">
        <f t="shared" ref="T7:T70" si="4">M7/6</f>
        <v>50.624833333333335</v>
      </c>
      <c r="U7" s="5">
        <f t="shared" ref="U7:U8" si="5">12*T7-S7-R7-Q7-P7-O7-F7</f>
        <v>36.909666666666709</v>
      </c>
      <c r="V7" s="5"/>
      <c r="W7" s="5">
        <f t="shared" ref="W7:W70" si="6">V7+U7</f>
        <v>36.909666666666709</v>
      </c>
      <c r="X7" s="5"/>
      <c r="Y7" s="1"/>
      <c r="Z7" s="1">
        <f t="shared" ref="Z7:Z70" si="7">(F7+O7+P7+Q7+R7+S7+W7)/T7</f>
        <v>12</v>
      </c>
      <c r="AA7" s="1">
        <f t="shared" ref="AA7:AA70" si="8">(F7+O7+P7+Q7+R7+S7)/T7</f>
        <v>11.27091776433832</v>
      </c>
      <c r="AB7" s="1">
        <v>65.29483333333333</v>
      </c>
      <c r="AC7" s="1">
        <v>50.209400000000002</v>
      </c>
      <c r="AD7" s="1">
        <v>60.696199999999997</v>
      </c>
      <c r="AE7" s="1">
        <v>58.614400000000003</v>
      </c>
      <c r="AF7" s="1">
        <v>66.862399999999994</v>
      </c>
      <c r="AG7" s="1">
        <v>67.287199999999999</v>
      </c>
      <c r="AH7" s="1">
        <v>52.376600000000003</v>
      </c>
      <c r="AI7" s="1">
        <v>52.968800000000002</v>
      </c>
      <c r="AJ7" s="1"/>
      <c r="AK7" s="1">
        <f t="shared" ref="AK7:AK70" si="9">ROUND(G7*W7,0)</f>
        <v>37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1" t="s">
        <v>42</v>
      </c>
      <c r="B8" s="1" t="s">
        <v>39</v>
      </c>
      <c r="C8" s="1">
        <v>368.23</v>
      </c>
      <c r="D8" s="1">
        <v>776.56200000000001</v>
      </c>
      <c r="E8" s="1">
        <v>356.70100000000002</v>
      </c>
      <c r="F8" s="1">
        <v>422.452</v>
      </c>
      <c r="G8" s="8">
        <v>1</v>
      </c>
      <c r="H8" s="1">
        <v>45</v>
      </c>
      <c r="I8" s="1" t="s">
        <v>40</v>
      </c>
      <c r="J8" s="1"/>
      <c r="K8" s="1">
        <v>406.452</v>
      </c>
      <c r="L8" s="1">
        <f t="shared" si="2"/>
        <v>-49.750999999999976</v>
      </c>
      <c r="M8" s="1">
        <f t="shared" si="3"/>
        <v>299.84900000000005</v>
      </c>
      <c r="N8" s="1">
        <v>56.851999999999997</v>
      </c>
      <c r="O8" s="1"/>
      <c r="P8" s="1">
        <v>79.920421800000042</v>
      </c>
      <c r="Q8" s="1"/>
      <c r="R8" s="1"/>
      <c r="S8" s="1">
        <v>74.263578199999927</v>
      </c>
      <c r="T8" s="1">
        <f t="shared" si="4"/>
        <v>49.974833333333343</v>
      </c>
      <c r="U8" s="5">
        <f t="shared" si="5"/>
        <v>23.062000000000069</v>
      </c>
      <c r="V8" s="5"/>
      <c r="W8" s="5">
        <f t="shared" si="6"/>
        <v>23.062000000000069</v>
      </c>
      <c r="X8" s="5"/>
      <c r="Y8" s="1"/>
      <c r="Z8" s="1">
        <f t="shared" si="7"/>
        <v>12</v>
      </c>
      <c r="AA8" s="1">
        <f t="shared" si="8"/>
        <v>11.538527725621893</v>
      </c>
      <c r="AB8" s="1">
        <v>65.807000000000002</v>
      </c>
      <c r="AC8" s="1">
        <v>58.935600000000001</v>
      </c>
      <c r="AD8" s="1">
        <v>68.611199999999997</v>
      </c>
      <c r="AE8" s="1">
        <v>63.823799999999991</v>
      </c>
      <c r="AF8" s="1">
        <v>70.787999999999997</v>
      </c>
      <c r="AG8" s="1">
        <v>69.325199999999995</v>
      </c>
      <c r="AH8" s="1">
        <v>55.6494</v>
      </c>
      <c r="AI8" s="1">
        <v>53.993599999999986</v>
      </c>
      <c r="AJ8" s="1"/>
      <c r="AK8" s="1">
        <f t="shared" si="9"/>
        <v>23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0" t="s">
        <v>43</v>
      </c>
      <c r="B9" s="10" t="s">
        <v>44</v>
      </c>
      <c r="C9" s="10"/>
      <c r="D9" s="10">
        <v>323</v>
      </c>
      <c r="E9" s="10">
        <v>18</v>
      </c>
      <c r="F9" s="10">
        <v>175</v>
      </c>
      <c r="G9" s="11">
        <v>0</v>
      </c>
      <c r="H9" s="10" t="e">
        <v>#N/A</v>
      </c>
      <c r="I9" s="10" t="s">
        <v>45</v>
      </c>
      <c r="J9" s="10"/>
      <c r="K9" s="10">
        <v>18</v>
      </c>
      <c r="L9" s="10">
        <f t="shared" si="2"/>
        <v>0</v>
      </c>
      <c r="M9" s="10">
        <f t="shared" si="3"/>
        <v>18</v>
      </c>
      <c r="N9" s="10"/>
      <c r="O9" s="10"/>
      <c r="P9" s="10"/>
      <c r="Q9" s="10"/>
      <c r="R9" s="10"/>
      <c r="S9" s="10">
        <v>0</v>
      </c>
      <c r="T9" s="10">
        <f t="shared" si="4"/>
        <v>3</v>
      </c>
      <c r="U9" s="12"/>
      <c r="V9" s="12"/>
      <c r="W9" s="5">
        <f t="shared" si="6"/>
        <v>0</v>
      </c>
      <c r="X9" s="12"/>
      <c r="Y9" s="10"/>
      <c r="Z9" s="1">
        <f t="shared" si="7"/>
        <v>58.333333333333336</v>
      </c>
      <c r="AA9" s="10">
        <f t="shared" si="8"/>
        <v>58.333333333333336</v>
      </c>
      <c r="AB9" s="10">
        <v>2.5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 t="s">
        <v>46</v>
      </c>
      <c r="AK9" s="1">
        <f t="shared" si="9"/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" t="s">
        <v>47</v>
      </c>
      <c r="B10" s="1" t="s">
        <v>44</v>
      </c>
      <c r="C10" s="1">
        <v>558.86199999999997</v>
      </c>
      <c r="D10" s="1">
        <v>1006.138</v>
      </c>
      <c r="E10" s="1">
        <v>447</v>
      </c>
      <c r="F10" s="1">
        <v>768</v>
      </c>
      <c r="G10" s="8">
        <v>0.45</v>
      </c>
      <c r="H10" s="1">
        <v>45</v>
      </c>
      <c r="I10" s="1" t="s">
        <v>40</v>
      </c>
      <c r="J10" s="1"/>
      <c r="K10" s="1">
        <v>460</v>
      </c>
      <c r="L10" s="1">
        <f t="shared" si="2"/>
        <v>-13</v>
      </c>
      <c r="M10" s="1">
        <f t="shared" si="3"/>
        <v>447</v>
      </c>
      <c r="N10" s="1"/>
      <c r="O10" s="1"/>
      <c r="P10" s="1">
        <v>262.22239800000011</v>
      </c>
      <c r="Q10" s="1"/>
      <c r="R10" s="1"/>
      <c r="S10" s="1">
        <v>0</v>
      </c>
      <c r="T10" s="1">
        <f t="shared" si="4"/>
        <v>74.5</v>
      </c>
      <c r="U10" s="5"/>
      <c r="V10" s="5"/>
      <c r="W10" s="5">
        <f t="shared" si="6"/>
        <v>0</v>
      </c>
      <c r="X10" s="5"/>
      <c r="Y10" s="1"/>
      <c r="Z10" s="1">
        <f t="shared" si="7"/>
        <v>13.828488563758391</v>
      </c>
      <c r="AA10" s="1">
        <f t="shared" si="8"/>
        <v>13.828488563758391</v>
      </c>
      <c r="AB10" s="1">
        <v>86.166666666666671</v>
      </c>
      <c r="AC10" s="1">
        <v>98.02000000000001</v>
      </c>
      <c r="AD10" s="1">
        <v>89.807600000000008</v>
      </c>
      <c r="AE10" s="1">
        <v>90.4</v>
      </c>
      <c r="AF10" s="1">
        <v>87.2</v>
      </c>
      <c r="AG10" s="1">
        <v>82</v>
      </c>
      <c r="AH10" s="1">
        <v>78</v>
      </c>
      <c r="AI10" s="1">
        <v>74.599999999999994</v>
      </c>
      <c r="AJ10" s="1"/>
      <c r="AK10" s="1">
        <f t="shared" si="9"/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" t="s">
        <v>48</v>
      </c>
      <c r="B11" s="1" t="s">
        <v>44</v>
      </c>
      <c r="C11" s="1">
        <v>855</v>
      </c>
      <c r="D11" s="1">
        <v>4232</v>
      </c>
      <c r="E11" s="1">
        <v>1074</v>
      </c>
      <c r="F11" s="1">
        <v>1385</v>
      </c>
      <c r="G11" s="8">
        <v>0.45</v>
      </c>
      <c r="H11" s="1">
        <v>45</v>
      </c>
      <c r="I11" s="1" t="s">
        <v>40</v>
      </c>
      <c r="J11" s="1"/>
      <c r="K11" s="1">
        <v>1093</v>
      </c>
      <c r="L11" s="1">
        <f t="shared" si="2"/>
        <v>-19</v>
      </c>
      <c r="M11" s="1">
        <f t="shared" si="3"/>
        <v>1074</v>
      </c>
      <c r="N11" s="1"/>
      <c r="O11" s="1"/>
      <c r="P11" s="1">
        <v>703.60440000000006</v>
      </c>
      <c r="Q11" s="1"/>
      <c r="R11" s="1"/>
      <c r="S11" s="1">
        <v>0</v>
      </c>
      <c r="T11" s="1">
        <f t="shared" si="4"/>
        <v>179</v>
      </c>
      <c r="U11" s="5">
        <f t="shared" ref="U11:U21" si="10">12*T11-S11-R11-Q11-P11-O11-F11</f>
        <v>59.395599999999831</v>
      </c>
      <c r="V11" s="5"/>
      <c r="W11" s="5">
        <f t="shared" si="6"/>
        <v>59.395599999999831</v>
      </c>
      <c r="X11" s="5"/>
      <c r="Y11" s="1"/>
      <c r="Z11" s="1">
        <f t="shared" si="7"/>
        <v>12</v>
      </c>
      <c r="AA11" s="1">
        <f t="shared" si="8"/>
        <v>11.668181005586593</v>
      </c>
      <c r="AB11" s="1">
        <v>218</v>
      </c>
      <c r="AC11" s="1">
        <v>227.8</v>
      </c>
      <c r="AD11" s="1">
        <v>199.6</v>
      </c>
      <c r="AE11" s="1">
        <v>182.6</v>
      </c>
      <c r="AF11" s="1">
        <v>152.4</v>
      </c>
      <c r="AG11" s="1">
        <v>158</v>
      </c>
      <c r="AH11" s="1">
        <v>172.4</v>
      </c>
      <c r="AI11" s="1">
        <v>171.4</v>
      </c>
      <c r="AJ11" s="1"/>
      <c r="AK11" s="1">
        <f t="shared" si="9"/>
        <v>27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" t="s">
        <v>49</v>
      </c>
      <c r="B12" s="1" t="s">
        <v>44</v>
      </c>
      <c r="C12" s="1">
        <v>64</v>
      </c>
      <c r="D12" s="1">
        <v>375</v>
      </c>
      <c r="E12" s="1">
        <v>297</v>
      </c>
      <c r="F12" s="1">
        <v>112</v>
      </c>
      <c r="G12" s="8">
        <v>0.17</v>
      </c>
      <c r="H12" s="1">
        <v>180</v>
      </c>
      <c r="I12" s="1" t="s">
        <v>40</v>
      </c>
      <c r="J12" s="1"/>
      <c r="K12" s="1">
        <v>327</v>
      </c>
      <c r="L12" s="1">
        <f t="shared" si="2"/>
        <v>-30</v>
      </c>
      <c r="M12" s="1">
        <f t="shared" si="3"/>
        <v>267</v>
      </c>
      <c r="N12" s="1">
        <v>30</v>
      </c>
      <c r="O12" s="1"/>
      <c r="P12" s="1">
        <v>137.1738</v>
      </c>
      <c r="Q12" s="1"/>
      <c r="R12" s="1"/>
      <c r="S12" s="1">
        <v>331.49286666666671</v>
      </c>
      <c r="T12" s="1">
        <f t="shared" si="4"/>
        <v>44.5</v>
      </c>
      <c r="U12" s="5"/>
      <c r="V12" s="5"/>
      <c r="W12" s="5">
        <f t="shared" si="6"/>
        <v>0</v>
      </c>
      <c r="X12" s="5"/>
      <c r="Y12" s="1"/>
      <c r="Z12" s="1">
        <f t="shared" si="7"/>
        <v>13.048689138576782</v>
      </c>
      <c r="AA12" s="1">
        <f t="shared" si="8"/>
        <v>13.048689138576782</v>
      </c>
      <c r="AB12" s="1">
        <v>56.333333333333343</v>
      </c>
      <c r="AC12" s="1">
        <v>36.6</v>
      </c>
      <c r="AD12" s="1">
        <v>29.4</v>
      </c>
      <c r="AE12" s="1">
        <v>22.8</v>
      </c>
      <c r="AF12" s="1">
        <v>17.399999999999999</v>
      </c>
      <c r="AG12" s="1">
        <v>17.2</v>
      </c>
      <c r="AH12" s="1">
        <v>10.8</v>
      </c>
      <c r="AI12" s="1">
        <v>14.6</v>
      </c>
      <c r="AJ12" s="1"/>
      <c r="AK12" s="1">
        <f t="shared" si="9"/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50</v>
      </c>
      <c r="B13" s="1" t="s">
        <v>44</v>
      </c>
      <c r="C13" s="1">
        <v>214</v>
      </c>
      <c r="D13" s="1">
        <v>198</v>
      </c>
      <c r="E13" s="1">
        <v>178</v>
      </c>
      <c r="F13" s="1">
        <v>173</v>
      </c>
      <c r="G13" s="8">
        <v>0.3</v>
      </c>
      <c r="H13" s="1">
        <v>40</v>
      </c>
      <c r="I13" s="1" t="s">
        <v>40</v>
      </c>
      <c r="J13" s="1"/>
      <c r="K13" s="1">
        <v>240</v>
      </c>
      <c r="L13" s="1">
        <f t="shared" si="2"/>
        <v>-62</v>
      </c>
      <c r="M13" s="1">
        <f t="shared" si="3"/>
        <v>118</v>
      </c>
      <c r="N13" s="1">
        <v>60</v>
      </c>
      <c r="O13" s="1"/>
      <c r="P13" s="1">
        <v>108.5166</v>
      </c>
      <c r="Q13" s="1"/>
      <c r="R13" s="1"/>
      <c r="S13" s="1">
        <v>31.816733333333389</v>
      </c>
      <c r="T13" s="1">
        <f t="shared" si="4"/>
        <v>19.666666666666668</v>
      </c>
      <c r="U13" s="5"/>
      <c r="V13" s="5"/>
      <c r="W13" s="5">
        <f t="shared" si="6"/>
        <v>0</v>
      </c>
      <c r="X13" s="5"/>
      <c r="Y13" s="1"/>
      <c r="Z13" s="1">
        <f t="shared" si="7"/>
        <v>15.932203389830509</v>
      </c>
      <c r="AA13" s="1">
        <f t="shared" si="8"/>
        <v>15.932203389830509</v>
      </c>
      <c r="AB13" s="1">
        <v>34.333333333333343</v>
      </c>
      <c r="AC13" s="1">
        <v>37.799999999999997</v>
      </c>
      <c r="AD13" s="1">
        <v>36</v>
      </c>
      <c r="AE13" s="1">
        <v>37.200000000000003</v>
      </c>
      <c r="AF13" s="1">
        <v>33.799999999999997</v>
      </c>
      <c r="AG13" s="1">
        <v>37.6</v>
      </c>
      <c r="AH13" s="1">
        <v>34.4</v>
      </c>
      <c r="AI13" s="1">
        <v>18.399999999999999</v>
      </c>
      <c r="AJ13" s="1"/>
      <c r="AK13" s="1">
        <f t="shared" si="9"/>
        <v>0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51</v>
      </c>
      <c r="B14" s="1" t="s">
        <v>44</v>
      </c>
      <c r="C14" s="1">
        <v>-10</v>
      </c>
      <c r="D14" s="1">
        <v>718</v>
      </c>
      <c r="E14" s="1">
        <v>221</v>
      </c>
      <c r="F14" s="1">
        <v>207</v>
      </c>
      <c r="G14" s="8">
        <v>0.17</v>
      </c>
      <c r="H14" s="1">
        <v>180</v>
      </c>
      <c r="I14" s="1" t="s">
        <v>40</v>
      </c>
      <c r="J14" s="1"/>
      <c r="K14" s="1">
        <v>575</v>
      </c>
      <c r="L14" s="1">
        <f t="shared" si="2"/>
        <v>-354</v>
      </c>
      <c r="M14" s="1">
        <f t="shared" si="3"/>
        <v>221</v>
      </c>
      <c r="N14" s="1"/>
      <c r="O14" s="1"/>
      <c r="P14" s="1">
        <v>314.72820000000002</v>
      </c>
      <c r="Q14" s="1"/>
      <c r="R14" s="1"/>
      <c r="S14" s="1">
        <v>0</v>
      </c>
      <c r="T14" s="1">
        <f t="shared" si="4"/>
        <v>36.833333333333336</v>
      </c>
      <c r="U14" s="5"/>
      <c r="V14" s="5"/>
      <c r="W14" s="5">
        <f t="shared" si="6"/>
        <v>0</v>
      </c>
      <c r="X14" s="5"/>
      <c r="Y14" s="1"/>
      <c r="Z14" s="1">
        <f t="shared" si="7"/>
        <v>14.164566515837103</v>
      </c>
      <c r="AA14" s="1">
        <f t="shared" si="8"/>
        <v>14.164566515837103</v>
      </c>
      <c r="AB14" s="1">
        <v>46.5</v>
      </c>
      <c r="AC14" s="1">
        <v>77.8</v>
      </c>
      <c r="AD14" s="1">
        <v>69.400000000000006</v>
      </c>
      <c r="AE14" s="1">
        <v>72</v>
      </c>
      <c r="AF14" s="1">
        <v>48.2</v>
      </c>
      <c r="AG14" s="1">
        <v>39.799999999999997</v>
      </c>
      <c r="AH14" s="1">
        <v>45.4</v>
      </c>
      <c r="AI14" s="1">
        <v>43.6</v>
      </c>
      <c r="AJ14" s="1"/>
      <c r="AK14" s="1">
        <f t="shared" si="9"/>
        <v>0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" t="s">
        <v>52</v>
      </c>
      <c r="B15" s="1" t="s">
        <v>39</v>
      </c>
      <c r="C15" s="1">
        <v>676.66899999999998</v>
      </c>
      <c r="D15" s="1">
        <v>2144.181</v>
      </c>
      <c r="E15" s="1">
        <v>878.53700000000003</v>
      </c>
      <c r="F15" s="1">
        <v>927.39099999999996</v>
      </c>
      <c r="G15" s="8">
        <v>1</v>
      </c>
      <c r="H15" s="1">
        <v>55</v>
      </c>
      <c r="I15" s="1" t="s">
        <v>40</v>
      </c>
      <c r="J15" s="1"/>
      <c r="K15" s="1">
        <v>874.41499999999996</v>
      </c>
      <c r="L15" s="1">
        <f t="shared" si="2"/>
        <v>4.1220000000000709</v>
      </c>
      <c r="M15" s="1">
        <f t="shared" si="3"/>
        <v>862.67399999999998</v>
      </c>
      <c r="N15" s="1">
        <v>15.863</v>
      </c>
      <c r="O15" s="1"/>
      <c r="P15" s="1">
        <v>280.46851980000008</v>
      </c>
      <c r="Q15" s="1">
        <v>300</v>
      </c>
      <c r="R15" s="1"/>
      <c r="S15" s="1">
        <v>188.01031353333309</v>
      </c>
      <c r="T15" s="1">
        <f t="shared" si="4"/>
        <v>143.779</v>
      </c>
      <c r="U15" s="5">
        <f t="shared" si="10"/>
        <v>29.478166666666766</v>
      </c>
      <c r="V15" s="5">
        <f>$V$1*T15</f>
        <v>143.779</v>
      </c>
      <c r="W15" s="5">
        <f t="shared" si="6"/>
        <v>173.25716666666676</v>
      </c>
      <c r="X15" s="5"/>
      <c r="Y15" s="1"/>
      <c r="Z15" s="1">
        <f t="shared" si="7"/>
        <v>13</v>
      </c>
      <c r="AA15" s="1">
        <f t="shared" si="8"/>
        <v>11.794975854146525</v>
      </c>
      <c r="AB15" s="1">
        <v>172.6421666666667</v>
      </c>
      <c r="AC15" s="1">
        <v>177.04759999999999</v>
      </c>
      <c r="AD15" s="1">
        <v>145.43199999999999</v>
      </c>
      <c r="AE15" s="1">
        <v>135.30840000000001</v>
      </c>
      <c r="AF15" s="1">
        <v>139.0334</v>
      </c>
      <c r="AG15" s="1">
        <v>130.6772</v>
      </c>
      <c r="AH15" s="1">
        <v>112.2272</v>
      </c>
      <c r="AI15" s="1">
        <v>116.54940000000001</v>
      </c>
      <c r="AJ15" s="1" t="s">
        <v>53</v>
      </c>
      <c r="AK15" s="1">
        <f t="shared" si="9"/>
        <v>173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" t="s">
        <v>54</v>
      </c>
      <c r="B16" s="1" t="s">
        <v>39</v>
      </c>
      <c r="C16" s="1">
        <v>2510.6729999999998</v>
      </c>
      <c r="D16" s="1">
        <v>7109.5079999999998</v>
      </c>
      <c r="E16" s="1">
        <v>2710.2060000000001</v>
      </c>
      <c r="F16" s="1">
        <v>2513.6840000000002</v>
      </c>
      <c r="G16" s="8">
        <v>1</v>
      </c>
      <c r="H16" s="1">
        <v>50</v>
      </c>
      <c r="I16" s="1" t="s">
        <v>40</v>
      </c>
      <c r="J16" s="1"/>
      <c r="K16" s="1">
        <v>2921.8220000000001</v>
      </c>
      <c r="L16" s="1">
        <f t="shared" si="2"/>
        <v>-211.61599999999999</v>
      </c>
      <c r="M16" s="1">
        <f t="shared" si="3"/>
        <v>2635.6060000000002</v>
      </c>
      <c r="N16" s="1">
        <v>74.599999999999994</v>
      </c>
      <c r="O16" s="1">
        <v>1000</v>
      </c>
      <c r="P16" s="1">
        <v>556.56822100000068</v>
      </c>
      <c r="Q16" s="1">
        <v>800</v>
      </c>
      <c r="R16" s="1">
        <v>500</v>
      </c>
      <c r="S16" s="1">
        <v>587.25944566666567</v>
      </c>
      <c r="T16" s="1">
        <f t="shared" si="4"/>
        <v>439.26766666666668</v>
      </c>
      <c r="U16" s="5"/>
      <c r="V16" s="5"/>
      <c r="W16" s="5">
        <f t="shared" si="6"/>
        <v>0</v>
      </c>
      <c r="X16" s="5"/>
      <c r="Y16" s="1"/>
      <c r="Z16" s="1">
        <f t="shared" si="7"/>
        <v>13.562372372805342</v>
      </c>
      <c r="AA16" s="1">
        <f t="shared" si="8"/>
        <v>13.562372372805342</v>
      </c>
      <c r="AB16" s="1">
        <v>585.60733333333326</v>
      </c>
      <c r="AC16" s="1">
        <v>553.25600000000009</v>
      </c>
      <c r="AD16" s="1">
        <v>455.30959999999988</v>
      </c>
      <c r="AE16" s="1">
        <v>452.64479999999998</v>
      </c>
      <c r="AF16" s="1">
        <v>436.24799999999988</v>
      </c>
      <c r="AG16" s="1">
        <v>444.14880000000011</v>
      </c>
      <c r="AH16" s="1">
        <v>413.01400000000001</v>
      </c>
      <c r="AI16" s="1">
        <v>390.86860000000001</v>
      </c>
      <c r="AJ16" s="1" t="s">
        <v>53</v>
      </c>
      <c r="AK16" s="1">
        <f t="shared" si="9"/>
        <v>0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55</v>
      </c>
      <c r="B17" s="1" t="s">
        <v>39</v>
      </c>
      <c r="C17" s="1">
        <v>135.26300000000001</v>
      </c>
      <c r="D17" s="1">
        <v>384.38099999999997</v>
      </c>
      <c r="E17" s="1">
        <v>244.09700000000001</v>
      </c>
      <c r="F17" s="1">
        <v>157.46</v>
      </c>
      <c r="G17" s="8">
        <v>1</v>
      </c>
      <c r="H17" s="1">
        <v>60</v>
      </c>
      <c r="I17" s="1" t="s">
        <v>40</v>
      </c>
      <c r="J17" s="1"/>
      <c r="K17" s="1">
        <v>260.464</v>
      </c>
      <c r="L17" s="1">
        <f t="shared" si="2"/>
        <v>-16.36699999999999</v>
      </c>
      <c r="M17" s="1">
        <f t="shared" si="3"/>
        <v>222.84300000000002</v>
      </c>
      <c r="N17" s="1">
        <v>21.254000000000001</v>
      </c>
      <c r="O17" s="1"/>
      <c r="P17" s="1">
        <v>137.48291699999999</v>
      </c>
      <c r="Q17" s="1"/>
      <c r="R17" s="1"/>
      <c r="S17" s="1">
        <v>146.91241633333331</v>
      </c>
      <c r="T17" s="1">
        <f t="shared" si="4"/>
        <v>37.140500000000003</v>
      </c>
      <c r="U17" s="5">
        <f t="shared" si="10"/>
        <v>3.8306666666667013</v>
      </c>
      <c r="V17" s="5"/>
      <c r="W17" s="5">
        <f t="shared" si="6"/>
        <v>3.8306666666667013</v>
      </c>
      <c r="X17" s="5"/>
      <c r="Y17" s="1"/>
      <c r="Z17" s="1">
        <f t="shared" si="7"/>
        <v>12</v>
      </c>
      <c r="AA17" s="1">
        <f t="shared" si="8"/>
        <v>11.896860121251283</v>
      </c>
      <c r="AB17" s="1">
        <v>47.806333333333328</v>
      </c>
      <c r="AC17" s="1">
        <v>38.448999999999998</v>
      </c>
      <c r="AD17" s="1">
        <v>33.643999999999998</v>
      </c>
      <c r="AE17" s="1">
        <v>31.352799999999998</v>
      </c>
      <c r="AF17" s="1">
        <v>28.491</v>
      </c>
      <c r="AG17" s="1">
        <v>23.248799999999999</v>
      </c>
      <c r="AH17" s="1">
        <v>25.207599999999999</v>
      </c>
      <c r="AI17" s="1">
        <v>27.665600000000001</v>
      </c>
      <c r="AJ17" s="1"/>
      <c r="AK17" s="1">
        <f t="shared" si="9"/>
        <v>4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" t="s">
        <v>56</v>
      </c>
      <c r="B18" s="1" t="s">
        <v>39</v>
      </c>
      <c r="C18" s="1">
        <v>1216.4870000000001</v>
      </c>
      <c r="D18" s="1">
        <v>2455.9569999999999</v>
      </c>
      <c r="E18" s="1">
        <v>2042.223</v>
      </c>
      <c r="F18" s="1">
        <v>1292.45</v>
      </c>
      <c r="G18" s="8">
        <v>1</v>
      </c>
      <c r="H18" s="1">
        <v>60</v>
      </c>
      <c r="I18" s="1" t="s">
        <v>40</v>
      </c>
      <c r="J18" s="1"/>
      <c r="K18" s="1">
        <v>2084.7150000000001</v>
      </c>
      <c r="L18" s="1">
        <f t="shared" si="2"/>
        <v>-42.492000000000189</v>
      </c>
      <c r="M18" s="1">
        <f t="shared" si="3"/>
        <v>2042.223</v>
      </c>
      <c r="N18" s="1"/>
      <c r="O18" s="1">
        <v>500</v>
      </c>
      <c r="P18" s="1">
        <v>503.54979580000031</v>
      </c>
      <c r="Q18" s="1">
        <v>800</v>
      </c>
      <c r="R18" s="1">
        <v>1000</v>
      </c>
      <c r="S18" s="1">
        <v>762.36620419999963</v>
      </c>
      <c r="T18" s="1">
        <f t="shared" si="4"/>
        <v>340.37049999999999</v>
      </c>
      <c r="U18" s="5"/>
      <c r="V18" s="5"/>
      <c r="W18" s="5">
        <f t="shared" si="6"/>
        <v>0</v>
      </c>
      <c r="X18" s="5"/>
      <c r="Y18" s="1"/>
      <c r="Z18" s="1">
        <f t="shared" si="7"/>
        <v>14.273757567121709</v>
      </c>
      <c r="AA18" s="1">
        <f t="shared" si="8"/>
        <v>14.273757567121709</v>
      </c>
      <c r="AB18" s="1">
        <v>463.221</v>
      </c>
      <c r="AC18" s="1">
        <v>409.87540000000001</v>
      </c>
      <c r="AD18" s="1">
        <v>284.73779999999999</v>
      </c>
      <c r="AE18" s="1">
        <v>281.13060000000002</v>
      </c>
      <c r="AF18" s="1">
        <v>280.9896</v>
      </c>
      <c r="AG18" s="1">
        <v>285.08960000000002</v>
      </c>
      <c r="AH18" s="1">
        <v>233.15700000000001</v>
      </c>
      <c r="AI18" s="1">
        <v>214.32320000000001</v>
      </c>
      <c r="AJ18" s="1"/>
      <c r="AK18" s="1">
        <f t="shared" si="9"/>
        <v>0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" t="s">
        <v>57</v>
      </c>
      <c r="B19" s="1" t="s">
        <v>39</v>
      </c>
      <c r="C19" s="1">
        <v>135.34100000000001</v>
      </c>
      <c r="D19" s="1">
        <v>839.73500000000001</v>
      </c>
      <c r="E19" s="1">
        <v>127.747</v>
      </c>
      <c r="F19" s="1">
        <v>172.56399999999999</v>
      </c>
      <c r="G19" s="8">
        <v>1</v>
      </c>
      <c r="H19" s="1">
        <v>60</v>
      </c>
      <c r="I19" s="1" t="s">
        <v>40</v>
      </c>
      <c r="J19" s="1"/>
      <c r="K19" s="1">
        <v>132.94900000000001</v>
      </c>
      <c r="L19" s="1">
        <f t="shared" si="2"/>
        <v>-5.2020000000000124</v>
      </c>
      <c r="M19" s="1">
        <f t="shared" si="3"/>
        <v>117.188</v>
      </c>
      <c r="N19" s="1">
        <v>10.558999999999999</v>
      </c>
      <c r="O19" s="1"/>
      <c r="P19" s="1">
        <v>42.358648199999998</v>
      </c>
      <c r="Q19" s="1"/>
      <c r="R19" s="1"/>
      <c r="S19" s="1">
        <v>0</v>
      </c>
      <c r="T19" s="1">
        <f t="shared" si="4"/>
        <v>19.531333333333333</v>
      </c>
      <c r="U19" s="5">
        <f t="shared" si="10"/>
        <v>19.453351799999979</v>
      </c>
      <c r="V19" s="5"/>
      <c r="W19" s="5">
        <f t="shared" si="6"/>
        <v>19.453351799999979</v>
      </c>
      <c r="X19" s="5"/>
      <c r="Y19" s="1"/>
      <c r="Z19" s="1">
        <f t="shared" si="7"/>
        <v>12</v>
      </c>
      <c r="AA19" s="1">
        <f t="shared" si="8"/>
        <v>11.003992637471415</v>
      </c>
      <c r="AB19" s="1">
        <v>24.290833333333339</v>
      </c>
      <c r="AC19" s="1">
        <v>25.323399999999999</v>
      </c>
      <c r="AD19" s="1">
        <v>26.979600000000001</v>
      </c>
      <c r="AE19" s="1">
        <v>22.966799999999999</v>
      </c>
      <c r="AF19" s="1">
        <v>20.192399999999999</v>
      </c>
      <c r="AG19" s="1">
        <v>19.4758</v>
      </c>
      <c r="AH19" s="1">
        <v>21.106000000000002</v>
      </c>
      <c r="AI19" s="1">
        <v>20.777799999999999</v>
      </c>
      <c r="AJ19" s="1"/>
      <c r="AK19" s="1">
        <f t="shared" si="9"/>
        <v>19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" t="s">
        <v>58</v>
      </c>
      <c r="B20" s="1" t="s">
        <v>39</v>
      </c>
      <c r="C20" s="1">
        <v>11.013999999999999</v>
      </c>
      <c r="D20" s="1">
        <v>1.91</v>
      </c>
      <c r="E20" s="1">
        <v>9.3940000000000001</v>
      </c>
      <c r="F20" s="1"/>
      <c r="G20" s="8">
        <v>1</v>
      </c>
      <c r="H20" s="1">
        <v>180</v>
      </c>
      <c r="I20" s="1" t="s">
        <v>40</v>
      </c>
      <c r="J20" s="1"/>
      <c r="K20" s="1">
        <v>14.852</v>
      </c>
      <c r="L20" s="1">
        <f t="shared" si="2"/>
        <v>-5.4580000000000002</v>
      </c>
      <c r="M20" s="1">
        <f t="shared" si="3"/>
        <v>9.3940000000000001</v>
      </c>
      <c r="N20" s="1"/>
      <c r="O20" s="1"/>
      <c r="P20" s="1">
        <v>7.9425534000000013</v>
      </c>
      <c r="Q20" s="1"/>
      <c r="R20" s="1"/>
      <c r="S20" s="1">
        <v>12.3344466</v>
      </c>
      <c r="T20" s="1">
        <f t="shared" si="4"/>
        <v>1.5656666666666668</v>
      </c>
      <c r="U20" s="5"/>
      <c r="V20" s="5"/>
      <c r="W20" s="5">
        <f t="shared" si="6"/>
        <v>0</v>
      </c>
      <c r="X20" s="5"/>
      <c r="Y20" s="1"/>
      <c r="Z20" s="1">
        <f t="shared" si="7"/>
        <v>12.951032573983394</v>
      </c>
      <c r="AA20" s="1">
        <f t="shared" si="8"/>
        <v>12.951032573983394</v>
      </c>
      <c r="AB20" s="1">
        <v>2.2530000000000001</v>
      </c>
      <c r="AC20" s="1">
        <v>2.0354000000000001</v>
      </c>
      <c r="AD20" s="1">
        <v>0.75679999999999992</v>
      </c>
      <c r="AE20" s="1">
        <v>0.65860000000000007</v>
      </c>
      <c r="AF20" s="1">
        <v>1.8124</v>
      </c>
      <c r="AG20" s="1">
        <v>1.2986</v>
      </c>
      <c r="AH20" s="1">
        <v>0.2218</v>
      </c>
      <c r="AI20" s="1">
        <v>0.51839999999999997</v>
      </c>
      <c r="AJ20" s="1"/>
      <c r="AK20" s="1">
        <f t="shared" si="9"/>
        <v>0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" t="s">
        <v>59</v>
      </c>
      <c r="B21" s="1" t="s">
        <v>39</v>
      </c>
      <c r="C21" s="1">
        <v>1458.1510000000001</v>
      </c>
      <c r="D21" s="1">
        <v>3882.1559999999999</v>
      </c>
      <c r="E21" s="1">
        <v>2004.1279999999999</v>
      </c>
      <c r="F21" s="1">
        <v>972.17600000000004</v>
      </c>
      <c r="G21" s="8">
        <v>1</v>
      </c>
      <c r="H21" s="1">
        <v>60</v>
      </c>
      <c r="I21" s="1" t="s">
        <v>40</v>
      </c>
      <c r="J21" s="1"/>
      <c r="K21" s="1">
        <v>1963.94</v>
      </c>
      <c r="L21" s="1">
        <f t="shared" si="2"/>
        <v>40.187999999999874</v>
      </c>
      <c r="M21" s="1">
        <f t="shared" si="3"/>
        <v>1998.8579999999999</v>
      </c>
      <c r="N21" s="1">
        <v>5.27</v>
      </c>
      <c r="O21" s="1">
        <v>500</v>
      </c>
      <c r="P21" s="1">
        <v>272.31464620000003</v>
      </c>
      <c r="Q21" s="1">
        <v>500</v>
      </c>
      <c r="R21" s="1">
        <v>1000</v>
      </c>
      <c r="S21" s="1">
        <v>565.43735380000066</v>
      </c>
      <c r="T21" s="1">
        <f t="shared" si="4"/>
        <v>333.14299999999997</v>
      </c>
      <c r="U21" s="5">
        <f t="shared" si="10"/>
        <v>187.78799999999853</v>
      </c>
      <c r="V21" s="5">
        <f>$V$1*T21</f>
        <v>333.14299999999997</v>
      </c>
      <c r="W21" s="5">
        <f t="shared" si="6"/>
        <v>520.93099999999845</v>
      </c>
      <c r="X21" s="5"/>
      <c r="Y21" s="1"/>
      <c r="Z21" s="1">
        <f t="shared" si="7"/>
        <v>13</v>
      </c>
      <c r="AA21" s="1">
        <f t="shared" si="8"/>
        <v>11.436314135371301</v>
      </c>
      <c r="AB21" s="1">
        <v>379.88099999999997</v>
      </c>
      <c r="AC21" s="1">
        <v>312.31240000000003</v>
      </c>
      <c r="AD21" s="1">
        <v>261.25799999999998</v>
      </c>
      <c r="AE21" s="1">
        <v>258.31220000000002</v>
      </c>
      <c r="AF21" s="1">
        <v>255.6172</v>
      </c>
      <c r="AG21" s="1">
        <v>262.20699999999999</v>
      </c>
      <c r="AH21" s="1">
        <v>237.0258</v>
      </c>
      <c r="AI21" s="1">
        <v>241.30940000000001</v>
      </c>
      <c r="AJ21" s="1" t="s">
        <v>53</v>
      </c>
      <c r="AK21" s="1">
        <f t="shared" si="9"/>
        <v>521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" t="s">
        <v>60</v>
      </c>
      <c r="B22" s="1" t="s">
        <v>39</v>
      </c>
      <c r="C22" s="1">
        <v>297.78500000000003</v>
      </c>
      <c r="D22" s="1">
        <v>611.79700000000003</v>
      </c>
      <c r="E22" s="1">
        <v>289.45800000000003</v>
      </c>
      <c r="F22" s="1">
        <v>316.964</v>
      </c>
      <c r="G22" s="8">
        <v>1</v>
      </c>
      <c r="H22" s="1">
        <v>60</v>
      </c>
      <c r="I22" s="1" t="s">
        <v>40</v>
      </c>
      <c r="J22" s="1"/>
      <c r="K22" s="1">
        <v>305.64</v>
      </c>
      <c r="L22" s="1">
        <f t="shared" si="2"/>
        <v>-16.18199999999996</v>
      </c>
      <c r="M22" s="1">
        <f t="shared" si="3"/>
        <v>284.16800000000001</v>
      </c>
      <c r="N22" s="1">
        <v>5.29</v>
      </c>
      <c r="O22" s="1"/>
      <c r="P22" s="1">
        <v>116.9383098</v>
      </c>
      <c r="Q22" s="1"/>
      <c r="R22" s="1"/>
      <c r="S22" s="1">
        <v>156.21852353333341</v>
      </c>
      <c r="T22" s="1">
        <f t="shared" si="4"/>
        <v>47.361333333333334</v>
      </c>
      <c r="U22" s="5"/>
      <c r="V22" s="5"/>
      <c r="W22" s="5">
        <f t="shared" si="6"/>
        <v>0</v>
      </c>
      <c r="X22" s="5"/>
      <c r="Y22" s="1"/>
      <c r="Z22" s="1">
        <f t="shared" si="7"/>
        <v>12.459970862306806</v>
      </c>
      <c r="AA22" s="1">
        <f t="shared" si="8"/>
        <v>12.459970862306806</v>
      </c>
      <c r="AB22" s="1">
        <v>59.718166666666669</v>
      </c>
      <c r="AC22" s="1">
        <v>54.285600000000002</v>
      </c>
      <c r="AD22" s="1">
        <v>54.360799999999998</v>
      </c>
      <c r="AE22" s="1">
        <v>51.039599999999993</v>
      </c>
      <c r="AF22" s="1">
        <v>42.496600000000001</v>
      </c>
      <c r="AG22" s="1">
        <v>36.841000000000001</v>
      </c>
      <c r="AH22" s="1">
        <v>46.499399999999987</v>
      </c>
      <c r="AI22" s="1">
        <v>51.252599999999987</v>
      </c>
      <c r="AJ22" s="1"/>
      <c r="AK22" s="1">
        <f t="shared" si="9"/>
        <v>0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" t="s">
        <v>61</v>
      </c>
      <c r="B23" s="1" t="s">
        <v>39</v>
      </c>
      <c r="C23" s="1">
        <v>221.55799999999999</v>
      </c>
      <c r="D23" s="1">
        <v>316.46300000000002</v>
      </c>
      <c r="E23" s="1">
        <v>264.166</v>
      </c>
      <c r="F23" s="1">
        <v>247.04499999999999</v>
      </c>
      <c r="G23" s="8">
        <v>1</v>
      </c>
      <c r="H23" s="1">
        <v>60</v>
      </c>
      <c r="I23" s="1" t="s">
        <v>40</v>
      </c>
      <c r="J23" s="1"/>
      <c r="K23" s="1">
        <v>275.435</v>
      </c>
      <c r="L23" s="1">
        <f t="shared" si="2"/>
        <v>-11.269000000000005</v>
      </c>
      <c r="M23" s="1">
        <f t="shared" si="3"/>
        <v>248.35999999999999</v>
      </c>
      <c r="N23" s="1">
        <v>15.805999999999999</v>
      </c>
      <c r="O23" s="1"/>
      <c r="P23" s="1">
        <v>43.634996599999987</v>
      </c>
      <c r="Q23" s="1">
        <v>100</v>
      </c>
      <c r="R23" s="1"/>
      <c r="S23" s="1">
        <v>140.53467006666679</v>
      </c>
      <c r="T23" s="1">
        <f t="shared" si="4"/>
        <v>41.393333333333331</v>
      </c>
      <c r="U23" s="5"/>
      <c r="V23" s="5"/>
      <c r="W23" s="5">
        <f t="shared" si="6"/>
        <v>0</v>
      </c>
      <c r="X23" s="5"/>
      <c r="Y23" s="1"/>
      <c r="Z23" s="1">
        <f t="shared" si="7"/>
        <v>12.833338701884363</v>
      </c>
      <c r="AA23" s="1">
        <f t="shared" si="8"/>
        <v>12.833338701884363</v>
      </c>
      <c r="AB23" s="1">
        <v>53.31633333333334</v>
      </c>
      <c r="AC23" s="1">
        <v>47.745199999999997</v>
      </c>
      <c r="AD23" s="1">
        <v>42.707999999999998</v>
      </c>
      <c r="AE23" s="1">
        <v>39.196599999999997</v>
      </c>
      <c r="AF23" s="1">
        <v>41.993400000000001</v>
      </c>
      <c r="AG23" s="1">
        <v>38.009399999999999</v>
      </c>
      <c r="AH23" s="1">
        <v>35.380800000000001</v>
      </c>
      <c r="AI23" s="1">
        <v>39.007599999999996</v>
      </c>
      <c r="AJ23" s="1"/>
      <c r="AK23" s="1">
        <f t="shared" si="9"/>
        <v>0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" t="s">
        <v>62</v>
      </c>
      <c r="B24" s="1" t="s">
        <v>39</v>
      </c>
      <c r="C24" s="1">
        <v>3.96</v>
      </c>
      <c r="D24" s="1">
        <v>15.564</v>
      </c>
      <c r="E24" s="1">
        <v>9.984</v>
      </c>
      <c r="F24" s="1">
        <v>8.8279999999999994</v>
      </c>
      <c r="G24" s="8">
        <v>1</v>
      </c>
      <c r="H24" s="1">
        <v>180</v>
      </c>
      <c r="I24" s="1" t="s">
        <v>40</v>
      </c>
      <c r="J24" s="1"/>
      <c r="K24" s="1">
        <v>13.2</v>
      </c>
      <c r="L24" s="1">
        <f t="shared" si="2"/>
        <v>-3.2159999999999993</v>
      </c>
      <c r="M24" s="1">
        <f t="shared" si="3"/>
        <v>9.984</v>
      </c>
      <c r="N24" s="1"/>
      <c r="O24" s="1"/>
      <c r="P24" s="1">
        <v>11.1108774</v>
      </c>
      <c r="Q24" s="1"/>
      <c r="R24" s="1"/>
      <c r="S24" s="1">
        <v>4</v>
      </c>
      <c r="T24" s="1">
        <f t="shared" si="4"/>
        <v>1.6639999999999999</v>
      </c>
      <c r="U24" s="5"/>
      <c r="V24" s="5"/>
      <c r="W24" s="5">
        <f t="shared" si="6"/>
        <v>0</v>
      </c>
      <c r="X24" s="5"/>
      <c r="Y24" s="1"/>
      <c r="Z24" s="1">
        <f t="shared" si="7"/>
        <v>14.386344591346154</v>
      </c>
      <c r="AA24" s="1">
        <f t="shared" si="8"/>
        <v>14.386344591346154</v>
      </c>
      <c r="AB24" s="1">
        <v>2.4003333333333332</v>
      </c>
      <c r="AC24" s="1">
        <v>2.6547999999999998</v>
      </c>
      <c r="AD24" s="1">
        <v>1.0336000000000001</v>
      </c>
      <c r="AE24" s="1">
        <v>0.96579999999999999</v>
      </c>
      <c r="AF24" s="1">
        <v>1.7390000000000001</v>
      </c>
      <c r="AG24" s="1">
        <v>1.0544</v>
      </c>
      <c r="AH24" s="1">
        <v>0.64759999999999995</v>
      </c>
      <c r="AI24" s="1">
        <v>1.01</v>
      </c>
      <c r="AJ24" s="1"/>
      <c r="AK24" s="1">
        <f t="shared" si="9"/>
        <v>0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" t="s">
        <v>63</v>
      </c>
      <c r="B25" s="1" t="s">
        <v>39</v>
      </c>
      <c r="C25" s="1">
        <v>620.178</v>
      </c>
      <c r="D25" s="1">
        <v>1382.1669999999999</v>
      </c>
      <c r="E25" s="1">
        <v>557.20100000000002</v>
      </c>
      <c r="F25" s="1">
        <v>734.351</v>
      </c>
      <c r="G25" s="8">
        <v>1</v>
      </c>
      <c r="H25" s="1">
        <v>60</v>
      </c>
      <c r="I25" s="1" t="s">
        <v>40</v>
      </c>
      <c r="J25" s="1"/>
      <c r="K25" s="1">
        <v>551.39</v>
      </c>
      <c r="L25" s="1">
        <f t="shared" si="2"/>
        <v>5.8110000000000355</v>
      </c>
      <c r="M25" s="1">
        <f t="shared" si="3"/>
        <v>551.92500000000007</v>
      </c>
      <c r="N25" s="1">
        <v>5.2759999999999998</v>
      </c>
      <c r="O25" s="1"/>
      <c r="P25" s="1">
        <v>196.6882929999999</v>
      </c>
      <c r="Q25" s="1">
        <v>200</v>
      </c>
      <c r="R25" s="1"/>
      <c r="S25" s="1">
        <v>0</v>
      </c>
      <c r="T25" s="1">
        <f t="shared" si="4"/>
        <v>91.987500000000011</v>
      </c>
      <c r="U25" s="5"/>
      <c r="V25" s="5">
        <f>$V$1*T25</f>
        <v>91.987500000000011</v>
      </c>
      <c r="W25" s="5">
        <f t="shared" si="6"/>
        <v>91.987500000000011</v>
      </c>
      <c r="X25" s="5"/>
      <c r="Y25" s="1"/>
      <c r="Z25" s="1">
        <f t="shared" si="7"/>
        <v>13.295575953254515</v>
      </c>
      <c r="AA25" s="1">
        <f t="shared" si="8"/>
        <v>12.295575953254515</v>
      </c>
      <c r="AB25" s="1">
        <v>117.01366666666669</v>
      </c>
      <c r="AC25" s="1">
        <v>123.928</v>
      </c>
      <c r="AD25" s="1">
        <v>105.0656</v>
      </c>
      <c r="AE25" s="1">
        <v>103.96639999999999</v>
      </c>
      <c r="AF25" s="1">
        <v>113.941</v>
      </c>
      <c r="AG25" s="1">
        <v>109.06740000000001</v>
      </c>
      <c r="AH25" s="1">
        <v>94.770799999999994</v>
      </c>
      <c r="AI25" s="1">
        <v>103.97539999999999</v>
      </c>
      <c r="AJ25" s="1" t="s">
        <v>53</v>
      </c>
      <c r="AK25" s="1">
        <f t="shared" si="9"/>
        <v>92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" t="s">
        <v>64</v>
      </c>
      <c r="B26" s="1" t="s">
        <v>39</v>
      </c>
      <c r="C26" s="1">
        <v>227.756</v>
      </c>
      <c r="D26" s="1">
        <v>200.583</v>
      </c>
      <c r="E26" s="1">
        <v>251.64</v>
      </c>
      <c r="F26" s="1">
        <v>144.131</v>
      </c>
      <c r="G26" s="8">
        <v>1</v>
      </c>
      <c r="H26" s="1">
        <v>30</v>
      </c>
      <c r="I26" s="1" t="s">
        <v>40</v>
      </c>
      <c r="J26" s="1"/>
      <c r="K26" s="1">
        <v>260.89400000000001</v>
      </c>
      <c r="L26" s="1">
        <f t="shared" si="2"/>
        <v>-9.2540000000000191</v>
      </c>
      <c r="M26" s="1">
        <f t="shared" si="3"/>
        <v>243.59599999999998</v>
      </c>
      <c r="N26" s="1">
        <v>8.0440000000000005</v>
      </c>
      <c r="O26" s="1"/>
      <c r="P26" s="1">
        <v>92.268468599999991</v>
      </c>
      <c r="Q26" s="1"/>
      <c r="R26" s="1"/>
      <c r="S26" s="1">
        <v>147.4045314</v>
      </c>
      <c r="T26" s="1">
        <f t="shared" si="4"/>
        <v>40.599333333333327</v>
      </c>
      <c r="U26" s="5">
        <f>11*T26-S26-R26-Q26-P26-O26-F26</f>
        <v>62.788666666666614</v>
      </c>
      <c r="V26" s="5"/>
      <c r="W26" s="5">
        <f t="shared" si="6"/>
        <v>62.788666666666614</v>
      </c>
      <c r="X26" s="5"/>
      <c r="Y26" s="1"/>
      <c r="Z26" s="1">
        <f t="shared" si="7"/>
        <v>11</v>
      </c>
      <c r="AA26" s="1">
        <f t="shared" si="8"/>
        <v>9.4534557217688313</v>
      </c>
      <c r="AB26" s="1">
        <v>45.578000000000003</v>
      </c>
      <c r="AC26" s="1">
        <v>43.288600000000002</v>
      </c>
      <c r="AD26" s="1">
        <v>49.251600000000003</v>
      </c>
      <c r="AE26" s="1">
        <v>45.033000000000001</v>
      </c>
      <c r="AF26" s="1">
        <v>42.228999999999999</v>
      </c>
      <c r="AG26" s="1">
        <v>40.580199999999998</v>
      </c>
      <c r="AH26" s="1">
        <v>40.481999999999999</v>
      </c>
      <c r="AI26" s="1">
        <v>44.878</v>
      </c>
      <c r="AJ26" s="1"/>
      <c r="AK26" s="1">
        <f t="shared" si="9"/>
        <v>63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" t="s">
        <v>65</v>
      </c>
      <c r="B27" s="1" t="s">
        <v>39</v>
      </c>
      <c r="C27" s="1">
        <v>163.93</v>
      </c>
      <c r="D27" s="1">
        <v>507.01900000000001</v>
      </c>
      <c r="E27" s="1">
        <v>184.64500000000001</v>
      </c>
      <c r="F27" s="1">
        <v>70.13</v>
      </c>
      <c r="G27" s="8">
        <v>1</v>
      </c>
      <c r="H27" s="1">
        <v>30</v>
      </c>
      <c r="I27" s="1" t="s">
        <v>40</v>
      </c>
      <c r="J27" s="1"/>
      <c r="K27" s="1">
        <v>211.55799999999999</v>
      </c>
      <c r="L27" s="1">
        <f t="shared" si="2"/>
        <v>-26.912999999999982</v>
      </c>
      <c r="M27" s="1">
        <f t="shared" si="3"/>
        <v>166.17000000000002</v>
      </c>
      <c r="N27" s="1">
        <v>18.475000000000001</v>
      </c>
      <c r="O27" s="1"/>
      <c r="P27" s="1">
        <v>95.187995999999984</v>
      </c>
      <c r="Q27" s="1"/>
      <c r="R27" s="1"/>
      <c r="S27" s="1">
        <v>125.76567066666669</v>
      </c>
      <c r="T27" s="1">
        <f t="shared" si="4"/>
        <v>27.695000000000004</v>
      </c>
      <c r="U27" s="5">
        <f t="shared" ref="U27:U28" si="11">11*T27-S27-R27-Q27-P27-O27-F27</f>
        <v>13.561333333333366</v>
      </c>
      <c r="V27" s="5"/>
      <c r="W27" s="5">
        <f t="shared" si="6"/>
        <v>13.561333333333366</v>
      </c>
      <c r="X27" s="5"/>
      <c r="Y27" s="1"/>
      <c r="Z27" s="1">
        <f t="shared" si="7"/>
        <v>11</v>
      </c>
      <c r="AA27" s="1">
        <f t="shared" si="8"/>
        <v>10.510332791719321</v>
      </c>
      <c r="AB27" s="1">
        <v>33.022166666666671</v>
      </c>
      <c r="AC27" s="1">
        <v>34.018799999999999</v>
      </c>
      <c r="AD27" s="1">
        <v>32.119599999999998</v>
      </c>
      <c r="AE27" s="1">
        <v>32.944599999999987</v>
      </c>
      <c r="AF27" s="1">
        <v>35.842799999999997</v>
      </c>
      <c r="AG27" s="1">
        <v>31.335999999999999</v>
      </c>
      <c r="AH27" s="1">
        <v>31.9438</v>
      </c>
      <c r="AI27" s="1">
        <v>32.544400000000003</v>
      </c>
      <c r="AJ27" s="1"/>
      <c r="AK27" s="1">
        <f t="shared" si="9"/>
        <v>14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" t="s">
        <v>66</v>
      </c>
      <c r="B28" s="1" t="s">
        <v>39</v>
      </c>
      <c r="C28" s="1">
        <v>916.42499999999995</v>
      </c>
      <c r="D28" s="1">
        <v>1338.4490000000001</v>
      </c>
      <c r="E28" s="1">
        <v>768.05499999999995</v>
      </c>
      <c r="F28" s="1">
        <v>660.02700000000004</v>
      </c>
      <c r="G28" s="8">
        <v>1</v>
      </c>
      <c r="H28" s="1">
        <v>30</v>
      </c>
      <c r="I28" s="1" t="s">
        <v>40</v>
      </c>
      <c r="J28" s="1"/>
      <c r="K28" s="1">
        <v>780.04</v>
      </c>
      <c r="L28" s="1">
        <f t="shared" si="2"/>
        <v>-11.985000000000014</v>
      </c>
      <c r="M28" s="1">
        <f t="shared" si="3"/>
        <v>768.05499999999995</v>
      </c>
      <c r="N28" s="1"/>
      <c r="O28" s="1"/>
      <c r="P28" s="1">
        <v>145.04611560000009</v>
      </c>
      <c r="Q28" s="1">
        <v>300</v>
      </c>
      <c r="R28" s="1"/>
      <c r="S28" s="1">
        <v>117.87955106666649</v>
      </c>
      <c r="T28" s="1">
        <f t="shared" si="4"/>
        <v>128.00916666666666</v>
      </c>
      <c r="U28" s="5">
        <f t="shared" si="11"/>
        <v>185.14816666666661</v>
      </c>
      <c r="V28" s="5"/>
      <c r="W28" s="5">
        <f t="shared" si="6"/>
        <v>185.14816666666661</v>
      </c>
      <c r="X28" s="5"/>
      <c r="Y28" s="1"/>
      <c r="Z28" s="1">
        <f t="shared" si="7"/>
        <v>11</v>
      </c>
      <c r="AA28" s="1">
        <f t="shared" si="8"/>
        <v>9.5536335288488452</v>
      </c>
      <c r="AB28" s="1">
        <v>142.40666666666669</v>
      </c>
      <c r="AC28" s="1">
        <v>164.65260000000001</v>
      </c>
      <c r="AD28" s="1">
        <v>162.02099999999999</v>
      </c>
      <c r="AE28" s="1">
        <v>164.52979999999999</v>
      </c>
      <c r="AF28" s="1">
        <v>170.48519999999999</v>
      </c>
      <c r="AG28" s="1">
        <v>169.26339999999999</v>
      </c>
      <c r="AH28" s="1">
        <v>161.17760000000001</v>
      </c>
      <c r="AI28" s="1">
        <v>165.77279999999999</v>
      </c>
      <c r="AJ28" s="1" t="s">
        <v>53</v>
      </c>
      <c r="AK28" s="1">
        <f t="shared" si="9"/>
        <v>185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" t="s">
        <v>67</v>
      </c>
      <c r="B29" s="1" t="s">
        <v>39</v>
      </c>
      <c r="C29" s="1">
        <v>15.603999999999999</v>
      </c>
      <c r="D29" s="1">
        <v>16.123000000000001</v>
      </c>
      <c r="E29" s="1">
        <v>13.138</v>
      </c>
      <c r="F29" s="1">
        <v>18.306999999999999</v>
      </c>
      <c r="G29" s="8">
        <v>1</v>
      </c>
      <c r="H29" s="1">
        <v>45</v>
      </c>
      <c r="I29" s="1" t="s">
        <v>40</v>
      </c>
      <c r="J29" s="1"/>
      <c r="K29" s="1">
        <v>14.3</v>
      </c>
      <c r="L29" s="1">
        <f t="shared" si="2"/>
        <v>-1.1620000000000008</v>
      </c>
      <c r="M29" s="1">
        <f t="shared" si="3"/>
        <v>13.138</v>
      </c>
      <c r="N29" s="1"/>
      <c r="O29" s="1"/>
      <c r="P29" s="1">
        <v>16.322379600000001</v>
      </c>
      <c r="Q29" s="1"/>
      <c r="R29" s="1"/>
      <c r="S29" s="1">
        <v>0</v>
      </c>
      <c r="T29" s="1">
        <f t="shared" si="4"/>
        <v>2.1896666666666667</v>
      </c>
      <c r="U29" s="5"/>
      <c r="V29" s="5"/>
      <c r="W29" s="5">
        <f t="shared" si="6"/>
        <v>0</v>
      </c>
      <c r="X29" s="5"/>
      <c r="Y29" s="1"/>
      <c r="Z29" s="1">
        <f t="shared" si="7"/>
        <v>15.814909240371442</v>
      </c>
      <c r="AA29" s="1">
        <f t="shared" si="8"/>
        <v>15.814909240371442</v>
      </c>
      <c r="AB29" s="1">
        <v>2.9525000000000001</v>
      </c>
      <c r="AC29" s="1">
        <v>4.2566000000000006</v>
      </c>
      <c r="AD29" s="1">
        <v>1.9974000000000001</v>
      </c>
      <c r="AE29" s="1">
        <v>2.797400000000001</v>
      </c>
      <c r="AF29" s="1">
        <v>5.7324000000000002</v>
      </c>
      <c r="AG29" s="1">
        <v>2.7198000000000002</v>
      </c>
      <c r="AH29" s="1">
        <v>2.9620000000000002</v>
      </c>
      <c r="AI29" s="1">
        <v>3.5964</v>
      </c>
      <c r="AJ29" s="1"/>
      <c r="AK29" s="1">
        <f t="shared" si="9"/>
        <v>0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1" t="s">
        <v>68</v>
      </c>
      <c r="B30" s="1" t="s">
        <v>39</v>
      </c>
      <c r="C30" s="1">
        <v>22.855</v>
      </c>
      <c r="D30" s="1">
        <v>18.251999999999999</v>
      </c>
      <c r="E30" s="1">
        <v>13.448</v>
      </c>
      <c r="F30" s="1">
        <v>26.183</v>
      </c>
      <c r="G30" s="8">
        <v>1</v>
      </c>
      <c r="H30" s="1">
        <v>40</v>
      </c>
      <c r="I30" s="1" t="s">
        <v>40</v>
      </c>
      <c r="J30" s="1"/>
      <c r="K30" s="1">
        <v>13.4</v>
      </c>
      <c r="L30" s="1">
        <f t="shared" si="2"/>
        <v>4.8000000000000043E-2</v>
      </c>
      <c r="M30" s="1">
        <f t="shared" si="3"/>
        <v>13.448</v>
      </c>
      <c r="N30" s="1"/>
      <c r="O30" s="1"/>
      <c r="P30" s="1">
        <v>0</v>
      </c>
      <c r="Q30" s="1"/>
      <c r="R30" s="1"/>
      <c r="S30" s="1">
        <v>0</v>
      </c>
      <c r="T30" s="1">
        <f t="shared" si="4"/>
        <v>2.2413333333333334</v>
      </c>
      <c r="U30" s="5"/>
      <c r="V30" s="5"/>
      <c r="W30" s="5">
        <f t="shared" si="6"/>
        <v>0</v>
      </c>
      <c r="X30" s="5"/>
      <c r="Y30" s="1"/>
      <c r="Z30" s="1">
        <f t="shared" si="7"/>
        <v>11.681885782272456</v>
      </c>
      <c r="AA30" s="1">
        <f t="shared" si="8"/>
        <v>11.681885782272456</v>
      </c>
      <c r="AB30" s="1">
        <v>2.7323333333333331</v>
      </c>
      <c r="AC30" s="1">
        <v>2.6025999999999998</v>
      </c>
      <c r="AD30" s="1">
        <v>3.7467999999999999</v>
      </c>
      <c r="AE30" s="1">
        <v>3.1909999999999998</v>
      </c>
      <c r="AF30" s="1">
        <v>2.1383999999999999</v>
      </c>
      <c r="AG30" s="1">
        <v>2.7206000000000001</v>
      </c>
      <c r="AH30" s="1">
        <v>2.9420000000000002</v>
      </c>
      <c r="AI30" s="1">
        <v>3.2292000000000001</v>
      </c>
      <c r="AJ30" s="1"/>
      <c r="AK30" s="1">
        <f t="shared" si="9"/>
        <v>0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" t="s">
        <v>69</v>
      </c>
      <c r="B31" s="1" t="s">
        <v>39</v>
      </c>
      <c r="C31" s="1">
        <v>291.99900000000002</v>
      </c>
      <c r="D31" s="1">
        <v>60.107999999999997</v>
      </c>
      <c r="E31" s="1">
        <v>163.03200000000001</v>
      </c>
      <c r="F31" s="1">
        <v>174.34399999999999</v>
      </c>
      <c r="G31" s="8">
        <v>1</v>
      </c>
      <c r="H31" s="1">
        <v>30</v>
      </c>
      <c r="I31" s="1" t="s">
        <v>40</v>
      </c>
      <c r="J31" s="1"/>
      <c r="K31" s="1">
        <v>153.80000000000001</v>
      </c>
      <c r="L31" s="1">
        <f t="shared" si="2"/>
        <v>9.2319999999999993</v>
      </c>
      <c r="M31" s="1">
        <f t="shared" si="3"/>
        <v>163.03200000000001</v>
      </c>
      <c r="N31" s="1"/>
      <c r="O31" s="1"/>
      <c r="P31" s="1">
        <v>53.276239799999978</v>
      </c>
      <c r="Q31" s="1"/>
      <c r="R31" s="1"/>
      <c r="S31" s="1">
        <v>49.304760200000032</v>
      </c>
      <c r="T31" s="1">
        <f t="shared" si="4"/>
        <v>27.172000000000001</v>
      </c>
      <c r="U31" s="5">
        <f>11*T31-S31-R31-Q31-P31-O31-F31</f>
        <v>21.966999999999985</v>
      </c>
      <c r="V31" s="5"/>
      <c r="W31" s="5">
        <f t="shared" si="6"/>
        <v>21.966999999999985</v>
      </c>
      <c r="X31" s="5"/>
      <c r="Y31" s="1"/>
      <c r="Z31" s="1">
        <f t="shared" si="7"/>
        <v>11</v>
      </c>
      <c r="AA31" s="1">
        <f t="shared" si="8"/>
        <v>10.191557485646991</v>
      </c>
      <c r="AB31" s="1">
        <v>32.773499999999999</v>
      </c>
      <c r="AC31" s="1">
        <v>34.592799999999997</v>
      </c>
      <c r="AD31" s="1">
        <v>37.761600000000001</v>
      </c>
      <c r="AE31" s="1">
        <v>42.185400000000001</v>
      </c>
      <c r="AF31" s="1">
        <v>38.101199999999999</v>
      </c>
      <c r="AG31" s="1">
        <v>34.8782</v>
      </c>
      <c r="AH31" s="1">
        <v>30.7776</v>
      </c>
      <c r="AI31" s="1">
        <v>31.29</v>
      </c>
      <c r="AJ31" s="1"/>
      <c r="AK31" s="1">
        <f t="shared" si="9"/>
        <v>22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3" t="s">
        <v>70</v>
      </c>
      <c r="B32" s="13" t="s">
        <v>39</v>
      </c>
      <c r="C32" s="13"/>
      <c r="D32" s="13"/>
      <c r="E32" s="13"/>
      <c r="F32" s="13"/>
      <c r="G32" s="14">
        <v>0</v>
      </c>
      <c r="H32" s="13">
        <v>50</v>
      </c>
      <c r="I32" s="13" t="s">
        <v>40</v>
      </c>
      <c r="J32" s="13"/>
      <c r="K32" s="13"/>
      <c r="L32" s="13">
        <f t="shared" si="2"/>
        <v>0</v>
      </c>
      <c r="M32" s="13">
        <f t="shared" si="3"/>
        <v>0</v>
      </c>
      <c r="N32" s="13"/>
      <c r="O32" s="13"/>
      <c r="P32" s="13">
        <v>0</v>
      </c>
      <c r="Q32" s="13"/>
      <c r="R32" s="13"/>
      <c r="S32" s="13">
        <v>0</v>
      </c>
      <c r="T32" s="13">
        <f t="shared" si="4"/>
        <v>0</v>
      </c>
      <c r="U32" s="15"/>
      <c r="V32" s="15"/>
      <c r="W32" s="5">
        <f t="shared" si="6"/>
        <v>0</v>
      </c>
      <c r="X32" s="15"/>
      <c r="Y32" s="13"/>
      <c r="Z32" s="1" t="e">
        <f t="shared" si="7"/>
        <v>#DIV/0!</v>
      </c>
      <c r="AA32" s="13" t="e">
        <f t="shared" si="8"/>
        <v>#DIV/0!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 t="s">
        <v>71</v>
      </c>
      <c r="AK32" s="1">
        <f t="shared" si="9"/>
        <v>0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3" t="s">
        <v>72</v>
      </c>
      <c r="B33" s="13" t="s">
        <v>39</v>
      </c>
      <c r="C33" s="13"/>
      <c r="D33" s="13"/>
      <c r="E33" s="13"/>
      <c r="F33" s="13"/>
      <c r="G33" s="14">
        <v>0</v>
      </c>
      <c r="H33" s="13">
        <v>50</v>
      </c>
      <c r="I33" s="13" t="s">
        <v>40</v>
      </c>
      <c r="J33" s="13"/>
      <c r="K33" s="13"/>
      <c r="L33" s="13">
        <f t="shared" si="2"/>
        <v>0</v>
      </c>
      <c r="M33" s="13">
        <f t="shared" si="3"/>
        <v>0</v>
      </c>
      <c r="N33" s="13"/>
      <c r="O33" s="13"/>
      <c r="P33" s="13">
        <v>0</v>
      </c>
      <c r="Q33" s="13"/>
      <c r="R33" s="13"/>
      <c r="S33" s="13">
        <v>0</v>
      </c>
      <c r="T33" s="13">
        <f t="shared" si="4"/>
        <v>0</v>
      </c>
      <c r="U33" s="15"/>
      <c r="V33" s="15"/>
      <c r="W33" s="5">
        <f t="shared" si="6"/>
        <v>0</v>
      </c>
      <c r="X33" s="15"/>
      <c r="Y33" s="13"/>
      <c r="Z33" s="1" t="e">
        <f t="shared" si="7"/>
        <v>#DIV/0!</v>
      </c>
      <c r="AA33" s="13" t="e">
        <f t="shared" si="8"/>
        <v>#DIV/0!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 t="s">
        <v>71</v>
      </c>
      <c r="AK33" s="1">
        <f t="shared" si="9"/>
        <v>0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" t="s">
        <v>73</v>
      </c>
      <c r="B34" s="1" t="s">
        <v>44</v>
      </c>
      <c r="C34" s="1">
        <v>3533</v>
      </c>
      <c r="D34" s="1">
        <v>2922</v>
      </c>
      <c r="E34" s="1">
        <v>2935</v>
      </c>
      <c r="F34" s="1">
        <v>3303</v>
      </c>
      <c r="G34" s="8">
        <v>0.4</v>
      </c>
      <c r="H34" s="1">
        <v>45</v>
      </c>
      <c r="I34" s="1" t="s">
        <v>40</v>
      </c>
      <c r="J34" s="1"/>
      <c r="K34" s="1">
        <v>2975</v>
      </c>
      <c r="L34" s="1">
        <f t="shared" si="2"/>
        <v>-40</v>
      </c>
      <c r="M34" s="1">
        <f t="shared" si="3"/>
        <v>2929</v>
      </c>
      <c r="N34" s="1">
        <v>6</v>
      </c>
      <c r="O34" s="1"/>
      <c r="P34" s="1">
        <v>677.24980000000005</v>
      </c>
      <c r="Q34" s="1">
        <v>500</v>
      </c>
      <c r="R34" s="1"/>
      <c r="S34" s="1">
        <v>0</v>
      </c>
      <c r="T34" s="1">
        <f t="shared" si="4"/>
        <v>488.16666666666669</v>
      </c>
      <c r="U34" s="5">
        <f t="shared" ref="U34:U35" si="12">12*T34-S34-R34-Q34-P34-O34-F34</f>
        <v>1377.7502000000004</v>
      </c>
      <c r="V34" s="5"/>
      <c r="W34" s="5">
        <f t="shared" si="6"/>
        <v>1377.7502000000004</v>
      </c>
      <c r="X34" s="5"/>
      <c r="Y34" s="1"/>
      <c r="Z34" s="1">
        <f t="shared" si="7"/>
        <v>12</v>
      </c>
      <c r="AA34" s="1">
        <f t="shared" si="8"/>
        <v>9.1777052919085005</v>
      </c>
      <c r="AB34" s="1">
        <v>532.33333333333337</v>
      </c>
      <c r="AC34" s="1">
        <v>540.6</v>
      </c>
      <c r="AD34" s="1">
        <v>547</v>
      </c>
      <c r="AE34" s="1">
        <v>536.6</v>
      </c>
      <c r="AF34" s="1">
        <v>529.79999999999995</v>
      </c>
      <c r="AG34" s="1">
        <v>568.79999999999995</v>
      </c>
      <c r="AH34" s="1">
        <v>505.2</v>
      </c>
      <c r="AI34" s="1">
        <v>495.2</v>
      </c>
      <c r="AJ34" s="1" t="s">
        <v>74</v>
      </c>
      <c r="AK34" s="1">
        <f t="shared" si="9"/>
        <v>551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" t="s">
        <v>75</v>
      </c>
      <c r="B35" s="1" t="s">
        <v>44</v>
      </c>
      <c r="C35" s="1">
        <v>584</v>
      </c>
      <c r="D35" s="1">
        <v>8451</v>
      </c>
      <c r="E35" s="1">
        <v>757</v>
      </c>
      <c r="F35" s="1">
        <v>944</v>
      </c>
      <c r="G35" s="8">
        <v>0.45</v>
      </c>
      <c r="H35" s="1">
        <v>50</v>
      </c>
      <c r="I35" s="1" t="s">
        <v>40</v>
      </c>
      <c r="J35" s="1"/>
      <c r="K35" s="1">
        <v>774</v>
      </c>
      <c r="L35" s="1">
        <f t="shared" si="2"/>
        <v>-17</v>
      </c>
      <c r="M35" s="1">
        <f t="shared" si="3"/>
        <v>741</v>
      </c>
      <c r="N35" s="1">
        <v>16</v>
      </c>
      <c r="O35" s="1"/>
      <c r="P35" s="1">
        <v>415.52940000000012</v>
      </c>
      <c r="Q35" s="1"/>
      <c r="R35" s="1"/>
      <c r="S35" s="1">
        <v>0</v>
      </c>
      <c r="T35" s="1">
        <f t="shared" si="4"/>
        <v>123.5</v>
      </c>
      <c r="U35" s="5">
        <f t="shared" si="12"/>
        <v>122.47059999999988</v>
      </c>
      <c r="V35" s="5">
        <f>$V$1*T35</f>
        <v>123.5</v>
      </c>
      <c r="W35" s="5">
        <f t="shared" si="6"/>
        <v>245.97059999999988</v>
      </c>
      <c r="X35" s="5"/>
      <c r="Y35" s="1"/>
      <c r="Z35" s="1">
        <f t="shared" si="7"/>
        <v>13</v>
      </c>
      <c r="AA35" s="1">
        <f t="shared" si="8"/>
        <v>11.008335222672066</v>
      </c>
      <c r="AB35" s="1">
        <v>140.33333333333329</v>
      </c>
      <c r="AC35" s="1">
        <v>137.80000000000001</v>
      </c>
      <c r="AD35" s="1">
        <v>120.6</v>
      </c>
      <c r="AE35" s="1">
        <v>117.2</v>
      </c>
      <c r="AF35" s="1">
        <v>87</v>
      </c>
      <c r="AG35" s="1">
        <v>88.6</v>
      </c>
      <c r="AH35" s="1">
        <v>109.8</v>
      </c>
      <c r="AI35" s="1">
        <v>102</v>
      </c>
      <c r="AJ35" s="1" t="s">
        <v>76</v>
      </c>
      <c r="AK35" s="1">
        <f t="shared" si="9"/>
        <v>111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" t="s">
        <v>77</v>
      </c>
      <c r="B36" s="1" t="s">
        <v>44</v>
      </c>
      <c r="C36" s="1">
        <v>1927</v>
      </c>
      <c r="D36" s="1">
        <v>7457</v>
      </c>
      <c r="E36" s="1">
        <v>1622</v>
      </c>
      <c r="F36" s="1">
        <v>2377</v>
      </c>
      <c r="G36" s="8">
        <v>0.4</v>
      </c>
      <c r="H36" s="1">
        <v>45</v>
      </c>
      <c r="I36" s="1" t="s">
        <v>40</v>
      </c>
      <c r="J36" s="1"/>
      <c r="K36" s="1">
        <v>1768</v>
      </c>
      <c r="L36" s="1">
        <f t="shared" si="2"/>
        <v>-146</v>
      </c>
      <c r="M36" s="1">
        <f t="shared" si="3"/>
        <v>1622</v>
      </c>
      <c r="N36" s="1"/>
      <c r="O36" s="1"/>
      <c r="P36" s="1">
        <v>400.59759999999972</v>
      </c>
      <c r="Q36" s="1">
        <v>500</v>
      </c>
      <c r="R36" s="1"/>
      <c r="S36" s="1">
        <v>0</v>
      </c>
      <c r="T36" s="1">
        <f t="shared" si="4"/>
        <v>270.33333333333331</v>
      </c>
      <c r="U36" s="5"/>
      <c r="V36" s="5"/>
      <c r="W36" s="5">
        <f t="shared" si="6"/>
        <v>0</v>
      </c>
      <c r="X36" s="5"/>
      <c r="Y36" s="1"/>
      <c r="Z36" s="1">
        <f t="shared" si="7"/>
        <v>12.124282120838471</v>
      </c>
      <c r="AA36" s="1">
        <f t="shared" si="8"/>
        <v>12.124282120838471</v>
      </c>
      <c r="AB36" s="1">
        <v>298.83333333333331</v>
      </c>
      <c r="AC36" s="1">
        <v>341.2</v>
      </c>
      <c r="AD36" s="1">
        <v>319.2</v>
      </c>
      <c r="AE36" s="1">
        <v>311.39999999999998</v>
      </c>
      <c r="AF36" s="1">
        <v>339.4</v>
      </c>
      <c r="AG36" s="1">
        <v>353.8</v>
      </c>
      <c r="AH36" s="1">
        <v>297.39999999999998</v>
      </c>
      <c r="AI36" s="1">
        <v>270.39999999999998</v>
      </c>
      <c r="AJ36" s="1" t="s">
        <v>78</v>
      </c>
      <c r="AK36" s="1">
        <f t="shared" si="9"/>
        <v>0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0" t="s">
        <v>79</v>
      </c>
      <c r="B37" s="10" t="s">
        <v>44</v>
      </c>
      <c r="C37" s="10"/>
      <c r="D37" s="10">
        <v>361</v>
      </c>
      <c r="E37" s="10">
        <v>34</v>
      </c>
      <c r="F37" s="10">
        <v>247</v>
      </c>
      <c r="G37" s="11">
        <v>0</v>
      </c>
      <c r="H37" s="10" t="e">
        <v>#N/A</v>
      </c>
      <c r="I37" s="10" t="s">
        <v>45</v>
      </c>
      <c r="J37" s="10"/>
      <c r="K37" s="10">
        <v>36</v>
      </c>
      <c r="L37" s="10">
        <f t="shared" si="2"/>
        <v>-2</v>
      </c>
      <c r="M37" s="10">
        <f t="shared" si="3"/>
        <v>34</v>
      </c>
      <c r="N37" s="10"/>
      <c r="O37" s="10"/>
      <c r="P37" s="10"/>
      <c r="Q37" s="10"/>
      <c r="R37" s="10"/>
      <c r="S37" s="10">
        <v>0</v>
      </c>
      <c r="T37" s="10">
        <f t="shared" si="4"/>
        <v>5.666666666666667</v>
      </c>
      <c r="U37" s="12"/>
      <c r="V37" s="12"/>
      <c r="W37" s="5">
        <f t="shared" si="6"/>
        <v>0</v>
      </c>
      <c r="X37" s="12"/>
      <c r="Y37" s="10"/>
      <c r="Z37" s="1">
        <f t="shared" si="7"/>
        <v>43.588235294117645</v>
      </c>
      <c r="AA37" s="10">
        <f t="shared" si="8"/>
        <v>43.588235294117645</v>
      </c>
      <c r="AB37" s="10">
        <v>5.333333333333333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 t="s">
        <v>46</v>
      </c>
      <c r="AK37" s="1">
        <f t="shared" si="9"/>
        <v>0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80</v>
      </c>
      <c r="B38" s="1" t="s">
        <v>44</v>
      </c>
      <c r="C38" s="1">
        <v>107</v>
      </c>
      <c r="D38" s="1">
        <v>6</v>
      </c>
      <c r="E38" s="1">
        <v>22</v>
      </c>
      <c r="F38" s="1">
        <v>70</v>
      </c>
      <c r="G38" s="8">
        <v>0.4</v>
      </c>
      <c r="H38" s="1">
        <v>40</v>
      </c>
      <c r="I38" s="1" t="s">
        <v>40</v>
      </c>
      <c r="J38" s="1"/>
      <c r="K38" s="1">
        <v>26</v>
      </c>
      <c r="L38" s="1">
        <f t="shared" ref="L38:L69" si="13">E38-K38</f>
        <v>-4</v>
      </c>
      <c r="M38" s="1">
        <f t="shared" si="3"/>
        <v>22</v>
      </c>
      <c r="N38" s="1"/>
      <c r="O38" s="1"/>
      <c r="P38" s="1">
        <v>0</v>
      </c>
      <c r="Q38" s="1"/>
      <c r="R38" s="1"/>
      <c r="S38" s="1">
        <v>0</v>
      </c>
      <c r="T38" s="1">
        <f t="shared" si="4"/>
        <v>3.6666666666666665</v>
      </c>
      <c r="U38" s="5"/>
      <c r="V38" s="5"/>
      <c r="W38" s="5">
        <f t="shared" si="6"/>
        <v>0</v>
      </c>
      <c r="X38" s="5"/>
      <c r="Y38" s="1"/>
      <c r="Z38" s="1">
        <f t="shared" si="7"/>
        <v>19.09090909090909</v>
      </c>
      <c r="AA38" s="1">
        <f t="shared" si="8"/>
        <v>19.09090909090909</v>
      </c>
      <c r="AB38" s="1">
        <v>3.166666666666667</v>
      </c>
      <c r="AC38" s="1">
        <v>2.8</v>
      </c>
      <c r="AD38" s="1">
        <v>10.4</v>
      </c>
      <c r="AE38" s="1">
        <v>12.8</v>
      </c>
      <c r="AF38" s="1">
        <v>6.6</v>
      </c>
      <c r="AG38" s="1">
        <v>4.2</v>
      </c>
      <c r="AH38" s="1">
        <v>8.8000000000000007</v>
      </c>
      <c r="AI38" s="1">
        <v>8.4</v>
      </c>
      <c r="AJ38" s="20" t="s">
        <v>81</v>
      </c>
      <c r="AK38" s="1">
        <f t="shared" si="9"/>
        <v>0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82</v>
      </c>
      <c r="B39" s="1" t="s">
        <v>39</v>
      </c>
      <c r="C39" s="1">
        <v>587.24199999999996</v>
      </c>
      <c r="D39" s="1">
        <v>699.16600000000005</v>
      </c>
      <c r="E39" s="1">
        <v>382.988</v>
      </c>
      <c r="F39" s="1">
        <v>401.31799999999998</v>
      </c>
      <c r="G39" s="8">
        <v>1</v>
      </c>
      <c r="H39" s="1">
        <v>45</v>
      </c>
      <c r="I39" s="1" t="s">
        <v>40</v>
      </c>
      <c r="J39" s="1"/>
      <c r="K39" s="1">
        <v>436.45800000000003</v>
      </c>
      <c r="L39" s="1">
        <f t="shared" si="13"/>
        <v>-53.470000000000027</v>
      </c>
      <c r="M39" s="1">
        <f t="shared" si="3"/>
        <v>382.988</v>
      </c>
      <c r="N39" s="1"/>
      <c r="O39" s="1"/>
      <c r="P39" s="1">
        <v>141.23240100000001</v>
      </c>
      <c r="Q39" s="1"/>
      <c r="R39" s="1"/>
      <c r="S39" s="1">
        <v>99.80693233333335</v>
      </c>
      <c r="T39" s="1">
        <f t="shared" si="4"/>
        <v>63.831333333333333</v>
      </c>
      <c r="U39" s="5">
        <f t="shared" ref="U39:U49" si="14">12*T39-S39-R39-Q39-P39-O39-F39</f>
        <v>123.61866666666674</v>
      </c>
      <c r="V39" s="5"/>
      <c r="W39" s="5">
        <f t="shared" si="6"/>
        <v>123.61866666666674</v>
      </c>
      <c r="X39" s="5"/>
      <c r="Y39" s="1"/>
      <c r="Z39" s="1">
        <f t="shared" si="7"/>
        <v>12.000000000000002</v>
      </c>
      <c r="AA39" s="1">
        <f t="shared" si="8"/>
        <v>10.063354465414061</v>
      </c>
      <c r="AB39" s="1">
        <v>71.549333333333337</v>
      </c>
      <c r="AC39" s="1">
        <v>69.070000000000007</v>
      </c>
      <c r="AD39" s="1">
        <v>69.38300000000001</v>
      </c>
      <c r="AE39" s="1">
        <v>68.669000000000011</v>
      </c>
      <c r="AF39" s="1">
        <v>105.89400000000001</v>
      </c>
      <c r="AG39" s="1">
        <v>90.141199999999998</v>
      </c>
      <c r="AH39" s="1">
        <v>78.867400000000004</v>
      </c>
      <c r="AI39" s="1">
        <v>82.456600000000009</v>
      </c>
      <c r="AJ39" s="1"/>
      <c r="AK39" s="1">
        <f t="shared" si="9"/>
        <v>124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83</v>
      </c>
      <c r="B40" s="1" t="s">
        <v>44</v>
      </c>
      <c r="C40" s="1">
        <v>317</v>
      </c>
      <c r="D40" s="1">
        <v>227</v>
      </c>
      <c r="E40" s="1">
        <v>219</v>
      </c>
      <c r="F40" s="1">
        <v>224</v>
      </c>
      <c r="G40" s="8">
        <v>0.1</v>
      </c>
      <c r="H40" s="1">
        <v>730</v>
      </c>
      <c r="I40" s="1" t="s">
        <v>40</v>
      </c>
      <c r="J40" s="1"/>
      <c r="K40" s="1">
        <v>239</v>
      </c>
      <c r="L40" s="1">
        <f t="shared" si="13"/>
        <v>-20</v>
      </c>
      <c r="M40" s="1">
        <f t="shared" si="3"/>
        <v>219</v>
      </c>
      <c r="N40" s="1"/>
      <c r="O40" s="1"/>
      <c r="P40" s="1">
        <v>126.4524</v>
      </c>
      <c r="Q40" s="1"/>
      <c r="R40" s="1"/>
      <c r="S40" s="1">
        <v>0</v>
      </c>
      <c r="T40" s="1">
        <f t="shared" si="4"/>
        <v>36.5</v>
      </c>
      <c r="U40" s="5">
        <f t="shared" si="14"/>
        <v>87.547599999999989</v>
      </c>
      <c r="V40" s="5"/>
      <c r="W40" s="5">
        <f t="shared" si="6"/>
        <v>87.547599999999989</v>
      </c>
      <c r="X40" s="5"/>
      <c r="Y40" s="1"/>
      <c r="Z40" s="1">
        <f t="shared" si="7"/>
        <v>12</v>
      </c>
      <c r="AA40" s="1">
        <f t="shared" si="8"/>
        <v>9.6014356164383567</v>
      </c>
      <c r="AB40" s="1">
        <v>38</v>
      </c>
      <c r="AC40" s="1">
        <v>42.8</v>
      </c>
      <c r="AD40" s="1">
        <v>39</v>
      </c>
      <c r="AE40" s="1">
        <v>39.4</v>
      </c>
      <c r="AF40" s="1">
        <v>45.6</v>
      </c>
      <c r="AG40" s="1">
        <v>49.2</v>
      </c>
      <c r="AH40" s="1">
        <v>49.2</v>
      </c>
      <c r="AI40" s="1">
        <v>63</v>
      </c>
      <c r="AJ40" s="1"/>
      <c r="AK40" s="1">
        <f t="shared" si="9"/>
        <v>9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84</v>
      </c>
      <c r="B41" s="1" t="s">
        <v>44</v>
      </c>
      <c r="C41" s="1">
        <v>377</v>
      </c>
      <c r="D41" s="1">
        <v>1690</v>
      </c>
      <c r="E41" s="1">
        <v>572</v>
      </c>
      <c r="F41" s="1">
        <v>360</v>
      </c>
      <c r="G41" s="8">
        <v>0.35</v>
      </c>
      <c r="H41" s="1">
        <v>40</v>
      </c>
      <c r="I41" s="1" t="s">
        <v>40</v>
      </c>
      <c r="J41" s="1"/>
      <c r="K41" s="1">
        <v>608</v>
      </c>
      <c r="L41" s="1">
        <f t="shared" si="13"/>
        <v>-36</v>
      </c>
      <c r="M41" s="1">
        <f t="shared" si="3"/>
        <v>556</v>
      </c>
      <c r="N41" s="1">
        <v>16</v>
      </c>
      <c r="O41" s="1"/>
      <c r="P41" s="1">
        <v>383.76600000000002</v>
      </c>
      <c r="Q41" s="1"/>
      <c r="R41" s="1"/>
      <c r="S41" s="1">
        <v>201.2339999999999</v>
      </c>
      <c r="T41" s="1">
        <f t="shared" si="4"/>
        <v>92.666666666666671</v>
      </c>
      <c r="U41" s="5">
        <f t="shared" si="14"/>
        <v>167</v>
      </c>
      <c r="V41" s="5"/>
      <c r="W41" s="5">
        <f t="shared" si="6"/>
        <v>167</v>
      </c>
      <c r="X41" s="5"/>
      <c r="Y41" s="1"/>
      <c r="Z41" s="1">
        <f t="shared" si="7"/>
        <v>12</v>
      </c>
      <c r="AA41" s="1">
        <f t="shared" si="8"/>
        <v>10.197841726618705</v>
      </c>
      <c r="AB41" s="1">
        <v>112</v>
      </c>
      <c r="AC41" s="1">
        <v>114</v>
      </c>
      <c r="AD41" s="1">
        <v>91.8</v>
      </c>
      <c r="AE41" s="1">
        <v>89.6</v>
      </c>
      <c r="AF41" s="1">
        <v>77.8</v>
      </c>
      <c r="AG41" s="1">
        <v>80.2</v>
      </c>
      <c r="AH41" s="1">
        <v>86.2</v>
      </c>
      <c r="AI41" s="1">
        <v>75.400000000000006</v>
      </c>
      <c r="AJ41" s="1" t="s">
        <v>85</v>
      </c>
      <c r="AK41" s="1">
        <f t="shared" si="9"/>
        <v>58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86</v>
      </c>
      <c r="B42" s="1" t="s">
        <v>39</v>
      </c>
      <c r="C42" s="1">
        <v>85.009</v>
      </c>
      <c r="D42" s="1">
        <v>356.61200000000002</v>
      </c>
      <c r="E42" s="1">
        <v>216.85900000000001</v>
      </c>
      <c r="F42" s="1">
        <v>70.576999999999998</v>
      </c>
      <c r="G42" s="8">
        <v>1</v>
      </c>
      <c r="H42" s="1">
        <v>40</v>
      </c>
      <c r="I42" s="1" t="s">
        <v>40</v>
      </c>
      <c r="J42" s="1"/>
      <c r="K42" s="1">
        <v>350.74299999999999</v>
      </c>
      <c r="L42" s="1">
        <f t="shared" si="13"/>
        <v>-133.88399999999999</v>
      </c>
      <c r="M42" s="1">
        <f t="shared" si="3"/>
        <v>142.86600000000001</v>
      </c>
      <c r="N42" s="1">
        <v>73.992999999999995</v>
      </c>
      <c r="O42" s="1"/>
      <c r="P42" s="1">
        <v>80.959396399999974</v>
      </c>
      <c r="Q42" s="1">
        <v>100</v>
      </c>
      <c r="R42" s="1"/>
      <c r="S42" s="1">
        <v>184.41093693333329</v>
      </c>
      <c r="T42" s="1">
        <f t="shared" si="4"/>
        <v>23.811000000000003</v>
      </c>
      <c r="U42" s="5"/>
      <c r="V42" s="5"/>
      <c r="W42" s="5">
        <f t="shared" si="6"/>
        <v>0</v>
      </c>
      <c r="X42" s="5"/>
      <c r="Y42" s="1"/>
      <c r="Z42" s="1">
        <f t="shared" si="7"/>
        <v>18.308652863522457</v>
      </c>
      <c r="AA42" s="1">
        <f t="shared" si="8"/>
        <v>18.308652863522457</v>
      </c>
      <c r="AB42" s="1">
        <v>46.635833333333331</v>
      </c>
      <c r="AC42" s="1">
        <v>51.186799999999991</v>
      </c>
      <c r="AD42" s="1">
        <v>28.554400000000001</v>
      </c>
      <c r="AE42" s="1">
        <v>37.6922</v>
      </c>
      <c r="AF42" s="1">
        <v>36.742400000000004</v>
      </c>
      <c r="AG42" s="1">
        <v>31.194600000000001</v>
      </c>
      <c r="AH42" s="1">
        <v>25.7182</v>
      </c>
      <c r="AI42" s="1">
        <v>24.661999999999999</v>
      </c>
      <c r="AJ42" s="1"/>
      <c r="AK42" s="1">
        <f t="shared" si="9"/>
        <v>0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87</v>
      </c>
      <c r="B43" s="1" t="s">
        <v>44</v>
      </c>
      <c r="C43" s="1">
        <v>167</v>
      </c>
      <c r="D43" s="1">
        <v>919</v>
      </c>
      <c r="E43" s="1">
        <v>265</v>
      </c>
      <c r="F43" s="1">
        <v>299</v>
      </c>
      <c r="G43" s="8">
        <v>0.4</v>
      </c>
      <c r="H43" s="1">
        <v>40</v>
      </c>
      <c r="I43" s="1" t="s">
        <v>40</v>
      </c>
      <c r="J43" s="1"/>
      <c r="K43" s="1">
        <v>269</v>
      </c>
      <c r="L43" s="1">
        <f t="shared" si="13"/>
        <v>-4</v>
      </c>
      <c r="M43" s="1">
        <f t="shared" si="3"/>
        <v>265</v>
      </c>
      <c r="N43" s="1"/>
      <c r="O43" s="1"/>
      <c r="P43" s="1">
        <v>94.288200000000018</v>
      </c>
      <c r="Q43" s="1"/>
      <c r="R43" s="1"/>
      <c r="S43" s="1">
        <v>0</v>
      </c>
      <c r="T43" s="1">
        <f t="shared" si="4"/>
        <v>44.166666666666664</v>
      </c>
      <c r="U43" s="5">
        <f t="shared" si="14"/>
        <v>136.71179999999998</v>
      </c>
      <c r="V43" s="5"/>
      <c r="W43" s="5">
        <f t="shared" si="6"/>
        <v>136.71179999999998</v>
      </c>
      <c r="X43" s="5"/>
      <c r="Y43" s="1"/>
      <c r="Z43" s="1">
        <f t="shared" si="7"/>
        <v>12</v>
      </c>
      <c r="AA43" s="1">
        <f t="shared" si="8"/>
        <v>8.9046384905660378</v>
      </c>
      <c r="AB43" s="1">
        <v>48.5</v>
      </c>
      <c r="AC43" s="1">
        <v>51.6</v>
      </c>
      <c r="AD43" s="1">
        <v>60.2</v>
      </c>
      <c r="AE43" s="1">
        <v>46.6</v>
      </c>
      <c r="AF43" s="1">
        <v>47.2</v>
      </c>
      <c r="AG43" s="1">
        <v>43.6</v>
      </c>
      <c r="AH43" s="1">
        <v>18.2</v>
      </c>
      <c r="AI43" s="1">
        <v>25</v>
      </c>
      <c r="AJ43" s="1"/>
      <c r="AK43" s="1">
        <f t="shared" si="9"/>
        <v>55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88</v>
      </c>
      <c r="B44" s="1" t="s">
        <v>44</v>
      </c>
      <c r="C44" s="1">
        <v>282</v>
      </c>
      <c r="D44" s="1">
        <v>1097</v>
      </c>
      <c r="E44" s="1">
        <v>327</v>
      </c>
      <c r="F44" s="1">
        <v>682</v>
      </c>
      <c r="G44" s="8">
        <v>0.4</v>
      </c>
      <c r="H44" s="1">
        <v>45</v>
      </c>
      <c r="I44" s="1" t="s">
        <v>40</v>
      </c>
      <c r="J44" s="1"/>
      <c r="K44" s="1">
        <v>330</v>
      </c>
      <c r="L44" s="1">
        <f t="shared" si="13"/>
        <v>-3</v>
      </c>
      <c r="M44" s="1">
        <f t="shared" si="3"/>
        <v>327</v>
      </c>
      <c r="N44" s="1"/>
      <c r="O44" s="1"/>
      <c r="P44" s="1">
        <v>128.6568</v>
      </c>
      <c r="Q44" s="1"/>
      <c r="R44" s="1"/>
      <c r="S44" s="1">
        <v>0</v>
      </c>
      <c r="T44" s="1">
        <f t="shared" si="4"/>
        <v>54.5</v>
      </c>
      <c r="U44" s="5"/>
      <c r="V44" s="5"/>
      <c r="W44" s="5">
        <f t="shared" si="6"/>
        <v>0</v>
      </c>
      <c r="X44" s="5"/>
      <c r="Y44" s="1"/>
      <c r="Z44" s="1">
        <f t="shared" si="7"/>
        <v>14.874436697247706</v>
      </c>
      <c r="AA44" s="1">
        <f t="shared" si="8"/>
        <v>14.874436697247706</v>
      </c>
      <c r="AB44" s="1">
        <v>76</v>
      </c>
      <c r="AC44" s="1">
        <v>85.6</v>
      </c>
      <c r="AD44" s="1">
        <v>91.8</v>
      </c>
      <c r="AE44" s="1">
        <v>70.2</v>
      </c>
      <c r="AF44" s="1">
        <v>57.8</v>
      </c>
      <c r="AG44" s="1">
        <v>60</v>
      </c>
      <c r="AH44" s="1">
        <v>57.2</v>
      </c>
      <c r="AI44" s="1">
        <v>53</v>
      </c>
      <c r="AJ44" s="1" t="s">
        <v>78</v>
      </c>
      <c r="AK44" s="1">
        <f t="shared" si="9"/>
        <v>0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" t="s">
        <v>89</v>
      </c>
      <c r="B45" s="1" t="s">
        <v>39</v>
      </c>
      <c r="C45" s="1">
        <v>157.786</v>
      </c>
      <c r="D45" s="1">
        <v>946.351</v>
      </c>
      <c r="E45" s="1">
        <v>388.93299999999999</v>
      </c>
      <c r="F45" s="1">
        <v>131.77799999999999</v>
      </c>
      <c r="G45" s="8">
        <v>1</v>
      </c>
      <c r="H45" s="1">
        <v>40</v>
      </c>
      <c r="I45" s="1" t="s">
        <v>40</v>
      </c>
      <c r="J45" s="1"/>
      <c r="K45" s="1">
        <v>504.64499999999998</v>
      </c>
      <c r="L45" s="1">
        <f t="shared" si="13"/>
        <v>-115.71199999999999</v>
      </c>
      <c r="M45" s="1">
        <f t="shared" si="3"/>
        <v>279.83799999999997</v>
      </c>
      <c r="N45" s="1">
        <v>109.095</v>
      </c>
      <c r="O45" s="1"/>
      <c r="P45" s="1">
        <v>293.45834520000011</v>
      </c>
      <c r="Q45" s="1"/>
      <c r="R45" s="1"/>
      <c r="S45" s="1">
        <v>247.9019881333333</v>
      </c>
      <c r="T45" s="1">
        <f t="shared" si="4"/>
        <v>46.639666666666663</v>
      </c>
      <c r="U45" s="5"/>
      <c r="V45" s="5"/>
      <c r="W45" s="5">
        <f t="shared" si="6"/>
        <v>0</v>
      </c>
      <c r="X45" s="5"/>
      <c r="Y45" s="1"/>
      <c r="Z45" s="1">
        <f t="shared" si="7"/>
        <v>14.432743230011651</v>
      </c>
      <c r="AA45" s="1">
        <f t="shared" si="8"/>
        <v>14.432743230011651</v>
      </c>
      <c r="AB45" s="1">
        <v>71.757333333333335</v>
      </c>
      <c r="AC45" s="1">
        <v>83.283799999999999</v>
      </c>
      <c r="AD45" s="1">
        <v>58.600200000000008</v>
      </c>
      <c r="AE45" s="1">
        <v>61.506399999999999</v>
      </c>
      <c r="AF45" s="1">
        <v>58.0304</v>
      </c>
      <c r="AG45" s="1">
        <v>57.372</v>
      </c>
      <c r="AH45" s="1">
        <v>52.2864</v>
      </c>
      <c r="AI45" s="1">
        <v>53.046799999999998</v>
      </c>
      <c r="AJ45" s="1"/>
      <c r="AK45" s="1">
        <f t="shared" si="9"/>
        <v>0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90</v>
      </c>
      <c r="B46" s="1" t="s">
        <v>44</v>
      </c>
      <c r="C46" s="1">
        <v>2016</v>
      </c>
      <c r="D46" s="1">
        <v>4513</v>
      </c>
      <c r="E46" s="1">
        <v>2033</v>
      </c>
      <c r="F46" s="1">
        <v>1497</v>
      </c>
      <c r="G46" s="8">
        <v>0.35</v>
      </c>
      <c r="H46" s="1">
        <v>40</v>
      </c>
      <c r="I46" s="1" t="s">
        <v>40</v>
      </c>
      <c r="J46" s="1"/>
      <c r="K46" s="1">
        <v>2070</v>
      </c>
      <c r="L46" s="1">
        <f t="shared" si="13"/>
        <v>-37</v>
      </c>
      <c r="M46" s="1">
        <f t="shared" si="3"/>
        <v>2017</v>
      </c>
      <c r="N46" s="1">
        <v>16</v>
      </c>
      <c r="O46" s="1"/>
      <c r="P46" s="1">
        <v>900.09660000000019</v>
      </c>
      <c r="Q46" s="1"/>
      <c r="R46" s="1"/>
      <c r="S46" s="1">
        <v>1012.570066666667</v>
      </c>
      <c r="T46" s="1">
        <f t="shared" si="4"/>
        <v>336.16666666666669</v>
      </c>
      <c r="U46" s="5">
        <f t="shared" si="14"/>
        <v>624.33333333333258</v>
      </c>
      <c r="V46" s="5"/>
      <c r="W46" s="5">
        <f t="shared" si="6"/>
        <v>624.33333333333258</v>
      </c>
      <c r="X46" s="5"/>
      <c r="Y46" s="1"/>
      <c r="Z46" s="1">
        <f t="shared" si="7"/>
        <v>12</v>
      </c>
      <c r="AA46" s="1">
        <f t="shared" si="8"/>
        <v>10.142786316311355</v>
      </c>
      <c r="AB46" s="1">
        <v>389.16666666666669</v>
      </c>
      <c r="AC46" s="1">
        <v>344.8</v>
      </c>
      <c r="AD46" s="1">
        <v>361</v>
      </c>
      <c r="AE46" s="1">
        <v>344.6</v>
      </c>
      <c r="AF46" s="1">
        <v>298.2</v>
      </c>
      <c r="AG46" s="1">
        <v>314.60000000000002</v>
      </c>
      <c r="AH46" s="1">
        <v>330.8</v>
      </c>
      <c r="AI46" s="1">
        <v>334</v>
      </c>
      <c r="AJ46" s="1" t="s">
        <v>53</v>
      </c>
      <c r="AK46" s="1">
        <f t="shared" si="9"/>
        <v>219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91</v>
      </c>
      <c r="B47" s="1" t="s">
        <v>44</v>
      </c>
      <c r="C47" s="1">
        <v>1009</v>
      </c>
      <c r="D47" s="1">
        <v>871</v>
      </c>
      <c r="E47" s="1">
        <v>593</v>
      </c>
      <c r="F47" s="1">
        <v>687</v>
      </c>
      <c r="G47" s="8">
        <v>0.4</v>
      </c>
      <c r="H47" s="1">
        <v>40</v>
      </c>
      <c r="I47" s="1" t="s">
        <v>40</v>
      </c>
      <c r="J47" s="1"/>
      <c r="K47" s="1">
        <v>647</v>
      </c>
      <c r="L47" s="1">
        <f t="shared" si="13"/>
        <v>-54</v>
      </c>
      <c r="M47" s="1">
        <f t="shared" si="3"/>
        <v>593</v>
      </c>
      <c r="N47" s="1"/>
      <c r="O47" s="1"/>
      <c r="P47" s="1">
        <v>235.57019999999989</v>
      </c>
      <c r="Q47" s="1"/>
      <c r="R47" s="1"/>
      <c r="S47" s="1">
        <v>25.09646666666686</v>
      </c>
      <c r="T47" s="1">
        <f t="shared" si="4"/>
        <v>98.833333333333329</v>
      </c>
      <c r="U47" s="5">
        <f t="shared" si="14"/>
        <v>238.33333333333326</v>
      </c>
      <c r="V47" s="5"/>
      <c r="W47" s="5">
        <f t="shared" si="6"/>
        <v>238.33333333333326</v>
      </c>
      <c r="X47" s="5"/>
      <c r="Y47" s="1"/>
      <c r="Z47" s="1">
        <f t="shared" si="7"/>
        <v>12</v>
      </c>
      <c r="AA47" s="1">
        <f t="shared" si="8"/>
        <v>9.5885328836424968</v>
      </c>
      <c r="AB47" s="1">
        <v>114.6666666666667</v>
      </c>
      <c r="AC47" s="1">
        <v>119.6</v>
      </c>
      <c r="AD47" s="1">
        <v>132.19999999999999</v>
      </c>
      <c r="AE47" s="1">
        <v>149.4</v>
      </c>
      <c r="AF47" s="1">
        <v>151.6</v>
      </c>
      <c r="AG47" s="1">
        <v>140</v>
      </c>
      <c r="AH47" s="1">
        <v>133.4</v>
      </c>
      <c r="AI47" s="1">
        <v>115.2</v>
      </c>
      <c r="AJ47" s="1"/>
      <c r="AK47" s="1">
        <f t="shared" si="9"/>
        <v>95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1" t="s">
        <v>92</v>
      </c>
      <c r="B48" s="1" t="s">
        <v>39</v>
      </c>
      <c r="C48" s="1">
        <v>375.26299999999998</v>
      </c>
      <c r="D48" s="1">
        <v>1462.559</v>
      </c>
      <c r="E48" s="1">
        <v>758.71</v>
      </c>
      <c r="F48" s="1">
        <v>448.923</v>
      </c>
      <c r="G48" s="8">
        <v>1</v>
      </c>
      <c r="H48" s="1">
        <v>50</v>
      </c>
      <c r="I48" s="1" t="s">
        <v>40</v>
      </c>
      <c r="J48" s="1"/>
      <c r="K48" s="1">
        <v>815.77700000000004</v>
      </c>
      <c r="L48" s="1">
        <f t="shared" si="13"/>
        <v>-57.067000000000007</v>
      </c>
      <c r="M48" s="1">
        <f t="shared" si="3"/>
        <v>683.03300000000002</v>
      </c>
      <c r="N48" s="1">
        <v>75.677000000000007</v>
      </c>
      <c r="O48" s="1"/>
      <c r="P48" s="1">
        <v>466.57248240000018</v>
      </c>
      <c r="Q48" s="1"/>
      <c r="R48" s="1"/>
      <c r="S48" s="1">
        <v>467.72118426666651</v>
      </c>
      <c r="T48" s="1">
        <f t="shared" si="4"/>
        <v>113.83883333333334</v>
      </c>
      <c r="U48" s="5"/>
      <c r="V48" s="5">
        <f t="shared" ref="V48:V49" si="15">$V$1*T48</f>
        <v>113.83883333333334</v>
      </c>
      <c r="W48" s="5">
        <f t="shared" si="6"/>
        <v>113.83883333333334</v>
      </c>
      <c r="X48" s="5"/>
      <c r="Y48" s="1"/>
      <c r="Z48" s="1">
        <f t="shared" si="7"/>
        <v>13.15065743529229</v>
      </c>
      <c r="AA48" s="1">
        <f t="shared" si="8"/>
        <v>12.150657435292292</v>
      </c>
      <c r="AB48" s="1">
        <v>139.50733333333329</v>
      </c>
      <c r="AC48" s="1">
        <v>121.01179999999999</v>
      </c>
      <c r="AD48" s="1">
        <v>93.060199999999995</v>
      </c>
      <c r="AE48" s="1">
        <v>85.131</v>
      </c>
      <c r="AF48" s="1">
        <v>69.878399999999999</v>
      </c>
      <c r="AG48" s="1">
        <v>74.82820000000001</v>
      </c>
      <c r="AH48" s="1">
        <v>78.015599999999992</v>
      </c>
      <c r="AI48" s="1">
        <v>85.325600000000009</v>
      </c>
      <c r="AJ48" s="1"/>
      <c r="AK48" s="1">
        <f t="shared" si="9"/>
        <v>114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93</v>
      </c>
      <c r="B49" s="1" t="s">
        <v>39</v>
      </c>
      <c r="C49" s="1">
        <v>732.55100000000004</v>
      </c>
      <c r="D49" s="1">
        <v>1316.768</v>
      </c>
      <c r="E49" s="1">
        <v>1199.587</v>
      </c>
      <c r="F49" s="1">
        <v>657.07600000000002</v>
      </c>
      <c r="G49" s="8">
        <v>1</v>
      </c>
      <c r="H49" s="1">
        <v>50</v>
      </c>
      <c r="I49" s="1" t="s">
        <v>40</v>
      </c>
      <c r="J49" s="1"/>
      <c r="K49" s="1">
        <v>1277.6510000000001</v>
      </c>
      <c r="L49" s="1">
        <f t="shared" si="13"/>
        <v>-78.064000000000078</v>
      </c>
      <c r="M49" s="1">
        <f t="shared" si="3"/>
        <v>1091.2860000000001</v>
      </c>
      <c r="N49" s="1">
        <v>108.301</v>
      </c>
      <c r="O49" s="1"/>
      <c r="P49" s="1">
        <v>303.86766620000009</v>
      </c>
      <c r="Q49" s="1">
        <v>490</v>
      </c>
      <c r="R49" s="1"/>
      <c r="S49" s="1">
        <v>712.63783380000018</v>
      </c>
      <c r="T49" s="1">
        <f t="shared" si="4"/>
        <v>181.881</v>
      </c>
      <c r="U49" s="5">
        <f t="shared" si="14"/>
        <v>18.990499999999884</v>
      </c>
      <c r="V49" s="5">
        <f t="shared" si="15"/>
        <v>181.881</v>
      </c>
      <c r="W49" s="5">
        <f t="shared" si="6"/>
        <v>200.87149999999988</v>
      </c>
      <c r="X49" s="5"/>
      <c r="Y49" s="1"/>
      <c r="Z49" s="1">
        <f t="shared" si="7"/>
        <v>13</v>
      </c>
      <c r="AA49" s="1">
        <f t="shared" si="8"/>
        <v>11.895588324233978</v>
      </c>
      <c r="AB49" s="1">
        <v>217.1925</v>
      </c>
      <c r="AC49" s="1">
        <v>190.73140000000001</v>
      </c>
      <c r="AD49" s="1">
        <v>140.89320000000001</v>
      </c>
      <c r="AE49" s="1">
        <v>145.45400000000001</v>
      </c>
      <c r="AF49" s="1">
        <v>136.43700000000001</v>
      </c>
      <c r="AG49" s="1">
        <v>128.56460000000001</v>
      </c>
      <c r="AH49" s="1">
        <v>136.21279999999999</v>
      </c>
      <c r="AI49" s="1">
        <v>135.34639999999999</v>
      </c>
      <c r="AJ49" s="1"/>
      <c r="AK49" s="1">
        <f t="shared" si="9"/>
        <v>201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3" t="s">
        <v>94</v>
      </c>
      <c r="B50" s="13" t="s">
        <v>39</v>
      </c>
      <c r="C50" s="13"/>
      <c r="D50" s="13"/>
      <c r="E50" s="13"/>
      <c r="F50" s="13"/>
      <c r="G50" s="14">
        <v>0</v>
      </c>
      <c r="H50" s="13">
        <v>40</v>
      </c>
      <c r="I50" s="13" t="s">
        <v>40</v>
      </c>
      <c r="J50" s="13"/>
      <c r="K50" s="13"/>
      <c r="L50" s="13">
        <f t="shared" si="13"/>
        <v>0</v>
      </c>
      <c r="M50" s="13">
        <f t="shared" si="3"/>
        <v>0</v>
      </c>
      <c r="N50" s="13"/>
      <c r="O50" s="13"/>
      <c r="P50" s="13">
        <v>0</v>
      </c>
      <c r="Q50" s="13"/>
      <c r="R50" s="13"/>
      <c r="S50" s="13">
        <v>0</v>
      </c>
      <c r="T50" s="13">
        <f t="shared" si="4"/>
        <v>0</v>
      </c>
      <c r="U50" s="15"/>
      <c r="V50" s="15"/>
      <c r="W50" s="5">
        <f t="shared" si="6"/>
        <v>0</v>
      </c>
      <c r="X50" s="15"/>
      <c r="Y50" s="13"/>
      <c r="Z50" s="1" t="e">
        <f t="shared" si="7"/>
        <v>#DIV/0!</v>
      </c>
      <c r="AA50" s="13" t="e">
        <f t="shared" si="8"/>
        <v>#DIV/0!</v>
      </c>
      <c r="AB50" s="13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 t="s">
        <v>71</v>
      </c>
      <c r="AK50" s="1">
        <f t="shared" si="9"/>
        <v>0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0" t="s">
        <v>95</v>
      </c>
      <c r="B51" s="10" t="s">
        <v>44</v>
      </c>
      <c r="C51" s="10"/>
      <c r="D51" s="10">
        <v>400</v>
      </c>
      <c r="E51" s="10">
        <v>22</v>
      </c>
      <c r="F51" s="10">
        <v>177</v>
      </c>
      <c r="G51" s="11">
        <v>0</v>
      </c>
      <c r="H51" s="10" t="e">
        <v>#N/A</v>
      </c>
      <c r="I51" s="10" t="s">
        <v>45</v>
      </c>
      <c r="J51" s="10"/>
      <c r="K51" s="10">
        <v>24</v>
      </c>
      <c r="L51" s="10">
        <f t="shared" si="13"/>
        <v>-2</v>
      </c>
      <c r="M51" s="10">
        <f t="shared" si="3"/>
        <v>22</v>
      </c>
      <c r="N51" s="10"/>
      <c r="O51" s="10"/>
      <c r="P51" s="10"/>
      <c r="Q51" s="10"/>
      <c r="R51" s="10"/>
      <c r="S51" s="10">
        <v>0</v>
      </c>
      <c r="T51" s="10">
        <f t="shared" si="4"/>
        <v>3.6666666666666665</v>
      </c>
      <c r="U51" s="12"/>
      <c r="V51" s="12"/>
      <c r="W51" s="5">
        <f t="shared" si="6"/>
        <v>0</v>
      </c>
      <c r="X51" s="12"/>
      <c r="Y51" s="10"/>
      <c r="Z51" s="1">
        <f t="shared" si="7"/>
        <v>48.272727272727273</v>
      </c>
      <c r="AA51" s="10">
        <f t="shared" si="8"/>
        <v>48.272727272727273</v>
      </c>
      <c r="AB51" s="10">
        <v>2.5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 t="s">
        <v>46</v>
      </c>
      <c r="AK51" s="1">
        <f t="shared" si="9"/>
        <v>0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 t="s">
        <v>96</v>
      </c>
      <c r="B52" s="1" t="s">
        <v>44</v>
      </c>
      <c r="C52" s="1">
        <v>506</v>
      </c>
      <c r="D52" s="1">
        <v>4455</v>
      </c>
      <c r="E52" s="1">
        <v>845</v>
      </c>
      <c r="F52" s="1">
        <v>707</v>
      </c>
      <c r="G52" s="8">
        <v>0.45</v>
      </c>
      <c r="H52" s="1">
        <v>50</v>
      </c>
      <c r="I52" s="1" t="s">
        <v>40</v>
      </c>
      <c r="J52" s="1"/>
      <c r="K52" s="1">
        <v>881</v>
      </c>
      <c r="L52" s="1">
        <f t="shared" si="13"/>
        <v>-36</v>
      </c>
      <c r="M52" s="1">
        <f t="shared" si="3"/>
        <v>812</v>
      </c>
      <c r="N52" s="1">
        <v>33</v>
      </c>
      <c r="O52" s="1"/>
      <c r="P52" s="1">
        <v>356.11079999999998</v>
      </c>
      <c r="Q52" s="1"/>
      <c r="R52" s="1"/>
      <c r="S52" s="1">
        <v>402.55586666666687</v>
      </c>
      <c r="T52" s="1">
        <f t="shared" si="4"/>
        <v>135.33333333333334</v>
      </c>
      <c r="U52" s="5">
        <f>12*T52-S52-R52-Q52-P52-O52-F52</f>
        <v>158.33333333333326</v>
      </c>
      <c r="V52" s="5">
        <f>$V$1*T52</f>
        <v>135.33333333333334</v>
      </c>
      <c r="W52" s="5">
        <f t="shared" si="6"/>
        <v>293.66666666666663</v>
      </c>
      <c r="X52" s="5"/>
      <c r="Y52" s="1"/>
      <c r="Z52" s="1">
        <f t="shared" si="7"/>
        <v>13</v>
      </c>
      <c r="AA52" s="1">
        <f t="shared" si="8"/>
        <v>10.830049261083744</v>
      </c>
      <c r="AB52" s="1">
        <v>155.33333333333329</v>
      </c>
      <c r="AC52" s="1">
        <v>124.6</v>
      </c>
      <c r="AD52" s="1">
        <v>110</v>
      </c>
      <c r="AE52" s="1">
        <v>102.8</v>
      </c>
      <c r="AF52" s="1">
        <v>88</v>
      </c>
      <c r="AG52" s="1">
        <v>99.6</v>
      </c>
      <c r="AH52" s="1">
        <v>138</v>
      </c>
      <c r="AI52" s="1">
        <v>139.4</v>
      </c>
      <c r="AJ52" s="1" t="s">
        <v>97</v>
      </c>
      <c r="AK52" s="1">
        <f t="shared" si="9"/>
        <v>132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0" t="s">
        <v>98</v>
      </c>
      <c r="B53" s="10" t="s">
        <v>44</v>
      </c>
      <c r="C53" s="10"/>
      <c r="D53" s="10">
        <v>223</v>
      </c>
      <c r="E53" s="10">
        <v>30</v>
      </c>
      <c r="F53" s="10">
        <v>63</v>
      </c>
      <c r="G53" s="11">
        <v>0</v>
      </c>
      <c r="H53" s="10" t="e">
        <v>#N/A</v>
      </c>
      <c r="I53" s="10" t="s">
        <v>45</v>
      </c>
      <c r="J53" s="10"/>
      <c r="K53" s="10">
        <v>33</v>
      </c>
      <c r="L53" s="10">
        <f t="shared" si="13"/>
        <v>-3</v>
      </c>
      <c r="M53" s="10">
        <f t="shared" si="3"/>
        <v>30</v>
      </c>
      <c r="N53" s="10"/>
      <c r="O53" s="10"/>
      <c r="P53" s="10"/>
      <c r="Q53" s="10"/>
      <c r="R53" s="10"/>
      <c r="S53" s="10">
        <v>0</v>
      </c>
      <c r="T53" s="10">
        <f t="shared" si="4"/>
        <v>5</v>
      </c>
      <c r="U53" s="12"/>
      <c r="V53" s="12"/>
      <c r="W53" s="5">
        <f t="shared" si="6"/>
        <v>0</v>
      </c>
      <c r="X53" s="12"/>
      <c r="Y53" s="10"/>
      <c r="Z53" s="1">
        <f t="shared" si="7"/>
        <v>12.6</v>
      </c>
      <c r="AA53" s="10">
        <f t="shared" si="8"/>
        <v>12.6</v>
      </c>
      <c r="AB53" s="10">
        <v>3.333333333333333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 t="s">
        <v>46</v>
      </c>
      <c r="AK53" s="1">
        <f t="shared" si="9"/>
        <v>0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 t="s">
        <v>99</v>
      </c>
      <c r="B54" s="1" t="s">
        <v>44</v>
      </c>
      <c r="C54" s="1">
        <v>33</v>
      </c>
      <c r="D54" s="1">
        <v>454</v>
      </c>
      <c r="E54" s="1">
        <v>111</v>
      </c>
      <c r="F54" s="1">
        <v>143</v>
      </c>
      <c r="G54" s="8">
        <v>0.4</v>
      </c>
      <c r="H54" s="1">
        <v>40</v>
      </c>
      <c r="I54" s="1" t="s">
        <v>40</v>
      </c>
      <c r="J54" s="1"/>
      <c r="K54" s="1">
        <v>120</v>
      </c>
      <c r="L54" s="1">
        <f t="shared" si="13"/>
        <v>-9</v>
      </c>
      <c r="M54" s="1">
        <f t="shared" si="3"/>
        <v>111</v>
      </c>
      <c r="N54" s="1"/>
      <c r="O54" s="1"/>
      <c r="P54" s="1">
        <v>50.801399999999987</v>
      </c>
      <c r="Q54" s="1"/>
      <c r="R54" s="1"/>
      <c r="S54" s="1">
        <v>0</v>
      </c>
      <c r="T54" s="1">
        <f t="shared" si="4"/>
        <v>18.5</v>
      </c>
      <c r="U54" s="5">
        <f t="shared" ref="U54:U71" si="16">12*T54-S54-R54-Q54-P54-O54-F54</f>
        <v>28.198599999999999</v>
      </c>
      <c r="V54" s="5"/>
      <c r="W54" s="5">
        <f t="shared" si="6"/>
        <v>28.198599999999999</v>
      </c>
      <c r="X54" s="5"/>
      <c r="Y54" s="1"/>
      <c r="Z54" s="1">
        <f t="shared" si="7"/>
        <v>12</v>
      </c>
      <c r="AA54" s="1">
        <f t="shared" si="8"/>
        <v>10.475751351351352</v>
      </c>
      <c r="AB54" s="1">
        <v>22.5</v>
      </c>
      <c r="AC54" s="1">
        <v>24.2</v>
      </c>
      <c r="AD54" s="1">
        <v>27.4</v>
      </c>
      <c r="AE54" s="1">
        <v>20.2</v>
      </c>
      <c r="AF54" s="1">
        <v>20.6</v>
      </c>
      <c r="AG54" s="1">
        <v>26.6</v>
      </c>
      <c r="AH54" s="1">
        <v>26.6</v>
      </c>
      <c r="AI54" s="1">
        <v>18.600000000000001</v>
      </c>
      <c r="AJ54" s="1"/>
      <c r="AK54" s="1">
        <f t="shared" si="9"/>
        <v>11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 t="s">
        <v>100</v>
      </c>
      <c r="B55" s="1" t="s">
        <v>44</v>
      </c>
      <c r="C55" s="1">
        <v>243</v>
      </c>
      <c r="D55" s="1">
        <v>73</v>
      </c>
      <c r="E55" s="1">
        <v>101</v>
      </c>
      <c r="F55" s="1">
        <v>183</v>
      </c>
      <c r="G55" s="8">
        <v>0.4</v>
      </c>
      <c r="H55" s="1">
        <v>40</v>
      </c>
      <c r="I55" s="1" t="s">
        <v>40</v>
      </c>
      <c r="J55" s="1"/>
      <c r="K55" s="1">
        <v>125</v>
      </c>
      <c r="L55" s="1">
        <f t="shared" si="13"/>
        <v>-24</v>
      </c>
      <c r="M55" s="1">
        <f t="shared" si="3"/>
        <v>101</v>
      </c>
      <c r="N55" s="1"/>
      <c r="O55" s="1"/>
      <c r="P55" s="1">
        <v>71.141999999999996</v>
      </c>
      <c r="Q55" s="1"/>
      <c r="R55" s="1"/>
      <c r="S55" s="1">
        <v>0</v>
      </c>
      <c r="T55" s="1">
        <f t="shared" si="4"/>
        <v>16.833333333333332</v>
      </c>
      <c r="U55" s="5"/>
      <c r="V55" s="5"/>
      <c r="W55" s="5">
        <f t="shared" si="6"/>
        <v>0</v>
      </c>
      <c r="X55" s="5"/>
      <c r="Y55" s="1"/>
      <c r="Z55" s="1">
        <f t="shared" si="7"/>
        <v>15.097544554455446</v>
      </c>
      <c r="AA55" s="1">
        <f t="shared" si="8"/>
        <v>15.097544554455446</v>
      </c>
      <c r="AB55" s="1">
        <v>23.166666666666671</v>
      </c>
      <c r="AC55" s="1">
        <v>31</v>
      </c>
      <c r="AD55" s="1">
        <v>30.8</v>
      </c>
      <c r="AE55" s="1">
        <v>35.6</v>
      </c>
      <c r="AF55" s="1">
        <v>35.200000000000003</v>
      </c>
      <c r="AG55" s="1">
        <v>37.200000000000003</v>
      </c>
      <c r="AH55" s="1">
        <v>40</v>
      </c>
      <c r="AI55" s="1">
        <v>40</v>
      </c>
      <c r="AJ55" s="1" t="s">
        <v>53</v>
      </c>
      <c r="AK55" s="1">
        <f t="shared" si="9"/>
        <v>0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 t="s">
        <v>101</v>
      </c>
      <c r="B56" s="1" t="s">
        <v>39</v>
      </c>
      <c r="C56" s="1">
        <v>385.34199999999998</v>
      </c>
      <c r="D56" s="1">
        <v>1030.788</v>
      </c>
      <c r="E56" s="1">
        <v>683.77700000000004</v>
      </c>
      <c r="F56" s="1">
        <v>290.79199999999997</v>
      </c>
      <c r="G56" s="8">
        <v>1</v>
      </c>
      <c r="H56" s="1">
        <v>50</v>
      </c>
      <c r="I56" s="1" t="s">
        <v>40</v>
      </c>
      <c r="J56" s="1"/>
      <c r="K56" s="1">
        <v>723.86900000000003</v>
      </c>
      <c r="L56" s="1">
        <f t="shared" si="13"/>
        <v>-40.091999999999985</v>
      </c>
      <c r="M56" s="1">
        <f t="shared" si="3"/>
        <v>640.75800000000004</v>
      </c>
      <c r="N56" s="1">
        <v>43.018999999999998</v>
      </c>
      <c r="O56" s="1"/>
      <c r="P56" s="1">
        <v>197.81995180000001</v>
      </c>
      <c r="Q56" s="1">
        <v>200</v>
      </c>
      <c r="R56" s="1"/>
      <c r="S56" s="1">
        <v>449.13288153333332</v>
      </c>
      <c r="T56" s="1">
        <f t="shared" si="4"/>
        <v>106.79300000000001</v>
      </c>
      <c r="U56" s="5">
        <f t="shared" si="16"/>
        <v>143.77116666666672</v>
      </c>
      <c r="V56" s="5">
        <f>$V$1*T56</f>
        <v>106.79300000000001</v>
      </c>
      <c r="W56" s="5">
        <f t="shared" si="6"/>
        <v>250.56416666666672</v>
      </c>
      <c r="X56" s="5"/>
      <c r="Y56" s="1"/>
      <c r="Z56" s="1">
        <f t="shared" si="7"/>
        <v>13.000000000000002</v>
      </c>
      <c r="AA56" s="1">
        <f t="shared" si="8"/>
        <v>10.653739789436885</v>
      </c>
      <c r="AB56" s="1">
        <v>119.64416666666671</v>
      </c>
      <c r="AC56" s="1">
        <v>99.509600000000006</v>
      </c>
      <c r="AD56" s="1">
        <v>73.804599999999994</v>
      </c>
      <c r="AE56" s="1">
        <v>73.170400000000001</v>
      </c>
      <c r="AF56" s="1">
        <v>73.025599999999997</v>
      </c>
      <c r="AG56" s="1">
        <v>70.519599999999997</v>
      </c>
      <c r="AH56" s="1">
        <v>65.875399999999999</v>
      </c>
      <c r="AI56" s="1">
        <v>75.746800000000007</v>
      </c>
      <c r="AJ56" s="1"/>
      <c r="AK56" s="1">
        <f t="shared" si="9"/>
        <v>251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 t="s">
        <v>102</v>
      </c>
      <c r="B57" s="1" t="s">
        <v>44</v>
      </c>
      <c r="C57" s="1">
        <v>194</v>
      </c>
      <c r="D57" s="1">
        <v>1265</v>
      </c>
      <c r="E57" s="1">
        <v>132</v>
      </c>
      <c r="F57" s="1">
        <v>1142</v>
      </c>
      <c r="G57" s="8">
        <v>0.1</v>
      </c>
      <c r="H57" s="1">
        <v>730</v>
      </c>
      <c r="I57" s="1" t="s">
        <v>40</v>
      </c>
      <c r="J57" s="1"/>
      <c r="K57" s="1">
        <v>133</v>
      </c>
      <c r="L57" s="1">
        <f t="shared" si="13"/>
        <v>-1</v>
      </c>
      <c r="M57" s="1">
        <f t="shared" si="3"/>
        <v>132</v>
      </c>
      <c r="N57" s="1"/>
      <c r="O57" s="1"/>
      <c r="P57" s="1">
        <v>10.02</v>
      </c>
      <c r="Q57" s="1"/>
      <c r="R57" s="1"/>
      <c r="S57" s="1">
        <v>0</v>
      </c>
      <c r="T57" s="1">
        <f t="shared" si="4"/>
        <v>22</v>
      </c>
      <c r="U57" s="5"/>
      <c r="V57" s="5"/>
      <c r="W57" s="5">
        <f t="shared" si="6"/>
        <v>0</v>
      </c>
      <c r="X57" s="5"/>
      <c r="Y57" s="1"/>
      <c r="Z57" s="1">
        <f t="shared" si="7"/>
        <v>52.364545454545457</v>
      </c>
      <c r="AA57" s="1">
        <f t="shared" si="8"/>
        <v>52.364545454545457</v>
      </c>
      <c r="AB57" s="1">
        <v>20.166666666666671</v>
      </c>
      <c r="AC57" s="1">
        <v>17</v>
      </c>
      <c r="AD57" s="1">
        <v>20.399999999999999</v>
      </c>
      <c r="AE57" s="1">
        <v>22</v>
      </c>
      <c r="AF57" s="1">
        <v>25</v>
      </c>
      <c r="AG57" s="1">
        <v>28.8</v>
      </c>
      <c r="AH57" s="1">
        <v>24.8</v>
      </c>
      <c r="AI57" s="1">
        <v>29.4</v>
      </c>
      <c r="AJ57" s="19" t="s">
        <v>149</v>
      </c>
      <c r="AK57" s="1">
        <f t="shared" si="9"/>
        <v>0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 t="s">
        <v>103</v>
      </c>
      <c r="B58" s="1" t="s">
        <v>39</v>
      </c>
      <c r="C58" s="1">
        <v>824.04</v>
      </c>
      <c r="D58" s="1">
        <v>1607.5350000000001</v>
      </c>
      <c r="E58" s="1">
        <v>1443.63</v>
      </c>
      <c r="F58" s="1">
        <v>777.26599999999996</v>
      </c>
      <c r="G58" s="8">
        <v>1</v>
      </c>
      <c r="H58" s="1">
        <v>50</v>
      </c>
      <c r="I58" s="1" t="s">
        <v>40</v>
      </c>
      <c r="J58" s="1"/>
      <c r="K58" s="1">
        <v>1531.087</v>
      </c>
      <c r="L58" s="1">
        <f t="shared" si="13"/>
        <v>-87.45699999999988</v>
      </c>
      <c r="M58" s="1">
        <f t="shared" si="3"/>
        <v>1390.0220000000002</v>
      </c>
      <c r="N58" s="1">
        <v>53.607999999999997</v>
      </c>
      <c r="O58" s="1"/>
      <c r="P58" s="1">
        <v>329.01281619999997</v>
      </c>
      <c r="Q58" s="1">
        <v>500</v>
      </c>
      <c r="R58" s="1">
        <v>800</v>
      </c>
      <c r="S58" s="1">
        <v>597.28401713333346</v>
      </c>
      <c r="T58" s="1">
        <f t="shared" si="4"/>
        <v>231.67033333333336</v>
      </c>
      <c r="U58" s="5"/>
      <c r="V58" s="5">
        <f>$V$1*T58</f>
        <v>231.67033333333336</v>
      </c>
      <c r="W58" s="5">
        <f t="shared" si="6"/>
        <v>231.67033333333336</v>
      </c>
      <c r="X58" s="5"/>
      <c r="Y58" s="1"/>
      <c r="Z58" s="1">
        <f t="shared" si="7"/>
        <v>13.96481422596189</v>
      </c>
      <c r="AA58" s="1">
        <f t="shared" si="8"/>
        <v>12.96481422596189</v>
      </c>
      <c r="AB58" s="1">
        <v>295.91216666666668</v>
      </c>
      <c r="AC58" s="1">
        <v>221.24639999999999</v>
      </c>
      <c r="AD58" s="1">
        <v>170.66679999999999</v>
      </c>
      <c r="AE58" s="1">
        <v>161.72380000000001</v>
      </c>
      <c r="AF58" s="1">
        <v>157.36000000000001</v>
      </c>
      <c r="AG58" s="1">
        <v>157.6866</v>
      </c>
      <c r="AH58" s="1">
        <v>150.42599999999999</v>
      </c>
      <c r="AI58" s="1">
        <v>152.63679999999999</v>
      </c>
      <c r="AJ58" s="1"/>
      <c r="AK58" s="1">
        <f t="shared" si="9"/>
        <v>232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 t="s">
        <v>104</v>
      </c>
      <c r="B59" s="1" t="s">
        <v>39</v>
      </c>
      <c r="C59" s="1">
        <v>48.265999999999998</v>
      </c>
      <c r="D59" s="1">
        <v>216.36500000000001</v>
      </c>
      <c r="E59" s="1">
        <v>185.249</v>
      </c>
      <c r="F59" s="1">
        <v>11.8</v>
      </c>
      <c r="G59" s="8">
        <v>1</v>
      </c>
      <c r="H59" s="1">
        <v>50</v>
      </c>
      <c r="I59" s="1" t="s">
        <v>40</v>
      </c>
      <c r="J59" s="1"/>
      <c r="K59" s="1">
        <v>241.59800000000001</v>
      </c>
      <c r="L59" s="1">
        <f t="shared" si="13"/>
        <v>-56.349000000000018</v>
      </c>
      <c r="M59" s="1">
        <f t="shared" si="3"/>
        <v>120.351</v>
      </c>
      <c r="N59" s="1">
        <v>64.897999999999996</v>
      </c>
      <c r="O59" s="1"/>
      <c r="P59" s="1">
        <v>66.564162600000017</v>
      </c>
      <c r="Q59" s="1"/>
      <c r="R59" s="1"/>
      <c r="S59" s="1">
        <v>143.79483740000001</v>
      </c>
      <c r="T59" s="1">
        <f t="shared" si="4"/>
        <v>20.058499999999999</v>
      </c>
      <c r="U59" s="5">
        <f t="shared" si="16"/>
        <v>18.542999999999974</v>
      </c>
      <c r="V59" s="5"/>
      <c r="W59" s="5">
        <f t="shared" si="6"/>
        <v>18.542999999999974</v>
      </c>
      <c r="X59" s="5"/>
      <c r="Y59" s="1"/>
      <c r="Z59" s="1">
        <f t="shared" si="7"/>
        <v>12</v>
      </c>
      <c r="AA59" s="1">
        <f t="shared" si="8"/>
        <v>11.075554004536732</v>
      </c>
      <c r="AB59" s="1">
        <v>27.692666666666671</v>
      </c>
      <c r="AC59" s="1">
        <v>17.691199999999998</v>
      </c>
      <c r="AD59" s="1">
        <v>17.258800000000001</v>
      </c>
      <c r="AE59" s="1">
        <v>15.8902</v>
      </c>
      <c r="AF59" s="1">
        <v>13.5344</v>
      </c>
      <c r="AG59" s="1">
        <v>12.65</v>
      </c>
      <c r="AH59" s="1">
        <v>19.626799999999999</v>
      </c>
      <c r="AI59" s="1">
        <v>16.927199999999999</v>
      </c>
      <c r="AJ59" s="1"/>
      <c r="AK59" s="1">
        <f t="shared" si="9"/>
        <v>19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 t="s">
        <v>105</v>
      </c>
      <c r="B60" s="1" t="s">
        <v>44</v>
      </c>
      <c r="C60" s="1">
        <v>121</v>
      </c>
      <c r="D60" s="1">
        <v>119</v>
      </c>
      <c r="E60" s="1">
        <v>105</v>
      </c>
      <c r="F60" s="1">
        <v>96</v>
      </c>
      <c r="G60" s="8">
        <v>0.1</v>
      </c>
      <c r="H60" s="1">
        <v>730</v>
      </c>
      <c r="I60" s="1" t="s">
        <v>40</v>
      </c>
      <c r="J60" s="1"/>
      <c r="K60" s="1">
        <v>105</v>
      </c>
      <c r="L60" s="1">
        <f t="shared" si="13"/>
        <v>0</v>
      </c>
      <c r="M60" s="1">
        <f t="shared" si="3"/>
        <v>105</v>
      </c>
      <c r="N60" s="1"/>
      <c r="O60" s="1"/>
      <c r="P60" s="1">
        <v>46.593000000000004</v>
      </c>
      <c r="Q60" s="1"/>
      <c r="R60" s="1"/>
      <c r="S60" s="1">
        <v>40.073666666666668</v>
      </c>
      <c r="T60" s="1">
        <f t="shared" si="4"/>
        <v>17.5</v>
      </c>
      <c r="U60" s="5">
        <f t="shared" si="16"/>
        <v>27.333333333333329</v>
      </c>
      <c r="V60" s="5"/>
      <c r="W60" s="5">
        <f t="shared" si="6"/>
        <v>27.333333333333329</v>
      </c>
      <c r="X60" s="5"/>
      <c r="Y60" s="1"/>
      <c r="Z60" s="1">
        <f t="shared" si="7"/>
        <v>12</v>
      </c>
      <c r="AA60" s="1">
        <f t="shared" si="8"/>
        <v>10.438095238095238</v>
      </c>
      <c r="AB60" s="1">
        <v>20.166666666666671</v>
      </c>
      <c r="AC60" s="1">
        <v>17</v>
      </c>
      <c r="AD60" s="1">
        <v>15.8</v>
      </c>
      <c r="AE60" s="1">
        <v>15.6</v>
      </c>
      <c r="AF60" s="1">
        <v>16.2</v>
      </c>
      <c r="AG60" s="1">
        <v>23.4</v>
      </c>
      <c r="AH60" s="1">
        <v>24.6</v>
      </c>
      <c r="AI60" s="1">
        <v>31</v>
      </c>
      <c r="AJ60" s="1"/>
      <c r="AK60" s="1">
        <f t="shared" si="9"/>
        <v>3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 t="s">
        <v>106</v>
      </c>
      <c r="B61" s="1" t="s">
        <v>44</v>
      </c>
      <c r="C61" s="1">
        <v>220</v>
      </c>
      <c r="D61" s="1">
        <v>6076</v>
      </c>
      <c r="E61" s="1">
        <v>986</v>
      </c>
      <c r="F61" s="1">
        <v>522</v>
      </c>
      <c r="G61" s="8">
        <v>0.4</v>
      </c>
      <c r="H61" s="1">
        <v>50</v>
      </c>
      <c r="I61" s="1" t="s">
        <v>40</v>
      </c>
      <c r="J61" s="1"/>
      <c r="K61" s="1">
        <v>989</v>
      </c>
      <c r="L61" s="1">
        <f t="shared" si="13"/>
        <v>-3</v>
      </c>
      <c r="M61" s="1">
        <f t="shared" si="3"/>
        <v>986</v>
      </c>
      <c r="N61" s="1"/>
      <c r="O61" s="1"/>
      <c r="P61" s="1">
        <v>216.32979999999989</v>
      </c>
      <c r="Q61" s="1">
        <v>500</v>
      </c>
      <c r="R61" s="1"/>
      <c r="S61" s="1">
        <v>800.17020000000002</v>
      </c>
      <c r="T61" s="1">
        <f t="shared" si="4"/>
        <v>164.33333333333334</v>
      </c>
      <c r="U61" s="5"/>
      <c r="V61" s="5">
        <f>$V$1*T61</f>
        <v>164.33333333333334</v>
      </c>
      <c r="W61" s="5">
        <f t="shared" si="6"/>
        <v>164.33333333333334</v>
      </c>
      <c r="X61" s="5"/>
      <c r="Y61" s="1"/>
      <c r="Z61" s="1">
        <f t="shared" si="7"/>
        <v>13.404665314401623</v>
      </c>
      <c r="AA61" s="1">
        <f t="shared" si="8"/>
        <v>12.404665314401623</v>
      </c>
      <c r="AB61" s="1">
        <v>207.5</v>
      </c>
      <c r="AC61" s="1">
        <v>174.6</v>
      </c>
      <c r="AD61" s="1">
        <v>120.8</v>
      </c>
      <c r="AE61" s="1">
        <v>103.8</v>
      </c>
      <c r="AF61" s="1">
        <v>86.2</v>
      </c>
      <c r="AG61" s="1">
        <v>88.6</v>
      </c>
      <c r="AH61" s="1">
        <v>76.2</v>
      </c>
      <c r="AI61" s="1">
        <v>53.4</v>
      </c>
      <c r="AJ61" s="1" t="s">
        <v>107</v>
      </c>
      <c r="AK61" s="1">
        <f t="shared" si="9"/>
        <v>66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 t="s">
        <v>108</v>
      </c>
      <c r="B62" s="1" t="s">
        <v>39</v>
      </c>
      <c r="C62" s="1">
        <v>54.460999999999999</v>
      </c>
      <c r="D62" s="1">
        <v>49.89</v>
      </c>
      <c r="E62" s="1">
        <v>68.352999999999994</v>
      </c>
      <c r="F62" s="1">
        <v>31.593</v>
      </c>
      <c r="G62" s="8">
        <v>1</v>
      </c>
      <c r="H62" s="1">
        <v>40</v>
      </c>
      <c r="I62" s="1" t="s">
        <v>40</v>
      </c>
      <c r="J62" s="1"/>
      <c r="K62" s="1">
        <v>67.599999999999994</v>
      </c>
      <c r="L62" s="1">
        <f t="shared" si="13"/>
        <v>0.75300000000000011</v>
      </c>
      <c r="M62" s="1">
        <f t="shared" si="3"/>
        <v>68.352999999999994</v>
      </c>
      <c r="N62" s="1"/>
      <c r="O62" s="1"/>
      <c r="P62" s="1">
        <v>28.18946639999999</v>
      </c>
      <c r="Q62" s="1"/>
      <c r="R62" s="1"/>
      <c r="S62" s="1">
        <v>39.292866933333343</v>
      </c>
      <c r="T62" s="1">
        <f t="shared" si="4"/>
        <v>11.392166666666666</v>
      </c>
      <c r="U62" s="5">
        <f t="shared" si="16"/>
        <v>37.630666666666656</v>
      </c>
      <c r="V62" s="5"/>
      <c r="W62" s="5">
        <f t="shared" si="6"/>
        <v>37.630666666666656</v>
      </c>
      <c r="X62" s="5"/>
      <c r="Y62" s="1"/>
      <c r="Z62" s="1">
        <f t="shared" si="7"/>
        <v>12</v>
      </c>
      <c r="AA62" s="1">
        <f t="shared" si="8"/>
        <v>8.6967945810717886</v>
      </c>
      <c r="AB62" s="1">
        <v>11.128833333333329</v>
      </c>
      <c r="AC62" s="1">
        <v>10.2502</v>
      </c>
      <c r="AD62" s="1">
        <v>9.4443999999999999</v>
      </c>
      <c r="AE62" s="1">
        <v>9.3394000000000013</v>
      </c>
      <c r="AF62" s="1">
        <v>11.129799999999999</v>
      </c>
      <c r="AG62" s="1">
        <v>7.8465999999999996</v>
      </c>
      <c r="AH62" s="1">
        <v>5.8376000000000001</v>
      </c>
      <c r="AI62" s="1">
        <v>7.4585999999999997</v>
      </c>
      <c r="AJ62" s="1"/>
      <c r="AK62" s="1">
        <f t="shared" si="9"/>
        <v>38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 t="s">
        <v>109</v>
      </c>
      <c r="B63" s="1" t="s">
        <v>39</v>
      </c>
      <c r="C63" s="1">
        <v>63.143999999999998</v>
      </c>
      <c r="D63" s="1">
        <v>73.831000000000003</v>
      </c>
      <c r="E63" s="1">
        <v>47.454999999999998</v>
      </c>
      <c r="F63" s="1">
        <v>46.177999999999997</v>
      </c>
      <c r="G63" s="8">
        <v>1</v>
      </c>
      <c r="H63" s="1">
        <v>40</v>
      </c>
      <c r="I63" s="1" t="s">
        <v>40</v>
      </c>
      <c r="J63" s="1"/>
      <c r="K63" s="1">
        <v>47.4</v>
      </c>
      <c r="L63" s="1">
        <f t="shared" si="13"/>
        <v>5.4999999999999716E-2</v>
      </c>
      <c r="M63" s="1">
        <f t="shared" si="3"/>
        <v>47.454999999999998</v>
      </c>
      <c r="N63" s="1"/>
      <c r="O63" s="1"/>
      <c r="P63" s="1">
        <v>0</v>
      </c>
      <c r="Q63" s="1"/>
      <c r="R63" s="1"/>
      <c r="S63" s="1">
        <v>34.896666666666682</v>
      </c>
      <c r="T63" s="1">
        <f t="shared" si="4"/>
        <v>7.9091666666666667</v>
      </c>
      <c r="U63" s="5">
        <f t="shared" si="16"/>
        <v>13.835333333333317</v>
      </c>
      <c r="V63" s="5"/>
      <c r="W63" s="5">
        <f t="shared" si="6"/>
        <v>13.835333333333317</v>
      </c>
      <c r="X63" s="5"/>
      <c r="Y63" s="1"/>
      <c r="Z63" s="1">
        <f t="shared" si="7"/>
        <v>12</v>
      </c>
      <c r="AA63" s="1">
        <f t="shared" si="8"/>
        <v>10.250721736381836</v>
      </c>
      <c r="AB63" s="1">
        <v>8.7806666666666668</v>
      </c>
      <c r="AC63" s="1">
        <v>6.8506</v>
      </c>
      <c r="AD63" s="1">
        <v>10.49</v>
      </c>
      <c r="AE63" s="1">
        <v>8.8762000000000008</v>
      </c>
      <c r="AF63" s="1">
        <v>6.9022000000000006</v>
      </c>
      <c r="AG63" s="1">
        <v>4.2786</v>
      </c>
      <c r="AH63" s="1">
        <v>5.6212</v>
      </c>
      <c r="AI63" s="1">
        <v>7.9974000000000007</v>
      </c>
      <c r="AJ63" s="1"/>
      <c r="AK63" s="1">
        <f t="shared" si="9"/>
        <v>14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 t="s">
        <v>110</v>
      </c>
      <c r="B64" s="1" t="s">
        <v>44</v>
      </c>
      <c r="C64" s="1">
        <v>1496</v>
      </c>
      <c r="D64" s="1">
        <v>4239</v>
      </c>
      <c r="E64" s="1">
        <v>1093</v>
      </c>
      <c r="F64" s="1">
        <v>739</v>
      </c>
      <c r="G64" s="8">
        <v>0.4</v>
      </c>
      <c r="H64" s="1">
        <v>40</v>
      </c>
      <c r="I64" s="1" t="s">
        <v>40</v>
      </c>
      <c r="J64" s="1"/>
      <c r="K64" s="1">
        <v>1144</v>
      </c>
      <c r="L64" s="1">
        <f t="shared" si="13"/>
        <v>-51</v>
      </c>
      <c r="M64" s="1">
        <f t="shared" si="3"/>
        <v>1051</v>
      </c>
      <c r="N64" s="1">
        <v>42</v>
      </c>
      <c r="O64" s="1"/>
      <c r="P64" s="1">
        <v>376.15080000000012</v>
      </c>
      <c r="Q64" s="1"/>
      <c r="R64" s="1"/>
      <c r="S64" s="1">
        <v>516.18253333333337</v>
      </c>
      <c r="T64" s="1">
        <f t="shared" si="4"/>
        <v>175.16666666666666</v>
      </c>
      <c r="U64" s="5">
        <f t="shared" si="16"/>
        <v>470.66666666666652</v>
      </c>
      <c r="V64" s="5"/>
      <c r="W64" s="5">
        <f t="shared" si="6"/>
        <v>470.66666666666652</v>
      </c>
      <c r="X64" s="5"/>
      <c r="Y64" s="1"/>
      <c r="Z64" s="1">
        <f t="shared" si="7"/>
        <v>12</v>
      </c>
      <c r="AA64" s="1">
        <f t="shared" si="8"/>
        <v>9.3130352045670808</v>
      </c>
      <c r="AB64" s="1">
        <v>191.33333333333329</v>
      </c>
      <c r="AC64" s="1">
        <v>178.4</v>
      </c>
      <c r="AD64" s="1">
        <v>193.6</v>
      </c>
      <c r="AE64" s="1">
        <v>214.4</v>
      </c>
      <c r="AF64" s="1">
        <v>228.8</v>
      </c>
      <c r="AG64" s="1">
        <v>228.4</v>
      </c>
      <c r="AH64" s="1">
        <v>196.6</v>
      </c>
      <c r="AI64" s="1">
        <v>176.2</v>
      </c>
      <c r="AJ64" s="1"/>
      <c r="AK64" s="1">
        <f t="shared" si="9"/>
        <v>188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" t="s">
        <v>111</v>
      </c>
      <c r="B65" s="1" t="s">
        <v>44</v>
      </c>
      <c r="C65" s="1">
        <v>911</v>
      </c>
      <c r="D65" s="1">
        <v>1507</v>
      </c>
      <c r="E65" s="1">
        <v>687</v>
      </c>
      <c r="F65" s="1">
        <v>612</v>
      </c>
      <c r="G65" s="8">
        <v>0.4</v>
      </c>
      <c r="H65" s="1">
        <v>40</v>
      </c>
      <c r="I65" s="1" t="s">
        <v>40</v>
      </c>
      <c r="J65" s="1"/>
      <c r="K65" s="1">
        <v>714</v>
      </c>
      <c r="L65" s="1">
        <f t="shared" si="13"/>
        <v>-27</v>
      </c>
      <c r="M65" s="1">
        <f t="shared" si="3"/>
        <v>681</v>
      </c>
      <c r="N65" s="1">
        <v>6</v>
      </c>
      <c r="O65" s="1"/>
      <c r="P65" s="1">
        <v>345.69</v>
      </c>
      <c r="Q65" s="1"/>
      <c r="R65" s="1"/>
      <c r="S65" s="1">
        <v>94.309999999999945</v>
      </c>
      <c r="T65" s="1">
        <f t="shared" si="4"/>
        <v>113.5</v>
      </c>
      <c r="U65" s="5">
        <f t="shared" si="16"/>
        <v>310</v>
      </c>
      <c r="V65" s="5"/>
      <c r="W65" s="5">
        <f t="shared" si="6"/>
        <v>310</v>
      </c>
      <c r="X65" s="5"/>
      <c r="Y65" s="1"/>
      <c r="Z65" s="1">
        <f t="shared" si="7"/>
        <v>12</v>
      </c>
      <c r="AA65" s="1">
        <f t="shared" si="8"/>
        <v>9.2687224669603516</v>
      </c>
      <c r="AB65" s="1">
        <v>126.5</v>
      </c>
      <c r="AC65" s="1">
        <v>126</v>
      </c>
      <c r="AD65" s="1">
        <v>123</v>
      </c>
      <c r="AE65" s="1">
        <v>139.4</v>
      </c>
      <c r="AF65" s="1">
        <v>156</v>
      </c>
      <c r="AG65" s="1">
        <v>158.4</v>
      </c>
      <c r="AH65" s="1">
        <v>148.19999999999999</v>
      </c>
      <c r="AI65" s="1">
        <v>122</v>
      </c>
      <c r="AJ65" s="1"/>
      <c r="AK65" s="1">
        <f t="shared" si="9"/>
        <v>124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" t="s">
        <v>112</v>
      </c>
      <c r="B66" s="1" t="s">
        <v>39</v>
      </c>
      <c r="C66" s="1">
        <v>447.98899999999998</v>
      </c>
      <c r="D66" s="1">
        <v>1540.15</v>
      </c>
      <c r="E66" s="1">
        <v>787.28599999999994</v>
      </c>
      <c r="F66" s="1">
        <v>573.52700000000004</v>
      </c>
      <c r="G66" s="8">
        <v>1</v>
      </c>
      <c r="H66" s="1">
        <v>40</v>
      </c>
      <c r="I66" s="1" t="s">
        <v>40</v>
      </c>
      <c r="J66" s="1"/>
      <c r="K66" s="1">
        <v>918.71600000000001</v>
      </c>
      <c r="L66" s="1">
        <f t="shared" si="13"/>
        <v>-131.43000000000006</v>
      </c>
      <c r="M66" s="1">
        <f t="shared" si="3"/>
        <v>662.20299999999997</v>
      </c>
      <c r="N66" s="1">
        <v>125.083</v>
      </c>
      <c r="O66" s="1"/>
      <c r="P66" s="1">
        <v>232.67943239999991</v>
      </c>
      <c r="Q66" s="1">
        <v>300</v>
      </c>
      <c r="R66" s="1"/>
      <c r="S66" s="1">
        <v>536.58790093333323</v>
      </c>
      <c r="T66" s="1">
        <f t="shared" si="4"/>
        <v>110.36716666666666</v>
      </c>
      <c r="U66" s="5"/>
      <c r="V66" s="5"/>
      <c r="W66" s="5">
        <f t="shared" si="6"/>
        <v>0</v>
      </c>
      <c r="X66" s="5"/>
      <c r="Y66" s="1"/>
      <c r="Z66" s="1">
        <f t="shared" si="7"/>
        <v>14.884810247008845</v>
      </c>
      <c r="AA66" s="1">
        <f t="shared" si="8"/>
        <v>14.884810247008845</v>
      </c>
      <c r="AB66" s="1">
        <v>177.70683333333329</v>
      </c>
      <c r="AC66" s="1">
        <v>162.19739999999999</v>
      </c>
      <c r="AD66" s="1">
        <v>134.4308</v>
      </c>
      <c r="AE66" s="1">
        <v>116.4502</v>
      </c>
      <c r="AF66" s="1">
        <v>121.652</v>
      </c>
      <c r="AG66" s="1">
        <v>108.2684</v>
      </c>
      <c r="AH66" s="1">
        <v>108.13200000000001</v>
      </c>
      <c r="AI66" s="1">
        <v>125.53660000000001</v>
      </c>
      <c r="AJ66" s="1"/>
      <c r="AK66" s="1">
        <f t="shared" si="9"/>
        <v>0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" t="s">
        <v>113</v>
      </c>
      <c r="B67" s="1" t="s">
        <v>39</v>
      </c>
      <c r="C67" s="1">
        <v>287.91800000000001</v>
      </c>
      <c r="D67" s="1">
        <v>1333.5229999999999</v>
      </c>
      <c r="E67" s="1">
        <v>582.96400000000006</v>
      </c>
      <c r="F67" s="1">
        <v>102.69799999999999</v>
      </c>
      <c r="G67" s="8">
        <v>1</v>
      </c>
      <c r="H67" s="1">
        <v>40</v>
      </c>
      <c r="I67" s="1" t="s">
        <v>40</v>
      </c>
      <c r="J67" s="1"/>
      <c r="K67" s="1">
        <v>712.46900000000005</v>
      </c>
      <c r="L67" s="1">
        <f t="shared" si="13"/>
        <v>-129.505</v>
      </c>
      <c r="M67" s="1">
        <f t="shared" si="3"/>
        <v>426.99500000000006</v>
      </c>
      <c r="N67" s="1">
        <v>155.96899999999999</v>
      </c>
      <c r="O67" s="1"/>
      <c r="P67" s="1">
        <v>137.87389900000011</v>
      </c>
      <c r="Q67" s="1">
        <v>200</v>
      </c>
      <c r="R67" s="1"/>
      <c r="S67" s="1">
        <v>501.0024343333331</v>
      </c>
      <c r="T67" s="1">
        <f t="shared" si="4"/>
        <v>71.165833333333339</v>
      </c>
      <c r="U67" s="5"/>
      <c r="V67" s="5"/>
      <c r="W67" s="5">
        <f t="shared" si="6"/>
        <v>0</v>
      </c>
      <c r="X67" s="5"/>
      <c r="Y67" s="1"/>
      <c r="Z67" s="1">
        <f t="shared" si="7"/>
        <v>13.230707619527159</v>
      </c>
      <c r="AA67" s="1">
        <f t="shared" si="8"/>
        <v>13.230707619527159</v>
      </c>
      <c r="AB67" s="1">
        <v>103.0198333333333</v>
      </c>
      <c r="AC67" s="1">
        <v>96.553600000000003</v>
      </c>
      <c r="AD67" s="1">
        <v>75.583600000000004</v>
      </c>
      <c r="AE67" s="1">
        <v>79.619200000000006</v>
      </c>
      <c r="AF67" s="1">
        <v>69.424200000000013</v>
      </c>
      <c r="AG67" s="1">
        <v>67.4358</v>
      </c>
      <c r="AH67" s="1">
        <v>58.606599999999993</v>
      </c>
      <c r="AI67" s="1">
        <v>53.909799999999997</v>
      </c>
      <c r="AJ67" s="1"/>
      <c r="AK67" s="1">
        <f t="shared" si="9"/>
        <v>0</v>
      </c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" t="s">
        <v>114</v>
      </c>
      <c r="B68" s="1" t="s">
        <v>39</v>
      </c>
      <c r="C68" s="1">
        <v>330.774</v>
      </c>
      <c r="D68" s="1">
        <v>1045.5840000000001</v>
      </c>
      <c r="E68" s="1">
        <v>719.71400000000006</v>
      </c>
      <c r="F68" s="1">
        <v>129.952</v>
      </c>
      <c r="G68" s="8">
        <v>1</v>
      </c>
      <c r="H68" s="1">
        <v>40</v>
      </c>
      <c r="I68" s="1" t="s">
        <v>40</v>
      </c>
      <c r="J68" s="1"/>
      <c r="K68" s="1">
        <v>861.01099999999997</v>
      </c>
      <c r="L68" s="1">
        <f t="shared" si="13"/>
        <v>-141.29699999999991</v>
      </c>
      <c r="M68" s="1">
        <f t="shared" si="3"/>
        <v>540.10300000000007</v>
      </c>
      <c r="N68" s="1">
        <v>179.61099999999999</v>
      </c>
      <c r="O68" s="1"/>
      <c r="P68" s="1">
        <v>167.5095519999999</v>
      </c>
      <c r="Q68" s="1">
        <v>200</v>
      </c>
      <c r="R68" s="1"/>
      <c r="S68" s="1">
        <v>616.12778133333347</v>
      </c>
      <c r="T68" s="1">
        <f t="shared" si="4"/>
        <v>90.017166666666682</v>
      </c>
      <c r="U68" s="5"/>
      <c r="V68" s="5"/>
      <c r="W68" s="5">
        <f t="shared" si="6"/>
        <v>0</v>
      </c>
      <c r="X68" s="5"/>
      <c r="Y68" s="1"/>
      <c r="Z68" s="1">
        <f t="shared" si="7"/>
        <v>12.370855188732518</v>
      </c>
      <c r="AA68" s="1">
        <f t="shared" si="8"/>
        <v>12.370855188732518</v>
      </c>
      <c r="AB68" s="1">
        <v>121.6483333333333</v>
      </c>
      <c r="AC68" s="1">
        <v>102.806</v>
      </c>
      <c r="AD68" s="1">
        <v>92.429000000000002</v>
      </c>
      <c r="AE68" s="1">
        <v>93.965800000000002</v>
      </c>
      <c r="AF68" s="1">
        <v>72.241599999999991</v>
      </c>
      <c r="AG68" s="1">
        <v>76.343199999999996</v>
      </c>
      <c r="AH68" s="1">
        <v>82.772999999999996</v>
      </c>
      <c r="AI68" s="1">
        <v>73.986000000000004</v>
      </c>
      <c r="AJ68" s="1"/>
      <c r="AK68" s="1">
        <f t="shared" si="9"/>
        <v>0</v>
      </c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" t="s">
        <v>115</v>
      </c>
      <c r="B69" s="1" t="s">
        <v>39</v>
      </c>
      <c r="C69" s="1">
        <v>115.768</v>
      </c>
      <c r="D69" s="1">
        <v>105.488</v>
      </c>
      <c r="E69" s="1">
        <v>116.68899999999999</v>
      </c>
      <c r="F69" s="1">
        <v>88.271000000000001</v>
      </c>
      <c r="G69" s="8">
        <v>1</v>
      </c>
      <c r="H69" s="1">
        <v>30</v>
      </c>
      <c r="I69" s="1" t="s">
        <v>40</v>
      </c>
      <c r="J69" s="1"/>
      <c r="K69" s="1">
        <v>125.7</v>
      </c>
      <c r="L69" s="1">
        <f t="shared" si="13"/>
        <v>-9.0110000000000099</v>
      </c>
      <c r="M69" s="1">
        <f t="shared" si="3"/>
        <v>116.68899999999999</v>
      </c>
      <c r="N69" s="1"/>
      <c r="O69" s="1"/>
      <c r="P69" s="1">
        <v>41.702739000000001</v>
      </c>
      <c r="Q69" s="1"/>
      <c r="R69" s="1"/>
      <c r="S69" s="1">
        <v>25.171927666666651</v>
      </c>
      <c r="T69" s="1">
        <f t="shared" si="4"/>
        <v>19.448166666666665</v>
      </c>
      <c r="U69" s="5">
        <f>11*T69-S69-R69-Q69-P69-O69-F69</f>
        <v>58.78416666666665</v>
      </c>
      <c r="V69" s="5"/>
      <c r="W69" s="5">
        <f t="shared" si="6"/>
        <v>58.78416666666665</v>
      </c>
      <c r="X69" s="5"/>
      <c r="Y69" s="1"/>
      <c r="Z69" s="1">
        <f t="shared" si="7"/>
        <v>11</v>
      </c>
      <c r="AA69" s="1">
        <f t="shared" si="8"/>
        <v>7.9773928990736049</v>
      </c>
      <c r="AB69" s="1">
        <v>20.00716666666667</v>
      </c>
      <c r="AC69" s="1">
        <v>20.477</v>
      </c>
      <c r="AD69" s="1">
        <v>24.0608</v>
      </c>
      <c r="AE69" s="1">
        <v>21.084</v>
      </c>
      <c r="AF69" s="1">
        <v>17.145399999999999</v>
      </c>
      <c r="AG69" s="1">
        <v>19.202000000000002</v>
      </c>
      <c r="AH69" s="1">
        <v>17.738800000000001</v>
      </c>
      <c r="AI69" s="1">
        <v>19.161200000000001</v>
      </c>
      <c r="AJ69" s="1" t="s">
        <v>78</v>
      </c>
      <c r="AK69" s="1">
        <f t="shared" si="9"/>
        <v>59</v>
      </c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1" t="s">
        <v>116</v>
      </c>
      <c r="B70" s="1" t="s">
        <v>44</v>
      </c>
      <c r="C70" s="1">
        <v>21</v>
      </c>
      <c r="D70" s="1">
        <v>612</v>
      </c>
      <c r="E70" s="1">
        <v>65.2</v>
      </c>
      <c r="F70" s="1">
        <v>78</v>
      </c>
      <c r="G70" s="8">
        <v>0.6</v>
      </c>
      <c r="H70" s="1">
        <v>60</v>
      </c>
      <c r="I70" s="1" t="s">
        <v>40</v>
      </c>
      <c r="J70" s="1"/>
      <c r="K70" s="1">
        <v>65.2</v>
      </c>
      <c r="L70" s="1">
        <f t="shared" ref="L70:L98" si="17">E70-K70</f>
        <v>0</v>
      </c>
      <c r="M70" s="1">
        <f t="shared" si="3"/>
        <v>65.2</v>
      </c>
      <c r="N70" s="1"/>
      <c r="O70" s="1"/>
      <c r="P70" s="1">
        <v>100.9014</v>
      </c>
      <c r="Q70" s="1"/>
      <c r="R70" s="1"/>
      <c r="S70" s="1">
        <v>16.431933333333319</v>
      </c>
      <c r="T70" s="1">
        <f t="shared" si="4"/>
        <v>10.866666666666667</v>
      </c>
      <c r="U70" s="5"/>
      <c r="V70" s="5"/>
      <c r="W70" s="5">
        <f t="shared" si="6"/>
        <v>0</v>
      </c>
      <c r="X70" s="5"/>
      <c r="Y70" s="1"/>
      <c r="Z70" s="1">
        <f t="shared" si="7"/>
        <v>17.975460122699385</v>
      </c>
      <c r="AA70" s="1">
        <f t="shared" si="8"/>
        <v>17.975460122699385</v>
      </c>
      <c r="AB70" s="1">
        <v>23.033333333333331</v>
      </c>
      <c r="AC70" s="1">
        <v>25.6</v>
      </c>
      <c r="AD70" s="1">
        <v>11</v>
      </c>
      <c r="AE70" s="1">
        <v>13.8</v>
      </c>
      <c r="AF70" s="1">
        <v>14</v>
      </c>
      <c r="AG70" s="1">
        <v>13.8</v>
      </c>
      <c r="AH70" s="1">
        <v>12.8</v>
      </c>
      <c r="AI70" s="1">
        <v>14.4</v>
      </c>
      <c r="AJ70" s="1" t="s">
        <v>107</v>
      </c>
      <c r="AK70" s="1">
        <f t="shared" si="9"/>
        <v>0</v>
      </c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1" t="s">
        <v>117</v>
      </c>
      <c r="B71" s="1" t="s">
        <v>44</v>
      </c>
      <c r="C71" s="1">
        <v>10</v>
      </c>
      <c r="D71" s="1">
        <v>16</v>
      </c>
      <c r="E71" s="1">
        <v>16</v>
      </c>
      <c r="F71" s="1">
        <v>8</v>
      </c>
      <c r="G71" s="8">
        <v>0.6</v>
      </c>
      <c r="H71" s="1">
        <v>60</v>
      </c>
      <c r="I71" s="1" t="s">
        <v>40</v>
      </c>
      <c r="J71" s="1"/>
      <c r="K71" s="1">
        <v>17</v>
      </c>
      <c r="L71" s="1">
        <f t="shared" si="17"/>
        <v>-1</v>
      </c>
      <c r="M71" s="1">
        <f t="shared" ref="M71:M98" si="18">E71-N71</f>
        <v>16</v>
      </c>
      <c r="N71" s="1"/>
      <c r="O71" s="1"/>
      <c r="P71" s="1">
        <v>11.022</v>
      </c>
      <c r="Q71" s="1"/>
      <c r="R71" s="1"/>
      <c r="S71" s="1">
        <v>0</v>
      </c>
      <c r="T71" s="1">
        <f t="shared" ref="T71:T98" si="19">M71/6</f>
        <v>2.6666666666666665</v>
      </c>
      <c r="U71" s="5">
        <f t="shared" si="16"/>
        <v>12.978000000000002</v>
      </c>
      <c r="V71" s="5"/>
      <c r="W71" s="5">
        <f t="shared" ref="W71:W98" si="20">V71+U71</f>
        <v>12.978000000000002</v>
      </c>
      <c r="X71" s="5"/>
      <c r="Y71" s="1"/>
      <c r="Z71" s="1">
        <f t="shared" ref="Z71:Z98" si="21">(F71+O71+P71+Q71+R71+S71+W71)/T71</f>
        <v>12</v>
      </c>
      <c r="AA71" s="1">
        <f t="shared" ref="AA71:AA98" si="22">(F71+O71+P71+Q71+R71+S71)/T71</f>
        <v>7.1332499999999994</v>
      </c>
      <c r="AB71" s="1">
        <v>2.5</v>
      </c>
      <c r="AC71" s="1">
        <v>2.8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 t="s">
        <v>118</v>
      </c>
      <c r="AK71" s="1">
        <f t="shared" ref="AK71:AK98" si="23">ROUND(G71*W71,0)</f>
        <v>8</v>
      </c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10" t="s">
        <v>119</v>
      </c>
      <c r="B72" s="10" t="s">
        <v>44</v>
      </c>
      <c r="C72" s="10">
        <v>-2</v>
      </c>
      <c r="D72" s="10">
        <v>2</v>
      </c>
      <c r="E72" s="10"/>
      <c r="F72" s="10"/>
      <c r="G72" s="11">
        <v>0</v>
      </c>
      <c r="H72" s="10">
        <v>50</v>
      </c>
      <c r="I72" s="10" t="s">
        <v>120</v>
      </c>
      <c r="J72" s="10"/>
      <c r="K72" s="10"/>
      <c r="L72" s="10">
        <f t="shared" si="17"/>
        <v>0</v>
      </c>
      <c r="M72" s="10">
        <f t="shared" si="18"/>
        <v>0</v>
      </c>
      <c r="N72" s="10"/>
      <c r="O72" s="10"/>
      <c r="P72" s="10">
        <v>0</v>
      </c>
      <c r="Q72" s="10"/>
      <c r="R72" s="10"/>
      <c r="S72" s="10">
        <v>0</v>
      </c>
      <c r="T72" s="10">
        <f t="shared" si="19"/>
        <v>0</v>
      </c>
      <c r="U72" s="12"/>
      <c r="V72" s="12"/>
      <c r="W72" s="5">
        <f t="shared" si="20"/>
        <v>0</v>
      </c>
      <c r="X72" s="12"/>
      <c r="Y72" s="10"/>
      <c r="Z72" s="1" t="e">
        <f t="shared" si="21"/>
        <v>#DIV/0!</v>
      </c>
      <c r="AA72" s="10" t="e">
        <f t="shared" si="22"/>
        <v>#DIV/0!</v>
      </c>
      <c r="AB72" s="10">
        <v>0</v>
      </c>
      <c r="AC72" s="10">
        <v>0</v>
      </c>
      <c r="AD72" s="10">
        <v>0.2</v>
      </c>
      <c r="AE72" s="10">
        <v>0.2</v>
      </c>
      <c r="AF72" s="10">
        <v>-0.2</v>
      </c>
      <c r="AG72" s="10">
        <v>0.2</v>
      </c>
      <c r="AH72" s="10">
        <v>3.8</v>
      </c>
      <c r="AI72" s="10">
        <v>9.6</v>
      </c>
      <c r="AJ72" s="10"/>
      <c r="AK72" s="1">
        <f t="shared" si="23"/>
        <v>0</v>
      </c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" t="s">
        <v>121</v>
      </c>
      <c r="B73" s="1" t="s">
        <v>44</v>
      </c>
      <c r="C73" s="1">
        <v>290</v>
      </c>
      <c r="D73" s="1">
        <v>976</v>
      </c>
      <c r="E73" s="1">
        <v>679</v>
      </c>
      <c r="F73" s="1">
        <v>537</v>
      </c>
      <c r="G73" s="8">
        <v>0.37</v>
      </c>
      <c r="H73" s="1">
        <v>50</v>
      </c>
      <c r="I73" s="1" t="s">
        <v>40</v>
      </c>
      <c r="J73" s="1"/>
      <c r="K73" s="1">
        <v>716</v>
      </c>
      <c r="L73" s="1">
        <f t="shared" si="17"/>
        <v>-37</v>
      </c>
      <c r="M73" s="1">
        <f t="shared" si="18"/>
        <v>679</v>
      </c>
      <c r="N73" s="1"/>
      <c r="O73" s="1"/>
      <c r="P73" s="1">
        <v>457.91399999999999</v>
      </c>
      <c r="Q73" s="1"/>
      <c r="R73" s="1"/>
      <c r="S73" s="1">
        <v>378.58600000000001</v>
      </c>
      <c r="T73" s="1">
        <f t="shared" si="19"/>
        <v>113.16666666666667</v>
      </c>
      <c r="U73" s="5"/>
      <c r="V73" s="5">
        <f>$V$1*T73</f>
        <v>113.16666666666667</v>
      </c>
      <c r="W73" s="5">
        <f t="shared" si="20"/>
        <v>113.16666666666667</v>
      </c>
      <c r="X73" s="5"/>
      <c r="Y73" s="1"/>
      <c r="Z73" s="1">
        <f t="shared" si="21"/>
        <v>13.136966126656848</v>
      </c>
      <c r="AA73" s="1">
        <f t="shared" si="22"/>
        <v>12.136966126656848</v>
      </c>
      <c r="AB73" s="1">
        <v>145.5</v>
      </c>
      <c r="AC73" s="1">
        <v>125</v>
      </c>
      <c r="AD73" s="1">
        <v>95.8</v>
      </c>
      <c r="AE73" s="1">
        <v>85</v>
      </c>
      <c r="AF73" s="1">
        <v>75</v>
      </c>
      <c r="AG73" s="1">
        <v>83.6</v>
      </c>
      <c r="AH73" s="1">
        <v>87.4</v>
      </c>
      <c r="AI73" s="1">
        <v>83.8</v>
      </c>
      <c r="AJ73" s="1"/>
      <c r="AK73" s="1">
        <f t="shared" si="23"/>
        <v>42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 t="s">
        <v>122</v>
      </c>
      <c r="B74" s="1" t="s">
        <v>44</v>
      </c>
      <c r="C74" s="1">
        <v>15</v>
      </c>
      <c r="D74" s="1">
        <v>78</v>
      </c>
      <c r="E74" s="1">
        <v>47</v>
      </c>
      <c r="F74" s="1">
        <v>30</v>
      </c>
      <c r="G74" s="8">
        <v>0.4</v>
      </c>
      <c r="H74" s="1">
        <v>30</v>
      </c>
      <c r="I74" s="1" t="s">
        <v>40</v>
      </c>
      <c r="J74" s="1"/>
      <c r="K74" s="1">
        <v>51</v>
      </c>
      <c r="L74" s="1">
        <f t="shared" si="17"/>
        <v>-4</v>
      </c>
      <c r="M74" s="1">
        <f t="shared" si="18"/>
        <v>47</v>
      </c>
      <c r="N74" s="1"/>
      <c r="O74" s="1"/>
      <c r="P74" s="1">
        <v>28.456800000000001</v>
      </c>
      <c r="Q74" s="1"/>
      <c r="R74" s="1"/>
      <c r="S74" s="1">
        <v>0</v>
      </c>
      <c r="T74" s="1">
        <f t="shared" si="19"/>
        <v>7.833333333333333</v>
      </c>
      <c r="U74" s="5">
        <f>11*T74-S74-R74-Q74-P74-O74-F74</f>
        <v>27.709866666666656</v>
      </c>
      <c r="V74" s="5"/>
      <c r="W74" s="5">
        <f t="shared" si="20"/>
        <v>27.709866666666656</v>
      </c>
      <c r="X74" s="5"/>
      <c r="Y74" s="1"/>
      <c r="Z74" s="1">
        <f t="shared" si="21"/>
        <v>11</v>
      </c>
      <c r="AA74" s="1">
        <f t="shared" si="22"/>
        <v>7.4625702127659581</v>
      </c>
      <c r="AB74" s="1">
        <v>8.3333333333333339</v>
      </c>
      <c r="AC74" s="1">
        <v>9.8000000000000007</v>
      </c>
      <c r="AD74" s="1">
        <v>8.8000000000000007</v>
      </c>
      <c r="AE74" s="1">
        <v>7.4</v>
      </c>
      <c r="AF74" s="1">
        <v>7.4</v>
      </c>
      <c r="AG74" s="1">
        <v>7.2</v>
      </c>
      <c r="AH74" s="1">
        <v>6.2</v>
      </c>
      <c r="AI74" s="1">
        <v>7</v>
      </c>
      <c r="AJ74" s="1"/>
      <c r="AK74" s="1">
        <f t="shared" si="23"/>
        <v>11</v>
      </c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 t="s">
        <v>123</v>
      </c>
      <c r="B75" s="1" t="s">
        <v>44</v>
      </c>
      <c r="C75" s="1">
        <v>13.2</v>
      </c>
      <c r="D75" s="1">
        <v>707</v>
      </c>
      <c r="E75" s="1">
        <v>164</v>
      </c>
      <c r="F75" s="1">
        <v>175</v>
      </c>
      <c r="G75" s="8">
        <v>0.6</v>
      </c>
      <c r="H75" s="1">
        <v>55</v>
      </c>
      <c r="I75" s="1" t="s">
        <v>40</v>
      </c>
      <c r="J75" s="1"/>
      <c r="K75" s="1">
        <v>164</v>
      </c>
      <c r="L75" s="1">
        <f t="shared" si="17"/>
        <v>0</v>
      </c>
      <c r="M75" s="1">
        <f t="shared" si="18"/>
        <v>164</v>
      </c>
      <c r="N75" s="1"/>
      <c r="O75" s="1"/>
      <c r="P75" s="1">
        <v>90.019680000000008</v>
      </c>
      <c r="Q75" s="1"/>
      <c r="R75" s="1"/>
      <c r="S75" s="1">
        <v>0</v>
      </c>
      <c r="T75" s="1">
        <f t="shared" si="19"/>
        <v>27.333333333333332</v>
      </c>
      <c r="U75" s="5">
        <f t="shared" ref="U75:U92" si="24">12*T75-S75-R75-Q75-P75-O75-F75</f>
        <v>62.980320000000006</v>
      </c>
      <c r="V75" s="5"/>
      <c r="W75" s="5">
        <f t="shared" si="20"/>
        <v>62.980320000000006</v>
      </c>
      <c r="X75" s="5"/>
      <c r="Y75" s="1"/>
      <c r="Z75" s="1">
        <f t="shared" si="21"/>
        <v>12</v>
      </c>
      <c r="AA75" s="1">
        <f t="shared" si="22"/>
        <v>9.6958419512195118</v>
      </c>
      <c r="AB75" s="1">
        <v>35.633333333333333</v>
      </c>
      <c r="AC75" s="1">
        <v>27.76</v>
      </c>
      <c r="AD75" s="1">
        <v>27</v>
      </c>
      <c r="AE75" s="1">
        <v>17.920000000000002</v>
      </c>
      <c r="AF75" s="1">
        <v>11.6</v>
      </c>
      <c r="AG75" s="1">
        <v>13.2</v>
      </c>
      <c r="AH75" s="1">
        <v>15.2</v>
      </c>
      <c r="AI75" s="1">
        <v>16.399999999999999</v>
      </c>
      <c r="AJ75" s="1" t="s">
        <v>78</v>
      </c>
      <c r="AK75" s="1">
        <f t="shared" si="23"/>
        <v>38</v>
      </c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6" t="s">
        <v>124</v>
      </c>
      <c r="B76" s="1" t="s">
        <v>44</v>
      </c>
      <c r="C76" s="1"/>
      <c r="D76" s="1"/>
      <c r="E76" s="1"/>
      <c r="F76" s="1"/>
      <c r="G76" s="8">
        <v>0.45</v>
      </c>
      <c r="H76" s="1">
        <v>40</v>
      </c>
      <c r="I76" s="1" t="s">
        <v>40</v>
      </c>
      <c r="J76" s="1"/>
      <c r="K76" s="1"/>
      <c r="L76" s="1">
        <f t="shared" si="17"/>
        <v>0</v>
      </c>
      <c r="M76" s="1">
        <f t="shared" si="18"/>
        <v>0</v>
      </c>
      <c r="N76" s="1"/>
      <c r="O76" s="1"/>
      <c r="P76" s="1"/>
      <c r="Q76" s="1"/>
      <c r="R76" s="1"/>
      <c r="S76" s="16"/>
      <c r="T76" s="1">
        <f t="shared" si="19"/>
        <v>0</v>
      </c>
      <c r="U76" s="17">
        <v>10</v>
      </c>
      <c r="V76" s="17"/>
      <c r="W76" s="5">
        <f t="shared" si="20"/>
        <v>10</v>
      </c>
      <c r="X76" s="5"/>
      <c r="Y76" s="1"/>
      <c r="Z76" s="1" t="e">
        <f t="shared" si="21"/>
        <v>#DIV/0!</v>
      </c>
      <c r="AA76" s="1" t="e">
        <f t="shared" si="22"/>
        <v>#DIV/0!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-0.2</v>
      </c>
      <c r="AH76" s="1">
        <v>-0.2</v>
      </c>
      <c r="AI76" s="1">
        <v>0.4</v>
      </c>
      <c r="AJ76" s="18" t="s">
        <v>148</v>
      </c>
      <c r="AK76" s="1">
        <f t="shared" si="23"/>
        <v>5</v>
      </c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 t="s">
        <v>125</v>
      </c>
      <c r="B77" s="1" t="s">
        <v>44</v>
      </c>
      <c r="C77" s="1">
        <v>388</v>
      </c>
      <c r="D77" s="1">
        <v>2780</v>
      </c>
      <c r="E77" s="1">
        <v>718</v>
      </c>
      <c r="F77" s="1">
        <v>485</v>
      </c>
      <c r="G77" s="8">
        <v>0.4</v>
      </c>
      <c r="H77" s="1">
        <v>50</v>
      </c>
      <c r="I77" s="1" t="s">
        <v>40</v>
      </c>
      <c r="J77" s="1"/>
      <c r="K77" s="1">
        <v>748</v>
      </c>
      <c r="L77" s="1">
        <f t="shared" si="17"/>
        <v>-30</v>
      </c>
      <c r="M77" s="1">
        <f t="shared" si="18"/>
        <v>686</v>
      </c>
      <c r="N77" s="1">
        <v>32</v>
      </c>
      <c r="O77" s="1"/>
      <c r="P77" s="1">
        <v>383.16480000000001</v>
      </c>
      <c r="Q77" s="1"/>
      <c r="R77" s="1"/>
      <c r="S77" s="1">
        <v>460.16853333333307</v>
      </c>
      <c r="T77" s="1">
        <f t="shared" si="19"/>
        <v>114.33333333333333</v>
      </c>
      <c r="U77" s="5">
        <f t="shared" si="24"/>
        <v>43.66666666666697</v>
      </c>
      <c r="V77" s="5">
        <f>$V$1*T77</f>
        <v>114.33333333333333</v>
      </c>
      <c r="W77" s="5">
        <f t="shared" si="20"/>
        <v>158.00000000000028</v>
      </c>
      <c r="X77" s="5"/>
      <c r="Y77" s="1"/>
      <c r="Z77" s="1">
        <f t="shared" si="21"/>
        <v>13</v>
      </c>
      <c r="AA77" s="1">
        <f t="shared" si="22"/>
        <v>11.618075801749269</v>
      </c>
      <c r="AB77" s="1">
        <v>140.66666666666671</v>
      </c>
      <c r="AC77" s="1">
        <v>118.6</v>
      </c>
      <c r="AD77" s="1">
        <v>99</v>
      </c>
      <c r="AE77" s="1">
        <v>90.8</v>
      </c>
      <c r="AF77" s="1">
        <v>79.400000000000006</v>
      </c>
      <c r="AG77" s="1">
        <v>85.4</v>
      </c>
      <c r="AH77" s="1">
        <v>70.599999999999994</v>
      </c>
      <c r="AI77" s="1">
        <v>59</v>
      </c>
      <c r="AJ77" s="1" t="s">
        <v>78</v>
      </c>
      <c r="AK77" s="1">
        <f t="shared" si="23"/>
        <v>63</v>
      </c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 t="s">
        <v>126</v>
      </c>
      <c r="B78" s="1" t="s">
        <v>44</v>
      </c>
      <c r="C78" s="1">
        <v>46</v>
      </c>
      <c r="D78" s="1">
        <v>20</v>
      </c>
      <c r="E78" s="1">
        <v>41</v>
      </c>
      <c r="F78" s="1">
        <v>25</v>
      </c>
      <c r="G78" s="8">
        <v>0.4</v>
      </c>
      <c r="H78" s="1">
        <v>55</v>
      </c>
      <c r="I78" s="1" t="s">
        <v>40</v>
      </c>
      <c r="J78" s="1"/>
      <c r="K78" s="1">
        <v>41</v>
      </c>
      <c r="L78" s="1">
        <f t="shared" si="17"/>
        <v>0</v>
      </c>
      <c r="M78" s="1">
        <f t="shared" si="18"/>
        <v>41</v>
      </c>
      <c r="N78" s="1"/>
      <c r="O78" s="1"/>
      <c r="P78" s="1">
        <v>19.939800000000002</v>
      </c>
      <c r="Q78" s="1"/>
      <c r="R78" s="1"/>
      <c r="S78" s="1">
        <v>20.060199999999991</v>
      </c>
      <c r="T78" s="1">
        <f t="shared" si="19"/>
        <v>6.833333333333333</v>
      </c>
      <c r="U78" s="5">
        <f t="shared" si="24"/>
        <v>17</v>
      </c>
      <c r="V78" s="5"/>
      <c r="W78" s="5">
        <f t="shared" si="20"/>
        <v>17</v>
      </c>
      <c r="X78" s="5"/>
      <c r="Y78" s="1"/>
      <c r="Z78" s="1">
        <f t="shared" si="21"/>
        <v>12</v>
      </c>
      <c r="AA78" s="1">
        <f t="shared" si="22"/>
        <v>9.5121951219512191</v>
      </c>
      <c r="AB78" s="1">
        <v>7.5</v>
      </c>
      <c r="AC78" s="1">
        <v>6.6</v>
      </c>
      <c r="AD78" s="1">
        <v>4.8</v>
      </c>
      <c r="AE78" s="1">
        <v>6.4</v>
      </c>
      <c r="AF78" s="1">
        <v>8.8000000000000007</v>
      </c>
      <c r="AG78" s="1">
        <v>7.2</v>
      </c>
      <c r="AH78" s="1">
        <v>4.8</v>
      </c>
      <c r="AI78" s="1">
        <v>3.2</v>
      </c>
      <c r="AJ78" s="1"/>
      <c r="AK78" s="1">
        <f t="shared" si="23"/>
        <v>7</v>
      </c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" t="s">
        <v>127</v>
      </c>
      <c r="B79" s="1" t="s">
        <v>39</v>
      </c>
      <c r="C79" s="1">
        <v>218.392</v>
      </c>
      <c r="D79" s="1">
        <v>462.63400000000001</v>
      </c>
      <c r="E79" s="1">
        <v>405.49700000000001</v>
      </c>
      <c r="F79" s="1">
        <v>207.191</v>
      </c>
      <c r="G79" s="8">
        <v>1</v>
      </c>
      <c r="H79" s="1">
        <v>55</v>
      </c>
      <c r="I79" s="1" t="s">
        <v>40</v>
      </c>
      <c r="J79" s="1"/>
      <c r="K79" s="1">
        <v>449.51499999999999</v>
      </c>
      <c r="L79" s="1">
        <f t="shared" si="17"/>
        <v>-44.017999999999972</v>
      </c>
      <c r="M79" s="1">
        <f t="shared" si="18"/>
        <v>349.18200000000002</v>
      </c>
      <c r="N79" s="1">
        <v>56.314999999999998</v>
      </c>
      <c r="O79" s="1"/>
      <c r="P79" s="1">
        <v>258.56399579999999</v>
      </c>
      <c r="Q79" s="1"/>
      <c r="R79" s="1"/>
      <c r="S79" s="1">
        <v>385.15233753333348</v>
      </c>
      <c r="T79" s="1">
        <f t="shared" si="19"/>
        <v>58.197000000000003</v>
      </c>
      <c r="U79" s="5"/>
      <c r="V79" s="5"/>
      <c r="W79" s="5">
        <f t="shared" si="20"/>
        <v>0</v>
      </c>
      <c r="X79" s="5"/>
      <c r="Y79" s="1"/>
      <c r="Z79" s="1">
        <f t="shared" si="21"/>
        <v>14.621154584142369</v>
      </c>
      <c r="AA79" s="1">
        <f t="shared" si="22"/>
        <v>14.621154584142369</v>
      </c>
      <c r="AB79" s="1">
        <v>90.01966666666668</v>
      </c>
      <c r="AC79" s="1">
        <v>65.712800000000001</v>
      </c>
      <c r="AD79" s="1">
        <v>40.026799999999987</v>
      </c>
      <c r="AE79" s="1">
        <v>43.802399999999999</v>
      </c>
      <c r="AF79" s="1">
        <v>49.250799999999998</v>
      </c>
      <c r="AG79" s="1">
        <v>44.468000000000004</v>
      </c>
      <c r="AH79" s="1">
        <v>54.786199999999987</v>
      </c>
      <c r="AI79" s="1">
        <v>67.261600000000001</v>
      </c>
      <c r="AJ79" s="1" t="s">
        <v>76</v>
      </c>
      <c r="AK79" s="1">
        <f t="shared" si="23"/>
        <v>0</v>
      </c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 t="s">
        <v>128</v>
      </c>
      <c r="B80" s="1" t="s">
        <v>39</v>
      </c>
      <c r="C80" s="1">
        <v>800.84699999999998</v>
      </c>
      <c r="D80" s="1">
        <v>4199.5309999999999</v>
      </c>
      <c r="E80" s="1">
        <v>1115.0129999999999</v>
      </c>
      <c r="F80" s="1">
        <v>640.23800000000006</v>
      </c>
      <c r="G80" s="8">
        <v>1</v>
      </c>
      <c r="H80" s="1">
        <v>60</v>
      </c>
      <c r="I80" s="1" t="s">
        <v>40</v>
      </c>
      <c r="J80" s="1"/>
      <c r="K80" s="1">
        <v>1127.4000000000001</v>
      </c>
      <c r="L80" s="1">
        <f t="shared" si="17"/>
        <v>-12.387000000000171</v>
      </c>
      <c r="M80" s="1">
        <f t="shared" si="18"/>
        <v>1115.0129999999999</v>
      </c>
      <c r="N80" s="1"/>
      <c r="O80" s="1"/>
      <c r="P80" s="1">
        <v>241.4182751999999</v>
      </c>
      <c r="Q80" s="1">
        <v>300</v>
      </c>
      <c r="R80" s="1"/>
      <c r="S80" s="1">
        <v>869.37022480000019</v>
      </c>
      <c r="T80" s="1">
        <f t="shared" si="19"/>
        <v>185.8355</v>
      </c>
      <c r="U80" s="5">
        <f t="shared" si="24"/>
        <v>178.99949999999967</v>
      </c>
      <c r="V80" s="5">
        <f t="shared" ref="V80:V83" si="25">$V$1*T80</f>
        <v>185.8355</v>
      </c>
      <c r="W80" s="5">
        <f t="shared" si="20"/>
        <v>364.8349999999997</v>
      </c>
      <c r="X80" s="5"/>
      <c r="Y80" s="1"/>
      <c r="Z80" s="1">
        <f t="shared" si="21"/>
        <v>12.999999999999998</v>
      </c>
      <c r="AA80" s="1">
        <f t="shared" si="22"/>
        <v>11.036785221338226</v>
      </c>
      <c r="AB80" s="1">
        <v>209.12350000000001</v>
      </c>
      <c r="AC80" s="1">
        <v>170.20240000000001</v>
      </c>
      <c r="AD80" s="1">
        <v>146.2998</v>
      </c>
      <c r="AE80" s="1">
        <v>142.84119999999999</v>
      </c>
      <c r="AF80" s="1">
        <v>135.79640000000001</v>
      </c>
      <c r="AG80" s="1">
        <v>133.3998</v>
      </c>
      <c r="AH80" s="1">
        <v>129.43180000000001</v>
      </c>
      <c r="AI80" s="1">
        <v>132.5378</v>
      </c>
      <c r="AJ80" s="1" t="s">
        <v>53</v>
      </c>
      <c r="AK80" s="1">
        <f t="shared" si="23"/>
        <v>365</v>
      </c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 t="s">
        <v>129</v>
      </c>
      <c r="B81" s="1" t="s">
        <v>39</v>
      </c>
      <c r="C81" s="1">
        <v>1224.902</v>
      </c>
      <c r="D81" s="1">
        <v>1332.491</v>
      </c>
      <c r="E81" s="1">
        <v>1285.789</v>
      </c>
      <c r="F81" s="1">
        <v>947.55799999999999</v>
      </c>
      <c r="G81" s="8">
        <v>1</v>
      </c>
      <c r="H81" s="1">
        <v>60</v>
      </c>
      <c r="I81" s="1" t="s">
        <v>40</v>
      </c>
      <c r="J81" s="1"/>
      <c r="K81" s="1">
        <v>1543.989</v>
      </c>
      <c r="L81" s="1">
        <f t="shared" si="17"/>
        <v>-258.20000000000005</v>
      </c>
      <c r="M81" s="1">
        <f t="shared" si="18"/>
        <v>1105.23</v>
      </c>
      <c r="N81" s="1">
        <v>180.559</v>
      </c>
      <c r="O81" s="1"/>
      <c r="P81" s="1">
        <v>245.5338899999999</v>
      </c>
      <c r="Q81" s="1">
        <v>300</v>
      </c>
      <c r="R81" s="1"/>
      <c r="S81" s="1">
        <v>441.95144333333349</v>
      </c>
      <c r="T81" s="1">
        <f t="shared" si="19"/>
        <v>184.20500000000001</v>
      </c>
      <c r="U81" s="5">
        <f t="shared" si="24"/>
        <v>275.41666666666674</v>
      </c>
      <c r="V81" s="5">
        <f t="shared" si="25"/>
        <v>184.20500000000001</v>
      </c>
      <c r="W81" s="5">
        <f t="shared" si="20"/>
        <v>459.62166666666678</v>
      </c>
      <c r="X81" s="5"/>
      <c r="Y81" s="1"/>
      <c r="Z81" s="1">
        <f t="shared" si="21"/>
        <v>13.000000000000002</v>
      </c>
      <c r="AA81" s="1">
        <f t="shared" si="22"/>
        <v>10.504836097463876</v>
      </c>
      <c r="AB81" s="1">
        <v>206.04866666666669</v>
      </c>
      <c r="AC81" s="1">
        <v>206.80799999999999</v>
      </c>
      <c r="AD81" s="1">
        <v>196.8236</v>
      </c>
      <c r="AE81" s="1">
        <v>207.64080000000001</v>
      </c>
      <c r="AF81" s="1">
        <v>184.62219999999999</v>
      </c>
      <c r="AG81" s="1">
        <v>188.2578</v>
      </c>
      <c r="AH81" s="1">
        <v>216.38939999999999</v>
      </c>
      <c r="AI81" s="1">
        <v>220.108</v>
      </c>
      <c r="AJ81" s="1"/>
      <c r="AK81" s="1">
        <f t="shared" si="23"/>
        <v>460</v>
      </c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 t="s">
        <v>130</v>
      </c>
      <c r="B82" s="1" t="s">
        <v>39</v>
      </c>
      <c r="C82" s="1">
        <v>715.52800000000002</v>
      </c>
      <c r="D82" s="1">
        <v>2102.5990000000002</v>
      </c>
      <c r="E82" s="1">
        <v>1871.316</v>
      </c>
      <c r="F82" s="1">
        <v>618.11699999999996</v>
      </c>
      <c r="G82" s="8">
        <v>1</v>
      </c>
      <c r="H82" s="1">
        <v>60</v>
      </c>
      <c r="I82" s="1" t="s">
        <v>40</v>
      </c>
      <c r="J82" s="1"/>
      <c r="K82" s="1">
        <v>2137.239</v>
      </c>
      <c r="L82" s="1">
        <f t="shared" si="17"/>
        <v>-265.923</v>
      </c>
      <c r="M82" s="1">
        <f t="shared" si="18"/>
        <v>1810.3630000000001</v>
      </c>
      <c r="N82" s="1">
        <v>60.953000000000003</v>
      </c>
      <c r="O82" s="1">
        <v>500</v>
      </c>
      <c r="P82" s="1">
        <v>410.6355374000002</v>
      </c>
      <c r="Q82" s="1">
        <v>700</v>
      </c>
      <c r="R82" s="1">
        <v>1000</v>
      </c>
      <c r="S82" s="1">
        <v>541.77746260000004</v>
      </c>
      <c r="T82" s="1">
        <f t="shared" si="19"/>
        <v>301.72716666666668</v>
      </c>
      <c r="U82" s="5"/>
      <c r="V82" s="5">
        <f t="shared" si="25"/>
        <v>301.72716666666668</v>
      </c>
      <c r="W82" s="5">
        <f t="shared" si="20"/>
        <v>301.72716666666668</v>
      </c>
      <c r="X82" s="5"/>
      <c r="Y82" s="1"/>
      <c r="Z82" s="1">
        <f t="shared" si="21"/>
        <v>13.496488273346285</v>
      </c>
      <c r="AA82" s="1">
        <f t="shared" si="22"/>
        <v>12.496488273346285</v>
      </c>
      <c r="AB82" s="1">
        <v>379.86399999999998</v>
      </c>
      <c r="AC82" s="1">
        <v>326.0292</v>
      </c>
      <c r="AD82" s="1">
        <v>209.27440000000001</v>
      </c>
      <c r="AE82" s="1">
        <v>200.9734</v>
      </c>
      <c r="AF82" s="1">
        <v>223.13</v>
      </c>
      <c r="AG82" s="1">
        <v>214.286</v>
      </c>
      <c r="AH82" s="1">
        <v>201.80520000000001</v>
      </c>
      <c r="AI82" s="1">
        <v>202.8092</v>
      </c>
      <c r="AJ82" s="1" t="s">
        <v>53</v>
      </c>
      <c r="AK82" s="1">
        <f t="shared" si="23"/>
        <v>302</v>
      </c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 t="s">
        <v>131</v>
      </c>
      <c r="B83" s="1" t="s">
        <v>39</v>
      </c>
      <c r="C83" s="1">
        <v>1616.826</v>
      </c>
      <c r="D83" s="1">
        <v>3615.2089999999998</v>
      </c>
      <c r="E83" s="1">
        <v>2996.2190000000001</v>
      </c>
      <c r="F83" s="1">
        <v>726.01</v>
      </c>
      <c r="G83" s="8">
        <v>1</v>
      </c>
      <c r="H83" s="1">
        <v>60</v>
      </c>
      <c r="I83" s="1" t="s">
        <v>40</v>
      </c>
      <c r="J83" s="1"/>
      <c r="K83" s="1">
        <v>3340.0839999999998</v>
      </c>
      <c r="L83" s="1">
        <f t="shared" si="17"/>
        <v>-343.86499999999978</v>
      </c>
      <c r="M83" s="1">
        <f t="shared" si="18"/>
        <v>2756.4540000000002</v>
      </c>
      <c r="N83" s="1">
        <v>239.76499999999999</v>
      </c>
      <c r="O83" s="1">
        <v>500</v>
      </c>
      <c r="P83" s="1">
        <v>499.40061239999977</v>
      </c>
      <c r="Q83" s="1">
        <v>600</v>
      </c>
      <c r="R83" s="1">
        <v>1800</v>
      </c>
      <c r="S83" s="1">
        <v>967.78205426666682</v>
      </c>
      <c r="T83" s="1">
        <f t="shared" si="19"/>
        <v>459.40900000000005</v>
      </c>
      <c r="U83" s="5">
        <f t="shared" si="24"/>
        <v>419.71533333333377</v>
      </c>
      <c r="V83" s="5">
        <f t="shared" si="25"/>
        <v>459.40900000000005</v>
      </c>
      <c r="W83" s="5">
        <f t="shared" si="20"/>
        <v>879.12433333333388</v>
      </c>
      <c r="X83" s="5"/>
      <c r="Y83" s="1"/>
      <c r="Z83" s="1">
        <f t="shared" si="21"/>
        <v>13</v>
      </c>
      <c r="AA83" s="1">
        <f t="shared" si="22"/>
        <v>11.086401586966442</v>
      </c>
      <c r="AB83" s="1">
        <v>519.86833333333334</v>
      </c>
      <c r="AC83" s="1">
        <v>386.87880000000001</v>
      </c>
      <c r="AD83" s="1">
        <v>333.82440000000003</v>
      </c>
      <c r="AE83" s="1">
        <v>329.97120000000001</v>
      </c>
      <c r="AF83" s="1">
        <v>300.62540000000001</v>
      </c>
      <c r="AG83" s="1">
        <v>322.91699999999997</v>
      </c>
      <c r="AH83" s="1">
        <v>332.73840000000001</v>
      </c>
      <c r="AI83" s="1">
        <v>345.89920000000001</v>
      </c>
      <c r="AJ83" s="1" t="s">
        <v>53</v>
      </c>
      <c r="AK83" s="1">
        <f t="shared" si="23"/>
        <v>879</v>
      </c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" t="s">
        <v>132</v>
      </c>
      <c r="B84" s="1" t="s">
        <v>39</v>
      </c>
      <c r="C84" s="1">
        <v>35.313000000000002</v>
      </c>
      <c r="D84" s="1">
        <v>71.998000000000005</v>
      </c>
      <c r="E84" s="1">
        <v>41.906999999999996</v>
      </c>
      <c r="F84" s="1">
        <v>7.2279999999999998</v>
      </c>
      <c r="G84" s="8">
        <v>1</v>
      </c>
      <c r="H84" s="1">
        <v>60</v>
      </c>
      <c r="I84" s="1" t="s">
        <v>40</v>
      </c>
      <c r="J84" s="1"/>
      <c r="K84" s="1">
        <v>64.695999999999998</v>
      </c>
      <c r="L84" s="1">
        <f t="shared" si="17"/>
        <v>-22.789000000000001</v>
      </c>
      <c r="M84" s="1">
        <f t="shared" si="18"/>
        <v>28.260999999999996</v>
      </c>
      <c r="N84" s="1">
        <v>13.646000000000001</v>
      </c>
      <c r="O84" s="1"/>
      <c r="P84" s="1">
        <v>13.782209399999999</v>
      </c>
      <c r="Q84" s="1"/>
      <c r="R84" s="1"/>
      <c r="S84" s="1">
        <v>13.87045726666666</v>
      </c>
      <c r="T84" s="1">
        <f t="shared" si="19"/>
        <v>4.7101666666666659</v>
      </c>
      <c r="U84" s="5">
        <f t="shared" si="24"/>
        <v>21.641333333333328</v>
      </c>
      <c r="V84" s="5"/>
      <c r="W84" s="5">
        <f t="shared" si="20"/>
        <v>21.641333333333328</v>
      </c>
      <c r="X84" s="5"/>
      <c r="Y84" s="1"/>
      <c r="Z84" s="1">
        <f t="shared" si="21"/>
        <v>12</v>
      </c>
      <c r="AA84" s="1">
        <f t="shared" si="22"/>
        <v>7.4053996673861509</v>
      </c>
      <c r="AB84" s="1">
        <v>5.1921666666666662</v>
      </c>
      <c r="AC84" s="1">
        <v>6.5578000000000003</v>
      </c>
      <c r="AD84" s="1">
        <v>7.5507999999999997</v>
      </c>
      <c r="AE84" s="1">
        <v>4.0162000000000004</v>
      </c>
      <c r="AF84" s="1">
        <v>3.681</v>
      </c>
      <c r="AG84" s="1">
        <v>4.0106000000000002</v>
      </c>
      <c r="AH84" s="1">
        <v>3.8592</v>
      </c>
      <c r="AI84" s="1">
        <v>3.5442000000000009</v>
      </c>
      <c r="AJ84" s="1"/>
      <c r="AK84" s="1">
        <f t="shared" si="23"/>
        <v>22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 t="s">
        <v>133</v>
      </c>
      <c r="B85" s="1" t="s">
        <v>44</v>
      </c>
      <c r="C85" s="1">
        <v>322</v>
      </c>
      <c r="D85" s="1">
        <v>444</v>
      </c>
      <c r="E85" s="1">
        <v>411</v>
      </c>
      <c r="F85" s="1">
        <v>210</v>
      </c>
      <c r="G85" s="8">
        <v>0.3</v>
      </c>
      <c r="H85" s="1">
        <v>40</v>
      </c>
      <c r="I85" s="1" t="s">
        <v>40</v>
      </c>
      <c r="J85" s="1"/>
      <c r="K85" s="1">
        <v>426</v>
      </c>
      <c r="L85" s="1">
        <f t="shared" si="17"/>
        <v>-15</v>
      </c>
      <c r="M85" s="1">
        <f t="shared" si="18"/>
        <v>411</v>
      </c>
      <c r="N85" s="1"/>
      <c r="O85" s="1"/>
      <c r="P85" s="1">
        <v>242.18340000000001</v>
      </c>
      <c r="Q85" s="1"/>
      <c r="R85" s="1"/>
      <c r="S85" s="1">
        <v>248.48326666666671</v>
      </c>
      <c r="T85" s="1">
        <f t="shared" si="19"/>
        <v>68.5</v>
      </c>
      <c r="U85" s="5">
        <f t="shared" si="24"/>
        <v>121.33333333333326</v>
      </c>
      <c r="V85" s="5"/>
      <c r="W85" s="5">
        <f t="shared" si="20"/>
        <v>121.33333333333326</v>
      </c>
      <c r="X85" s="5"/>
      <c r="Y85" s="1"/>
      <c r="Z85" s="1">
        <f t="shared" si="21"/>
        <v>12</v>
      </c>
      <c r="AA85" s="1">
        <f t="shared" si="22"/>
        <v>10.228710462287106</v>
      </c>
      <c r="AB85" s="1">
        <v>81.166666666666671</v>
      </c>
      <c r="AC85" s="1">
        <v>69.2</v>
      </c>
      <c r="AD85" s="1">
        <v>63.2</v>
      </c>
      <c r="AE85" s="1">
        <v>61.4</v>
      </c>
      <c r="AF85" s="1">
        <v>56.2</v>
      </c>
      <c r="AG85" s="1">
        <v>57.2</v>
      </c>
      <c r="AH85" s="1">
        <v>53.2</v>
      </c>
      <c r="AI85" s="1">
        <v>52</v>
      </c>
      <c r="AJ85" s="1"/>
      <c r="AK85" s="1">
        <f t="shared" si="23"/>
        <v>36</v>
      </c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" t="s">
        <v>134</v>
      </c>
      <c r="B86" s="1" t="s">
        <v>44</v>
      </c>
      <c r="C86" s="1">
        <v>127</v>
      </c>
      <c r="D86" s="1">
        <v>212</v>
      </c>
      <c r="E86" s="1">
        <v>184</v>
      </c>
      <c r="F86" s="1">
        <v>103</v>
      </c>
      <c r="G86" s="8">
        <v>7.0000000000000007E-2</v>
      </c>
      <c r="H86" s="1">
        <v>90</v>
      </c>
      <c r="I86" s="1" t="s">
        <v>40</v>
      </c>
      <c r="J86" s="1"/>
      <c r="K86" s="1">
        <v>188</v>
      </c>
      <c r="L86" s="1">
        <f t="shared" si="17"/>
        <v>-4</v>
      </c>
      <c r="M86" s="1">
        <f t="shared" si="18"/>
        <v>184</v>
      </c>
      <c r="N86" s="1"/>
      <c r="O86" s="1"/>
      <c r="P86" s="1">
        <v>106.9134</v>
      </c>
      <c r="Q86" s="1"/>
      <c r="R86" s="1"/>
      <c r="S86" s="1">
        <v>111.0866</v>
      </c>
      <c r="T86" s="1">
        <f t="shared" si="19"/>
        <v>30.666666666666668</v>
      </c>
      <c r="U86" s="5">
        <f t="shared" si="24"/>
        <v>47.000000000000028</v>
      </c>
      <c r="V86" s="5"/>
      <c r="W86" s="5">
        <f t="shared" si="20"/>
        <v>47.000000000000028</v>
      </c>
      <c r="X86" s="5"/>
      <c r="Y86" s="1"/>
      <c r="Z86" s="1">
        <f t="shared" si="21"/>
        <v>12</v>
      </c>
      <c r="AA86" s="1">
        <f t="shared" si="22"/>
        <v>10.467391304347826</v>
      </c>
      <c r="AB86" s="1">
        <v>36</v>
      </c>
      <c r="AC86" s="1">
        <v>29.8</v>
      </c>
      <c r="AD86" s="1">
        <v>24.4</v>
      </c>
      <c r="AE86" s="1">
        <v>24.4</v>
      </c>
      <c r="AF86" s="1">
        <v>26</v>
      </c>
      <c r="AG86" s="1">
        <v>23.6</v>
      </c>
      <c r="AH86" s="1">
        <v>26.2</v>
      </c>
      <c r="AI86" s="1">
        <v>32.799999999999997</v>
      </c>
      <c r="AJ86" s="1"/>
      <c r="AK86" s="1">
        <f t="shared" si="23"/>
        <v>3</v>
      </c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 t="s">
        <v>135</v>
      </c>
      <c r="B87" s="1" t="s">
        <v>44</v>
      </c>
      <c r="C87" s="1">
        <v>78</v>
      </c>
      <c r="D87" s="1">
        <v>364</v>
      </c>
      <c r="E87" s="1">
        <v>243</v>
      </c>
      <c r="F87" s="1">
        <v>135</v>
      </c>
      <c r="G87" s="8">
        <v>7.0000000000000007E-2</v>
      </c>
      <c r="H87" s="1">
        <v>90</v>
      </c>
      <c r="I87" s="1" t="s">
        <v>40</v>
      </c>
      <c r="J87" s="1"/>
      <c r="K87" s="1">
        <v>246</v>
      </c>
      <c r="L87" s="1">
        <f t="shared" si="17"/>
        <v>-3</v>
      </c>
      <c r="M87" s="1">
        <f t="shared" si="18"/>
        <v>243</v>
      </c>
      <c r="N87" s="1"/>
      <c r="O87" s="1"/>
      <c r="P87" s="1">
        <v>190.07939999999999</v>
      </c>
      <c r="Q87" s="1"/>
      <c r="R87" s="1"/>
      <c r="S87" s="1">
        <v>96.920600000000036</v>
      </c>
      <c r="T87" s="1">
        <f t="shared" si="19"/>
        <v>40.5</v>
      </c>
      <c r="U87" s="5">
        <f t="shared" si="24"/>
        <v>63.999999999999972</v>
      </c>
      <c r="V87" s="5"/>
      <c r="W87" s="5">
        <f t="shared" si="20"/>
        <v>63.999999999999972</v>
      </c>
      <c r="X87" s="5"/>
      <c r="Y87" s="1"/>
      <c r="Z87" s="1">
        <f t="shared" si="21"/>
        <v>12</v>
      </c>
      <c r="AA87" s="1">
        <f t="shared" si="22"/>
        <v>10.419753086419753</v>
      </c>
      <c r="AB87" s="1">
        <v>46.5</v>
      </c>
      <c r="AC87" s="1">
        <v>45.2</v>
      </c>
      <c r="AD87" s="1">
        <v>28.2</v>
      </c>
      <c r="AE87" s="1">
        <v>24.8</v>
      </c>
      <c r="AF87" s="1">
        <v>28.6</v>
      </c>
      <c r="AG87" s="1">
        <v>30</v>
      </c>
      <c r="AH87" s="1">
        <v>30.4</v>
      </c>
      <c r="AI87" s="1">
        <v>38.200000000000003</v>
      </c>
      <c r="AJ87" s="1"/>
      <c r="AK87" s="1">
        <f t="shared" si="23"/>
        <v>4</v>
      </c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 t="s">
        <v>136</v>
      </c>
      <c r="B88" s="1" t="s">
        <v>44</v>
      </c>
      <c r="C88" s="1">
        <v>104</v>
      </c>
      <c r="D88" s="1">
        <v>234</v>
      </c>
      <c r="E88" s="1">
        <v>215</v>
      </c>
      <c r="F88" s="1">
        <v>117</v>
      </c>
      <c r="G88" s="8">
        <v>7.0000000000000007E-2</v>
      </c>
      <c r="H88" s="1">
        <v>90</v>
      </c>
      <c r="I88" s="1" t="s">
        <v>40</v>
      </c>
      <c r="J88" s="1"/>
      <c r="K88" s="1">
        <v>215</v>
      </c>
      <c r="L88" s="1">
        <f t="shared" si="17"/>
        <v>0</v>
      </c>
      <c r="M88" s="1">
        <f t="shared" si="18"/>
        <v>215</v>
      </c>
      <c r="N88" s="1"/>
      <c r="O88" s="1"/>
      <c r="P88" s="1">
        <v>122.244</v>
      </c>
      <c r="Q88" s="1"/>
      <c r="R88" s="1"/>
      <c r="S88" s="1">
        <v>135.4226666666666</v>
      </c>
      <c r="T88" s="1">
        <f t="shared" si="19"/>
        <v>35.833333333333336</v>
      </c>
      <c r="U88" s="5">
        <f t="shared" si="24"/>
        <v>55.3333333333334</v>
      </c>
      <c r="V88" s="5"/>
      <c r="W88" s="5">
        <f t="shared" si="20"/>
        <v>55.3333333333334</v>
      </c>
      <c r="X88" s="5"/>
      <c r="Y88" s="1"/>
      <c r="Z88" s="1">
        <f t="shared" si="21"/>
        <v>12</v>
      </c>
      <c r="AA88" s="1">
        <f t="shared" si="22"/>
        <v>10.45581395348837</v>
      </c>
      <c r="AB88" s="1">
        <v>41.166666666666657</v>
      </c>
      <c r="AC88" s="1">
        <v>31</v>
      </c>
      <c r="AD88" s="1">
        <v>22.8</v>
      </c>
      <c r="AE88" s="1">
        <v>20.399999999999999</v>
      </c>
      <c r="AF88" s="1">
        <v>23.6</v>
      </c>
      <c r="AG88" s="1">
        <v>23</v>
      </c>
      <c r="AH88" s="1">
        <v>18</v>
      </c>
      <c r="AI88" s="1">
        <v>23</v>
      </c>
      <c r="AJ88" s="1"/>
      <c r="AK88" s="1">
        <f t="shared" si="23"/>
        <v>4</v>
      </c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" t="s">
        <v>137</v>
      </c>
      <c r="B89" s="1" t="s">
        <v>44</v>
      </c>
      <c r="C89" s="1">
        <v>88</v>
      </c>
      <c r="D89" s="1">
        <v>204</v>
      </c>
      <c r="E89" s="1">
        <v>175</v>
      </c>
      <c r="F89" s="1">
        <v>71</v>
      </c>
      <c r="G89" s="8">
        <v>0.05</v>
      </c>
      <c r="H89" s="1">
        <v>90</v>
      </c>
      <c r="I89" s="1" t="s">
        <v>40</v>
      </c>
      <c r="J89" s="1"/>
      <c r="K89" s="1">
        <v>177</v>
      </c>
      <c r="L89" s="1">
        <f t="shared" si="17"/>
        <v>-2</v>
      </c>
      <c r="M89" s="1">
        <f t="shared" si="18"/>
        <v>175</v>
      </c>
      <c r="N89" s="1"/>
      <c r="O89" s="1"/>
      <c r="P89" s="1">
        <v>110.0196</v>
      </c>
      <c r="Q89" s="1"/>
      <c r="R89" s="1"/>
      <c r="S89" s="1">
        <v>118.3137333333334</v>
      </c>
      <c r="T89" s="1">
        <f t="shared" si="19"/>
        <v>29.166666666666668</v>
      </c>
      <c r="U89" s="5">
        <f t="shared" si="24"/>
        <v>50.6666666666666</v>
      </c>
      <c r="V89" s="5"/>
      <c r="W89" s="5">
        <f t="shared" si="20"/>
        <v>50.6666666666666</v>
      </c>
      <c r="X89" s="5"/>
      <c r="Y89" s="1"/>
      <c r="Z89" s="1">
        <f t="shared" si="21"/>
        <v>12</v>
      </c>
      <c r="AA89" s="1">
        <f t="shared" si="22"/>
        <v>10.262857142857143</v>
      </c>
      <c r="AB89" s="1">
        <v>32.833333333333343</v>
      </c>
      <c r="AC89" s="1">
        <v>26.2</v>
      </c>
      <c r="AD89" s="1">
        <v>19.2</v>
      </c>
      <c r="AE89" s="1">
        <v>17.600000000000001</v>
      </c>
      <c r="AF89" s="1">
        <v>16</v>
      </c>
      <c r="AG89" s="1">
        <v>13.6</v>
      </c>
      <c r="AH89" s="1">
        <v>13.2</v>
      </c>
      <c r="AI89" s="1">
        <v>19.2</v>
      </c>
      <c r="AJ89" s="1"/>
      <c r="AK89" s="1">
        <f t="shared" si="23"/>
        <v>3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 t="s">
        <v>138</v>
      </c>
      <c r="B90" s="1" t="s">
        <v>44</v>
      </c>
      <c r="C90" s="1">
        <v>61</v>
      </c>
      <c r="D90" s="1">
        <v>255</v>
      </c>
      <c r="E90" s="1">
        <v>185</v>
      </c>
      <c r="F90" s="1">
        <v>128</v>
      </c>
      <c r="G90" s="8">
        <v>0.05</v>
      </c>
      <c r="H90" s="1">
        <v>90</v>
      </c>
      <c r="I90" s="1" t="s">
        <v>40</v>
      </c>
      <c r="J90" s="1"/>
      <c r="K90" s="1">
        <v>281</v>
      </c>
      <c r="L90" s="1">
        <f t="shared" si="17"/>
        <v>-96</v>
      </c>
      <c r="M90" s="1">
        <f t="shared" si="18"/>
        <v>185</v>
      </c>
      <c r="N90" s="1"/>
      <c r="O90" s="1"/>
      <c r="P90" s="1">
        <v>154.30799999999999</v>
      </c>
      <c r="Q90" s="1"/>
      <c r="R90" s="1"/>
      <c r="S90" s="1">
        <v>97.025333333333379</v>
      </c>
      <c r="T90" s="1">
        <f t="shared" si="19"/>
        <v>30.833333333333332</v>
      </c>
      <c r="U90" s="5"/>
      <c r="V90" s="5"/>
      <c r="W90" s="5">
        <f t="shared" si="20"/>
        <v>0</v>
      </c>
      <c r="X90" s="5"/>
      <c r="Y90" s="1"/>
      <c r="Z90" s="1">
        <f t="shared" si="21"/>
        <v>12.302702702702705</v>
      </c>
      <c r="AA90" s="1">
        <f t="shared" si="22"/>
        <v>12.302702702702705</v>
      </c>
      <c r="AB90" s="1">
        <v>40.833333333333343</v>
      </c>
      <c r="AC90" s="1">
        <v>40.799999999999997</v>
      </c>
      <c r="AD90" s="1">
        <v>25.8</v>
      </c>
      <c r="AE90" s="1">
        <v>22.8</v>
      </c>
      <c r="AF90" s="1">
        <v>24</v>
      </c>
      <c r="AG90" s="1">
        <v>24.2</v>
      </c>
      <c r="AH90" s="1">
        <v>21.8</v>
      </c>
      <c r="AI90" s="1">
        <v>25.6</v>
      </c>
      <c r="AJ90" s="1"/>
      <c r="AK90" s="1">
        <f t="shared" si="23"/>
        <v>0</v>
      </c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 t="s">
        <v>139</v>
      </c>
      <c r="B91" s="1" t="s">
        <v>44</v>
      </c>
      <c r="C91" s="1">
        <v>149</v>
      </c>
      <c r="D91" s="1">
        <v>155</v>
      </c>
      <c r="E91" s="1">
        <v>196</v>
      </c>
      <c r="F91" s="1">
        <v>93</v>
      </c>
      <c r="G91" s="8">
        <v>5.5E-2</v>
      </c>
      <c r="H91" s="1">
        <v>90</v>
      </c>
      <c r="I91" s="1" t="s">
        <v>40</v>
      </c>
      <c r="J91" s="1"/>
      <c r="K91" s="1">
        <v>200</v>
      </c>
      <c r="L91" s="1">
        <f t="shared" si="17"/>
        <v>-4</v>
      </c>
      <c r="M91" s="1">
        <f t="shared" si="18"/>
        <v>196</v>
      </c>
      <c r="N91" s="1"/>
      <c r="O91" s="1"/>
      <c r="P91" s="1">
        <v>110.5206</v>
      </c>
      <c r="Q91" s="1"/>
      <c r="R91" s="1"/>
      <c r="S91" s="1">
        <v>136.8127333333334</v>
      </c>
      <c r="T91" s="1">
        <f t="shared" si="19"/>
        <v>32.666666666666664</v>
      </c>
      <c r="U91" s="5">
        <f t="shared" si="24"/>
        <v>51.6666666666666</v>
      </c>
      <c r="V91" s="5"/>
      <c r="W91" s="5">
        <f t="shared" si="20"/>
        <v>51.6666666666666</v>
      </c>
      <c r="X91" s="5"/>
      <c r="Y91" s="1"/>
      <c r="Z91" s="1">
        <f t="shared" si="21"/>
        <v>12</v>
      </c>
      <c r="AA91" s="1">
        <f t="shared" si="22"/>
        <v>10.418367346938778</v>
      </c>
      <c r="AB91" s="1">
        <v>36.833333333333343</v>
      </c>
      <c r="AC91" s="1">
        <v>27.8</v>
      </c>
      <c r="AD91" s="1">
        <v>18.8</v>
      </c>
      <c r="AE91" s="1">
        <v>20.6</v>
      </c>
      <c r="AF91" s="1">
        <v>23.4</v>
      </c>
      <c r="AG91" s="1">
        <v>20.6</v>
      </c>
      <c r="AH91" s="1">
        <v>23.2</v>
      </c>
      <c r="AI91" s="1">
        <v>27.4</v>
      </c>
      <c r="AJ91" s="1"/>
      <c r="AK91" s="1">
        <f t="shared" si="23"/>
        <v>3</v>
      </c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 t="s">
        <v>140</v>
      </c>
      <c r="B92" s="1" t="s">
        <v>39</v>
      </c>
      <c r="C92" s="1">
        <v>2646.6239999999998</v>
      </c>
      <c r="D92" s="1">
        <v>4325.0519999999997</v>
      </c>
      <c r="E92" s="1">
        <v>1971.6489999999999</v>
      </c>
      <c r="F92" s="1">
        <v>2047.037</v>
      </c>
      <c r="G92" s="8">
        <v>1</v>
      </c>
      <c r="H92" s="1">
        <v>40</v>
      </c>
      <c r="I92" s="1" t="s">
        <v>40</v>
      </c>
      <c r="J92" s="1"/>
      <c r="K92" s="1">
        <v>1913.3019999999999</v>
      </c>
      <c r="L92" s="1">
        <f t="shared" si="17"/>
        <v>58.34699999999998</v>
      </c>
      <c r="M92" s="1">
        <f t="shared" si="18"/>
        <v>1935.8549999999998</v>
      </c>
      <c r="N92" s="1">
        <v>35.793999999999997</v>
      </c>
      <c r="O92" s="1">
        <v>500</v>
      </c>
      <c r="P92" s="1">
        <v>363.26849160000029</v>
      </c>
      <c r="Q92" s="1">
        <v>600</v>
      </c>
      <c r="R92" s="1"/>
      <c r="S92" s="1">
        <v>24.38050839999983</v>
      </c>
      <c r="T92" s="1">
        <f t="shared" si="19"/>
        <v>322.64249999999998</v>
      </c>
      <c r="U92" s="5">
        <f t="shared" si="24"/>
        <v>337.02399999999966</v>
      </c>
      <c r="V92" s="5"/>
      <c r="W92" s="5">
        <f t="shared" si="20"/>
        <v>337.02399999999966</v>
      </c>
      <c r="X92" s="5"/>
      <c r="Y92" s="1"/>
      <c r="Z92" s="1">
        <f t="shared" si="21"/>
        <v>12</v>
      </c>
      <c r="AA92" s="1">
        <f t="shared" si="22"/>
        <v>10.955425897084236</v>
      </c>
      <c r="AB92" s="1">
        <v>397.798</v>
      </c>
      <c r="AC92" s="1">
        <v>445.56380000000001</v>
      </c>
      <c r="AD92" s="1">
        <v>442.54119999999989</v>
      </c>
      <c r="AE92" s="1">
        <v>447.75979999999998</v>
      </c>
      <c r="AF92" s="1">
        <v>446.56700000000001</v>
      </c>
      <c r="AG92" s="1">
        <v>466.11419999999998</v>
      </c>
      <c r="AH92" s="1">
        <v>406.08980000000003</v>
      </c>
      <c r="AI92" s="1">
        <v>411.42840000000001</v>
      </c>
      <c r="AJ92" s="1" t="s">
        <v>53</v>
      </c>
      <c r="AK92" s="1">
        <f t="shared" si="23"/>
        <v>337</v>
      </c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3" t="s">
        <v>141</v>
      </c>
      <c r="B93" s="13" t="s">
        <v>39</v>
      </c>
      <c r="C93" s="13"/>
      <c r="D93" s="13"/>
      <c r="E93" s="13"/>
      <c r="F93" s="13"/>
      <c r="G93" s="14">
        <v>0</v>
      </c>
      <c r="H93" s="13">
        <v>60</v>
      </c>
      <c r="I93" s="13" t="s">
        <v>40</v>
      </c>
      <c r="J93" s="13"/>
      <c r="K93" s="13"/>
      <c r="L93" s="13">
        <f t="shared" si="17"/>
        <v>0</v>
      </c>
      <c r="M93" s="13">
        <f t="shared" si="18"/>
        <v>0</v>
      </c>
      <c r="N93" s="13"/>
      <c r="O93" s="13"/>
      <c r="P93" s="13">
        <v>0</v>
      </c>
      <c r="Q93" s="13"/>
      <c r="R93" s="13"/>
      <c r="S93" s="13">
        <v>0</v>
      </c>
      <c r="T93" s="13">
        <f t="shared" si="19"/>
        <v>0</v>
      </c>
      <c r="U93" s="15"/>
      <c r="V93" s="15"/>
      <c r="W93" s="5">
        <f t="shared" si="20"/>
        <v>0</v>
      </c>
      <c r="X93" s="15"/>
      <c r="Y93" s="13"/>
      <c r="Z93" s="1" t="e">
        <f t="shared" si="21"/>
        <v>#DIV/0!</v>
      </c>
      <c r="AA93" s="13" t="e">
        <f t="shared" si="22"/>
        <v>#DIV/0!</v>
      </c>
      <c r="AB93" s="13">
        <v>0</v>
      </c>
      <c r="AC93" s="13">
        <v>0</v>
      </c>
      <c r="AD93" s="13">
        <v>0</v>
      </c>
      <c r="AE93" s="13">
        <v>0</v>
      </c>
      <c r="AF93" s="13">
        <v>0</v>
      </c>
      <c r="AG93" s="13">
        <v>0</v>
      </c>
      <c r="AH93" s="13">
        <v>0</v>
      </c>
      <c r="AI93" s="13">
        <v>0</v>
      </c>
      <c r="AJ93" s="13" t="s">
        <v>142</v>
      </c>
      <c r="AK93" s="1">
        <f t="shared" si="23"/>
        <v>0</v>
      </c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 t="s">
        <v>143</v>
      </c>
      <c r="B94" s="1" t="s">
        <v>44</v>
      </c>
      <c r="C94" s="1">
        <v>508</v>
      </c>
      <c r="D94" s="1">
        <v>2236</v>
      </c>
      <c r="E94" s="1">
        <v>539</v>
      </c>
      <c r="F94" s="1">
        <v>335</v>
      </c>
      <c r="G94" s="8">
        <v>0.3</v>
      </c>
      <c r="H94" s="1">
        <v>40</v>
      </c>
      <c r="I94" s="1" t="s">
        <v>40</v>
      </c>
      <c r="J94" s="1"/>
      <c r="K94" s="1">
        <v>555</v>
      </c>
      <c r="L94" s="1">
        <f t="shared" si="17"/>
        <v>-16</v>
      </c>
      <c r="M94" s="1">
        <f t="shared" si="18"/>
        <v>539</v>
      </c>
      <c r="N94" s="1"/>
      <c r="O94" s="1"/>
      <c r="P94" s="1">
        <v>189.97919999999999</v>
      </c>
      <c r="Q94" s="1"/>
      <c r="R94" s="1"/>
      <c r="S94" s="1">
        <v>303.68746666666681</v>
      </c>
      <c r="T94" s="1">
        <f t="shared" si="19"/>
        <v>89.833333333333329</v>
      </c>
      <c r="U94" s="5">
        <f t="shared" ref="U94:U98" si="26">12*T94-S94-R94-Q94-P94-O94-F94</f>
        <v>249.33333333333326</v>
      </c>
      <c r="V94" s="5"/>
      <c r="W94" s="5">
        <f t="shared" si="20"/>
        <v>249.33333333333326</v>
      </c>
      <c r="X94" s="5"/>
      <c r="Y94" s="1"/>
      <c r="Z94" s="1">
        <f t="shared" si="21"/>
        <v>12</v>
      </c>
      <c r="AA94" s="1">
        <f t="shared" si="22"/>
        <v>9.2244897959183678</v>
      </c>
      <c r="AB94" s="1">
        <v>98.666666666666671</v>
      </c>
      <c r="AC94" s="1">
        <v>82.6</v>
      </c>
      <c r="AD94" s="1">
        <v>93</v>
      </c>
      <c r="AE94" s="1">
        <v>87.8</v>
      </c>
      <c r="AF94" s="1">
        <v>80.400000000000006</v>
      </c>
      <c r="AG94" s="1">
        <v>79.2</v>
      </c>
      <c r="AH94" s="1">
        <v>74.400000000000006</v>
      </c>
      <c r="AI94" s="1">
        <v>69.8</v>
      </c>
      <c r="AJ94" s="1"/>
      <c r="AK94" s="1">
        <f t="shared" si="23"/>
        <v>75</v>
      </c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 t="s">
        <v>144</v>
      </c>
      <c r="B95" s="1" t="s">
        <v>44</v>
      </c>
      <c r="C95" s="1">
        <v>318</v>
      </c>
      <c r="D95" s="1">
        <v>626</v>
      </c>
      <c r="E95" s="1">
        <v>404</v>
      </c>
      <c r="F95" s="1">
        <v>245</v>
      </c>
      <c r="G95" s="8">
        <v>0.3</v>
      </c>
      <c r="H95" s="1">
        <v>40</v>
      </c>
      <c r="I95" s="1" t="s">
        <v>40</v>
      </c>
      <c r="J95" s="1"/>
      <c r="K95" s="1">
        <v>419</v>
      </c>
      <c r="L95" s="1">
        <f t="shared" si="17"/>
        <v>-15</v>
      </c>
      <c r="M95" s="1">
        <f t="shared" si="18"/>
        <v>404</v>
      </c>
      <c r="N95" s="1"/>
      <c r="O95" s="1"/>
      <c r="P95" s="1">
        <v>197.49420000000001</v>
      </c>
      <c r="Q95" s="1"/>
      <c r="R95" s="1"/>
      <c r="S95" s="1">
        <v>257.17246666666682</v>
      </c>
      <c r="T95" s="1">
        <f t="shared" si="19"/>
        <v>67.333333333333329</v>
      </c>
      <c r="U95" s="5">
        <f t="shared" si="26"/>
        <v>108.33333333333314</v>
      </c>
      <c r="V95" s="5"/>
      <c r="W95" s="5">
        <f t="shared" si="20"/>
        <v>108.33333333333314</v>
      </c>
      <c r="X95" s="5"/>
      <c r="Y95" s="1"/>
      <c r="Z95" s="1">
        <f t="shared" si="21"/>
        <v>12</v>
      </c>
      <c r="AA95" s="1">
        <f t="shared" si="22"/>
        <v>10.391089108910894</v>
      </c>
      <c r="AB95" s="1">
        <v>82.166666666666671</v>
      </c>
      <c r="AC95" s="1">
        <v>68.599999999999994</v>
      </c>
      <c r="AD95" s="1">
        <v>70</v>
      </c>
      <c r="AE95" s="1">
        <v>63.8</v>
      </c>
      <c r="AF95" s="1">
        <v>50.8</v>
      </c>
      <c r="AG95" s="1">
        <v>53.8</v>
      </c>
      <c r="AH95" s="1">
        <v>61.2</v>
      </c>
      <c r="AI95" s="1">
        <v>58.6</v>
      </c>
      <c r="AJ95" s="1"/>
      <c r="AK95" s="1">
        <f t="shared" si="23"/>
        <v>32</v>
      </c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 t="s">
        <v>145</v>
      </c>
      <c r="B96" s="1" t="s">
        <v>39</v>
      </c>
      <c r="C96" s="1">
        <v>292.13799999999998</v>
      </c>
      <c r="D96" s="1">
        <v>457.74</v>
      </c>
      <c r="E96" s="1">
        <v>358.93700000000001</v>
      </c>
      <c r="F96" s="1">
        <v>324.83699999999999</v>
      </c>
      <c r="G96" s="8">
        <v>1</v>
      </c>
      <c r="H96" s="1">
        <v>50</v>
      </c>
      <c r="I96" s="1" t="s">
        <v>40</v>
      </c>
      <c r="J96" s="1"/>
      <c r="K96" s="1">
        <v>403.99</v>
      </c>
      <c r="L96" s="1">
        <f t="shared" si="17"/>
        <v>-45.052999999999997</v>
      </c>
      <c r="M96" s="1">
        <f t="shared" si="18"/>
        <v>304.54700000000003</v>
      </c>
      <c r="N96" s="1">
        <v>54.39</v>
      </c>
      <c r="O96" s="1"/>
      <c r="P96" s="1">
        <v>81.767107800000005</v>
      </c>
      <c r="Q96" s="1"/>
      <c r="R96" s="1"/>
      <c r="S96" s="1">
        <v>116.8592255333333</v>
      </c>
      <c r="T96" s="1">
        <f t="shared" si="19"/>
        <v>50.757833333333338</v>
      </c>
      <c r="U96" s="5">
        <f t="shared" si="26"/>
        <v>85.630666666666741</v>
      </c>
      <c r="V96" s="5">
        <f>$V$1*T96</f>
        <v>50.757833333333338</v>
      </c>
      <c r="W96" s="5">
        <f t="shared" si="20"/>
        <v>136.38850000000008</v>
      </c>
      <c r="X96" s="5"/>
      <c r="Y96" s="1"/>
      <c r="Z96" s="1">
        <f t="shared" si="21"/>
        <v>13</v>
      </c>
      <c r="AA96" s="1">
        <f t="shared" si="22"/>
        <v>10.312956620817149</v>
      </c>
      <c r="AB96" s="1">
        <v>55.884666666666668</v>
      </c>
      <c r="AC96" s="1">
        <v>55.122599999999998</v>
      </c>
      <c r="AD96" s="1">
        <v>59.655599999999993</v>
      </c>
      <c r="AE96" s="1">
        <v>49.415999999999997</v>
      </c>
      <c r="AF96" s="1">
        <v>46.666400000000003</v>
      </c>
      <c r="AG96" s="1">
        <v>49.502000000000002</v>
      </c>
      <c r="AH96" s="1">
        <v>51.940399999999997</v>
      </c>
      <c r="AI96" s="1">
        <v>57.390600000000013</v>
      </c>
      <c r="AJ96" s="1"/>
      <c r="AK96" s="1">
        <f t="shared" si="23"/>
        <v>136</v>
      </c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 t="s">
        <v>146</v>
      </c>
      <c r="B97" s="1" t="s">
        <v>44</v>
      </c>
      <c r="C97" s="1">
        <v>200</v>
      </c>
      <c r="D97" s="1">
        <v>1067</v>
      </c>
      <c r="E97" s="1">
        <v>356</v>
      </c>
      <c r="F97" s="1">
        <v>245</v>
      </c>
      <c r="G97" s="8">
        <v>0.3</v>
      </c>
      <c r="H97" s="1">
        <v>40</v>
      </c>
      <c r="I97" s="1" t="s">
        <v>40</v>
      </c>
      <c r="J97" s="1"/>
      <c r="K97" s="1">
        <v>365</v>
      </c>
      <c r="L97" s="1">
        <f t="shared" si="17"/>
        <v>-9</v>
      </c>
      <c r="M97" s="1">
        <f t="shared" si="18"/>
        <v>356</v>
      </c>
      <c r="N97" s="1"/>
      <c r="O97" s="1"/>
      <c r="P97" s="1">
        <v>232.76459999999989</v>
      </c>
      <c r="Q97" s="1"/>
      <c r="R97" s="1"/>
      <c r="S97" s="1">
        <v>168.23540000000011</v>
      </c>
      <c r="T97" s="1">
        <f t="shared" si="19"/>
        <v>59.333333333333336</v>
      </c>
      <c r="U97" s="5">
        <f t="shared" si="26"/>
        <v>66</v>
      </c>
      <c r="V97" s="5"/>
      <c r="W97" s="5">
        <f t="shared" si="20"/>
        <v>66</v>
      </c>
      <c r="X97" s="5"/>
      <c r="Y97" s="1"/>
      <c r="Z97" s="1">
        <f t="shared" si="21"/>
        <v>12</v>
      </c>
      <c r="AA97" s="1">
        <f t="shared" si="22"/>
        <v>10.887640449438202</v>
      </c>
      <c r="AB97" s="1">
        <v>72</v>
      </c>
      <c r="AC97" s="1">
        <v>64.8</v>
      </c>
      <c r="AD97" s="1">
        <v>57.6</v>
      </c>
      <c r="AE97" s="1">
        <v>50.4</v>
      </c>
      <c r="AF97" s="1">
        <v>49.4</v>
      </c>
      <c r="AG97" s="1">
        <v>49.6</v>
      </c>
      <c r="AH97" s="1">
        <v>48.2</v>
      </c>
      <c r="AI97" s="1">
        <v>47.2</v>
      </c>
      <c r="AJ97" s="1"/>
      <c r="AK97" s="1">
        <f t="shared" si="23"/>
        <v>20</v>
      </c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 t="s">
        <v>147</v>
      </c>
      <c r="B98" s="1" t="s">
        <v>44</v>
      </c>
      <c r="C98" s="1">
        <v>48</v>
      </c>
      <c r="D98" s="1">
        <v>104</v>
      </c>
      <c r="E98" s="1">
        <v>64</v>
      </c>
      <c r="F98" s="1">
        <v>50</v>
      </c>
      <c r="G98" s="8">
        <v>0.12</v>
      </c>
      <c r="H98" s="1">
        <v>45</v>
      </c>
      <c r="I98" s="1" t="s">
        <v>40</v>
      </c>
      <c r="J98" s="1"/>
      <c r="K98" s="1">
        <v>94</v>
      </c>
      <c r="L98" s="1">
        <f t="shared" si="17"/>
        <v>-30</v>
      </c>
      <c r="M98" s="1">
        <f t="shared" si="18"/>
        <v>64</v>
      </c>
      <c r="N98" s="1"/>
      <c r="O98" s="1"/>
      <c r="P98" s="1">
        <v>70.641000000000005</v>
      </c>
      <c r="Q98" s="1"/>
      <c r="R98" s="1"/>
      <c r="S98" s="1">
        <v>0</v>
      </c>
      <c r="T98" s="1">
        <f t="shared" si="19"/>
        <v>10.666666666666666</v>
      </c>
      <c r="U98" s="5">
        <f t="shared" si="26"/>
        <v>7.3589999999999947</v>
      </c>
      <c r="V98" s="5"/>
      <c r="W98" s="5">
        <f t="shared" si="20"/>
        <v>7.3589999999999947</v>
      </c>
      <c r="X98" s="5"/>
      <c r="Y98" s="1"/>
      <c r="Z98" s="1">
        <f t="shared" si="21"/>
        <v>12</v>
      </c>
      <c r="AA98" s="1">
        <f t="shared" si="22"/>
        <v>11.310093750000002</v>
      </c>
      <c r="AB98" s="1">
        <v>14.33333333333333</v>
      </c>
      <c r="AC98" s="1">
        <v>18</v>
      </c>
      <c r="AD98" s="1">
        <v>9.4</v>
      </c>
      <c r="AE98" s="1">
        <v>9.6</v>
      </c>
      <c r="AF98" s="1">
        <v>8.8000000000000007</v>
      </c>
      <c r="AG98" s="1">
        <v>10.8</v>
      </c>
      <c r="AH98" s="1">
        <v>16.399999999999999</v>
      </c>
      <c r="AI98" s="1">
        <v>18.2</v>
      </c>
      <c r="AJ98" s="1"/>
      <c r="AK98" s="1">
        <f t="shared" si="23"/>
        <v>1</v>
      </c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  <row r="499" spans="1:52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</row>
    <row r="500" spans="1:52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</row>
  </sheetData>
  <autoFilter ref="A3:AK98" xr:uid="{188AC6EB-8A7E-4FF9-B6FF-B34F638383DC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2026-01-08T09:58:56Z</dcterms:created>
  <dcterms:modified xsi:type="dcterms:W3CDTF">2026-01-09T07:05:20Z</dcterms:modified>
</cp:coreProperties>
</file>