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211C2569-D0AD-450B-9E94-83D3F77A70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8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1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6" i="1" s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Y273" i="1" s="1"/>
  <c r="BN25" i="1"/>
  <c r="BN27" i="1"/>
  <c r="X272" i="1"/>
  <c r="BN32" i="1"/>
  <c r="BP32" i="1"/>
  <c r="Y274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C285" i="1" l="1"/>
  <c r="Y275" i="1"/>
  <c r="A285" i="1"/>
  <c r="X275" i="1"/>
  <c r="B285" i="1"/>
  <c r="Y272" i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<sst xmlns="http://schemas.openxmlformats.org/spreadsheetml/2006/main" count="1240" uniqueCount="398">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</sst>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58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140</v>
      </c>
      <c r="Y39" s="273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56</v>
      </c>
      <c r="Y40" s="273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196</v>
      </c>
      <c r="Y41" s="274">
        <f>IFERROR(SUM(Y39:Y40),"0")</f>
        <v>196</v>
      </c>
      <c r="Z41" s="274">
        <f>IFERROR(IF(Z39="",0,Z39),"0")+IFERROR(IF(Z40="",0,Z40),"0")</f>
        <v>1.84436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294</v>
      </c>
      <c r="Y42" s="274">
        <f>IFERROR(SUMPRODUCT(Y39:Y40*H39:H40),"0")</f>
        <v>294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36</v>
      </c>
      <c r="Y45" s="273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36</v>
      </c>
      <c r="Y46" s="273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12</v>
      </c>
      <c r="Y47" s="273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84</v>
      </c>
      <c r="Y48" s="274">
        <f>IFERROR(SUM(Y45:Y47),"0")</f>
        <v>84</v>
      </c>
      <c r="Z48" s="274">
        <f>IFERROR(IF(Z45="",0,Z45),"0")+IFERROR(IF(Z46="",0,Z46),"0")+IFERROR(IF(Z47="",0,Z47),"0")</f>
        <v>1.302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470.4</v>
      </c>
      <c r="Y49" s="274">
        <f>IFERROR(SUMPRODUCT(Y45:Y47*H45:H47),"0")</f>
        <v>470.4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36</v>
      </c>
      <c r="Y53" s="273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48</v>
      </c>
      <c r="Y56" s="274">
        <f>IFERROR(SUM(Y52:Y55),"0")</f>
        <v>48</v>
      </c>
      <c r="Z56" s="274">
        <f>IFERROR(IF(Z52="",0,Z52),"0")+IFERROR(IF(Z53="",0,Z53),"0")+IFERROR(IF(Z54="",0,Z54),"0")+IFERROR(IF(Z55="",0,Z55),"0")</f>
        <v>0.74399999999999999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336</v>
      </c>
      <c r="Y57" s="274">
        <f>IFERROR(SUMPRODUCT(Y52:Y55*H52:H55),"0")</f>
        <v>336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120</v>
      </c>
      <c r="Y81" s="273">
        <f>IFERROR(IF(X81="","",X81),"")</f>
        <v>120</v>
      </c>
      <c r="Z81" s="36">
        <f>IFERROR(IF(X81="","",X81*0.00866),"")</f>
        <v>1.0391999999999999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625.58399999999995</v>
      </c>
      <c r="BN81" s="67">
        <f>IFERROR(Y81*I81,"0")</f>
        <v>625.58399999999995</v>
      </c>
      <c r="BO81" s="67">
        <f>IFERROR(X81/J81,"0")</f>
        <v>0.83333333333333337</v>
      </c>
      <c r="BP81" s="67">
        <f>IFERROR(Y81/J81,"0")</f>
        <v>0.83333333333333337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120</v>
      </c>
      <c r="Y82" s="274">
        <f>IFERROR(SUM(Y80:Y81),"0")</f>
        <v>120</v>
      </c>
      <c r="Z82" s="274">
        <f>IFERROR(IF(Z80="",0,Z80),"0")+IFERROR(IF(Z81="",0,Z81),"0")</f>
        <v>1.0391999999999999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600</v>
      </c>
      <c r="Y83" s="274">
        <f>IFERROR(SUMPRODUCT(Y80:Y81*H80:H81),"0")</f>
        <v>600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28</v>
      </c>
      <c r="Y97" s="273">
        <f t="shared" ref="Y97:Y103" si="6">IFERROR(IF(X97="","",X97),"")</f>
        <v>28</v>
      </c>
      <c r="Z97" s="36">
        <f t="shared" ref="Z97:Z103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100.3408</v>
      </c>
      <c r="BN97" s="67">
        <f t="shared" ref="BN97:BN103" si="9">IFERROR(Y97*I97,"0")</f>
        <v>100.3408</v>
      </c>
      <c r="BO97" s="67">
        <f t="shared" ref="BO97:BO103" si="10">IFERROR(X97/J97,"0")</f>
        <v>0.4</v>
      </c>
      <c r="BP97" s="67">
        <f t="shared" ref="BP97:BP103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84</v>
      </c>
      <c r="Y99" s="273">
        <f t="shared" si="6"/>
        <v>84</v>
      </c>
      <c r="Z99" s="36">
        <f t="shared" si="7"/>
        <v>1.5019199999999999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301.0224</v>
      </c>
      <c r="BN99" s="67">
        <f t="shared" si="9"/>
        <v>301.0224</v>
      </c>
      <c r="BO99" s="67">
        <f t="shared" si="10"/>
        <v>1.2</v>
      </c>
      <c r="BP99" s="67">
        <f t="shared" si="11"/>
        <v>1.2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196</v>
      </c>
      <c r="Y104" s="274">
        <f>IFERROR(SUM(Y97:Y103),"0")</f>
        <v>196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3.5044799999999996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577.91999999999996</v>
      </c>
      <c r="Y105" s="274">
        <f>IFERROR(SUMPRODUCT(Y97:Y103*H97:H103),"0")</f>
        <v>577.91999999999996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14</v>
      </c>
      <c r="Y108" s="273">
        <f>IFERROR(IF(X108="","",X108),"")</f>
        <v>14</v>
      </c>
      <c r="Z108" s="36">
        <f>IFERROR(IF(X108="","",X108*0.00936),"")</f>
        <v>0.13103999999999999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34.876800000000003</v>
      </c>
      <c r="BN108" s="67">
        <f>IFERROR(Y108*I108,"0")</f>
        <v>34.876800000000003</v>
      </c>
      <c r="BO108" s="67">
        <f>IFERROR(X108/J108,"0")</f>
        <v>0.1111111111111111</v>
      </c>
      <c r="BP108" s="67">
        <f>IFERROR(Y108/J108,"0")</f>
        <v>0.1111111111111111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28</v>
      </c>
      <c r="Y109" s="273">
        <f>IFERROR(IF(X109="","",X109),"")</f>
        <v>28</v>
      </c>
      <c r="Z109" s="36">
        <f>IFERROR(IF(X109="","",X109*0.01788),"")</f>
        <v>0.50063999999999997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118.83199999999999</v>
      </c>
      <c r="BN109" s="67">
        <f>IFERROR(Y109*I109,"0")</f>
        <v>118.83199999999999</v>
      </c>
      <c r="BO109" s="67">
        <f>IFERROR(X109/J109,"0")</f>
        <v>0.4</v>
      </c>
      <c r="BP109" s="67">
        <f>IFERROR(Y109/J109,"0")</f>
        <v>0.4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42</v>
      </c>
      <c r="Y110" s="274">
        <f>IFERROR(SUM(Y108:Y109),"0")</f>
        <v>42</v>
      </c>
      <c r="Z110" s="274">
        <f>IFERROR(IF(Z108="",0,Z108),"0")+IFERROR(IF(Z109="",0,Z109),"0")</f>
        <v>0.63168000000000002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131.04</v>
      </c>
      <c r="Y111" s="274">
        <f>IFERROR(SUMPRODUCT(Y108:Y109*H108:H109),"0")</f>
        <v>131.04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48</v>
      </c>
      <c r="Y117" s="273">
        <f t="shared" si="12"/>
        <v>48</v>
      </c>
      <c r="Z117" s="36">
        <f t="shared" si="13"/>
        <v>0.74399999999999999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350.4</v>
      </c>
      <c r="BN117" s="67">
        <f t="shared" si="15"/>
        <v>350.4</v>
      </c>
      <c r="BO117" s="67">
        <f t="shared" si="16"/>
        <v>0.5714285714285714</v>
      </c>
      <c r="BP117" s="67">
        <f t="shared" si="17"/>
        <v>0.5714285714285714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60</v>
      </c>
      <c r="Y122" s="274">
        <f>IFERROR(SUM(Y114:Y121),"0")</f>
        <v>60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0.92999999999999994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420</v>
      </c>
      <c r="Y123" s="274">
        <f>IFERROR(SUMPRODUCT(Y114:Y121*H114:H121),"0")</f>
        <v>420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98</v>
      </c>
      <c r="Y135" s="273">
        <f>IFERROR(IF(X135="","",X135),"")</f>
        <v>98</v>
      </c>
      <c r="Z135" s="36">
        <f>IFERROR(IF(X135="","",X135*0.01788),"")</f>
        <v>1.75224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362.95279999999997</v>
      </c>
      <c r="BN135" s="67">
        <f>IFERROR(Y135*I135,"0")</f>
        <v>362.95279999999997</v>
      </c>
      <c r="BO135" s="67">
        <f>IFERROR(X135/J135,"0")</f>
        <v>1.4</v>
      </c>
      <c r="BP135" s="67">
        <f>IFERROR(Y135/J135,"0")</f>
        <v>1.4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112</v>
      </c>
      <c r="Y136" s="273">
        <f>IFERROR(IF(X136="","",X136),"")</f>
        <v>112</v>
      </c>
      <c r="Z136" s="36">
        <f>IFERROR(IF(X136="","",X136*0.01788),"")</f>
        <v>2.0025599999999999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414.80319999999995</v>
      </c>
      <c r="BN136" s="67">
        <f>IFERROR(Y136*I136,"0")</f>
        <v>414.80319999999995</v>
      </c>
      <c r="BO136" s="67">
        <f>IFERROR(X136/J136,"0")</f>
        <v>1.6</v>
      </c>
      <c r="BP136" s="67">
        <f>IFERROR(Y136/J136,"0")</f>
        <v>1.6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210</v>
      </c>
      <c r="Y137" s="274">
        <f>IFERROR(SUM(Y135:Y136),"0")</f>
        <v>210</v>
      </c>
      <c r="Z137" s="274">
        <f>IFERROR(IF(Z135="",0,Z135),"0")+IFERROR(IF(Z136="",0,Z136),"0")</f>
        <v>3.7547999999999999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630</v>
      </c>
      <c r="Y138" s="274">
        <f>IFERROR(SUMPRODUCT(Y135:Y136*H135:H136),"0")</f>
        <v>630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28</v>
      </c>
      <c r="Y141" s="273">
        <f>IFERROR(IF(X141="","",X141),"")</f>
        <v>28</v>
      </c>
      <c r="Z141" s="36">
        <f>IFERROR(IF(X141="","",X141*0.01788),"")</f>
        <v>0.50063999999999997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104.944</v>
      </c>
      <c r="BN141" s="67">
        <f>IFERROR(Y141*I141,"0")</f>
        <v>104.944</v>
      </c>
      <c r="BO141" s="67">
        <f>IFERROR(X141/J141,"0")</f>
        <v>0.4</v>
      </c>
      <c r="BP141" s="67">
        <f>IFERROR(Y141/J141,"0")</f>
        <v>0.4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98</v>
      </c>
      <c r="Y143" s="274">
        <f>IFERROR(SUM(Y141:Y142),"0")</f>
        <v>98</v>
      </c>
      <c r="Z143" s="274">
        <f>IFERROR(IF(Z141="",0,Z141),"0")+IFERROR(IF(Z142="",0,Z142),"0")</f>
        <v>1.75224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294</v>
      </c>
      <c r="Y144" s="274">
        <f>IFERROR(SUMPRODUCT(Y141:Y142*H141:H142),"0")</f>
        <v>294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14</v>
      </c>
      <c r="Y148" s="273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37.520000000000003</v>
      </c>
      <c r="BN148" s="67">
        <f>IFERROR(Y148*I148,"0")</f>
        <v>37.520000000000003</v>
      </c>
      <c r="BO148" s="67">
        <f>IFERROR(X148/J148,"0")</f>
        <v>0.2</v>
      </c>
      <c r="BP148" s="67">
        <f>IFERROR(Y148/J148,"0")</f>
        <v>0.2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28</v>
      </c>
      <c r="Y149" s="274">
        <f>IFERROR(SUM(Y147:Y148),"0")</f>
        <v>28</v>
      </c>
      <c r="Z149" s="274">
        <f>IFERROR(IF(Z147="",0,Z147),"0")+IFERROR(IF(Z148="",0,Z148),"0")</f>
        <v>0.50063999999999997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67.2</v>
      </c>
      <c r="Y150" s="274">
        <f>IFERROR(SUMPRODUCT(Y147:Y148*H147:H148),"0")</f>
        <v>67.2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14</v>
      </c>
      <c r="Y153" s="273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14</v>
      </c>
      <c r="Y154" s="274">
        <f>IFERROR(SUM(Y153:Y153),"0")</f>
        <v>14</v>
      </c>
      <c r="Z154" s="274">
        <f>IFERROR(IF(Z153="",0,Z153),"0")</f>
        <v>0.25031999999999999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42</v>
      </c>
      <c r="Y155" s="274">
        <f>IFERROR(SUMPRODUCT(Y153:Y153*H153:H153),"0")</f>
        <v>42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14</v>
      </c>
      <c r="Y158" s="273">
        <f>IFERROR(IF(X158="","",X158),"")</f>
        <v>14</v>
      </c>
      <c r="Z158" s="36">
        <f>IFERROR(IF(X158="","",X158*0.00936),"")</f>
        <v>0.13103999999999999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43.26</v>
      </c>
      <c r="BN158" s="67">
        <f>IFERROR(Y158*I158,"0")</f>
        <v>43.26</v>
      </c>
      <c r="BO158" s="67">
        <f>IFERROR(X158/J158,"0")</f>
        <v>0.1111111111111111</v>
      </c>
      <c r="BP158" s="67">
        <f>IFERROR(Y158/J158,"0")</f>
        <v>0.1111111111111111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14</v>
      </c>
      <c r="Y159" s="274">
        <f>IFERROR(SUM(Y158:Y158),"0")</f>
        <v>14</v>
      </c>
      <c r="Z159" s="274">
        <f>IFERROR(IF(Z158="",0,Z158),"0")</f>
        <v>0.13103999999999999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37.800000000000004</v>
      </c>
      <c r="Y160" s="274">
        <f>IFERROR(SUMPRODUCT(Y158:Y158*H158:H158),"0")</f>
        <v>37.800000000000004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36</v>
      </c>
      <c r="Y163" s="273">
        <f>IFERROR(IF(X163="","",X163),"")</f>
        <v>36</v>
      </c>
      <c r="Z163" s="36">
        <f>IFERROR(IF(X163="","",X163*0.01157),"")</f>
        <v>0.41652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76.320000000000007</v>
      </c>
      <c r="BN163" s="67">
        <f>IFERROR(Y163*I163,"0")</f>
        <v>76.320000000000007</v>
      </c>
      <c r="BO163" s="67">
        <f>IFERROR(X163/J163,"0")</f>
        <v>0.5</v>
      </c>
      <c r="BP163" s="67">
        <f>IFERROR(Y163/J163,"0")</f>
        <v>0.5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36</v>
      </c>
      <c r="Y164" s="274">
        <f>IFERROR(SUM(Y163:Y163),"0")</f>
        <v>36</v>
      </c>
      <c r="Z164" s="274">
        <f>IFERROR(IF(Z163="",0,Z163),"0")</f>
        <v>0.41652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57.6</v>
      </c>
      <c r="Y165" s="274">
        <f>IFERROR(SUMPRODUCT(Y163:Y163*H163:H163),"0")</f>
        <v>57.6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126</v>
      </c>
      <c r="Y168" s="273">
        <f>IFERROR(IF(X168="","",X168),"")</f>
        <v>126</v>
      </c>
      <c r="Z168" s="36">
        <f>IFERROR(IF(X168="","",X168*0.00941),"")</f>
        <v>1.1856599999999999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264.82679999999999</v>
      </c>
      <c r="BN168" s="67">
        <f>IFERROR(Y168*I168,"0")</f>
        <v>264.82679999999999</v>
      </c>
      <c r="BO168" s="67">
        <f>IFERROR(X168/J168,"0")</f>
        <v>0.9</v>
      </c>
      <c r="BP168" s="67">
        <f>IFERROR(Y168/J168,"0")</f>
        <v>0.9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126</v>
      </c>
      <c r="Y169" s="274">
        <f>IFERROR(SUM(Y168:Y168),"0")</f>
        <v>126</v>
      </c>
      <c r="Z169" s="274">
        <f>IFERROR(IF(Z168="",0,Z168),"0")</f>
        <v>1.1856599999999999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211.67999999999998</v>
      </c>
      <c r="Y170" s="274">
        <f>IFERROR(SUMPRODUCT(Y168:Y168*H168:H168),"0")</f>
        <v>211.67999999999998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72</v>
      </c>
      <c r="Y175" s="273">
        <f>IFERROR(IF(X175="","",X175),"")</f>
        <v>72</v>
      </c>
      <c r="Z175" s="36">
        <f>IFERROR(IF(X175="","",X175*0.00866),"")</f>
        <v>0.62351999999999996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375.35039999999998</v>
      </c>
      <c r="BN175" s="67">
        <f>IFERROR(Y175*I175,"0")</f>
        <v>375.35039999999998</v>
      </c>
      <c r="BO175" s="67">
        <f>IFERROR(X175/J175,"0")</f>
        <v>0.5</v>
      </c>
      <c r="BP175" s="67">
        <f>IFERROR(Y175/J175,"0")</f>
        <v>0.5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72</v>
      </c>
      <c r="Y176" s="274">
        <f>IFERROR(SUM(Y174:Y175),"0")</f>
        <v>72</v>
      </c>
      <c r="Z176" s="274">
        <f>IFERROR(IF(Z174="",0,Z174),"0")+IFERROR(IF(Z175="",0,Z175),"0")</f>
        <v>0.62351999999999996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360</v>
      </c>
      <c r="Y177" s="274">
        <f>IFERROR(SUMPRODUCT(Y174:Y175*H174:H175),"0")</f>
        <v>360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42</v>
      </c>
      <c r="Y181" s="273">
        <f>IFERROR(IF(X181="","",X181),"")</f>
        <v>42</v>
      </c>
      <c r="Z181" s="36">
        <f>IFERROR(IF(X181="","",X181*0.01788),"")</f>
        <v>0.75095999999999996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142.29599999999999</v>
      </c>
      <c r="BN181" s="67">
        <f>IFERROR(Y181*I181,"0")</f>
        <v>142.29599999999999</v>
      </c>
      <c r="BO181" s="67">
        <f>IFERROR(X181/J181,"0")</f>
        <v>0.6</v>
      </c>
      <c r="BP181" s="67">
        <f>IFERROR(Y181/J181,"0")</f>
        <v>0.6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28</v>
      </c>
      <c r="Y182" s="273">
        <f>IFERROR(IF(X182="","",X182),"")</f>
        <v>28</v>
      </c>
      <c r="Z182" s="36">
        <f>IFERROR(IF(X182="","",X182*0.01788),"")</f>
        <v>0.50063999999999997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94.864000000000004</v>
      </c>
      <c r="BN182" s="67">
        <f>IFERROR(Y182*I182,"0")</f>
        <v>94.864000000000004</v>
      </c>
      <c r="BO182" s="67">
        <f>IFERROR(X182/J182,"0")</f>
        <v>0.4</v>
      </c>
      <c r="BP182" s="67">
        <f>IFERROR(Y182/J182,"0")</f>
        <v>0.4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84</v>
      </c>
      <c r="Y184" s="274">
        <f>IFERROR(SUM(Y181:Y183),"0")</f>
        <v>84</v>
      </c>
      <c r="Z184" s="274">
        <f>IFERROR(IF(Z181="",0,Z181),"0")+IFERROR(IF(Z182="",0,Z182),"0")+IFERROR(IF(Z183="",0,Z183),"0")</f>
        <v>1.5019199999999997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252</v>
      </c>
      <c r="Y185" s="274">
        <f>IFERROR(SUMPRODUCT(Y181:Y183*H181:H183),"0")</f>
        <v>252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28</v>
      </c>
      <c r="Y193" s="273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83.44</v>
      </c>
      <c r="BN193" s="67">
        <f>IFERROR(Y193*I193,"0")</f>
        <v>83.44</v>
      </c>
      <c r="BO193" s="67">
        <f>IFERROR(X193/J193,"0")</f>
        <v>0.4</v>
      </c>
      <c r="BP193" s="67">
        <f>IFERROR(Y193/J193,"0")</f>
        <v>0.4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28</v>
      </c>
      <c r="Y194" s="274">
        <f>IFERROR(SUM(Y193:Y193),"0")</f>
        <v>28</v>
      </c>
      <c r="Z194" s="274">
        <f>IFERROR(IF(Z193="",0,Z193),"0")</f>
        <v>0.50063999999999997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77.28</v>
      </c>
      <c r="Y195" s="274">
        <f>IFERROR(SUMPRODUCT(Y193:Y193*H193:H193),"0")</f>
        <v>77.28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84</v>
      </c>
      <c r="Y206" s="273">
        <f>IFERROR(IF(X206="","",X206),"")</f>
        <v>84</v>
      </c>
      <c r="Z206" s="36">
        <f>IFERROR(IF(X206="","",X206*0.0155),"")</f>
        <v>1.302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439.32000000000005</v>
      </c>
      <c r="BN206" s="67">
        <f>IFERROR(Y206*I206,"0")</f>
        <v>439.32000000000005</v>
      </c>
      <c r="BO206" s="67">
        <f>IFERROR(X206/J206,"0")</f>
        <v>1</v>
      </c>
      <c r="BP206" s="67">
        <f>IFERROR(Y206/J206,"0")</f>
        <v>1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84</v>
      </c>
      <c r="Y207" s="274">
        <f>IFERROR(SUM(Y206:Y206),"0")</f>
        <v>84</v>
      </c>
      <c r="Z207" s="274">
        <f>IFERROR(IF(Z206="",0,Z206),"0")</f>
        <v>1.302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420</v>
      </c>
      <c r="Y208" s="274">
        <f>IFERROR(SUMPRODUCT(Y206:Y206*H206:H206),"0")</f>
        <v>420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42</v>
      </c>
      <c r="Y254" s="273">
        <f>IFERROR(IF(X254="","",X254),"")</f>
        <v>42</v>
      </c>
      <c r="Z254" s="36">
        <f>IFERROR(IF(X254="","",X254*0.00936),"")</f>
        <v>0.39312000000000002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121.40520000000001</v>
      </c>
      <c r="BN254" s="67">
        <f>IFERROR(Y254*I254,"0")</f>
        <v>121.40520000000001</v>
      </c>
      <c r="BO254" s="67">
        <f>IFERROR(X254/J254,"0")</f>
        <v>0.33333333333333331</v>
      </c>
      <c r="BP254" s="67">
        <f>IFERROR(Y254/J254,"0")</f>
        <v>0.33333333333333331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72</v>
      </c>
      <c r="Y255" s="273">
        <f>IFERROR(IF(X255="","",X255),"")</f>
        <v>72</v>
      </c>
      <c r="Z255" s="36">
        <f>IFERROR(IF(X255="","",X255*0.0155),"")</f>
        <v>1.1160000000000001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376.92</v>
      </c>
      <c r="BN255" s="67">
        <f>IFERROR(Y255*I255,"0")</f>
        <v>376.92</v>
      </c>
      <c r="BO255" s="67">
        <f>IFERROR(X255/J255,"0")</f>
        <v>0.8571428571428571</v>
      </c>
      <c r="BP255" s="67">
        <f>IFERROR(Y255/J255,"0")</f>
        <v>0.8571428571428571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114</v>
      </c>
      <c r="Y257" s="274">
        <f>IFERROR(SUM(Y254:Y256),"0")</f>
        <v>114</v>
      </c>
      <c r="Z257" s="274">
        <f>IFERROR(IF(Z254="",0,Z254),"0")+IFERROR(IF(Z255="",0,Z255),"0")+IFERROR(IF(Z256="",0,Z256),"0")</f>
        <v>1.5091200000000002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473.4</v>
      </c>
      <c r="Y258" s="274">
        <f>IFERROR(SUMPRODUCT(Y254:Y256*H254:H256),"0")</f>
        <v>473.4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12</v>
      </c>
      <c r="Y262" s="273">
        <f t="shared" si="18"/>
        <v>12</v>
      </c>
      <c r="Z262" s="36">
        <f>IFERROR(IF(X262="","",X262*0.0155),"")</f>
        <v>0.186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68.820000000000007</v>
      </c>
      <c r="BN262" s="67">
        <f t="shared" si="20"/>
        <v>68.820000000000007</v>
      </c>
      <c r="BO262" s="67">
        <f t="shared" si="21"/>
        <v>0.14285714285714285</v>
      </c>
      <c r="BP262" s="67">
        <f t="shared" si="22"/>
        <v>0.14285714285714285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84</v>
      </c>
      <c r="Y264" s="273">
        <f t="shared" si="18"/>
        <v>84</v>
      </c>
      <c r="Z264" s="36">
        <f t="shared" si="23"/>
        <v>0.78624000000000005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326.928</v>
      </c>
      <c r="BN264" s="67">
        <f t="shared" si="20"/>
        <v>326.928</v>
      </c>
      <c r="BO264" s="67">
        <f t="shared" si="21"/>
        <v>0.66666666666666663</v>
      </c>
      <c r="BP264" s="67">
        <f t="shared" si="22"/>
        <v>0.66666666666666663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96</v>
      </c>
      <c r="Y270" s="274">
        <f>IFERROR(SUM(Y260:Y269),"0")</f>
        <v>96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0.97223999999999999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376.8</v>
      </c>
      <c r="Y271" s="274">
        <f>IFERROR(SUMPRODUCT(Y260:Y269*H260:H269),"0")</f>
        <v>376.8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6702.72</v>
      </c>
      <c r="Y272" s="274">
        <f>IFERROR(Y29+Y35+Y42+Y49+Y57+Y62+Y66+Y71+Y77+Y83+Y88+Y94+Y105+Y111+Y123+Y128+Y132+Y138+Y144+Y150+Y155+Y160+Y165+Y170+Y177+Y185+Y189+Y195+Y203+Y208+Y213+Y218+Y224+Y230+Y236+Y240+Y247+Y252+Y258+Y271,"0")</f>
        <v>6702.72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7545.1</v>
      </c>
      <c r="Y273" s="274">
        <f>IFERROR(SUM(BN22:BN269),"0")</f>
        <v>7545.1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22</v>
      </c>
      <c r="Y274" s="38">
        <f>ROUNDUP(SUM(BP22:BP269),0)</f>
        <v>22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8095.1</v>
      </c>
      <c r="Y275" s="274">
        <f>GrossWeightTotalR+PalletQtyTotalR*25</f>
        <v>8095.1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1886</v>
      </c>
      <c r="Y276" s="274">
        <f>IFERROR(Y28+Y34+Y41+Y48+Y56+Y61+Y65+Y70+Y76+Y82+Y87+Y93+Y104+Y110+Y122+Y127+Y131+Y137+Y143+Y149+Y154+Y159+Y164+Y169+Y176+Y184+Y188+Y194+Y202+Y207+Y212+Y217+Y223+Y229+Y235+Y239+Y246+Y251+Y257+Y270,"0")</f>
        <v>1886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26.770939999999989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294</v>
      </c>
      <c r="E282" s="46">
        <f>IFERROR(X45*H45,"0")+IFERROR(X46*H46,"0")+IFERROR(X47*H47,"0")</f>
        <v>470.4</v>
      </c>
      <c r="F282" s="46">
        <f>IFERROR(X52*H52,"0")+IFERROR(X53*H53,"0")+IFERROR(X54*H54,"0")+IFERROR(X55*H55,"0")</f>
        <v>336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600</v>
      </c>
      <c r="I282" s="46">
        <f>IFERROR(X86*H86,"0")</f>
        <v>50.4</v>
      </c>
      <c r="J282" s="46">
        <f>IFERROR(X91*H91,"0")+IFERROR(X92*H92,"0")</f>
        <v>352.8</v>
      </c>
      <c r="K282" s="46">
        <f>IFERROR(X97*H97,"0")+IFERROR(X98*H98,"0")+IFERROR(X99*H99,"0")+IFERROR(X100*H100,"0")+IFERROR(X101*H101,"0")+IFERROR(X102*H102,"0")+IFERROR(X103*H103,"0")</f>
        <v>577.91999999999996</v>
      </c>
      <c r="L282" s="46">
        <f>IFERROR(X108*H108,"0")+IFERROR(X109*H109,"0")</f>
        <v>131.04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420</v>
      </c>
      <c r="N282" s="270"/>
      <c r="O282" s="46">
        <f>IFERROR(X135*H135,"0")+IFERROR(X136*H136,"0")</f>
        <v>630</v>
      </c>
      <c r="P282" s="46">
        <f>IFERROR(X141*H141,"0")+IFERROR(X142*H142,"0")</f>
        <v>294</v>
      </c>
      <c r="Q282" s="46">
        <f>IFERROR(X147*H147,"0")+IFERROR(X148*H148,"0")</f>
        <v>67.2</v>
      </c>
      <c r="R282" s="46">
        <f>IFERROR(X153*H153,"0")</f>
        <v>42</v>
      </c>
      <c r="S282" s="46">
        <f>IFERROR(X158*H158,"0")</f>
        <v>37.800000000000004</v>
      </c>
      <c r="T282" s="46">
        <f>IFERROR(X163*H163,"0")</f>
        <v>57.6</v>
      </c>
      <c r="U282" s="46">
        <f>IFERROR(X168*H168,"0")</f>
        <v>211.67999999999998</v>
      </c>
      <c r="V282" s="46">
        <f>IFERROR(X174*H174,"0")+IFERROR(X175*H175,"0")</f>
        <v>360</v>
      </c>
      <c r="W282" s="46">
        <f>IFERROR(X181*H181,"0")+IFERROR(X182*H182,"0")+IFERROR(X183*H183,"0")+IFERROR(X187*H187,"0")</f>
        <v>252</v>
      </c>
      <c r="X282" s="46">
        <f>IFERROR(X193*H193,"0")+IFERROR(X197*H197,"0")+IFERROR(X198*H198,"0")+IFERROR(X199*H199,"0")+IFERROR(X200*H200,"0")+IFERROR(X201*H201,"0")</f>
        <v>77.28</v>
      </c>
      <c r="Y282" s="46">
        <f>IFERROR(X206*H206,"0")</f>
        <v>420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934.2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2776.8</v>
      </c>
      <c r="B285" s="60">
        <f>SUMPRODUCT(--(BB:BB="ПГП"),--(W:W="кор"),H:H,Y:Y)+SUMPRODUCT(--(BB:BB="ПГП"),--(W:W="кг"),Y:Y)</f>
        <v>3925.92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