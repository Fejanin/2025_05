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C50B9071-EE70-47E6-8174-93F76480F72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Y269" i="1"/>
  <c r="X269" i="1"/>
  <c r="Z268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5" i="1"/>
  <c r="X244" i="1"/>
  <c r="BO243" i="1"/>
  <c r="BM243" i="1"/>
  <c r="Z243" i="1"/>
  <c r="Y243" i="1"/>
  <c r="P243" i="1"/>
  <c r="BP242" i="1"/>
  <c r="BO242" i="1"/>
  <c r="BN242" i="1"/>
  <c r="BM242" i="1"/>
  <c r="Z242" i="1"/>
  <c r="Z244" i="1" s="1"/>
  <c r="Y242" i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4" i="1" s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Y271" i="1" s="1"/>
  <c r="Y273" i="1" s="1"/>
  <c r="BN25" i="1"/>
  <c r="BN27" i="1"/>
  <c r="X270" i="1"/>
  <c r="BN32" i="1"/>
  <c r="BP32" i="1"/>
  <c r="Y272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X273" i="1" l="1"/>
  <c r="A283" i="1"/>
  <c r="Y270" i="1"/>
  <c r="B283" i="1" s="1"/>
  <c r="C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<sst xmlns="http://schemas.openxmlformats.org/spreadsheetml/2006/main" count="1222" uniqueCount="394">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</sst>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36</v>
      </c>
      <c r="Y24" s="269">
        <f t="shared" si="0"/>
        <v>36</v>
      </c>
      <c r="Z24" s="36">
        <f t="shared" si="1"/>
        <v>0.55800000000000005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268.92</v>
      </c>
      <c r="BN24" s="67">
        <f t="shared" si="3"/>
        <v>268.92</v>
      </c>
      <c r="BO24" s="67">
        <f t="shared" si="4"/>
        <v>0.42857142857142855</v>
      </c>
      <c r="BP24" s="67">
        <f t="shared" si="5"/>
        <v>0.42857142857142855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36</v>
      </c>
      <c r="Y28" s="270">
        <f>IFERROR(SUM(Y22:Y27),"0")</f>
        <v>36</v>
      </c>
      <c r="Z28" s="270">
        <f>IFERROR(IF(Z22="",0,Z22),"0")+IFERROR(IF(Z23="",0,Z23),"0")+IFERROR(IF(Z24="",0,Z24),"0")+IFERROR(IF(Z25="",0,Z25),"0")+IFERROR(IF(Z26="",0,Z26),"0")+IFERROR(IF(Z27="",0,Z27),"0")</f>
        <v>0.55800000000000005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259.2</v>
      </c>
      <c r="Y29" s="270">
        <f>IFERROR(SUMPRODUCT(Y22:Y27*H22:H27),"0")</f>
        <v>259.2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14</v>
      </c>
      <c r="Y39" s="269">
        <f>IFERROR(IF(X39="","",X39),"")</f>
        <v>14</v>
      </c>
      <c r="Z39" s="36">
        <f>IFERROR(IF(X39="","",X39*0.00941),"")</f>
        <v>0.13174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26.905200000000001</v>
      </c>
      <c r="BN39" s="67">
        <f>IFERROR(Y39*I39,"0")</f>
        <v>26.905200000000001</v>
      </c>
      <c r="BO39" s="67">
        <f>IFERROR(X39/J39,"0")</f>
        <v>0.1</v>
      </c>
      <c r="BP39" s="67">
        <f>IFERROR(Y39/J39,"0")</f>
        <v>0.1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14</v>
      </c>
      <c r="Y41" s="270">
        <f>IFERROR(SUM(Y39:Y40),"0")</f>
        <v>14</v>
      </c>
      <c r="Z41" s="270">
        <f>IFERROR(IF(Z39="",0,Z39),"0")+IFERROR(IF(Z40="",0,Z40),"0")</f>
        <v>0.13174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21</v>
      </c>
      <c r="Y42" s="270">
        <f>IFERROR(SUMPRODUCT(Y39:Y40*H39:H40),"0")</f>
        <v>21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24</v>
      </c>
      <c r="Y47" s="26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36</v>
      </c>
      <c r="Y48" s="270">
        <f>IFERROR(SUM(Y45:Y47),"0")</f>
        <v>36</v>
      </c>
      <c r="Z48" s="270">
        <f>IFERROR(IF(Z45="",0,Z45),"0")+IFERROR(IF(Z46="",0,Z46),"0")+IFERROR(IF(Z47="",0,Z47),"0")</f>
        <v>0.55800000000000005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201.59999999999997</v>
      </c>
      <c r="Y49" s="270">
        <f>IFERROR(SUMPRODUCT(Y45:Y47*H45:H47),"0")</f>
        <v>201.59999999999997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12</v>
      </c>
      <c r="Y52" s="269">
        <f>IFERROR(IF(X52="","",X52),"")</f>
        <v>12</v>
      </c>
      <c r="Z52" s="36">
        <f>IFERROR(IF(X52="","",X52*0.0155),"")</f>
        <v>0.186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87.6</v>
      </c>
      <c r="BN52" s="67">
        <f>IFERROR(Y52*I52,"0")</f>
        <v>87.6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24</v>
      </c>
      <c r="Y53" s="269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174.86399999999998</v>
      </c>
      <c r="BN53" s="67">
        <f>IFERROR(Y53*I53,"0")</f>
        <v>174.86399999999998</v>
      </c>
      <c r="BO53" s="67">
        <f>IFERROR(X53/J53,"0")</f>
        <v>0.2857142857142857</v>
      </c>
      <c r="BP53" s="67">
        <f>IFERROR(Y53/J53,"0")</f>
        <v>0.2857142857142857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36</v>
      </c>
      <c r="Y56" s="270">
        <f>IFERROR(SUM(Y52:Y55),"0")</f>
        <v>36</v>
      </c>
      <c r="Z56" s="270">
        <f>IFERROR(IF(Z52="",0,Z52),"0")+IFERROR(IF(Z53="",0,Z53),"0")+IFERROR(IF(Z54="",0,Z54),"0")+IFERROR(IF(Z55="",0,Z55),"0")</f>
        <v>0.55800000000000005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252</v>
      </c>
      <c r="Y57" s="270">
        <f>IFERROR(SUMPRODUCT(Y52:Y55*H52:H55),"0")</f>
        <v>252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84</v>
      </c>
      <c r="Y81" s="269">
        <f>IFERROR(IF(X81="","",X81),"")</f>
        <v>84</v>
      </c>
      <c r="Z81" s="36">
        <f>IFERROR(IF(X81="","",X81*0.00866),"")</f>
        <v>0.72743999999999998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437.90879999999999</v>
      </c>
      <c r="BN81" s="67">
        <f>IFERROR(Y81*I81,"0")</f>
        <v>437.90879999999999</v>
      </c>
      <c r="BO81" s="67">
        <f>IFERROR(X81/J81,"0")</f>
        <v>0.58333333333333337</v>
      </c>
      <c r="BP81" s="67">
        <f>IFERROR(Y81/J81,"0")</f>
        <v>0.58333333333333337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84</v>
      </c>
      <c r="Y82" s="270">
        <f>IFERROR(SUM(Y80:Y81),"0")</f>
        <v>84</v>
      </c>
      <c r="Z82" s="270">
        <f>IFERROR(IF(Z80="",0,Z80),"0")+IFERROR(IF(Z81="",0,Z81),"0")</f>
        <v>0.72743999999999998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420</v>
      </c>
      <c r="Y83" s="270">
        <f>IFERROR(SUMPRODUCT(Y80:Y81*H80:H81),"0")</f>
        <v>420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42</v>
      </c>
      <c r="Y91" s="269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28</v>
      </c>
      <c r="Y92" s="269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70</v>
      </c>
      <c r="Y93" s="270">
        <f>IFERROR(SUM(Y91:Y92),"0")</f>
        <v>70</v>
      </c>
      <c r="Z93" s="270">
        <f>IFERROR(IF(Z91="",0,Z91),"0")+IFERROR(IF(Z92="",0,Z92),"0")</f>
        <v>1.2515999999999998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252</v>
      </c>
      <c r="Y94" s="270">
        <f>IFERROR(SUMPRODUCT(Y91:Y92*H91:H92),"0")</f>
        <v>252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42</v>
      </c>
      <c r="Y97" s="269">
        <f t="shared" ref="Y97:Y102" si="6">IFERROR(IF(X97="","",X97),"")</f>
        <v>42</v>
      </c>
      <c r="Z97" s="36">
        <f t="shared" ref="Z97:Z102" si="7">IFERROR(IF(X97="","",X97*0.01788),"")</f>
        <v>0.75095999999999996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150.5112</v>
      </c>
      <c r="BN97" s="67">
        <f t="shared" ref="BN97:BN102" si="9">IFERROR(Y97*I97,"0")</f>
        <v>150.5112</v>
      </c>
      <c r="BO97" s="67">
        <f t="shared" ref="BO97:BO102" si="10">IFERROR(X97/J97,"0")</f>
        <v>0.6</v>
      </c>
      <c r="BP97" s="67">
        <f t="shared" ref="BP97:BP102" si="11">IFERROR(Y97/J97,"0")</f>
        <v>0.6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14</v>
      </c>
      <c r="Y98" s="269">
        <f t="shared" si="6"/>
        <v>14</v>
      </c>
      <c r="Z98" s="36">
        <f t="shared" si="7"/>
        <v>0.25031999999999999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50.170400000000001</v>
      </c>
      <c r="BN98" s="67">
        <f t="shared" si="9"/>
        <v>50.170400000000001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14</v>
      </c>
      <c r="Y99" s="269">
        <f t="shared" si="6"/>
        <v>14</v>
      </c>
      <c r="Z99" s="36">
        <f t="shared" si="7"/>
        <v>0.25031999999999999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28</v>
      </c>
      <c r="Y100" s="269">
        <f t="shared" si="6"/>
        <v>28</v>
      </c>
      <c r="Z100" s="36">
        <f t="shared" si="7"/>
        <v>0.50063999999999997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100.3408</v>
      </c>
      <c r="BN100" s="67">
        <f t="shared" si="9"/>
        <v>100.3408</v>
      </c>
      <c r="BO100" s="67">
        <f t="shared" si="10"/>
        <v>0.4</v>
      </c>
      <c r="BP100" s="67">
        <f t="shared" si="11"/>
        <v>0.4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98</v>
      </c>
      <c r="Y103" s="270">
        <f>IFERROR(SUM(Y97:Y102),"0")</f>
        <v>98</v>
      </c>
      <c r="Z103" s="270">
        <f>IFERROR(IF(Z97="",0,Z97),"0")+IFERROR(IF(Z98="",0,Z98),"0")+IFERROR(IF(Z99="",0,Z99),"0")+IFERROR(IF(Z100="",0,Z100),"0")+IFERROR(IF(Z101="",0,Z101),"0")+IFERROR(IF(Z102="",0,Z102),"0")</f>
        <v>1.7522399999999998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282.24</v>
      </c>
      <c r="Y104" s="270">
        <f>IFERROR(SUMPRODUCT(Y97:Y102*H97:H102),"0")</f>
        <v>282.24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28</v>
      </c>
      <c r="Y108" s="269">
        <f>IFERROR(IF(X108="","",X108),"")</f>
        <v>28</v>
      </c>
      <c r="Z108" s="36">
        <f>IFERROR(IF(X108="","",X108*0.01788),"")</f>
        <v>0.50063999999999997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118.83199999999999</v>
      </c>
      <c r="BN108" s="67">
        <f>IFERROR(Y108*I108,"0")</f>
        <v>118.83199999999999</v>
      </c>
      <c r="BO108" s="67">
        <f>IFERROR(X108/J108,"0")</f>
        <v>0.4</v>
      </c>
      <c r="BP108" s="67">
        <f>IFERROR(Y108/J108,"0")</f>
        <v>0.4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28</v>
      </c>
      <c r="Y109" s="270">
        <f>IFERROR(SUM(Y107:Y108),"0")</f>
        <v>28</v>
      </c>
      <c r="Z109" s="270">
        <f>IFERROR(IF(Z107="",0,Z107),"0")+IFERROR(IF(Z108="",0,Z108),"0")</f>
        <v>0.50063999999999997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100.8</v>
      </c>
      <c r="Y110" s="270">
        <f>IFERROR(SUMPRODUCT(Y107:Y108*H107:H108),"0")</f>
        <v>100.8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87.36</v>
      </c>
      <c r="BN114" s="67">
        <f t="shared" si="15"/>
        <v>87.36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12</v>
      </c>
      <c r="Y121" s="270">
        <f>IFERROR(SUM(Y113:Y120),"0")</f>
        <v>12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0.186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84</v>
      </c>
      <c r="Y122" s="270">
        <f>IFERROR(SUMPRODUCT(Y113:Y120*H113:H120),"0")</f>
        <v>84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42</v>
      </c>
      <c r="Y133" s="269">
        <f>IFERROR(IF(X133="","",X133),"")</f>
        <v>42</v>
      </c>
      <c r="Z133" s="36">
        <f>IFERROR(IF(X133="","",X133*0.01788),"")</f>
        <v>0.75095999999999996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155.55119999999999</v>
      </c>
      <c r="BN133" s="67">
        <f>IFERROR(Y133*I133,"0")</f>
        <v>155.55119999999999</v>
      </c>
      <c r="BO133" s="67">
        <f>IFERROR(X133/J133,"0")</f>
        <v>0.6</v>
      </c>
      <c r="BP133" s="67">
        <f>IFERROR(Y133/J133,"0")</f>
        <v>0.6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56</v>
      </c>
      <c r="Y134" s="269">
        <f>IFERROR(IF(X134="","",X134),"")</f>
        <v>56</v>
      </c>
      <c r="Z134" s="36">
        <f>IFERROR(IF(X134="","",X134*0.01788),"")</f>
        <v>1.0012799999999999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207.40159999999997</v>
      </c>
      <c r="BN134" s="67">
        <f>IFERROR(Y134*I134,"0")</f>
        <v>207.40159999999997</v>
      </c>
      <c r="BO134" s="67">
        <f>IFERROR(X134/J134,"0")</f>
        <v>0.8</v>
      </c>
      <c r="BP134" s="67">
        <f>IFERROR(Y134/J134,"0")</f>
        <v>0.8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98</v>
      </c>
      <c r="Y135" s="270">
        <f>IFERROR(SUM(Y133:Y134),"0")</f>
        <v>98</v>
      </c>
      <c r="Z135" s="270">
        <f>IFERROR(IF(Z133="",0,Z133),"0")+IFERROR(IF(Z134="",0,Z134),"0")</f>
        <v>1.75224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294</v>
      </c>
      <c r="Y136" s="270">
        <f>IFERROR(SUMPRODUCT(Y133:Y134*H133:H134),"0")</f>
        <v>294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28</v>
      </c>
      <c r="Y139" s="269">
        <f>IFERROR(IF(X139="","",X139),"")</f>
        <v>28</v>
      </c>
      <c r="Z139" s="36">
        <f>IFERROR(IF(X139="","",X139*0.01788),"")</f>
        <v>0.50063999999999997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104.944</v>
      </c>
      <c r="BN139" s="67">
        <f>IFERROR(Y139*I139,"0")</f>
        <v>104.944</v>
      </c>
      <c r="BO139" s="67">
        <f>IFERROR(X139/J139,"0")</f>
        <v>0.4</v>
      </c>
      <c r="BP139" s="67">
        <f>IFERROR(Y139/J139,"0")</f>
        <v>0.4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14</v>
      </c>
      <c r="Y140" s="269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42</v>
      </c>
      <c r="Y141" s="270">
        <f>IFERROR(SUM(Y139:Y140),"0")</f>
        <v>42</v>
      </c>
      <c r="Z141" s="270">
        <f>IFERROR(IF(Z139="",0,Z139),"0")+IFERROR(IF(Z140="",0,Z140),"0")</f>
        <v>0.75095999999999996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126</v>
      </c>
      <c r="Y142" s="270">
        <f>IFERROR(SUMPRODUCT(Y139:Y140*H139:H140),"0")</f>
        <v>126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28</v>
      </c>
      <c r="Y145" s="269">
        <f>IFERROR(IF(X145="","",X145),"")</f>
        <v>28</v>
      </c>
      <c r="Z145" s="36">
        <f>IFERROR(IF(X145="","",X145*0.01788),"")</f>
        <v>0.50063999999999997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75.040000000000006</v>
      </c>
      <c r="BN145" s="67">
        <f>IFERROR(Y145*I145,"0")</f>
        <v>75.040000000000006</v>
      </c>
      <c r="BO145" s="67">
        <f>IFERROR(X145/J145,"0")</f>
        <v>0.4</v>
      </c>
      <c r="BP145" s="67">
        <f>IFERROR(Y145/J145,"0")</f>
        <v>0.4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28</v>
      </c>
      <c r="Y146" s="269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56</v>
      </c>
      <c r="Y147" s="270">
        <f>IFERROR(SUM(Y145:Y146),"0")</f>
        <v>56</v>
      </c>
      <c r="Z147" s="270">
        <f>IFERROR(IF(Z145="",0,Z145),"0")+IFERROR(IF(Z146="",0,Z146),"0")</f>
        <v>1.0012799999999999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134.4</v>
      </c>
      <c r="Y148" s="270">
        <f>IFERROR(SUMPRODUCT(Y145:Y146*H145:H146),"0")</f>
        <v>134.4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14</v>
      </c>
      <c r="Y151" s="269">
        <f>IFERROR(IF(X151="","",X151),"")</f>
        <v>14</v>
      </c>
      <c r="Z151" s="36">
        <f>IFERROR(IF(X151="","",X151*0.01788),"")</f>
        <v>0.25031999999999999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51.850399999999993</v>
      </c>
      <c r="BN151" s="67">
        <f>IFERROR(Y151*I151,"0")</f>
        <v>51.850399999999993</v>
      </c>
      <c r="BO151" s="67">
        <f>IFERROR(X151/J151,"0")</f>
        <v>0.2</v>
      </c>
      <c r="BP151" s="67">
        <f>IFERROR(Y151/J151,"0")</f>
        <v>0.2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14</v>
      </c>
      <c r="Y152" s="270">
        <f>IFERROR(SUM(Y151:Y151),"0")</f>
        <v>14</v>
      </c>
      <c r="Z152" s="270">
        <f>IFERROR(IF(Z151="",0,Z151),"0")</f>
        <v>0.25031999999999999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42</v>
      </c>
      <c r="Y153" s="270">
        <f>IFERROR(SUMPRODUCT(Y151:Y151*H151:H151),"0")</f>
        <v>42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42</v>
      </c>
      <c r="Y166" s="269">
        <f>IFERROR(IF(X166="","",X166),"")</f>
        <v>42</v>
      </c>
      <c r="Z166" s="36">
        <f>IFERROR(IF(X166="","",X166*0.00941),"")</f>
        <v>0.39522000000000002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88.275599999999997</v>
      </c>
      <c r="BN166" s="67">
        <f>IFERROR(Y166*I166,"0")</f>
        <v>88.275599999999997</v>
      </c>
      <c r="BO166" s="67">
        <f>IFERROR(X166/J166,"0")</f>
        <v>0.3</v>
      </c>
      <c r="BP166" s="67">
        <f>IFERROR(Y166/J166,"0")</f>
        <v>0.3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42</v>
      </c>
      <c r="Y167" s="270">
        <f>IFERROR(SUM(Y166:Y166),"0")</f>
        <v>42</v>
      </c>
      <c r="Z167" s="270">
        <f>IFERROR(IF(Z166="",0,Z166),"0")</f>
        <v>0.39522000000000002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70.56</v>
      </c>
      <c r="Y168" s="270">
        <f>IFERROR(SUMPRODUCT(Y166:Y166*H166:H166),"0")</f>
        <v>70.56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24</v>
      </c>
      <c r="Y173" s="269">
        <f>IFERROR(IF(X173="","",X173),"")</f>
        <v>24</v>
      </c>
      <c r="Z173" s="36">
        <f>IFERROR(IF(X173="","",X173*0.00866),"")</f>
        <v>0.20783999999999997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125.11679999999998</v>
      </c>
      <c r="BN173" s="67">
        <f>IFERROR(Y173*I173,"0")</f>
        <v>125.11679999999998</v>
      </c>
      <c r="BO173" s="67">
        <f>IFERROR(X173/J173,"0")</f>
        <v>0.16666666666666666</v>
      </c>
      <c r="BP173" s="67">
        <f>IFERROR(Y173/J173,"0")</f>
        <v>0.16666666666666666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24</v>
      </c>
      <c r="Y174" s="270">
        <f>IFERROR(SUM(Y172:Y173),"0")</f>
        <v>24</v>
      </c>
      <c r="Z174" s="270">
        <f>IFERROR(IF(Z172="",0,Z172),"0")+IFERROR(IF(Z173="",0,Z173),"0")</f>
        <v>0.20783999999999997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120</v>
      </c>
      <c r="Y175" s="270">
        <f>IFERROR(SUMPRODUCT(Y172:Y173*H172:H173),"0")</f>
        <v>120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42</v>
      </c>
      <c r="Y179" s="269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142.29599999999999</v>
      </c>
      <c r="BN179" s="67">
        <f>IFERROR(Y179*I179,"0")</f>
        <v>142.29599999999999</v>
      </c>
      <c r="BO179" s="67">
        <f>IFERROR(X179/J179,"0")</f>
        <v>0.6</v>
      </c>
      <c r="BP179" s="67">
        <f>IFERROR(Y179/J179,"0")</f>
        <v>0.6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28</v>
      </c>
      <c r="Y181" s="269">
        <f>IFERROR(IF(X181="","",X181),"")</f>
        <v>28</v>
      </c>
      <c r="Z181" s="36">
        <f>IFERROR(IF(X181="","",X181*0.01788),"")</f>
        <v>0.50063999999999997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104.608</v>
      </c>
      <c r="BN181" s="67">
        <f>IFERROR(Y181*I181,"0")</f>
        <v>104.608</v>
      </c>
      <c r="BO181" s="67">
        <f>IFERROR(X181/J181,"0")</f>
        <v>0.4</v>
      </c>
      <c r="BP181" s="67">
        <f>IFERROR(Y181/J181,"0")</f>
        <v>0.4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70</v>
      </c>
      <c r="Y182" s="270">
        <f>IFERROR(SUM(Y179:Y181),"0")</f>
        <v>70</v>
      </c>
      <c r="Z182" s="270">
        <f>IFERROR(IF(Z179="",0,Z179),"0")+IFERROR(IF(Z180="",0,Z180),"0")+IFERROR(IF(Z181="",0,Z181),"0")</f>
        <v>1.2515999999999998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210</v>
      </c>
      <c r="Y183" s="270">
        <f>IFERROR(SUMPRODUCT(Y179:Y181*H179:H181),"0")</f>
        <v>210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70</v>
      </c>
      <c r="Y191" s="269">
        <f>IFERROR(IF(X191="","",X191),"")</f>
        <v>70</v>
      </c>
      <c r="Z191" s="36">
        <f>IFERROR(IF(X191="","",X191*0.01788),"")</f>
        <v>1.2516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208.6</v>
      </c>
      <c r="BN191" s="67">
        <f>IFERROR(Y191*I191,"0")</f>
        <v>208.6</v>
      </c>
      <c r="BO191" s="67">
        <f>IFERROR(X191/J191,"0")</f>
        <v>1</v>
      </c>
      <c r="BP191" s="67">
        <f>IFERROR(Y191/J191,"0")</f>
        <v>1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70</v>
      </c>
      <c r="Y192" s="270">
        <f>IFERROR(SUM(Y191:Y191),"0")</f>
        <v>70</v>
      </c>
      <c r="Z192" s="270">
        <f>IFERROR(IF(Z191="",0,Z191),"0")</f>
        <v>1.2516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193.2</v>
      </c>
      <c r="Y193" s="270">
        <f>IFERROR(SUMPRODUCT(Y191:Y191*H191:H191),"0")</f>
        <v>193.2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14</v>
      </c>
      <c r="Y195" s="269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43.450400000000002</v>
      </c>
      <c r="BN195" s="67">
        <f>IFERROR(Y195*I195,"0")</f>
        <v>43.450400000000002</v>
      </c>
      <c r="BO195" s="67">
        <f>IFERROR(X195/J195,"0")</f>
        <v>0.2</v>
      </c>
      <c r="BP195" s="67">
        <f>IFERROR(Y195/J195,"0")</f>
        <v>0.2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14</v>
      </c>
      <c r="Y200" s="270">
        <f>IFERROR(SUM(Y195:Y199),"0")</f>
        <v>14</v>
      </c>
      <c r="Z200" s="270">
        <f>IFERROR(IF(Z195="",0,Z195),"0")+IFERROR(IF(Z196="",0,Z196),"0")+IFERROR(IF(Z197="",0,Z197),"0")+IFERROR(IF(Z198="",0,Z198),"0")+IFERROR(IF(Z199="",0,Z199),"0")</f>
        <v>0.25031999999999999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33.6</v>
      </c>
      <c r="Y201" s="270">
        <f>IFERROR(SUMPRODUCT(Y195:Y199*H195:H199),"0")</f>
        <v>33.6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132</v>
      </c>
      <c r="Y204" s="269">
        <f>IFERROR(IF(X204="","",X204),"")</f>
        <v>132</v>
      </c>
      <c r="Z204" s="36">
        <f>IFERROR(IF(X204="","",X204*0.0155),"")</f>
        <v>2.0459999999999998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690.36</v>
      </c>
      <c r="BN204" s="67">
        <f>IFERROR(Y204*I204,"0")</f>
        <v>690.36</v>
      </c>
      <c r="BO204" s="67">
        <f>IFERROR(X204/J204,"0")</f>
        <v>1.5714285714285714</v>
      </c>
      <c r="BP204" s="67">
        <f>IFERROR(Y204/J204,"0")</f>
        <v>1.5714285714285714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132</v>
      </c>
      <c r="Y205" s="270">
        <f>IFERROR(SUM(Y204:Y204),"0")</f>
        <v>132</v>
      </c>
      <c r="Z205" s="270">
        <f>IFERROR(IF(Z204="",0,Z204),"0")</f>
        <v>2.0459999999999998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660</v>
      </c>
      <c r="Y206" s="270">
        <f>IFERROR(SUMPRODUCT(Y204:Y204*H204:H204),"0")</f>
        <v>660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12</v>
      </c>
      <c r="Y247" s="269">
        <f>IFERROR(IF(X247="","",X247),"")</f>
        <v>12</v>
      </c>
      <c r="Z247" s="36">
        <f>IFERROR(IF(X247="","",X247*0.0155),"")</f>
        <v>0.186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75.12</v>
      </c>
      <c r="BN247" s="67">
        <f>IFERROR(Y247*I247,"0")</f>
        <v>75.12</v>
      </c>
      <c r="BO247" s="67">
        <f>IFERROR(X247/J247,"0")</f>
        <v>0.14285714285714285</v>
      </c>
      <c r="BP247" s="67">
        <f>IFERROR(Y247/J247,"0")</f>
        <v>0.14285714285714285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12</v>
      </c>
      <c r="Y249" s="270">
        <f>IFERROR(SUM(Y247:Y248),"0")</f>
        <v>12</v>
      </c>
      <c r="Z249" s="270">
        <f>IFERROR(IF(Z247="",0,Z247),"0")+IFERROR(IF(Z248="",0,Z248),"0")</f>
        <v>0.186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72</v>
      </c>
      <c r="Y250" s="270">
        <f>IFERROR(SUMPRODUCT(Y247:Y248*H247:H248),"0")</f>
        <v>72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84</v>
      </c>
      <c r="Y253" s="269">
        <f>IFERROR(IF(X253="","",X253),"")</f>
        <v>84</v>
      </c>
      <c r="Z253" s="36">
        <f>IFERROR(IF(X253="","",X253*0.0155),"")</f>
        <v>1.302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439.74</v>
      </c>
      <c r="BN253" s="67">
        <f>IFERROR(Y253*I253,"0")</f>
        <v>439.74</v>
      </c>
      <c r="BO253" s="67">
        <f>IFERROR(X253/J253,"0")</f>
        <v>1</v>
      </c>
      <c r="BP253" s="67">
        <f>IFERROR(Y253/J253,"0")</f>
        <v>1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84</v>
      </c>
      <c r="Y255" s="270">
        <f>IFERROR(SUM(Y252:Y254),"0")</f>
        <v>84</v>
      </c>
      <c r="Z255" s="270">
        <f>IFERROR(IF(Z252="",0,Z252),"0")+IFERROR(IF(Z253="",0,Z253),"0")+IFERROR(IF(Z254="",0,Z254),"0")</f>
        <v>1.302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420</v>
      </c>
      <c r="Y256" s="270">
        <f>IFERROR(SUMPRODUCT(Y252:Y254*H252:H254),"0")</f>
        <v>420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14</v>
      </c>
      <c r="Y259" s="269">
        <f t="shared" si="18"/>
        <v>14</v>
      </c>
      <c r="Z259" s="36">
        <f>IFERROR(IF(X259="","",X259*0.00936),"")</f>
        <v>0.13103999999999999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54.488</v>
      </c>
      <c r="BN259" s="67">
        <f t="shared" si="20"/>
        <v>54.488</v>
      </c>
      <c r="BO259" s="67">
        <f t="shared" si="21"/>
        <v>0.1111111111111111</v>
      </c>
      <c r="BP259" s="67">
        <f t="shared" si="22"/>
        <v>0.1111111111111111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12</v>
      </c>
      <c r="Y260" s="269">
        <f t="shared" si="18"/>
        <v>12</v>
      </c>
      <c r="Z260" s="36">
        <f>IFERROR(IF(X260="","",X260*0.0155),"")</f>
        <v>0.186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68.820000000000007</v>
      </c>
      <c r="BN260" s="67">
        <f t="shared" si="20"/>
        <v>68.820000000000007</v>
      </c>
      <c r="BO260" s="67">
        <f t="shared" si="21"/>
        <v>0.14285714285714285</v>
      </c>
      <c r="BP260" s="67">
        <f t="shared" si="22"/>
        <v>0.14285714285714285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26</v>
      </c>
      <c r="Y268" s="270">
        <f>IFERROR(SUM(Y258:Y267),"0")</f>
        <v>26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0.31703999999999999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117.80000000000001</v>
      </c>
      <c r="Y269" s="270">
        <f>IFERROR(SUMPRODUCT(Y258:Y267*H258:H267),"0")</f>
        <v>117.80000000000001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4416.8</v>
      </c>
      <c r="Y270" s="270">
        <f>IFERROR(Y29+Y35+Y42+Y49+Y57+Y62+Y66+Y71+Y77+Y83+Y88+Y94+Y104+Y110+Y122+Y126+Y130+Y136+Y142+Y148+Y153+Y158+Y163+Y168+Y175+Y183+Y187+Y193+Y201+Y206+Y211+Y216+Y222+Y228+Y234+Y238+Y245+Y250+Y256+Y269,"0")</f>
        <v>4416.8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4888.9575999999988</v>
      </c>
      <c r="Y271" s="270">
        <f>IFERROR(SUM(BN22:BN267),"0")</f>
        <v>4888.9575999999988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14</v>
      </c>
      <c r="Y272" s="38">
        <f>ROUNDUP(SUM(BP22:BP267),0)</f>
        <v>14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5238.9575999999988</v>
      </c>
      <c r="Y273" s="270">
        <f>GrossWeightTotalR+PalletQtyTotalR*25</f>
        <v>5238.9575999999988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1112</v>
      </c>
      <c r="Y274" s="270">
        <f>IFERROR(Y28+Y34+Y41+Y48+Y56+Y61+Y65+Y70+Y76+Y82+Y87+Y93+Y103+Y109+Y121+Y125+Y129+Y135+Y141+Y147+Y152+Y157+Y162+Y167+Y174+Y182+Y186+Y192+Y200+Y205+Y210+Y215+Y221+Y227+Y233+Y237+Y244+Y249+Y255+Y268,"0")</f>
        <v>1112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17.436399999999995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259.2</v>
      </c>
      <c r="C280" s="46">
        <f>IFERROR(X32*H32,"0")+IFERROR(X33*H33,"0")</f>
        <v>0</v>
      </c>
      <c r="D280" s="46">
        <f>IFERROR(X39*H39,"0")+IFERROR(X40*H40,"0")</f>
        <v>21</v>
      </c>
      <c r="E280" s="46">
        <f>IFERROR(X45*H45,"0")+IFERROR(X46*H46,"0")+IFERROR(X47*H47,"0")</f>
        <v>201.59999999999997</v>
      </c>
      <c r="F280" s="46">
        <f>IFERROR(X52*H52,"0")+IFERROR(X53*H53,"0")+IFERROR(X54*H54,"0")+IFERROR(X55*H55,"0")</f>
        <v>252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420</v>
      </c>
      <c r="I280" s="46">
        <f>IFERROR(X86*H86,"0")</f>
        <v>50.4</v>
      </c>
      <c r="J280" s="46">
        <f>IFERROR(X91*H91,"0")+IFERROR(X92*H92,"0")</f>
        <v>252</v>
      </c>
      <c r="K280" s="46">
        <f>IFERROR(X97*H97,"0")+IFERROR(X98*H98,"0")+IFERROR(X99*H99,"0")+IFERROR(X100*H100,"0")+IFERROR(X101*H101,"0")+IFERROR(X102*H102,"0")</f>
        <v>282.24</v>
      </c>
      <c r="L280" s="46">
        <f>IFERROR(X107*H107,"0")+IFERROR(X108*H108,"0")</f>
        <v>100.8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84</v>
      </c>
      <c r="N280" s="266"/>
      <c r="O280" s="46">
        <f>IFERROR(X133*H133,"0")+IFERROR(X134*H134,"0")</f>
        <v>294</v>
      </c>
      <c r="P280" s="46">
        <f>IFERROR(X139*H139,"0")+IFERROR(X140*H140,"0")</f>
        <v>126</v>
      </c>
      <c r="Q280" s="46">
        <f>IFERROR(X145*H145,"0")+IFERROR(X146*H146,"0")</f>
        <v>134.4</v>
      </c>
      <c r="R280" s="46">
        <f>IFERROR(X151*H151,"0")</f>
        <v>42</v>
      </c>
      <c r="S280" s="46">
        <f>IFERROR(X156*H156,"0")</f>
        <v>0</v>
      </c>
      <c r="T280" s="46">
        <f>IFERROR(X161*H161,"0")</f>
        <v>0</v>
      </c>
      <c r="U280" s="46">
        <f>IFERROR(X166*H166,"0")</f>
        <v>70.56</v>
      </c>
      <c r="V280" s="46">
        <f>IFERROR(X172*H172,"0")+IFERROR(X173*H173,"0")</f>
        <v>120</v>
      </c>
      <c r="W280" s="46">
        <f>IFERROR(X179*H179,"0")+IFERROR(X180*H180,"0")+IFERROR(X181*H181,"0")+IFERROR(X185*H185,"0")</f>
        <v>210</v>
      </c>
      <c r="X280" s="46">
        <f>IFERROR(X191*H191,"0")+IFERROR(X195*H195,"0")+IFERROR(X196*H196,"0")+IFERROR(X197*H197,"0")+IFERROR(X198*H198,"0")+IFERROR(X199*H199,"0")</f>
        <v>226.79999999999998</v>
      </c>
      <c r="Y280" s="46">
        <f>IFERROR(X204*H204,"0")</f>
        <v>660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609.79999999999995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1996.8</v>
      </c>
      <c r="B283" s="60">
        <f>SUMPRODUCT(--(BB:BB="ПГП"),--(W:W="кор"),H:H,Y:Y)+SUMPRODUCT(--(BB:BB="ПГП"),--(W:W="кг"),Y:Y)</f>
        <v>2420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2026-01-09T08:12:21Z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