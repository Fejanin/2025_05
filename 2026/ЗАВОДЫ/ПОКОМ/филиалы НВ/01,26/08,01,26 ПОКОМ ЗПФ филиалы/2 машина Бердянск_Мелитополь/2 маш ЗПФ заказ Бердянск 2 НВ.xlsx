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2 машина Бердянск_Мелитополь\"/>
    </mc:Choice>
  </mc:AlternateContent>
  <xr:revisionPtr revIDLastSave="0" documentId="13_ncr:1_{26F357ED-E9C7-4E46-B831-E772FC412D8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Y245" i="1"/>
  <c r="X245" i="1"/>
  <c r="Z244" i="1"/>
  <c r="X244" i="1"/>
  <c r="BO243" i="1"/>
  <c r="BM243" i="1"/>
  <c r="Z243" i="1"/>
  <c r="Y243" i="1"/>
  <c r="P243" i="1"/>
  <c r="BP242" i="1"/>
  <c r="BO242" i="1"/>
  <c r="BN242" i="1"/>
  <c r="BM242" i="1"/>
  <c r="Z242" i="1"/>
  <c r="Y242" i="1"/>
  <c r="Y244" i="1" s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O140" i="1"/>
  <c r="BN140" i="1"/>
  <c r="BM140" i="1"/>
  <c r="Z140" i="1"/>
  <c r="Y140" i="1"/>
  <c r="BP140" i="1" s="1"/>
  <c r="P140" i="1"/>
  <c r="BO139" i="1"/>
  <c r="BM139" i="1"/>
  <c r="Z139" i="1"/>
  <c r="Z141" i="1" s="1"/>
  <c r="Y139" i="1"/>
  <c r="Y142" i="1" s="1"/>
  <c r="P139" i="1"/>
  <c r="X136" i="1"/>
  <c r="X135" i="1"/>
  <c r="BO134" i="1"/>
  <c r="BM134" i="1"/>
  <c r="Z134" i="1"/>
  <c r="Y134" i="1"/>
  <c r="BP134" i="1" s="1"/>
  <c r="P134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9" i="1" s="1"/>
  <c r="P45" i="1"/>
  <c r="Y42" i="1"/>
  <c r="X42" i="1"/>
  <c r="Z41" i="1"/>
  <c r="X41" i="1"/>
  <c r="BO40" i="1"/>
  <c r="BM40" i="1"/>
  <c r="Z40" i="1"/>
  <c r="Y40" i="1"/>
  <c r="P40" i="1"/>
  <c r="BP39" i="1"/>
  <c r="BO39" i="1"/>
  <c r="BN39" i="1"/>
  <c r="BM39" i="1"/>
  <c r="Z39" i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X271" i="1"/>
  <c r="X272" i="1"/>
  <c r="BN23" i="1"/>
  <c r="BN25" i="1"/>
  <c r="BN27" i="1"/>
  <c r="Y28" i="1"/>
  <c r="X270" i="1"/>
  <c r="BN32" i="1"/>
  <c r="BP32" i="1"/>
  <c r="BP40" i="1"/>
  <c r="Y272" i="1" s="1"/>
  <c r="BN40" i="1"/>
  <c r="Y57" i="1"/>
  <c r="Y270" i="1" s="1"/>
  <c r="BP52" i="1"/>
  <c r="BN52" i="1"/>
  <c r="Y56" i="1"/>
  <c r="F9" i="1"/>
  <c r="J9" i="1"/>
  <c r="Y34" i="1"/>
  <c r="Y48" i="1"/>
  <c r="BP45" i="1"/>
  <c r="BN45" i="1"/>
  <c r="BP47" i="1"/>
  <c r="BN47" i="1"/>
  <c r="Y71" i="1"/>
  <c r="Y77" i="1"/>
  <c r="Y82" i="1"/>
  <c r="Y94" i="1"/>
  <c r="Y103" i="1"/>
  <c r="Y110" i="1"/>
  <c r="Y121" i="1"/>
  <c r="BP133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BN54" i="1"/>
  <c r="Y271" i="1" s="1"/>
  <c r="Y273" i="1" s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BN139" i="1"/>
  <c r="BP139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Z275" i="1" s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A283" i="1" l="1"/>
  <c r="Y274" i="1"/>
  <c r="B283" i="1" s="1"/>
  <c r="X273" i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<sst xmlns="http://schemas.openxmlformats.org/spreadsheetml/2006/main" count="1222" uniqueCount="394">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</sst>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112</v>
      </c>
      <c r="Y39" s="269">
        <f>IFERROR(IF(X39="","",X39),"")</f>
        <v>112</v>
      </c>
      <c r="Z39" s="36">
        <f>IFERROR(IF(X39="","",X39*0.00941),"")</f>
        <v>1.05392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215.24160000000001</v>
      </c>
      <c r="BN39" s="67">
        <f>IFERROR(Y39*I39,"0")</f>
        <v>215.24160000000001</v>
      </c>
      <c r="BO39" s="67">
        <f>IFERROR(X39/J39,"0")</f>
        <v>0.8</v>
      </c>
      <c r="BP39" s="67">
        <f>IFERROR(Y39/J39,"0")</f>
        <v>0.8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112</v>
      </c>
      <c r="Y41" s="270">
        <f>IFERROR(SUM(Y39:Y40),"0")</f>
        <v>112</v>
      </c>
      <c r="Z41" s="270">
        <f>IFERROR(IF(Z39="",0,Z39),"0")+IFERROR(IF(Z40="",0,Z40),"0")</f>
        <v>1.05392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168</v>
      </c>
      <c r="Y42" s="270">
        <f>IFERROR(SUMPRODUCT(Y39:Y40*H39:H40),"0")</f>
        <v>168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70</v>
      </c>
      <c r="Y103" s="270">
        <f>IFERROR(SUM(Y97:Y102),"0")</f>
        <v>70</v>
      </c>
      <c r="Z103" s="270">
        <f>IFERROR(IF(Z97="",0,Z97),"0")+IFERROR(IF(Z98="",0,Z98),"0")+IFERROR(IF(Z99="",0,Z99),"0")+IFERROR(IF(Z100="",0,Z100),"0")+IFERROR(IF(Z101="",0,Z101),"0")+IFERROR(IF(Z102="",0,Z102),"0")</f>
        <v>1.2516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201.6</v>
      </c>
      <c r="Y104" s="270">
        <f>IFERROR(SUMPRODUCT(Y97:Y102*H97:H102),"0")</f>
        <v>201.6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72</v>
      </c>
      <c r="Y119" s="269">
        <f t="shared" si="12"/>
        <v>72</v>
      </c>
      <c r="Z119" s="36">
        <f t="shared" si="13"/>
        <v>1.1160000000000001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72</v>
      </c>
      <c r="Y121" s="270">
        <f>IFERROR(SUM(Y113:Y120),"0")</f>
        <v>72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1.1160000000000001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504</v>
      </c>
      <c r="Y122" s="270">
        <f>IFERROR(SUMPRODUCT(Y113:Y120*H113:H120),"0")</f>
        <v>504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56</v>
      </c>
      <c r="Y133" s="269">
        <f>IFERROR(IF(X133="","",X133),"")</f>
        <v>56</v>
      </c>
      <c r="Z133" s="36">
        <f>IFERROR(IF(X133="","",X133*0.01788),"")</f>
        <v>1.0012799999999999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207.40159999999997</v>
      </c>
      <c r="BN133" s="67">
        <f>IFERROR(Y133*I133,"0")</f>
        <v>207.40159999999997</v>
      </c>
      <c r="BO133" s="67">
        <f>IFERROR(X133/J133,"0")</f>
        <v>0.8</v>
      </c>
      <c r="BP133" s="67">
        <f>IFERROR(Y133/J133,"0")</f>
        <v>0.8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126</v>
      </c>
      <c r="Y135" s="270">
        <f>IFERROR(SUM(Y133:Y134),"0")</f>
        <v>126</v>
      </c>
      <c r="Z135" s="270">
        <f>IFERROR(IF(Z133="",0,Z133),"0")+IFERROR(IF(Z134="",0,Z134),"0")</f>
        <v>2.2528800000000002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378</v>
      </c>
      <c r="Y136" s="270">
        <f>IFERROR(SUMPRODUCT(Y133:Y134*H133:H134),"0")</f>
        <v>378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0</v>
      </c>
      <c r="Y166" s="269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0</v>
      </c>
      <c r="Y167" s="270">
        <f>IFERROR(SUM(Y166:Y166),"0")</f>
        <v>0</v>
      </c>
      <c r="Z167" s="270">
        <f>IFERROR(IF(Z166="",0,Z166),"0")</f>
        <v>0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0</v>
      </c>
      <c r="Y168" s="270">
        <f>IFERROR(SUMPRODUCT(Y166:Y166*H166:H166),"0")</f>
        <v>0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56</v>
      </c>
      <c r="Y180" s="269">
        <f>IFERROR(IF(X180="","",X180),"")</f>
        <v>56</v>
      </c>
      <c r="Z180" s="36">
        <f>IFERROR(IF(X180="","",X180*0.01788),"")</f>
        <v>1.0012799999999999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189.72800000000001</v>
      </c>
      <c r="BN180" s="67">
        <f>IFERROR(Y180*I180,"0")</f>
        <v>189.72800000000001</v>
      </c>
      <c r="BO180" s="67">
        <f>IFERROR(X180/J180,"0")</f>
        <v>0.8</v>
      </c>
      <c r="BP180" s="67">
        <f>IFERROR(Y180/J180,"0")</f>
        <v>0.8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56</v>
      </c>
      <c r="Y182" s="270">
        <f>IFERROR(SUM(Y179:Y181),"0")</f>
        <v>56</v>
      </c>
      <c r="Z182" s="270">
        <f>IFERROR(IF(Z179="",0,Z179),"0")+IFERROR(IF(Z180="",0,Z180),"0")+IFERROR(IF(Z181="",0,Z181),"0")</f>
        <v>1.0012799999999999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168</v>
      </c>
      <c r="Y183" s="270">
        <f>IFERROR(SUMPRODUCT(Y179:Y181*H179:H181),"0")</f>
        <v>168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1491.6</v>
      </c>
      <c r="Y270" s="270">
        <f>IFERROR(Y29+Y35+Y42+Y49+Y57+Y62+Y66+Y71+Y77+Y83+Y88+Y94+Y104+Y110+Y122+Y126+Y130+Y136+Y142+Y148+Y153+Y158+Y163+Y168+Y175+Y183+Y187+Y193+Y201+Y206+Y211+Y216+Y222+Y228+Y234+Y238+Y245+Y250+Y256+Y269,"0")</f>
        <v>1491.6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1723.1952000000001</v>
      </c>
      <c r="Y271" s="270">
        <f>IFERROR(SUM(BN22:BN267),"0")</f>
        <v>1723.1952000000001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6</v>
      </c>
      <c r="Y272" s="38">
        <f>ROUNDUP(SUM(BP22:BP267),0)</f>
        <v>6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1873.1952000000001</v>
      </c>
      <c r="Y273" s="270">
        <f>GrossWeightTotalR+PalletQtyTotalR*25</f>
        <v>1873.1952000000001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448</v>
      </c>
      <c r="Y274" s="270">
        <f>IFERROR(Y28+Y34+Y41+Y48+Y56+Y61+Y65+Y70+Y76+Y82+Y87+Y93+Y103+Y109+Y121+Y125+Y129+Y135+Y141+Y147+Y152+Y157+Y162+Y167+Y174+Y182+Y186+Y192+Y200+Y205+Y210+Y215+Y221+Y227+Y233+Y237+Y244+Y249+Y255+Y268,"0")</f>
        <v>448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6.8616799999999998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168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201.6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504</v>
      </c>
      <c r="N280" s="266"/>
      <c r="O280" s="46">
        <f>IFERROR(X133*H133,"0")+IFERROR(X134*H134,"0")</f>
        <v>378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0</v>
      </c>
      <c r="V280" s="46">
        <f>IFERROR(X172*H172,"0")+IFERROR(X173*H173,"0")</f>
        <v>0</v>
      </c>
      <c r="W280" s="46">
        <f>IFERROR(X179*H179,"0")+IFERROR(X180*H180,"0")+IFERROR(X181*H181,"0")+IFERROR(X185*H185,"0")</f>
        <v>168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72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504</v>
      </c>
      <c r="B283" s="60">
        <f>SUMPRODUCT(--(BB:BB="ПГП"),--(W:W="кор"),H:H,Y:Y)+SUMPRODUCT(--(BB:BB="ПГП"),--(W:W="кг"),Y:Y)</f>
        <v>987.6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2026-01-09T08:15:41Z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