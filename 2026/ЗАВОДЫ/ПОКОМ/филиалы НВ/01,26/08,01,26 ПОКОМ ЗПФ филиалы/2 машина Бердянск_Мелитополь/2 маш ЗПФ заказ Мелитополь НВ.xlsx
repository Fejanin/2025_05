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2 машина Бердянск_Мелитополь\"/>
    </mc:Choice>
  </mc:AlternateContent>
  <xr:revisionPtr revIDLastSave="0" documentId="13_ncr:1_{5F650561-1978-449D-9D7F-4D0A1D9BD23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5" i="1"/>
  <c r="X245" i="1"/>
  <c r="Z244" i="1"/>
  <c r="X244" i="1"/>
  <c r="BO243" i="1"/>
  <c r="BM243" i="1"/>
  <c r="Z243" i="1"/>
  <c r="Y243" i="1"/>
  <c r="P243" i="1"/>
  <c r="BP242" i="1"/>
  <c r="BO242" i="1"/>
  <c r="BN242" i="1"/>
  <c r="BM242" i="1"/>
  <c r="Z242" i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Y163" i="1" s="1"/>
  <c r="P161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Y153" i="1" s="1"/>
  <c r="P151" i="1"/>
  <c r="Y148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Y147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Z141" i="1" s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4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2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7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Y48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Y34" i="1" s="1"/>
  <c r="P32" i="1"/>
  <c r="X29" i="1"/>
  <c r="X270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2" i="1" s="1"/>
  <c r="BM22" i="1"/>
  <c r="X271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X273" i="1"/>
  <c r="Y28" i="1"/>
  <c r="Y41" i="1"/>
  <c r="Y66" i="1"/>
  <c r="Y270" i="1" s="1"/>
  <c r="Y70" i="1"/>
  <c r="Y76" i="1"/>
  <c r="Y83" i="1"/>
  <c r="Y88" i="1"/>
  <c r="Y93" i="1"/>
  <c r="F9" i="1"/>
  <c r="J9" i="1"/>
  <c r="BN22" i="1"/>
  <c r="BP22" i="1"/>
  <c r="BN24" i="1"/>
  <c r="BN26" i="1"/>
  <c r="X274" i="1"/>
  <c r="BN33" i="1"/>
  <c r="BP33" i="1"/>
  <c r="BN39" i="1"/>
  <c r="BP39" i="1"/>
  <c r="BN46" i="1"/>
  <c r="BP46" i="1"/>
  <c r="BN53" i="1"/>
  <c r="BP53" i="1"/>
  <c r="BN55" i="1"/>
  <c r="BN60" i="1"/>
  <c r="BP60" i="1"/>
  <c r="Y61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Y103" i="1"/>
  <c r="Y110" i="1"/>
  <c r="Y121" i="1"/>
  <c r="Y136" i="1"/>
  <c r="BN140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BN101" i="1"/>
  <c r="BN108" i="1"/>
  <c r="BN113" i="1"/>
  <c r="BP113" i="1"/>
  <c r="BN115" i="1"/>
  <c r="BN117" i="1"/>
  <c r="BN119" i="1"/>
  <c r="BN134" i="1"/>
  <c r="BN139" i="1"/>
  <c r="BP139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Z275" i="1" s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1" i="1" l="1"/>
  <c r="Y274" i="1"/>
  <c r="Y272" i="1"/>
  <c r="A283" i="1" l="1"/>
  <c r="Y273" i="1"/>
  <c r="B283" i="1" s="1"/>
  <c r="C283" i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<sst xmlns="http://schemas.openxmlformats.org/spreadsheetml/2006/main" count="1222" uniqueCount="394">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</sst>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416" t="s">
        <v>0</v>
      </c>
      <c r="E1" s="309"/>
      <c r="F1" s="309"/>
      <c r="G1" s="12" t="s">
        <v>1</v>
      </c>
      <c r="H1" s="416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441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422" t="s">
        <v>7</v>
      </c>
      <c r="B5" s="308"/>
      <c r="C5" s="290"/>
      <c r="D5" s="346"/>
      <c r="E5" s="348"/>
      <c r="F5" s="324" t="s">
        <v>8</v>
      </c>
      <c r="G5" s="290"/>
      <c r="H5" s="346"/>
      <c r="I5" s="347"/>
      <c r="J5" s="347"/>
      <c r="K5" s="347"/>
      <c r="L5" s="347"/>
      <c r="M5" s="348"/>
      <c r="N5" s="61"/>
      <c r="P5" s="24" t="s">
        <v>9</v>
      </c>
      <c r="Q5" s="314">
        <v>45999</v>
      </c>
      <c r="R5" s="315"/>
      <c r="T5" s="389" t="s">
        <v>10</v>
      </c>
      <c r="U5" s="294"/>
      <c r="V5" s="390" t="s">
        <v>11</v>
      </c>
      <c r="W5" s="315"/>
      <c r="AB5" s="51"/>
      <c r="AC5" s="51"/>
      <c r="AD5" s="51"/>
      <c r="AE5" s="51"/>
    </row>
    <row r="6" spans="1:32" s="262" customFormat="1" ht="24" customHeight="1" x14ac:dyDescent="0.2">
      <c r="A6" s="422" t="s">
        <v>12</v>
      </c>
      <c r="B6" s="308"/>
      <c r="C6" s="290"/>
      <c r="D6" s="350" t="s">
        <v>13</v>
      </c>
      <c r="E6" s="351"/>
      <c r="F6" s="351"/>
      <c r="G6" s="351"/>
      <c r="H6" s="351"/>
      <c r="I6" s="351"/>
      <c r="J6" s="351"/>
      <c r="K6" s="351"/>
      <c r="L6" s="351"/>
      <c r="M6" s="315"/>
      <c r="N6" s="62"/>
      <c r="P6" s="24" t="s">
        <v>14</v>
      </c>
      <c r="Q6" s="304" t="str">
        <f>IF(Q5=0," ",CHOOSE(WEEKDAY(Q5,2),"Понедельник","Вторник","Среда","Четверг","Пятница","Суббота","Воскресенье"))</f>
        <v>Понедельник</v>
      </c>
      <c r="R6" s="279"/>
      <c r="T6" s="396" t="s">
        <v>15</v>
      </c>
      <c r="U6" s="294"/>
      <c r="V6" s="378" t="s">
        <v>16</v>
      </c>
      <c r="W6" s="37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426" t="str">
        <f>IFERROR(VLOOKUP(DeliveryAddress,Table,3,0),1)</f>
        <v>1</v>
      </c>
      <c r="E7" s="427"/>
      <c r="F7" s="427"/>
      <c r="G7" s="427"/>
      <c r="H7" s="427"/>
      <c r="I7" s="427"/>
      <c r="J7" s="427"/>
      <c r="K7" s="427"/>
      <c r="L7" s="427"/>
      <c r="M7" s="393"/>
      <c r="N7" s="63"/>
      <c r="P7" s="24"/>
      <c r="Q7" s="42"/>
      <c r="R7" s="42"/>
      <c r="T7" s="277"/>
      <c r="U7" s="294"/>
      <c r="V7" s="380"/>
      <c r="W7" s="381"/>
      <c r="AB7" s="51"/>
      <c r="AC7" s="51"/>
      <c r="AD7" s="51"/>
      <c r="AE7" s="51"/>
    </row>
    <row r="8" spans="1:32" s="262" customFormat="1" ht="25.5" customHeight="1" x14ac:dyDescent="0.2">
      <c r="A8" s="295" t="s">
        <v>17</v>
      </c>
      <c r="B8" s="287"/>
      <c r="C8" s="288"/>
      <c r="D8" s="433" t="s">
        <v>18</v>
      </c>
      <c r="E8" s="434"/>
      <c r="F8" s="434"/>
      <c r="G8" s="434"/>
      <c r="H8" s="434"/>
      <c r="I8" s="434"/>
      <c r="J8" s="434"/>
      <c r="K8" s="434"/>
      <c r="L8" s="434"/>
      <c r="M8" s="435"/>
      <c r="N8" s="64"/>
      <c r="P8" s="24" t="s">
        <v>19</v>
      </c>
      <c r="Q8" s="392">
        <v>0.41666666666666669</v>
      </c>
      <c r="R8" s="393"/>
      <c r="T8" s="277"/>
      <c r="U8" s="294"/>
      <c r="V8" s="380"/>
      <c r="W8" s="381"/>
      <c r="AB8" s="51"/>
      <c r="AC8" s="51"/>
      <c r="AD8" s="51"/>
      <c r="AE8" s="51"/>
    </row>
    <row r="9" spans="1:32" s="262" customFormat="1" ht="39.950000000000003" customHeight="1" x14ac:dyDescent="0.2">
      <c r="A9" s="3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35"/>
      <c r="E9" s="336"/>
      <c r="F9" s="3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76" t="str">
        <f>IF(AND($A$9="Тип доверенности/получателя при получении в адресе перегруза:",$D$9="Разовая доверенность"),"Введите ФИО","")</f>
        <v/>
      </c>
      <c r="I9" s="336"/>
      <c r="J9" s="3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6"/>
      <c r="L9" s="336"/>
      <c r="M9" s="336"/>
      <c r="N9" s="260"/>
      <c r="P9" s="26" t="s">
        <v>20</v>
      </c>
      <c r="Q9" s="409"/>
      <c r="R9" s="327"/>
      <c r="T9" s="277"/>
      <c r="U9" s="294"/>
      <c r="V9" s="382"/>
      <c r="W9" s="38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35"/>
      <c r="E10" s="336"/>
      <c r="F10" s="3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56" t="str">
        <f>IFERROR(VLOOKUP($D$10,Proxy,2,FALSE),"")</f>
        <v/>
      </c>
      <c r="I10" s="277"/>
      <c r="J10" s="277"/>
      <c r="K10" s="277"/>
      <c r="L10" s="277"/>
      <c r="M10" s="277"/>
      <c r="N10" s="261"/>
      <c r="P10" s="26" t="s">
        <v>21</v>
      </c>
      <c r="Q10" s="397"/>
      <c r="R10" s="398"/>
      <c r="U10" s="24" t="s">
        <v>22</v>
      </c>
      <c r="V10" s="444" t="s">
        <v>23</v>
      </c>
      <c r="W10" s="37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10"/>
      <c r="R11" s="315"/>
      <c r="U11" s="24" t="s">
        <v>26</v>
      </c>
      <c r="V11" s="326" t="s">
        <v>27</v>
      </c>
      <c r="W11" s="32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71" t="s">
        <v>28</v>
      </c>
      <c r="B12" s="308"/>
      <c r="C12" s="308"/>
      <c r="D12" s="308"/>
      <c r="E12" s="308"/>
      <c r="F12" s="308"/>
      <c r="G12" s="308"/>
      <c r="H12" s="308"/>
      <c r="I12" s="308"/>
      <c r="J12" s="308"/>
      <c r="K12" s="308"/>
      <c r="L12" s="308"/>
      <c r="M12" s="290"/>
      <c r="N12" s="65"/>
      <c r="P12" s="24" t="s">
        <v>29</v>
      </c>
      <c r="Q12" s="392"/>
      <c r="R12" s="393"/>
      <c r="S12" s="23"/>
      <c r="U12" s="24"/>
      <c r="V12" s="309"/>
      <c r="W12" s="277"/>
      <c r="AB12" s="51"/>
      <c r="AC12" s="51"/>
      <c r="AD12" s="51"/>
      <c r="AE12" s="51"/>
    </row>
    <row r="13" spans="1:32" s="262" customFormat="1" ht="23.25" customHeight="1" x14ac:dyDescent="0.2">
      <c r="A13" s="371" t="s">
        <v>30</v>
      </c>
      <c r="B13" s="308"/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290"/>
      <c r="N13" s="65"/>
      <c r="O13" s="26"/>
      <c r="P13" s="26" t="s">
        <v>31</v>
      </c>
      <c r="Q13" s="326"/>
      <c r="R13" s="3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71" t="s">
        <v>32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29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73" t="s">
        <v>33</v>
      </c>
      <c r="B15" s="308"/>
      <c r="C15" s="308"/>
      <c r="D15" s="308"/>
      <c r="E15" s="308"/>
      <c r="F15" s="308"/>
      <c r="G15" s="308"/>
      <c r="H15" s="308"/>
      <c r="I15" s="308"/>
      <c r="J15" s="308"/>
      <c r="K15" s="308"/>
      <c r="L15" s="308"/>
      <c r="M15" s="290"/>
      <c r="N15" s="66"/>
      <c r="P15" s="399" t="s">
        <v>34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0"/>
      <c r="Q16" s="400"/>
      <c r="R16" s="400"/>
      <c r="S16" s="400"/>
      <c r="T16" s="4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0" t="s">
        <v>35</v>
      </c>
      <c r="B17" s="280" t="s">
        <v>36</v>
      </c>
      <c r="C17" s="404" t="s">
        <v>37</v>
      </c>
      <c r="D17" s="280" t="s">
        <v>38</v>
      </c>
      <c r="E17" s="281"/>
      <c r="F17" s="280" t="s">
        <v>39</v>
      </c>
      <c r="G17" s="280" t="s">
        <v>40</v>
      </c>
      <c r="H17" s="280" t="s">
        <v>41</v>
      </c>
      <c r="I17" s="280" t="s">
        <v>42</v>
      </c>
      <c r="J17" s="280" t="s">
        <v>43</v>
      </c>
      <c r="K17" s="280" t="s">
        <v>44</v>
      </c>
      <c r="L17" s="280" t="s">
        <v>45</v>
      </c>
      <c r="M17" s="280" t="s">
        <v>46</v>
      </c>
      <c r="N17" s="280" t="s">
        <v>47</v>
      </c>
      <c r="O17" s="280" t="s">
        <v>48</v>
      </c>
      <c r="P17" s="280" t="s">
        <v>49</v>
      </c>
      <c r="Q17" s="419"/>
      <c r="R17" s="419"/>
      <c r="S17" s="419"/>
      <c r="T17" s="281"/>
      <c r="U17" s="289" t="s">
        <v>50</v>
      </c>
      <c r="V17" s="290"/>
      <c r="W17" s="280" t="s">
        <v>51</v>
      </c>
      <c r="X17" s="280" t="s">
        <v>52</v>
      </c>
      <c r="Y17" s="291" t="s">
        <v>53</v>
      </c>
      <c r="Z17" s="363" t="s">
        <v>54</v>
      </c>
      <c r="AA17" s="318" t="s">
        <v>55</v>
      </c>
      <c r="AB17" s="318" t="s">
        <v>56</v>
      </c>
      <c r="AC17" s="318" t="s">
        <v>57</v>
      </c>
      <c r="AD17" s="318" t="s">
        <v>58</v>
      </c>
      <c r="AE17" s="319"/>
      <c r="AF17" s="320"/>
      <c r="AG17" s="69"/>
      <c r="BD17" s="68" t="s">
        <v>59</v>
      </c>
    </row>
    <row r="18" spans="1:68" ht="14.25" customHeight="1" x14ac:dyDescent="0.2">
      <c r="A18" s="285"/>
      <c r="B18" s="285"/>
      <c r="C18" s="285"/>
      <c r="D18" s="282"/>
      <c r="E18" s="283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2"/>
      <c r="Q18" s="420"/>
      <c r="R18" s="420"/>
      <c r="S18" s="420"/>
      <c r="T18" s="283"/>
      <c r="U18" s="70" t="s">
        <v>60</v>
      </c>
      <c r="V18" s="70" t="s">
        <v>61</v>
      </c>
      <c r="W18" s="285"/>
      <c r="X18" s="285"/>
      <c r="Y18" s="292"/>
      <c r="Z18" s="364"/>
      <c r="AA18" s="355"/>
      <c r="AB18" s="355"/>
      <c r="AC18" s="355"/>
      <c r="AD18" s="321"/>
      <c r="AE18" s="322"/>
      <c r="AF18" s="323"/>
      <c r="AG18" s="69"/>
      <c r="BD18" s="68"/>
    </row>
    <row r="19" spans="1:68" ht="27.75" customHeight="1" x14ac:dyDescent="0.2">
      <c r="A19" s="274" t="s">
        <v>62</v>
      </c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48"/>
      <c r="AB19" s="48"/>
      <c r="AC19" s="48"/>
    </row>
    <row r="20" spans="1:68" ht="16.5" customHeight="1" x14ac:dyDescent="0.25">
      <c r="A20" s="284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3"/>
      <c r="AB20" s="263"/>
      <c r="AC20" s="263"/>
    </row>
    <row r="21" spans="1:68" ht="14.25" customHeight="1" x14ac:dyDescent="0.25">
      <c r="A21" s="276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8">
        <v>4607111035912</v>
      </c>
      <c r="E22" s="279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7"/>
      <c r="R22" s="297"/>
      <c r="S22" s="297"/>
      <c r="T22" s="298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8">
        <v>4607111035103</v>
      </c>
      <c r="E23" s="279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40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7"/>
      <c r="R23" s="297"/>
      <c r="S23" s="297"/>
      <c r="T23" s="298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8">
        <v>4607111035929</v>
      </c>
      <c r="E24" s="279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7"/>
      <c r="R24" s="297"/>
      <c r="S24" s="297"/>
      <c r="T24" s="298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8">
        <v>4607111035882</v>
      </c>
      <c r="E25" s="279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31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7"/>
      <c r="R25" s="297"/>
      <c r="S25" s="297"/>
      <c r="T25" s="298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8">
        <v>4607111035110</v>
      </c>
      <c r="E26" s="279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7"/>
      <c r="R26" s="297"/>
      <c r="S26" s="297"/>
      <c r="T26" s="298"/>
      <c r="U26" s="34"/>
      <c r="V26" s="34"/>
      <c r="W26" s="35" t="s">
        <v>69</v>
      </c>
      <c r="X26" s="268">
        <v>36</v>
      </c>
      <c r="Y26" s="269">
        <f t="shared" si="0"/>
        <v>36</v>
      </c>
      <c r="Z26" s="36">
        <f t="shared" si="1"/>
        <v>0.55800000000000005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268.92</v>
      </c>
      <c r="BN26" s="67">
        <f t="shared" si="3"/>
        <v>268.92</v>
      </c>
      <c r="BO26" s="67">
        <f t="shared" si="4"/>
        <v>0.42857142857142855</v>
      </c>
      <c r="BP26" s="67">
        <f t="shared" si="5"/>
        <v>0.42857142857142855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8">
        <v>4607111035905</v>
      </c>
      <c r="E27" s="279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6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7"/>
      <c r="R27" s="297"/>
      <c r="S27" s="297"/>
      <c r="T27" s="298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300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301"/>
      <c r="P28" s="286" t="s">
        <v>82</v>
      </c>
      <c r="Q28" s="287"/>
      <c r="R28" s="287"/>
      <c r="S28" s="287"/>
      <c r="T28" s="287"/>
      <c r="U28" s="287"/>
      <c r="V28" s="288"/>
      <c r="W28" s="37" t="s">
        <v>69</v>
      </c>
      <c r="X28" s="270">
        <f>IFERROR(SUM(X22:X27),"0")</f>
        <v>36</v>
      </c>
      <c r="Y28" s="270">
        <f>IFERROR(SUM(Y22:Y27),"0")</f>
        <v>36</v>
      </c>
      <c r="Z28" s="270">
        <f>IFERROR(IF(Z22="",0,Z22),"0")+IFERROR(IF(Z23="",0,Z23),"0")+IFERROR(IF(Z24="",0,Z24),"0")+IFERROR(IF(Z25="",0,Z25),"0")+IFERROR(IF(Z26="",0,Z26),"0")+IFERROR(IF(Z27="",0,Z27),"0")</f>
        <v>0.55800000000000005</v>
      </c>
      <c r="AA28" s="271"/>
      <c r="AB28" s="271"/>
      <c r="AC28" s="271"/>
    </row>
    <row r="29" spans="1:68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301"/>
      <c r="P29" s="286" t="s">
        <v>82</v>
      </c>
      <c r="Q29" s="287"/>
      <c r="R29" s="287"/>
      <c r="S29" s="287"/>
      <c r="T29" s="287"/>
      <c r="U29" s="287"/>
      <c r="V29" s="288"/>
      <c r="W29" s="37" t="s">
        <v>83</v>
      </c>
      <c r="X29" s="270">
        <f>IFERROR(SUMPRODUCT(X22:X27*H22:H27),"0")</f>
        <v>259.2</v>
      </c>
      <c r="Y29" s="270">
        <f>IFERROR(SUMPRODUCT(Y22:Y27*H22:H27),"0")</f>
        <v>259.2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3"/>
      <c r="AB30" s="263"/>
      <c r="AC30" s="263"/>
    </row>
    <row r="31" spans="1:68" ht="14.25" customHeight="1" x14ac:dyDescent="0.25">
      <c r="A31" s="276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8">
        <v>4607111039019</v>
      </c>
      <c r="E32" s="279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43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7"/>
      <c r="R32" s="297"/>
      <c r="S32" s="297"/>
      <c r="T32" s="298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8">
        <v>4607111038708</v>
      </c>
      <c r="E33" s="279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5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7"/>
      <c r="R33" s="297"/>
      <c r="S33" s="297"/>
      <c r="T33" s="298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300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301"/>
      <c r="P34" s="286" t="s">
        <v>82</v>
      </c>
      <c r="Q34" s="287"/>
      <c r="R34" s="287"/>
      <c r="S34" s="287"/>
      <c r="T34" s="287"/>
      <c r="U34" s="287"/>
      <c r="V34" s="288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301"/>
      <c r="P35" s="286" t="s">
        <v>82</v>
      </c>
      <c r="Q35" s="287"/>
      <c r="R35" s="287"/>
      <c r="S35" s="287"/>
      <c r="T35" s="287"/>
      <c r="U35" s="287"/>
      <c r="V35" s="288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74" t="s">
        <v>90</v>
      </c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48"/>
      <c r="AB36" s="48"/>
      <c r="AC36" s="48"/>
    </row>
    <row r="37" spans="1:68" ht="16.5" customHeight="1" x14ac:dyDescent="0.25">
      <c r="A37" s="284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3"/>
      <c r="AB37" s="263"/>
      <c r="AC37" s="263"/>
    </row>
    <row r="38" spans="1:68" ht="14.25" customHeight="1" x14ac:dyDescent="0.25">
      <c r="A38" s="276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8">
        <v>4607111036537</v>
      </c>
      <c r="E39" s="279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7"/>
      <c r="R39" s="297"/>
      <c r="S39" s="297"/>
      <c r="T39" s="298"/>
      <c r="U39" s="34"/>
      <c r="V39" s="34"/>
      <c r="W39" s="35" t="s">
        <v>69</v>
      </c>
      <c r="X39" s="268">
        <v>210</v>
      </c>
      <c r="Y39" s="269">
        <f>IFERROR(IF(X39="","",X39),"")</f>
        <v>210</v>
      </c>
      <c r="Z39" s="36">
        <f>IFERROR(IF(X39="","",X39*0.00941),"")</f>
        <v>1.9761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403.57799999999997</v>
      </c>
      <c r="BN39" s="67">
        <f>IFERROR(Y39*I39,"0")</f>
        <v>403.57799999999997</v>
      </c>
      <c r="BO39" s="67">
        <f>IFERROR(X39/J39,"0")</f>
        <v>1.5</v>
      </c>
      <c r="BP39" s="67">
        <f>IFERROR(Y39/J39,"0")</f>
        <v>1.5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8">
        <v>4607111036605</v>
      </c>
      <c r="E40" s="279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36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7"/>
      <c r="R40" s="297"/>
      <c r="S40" s="297"/>
      <c r="T40" s="298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300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301"/>
      <c r="P41" s="286" t="s">
        <v>82</v>
      </c>
      <c r="Q41" s="287"/>
      <c r="R41" s="287"/>
      <c r="S41" s="287"/>
      <c r="T41" s="287"/>
      <c r="U41" s="287"/>
      <c r="V41" s="288"/>
      <c r="W41" s="37" t="s">
        <v>69</v>
      </c>
      <c r="X41" s="270">
        <f>IFERROR(SUM(X39:X40),"0")</f>
        <v>210</v>
      </c>
      <c r="Y41" s="270">
        <f>IFERROR(SUM(Y39:Y40),"0")</f>
        <v>210</v>
      </c>
      <c r="Z41" s="270">
        <f>IFERROR(IF(Z39="",0,Z39),"0")+IFERROR(IF(Z40="",0,Z40),"0")</f>
        <v>1.9761</v>
      </c>
      <c r="AA41" s="271"/>
      <c r="AB41" s="271"/>
      <c r="AC41" s="271"/>
    </row>
    <row r="42" spans="1:68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301"/>
      <c r="P42" s="286" t="s">
        <v>82</v>
      </c>
      <c r="Q42" s="287"/>
      <c r="R42" s="287"/>
      <c r="S42" s="287"/>
      <c r="T42" s="287"/>
      <c r="U42" s="287"/>
      <c r="V42" s="288"/>
      <c r="W42" s="37" t="s">
        <v>83</v>
      </c>
      <c r="X42" s="270">
        <f>IFERROR(SUMPRODUCT(X39:X40*H39:H40),"0")</f>
        <v>315</v>
      </c>
      <c r="Y42" s="270">
        <f>IFERROR(SUMPRODUCT(Y39:Y40*H39:H40),"0")</f>
        <v>315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3"/>
      <c r="AB43" s="263"/>
      <c r="AC43" s="263"/>
    </row>
    <row r="44" spans="1:68" ht="14.25" customHeight="1" x14ac:dyDescent="0.25">
      <c r="A44" s="276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8">
        <v>4620207490075</v>
      </c>
      <c r="E45" s="279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5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7"/>
      <c r="R45" s="297"/>
      <c r="S45" s="297"/>
      <c r="T45" s="298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8">
        <v>4620207490174</v>
      </c>
      <c r="E46" s="279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7"/>
      <c r="R46" s="297"/>
      <c r="S46" s="297"/>
      <c r="T46" s="298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8">
        <v>4620207490044</v>
      </c>
      <c r="E47" s="279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4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7"/>
      <c r="R47" s="297"/>
      <c r="S47" s="297"/>
      <c r="T47" s="298"/>
      <c r="U47" s="34"/>
      <c r="V47" s="34"/>
      <c r="W47" s="35" t="s">
        <v>69</v>
      </c>
      <c r="X47" s="268">
        <v>12</v>
      </c>
      <c r="Y47" s="26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300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301"/>
      <c r="P48" s="286" t="s">
        <v>82</v>
      </c>
      <c r="Q48" s="287"/>
      <c r="R48" s="287"/>
      <c r="S48" s="287"/>
      <c r="T48" s="287"/>
      <c r="U48" s="287"/>
      <c r="V48" s="288"/>
      <c r="W48" s="37" t="s">
        <v>69</v>
      </c>
      <c r="X48" s="270">
        <f>IFERROR(SUM(X45:X47),"0")</f>
        <v>24</v>
      </c>
      <c r="Y48" s="270">
        <f>IFERROR(SUM(Y45:Y47),"0")</f>
        <v>24</v>
      </c>
      <c r="Z48" s="270">
        <f>IFERROR(IF(Z45="",0,Z45),"0")+IFERROR(IF(Z46="",0,Z46),"0")+IFERROR(IF(Z47="",0,Z47),"0")</f>
        <v>0.372</v>
      </c>
      <c r="AA48" s="271"/>
      <c r="AB48" s="271"/>
      <c r="AC48" s="271"/>
    </row>
    <row r="49" spans="1:68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301"/>
      <c r="P49" s="286" t="s">
        <v>82</v>
      </c>
      <c r="Q49" s="287"/>
      <c r="R49" s="287"/>
      <c r="S49" s="287"/>
      <c r="T49" s="287"/>
      <c r="U49" s="287"/>
      <c r="V49" s="288"/>
      <c r="W49" s="37" t="s">
        <v>83</v>
      </c>
      <c r="X49" s="270">
        <f>IFERROR(SUMPRODUCT(X45:X47*H45:H47),"0")</f>
        <v>134.39999999999998</v>
      </c>
      <c r="Y49" s="270">
        <f>IFERROR(SUMPRODUCT(Y45:Y47*H45:H47),"0")</f>
        <v>134.39999999999998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3"/>
      <c r="AB50" s="263"/>
      <c r="AC50" s="263"/>
    </row>
    <row r="51" spans="1:68" ht="14.25" customHeight="1" x14ac:dyDescent="0.25">
      <c r="A51" s="276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8">
        <v>4607111039385</v>
      </c>
      <c r="E52" s="279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7"/>
      <c r="R52" s="297"/>
      <c r="S52" s="297"/>
      <c r="T52" s="298"/>
      <c r="U52" s="34"/>
      <c r="V52" s="34"/>
      <c r="W52" s="35" t="s">
        <v>69</v>
      </c>
      <c r="X52" s="268">
        <v>60</v>
      </c>
      <c r="Y52" s="269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8">
        <v>4607111038982</v>
      </c>
      <c r="E53" s="279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40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7"/>
      <c r="R53" s="297"/>
      <c r="S53" s="297"/>
      <c r="T53" s="298"/>
      <c r="U53" s="34"/>
      <c r="V53" s="34"/>
      <c r="W53" s="35" t="s">
        <v>69</v>
      </c>
      <c r="X53" s="268">
        <v>24</v>
      </c>
      <c r="Y53" s="26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8">
        <v>4607111039354</v>
      </c>
      <c r="E54" s="279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33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7"/>
      <c r="R54" s="297"/>
      <c r="S54" s="297"/>
      <c r="T54" s="298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8">
        <v>4607111039330</v>
      </c>
      <c r="E55" s="279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1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7"/>
      <c r="R55" s="297"/>
      <c r="S55" s="297"/>
      <c r="T55" s="298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300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301"/>
      <c r="P56" s="286" t="s">
        <v>82</v>
      </c>
      <c r="Q56" s="287"/>
      <c r="R56" s="287"/>
      <c r="S56" s="287"/>
      <c r="T56" s="287"/>
      <c r="U56" s="287"/>
      <c r="V56" s="288"/>
      <c r="W56" s="37" t="s">
        <v>69</v>
      </c>
      <c r="X56" s="270">
        <f>IFERROR(SUM(X52:X55),"0")</f>
        <v>84</v>
      </c>
      <c r="Y56" s="270">
        <f>IFERROR(SUM(Y52:Y55),"0")</f>
        <v>84</v>
      </c>
      <c r="Z56" s="270">
        <f>IFERROR(IF(Z52="",0,Z52),"0")+IFERROR(IF(Z53="",0,Z53),"0")+IFERROR(IF(Z54="",0,Z54),"0")+IFERROR(IF(Z55="",0,Z55),"0")</f>
        <v>1.302</v>
      </c>
      <c r="AA56" s="271"/>
      <c r="AB56" s="271"/>
      <c r="AC56" s="271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301"/>
      <c r="P57" s="286" t="s">
        <v>82</v>
      </c>
      <c r="Q57" s="287"/>
      <c r="R57" s="287"/>
      <c r="S57" s="287"/>
      <c r="T57" s="287"/>
      <c r="U57" s="287"/>
      <c r="V57" s="288"/>
      <c r="W57" s="37" t="s">
        <v>83</v>
      </c>
      <c r="X57" s="270">
        <f>IFERROR(SUMPRODUCT(X52:X55*H52:H55),"0")</f>
        <v>588</v>
      </c>
      <c r="Y57" s="270">
        <f>IFERROR(SUMPRODUCT(Y52:Y55*H52:H55),"0")</f>
        <v>588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3"/>
      <c r="AB58" s="263"/>
      <c r="AC58" s="263"/>
    </row>
    <row r="59" spans="1:68" ht="14.25" customHeight="1" x14ac:dyDescent="0.25">
      <c r="A59" s="276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8">
        <v>4620207490822</v>
      </c>
      <c r="E60" s="279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31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7"/>
      <c r="R60" s="297"/>
      <c r="S60" s="297"/>
      <c r="T60" s="298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300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301"/>
      <c r="P61" s="286" t="s">
        <v>82</v>
      </c>
      <c r="Q61" s="287"/>
      <c r="R61" s="287"/>
      <c r="S61" s="287"/>
      <c r="T61" s="287"/>
      <c r="U61" s="287"/>
      <c r="V61" s="288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301"/>
      <c r="P62" s="286" t="s">
        <v>82</v>
      </c>
      <c r="Q62" s="287"/>
      <c r="R62" s="287"/>
      <c r="S62" s="287"/>
      <c r="T62" s="287"/>
      <c r="U62" s="287"/>
      <c r="V62" s="288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276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8">
        <v>4607111039712</v>
      </c>
      <c r="E64" s="279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3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7"/>
      <c r="R64" s="297"/>
      <c r="S64" s="297"/>
      <c r="T64" s="298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300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301"/>
      <c r="P65" s="286" t="s">
        <v>82</v>
      </c>
      <c r="Q65" s="287"/>
      <c r="R65" s="287"/>
      <c r="S65" s="287"/>
      <c r="T65" s="287"/>
      <c r="U65" s="287"/>
      <c r="V65" s="288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301"/>
      <c r="P66" s="286" t="s">
        <v>82</v>
      </c>
      <c r="Q66" s="287"/>
      <c r="R66" s="287"/>
      <c r="S66" s="287"/>
      <c r="T66" s="287"/>
      <c r="U66" s="287"/>
      <c r="V66" s="288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276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8">
        <v>4607111037008</v>
      </c>
      <c r="E68" s="279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0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7"/>
      <c r="R68" s="297"/>
      <c r="S68" s="297"/>
      <c r="T68" s="298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8">
        <v>4607111037398</v>
      </c>
      <c r="E69" s="279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7"/>
      <c r="R69" s="297"/>
      <c r="S69" s="297"/>
      <c r="T69" s="298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300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301"/>
      <c r="P70" s="286" t="s">
        <v>82</v>
      </c>
      <c r="Q70" s="287"/>
      <c r="R70" s="287"/>
      <c r="S70" s="287"/>
      <c r="T70" s="287"/>
      <c r="U70" s="287"/>
      <c r="V70" s="288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301"/>
      <c r="P71" s="286" t="s">
        <v>82</v>
      </c>
      <c r="Q71" s="287"/>
      <c r="R71" s="287"/>
      <c r="S71" s="287"/>
      <c r="T71" s="287"/>
      <c r="U71" s="287"/>
      <c r="V71" s="288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276" t="s">
        <v>136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8">
        <v>4607111039705</v>
      </c>
      <c r="E73" s="279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4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7"/>
      <c r="R73" s="297"/>
      <c r="S73" s="297"/>
      <c r="T73" s="298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8">
        <v>4607111039729</v>
      </c>
      <c r="E74" s="279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45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7"/>
      <c r="R74" s="297"/>
      <c r="S74" s="297"/>
      <c r="T74" s="298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8">
        <v>4620207490228</v>
      </c>
      <c r="E75" s="279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32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7"/>
      <c r="R75" s="297"/>
      <c r="S75" s="297"/>
      <c r="T75" s="298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300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301"/>
      <c r="P76" s="286" t="s">
        <v>82</v>
      </c>
      <c r="Q76" s="287"/>
      <c r="R76" s="287"/>
      <c r="S76" s="287"/>
      <c r="T76" s="287"/>
      <c r="U76" s="287"/>
      <c r="V76" s="288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301"/>
      <c r="P77" s="286" t="s">
        <v>82</v>
      </c>
      <c r="Q77" s="287"/>
      <c r="R77" s="287"/>
      <c r="S77" s="287"/>
      <c r="T77" s="287"/>
      <c r="U77" s="287"/>
      <c r="V77" s="288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146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3"/>
      <c r="AB78" s="263"/>
      <c r="AC78" s="263"/>
    </row>
    <row r="79" spans="1:68" ht="14.25" customHeight="1" x14ac:dyDescent="0.25">
      <c r="A79" s="276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4"/>
      <c r="AB79" s="264"/>
      <c r="AC79" s="264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8">
        <v>4607111037411</v>
      </c>
      <c r="E80" s="279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36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7"/>
      <c r="R80" s="297"/>
      <c r="S80" s="297"/>
      <c r="T80" s="298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8">
        <v>4607111036728</v>
      </c>
      <c r="E81" s="279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44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7"/>
      <c r="R81" s="297"/>
      <c r="S81" s="297"/>
      <c r="T81" s="298"/>
      <c r="U81" s="34"/>
      <c r="V81" s="34"/>
      <c r="W81" s="35" t="s">
        <v>69</v>
      </c>
      <c r="X81" s="268">
        <v>48</v>
      </c>
      <c r="Y81" s="269">
        <f>IFERROR(IF(X81="","",X81),"")</f>
        <v>48</v>
      </c>
      <c r="Z81" s="36">
        <f>IFERROR(IF(X81="","",X81*0.00866),"")</f>
        <v>0.41567999999999994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250.23359999999997</v>
      </c>
      <c r="BN81" s="67">
        <f>IFERROR(Y81*I81,"0")</f>
        <v>250.23359999999997</v>
      </c>
      <c r="BO81" s="67">
        <f>IFERROR(X81/J81,"0")</f>
        <v>0.33333333333333331</v>
      </c>
      <c r="BP81" s="67">
        <f>IFERROR(Y81/J81,"0")</f>
        <v>0.33333333333333331</v>
      </c>
    </row>
    <row r="82" spans="1:68" x14ac:dyDescent="0.2">
      <c r="A82" s="300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301"/>
      <c r="P82" s="286" t="s">
        <v>82</v>
      </c>
      <c r="Q82" s="287"/>
      <c r="R82" s="287"/>
      <c r="S82" s="287"/>
      <c r="T82" s="287"/>
      <c r="U82" s="287"/>
      <c r="V82" s="288"/>
      <c r="W82" s="37" t="s">
        <v>69</v>
      </c>
      <c r="X82" s="270">
        <f>IFERROR(SUM(X80:X81),"0")</f>
        <v>48</v>
      </c>
      <c r="Y82" s="270">
        <f>IFERROR(SUM(Y80:Y81),"0")</f>
        <v>48</v>
      </c>
      <c r="Z82" s="270">
        <f>IFERROR(IF(Z80="",0,Z80),"0")+IFERROR(IF(Z81="",0,Z81),"0")</f>
        <v>0.41567999999999994</v>
      </c>
      <c r="AA82" s="271"/>
      <c r="AB82" s="271"/>
      <c r="AC82" s="271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301"/>
      <c r="P83" s="286" t="s">
        <v>82</v>
      </c>
      <c r="Q83" s="287"/>
      <c r="R83" s="287"/>
      <c r="S83" s="287"/>
      <c r="T83" s="287"/>
      <c r="U83" s="287"/>
      <c r="V83" s="288"/>
      <c r="W83" s="37" t="s">
        <v>83</v>
      </c>
      <c r="X83" s="270">
        <f>IFERROR(SUMPRODUCT(X80:X81*H80:H81),"0")</f>
        <v>240</v>
      </c>
      <c r="Y83" s="270">
        <f>IFERROR(SUMPRODUCT(Y80:Y81*H80:H81),"0")</f>
        <v>240</v>
      </c>
      <c r="Z83" s="37"/>
      <c r="AA83" s="271"/>
      <c r="AB83" s="271"/>
      <c r="AC83" s="271"/>
    </row>
    <row r="84" spans="1:68" ht="16.5" customHeight="1" x14ac:dyDescent="0.25">
      <c r="A84" s="284" t="s">
        <v>153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3"/>
      <c r="AB84" s="263"/>
      <c r="AC84" s="263"/>
    </row>
    <row r="85" spans="1:68" ht="14.25" customHeight="1" x14ac:dyDescent="0.25">
      <c r="A85" s="276" t="s">
        <v>136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8">
        <v>4607111033659</v>
      </c>
      <c r="E86" s="279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44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7"/>
      <c r="R86" s="297"/>
      <c r="S86" s="297"/>
      <c r="T86" s="298"/>
      <c r="U86" s="34"/>
      <c r="V86" s="34"/>
      <c r="W86" s="35" t="s">
        <v>69</v>
      </c>
      <c r="X86" s="268">
        <v>42</v>
      </c>
      <c r="Y86" s="269">
        <f>IFERROR(IF(X86="","",X86),"")</f>
        <v>42</v>
      </c>
      <c r="Z86" s="36">
        <f>IFERROR(IF(X86="","",X86*0.01788),"")</f>
        <v>0.75095999999999996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300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301"/>
      <c r="P87" s="286" t="s">
        <v>82</v>
      </c>
      <c r="Q87" s="287"/>
      <c r="R87" s="287"/>
      <c r="S87" s="287"/>
      <c r="T87" s="287"/>
      <c r="U87" s="287"/>
      <c r="V87" s="288"/>
      <c r="W87" s="37" t="s">
        <v>69</v>
      </c>
      <c r="X87" s="270">
        <f>IFERROR(SUM(X86:X86),"0")</f>
        <v>42</v>
      </c>
      <c r="Y87" s="270">
        <f>IFERROR(SUM(Y86:Y86),"0")</f>
        <v>42</v>
      </c>
      <c r="Z87" s="270">
        <f>IFERROR(IF(Z86="",0,Z86),"0")</f>
        <v>0.75095999999999996</v>
      </c>
      <c r="AA87" s="271"/>
      <c r="AB87" s="271"/>
      <c r="AC87" s="271"/>
    </row>
    <row r="88" spans="1:68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301"/>
      <c r="P88" s="286" t="s">
        <v>82</v>
      </c>
      <c r="Q88" s="287"/>
      <c r="R88" s="287"/>
      <c r="S88" s="287"/>
      <c r="T88" s="287"/>
      <c r="U88" s="287"/>
      <c r="V88" s="288"/>
      <c r="W88" s="37" t="s">
        <v>83</v>
      </c>
      <c r="X88" s="270">
        <f>IFERROR(SUMPRODUCT(X86:X86*H86:H86),"0")</f>
        <v>151.20000000000002</v>
      </c>
      <c r="Y88" s="270">
        <f>IFERROR(SUMPRODUCT(Y86:Y86*H86:H86),"0")</f>
        <v>151.20000000000002</v>
      </c>
      <c r="Z88" s="37"/>
      <c r="AA88" s="271"/>
      <c r="AB88" s="271"/>
      <c r="AC88" s="271"/>
    </row>
    <row r="89" spans="1:68" ht="16.5" customHeight="1" x14ac:dyDescent="0.25">
      <c r="A89" s="284" t="s">
        <v>157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3"/>
      <c r="AB89" s="263"/>
      <c r="AC89" s="263"/>
    </row>
    <row r="90" spans="1:68" ht="14.25" customHeight="1" x14ac:dyDescent="0.25">
      <c r="A90" s="276" t="s">
        <v>158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8">
        <v>4607111034120</v>
      </c>
      <c r="E91" s="279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6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7"/>
      <c r="R91" s="297"/>
      <c r="S91" s="297"/>
      <c r="T91" s="298"/>
      <c r="U91" s="34"/>
      <c r="V91" s="34"/>
      <c r="W91" s="35" t="s">
        <v>69</v>
      </c>
      <c r="X91" s="268">
        <v>70</v>
      </c>
      <c r="Y91" s="269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8">
        <v>4607111034137</v>
      </c>
      <c r="E92" s="279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42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7"/>
      <c r="R92" s="297"/>
      <c r="S92" s="297"/>
      <c r="T92" s="298"/>
      <c r="U92" s="34"/>
      <c r="V92" s="34"/>
      <c r="W92" s="35" t="s">
        <v>69</v>
      </c>
      <c r="X92" s="268">
        <v>56</v>
      </c>
      <c r="Y92" s="269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300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301"/>
      <c r="P93" s="286" t="s">
        <v>82</v>
      </c>
      <c r="Q93" s="287"/>
      <c r="R93" s="287"/>
      <c r="S93" s="287"/>
      <c r="T93" s="287"/>
      <c r="U93" s="287"/>
      <c r="V93" s="288"/>
      <c r="W93" s="37" t="s">
        <v>69</v>
      </c>
      <c r="X93" s="270">
        <f>IFERROR(SUM(X91:X92),"0")</f>
        <v>126</v>
      </c>
      <c r="Y93" s="270">
        <f>IFERROR(SUM(Y91:Y92),"0")</f>
        <v>126</v>
      </c>
      <c r="Z93" s="270">
        <f>IFERROR(IF(Z91="",0,Z91),"0")+IFERROR(IF(Z92="",0,Z92),"0")</f>
        <v>2.2528800000000002</v>
      </c>
      <c r="AA93" s="271"/>
      <c r="AB93" s="271"/>
      <c r="AC93" s="271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301"/>
      <c r="P94" s="286" t="s">
        <v>82</v>
      </c>
      <c r="Q94" s="287"/>
      <c r="R94" s="287"/>
      <c r="S94" s="287"/>
      <c r="T94" s="287"/>
      <c r="U94" s="287"/>
      <c r="V94" s="288"/>
      <c r="W94" s="37" t="s">
        <v>83</v>
      </c>
      <c r="X94" s="270">
        <f>IFERROR(SUMPRODUCT(X91:X92*H91:H92),"0")</f>
        <v>453.6</v>
      </c>
      <c r="Y94" s="270">
        <f>IFERROR(SUMPRODUCT(Y91:Y92*H91:H92),"0")</f>
        <v>453.6</v>
      </c>
      <c r="Z94" s="37"/>
      <c r="AA94" s="271"/>
      <c r="AB94" s="271"/>
      <c r="AC94" s="271"/>
    </row>
    <row r="95" spans="1:68" ht="16.5" customHeight="1" x14ac:dyDescent="0.25">
      <c r="A95" s="284" t="s">
        <v>165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3"/>
      <c r="AB95" s="263"/>
      <c r="AC95" s="263"/>
    </row>
    <row r="96" spans="1:68" ht="14.25" customHeight="1" x14ac:dyDescent="0.25">
      <c r="A96" s="276" t="s">
        <v>136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8">
        <v>4620207491027</v>
      </c>
      <c r="E97" s="279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44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7"/>
      <c r="R97" s="297"/>
      <c r="S97" s="297"/>
      <c r="T97" s="298"/>
      <c r="U97" s="34"/>
      <c r="V97" s="34"/>
      <c r="W97" s="35" t="s">
        <v>69</v>
      </c>
      <c r="X97" s="268">
        <v>42</v>
      </c>
      <c r="Y97" s="269">
        <f t="shared" ref="Y97:Y102" si="6">IFERROR(IF(X97="","",X97),"")</f>
        <v>42</v>
      </c>
      <c r="Z97" s="36">
        <f t="shared" ref="Z97:Z102" si="7">IFERROR(IF(X97="","",X97*0.01788),"")</f>
        <v>0.75095999999999996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150.5112</v>
      </c>
      <c r="BN97" s="67">
        <f t="shared" ref="BN97:BN102" si="9">IFERROR(Y97*I97,"0")</f>
        <v>150.5112</v>
      </c>
      <c r="BO97" s="67">
        <f t="shared" ref="BO97:BO102" si="10">IFERROR(X97/J97,"0")</f>
        <v>0.6</v>
      </c>
      <c r="BP97" s="67">
        <f t="shared" ref="BP97:BP102" si="11">IFERROR(Y97/J97,"0")</f>
        <v>0.6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8">
        <v>4620207491003</v>
      </c>
      <c r="E98" s="279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34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7"/>
      <c r="R98" s="297"/>
      <c r="S98" s="297"/>
      <c r="T98" s="298"/>
      <c r="U98" s="34"/>
      <c r="V98" s="34"/>
      <c r="W98" s="35" t="s">
        <v>69</v>
      </c>
      <c r="X98" s="268">
        <v>84</v>
      </c>
      <c r="Y98" s="269">
        <f t="shared" si="6"/>
        <v>84</v>
      </c>
      <c r="Z98" s="36">
        <f t="shared" si="7"/>
        <v>1.5019199999999999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8">
        <v>4620207491034</v>
      </c>
      <c r="E99" s="279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44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7"/>
      <c r="R99" s="297"/>
      <c r="S99" s="297"/>
      <c r="T99" s="298"/>
      <c r="U99" s="34"/>
      <c r="V99" s="34"/>
      <c r="W99" s="35" t="s">
        <v>69</v>
      </c>
      <c r="X99" s="268">
        <v>42</v>
      </c>
      <c r="Y99" s="269">
        <f t="shared" si="6"/>
        <v>42</v>
      </c>
      <c r="Z99" s="36">
        <f t="shared" si="7"/>
        <v>0.75095999999999996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150.5112</v>
      </c>
      <c r="BN99" s="67">
        <f t="shared" si="9"/>
        <v>150.5112</v>
      </c>
      <c r="BO99" s="67">
        <f t="shared" si="10"/>
        <v>0.6</v>
      </c>
      <c r="BP99" s="67">
        <f t="shared" si="11"/>
        <v>0.6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8">
        <v>4620207491010</v>
      </c>
      <c r="E100" s="279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3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7"/>
      <c r="R100" s="297"/>
      <c r="S100" s="297"/>
      <c r="T100" s="298"/>
      <c r="U100" s="34"/>
      <c r="V100" s="34"/>
      <c r="W100" s="35" t="s">
        <v>69</v>
      </c>
      <c r="X100" s="268">
        <v>140</v>
      </c>
      <c r="Y100" s="269">
        <f t="shared" si="6"/>
        <v>140</v>
      </c>
      <c r="Z100" s="36">
        <f t="shared" si="7"/>
        <v>2.5032000000000001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501.70400000000001</v>
      </c>
      <c r="BN100" s="67">
        <f t="shared" si="9"/>
        <v>501.70400000000001</v>
      </c>
      <c r="BO100" s="67">
        <f t="shared" si="10"/>
        <v>2</v>
      </c>
      <c r="BP100" s="67">
        <f t="shared" si="11"/>
        <v>2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8">
        <v>4607111035028</v>
      </c>
      <c r="E101" s="279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34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7"/>
      <c r="R101" s="297"/>
      <c r="S101" s="297"/>
      <c r="T101" s="298"/>
      <c r="U101" s="34"/>
      <c r="V101" s="34"/>
      <c r="W101" s="35" t="s">
        <v>69</v>
      </c>
      <c r="X101" s="268">
        <v>14</v>
      </c>
      <c r="Y101" s="269">
        <f t="shared" si="6"/>
        <v>14</v>
      </c>
      <c r="Z101" s="36">
        <f t="shared" si="7"/>
        <v>0.25031999999999999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8">
        <v>4607111036407</v>
      </c>
      <c r="E102" s="279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7"/>
      <c r="R102" s="297"/>
      <c r="S102" s="297"/>
      <c r="T102" s="298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300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301"/>
      <c r="P103" s="286" t="s">
        <v>82</v>
      </c>
      <c r="Q103" s="287"/>
      <c r="R103" s="287"/>
      <c r="S103" s="287"/>
      <c r="T103" s="287"/>
      <c r="U103" s="287"/>
      <c r="V103" s="288"/>
      <c r="W103" s="37" t="s">
        <v>69</v>
      </c>
      <c r="X103" s="270">
        <f>IFERROR(SUM(X97:X102),"0")</f>
        <v>322</v>
      </c>
      <c r="Y103" s="270">
        <f>IFERROR(SUM(Y97:Y102),"0")</f>
        <v>322</v>
      </c>
      <c r="Z103" s="270">
        <f>IFERROR(IF(Z97="",0,Z97),"0")+IFERROR(IF(Z98="",0,Z98),"0")+IFERROR(IF(Z99="",0,Z99),"0")+IFERROR(IF(Z100="",0,Z100),"0")+IFERROR(IF(Z101="",0,Z101),"0")+IFERROR(IF(Z102="",0,Z102),"0")</f>
        <v>5.7573600000000003</v>
      </c>
      <c r="AA103" s="271"/>
      <c r="AB103" s="271"/>
      <c r="AC103" s="271"/>
    </row>
    <row r="104" spans="1:68" x14ac:dyDescent="0.2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301"/>
      <c r="P104" s="286" t="s">
        <v>82</v>
      </c>
      <c r="Q104" s="287"/>
      <c r="R104" s="287"/>
      <c r="S104" s="287"/>
      <c r="T104" s="287"/>
      <c r="U104" s="287"/>
      <c r="V104" s="288"/>
      <c r="W104" s="37" t="s">
        <v>83</v>
      </c>
      <c r="X104" s="270">
        <f>IFERROR(SUMPRODUCT(X97:X102*H97:H102),"0")</f>
        <v>940.8</v>
      </c>
      <c r="Y104" s="270">
        <f>IFERROR(SUMPRODUCT(Y97:Y102*H97:H102),"0")</f>
        <v>940.8</v>
      </c>
      <c r="Z104" s="37"/>
      <c r="AA104" s="271"/>
      <c r="AB104" s="271"/>
      <c r="AC104" s="271"/>
    </row>
    <row r="105" spans="1:68" ht="16.5" customHeight="1" x14ac:dyDescent="0.25">
      <c r="A105" s="284" t="s">
        <v>180</v>
      </c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63"/>
      <c r="AB105" s="263"/>
      <c r="AC105" s="263"/>
    </row>
    <row r="106" spans="1:68" ht="14.25" customHeight="1" x14ac:dyDescent="0.25">
      <c r="A106" s="276" t="s">
        <v>130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8">
        <v>4607025784012</v>
      </c>
      <c r="E107" s="279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34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7"/>
      <c r="R107" s="297"/>
      <c r="S107" s="297"/>
      <c r="T107" s="298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8">
        <v>4607025784319</v>
      </c>
      <c r="E108" s="279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5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7"/>
      <c r="R108" s="297"/>
      <c r="S108" s="297"/>
      <c r="T108" s="298"/>
      <c r="U108" s="34"/>
      <c r="V108" s="34"/>
      <c r="W108" s="35" t="s">
        <v>69</v>
      </c>
      <c r="X108" s="268">
        <v>42</v>
      </c>
      <c r="Y108" s="269">
        <f>IFERROR(IF(X108="","",X108),"")</f>
        <v>42</v>
      </c>
      <c r="Z108" s="36">
        <f>IFERROR(IF(X108="","",X108*0.01788),"")</f>
        <v>0.75095999999999996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178.24799999999999</v>
      </c>
      <c r="BN108" s="67">
        <f>IFERROR(Y108*I108,"0")</f>
        <v>178.24799999999999</v>
      </c>
      <c r="BO108" s="67">
        <f>IFERROR(X108/J108,"0")</f>
        <v>0.6</v>
      </c>
      <c r="BP108" s="67">
        <f>IFERROR(Y108/J108,"0")</f>
        <v>0.6</v>
      </c>
    </row>
    <row r="109" spans="1:68" x14ac:dyDescent="0.2">
      <c r="A109" s="300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301"/>
      <c r="P109" s="286" t="s">
        <v>82</v>
      </c>
      <c r="Q109" s="287"/>
      <c r="R109" s="287"/>
      <c r="S109" s="287"/>
      <c r="T109" s="287"/>
      <c r="U109" s="287"/>
      <c r="V109" s="288"/>
      <c r="W109" s="37" t="s">
        <v>69</v>
      </c>
      <c r="X109" s="270">
        <f>IFERROR(SUM(X107:X108),"0")</f>
        <v>42</v>
      </c>
      <c r="Y109" s="270">
        <f>IFERROR(SUM(Y107:Y108),"0")</f>
        <v>42</v>
      </c>
      <c r="Z109" s="270">
        <f>IFERROR(IF(Z107="",0,Z107),"0")+IFERROR(IF(Z108="",0,Z108),"0")</f>
        <v>0.75095999999999996</v>
      </c>
      <c r="AA109" s="271"/>
      <c r="AB109" s="271"/>
      <c r="AC109" s="271"/>
    </row>
    <row r="110" spans="1:68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301"/>
      <c r="P110" s="286" t="s">
        <v>82</v>
      </c>
      <c r="Q110" s="287"/>
      <c r="R110" s="287"/>
      <c r="S110" s="287"/>
      <c r="T110" s="287"/>
      <c r="U110" s="287"/>
      <c r="V110" s="288"/>
      <c r="W110" s="37" t="s">
        <v>83</v>
      </c>
      <c r="X110" s="270">
        <f>IFERROR(SUMPRODUCT(X107:X108*H107:H108),"0")</f>
        <v>151.20000000000002</v>
      </c>
      <c r="Y110" s="270">
        <f>IFERROR(SUMPRODUCT(Y107:Y108*H107:H108),"0")</f>
        <v>151.20000000000002</v>
      </c>
      <c r="Z110" s="37"/>
      <c r="AA110" s="271"/>
      <c r="AB110" s="271"/>
      <c r="AC110" s="271"/>
    </row>
    <row r="111" spans="1:68" ht="16.5" customHeight="1" x14ac:dyDescent="0.25">
      <c r="A111" s="284" t="s">
        <v>186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3"/>
      <c r="AB111" s="263"/>
      <c r="AC111" s="263"/>
    </row>
    <row r="112" spans="1:68" ht="14.25" customHeight="1" x14ac:dyDescent="0.25">
      <c r="A112" s="276" t="s">
        <v>63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8">
        <v>4620207491393</v>
      </c>
      <c r="E113" s="279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97"/>
      <c r="R113" s="297"/>
      <c r="S113" s="297"/>
      <c r="T113" s="298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8">
        <v>4620207491157</v>
      </c>
      <c r="E114" s="279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34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97"/>
      <c r="R114" s="297"/>
      <c r="S114" s="297"/>
      <c r="T114" s="298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8">
        <v>4607111039262</v>
      </c>
      <c r="E115" s="279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7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7"/>
      <c r="R115" s="297"/>
      <c r="S115" s="297"/>
      <c r="T115" s="298"/>
      <c r="U115" s="34"/>
      <c r="V115" s="34"/>
      <c r="W115" s="35" t="s">
        <v>69</v>
      </c>
      <c r="X115" s="268">
        <v>24</v>
      </c>
      <c r="Y115" s="269">
        <f t="shared" si="12"/>
        <v>24</v>
      </c>
      <c r="Z115" s="36">
        <f t="shared" si="13"/>
        <v>0.372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8">
        <v>4607111039248</v>
      </c>
      <c r="E116" s="279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43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7"/>
      <c r="R116" s="297"/>
      <c r="S116" s="297"/>
      <c r="T116" s="298"/>
      <c r="U116" s="34"/>
      <c r="V116" s="34"/>
      <c r="W116" s="35" t="s">
        <v>69</v>
      </c>
      <c r="X116" s="268">
        <v>72</v>
      </c>
      <c r="Y116" s="269">
        <f t="shared" si="12"/>
        <v>72</v>
      </c>
      <c r="Z116" s="36">
        <f t="shared" si="13"/>
        <v>1.1160000000000001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525.6</v>
      </c>
      <c r="BN116" s="67">
        <f t="shared" si="15"/>
        <v>525.6</v>
      </c>
      <c r="BO116" s="67">
        <f t="shared" si="16"/>
        <v>0.8571428571428571</v>
      </c>
      <c r="BP116" s="67">
        <f t="shared" si="17"/>
        <v>0.8571428571428571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8">
        <v>4607111037145</v>
      </c>
      <c r="E117" s="279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41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7"/>
      <c r="R117" s="297"/>
      <c r="S117" s="297"/>
      <c r="T117" s="298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8">
        <v>4607111039293</v>
      </c>
      <c r="E118" s="279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41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7"/>
      <c r="R118" s="297"/>
      <c r="S118" s="297"/>
      <c r="T118" s="298"/>
      <c r="U118" s="34"/>
      <c r="V118" s="34"/>
      <c r="W118" s="35" t="s">
        <v>69</v>
      </c>
      <c r="X118" s="268">
        <v>24</v>
      </c>
      <c r="Y118" s="269">
        <f t="shared" si="12"/>
        <v>24</v>
      </c>
      <c r="Z118" s="36">
        <f t="shared" si="13"/>
        <v>0.372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8">
        <v>4607111039279</v>
      </c>
      <c r="E119" s="279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7"/>
      <c r="R119" s="297"/>
      <c r="S119" s="297"/>
      <c r="T119" s="298"/>
      <c r="U119" s="34"/>
      <c r="V119" s="34"/>
      <c r="W119" s="35" t="s">
        <v>69</v>
      </c>
      <c r="X119" s="268">
        <v>108</v>
      </c>
      <c r="Y119" s="269">
        <f t="shared" si="12"/>
        <v>108</v>
      </c>
      <c r="Z119" s="36">
        <f t="shared" si="13"/>
        <v>1.6739999999999999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788.4</v>
      </c>
      <c r="BN119" s="67">
        <f t="shared" si="15"/>
        <v>788.4</v>
      </c>
      <c r="BO119" s="67">
        <f t="shared" si="16"/>
        <v>1.2857142857142858</v>
      </c>
      <c r="BP119" s="67">
        <f t="shared" si="17"/>
        <v>1.2857142857142858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8">
        <v>4607111037435</v>
      </c>
      <c r="E120" s="279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42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97"/>
      <c r="R120" s="297"/>
      <c r="S120" s="297"/>
      <c r="T120" s="298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300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301"/>
      <c r="P121" s="286" t="s">
        <v>82</v>
      </c>
      <c r="Q121" s="287"/>
      <c r="R121" s="287"/>
      <c r="S121" s="287"/>
      <c r="T121" s="287"/>
      <c r="U121" s="287"/>
      <c r="V121" s="288"/>
      <c r="W121" s="37" t="s">
        <v>69</v>
      </c>
      <c r="X121" s="270">
        <f>IFERROR(SUM(X113:X120),"0")</f>
        <v>240</v>
      </c>
      <c r="Y121" s="270">
        <f>IFERROR(SUM(Y113:Y120),"0")</f>
        <v>240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3.72</v>
      </c>
      <c r="AA121" s="271"/>
      <c r="AB121" s="271"/>
      <c r="AC121" s="271"/>
    </row>
    <row r="122" spans="1:68" x14ac:dyDescent="0.2">
      <c r="A122" s="277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301"/>
      <c r="P122" s="286" t="s">
        <v>82</v>
      </c>
      <c r="Q122" s="287"/>
      <c r="R122" s="287"/>
      <c r="S122" s="287"/>
      <c r="T122" s="287"/>
      <c r="U122" s="287"/>
      <c r="V122" s="288"/>
      <c r="W122" s="37" t="s">
        <v>83</v>
      </c>
      <c r="X122" s="270">
        <f>IFERROR(SUMPRODUCT(X113:X120*H113:H120),"0")</f>
        <v>1651.2</v>
      </c>
      <c r="Y122" s="270">
        <f>IFERROR(SUMPRODUCT(Y113:Y120*H113:H120),"0")</f>
        <v>1651.2</v>
      </c>
      <c r="Z122" s="37"/>
      <c r="AA122" s="271"/>
      <c r="AB122" s="271"/>
      <c r="AC122" s="271"/>
    </row>
    <row r="123" spans="1:68" ht="14.25" customHeight="1" x14ac:dyDescent="0.25">
      <c r="A123" s="276" t="s">
        <v>136</v>
      </c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  <c r="AA123" s="264"/>
      <c r="AB123" s="264"/>
      <c r="AC123" s="264"/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8">
        <v>4620207490983</v>
      </c>
      <c r="E124" s="279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29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97"/>
      <c r="R124" s="297"/>
      <c r="S124" s="297"/>
      <c r="T124" s="298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300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301"/>
      <c r="P125" s="286" t="s">
        <v>82</v>
      </c>
      <c r="Q125" s="287"/>
      <c r="R125" s="287"/>
      <c r="S125" s="287"/>
      <c r="T125" s="287"/>
      <c r="U125" s="287"/>
      <c r="V125" s="288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77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301"/>
      <c r="P126" s="286" t="s">
        <v>82</v>
      </c>
      <c r="Q126" s="287"/>
      <c r="R126" s="287"/>
      <c r="S126" s="287"/>
      <c r="T126" s="287"/>
      <c r="U126" s="287"/>
      <c r="V126" s="288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276" t="s">
        <v>211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4"/>
      <c r="AB127" s="264"/>
      <c r="AC127" s="264"/>
    </row>
    <row r="128" spans="1:68" ht="27" customHeight="1" x14ac:dyDescent="0.25">
      <c r="A128" s="54" t="s">
        <v>212</v>
      </c>
      <c r="B128" s="54" t="s">
        <v>213</v>
      </c>
      <c r="C128" s="31">
        <v>4301071094</v>
      </c>
      <c r="D128" s="278">
        <v>4620207491140</v>
      </c>
      <c r="E128" s="279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33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97"/>
      <c r="R128" s="297"/>
      <c r="S128" s="297"/>
      <c r="T128" s="298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300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301"/>
      <c r="P129" s="286" t="s">
        <v>82</v>
      </c>
      <c r="Q129" s="287"/>
      <c r="R129" s="287"/>
      <c r="S129" s="287"/>
      <c r="T129" s="287"/>
      <c r="U129" s="287"/>
      <c r="V129" s="288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77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301"/>
      <c r="P130" s="286" t="s">
        <v>82</v>
      </c>
      <c r="Q130" s="287"/>
      <c r="R130" s="287"/>
      <c r="S130" s="287"/>
      <c r="T130" s="287"/>
      <c r="U130" s="287"/>
      <c r="V130" s="288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215</v>
      </c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  <c r="AA131" s="263"/>
      <c r="AB131" s="263"/>
      <c r="AC131" s="263"/>
    </row>
    <row r="132" spans="1:68" ht="14.25" customHeight="1" x14ac:dyDescent="0.25">
      <c r="A132" s="276" t="s">
        <v>136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8">
        <v>4607111034014</v>
      </c>
      <c r="E133" s="279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33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97"/>
      <c r="R133" s="297"/>
      <c r="S133" s="297"/>
      <c r="T133" s="298"/>
      <c r="U133" s="34"/>
      <c r="V133" s="34"/>
      <c r="W133" s="35" t="s">
        <v>69</v>
      </c>
      <c r="X133" s="268">
        <v>154</v>
      </c>
      <c r="Y133" s="269">
        <f>IFERROR(IF(X133="","",X133),"")</f>
        <v>154</v>
      </c>
      <c r="Z133" s="36">
        <f>IFERROR(IF(X133="","",X133*0.01788),"")</f>
        <v>2.75352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570.35439999999994</v>
      </c>
      <c r="BN133" s="67">
        <f>IFERROR(Y133*I133,"0")</f>
        <v>570.35439999999994</v>
      </c>
      <c r="BO133" s="67">
        <f>IFERROR(X133/J133,"0")</f>
        <v>2.2000000000000002</v>
      </c>
      <c r="BP133" s="67">
        <f>IFERROR(Y133/J133,"0")</f>
        <v>2.2000000000000002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8">
        <v>4607111033994</v>
      </c>
      <c r="E134" s="279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30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97"/>
      <c r="R134" s="297"/>
      <c r="S134" s="297"/>
      <c r="T134" s="298"/>
      <c r="U134" s="34"/>
      <c r="V134" s="34"/>
      <c r="W134" s="35" t="s">
        <v>69</v>
      </c>
      <c r="X134" s="268">
        <v>140</v>
      </c>
      <c r="Y134" s="269">
        <f>IFERROR(IF(X134="","",X134),"")</f>
        <v>140</v>
      </c>
      <c r="Z134" s="36">
        <f>IFERROR(IF(X134="","",X134*0.01788),"")</f>
        <v>2.5032000000000001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518.50400000000002</v>
      </c>
      <c r="BN134" s="67">
        <f>IFERROR(Y134*I134,"0")</f>
        <v>518.50400000000002</v>
      </c>
      <c r="BO134" s="67">
        <f>IFERROR(X134/J134,"0")</f>
        <v>2</v>
      </c>
      <c r="BP134" s="67">
        <f>IFERROR(Y134/J134,"0")</f>
        <v>2</v>
      </c>
    </row>
    <row r="135" spans="1:68" x14ac:dyDescent="0.2">
      <c r="A135" s="300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301"/>
      <c r="P135" s="286" t="s">
        <v>82</v>
      </c>
      <c r="Q135" s="287"/>
      <c r="R135" s="287"/>
      <c r="S135" s="287"/>
      <c r="T135" s="287"/>
      <c r="U135" s="287"/>
      <c r="V135" s="288"/>
      <c r="W135" s="37" t="s">
        <v>69</v>
      </c>
      <c r="X135" s="270">
        <f>IFERROR(SUM(X133:X134),"0")</f>
        <v>294</v>
      </c>
      <c r="Y135" s="270">
        <f>IFERROR(SUM(Y133:Y134),"0")</f>
        <v>294</v>
      </c>
      <c r="Z135" s="270">
        <f>IFERROR(IF(Z133="",0,Z133),"0")+IFERROR(IF(Z134="",0,Z134),"0")</f>
        <v>5.2567199999999996</v>
      </c>
      <c r="AA135" s="271"/>
      <c r="AB135" s="271"/>
      <c r="AC135" s="271"/>
    </row>
    <row r="136" spans="1:68" x14ac:dyDescent="0.2">
      <c r="A136" s="277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301"/>
      <c r="P136" s="286" t="s">
        <v>82</v>
      </c>
      <c r="Q136" s="287"/>
      <c r="R136" s="287"/>
      <c r="S136" s="287"/>
      <c r="T136" s="287"/>
      <c r="U136" s="287"/>
      <c r="V136" s="288"/>
      <c r="W136" s="37" t="s">
        <v>83</v>
      </c>
      <c r="X136" s="270">
        <f>IFERROR(SUMPRODUCT(X133:X134*H133:H134),"0")</f>
        <v>882</v>
      </c>
      <c r="Y136" s="270">
        <f>IFERROR(SUMPRODUCT(Y133:Y134*H133:H134),"0")</f>
        <v>882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  <c r="AA137" s="263"/>
      <c r="AB137" s="263"/>
      <c r="AC137" s="263"/>
    </row>
    <row r="138" spans="1:68" ht="14.25" customHeight="1" x14ac:dyDescent="0.25">
      <c r="A138" s="276" t="s">
        <v>136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8">
        <v>4607111039095</v>
      </c>
      <c r="E139" s="279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97"/>
      <c r="R139" s="297"/>
      <c r="S139" s="297"/>
      <c r="T139" s="298"/>
      <c r="U139" s="34"/>
      <c r="V139" s="34"/>
      <c r="W139" s="35" t="s">
        <v>69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8">
        <v>4607111034199</v>
      </c>
      <c r="E140" s="279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97"/>
      <c r="R140" s="297"/>
      <c r="S140" s="297"/>
      <c r="T140" s="298"/>
      <c r="U140" s="34"/>
      <c r="V140" s="34"/>
      <c r="W140" s="35" t="s">
        <v>69</v>
      </c>
      <c r="X140" s="268">
        <v>126</v>
      </c>
      <c r="Y140" s="269">
        <f>IFERROR(IF(X140="","",X140),"")</f>
        <v>126</v>
      </c>
      <c r="Z140" s="36">
        <f>IFERROR(IF(X140="","",X140*0.01788),"")</f>
        <v>2.2528800000000002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466.65359999999998</v>
      </c>
      <c r="BN140" s="67">
        <f>IFERROR(Y140*I140,"0")</f>
        <v>466.65359999999998</v>
      </c>
      <c r="BO140" s="67">
        <f>IFERROR(X140/J140,"0")</f>
        <v>1.8</v>
      </c>
      <c r="BP140" s="67">
        <f>IFERROR(Y140/J140,"0")</f>
        <v>1.8</v>
      </c>
    </row>
    <row r="141" spans="1:68" x14ac:dyDescent="0.2">
      <c r="A141" s="300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301"/>
      <c r="P141" s="286" t="s">
        <v>82</v>
      </c>
      <c r="Q141" s="287"/>
      <c r="R141" s="287"/>
      <c r="S141" s="287"/>
      <c r="T141" s="287"/>
      <c r="U141" s="287"/>
      <c r="V141" s="288"/>
      <c r="W141" s="37" t="s">
        <v>69</v>
      </c>
      <c r="X141" s="270">
        <f>IFERROR(SUM(X139:X140),"0")</f>
        <v>140</v>
      </c>
      <c r="Y141" s="270">
        <f>IFERROR(SUM(Y139:Y140),"0")</f>
        <v>140</v>
      </c>
      <c r="Z141" s="270">
        <f>IFERROR(IF(Z139="",0,Z139),"0")+IFERROR(IF(Z140="",0,Z140),"0")</f>
        <v>2.5032000000000001</v>
      </c>
      <c r="AA141" s="271"/>
      <c r="AB141" s="271"/>
      <c r="AC141" s="271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301"/>
      <c r="P142" s="286" t="s">
        <v>82</v>
      </c>
      <c r="Q142" s="287"/>
      <c r="R142" s="287"/>
      <c r="S142" s="287"/>
      <c r="T142" s="287"/>
      <c r="U142" s="287"/>
      <c r="V142" s="288"/>
      <c r="W142" s="37" t="s">
        <v>83</v>
      </c>
      <c r="X142" s="270">
        <f>IFERROR(SUMPRODUCT(X139:X140*H139:H140),"0")</f>
        <v>420</v>
      </c>
      <c r="Y142" s="270">
        <f>IFERROR(SUMPRODUCT(Y139:Y140*H139:H140),"0")</f>
        <v>420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3"/>
      <c r="AB143" s="263"/>
      <c r="AC143" s="263"/>
    </row>
    <row r="144" spans="1:68" ht="14.25" customHeight="1" x14ac:dyDescent="0.25">
      <c r="A144" s="276" t="s">
        <v>136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8">
        <v>4620207490914</v>
      </c>
      <c r="E145" s="279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44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97"/>
      <c r="R145" s="297"/>
      <c r="S145" s="297"/>
      <c r="T145" s="298"/>
      <c r="U145" s="34"/>
      <c r="V145" s="34"/>
      <c r="W145" s="35" t="s">
        <v>69</v>
      </c>
      <c r="X145" s="268">
        <v>112</v>
      </c>
      <c r="Y145" s="269">
        <f>IFERROR(IF(X145="","",X145),"")</f>
        <v>112</v>
      </c>
      <c r="Z145" s="36">
        <f>IFERROR(IF(X145="","",X145*0.01788),"")</f>
        <v>2.0025599999999999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300.16000000000003</v>
      </c>
      <c r="BN145" s="67">
        <f>IFERROR(Y145*I145,"0")</f>
        <v>300.16000000000003</v>
      </c>
      <c r="BO145" s="67">
        <f>IFERROR(X145/J145,"0")</f>
        <v>1.6</v>
      </c>
      <c r="BP145" s="67">
        <f>IFERROR(Y145/J145,"0")</f>
        <v>1.6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8">
        <v>4620207490853</v>
      </c>
      <c r="E146" s="279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32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97"/>
      <c r="R146" s="297"/>
      <c r="S146" s="297"/>
      <c r="T146" s="298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300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301"/>
      <c r="P147" s="286" t="s">
        <v>82</v>
      </c>
      <c r="Q147" s="287"/>
      <c r="R147" s="287"/>
      <c r="S147" s="287"/>
      <c r="T147" s="287"/>
      <c r="U147" s="287"/>
      <c r="V147" s="288"/>
      <c r="W147" s="37" t="s">
        <v>69</v>
      </c>
      <c r="X147" s="270">
        <f>IFERROR(SUM(X145:X146),"0")</f>
        <v>112</v>
      </c>
      <c r="Y147" s="270">
        <f>IFERROR(SUM(Y145:Y146),"0")</f>
        <v>112</v>
      </c>
      <c r="Z147" s="270">
        <f>IFERROR(IF(Z145="",0,Z145),"0")+IFERROR(IF(Z146="",0,Z146),"0")</f>
        <v>2.0025599999999999</v>
      </c>
      <c r="AA147" s="271"/>
      <c r="AB147" s="271"/>
      <c r="AC147" s="271"/>
    </row>
    <row r="148" spans="1:68" x14ac:dyDescent="0.2">
      <c r="A148" s="277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301"/>
      <c r="P148" s="286" t="s">
        <v>82</v>
      </c>
      <c r="Q148" s="287"/>
      <c r="R148" s="287"/>
      <c r="S148" s="287"/>
      <c r="T148" s="287"/>
      <c r="U148" s="287"/>
      <c r="V148" s="288"/>
      <c r="W148" s="37" t="s">
        <v>83</v>
      </c>
      <c r="X148" s="270">
        <f>IFERROR(SUMPRODUCT(X145:X146*H145:H146),"0")</f>
        <v>268.8</v>
      </c>
      <c r="Y148" s="270">
        <f>IFERROR(SUMPRODUCT(Y145:Y146*H145:H146),"0")</f>
        <v>268.8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3"/>
      <c r="AB149" s="263"/>
      <c r="AC149" s="263"/>
    </row>
    <row r="150" spans="1:68" ht="14.25" customHeight="1" x14ac:dyDescent="0.25">
      <c r="A150" s="276" t="s">
        <v>136</v>
      </c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8">
        <v>4607111035806</v>
      </c>
      <c r="E151" s="279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29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97"/>
      <c r="R151" s="297"/>
      <c r="S151" s="297"/>
      <c r="T151" s="298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300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301"/>
      <c r="P152" s="286" t="s">
        <v>82</v>
      </c>
      <c r="Q152" s="287"/>
      <c r="R152" s="287"/>
      <c r="S152" s="287"/>
      <c r="T152" s="287"/>
      <c r="U152" s="287"/>
      <c r="V152" s="288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301"/>
      <c r="P153" s="286" t="s">
        <v>82</v>
      </c>
      <c r="Q153" s="287"/>
      <c r="R153" s="287"/>
      <c r="S153" s="287"/>
      <c r="T153" s="287"/>
      <c r="U153" s="287"/>
      <c r="V153" s="288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3"/>
      <c r="AB154" s="263"/>
      <c r="AC154" s="263"/>
    </row>
    <row r="155" spans="1:68" ht="14.25" customHeight="1" x14ac:dyDescent="0.25">
      <c r="A155" s="276" t="s">
        <v>136</v>
      </c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8">
        <v>4607111039613</v>
      </c>
      <c r="E156" s="279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7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97"/>
      <c r="R156" s="297"/>
      <c r="S156" s="297"/>
      <c r="T156" s="298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300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301"/>
      <c r="P157" s="286" t="s">
        <v>82</v>
      </c>
      <c r="Q157" s="287"/>
      <c r="R157" s="287"/>
      <c r="S157" s="287"/>
      <c r="T157" s="287"/>
      <c r="U157" s="287"/>
      <c r="V157" s="288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301"/>
      <c r="P158" s="286" t="s">
        <v>82</v>
      </c>
      <c r="Q158" s="287"/>
      <c r="R158" s="287"/>
      <c r="S158" s="287"/>
      <c r="T158" s="287"/>
      <c r="U158" s="287"/>
      <c r="V158" s="288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3"/>
      <c r="AB159" s="263"/>
      <c r="AC159" s="263"/>
    </row>
    <row r="160" spans="1:68" ht="14.25" customHeight="1" x14ac:dyDescent="0.25">
      <c r="A160" s="276" t="s">
        <v>211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8">
        <v>4607111035646</v>
      </c>
      <c r="E161" s="279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6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97"/>
      <c r="R161" s="297"/>
      <c r="S161" s="297"/>
      <c r="T161" s="298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300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301"/>
      <c r="P162" s="286" t="s">
        <v>82</v>
      </c>
      <c r="Q162" s="287"/>
      <c r="R162" s="287"/>
      <c r="S162" s="287"/>
      <c r="T162" s="287"/>
      <c r="U162" s="287"/>
      <c r="V162" s="288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301"/>
      <c r="P163" s="286" t="s">
        <v>82</v>
      </c>
      <c r="Q163" s="287"/>
      <c r="R163" s="287"/>
      <c r="S163" s="287"/>
      <c r="T163" s="287"/>
      <c r="U163" s="287"/>
      <c r="V163" s="288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  <c r="AA164" s="263"/>
      <c r="AB164" s="263"/>
      <c r="AC164" s="263"/>
    </row>
    <row r="165" spans="1:68" ht="14.25" customHeight="1" x14ac:dyDescent="0.25">
      <c r="A165" s="276" t="s">
        <v>136</v>
      </c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8">
        <v>4607111036568</v>
      </c>
      <c r="E166" s="279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43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97"/>
      <c r="R166" s="297"/>
      <c r="S166" s="297"/>
      <c r="T166" s="298"/>
      <c r="U166" s="34"/>
      <c r="V166" s="34"/>
      <c r="W166" s="35" t="s">
        <v>69</v>
      </c>
      <c r="X166" s="268">
        <v>98</v>
      </c>
      <c r="Y166" s="269">
        <f>IFERROR(IF(X166="","",X166),"")</f>
        <v>98</v>
      </c>
      <c r="Z166" s="36">
        <f>IFERROR(IF(X166="","",X166*0.00941),"")</f>
        <v>0.92218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205.97639999999998</v>
      </c>
      <c r="BN166" s="67">
        <f>IFERROR(Y166*I166,"0")</f>
        <v>205.97639999999998</v>
      </c>
      <c r="BO166" s="67">
        <f>IFERROR(X166/J166,"0")</f>
        <v>0.7</v>
      </c>
      <c r="BP166" s="67">
        <f>IFERROR(Y166/J166,"0")</f>
        <v>0.7</v>
      </c>
    </row>
    <row r="167" spans="1:68" x14ac:dyDescent="0.2">
      <c r="A167" s="300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301"/>
      <c r="P167" s="286" t="s">
        <v>82</v>
      </c>
      <c r="Q167" s="287"/>
      <c r="R167" s="287"/>
      <c r="S167" s="287"/>
      <c r="T167" s="287"/>
      <c r="U167" s="287"/>
      <c r="V167" s="288"/>
      <c r="W167" s="37" t="s">
        <v>69</v>
      </c>
      <c r="X167" s="270">
        <f>IFERROR(SUM(X166:X166),"0")</f>
        <v>98</v>
      </c>
      <c r="Y167" s="270">
        <f>IFERROR(SUM(Y166:Y166),"0")</f>
        <v>98</v>
      </c>
      <c r="Z167" s="270">
        <f>IFERROR(IF(Z166="",0,Z166),"0")</f>
        <v>0.92218</v>
      </c>
      <c r="AA167" s="271"/>
      <c r="AB167" s="271"/>
      <c r="AC167" s="271"/>
    </row>
    <row r="168" spans="1:68" x14ac:dyDescent="0.2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301"/>
      <c r="P168" s="286" t="s">
        <v>82</v>
      </c>
      <c r="Q168" s="287"/>
      <c r="R168" s="287"/>
      <c r="S168" s="287"/>
      <c r="T168" s="287"/>
      <c r="U168" s="287"/>
      <c r="V168" s="288"/>
      <c r="W168" s="37" t="s">
        <v>83</v>
      </c>
      <c r="X168" s="270">
        <f>IFERROR(SUMPRODUCT(X166:X166*H166:H166),"0")</f>
        <v>164.64</v>
      </c>
      <c r="Y168" s="270">
        <f>IFERROR(SUMPRODUCT(Y166:Y166*H166:H166),"0")</f>
        <v>164.64</v>
      </c>
      <c r="Z168" s="37"/>
      <c r="AA168" s="271"/>
      <c r="AB168" s="271"/>
      <c r="AC168" s="271"/>
    </row>
    <row r="169" spans="1:68" ht="27.75" customHeight="1" x14ac:dyDescent="0.2">
      <c r="A169" s="274" t="s">
        <v>249</v>
      </c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48"/>
      <c r="AB169" s="48"/>
      <c r="AC169" s="48"/>
    </row>
    <row r="170" spans="1:68" ht="16.5" customHeight="1" x14ac:dyDescent="0.25">
      <c r="A170" s="284" t="s">
        <v>250</v>
      </c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  <c r="AA170" s="263"/>
      <c r="AB170" s="263"/>
      <c r="AC170" s="263"/>
    </row>
    <row r="171" spans="1:68" ht="14.25" customHeight="1" x14ac:dyDescent="0.25">
      <c r="A171" s="276" t="s">
        <v>63</v>
      </c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8">
        <v>4607111036384</v>
      </c>
      <c r="E172" s="279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45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97"/>
      <c r="R172" s="297"/>
      <c r="S172" s="297"/>
      <c r="T172" s="298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8">
        <v>4607111036216</v>
      </c>
      <c r="E173" s="279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97"/>
      <c r="R173" s="297"/>
      <c r="S173" s="297"/>
      <c r="T173" s="298"/>
      <c r="U173" s="34"/>
      <c r="V173" s="34"/>
      <c r="W173" s="35" t="s">
        <v>69</v>
      </c>
      <c r="X173" s="268">
        <v>12</v>
      </c>
      <c r="Y173" s="269">
        <f>IFERROR(IF(X173="","",X173),"")</f>
        <v>12</v>
      </c>
      <c r="Z173" s="36">
        <f>IFERROR(IF(X173="","",X173*0.00866),"")</f>
        <v>0.10391999999999998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62.558399999999992</v>
      </c>
      <c r="BN173" s="67">
        <f>IFERROR(Y173*I173,"0")</f>
        <v>62.558399999999992</v>
      </c>
      <c r="BO173" s="67">
        <f>IFERROR(X173/J173,"0")</f>
        <v>8.3333333333333329E-2</v>
      </c>
      <c r="BP173" s="67">
        <f>IFERROR(Y173/J173,"0")</f>
        <v>8.3333333333333329E-2</v>
      </c>
    </row>
    <row r="174" spans="1:68" x14ac:dyDescent="0.2">
      <c r="A174" s="300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301"/>
      <c r="P174" s="286" t="s">
        <v>82</v>
      </c>
      <c r="Q174" s="287"/>
      <c r="R174" s="287"/>
      <c r="S174" s="287"/>
      <c r="T174" s="287"/>
      <c r="U174" s="287"/>
      <c r="V174" s="288"/>
      <c r="W174" s="37" t="s">
        <v>69</v>
      </c>
      <c r="X174" s="270">
        <f>IFERROR(SUM(X172:X173),"0")</f>
        <v>12</v>
      </c>
      <c r="Y174" s="270">
        <f>IFERROR(SUM(Y172:Y173),"0")</f>
        <v>12</v>
      </c>
      <c r="Z174" s="270">
        <f>IFERROR(IF(Z172="",0,Z172),"0")+IFERROR(IF(Z173="",0,Z173),"0")</f>
        <v>0.10391999999999998</v>
      </c>
      <c r="AA174" s="271"/>
      <c r="AB174" s="271"/>
      <c r="AC174" s="271"/>
    </row>
    <row r="175" spans="1:68" x14ac:dyDescent="0.2">
      <c r="A175" s="277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301"/>
      <c r="P175" s="286" t="s">
        <v>82</v>
      </c>
      <c r="Q175" s="287"/>
      <c r="R175" s="287"/>
      <c r="S175" s="287"/>
      <c r="T175" s="287"/>
      <c r="U175" s="287"/>
      <c r="V175" s="288"/>
      <c r="W175" s="37" t="s">
        <v>83</v>
      </c>
      <c r="X175" s="270">
        <f>IFERROR(SUMPRODUCT(X172:X173*H172:H173),"0")</f>
        <v>60</v>
      </c>
      <c r="Y175" s="270">
        <f>IFERROR(SUMPRODUCT(Y172:Y173*H172:H173),"0")</f>
        <v>60</v>
      </c>
      <c r="Z175" s="37"/>
      <c r="AA175" s="271"/>
      <c r="AB175" s="271"/>
      <c r="AC175" s="271"/>
    </row>
    <row r="176" spans="1:68" ht="27.75" customHeight="1" x14ac:dyDescent="0.2">
      <c r="A176" s="274" t="s">
        <v>257</v>
      </c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48"/>
      <c r="AB176" s="48"/>
      <c r="AC176" s="48"/>
    </row>
    <row r="177" spans="1:68" ht="16.5" customHeight="1" x14ac:dyDescent="0.25">
      <c r="A177" s="284" t="s">
        <v>258</v>
      </c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  <c r="AA177" s="263"/>
      <c r="AB177" s="263"/>
      <c r="AC177" s="263"/>
    </row>
    <row r="178" spans="1:68" ht="14.25" customHeight="1" x14ac:dyDescent="0.25">
      <c r="A178" s="276" t="s">
        <v>92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8">
        <v>4607111035691</v>
      </c>
      <c r="E179" s="279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7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97"/>
      <c r="R179" s="297"/>
      <c r="S179" s="297"/>
      <c r="T179" s="298"/>
      <c r="U179" s="34"/>
      <c r="V179" s="34"/>
      <c r="W179" s="35" t="s">
        <v>69</v>
      </c>
      <c r="X179" s="268">
        <v>84</v>
      </c>
      <c r="Y179" s="269">
        <f>IFERROR(IF(X179="","",X179),"")</f>
        <v>84</v>
      </c>
      <c r="Z179" s="36">
        <f>IFERROR(IF(X179="","",X179*0.01788),"")</f>
        <v>1.5019199999999999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284.59199999999998</v>
      </c>
      <c r="BN179" s="67">
        <f>IFERROR(Y179*I179,"0")</f>
        <v>284.59199999999998</v>
      </c>
      <c r="BO179" s="67">
        <f>IFERROR(X179/J179,"0")</f>
        <v>1.2</v>
      </c>
      <c r="BP179" s="67">
        <f>IFERROR(Y179/J179,"0")</f>
        <v>1.2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8">
        <v>4607111035721</v>
      </c>
      <c r="E180" s="279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41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97"/>
      <c r="R180" s="297"/>
      <c r="S180" s="297"/>
      <c r="T180" s="298"/>
      <c r="U180" s="34"/>
      <c r="V180" s="34"/>
      <c r="W180" s="35" t="s">
        <v>69</v>
      </c>
      <c r="X180" s="268">
        <v>84</v>
      </c>
      <c r="Y180" s="269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284.59199999999998</v>
      </c>
      <c r="BN180" s="67">
        <f>IFERROR(Y180*I180,"0")</f>
        <v>284.59199999999998</v>
      </c>
      <c r="BO180" s="67">
        <f>IFERROR(X180/J180,"0")</f>
        <v>1.2</v>
      </c>
      <c r="BP180" s="67">
        <f>IFERROR(Y180/J180,"0")</f>
        <v>1.2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8">
        <v>4607111038487</v>
      </c>
      <c r="E181" s="279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3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97"/>
      <c r="R181" s="297"/>
      <c r="S181" s="297"/>
      <c r="T181" s="298"/>
      <c r="U181" s="34"/>
      <c r="V181" s="34"/>
      <c r="W181" s="35" t="s">
        <v>69</v>
      </c>
      <c r="X181" s="268">
        <v>70</v>
      </c>
      <c r="Y181" s="269">
        <f>IFERROR(IF(X181="","",X181),"")</f>
        <v>70</v>
      </c>
      <c r="Z181" s="36">
        <f>IFERROR(IF(X181="","",X181*0.01788),"")</f>
        <v>1.2516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261.52000000000004</v>
      </c>
      <c r="BN181" s="67">
        <f>IFERROR(Y181*I181,"0")</f>
        <v>261.52000000000004</v>
      </c>
      <c r="BO181" s="67">
        <f>IFERROR(X181/J181,"0")</f>
        <v>1</v>
      </c>
      <c r="BP181" s="67">
        <f>IFERROR(Y181/J181,"0")</f>
        <v>1</v>
      </c>
    </row>
    <row r="182" spans="1:68" x14ac:dyDescent="0.2">
      <c r="A182" s="300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301"/>
      <c r="P182" s="286" t="s">
        <v>82</v>
      </c>
      <c r="Q182" s="287"/>
      <c r="R182" s="287"/>
      <c r="S182" s="287"/>
      <c r="T182" s="287"/>
      <c r="U182" s="287"/>
      <c r="V182" s="288"/>
      <c r="W182" s="37" t="s">
        <v>69</v>
      </c>
      <c r="X182" s="270">
        <f>IFERROR(SUM(X179:X181),"0")</f>
        <v>238</v>
      </c>
      <c r="Y182" s="270">
        <f>IFERROR(SUM(Y179:Y181),"0")</f>
        <v>238</v>
      </c>
      <c r="Z182" s="270">
        <f>IFERROR(IF(Z179="",0,Z179),"0")+IFERROR(IF(Z180="",0,Z180),"0")+IFERROR(IF(Z181="",0,Z181),"0")</f>
        <v>4.2554400000000001</v>
      </c>
      <c r="AA182" s="271"/>
      <c r="AB182" s="271"/>
      <c r="AC182" s="271"/>
    </row>
    <row r="183" spans="1:68" x14ac:dyDescent="0.2">
      <c r="A183" s="277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301"/>
      <c r="P183" s="286" t="s">
        <v>82</v>
      </c>
      <c r="Q183" s="287"/>
      <c r="R183" s="287"/>
      <c r="S183" s="287"/>
      <c r="T183" s="287"/>
      <c r="U183" s="287"/>
      <c r="V183" s="288"/>
      <c r="W183" s="37" t="s">
        <v>83</v>
      </c>
      <c r="X183" s="270">
        <f>IFERROR(SUMPRODUCT(X179:X181*H179:H181),"0")</f>
        <v>714</v>
      </c>
      <c r="Y183" s="270">
        <f>IFERROR(SUMPRODUCT(Y179:Y181*H179:H181),"0")</f>
        <v>714</v>
      </c>
      <c r="Z183" s="37"/>
      <c r="AA183" s="271"/>
      <c r="AB183" s="271"/>
      <c r="AC183" s="271"/>
    </row>
    <row r="184" spans="1:68" ht="14.25" customHeight="1" x14ac:dyDescent="0.25">
      <c r="A184" s="276" t="s">
        <v>268</v>
      </c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8">
        <v>4680115885875</v>
      </c>
      <c r="E185" s="279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402" t="s">
        <v>273</v>
      </c>
      <c r="Q185" s="297"/>
      <c r="R185" s="297"/>
      <c r="S185" s="297"/>
      <c r="T185" s="298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00"/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301"/>
      <c r="P186" s="286" t="s">
        <v>82</v>
      </c>
      <c r="Q186" s="287"/>
      <c r="R186" s="287"/>
      <c r="S186" s="287"/>
      <c r="T186" s="287"/>
      <c r="U186" s="287"/>
      <c r="V186" s="288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77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301"/>
      <c r="P187" s="286" t="s">
        <v>82</v>
      </c>
      <c r="Q187" s="287"/>
      <c r="R187" s="287"/>
      <c r="S187" s="287"/>
      <c r="T187" s="287"/>
      <c r="U187" s="287"/>
      <c r="V187" s="288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74" t="s">
        <v>276</v>
      </c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48"/>
      <c r="AB188" s="48"/>
      <c r="AC188" s="48"/>
    </row>
    <row r="189" spans="1:68" ht="16.5" customHeight="1" x14ac:dyDescent="0.25">
      <c r="A189" s="284" t="s">
        <v>277</v>
      </c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  <c r="AA189" s="263"/>
      <c r="AB189" s="263"/>
      <c r="AC189" s="263"/>
    </row>
    <row r="190" spans="1:68" ht="14.25" customHeight="1" x14ac:dyDescent="0.25">
      <c r="A190" s="276" t="s">
        <v>92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8">
        <v>4620207491133</v>
      </c>
      <c r="E191" s="279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97"/>
      <c r="R191" s="297"/>
      <c r="S191" s="297"/>
      <c r="T191" s="298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300"/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301"/>
      <c r="P192" s="286" t="s">
        <v>82</v>
      </c>
      <c r="Q192" s="287"/>
      <c r="R192" s="287"/>
      <c r="S192" s="287"/>
      <c r="T192" s="287"/>
      <c r="U192" s="287"/>
      <c r="V192" s="288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77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301"/>
      <c r="P193" s="286" t="s">
        <v>82</v>
      </c>
      <c r="Q193" s="287"/>
      <c r="R193" s="287"/>
      <c r="S193" s="287"/>
      <c r="T193" s="287"/>
      <c r="U193" s="287"/>
      <c r="V193" s="288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276" t="s">
        <v>136</v>
      </c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8">
        <v>4620207491188</v>
      </c>
      <c r="E195" s="279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0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97"/>
      <c r="R195" s="297"/>
      <c r="S195" s="297"/>
      <c r="T195" s="298"/>
      <c r="U195" s="34"/>
      <c r="V195" s="34"/>
      <c r="W195" s="35" t="s">
        <v>69</v>
      </c>
      <c r="X195" s="268">
        <v>28</v>
      </c>
      <c r="Y195" s="269">
        <f>IFERROR(IF(X195="","",X195),"")</f>
        <v>28</v>
      </c>
      <c r="Z195" s="36">
        <f>IFERROR(IF(X195="","",X195*0.01788),"")</f>
        <v>0.50063999999999997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86.900800000000004</v>
      </c>
      <c r="BN195" s="67">
        <f>IFERROR(Y195*I195,"0")</f>
        <v>86.900800000000004</v>
      </c>
      <c r="BO195" s="67">
        <f>IFERROR(X195/J195,"0")</f>
        <v>0.4</v>
      </c>
      <c r="BP195" s="67">
        <f>IFERROR(Y195/J195,"0")</f>
        <v>0.4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8">
        <v>4620207490198</v>
      </c>
      <c r="E196" s="279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97"/>
      <c r="R196" s="297"/>
      <c r="S196" s="297"/>
      <c r="T196" s="298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8">
        <v>4620207490235</v>
      </c>
      <c r="E197" s="279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40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97"/>
      <c r="R197" s="297"/>
      <c r="S197" s="297"/>
      <c r="T197" s="298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8">
        <v>4620207490259</v>
      </c>
      <c r="E198" s="279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33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97"/>
      <c r="R198" s="297"/>
      <c r="S198" s="297"/>
      <c r="T198" s="298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8">
        <v>4620207490143</v>
      </c>
      <c r="E199" s="279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31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97"/>
      <c r="R199" s="297"/>
      <c r="S199" s="297"/>
      <c r="T199" s="298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00"/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301"/>
      <c r="P200" s="286" t="s">
        <v>82</v>
      </c>
      <c r="Q200" s="287"/>
      <c r="R200" s="287"/>
      <c r="S200" s="287"/>
      <c r="T200" s="287"/>
      <c r="U200" s="287"/>
      <c r="V200" s="288"/>
      <c r="W200" s="37" t="s">
        <v>69</v>
      </c>
      <c r="X200" s="270">
        <f>IFERROR(SUM(X195:X199),"0")</f>
        <v>28</v>
      </c>
      <c r="Y200" s="270">
        <f>IFERROR(SUM(Y195:Y199),"0")</f>
        <v>28</v>
      </c>
      <c r="Z200" s="270">
        <f>IFERROR(IF(Z195="",0,Z195),"0")+IFERROR(IF(Z196="",0,Z196),"0")+IFERROR(IF(Z197="",0,Z197),"0")+IFERROR(IF(Z198="",0,Z198),"0")+IFERROR(IF(Z199="",0,Z199),"0")</f>
        <v>0.50063999999999997</v>
      </c>
      <c r="AA200" s="271"/>
      <c r="AB200" s="271"/>
      <c r="AC200" s="271"/>
    </row>
    <row r="201" spans="1:68" x14ac:dyDescent="0.2">
      <c r="A201" s="277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301"/>
      <c r="P201" s="286" t="s">
        <v>82</v>
      </c>
      <c r="Q201" s="287"/>
      <c r="R201" s="287"/>
      <c r="S201" s="287"/>
      <c r="T201" s="287"/>
      <c r="U201" s="287"/>
      <c r="V201" s="288"/>
      <c r="W201" s="37" t="s">
        <v>83</v>
      </c>
      <c r="X201" s="270">
        <f>IFERROR(SUMPRODUCT(X195:X199*H195:H199),"0")</f>
        <v>67.2</v>
      </c>
      <c r="Y201" s="270">
        <f>IFERROR(SUMPRODUCT(Y195:Y199*H195:H199),"0")</f>
        <v>67.2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  <c r="AA202" s="263"/>
      <c r="AB202" s="263"/>
      <c r="AC202" s="263"/>
    </row>
    <row r="203" spans="1:68" ht="14.25" customHeight="1" x14ac:dyDescent="0.25">
      <c r="A203" s="276" t="s">
        <v>63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8">
        <v>4620207491096</v>
      </c>
      <c r="E204" s="279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7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97"/>
      <c r="R204" s="297"/>
      <c r="S204" s="297"/>
      <c r="T204" s="298"/>
      <c r="U204" s="34"/>
      <c r="V204" s="34"/>
      <c r="W204" s="35" t="s">
        <v>69</v>
      </c>
      <c r="X204" s="268">
        <v>120</v>
      </c>
      <c r="Y204" s="269">
        <f>IFERROR(IF(X204="","",X204),"")</f>
        <v>120</v>
      </c>
      <c r="Z204" s="36">
        <f>IFERROR(IF(X204="","",X204*0.0155),"")</f>
        <v>1.8599999999999999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627.6</v>
      </c>
      <c r="BN204" s="67">
        <f>IFERROR(Y204*I204,"0")</f>
        <v>627.6</v>
      </c>
      <c r="BO204" s="67">
        <f>IFERROR(X204/J204,"0")</f>
        <v>1.4285714285714286</v>
      </c>
      <c r="BP204" s="67">
        <f>IFERROR(Y204/J204,"0")</f>
        <v>1.4285714285714286</v>
      </c>
    </row>
    <row r="205" spans="1:68" x14ac:dyDescent="0.2">
      <c r="A205" s="300"/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301"/>
      <c r="P205" s="286" t="s">
        <v>82</v>
      </c>
      <c r="Q205" s="287"/>
      <c r="R205" s="287"/>
      <c r="S205" s="287"/>
      <c r="T205" s="287"/>
      <c r="U205" s="287"/>
      <c r="V205" s="288"/>
      <c r="W205" s="37" t="s">
        <v>69</v>
      </c>
      <c r="X205" s="270">
        <f>IFERROR(SUM(X204:X204),"0")</f>
        <v>120</v>
      </c>
      <c r="Y205" s="270">
        <f>IFERROR(SUM(Y204:Y204),"0")</f>
        <v>120</v>
      </c>
      <c r="Z205" s="270">
        <f>IFERROR(IF(Z204="",0,Z204),"0")</f>
        <v>1.8599999999999999</v>
      </c>
      <c r="AA205" s="271"/>
      <c r="AB205" s="271"/>
      <c r="AC205" s="271"/>
    </row>
    <row r="206" spans="1:68" x14ac:dyDescent="0.2">
      <c r="A206" s="277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301"/>
      <c r="P206" s="286" t="s">
        <v>82</v>
      </c>
      <c r="Q206" s="287"/>
      <c r="R206" s="287"/>
      <c r="S206" s="287"/>
      <c r="T206" s="287"/>
      <c r="U206" s="287"/>
      <c r="V206" s="288"/>
      <c r="W206" s="37" t="s">
        <v>83</v>
      </c>
      <c r="X206" s="270">
        <f>IFERROR(SUMPRODUCT(X204:X204*H204:H204),"0")</f>
        <v>600</v>
      </c>
      <c r="Y206" s="270">
        <f>IFERROR(SUMPRODUCT(Y204:Y204*H204:H204),"0")</f>
        <v>600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  <c r="AA207" s="263"/>
      <c r="AB207" s="263"/>
      <c r="AC207" s="263"/>
    </row>
    <row r="208" spans="1:68" ht="14.25" customHeight="1" x14ac:dyDescent="0.25">
      <c r="A208" s="276" t="s">
        <v>63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8">
        <v>4620207490709</v>
      </c>
      <c r="E209" s="279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45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97"/>
      <c r="R209" s="297"/>
      <c r="S209" s="297"/>
      <c r="T209" s="298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300"/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301"/>
      <c r="P210" s="286" t="s">
        <v>82</v>
      </c>
      <c r="Q210" s="287"/>
      <c r="R210" s="287"/>
      <c r="S210" s="287"/>
      <c r="T210" s="287"/>
      <c r="U210" s="287"/>
      <c r="V210" s="288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77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301"/>
      <c r="P211" s="286" t="s">
        <v>82</v>
      </c>
      <c r="Q211" s="287"/>
      <c r="R211" s="287"/>
      <c r="S211" s="287"/>
      <c r="T211" s="287"/>
      <c r="U211" s="287"/>
      <c r="V211" s="288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276" t="s">
        <v>136</v>
      </c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8">
        <v>4620207490549</v>
      </c>
      <c r="E213" s="279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44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97"/>
      <c r="R213" s="297"/>
      <c r="S213" s="297"/>
      <c r="T213" s="298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8">
        <v>4620207490501</v>
      </c>
      <c r="E214" s="279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34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97"/>
      <c r="R214" s="297"/>
      <c r="S214" s="297"/>
      <c r="T214" s="298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300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301"/>
      <c r="P215" s="286" t="s">
        <v>82</v>
      </c>
      <c r="Q215" s="287"/>
      <c r="R215" s="287"/>
      <c r="S215" s="287"/>
      <c r="T215" s="287"/>
      <c r="U215" s="287"/>
      <c r="V215" s="288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77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301"/>
      <c r="P216" s="286" t="s">
        <v>82</v>
      </c>
      <c r="Q216" s="287"/>
      <c r="R216" s="287"/>
      <c r="S216" s="287"/>
      <c r="T216" s="287"/>
      <c r="U216" s="287"/>
      <c r="V216" s="288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74" t="s">
        <v>308</v>
      </c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48"/>
      <c r="AB217" s="48"/>
      <c r="AC217" s="48"/>
    </row>
    <row r="218" spans="1:68" ht="16.5" customHeight="1" x14ac:dyDescent="0.25">
      <c r="A218" s="284" t="s">
        <v>309</v>
      </c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  <c r="AA218" s="263"/>
      <c r="AB218" s="263"/>
      <c r="AC218" s="263"/>
    </row>
    <row r="219" spans="1:68" ht="14.25" customHeight="1" x14ac:dyDescent="0.25">
      <c r="A219" s="276" t="s">
        <v>63</v>
      </c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8">
        <v>4607111036162</v>
      </c>
      <c r="E220" s="279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4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97"/>
      <c r="R220" s="297"/>
      <c r="S220" s="297"/>
      <c r="T220" s="298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300"/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301"/>
      <c r="P221" s="286" t="s">
        <v>82</v>
      </c>
      <c r="Q221" s="287"/>
      <c r="R221" s="287"/>
      <c r="S221" s="287"/>
      <c r="T221" s="287"/>
      <c r="U221" s="287"/>
      <c r="V221" s="288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77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301"/>
      <c r="P222" s="286" t="s">
        <v>82</v>
      </c>
      <c r="Q222" s="287"/>
      <c r="R222" s="287"/>
      <c r="S222" s="287"/>
      <c r="T222" s="287"/>
      <c r="U222" s="287"/>
      <c r="V222" s="288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74" t="s">
        <v>313</v>
      </c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48"/>
      <c r="AB223" s="48"/>
      <c r="AC223" s="48"/>
    </row>
    <row r="224" spans="1:68" ht="16.5" customHeight="1" x14ac:dyDescent="0.25">
      <c r="A224" s="284" t="s">
        <v>314</v>
      </c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  <c r="AA224" s="263"/>
      <c r="AB224" s="263"/>
      <c r="AC224" s="263"/>
    </row>
    <row r="225" spans="1:68" ht="14.25" customHeight="1" x14ac:dyDescent="0.25">
      <c r="A225" s="276" t="s">
        <v>63</v>
      </c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8">
        <v>4607111035899</v>
      </c>
      <c r="E226" s="279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3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97"/>
      <c r="R226" s="297"/>
      <c r="S226" s="297"/>
      <c r="T226" s="298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300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301"/>
      <c r="P227" s="286" t="s">
        <v>82</v>
      </c>
      <c r="Q227" s="287"/>
      <c r="R227" s="287"/>
      <c r="S227" s="287"/>
      <c r="T227" s="287"/>
      <c r="U227" s="287"/>
      <c r="V227" s="288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77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301"/>
      <c r="P228" s="286" t="s">
        <v>82</v>
      </c>
      <c r="Q228" s="287"/>
      <c r="R228" s="287"/>
      <c r="S228" s="287"/>
      <c r="T228" s="287"/>
      <c r="U228" s="287"/>
      <c r="V228" s="288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74" t="s">
        <v>317</v>
      </c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48"/>
      <c r="AB229" s="48"/>
      <c r="AC229" s="48"/>
    </row>
    <row r="230" spans="1:68" ht="16.5" customHeight="1" x14ac:dyDescent="0.25">
      <c r="A230" s="284" t="s">
        <v>318</v>
      </c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63"/>
      <c r="AB230" s="263"/>
      <c r="AC230" s="263"/>
    </row>
    <row r="231" spans="1:68" ht="14.25" customHeight="1" x14ac:dyDescent="0.25">
      <c r="A231" s="276" t="s">
        <v>319</v>
      </c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8">
        <v>4607111039774</v>
      </c>
      <c r="E232" s="279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6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7"/>
      <c r="R232" s="297"/>
      <c r="S232" s="297"/>
      <c r="T232" s="298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300"/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301"/>
      <c r="P233" s="286" t="s">
        <v>82</v>
      </c>
      <c r="Q233" s="287"/>
      <c r="R233" s="287"/>
      <c r="S233" s="287"/>
      <c r="T233" s="287"/>
      <c r="U233" s="287"/>
      <c r="V233" s="288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77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301"/>
      <c r="P234" s="286" t="s">
        <v>82</v>
      </c>
      <c r="Q234" s="287"/>
      <c r="R234" s="287"/>
      <c r="S234" s="287"/>
      <c r="T234" s="287"/>
      <c r="U234" s="287"/>
      <c r="V234" s="288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276" t="s">
        <v>136</v>
      </c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8">
        <v>4607111039361</v>
      </c>
      <c r="E236" s="279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42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7"/>
      <c r="R236" s="297"/>
      <c r="S236" s="297"/>
      <c r="T236" s="298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00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301"/>
      <c r="P237" s="286" t="s">
        <v>82</v>
      </c>
      <c r="Q237" s="287"/>
      <c r="R237" s="287"/>
      <c r="S237" s="287"/>
      <c r="T237" s="287"/>
      <c r="U237" s="287"/>
      <c r="V237" s="288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301"/>
      <c r="P238" s="286" t="s">
        <v>82</v>
      </c>
      <c r="Q238" s="287"/>
      <c r="R238" s="287"/>
      <c r="S238" s="287"/>
      <c r="T238" s="287"/>
      <c r="U238" s="287"/>
      <c r="V238" s="288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74" t="s">
        <v>325</v>
      </c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48"/>
      <c r="AB239" s="48"/>
      <c r="AC239" s="48"/>
    </row>
    <row r="240" spans="1:68" ht="16.5" customHeight="1" x14ac:dyDescent="0.25">
      <c r="A240" s="284" t="s">
        <v>325</v>
      </c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  <c r="W240" s="277"/>
      <c r="X240" s="277"/>
      <c r="Y240" s="277"/>
      <c r="Z240" s="277"/>
      <c r="AA240" s="263"/>
      <c r="AB240" s="263"/>
      <c r="AC240" s="263"/>
    </row>
    <row r="241" spans="1:68" ht="14.25" customHeight="1" x14ac:dyDescent="0.25">
      <c r="A241" s="276" t="s">
        <v>63</v>
      </c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8">
        <v>4640242181264</v>
      </c>
      <c r="E242" s="279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4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97"/>
      <c r="R242" s="297"/>
      <c r="S242" s="297"/>
      <c r="T242" s="298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8">
        <v>4640242181325</v>
      </c>
      <c r="E243" s="279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3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97"/>
      <c r="R243" s="297"/>
      <c r="S243" s="297"/>
      <c r="T243" s="298"/>
      <c r="U243" s="34"/>
      <c r="V243" s="34"/>
      <c r="W243" s="35" t="s">
        <v>69</v>
      </c>
      <c r="X243" s="268">
        <v>84</v>
      </c>
      <c r="Y243" s="269">
        <f>IFERROR(IF(X243="","",X243),"")</f>
        <v>84</v>
      </c>
      <c r="Z243" s="36">
        <f>IFERROR(IF(X243="","",X243*0.0155),"")</f>
        <v>1.302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611.52</v>
      </c>
      <c r="BN243" s="67">
        <f>IFERROR(Y243*I243,"0")</f>
        <v>611.52</v>
      </c>
      <c r="BO243" s="67">
        <f>IFERROR(X243/J243,"0")</f>
        <v>1</v>
      </c>
      <c r="BP243" s="67">
        <f>IFERROR(Y243/J243,"0")</f>
        <v>1</v>
      </c>
    </row>
    <row r="244" spans="1:68" x14ac:dyDescent="0.2">
      <c r="A244" s="300"/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301"/>
      <c r="P244" s="286" t="s">
        <v>82</v>
      </c>
      <c r="Q244" s="287"/>
      <c r="R244" s="287"/>
      <c r="S244" s="287"/>
      <c r="T244" s="287"/>
      <c r="U244" s="287"/>
      <c r="V244" s="288"/>
      <c r="W244" s="37" t="s">
        <v>69</v>
      </c>
      <c r="X244" s="270">
        <f>IFERROR(SUM(X242:X243),"0")</f>
        <v>84</v>
      </c>
      <c r="Y244" s="270">
        <f>IFERROR(SUM(Y242:Y243),"0")</f>
        <v>84</v>
      </c>
      <c r="Z244" s="270">
        <f>IFERROR(IF(Z242="",0,Z242),"0")+IFERROR(IF(Z243="",0,Z243),"0")</f>
        <v>1.302</v>
      </c>
      <c r="AA244" s="271"/>
      <c r="AB244" s="271"/>
      <c r="AC244" s="271"/>
    </row>
    <row r="245" spans="1:68" x14ac:dyDescent="0.2">
      <c r="A245" s="277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301"/>
      <c r="P245" s="286" t="s">
        <v>82</v>
      </c>
      <c r="Q245" s="287"/>
      <c r="R245" s="287"/>
      <c r="S245" s="287"/>
      <c r="T245" s="287"/>
      <c r="U245" s="287"/>
      <c r="V245" s="288"/>
      <c r="W245" s="37" t="s">
        <v>83</v>
      </c>
      <c r="X245" s="270">
        <f>IFERROR(SUMPRODUCT(X242:X243*H242:H243),"0")</f>
        <v>588</v>
      </c>
      <c r="Y245" s="270">
        <f>IFERROR(SUMPRODUCT(Y242:Y243*H242:H243),"0")</f>
        <v>588</v>
      </c>
      <c r="Z245" s="37"/>
      <c r="AA245" s="271"/>
      <c r="AB245" s="271"/>
      <c r="AC245" s="271"/>
    </row>
    <row r="246" spans="1:68" ht="14.25" customHeight="1" x14ac:dyDescent="0.25">
      <c r="A246" s="276" t="s">
        <v>92</v>
      </c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8">
        <v>4640242180397</v>
      </c>
      <c r="E247" s="279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34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97"/>
      <c r="R247" s="297"/>
      <c r="S247" s="297"/>
      <c r="T247" s="298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8">
        <v>4640242181219</v>
      </c>
      <c r="E248" s="279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7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97"/>
      <c r="R248" s="297"/>
      <c r="S248" s="297"/>
      <c r="T248" s="298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300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301"/>
      <c r="P249" s="286" t="s">
        <v>82</v>
      </c>
      <c r="Q249" s="287"/>
      <c r="R249" s="287"/>
      <c r="S249" s="287"/>
      <c r="T249" s="287"/>
      <c r="U249" s="287"/>
      <c r="V249" s="288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x14ac:dyDescent="0.2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301"/>
      <c r="P250" s="286" t="s">
        <v>82</v>
      </c>
      <c r="Q250" s="287"/>
      <c r="R250" s="287"/>
      <c r="S250" s="287"/>
      <c r="T250" s="287"/>
      <c r="U250" s="287"/>
      <c r="V250" s="288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customHeight="1" x14ac:dyDescent="0.25">
      <c r="A251" s="276" t="s">
        <v>130</v>
      </c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8">
        <v>4640242180304</v>
      </c>
      <c r="E252" s="279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44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97"/>
      <c r="R252" s="297"/>
      <c r="S252" s="297"/>
      <c r="T252" s="298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8">
        <v>4640242180236</v>
      </c>
      <c r="E253" s="279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32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97"/>
      <c r="R253" s="297"/>
      <c r="S253" s="297"/>
      <c r="T253" s="298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8">
        <v>4640242180410</v>
      </c>
      <c r="E254" s="279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5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97"/>
      <c r="R254" s="297"/>
      <c r="S254" s="297"/>
      <c r="T254" s="298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300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301"/>
      <c r="P255" s="286" t="s">
        <v>82</v>
      </c>
      <c r="Q255" s="287"/>
      <c r="R255" s="287"/>
      <c r="S255" s="287"/>
      <c r="T255" s="287"/>
      <c r="U255" s="287"/>
      <c r="V255" s="288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77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301"/>
      <c r="P256" s="286" t="s">
        <v>82</v>
      </c>
      <c r="Q256" s="287"/>
      <c r="R256" s="287"/>
      <c r="S256" s="287"/>
      <c r="T256" s="287"/>
      <c r="U256" s="287"/>
      <c r="V256" s="288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276" t="s">
        <v>136</v>
      </c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8">
        <v>4640242181554</v>
      </c>
      <c r="E258" s="279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97"/>
      <c r="R258" s="297"/>
      <c r="S258" s="297"/>
      <c r="T258" s="298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8">
        <v>4640242181561</v>
      </c>
      <c r="E259" s="279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4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97"/>
      <c r="R259" s="297"/>
      <c r="S259" s="297"/>
      <c r="T259" s="298"/>
      <c r="U259" s="34"/>
      <c r="V259" s="34"/>
      <c r="W259" s="35" t="s">
        <v>69</v>
      </c>
      <c r="X259" s="268">
        <v>28</v>
      </c>
      <c r="Y259" s="269">
        <f t="shared" si="18"/>
        <v>28</v>
      </c>
      <c r="Z259" s="36">
        <f>IFERROR(IF(X259="","",X259*0.00936),"")</f>
        <v>0.26207999999999998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108.976</v>
      </c>
      <c r="BN259" s="67">
        <f t="shared" si="20"/>
        <v>108.976</v>
      </c>
      <c r="BO259" s="67">
        <f t="shared" si="21"/>
        <v>0.22222222222222221</v>
      </c>
      <c r="BP259" s="67">
        <f t="shared" si="22"/>
        <v>0.22222222222222221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8">
        <v>4640242181424</v>
      </c>
      <c r="E260" s="279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97"/>
      <c r="R260" s="297"/>
      <c r="S260" s="297"/>
      <c r="T260" s="298"/>
      <c r="U260" s="34"/>
      <c r="V260" s="34"/>
      <c r="W260" s="35" t="s">
        <v>69</v>
      </c>
      <c r="X260" s="268">
        <v>24</v>
      </c>
      <c r="Y260" s="269">
        <f t="shared" si="18"/>
        <v>24</v>
      </c>
      <c r="Z260" s="36">
        <f>IFERROR(IF(X260="","",X260*0.0155),"")</f>
        <v>0.372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137.64000000000001</v>
      </c>
      <c r="BN260" s="67">
        <f t="shared" si="20"/>
        <v>137.64000000000001</v>
      </c>
      <c r="BO260" s="67">
        <f t="shared" si="21"/>
        <v>0.2857142857142857</v>
      </c>
      <c r="BP260" s="67">
        <f t="shared" si="22"/>
        <v>0.2857142857142857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8">
        <v>4640242181523</v>
      </c>
      <c r="E261" s="279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6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97"/>
      <c r="R261" s="297"/>
      <c r="S261" s="297"/>
      <c r="T261" s="298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8">
        <v>4640242181486</v>
      </c>
      <c r="E262" s="279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31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97"/>
      <c r="R262" s="297"/>
      <c r="S262" s="297"/>
      <c r="T262" s="298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8">
        <v>4640242181493</v>
      </c>
      <c r="E263" s="279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30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97"/>
      <c r="R263" s="297"/>
      <c r="S263" s="297"/>
      <c r="T263" s="298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8">
        <v>4640242181509</v>
      </c>
      <c r="E264" s="279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40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97"/>
      <c r="R264" s="297"/>
      <c r="S264" s="297"/>
      <c r="T264" s="298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8">
        <v>4640242181240</v>
      </c>
      <c r="E265" s="279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43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97"/>
      <c r="R265" s="297"/>
      <c r="S265" s="297"/>
      <c r="T265" s="298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8">
        <v>4640242181318</v>
      </c>
      <c r="E266" s="279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4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97"/>
      <c r="R266" s="297"/>
      <c r="S266" s="297"/>
      <c r="T266" s="298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8">
        <v>4640242181387</v>
      </c>
      <c r="E267" s="279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9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97"/>
      <c r="R267" s="297"/>
      <c r="S267" s="297"/>
      <c r="T267" s="298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300"/>
      <c r="B268" s="277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301"/>
      <c r="P268" s="286" t="s">
        <v>82</v>
      </c>
      <c r="Q268" s="287"/>
      <c r="R268" s="287"/>
      <c r="S268" s="287"/>
      <c r="T268" s="287"/>
      <c r="U268" s="287"/>
      <c r="V268" s="288"/>
      <c r="W268" s="37" t="s">
        <v>69</v>
      </c>
      <c r="X268" s="270">
        <f>IFERROR(SUM(X258:X267),"0")</f>
        <v>66</v>
      </c>
      <c r="Y268" s="270">
        <f>IFERROR(SUM(Y258:Y267),"0")</f>
        <v>66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0.76512000000000002</v>
      </c>
      <c r="AA268" s="271"/>
      <c r="AB268" s="271"/>
      <c r="AC268" s="271"/>
    </row>
    <row r="269" spans="1:68" x14ac:dyDescent="0.2">
      <c r="A269" s="277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301"/>
      <c r="P269" s="286" t="s">
        <v>82</v>
      </c>
      <c r="Q269" s="287"/>
      <c r="R269" s="287"/>
      <c r="S269" s="287"/>
      <c r="T269" s="287"/>
      <c r="U269" s="287"/>
      <c r="V269" s="288"/>
      <c r="W269" s="37" t="s">
        <v>83</v>
      </c>
      <c r="X269" s="270">
        <f>IFERROR(SUMPRODUCT(X258:X267*H258:H267),"0")</f>
        <v>277.60000000000002</v>
      </c>
      <c r="Y269" s="270">
        <f>IFERROR(SUMPRODUCT(Y258:Y267*H258:H267),"0")</f>
        <v>277.60000000000002</v>
      </c>
      <c r="Z269" s="37"/>
      <c r="AA269" s="271"/>
      <c r="AB269" s="271"/>
      <c r="AC269" s="271"/>
    </row>
    <row r="270" spans="1:68" ht="15" customHeight="1" x14ac:dyDescent="0.2">
      <c r="A270" s="293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94"/>
      <c r="P270" s="307" t="s">
        <v>365</v>
      </c>
      <c r="Q270" s="308"/>
      <c r="R270" s="308"/>
      <c r="S270" s="308"/>
      <c r="T270" s="308"/>
      <c r="U270" s="308"/>
      <c r="V270" s="290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8926.84</v>
      </c>
      <c r="Y270" s="270">
        <f>IFERROR(Y29+Y35+Y42+Y49+Y57+Y62+Y66+Y71+Y77+Y83+Y88+Y94+Y104+Y110+Y122+Y126+Y130+Y136+Y142+Y148+Y153+Y158+Y163+Y168+Y175+Y183+Y187+Y193+Y201+Y206+Y211+Y216+Y222+Y228+Y234+Y238+Y245+Y250+Y256+Y269,"0")</f>
        <v>8926.84</v>
      </c>
      <c r="Z270" s="37"/>
      <c r="AA270" s="271"/>
      <c r="AB270" s="271"/>
      <c r="AC270" s="271"/>
    </row>
    <row r="271" spans="1:68" x14ac:dyDescent="0.2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94"/>
      <c r="P271" s="307" t="s">
        <v>366</v>
      </c>
      <c r="Q271" s="308"/>
      <c r="R271" s="308"/>
      <c r="S271" s="308"/>
      <c r="T271" s="308"/>
      <c r="U271" s="308"/>
      <c r="V271" s="290"/>
      <c r="W271" s="37" t="s">
        <v>83</v>
      </c>
      <c r="X271" s="270">
        <f>IFERROR(SUM(BM22:BM267),"0")</f>
        <v>10092.3688</v>
      </c>
      <c r="Y271" s="270">
        <f>IFERROR(SUM(BN22:BN267),"0")</f>
        <v>10092.3688</v>
      </c>
      <c r="Z271" s="37"/>
      <c r="AA271" s="271"/>
      <c r="AB271" s="271"/>
      <c r="AC271" s="271"/>
    </row>
    <row r="272" spans="1:68" x14ac:dyDescent="0.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94"/>
      <c r="P272" s="307" t="s">
        <v>367</v>
      </c>
      <c r="Q272" s="308"/>
      <c r="R272" s="308"/>
      <c r="S272" s="308"/>
      <c r="T272" s="308"/>
      <c r="U272" s="308"/>
      <c r="V272" s="290"/>
      <c r="W272" s="37" t="s">
        <v>368</v>
      </c>
      <c r="X272" s="38">
        <f>ROUNDUP(SUM(BO22:BO267),0)</f>
        <v>30</v>
      </c>
      <c r="Y272" s="38">
        <f>ROUNDUP(SUM(BP22:BP267),0)</f>
        <v>30</v>
      </c>
      <c r="Z272" s="37"/>
      <c r="AA272" s="271"/>
      <c r="AB272" s="271"/>
      <c r="AC272" s="271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4"/>
      <c r="P273" s="307" t="s">
        <v>369</v>
      </c>
      <c r="Q273" s="308"/>
      <c r="R273" s="308"/>
      <c r="S273" s="308"/>
      <c r="T273" s="308"/>
      <c r="U273" s="308"/>
      <c r="V273" s="290"/>
      <c r="W273" s="37" t="s">
        <v>83</v>
      </c>
      <c r="X273" s="270">
        <f>GrossWeightTotal+PalletQtyTotal*25</f>
        <v>10842.3688</v>
      </c>
      <c r="Y273" s="270">
        <f>GrossWeightTotalR+PalletQtyTotalR*25</f>
        <v>10842.3688</v>
      </c>
      <c r="Z273" s="37"/>
      <c r="AA273" s="271"/>
      <c r="AB273" s="271"/>
      <c r="AC273" s="271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4"/>
      <c r="P274" s="307" t="s">
        <v>370</v>
      </c>
      <c r="Q274" s="308"/>
      <c r="R274" s="308"/>
      <c r="S274" s="308"/>
      <c r="T274" s="308"/>
      <c r="U274" s="308"/>
      <c r="V274" s="290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2366</v>
      </c>
      <c r="Y274" s="270">
        <f>IFERROR(Y28+Y34+Y41+Y48+Y56+Y61+Y65+Y70+Y76+Y82+Y87+Y93+Y103+Y109+Y121+Y125+Y129+Y135+Y141+Y147+Y152+Y157+Y162+Y167+Y174+Y182+Y186+Y192+Y200+Y205+Y210+Y215+Y221+Y227+Y233+Y237+Y244+Y249+Y255+Y268,"0")</f>
        <v>2366</v>
      </c>
      <c r="Z274" s="37"/>
      <c r="AA274" s="271"/>
      <c r="AB274" s="271"/>
      <c r="AC274" s="271"/>
    </row>
    <row r="275" spans="1:32" ht="14.25" customHeight="1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94"/>
      <c r="P275" s="307" t="s">
        <v>371</v>
      </c>
      <c r="Q275" s="308"/>
      <c r="R275" s="308"/>
      <c r="S275" s="308"/>
      <c r="T275" s="308"/>
      <c r="U275" s="308"/>
      <c r="V275" s="290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37.327719999999992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72" t="s">
        <v>62</v>
      </c>
      <c r="C277" s="312"/>
      <c r="D277" s="272" t="s">
        <v>90</v>
      </c>
      <c r="E277" s="311"/>
      <c r="F277" s="311"/>
      <c r="G277" s="311"/>
      <c r="H277" s="311"/>
      <c r="I277" s="311"/>
      <c r="J277" s="311"/>
      <c r="K277" s="311"/>
      <c r="L277" s="311"/>
      <c r="M277" s="311"/>
      <c r="N277" s="311"/>
      <c r="O277" s="311"/>
      <c r="P277" s="311"/>
      <c r="Q277" s="311"/>
      <c r="R277" s="311"/>
      <c r="S277" s="311"/>
      <c r="T277" s="311"/>
      <c r="U277" s="312"/>
      <c r="V277" s="265" t="s">
        <v>249</v>
      </c>
      <c r="W277" s="265" t="s">
        <v>257</v>
      </c>
      <c r="X277" s="272" t="s">
        <v>276</v>
      </c>
      <c r="Y277" s="311"/>
      <c r="Z277" s="312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453" t="s">
        <v>374</v>
      </c>
      <c r="B278" s="272" t="s">
        <v>62</v>
      </c>
      <c r="C278" s="272" t="s">
        <v>84</v>
      </c>
      <c r="D278" s="272" t="s">
        <v>91</v>
      </c>
      <c r="E278" s="272" t="s">
        <v>102</v>
      </c>
      <c r="F278" s="272" t="s">
        <v>112</v>
      </c>
      <c r="G278" s="272" t="s">
        <v>123</v>
      </c>
      <c r="H278" s="272" t="s">
        <v>146</v>
      </c>
      <c r="I278" s="272" t="s">
        <v>153</v>
      </c>
      <c r="J278" s="272" t="s">
        <v>157</v>
      </c>
      <c r="K278" s="272" t="s">
        <v>165</v>
      </c>
      <c r="L278" s="272" t="s">
        <v>180</v>
      </c>
      <c r="M278" s="272" t="s">
        <v>186</v>
      </c>
      <c r="N278" s="266"/>
      <c r="O278" s="272" t="s">
        <v>215</v>
      </c>
      <c r="P278" s="272" t="s">
        <v>221</v>
      </c>
      <c r="Q278" s="272" t="s">
        <v>228</v>
      </c>
      <c r="R278" s="272" t="s">
        <v>233</v>
      </c>
      <c r="S278" s="272" t="s">
        <v>237</v>
      </c>
      <c r="T278" s="272" t="s">
        <v>240</v>
      </c>
      <c r="U278" s="272" t="s">
        <v>245</v>
      </c>
      <c r="V278" s="272" t="s">
        <v>250</v>
      </c>
      <c r="W278" s="272" t="s">
        <v>258</v>
      </c>
      <c r="X278" s="272" t="s">
        <v>277</v>
      </c>
      <c r="Y278" s="272" t="s">
        <v>295</v>
      </c>
      <c r="Z278" s="272" t="s">
        <v>299</v>
      </c>
      <c r="AA278" s="272" t="s">
        <v>309</v>
      </c>
      <c r="AB278" s="272" t="s">
        <v>314</v>
      </c>
      <c r="AC278" s="272" t="s">
        <v>318</v>
      </c>
      <c r="AD278" s="272" t="s">
        <v>325</v>
      </c>
      <c r="AF278" s="266"/>
    </row>
    <row r="279" spans="1:32" ht="13.5" customHeight="1" thickBot="1" x14ac:dyDescent="0.25">
      <c r="A279" s="454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3"/>
      <c r="M279" s="273"/>
      <c r="N279" s="266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259.2</v>
      </c>
      <c r="C280" s="46">
        <f>IFERROR(X32*H32,"0")+IFERROR(X33*H33,"0")</f>
        <v>0</v>
      </c>
      <c r="D280" s="46">
        <f>IFERROR(X39*H39,"0")+IFERROR(X40*H40,"0")</f>
        <v>315</v>
      </c>
      <c r="E280" s="46">
        <f>IFERROR(X45*H45,"0")+IFERROR(X46*H46,"0")+IFERROR(X47*H47,"0")</f>
        <v>134.39999999999998</v>
      </c>
      <c r="F280" s="46">
        <f>IFERROR(X52*H52,"0")+IFERROR(X53*H53,"0")+IFERROR(X54*H54,"0")+IFERROR(X55*H55,"0")</f>
        <v>588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240</v>
      </c>
      <c r="I280" s="46">
        <f>IFERROR(X86*H86,"0")</f>
        <v>151.20000000000002</v>
      </c>
      <c r="J280" s="46">
        <f>IFERROR(X91*H91,"0")+IFERROR(X92*H92,"0")</f>
        <v>453.6</v>
      </c>
      <c r="K280" s="46">
        <f>IFERROR(X97*H97,"0")+IFERROR(X98*H98,"0")+IFERROR(X99*H99,"0")+IFERROR(X100*H100,"0")+IFERROR(X101*H101,"0")+IFERROR(X102*H102,"0")</f>
        <v>940.8</v>
      </c>
      <c r="L280" s="46">
        <f>IFERROR(X107*H107,"0")+IFERROR(X108*H108,"0")</f>
        <v>151.20000000000002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1651.2</v>
      </c>
      <c r="N280" s="266"/>
      <c r="O280" s="46">
        <f>IFERROR(X133*H133,"0")+IFERROR(X134*H134,"0")</f>
        <v>882</v>
      </c>
      <c r="P280" s="46">
        <f>IFERROR(X139*H139,"0")+IFERROR(X140*H140,"0")</f>
        <v>420</v>
      </c>
      <c r="Q280" s="46">
        <f>IFERROR(X145*H145,"0")+IFERROR(X146*H146,"0")</f>
        <v>268.8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164.64</v>
      </c>
      <c r="V280" s="46">
        <f>IFERROR(X172*H172,"0")+IFERROR(X173*H173,"0")</f>
        <v>60</v>
      </c>
      <c r="W280" s="46">
        <f>IFERROR(X179*H179,"0")+IFERROR(X180*H180,"0")+IFERROR(X181*H181,"0")+IFERROR(X185*H185,"0")</f>
        <v>714</v>
      </c>
      <c r="X280" s="46">
        <f>IFERROR(X191*H191,"0")+IFERROR(X195*H195,"0")+IFERROR(X196*H196,"0")+IFERROR(X197*H197,"0")+IFERROR(X198*H198,"0")+IFERROR(X199*H199,"0")</f>
        <v>67.2</v>
      </c>
      <c r="Y280" s="46">
        <f>IFERROR(X204*H204,"0")</f>
        <v>600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865.6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4120.7999999999993</v>
      </c>
      <c r="B283" s="60">
        <f>SUMPRODUCT(--(BB:BB="ПГП"),--(W:W="кор"),H:H,Y:Y)+SUMPRODUCT(--(BB:BB="ПГП"),--(W:W="кг"),Y:Y)</f>
        <v>4806.04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H9:I9"/>
    <mergeCell ref="D45:E45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2026-01-09T08:15:58Z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