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2B2A45DF-0A97-4D15-A52E-A482477D307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5" i="1" l="1"/>
  <c r="O505" i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Y479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Y474" i="1" s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6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Y425" i="1"/>
  <c r="X425" i="1"/>
  <c r="X424" i="1"/>
  <c r="BP423" i="1"/>
  <c r="BO423" i="1"/>
  <c r="BN423" i="1"/>
  <c r="BM423" i="1"/>
  <c r="Z423" i="1"/>
  <c r="Z424" i="1" s="1"/>
  <c r="Y423" i="1"/>
  <c r="Y424" i="1" s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P405" i="1"/>
  <c r="X403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X389" i="1"/>
  <c r="Y388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Y389" i="1" s="1"/>
  <c r="P385" i="1"/>
  <c r="X383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X372" i="1"/>
  <c r="Y371" i="1"/>
  <c r="X371" i="1"/>
  <c r="BP370" i="1"/>
  <c r="BO370" i="1"/>
  <c r="BN370" i="1"/>
  <c r="BM370" i="1"/>
  <c r="Z370" i="1"/>
  <c r="Z371" i="1" s="1"/>
  <c r="Y370" i="1"/>
  <c r="Y372" i="1" s="1"/>
  <c r="P370" i="1"/>
  <c r="X368" i="1"/>
  <c r="Y367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P360" i="1"/>
  <c r="BO360" i="1"/>
  <c r="BN360" i="1"/>
  <c r="BM360" i="1"/>
  <c r="Z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Y345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Y294" i="1" s="1"/>
  <c r="P292" i="1"/>
  <c r="X290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N266" i="1"/>
  <c r="BM266" i="1"/>
  <c r="Z266" i="1"/>
  <c r="Y266" i="1"/>
  <c r="BP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X231" i="1"/>
  <c r="X230" i="1"/>
  <c r="BO229" i="1"/>
  <c r="BM229" i="1"/>
  <c r="Y229" i="1"/>
  <c r="P229" i="1"/>
  <c r="BP228" i="1"/>
  <c r="BO228" i="1"/>
  <c r="BN228" i="1"/>
  <c r="BM228" i="1"/>
  <c r="Z228" i="1"/>
  <c r="Y228" i="1"/>
  <c r="Y230" i="1" s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Y226" i="1" s="1"/>
  <c r="P216" i="1"/>
  <c r="X214" i="1"/>
  <c r="X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Y213" i="1" s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Y188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Y182" i="1" s="1"/>
  <c r="X165" i="1"/>
  <c r="X164" i="1"/>
  <c r="BO163" i="1"/>
  <c r="BM163" i="1"/>
  <c r="Y163" i="1"/>
  <c r="I505" i="1" s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Y154" i="1" s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H505" i="1" s="1"/>
  <c r="P143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F505" i="1" s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5" i="1" s="1"/>
  <c r="X24" i="1"/>
  <c r="BP23" i="1"/>
  <c r="BO23" i="1"/>
  <c r="BN23" i="1"/>
  <c r="BM23" i="1"/>
  <c r="Z23" i="1"/>
  <c r="Y23" i="1"/>
  <c r="P23" i="1"/>
  <c r="BO22" i="1"/>
  <c r="X497" i="1" s="1"/>
  <c r="BM22" i="1"/>
  <c r="X496" i="1" s="1"/>
  <c r="X498" i="1" s="1"/>
  <c r="Y22" i="1"/>
  <c r="B505" i="1" s="1"/>
  <c r="P22" i="1"/>
  <c r="H10" i="1"/>
  <c r="A9" i="1"/>
  <c r="F10" i="1" s="1"/>
  <c r="D7" i="1"/>
  <c r="Q6" i="1"/>
  <c r="P2" i="1"/>
  <c r="H9" i="1" l="1"/>
  <c r="A10" i="1"/>
  <c r="Y24" i="1"/>
  <c r="Y32" i="1"/>
  <c r="Y44" i="1"/>
  <c r="Y59" i="1"/>
  <c r="Y65" i="1"/>
  <c r="Y69" i="1"/>
  <c r="Y77" i="1"/>
  <c r="Y81" i="1"/>
  <c r="Y90" i="1"/>
  <c r="Y96" i="1"/>
  <c r="Y105" i="1"/>
  <c r="Y113" i="1"/>
  <c r="Y119" i="1"/>
  <c r="Y130" i="1"/>
  <c r="Y134" i="1"/>
  <c r="Y140" i="1"/>
  <c r="Y145" i="1"/>
  <c r="Y155" i="1"/>
  <c r="Y159" i="1"/>
  <c r="Y165" i="1"/>
  <c r="Y181" i="1"/>
  <c r="Y187" i="1"/>
  <c r="Y198" i="1"/>
  <c r="Y202" i="1"/>
  <c r="Y214" i="1"/>
  <c r="BP223" i="1"/>
  <c r="BN223" i="1"/>
  <c r="Z223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300" i="1"/>
  <c r="BN300" i="1"/>
  <c r="Z300" i="1"/>
  <c r="BP308" i="1"/>
  <c r="BN308" i="1"/>
  <c r="Z308" i="1"/>
  <c r="Y312" i="1"/>
  <c r="BP316" i="1"/>
  <c r="BN316" i="1"/>
  <c r="Z316" i="1"/>
  <c r="Z319" i="1" s="1"/>
  <c r="Y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Z338" i="1" s="1"/>
  <c r="Y338" i="1"/>
  <c r="BP376" i="1"/>
  <c r="BN376" i="1"/>
  <c r="Z376" i="1"/>
  <c r="Z377" i="1" s="1"/>
  <c r="Y378" i="1"/>
  <c r="Y383" i="1"/>
  <c r="BP380" i="1"/>
  <c r="BN380" i="1"/>
  <c r="Z380" i="1"/>
  <c r="Z382" i="1" s="1"/>
  <c r="Y382" i="1"/>
  <c r="F9" i="1"/>
  <c r="J9" i="1"/>
  <c r="Z22" i="1"/>
  <c r="Z24" i="1" s="1"/>
  <c r="BN22" i="1"/>
  <c r="BP22" i="1"/>
  <c r="X499" i="1"/>
  <c r="Y25" i="1"/>
  <c r="Z28" i="1"/>
  <c r="Z32" i="1" s="1"/>
  <c r="BN28" i="1"/>
  <c r="Z30" i="1"/>
  <c r="BN30" i="1"/>
  <c r="C505" i="1"/>
  <c r="Z42" i="1"/>
  <c r="Z44" i="1" s="1"/>
  <c r="BN42" i="1"/>
  <c r="Y45" i="1"/>
  <c r="D505" i="1"/>
  <c r="Z53" i="1"/>
  <c r="Z58" i="1" s="1"/>
  <c r="BN53" i="1"/>
  <c r="Z55" i="1"/>
  <c r="BN55" i="1"/>
  <c r="Z57" i="1"/>
  <c r="BN57" i="1"/>
  <c r="Y58" i="1"/>
  <c r="Z61" i="1"/>
  <c r="Z64" i="1" s="1"/>
  <c r="BN61" i="1"/>
  <c r="BP61" i="1"/>
  <c r="Z63" i="1"/>
  <c r="BN63" i="1"/>
  <c r="Z67" i="1"/>
  <c r="Z69" i="1" s="1"/>
  <c r="BN67" i="1"/>
  <c r="BP67" i="1"/>
  <c r="Z73" i="1"/>
  <c r="Z76" i="1" s="1"/>
  <c r="BN73" i="1"/>
  <c r="Z75" i="1"/>
  <c r="BN75" i="1"/>
  <c r="Z79" i="1"/>
  <c r="Z81" i="1" s="1"/>
  <c r="BN79" i="1"/>
  <c r="BP79" i="1"/>
  <c r="E505" i="1"/>
  <c r="Z86" i="1"/>
  <c r="Z89" i="1" s="1"/>
  <c r="BN86" i="1"/>
  <c r="Z88" i="1"/>
  <c r="BN88" i="1"/>
  <c r="Y89" i="1"/>
  <c r="Z92" i="1"/>
  <c r="BN92" i="1"/>
  <c r="BP92" i="1"/>
  <c r="Z94" i="1"/>
  <c r="BN94" i="1"/>
  <c r="Z101" i="1"/>
  <c r="Z105" i="1" s="1"/>
  <c r="BN101" i="1"/>
  <c r="Z103" i="1"/>
  <c r="BN103" i="1"/>
  <c r="Y106" i="1"/>
  <c r="Z109" i="1"/>
  <c r="Z112" i="1" s="1"/>
  <c r="BN109" i="1"/>
  <c r="Z111" i="1"/>
  <c r="BN111" i="1"/>
  <c r="Z115" i="1"/>
  <c r="BN115" i="1"/>
  <c r="BP115" i="1"/>
  <c r="Z117" i="1"/>
  <c r="BN117" i="1"/>
  <c r="G505" i="1"/>
  <c r="Z128" i="1"/>
  <c r="Z129" i="1" s="1"/>
  <c r="BN128" i="1"/>
  <c r="Y129" i="1"/>
  <c r="Z132" i="1"/>
  <c r="Z134" i="1" s="1"/>
  <c r="BN132" i="1"/>
  <c r="BP132" i="1"/>
  <c r="Z138" i="1"/>
  <c r="Z139" i="1" s="1"/>
  <c r="BN138" i="1"/>
  <c r="Z143" i="1"/>
  <c r="Z145" i="1" s="1"/>
  <c r="BN143" i="1"/>
  <c r="BP143" i="1"/>
  <c r="Y146" i="1"/>
  <c r="Z149" i="1"/>
  <c r="Z154" i="1" s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Z181" i="1" s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Z187" i="1" s="1"/>
  <c r="BN185" i="1"/>
  <c r="J505" i="1"/>
  <c r="Z196" i="1"/>
  <c r="Z197" i="1" s="1"/>
  <c r="BN196" i="1"/>
  <c r="Y197" i="1"/>
  <c r="Z200" i="1"/>
  <c r="Z202" i="1" s="1"/>
  <c r="BN200" i="1"/>
  <c r="BP200" i="1"/>
  <c r="Z206" i="1"/>
  <c r="Z213" i="1" s="1"/>
  <c r="BN206" i="1"/>
  <c r="Z208" i="1"/>
  <c r="BN208" i="1"/>
  <c r="Z210" i="1"/>
  <c r="BN210" i="1"/>
  <c r="Z212" i="1"/>
  <c r="BN212" i="1"/>
  <c r="Z216" i="1"/>
  <c r="BN216" i="1"/>
  <c r="BP216" i="1"/>
  <c r="Z218" i="1"/>
  <c r="BN218" i="1"/>
  <c r="Z220" i="1"/>
  <c r="BN220" i="1"/>
  <c r="BP221" i="1"/>
  <c r="BN221" i="1"/>
  <c r="Z221" i="1"/>
  <c r="Y225" i="1"/>
  <c r="BP229" i="1"/>
  <c r="BN229" i="1"/>
  <c r="Z229" i="1"/>
  <c r="Z230" i="1" s="1"/>
  <c r="Y231" i="1"/>
  <c r="K505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L505" i="1"/>
  <c r="Y269" i="1"/>
  <c r="BP263" i="1"/>
  <c r="BN263" i="1"/>
  <c r="Z263" i="1"/>
  <c r="Z268" i="1" s="1"/>
  <c r="Y268" i="1"/>
  <c r="BP273" i="1"/>
  <c r="BN273" i="1"/>
  <c r="Z273" i="1"/>
  <c r="Y277" i="1"/>
  <c r="BP282" i="1"/>
  <c r="BN282" i="1"/>
  <c r="Z282" i="1"/>
  <c r="Y284" i="1"/>
  <c r="P505" i="1"/>
  <c r="Y290" i="1"/>
  <c r="BP287" i="1"/>
  <c r="BN287" i="1"/>
  <c r="Z287" i="1"/>
  <c r="Z289" i="1" s="1"/>
  <c r="Y289" i="1"/>
  <c r="BP351" i="1"/>
  <c r="BN351" i="1"/>
  <c r="Z351" i="1"/>
  <c r="S505" i="1"/>
  <c r="Y357" i="1"/>
  <c r="BP355" i="1"/>
  <c r="BN355" i="1"/>
  <c r="Z355" i="1"/>
  <c r="BP394" i="1"/>
  <c r="BN394" i="1"/>
  <c r="Z394" i="1"/>
  <c r="BP398" i="1"/>
  <c r="BN398" i="1"/>
  <c r="Z398" i="1"/>
  <c r="Y402" i="1"/>
  <c r="BP406" i="1"/>
  <c r="BN406" i="1"/>
  <c r="Z406" i="1"/>
  <c r="Z407" i="1" s="1"/>
  <c r="Y408" i="1"/>
  <c r="V505" i="1"/>
  <c r="Y412" i="1"/>
  <c r="BP411" i="1"/>
  <c r="BN411" i="1"/>
  <c r="Z411" i="1"/>
  <c r="Z412" i="1" s="1"/>
  <c r="Y413" i="1"/>
  <c r="Y420" i="1"/>
  <c r="BP415" i="1"/>
  <c r="BN415" i="1"/>
  <c r="Z415" i="1"/>
  <c r="Y419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47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BP275" i="1"/>
  <c r="BN275" i="1"/>
  <c r="Z275" i="1"/>
  <c r="Z276" i="1" s="1"/>
  <c r="Y283" i="1"/>
  <c r="BP280" i="1"/>
  <c r="BN280" i="1"/>
  <c r="Z280" i="1"/>
  <c r="Z283" i="1" s="1"/>
  <c r="BP293" i="1"/>
  <c r="BN293" i="1"/>
  <c r="Z293" i="1"/>
  <c r="Z294" i="1" s="1"/>
  <c r="Y295" i="1"/>
  <c r="Q505" i="1"/>
  <c r="Y303" i="1"/>
  <c r="BP298" i="1"/>
  <c r="BN298" i="1"/>
  <c r="Z298" i="1"/>
  <c r="Z303" i="1" s="1"/>
  <c r="BP302" i="1"/>
  <c r="BN302" i="1"/>
  <c r="Z302" i="1"/>
  <c r="Y304" i="1"/>
  <c r="Y313" i="1"/>
  <c r="BP306" i="1"/>
  <c r="BN306" i="1"/>
  <c r="Z306" i="1"/>
  <c r="Z312" i="1" s="1"/>
  <c r="BP310" i="1"/>
  <c r="BN310" i="1"/>
  <c r="Z310" i="1"/>
  <c r="Y319" i="1"/>
  <c r="BP318" i="1"/>
  <c r="BN318" i="1"/>
  <c r="Z318" i="1"/>
  <c r="Y325" i="1"/>
  <c r="BP322" i="1"/>
  <c r="BN322" i="1"/>
  <c r="Z322" i="1"/>
  <c r="Z325" i="1" s="1"/>
  <c r="BP330" i="1"/>
  <c r="BN330" i="1"/>
  <c r="Z330" i="1"/>
  <c r="Y339" i="1"/>
  <c r="Z345" i="1"/>
  <c r="BP343" i="1"/>
  <c r="BN343" i="1"/>
  <c r="Z343" i="1"/>
  <c r="Y358" i="1"/>
  <c r="BP353" i="1"/>
  <c r="BN353" i="1"/>
  <c r="Z353" i="1"/>
  <c r="Z357" i="1" s="1"/>
  <c r="BP361" i="1"/>
  <c r="BN361" i="1"/>
  <c r="Z361" i="1"/>
  <c r="Z362" i="1" s="1"/>
  <c r="Y363" i="1"/>
  <c r="Y368" i="1"/>
  <c r="BP365" i="1"/>
  <c r="BN365" i="1"/>
  <c r="Z365" i="1"/>
  <c r="Z367" i="1" s="1"/>
  <c r="Z388" i="1"/>
  <c r="BP386" i="1"/>
  <c r="BN386" i="1"/>
  <c r="Z386" i="1"/>
  <c r="U505" i="1"/>
  <c r="BP396" i="1"/>
  <c r="BN396" i="1"/>
  <c r="Z396" i="1"/>
  <c r="Z402" i="1" s="1"/>
  <c r="BP400" i="1"/>
  <c r="BN400" i="1"/>
  <c r="Z400" i="1"/>
  <c r="Y407" i="1"/>
  <c r="BP417" i="1"/>
  <c r="BN417" i="1"/>
  <c r="Z417" i="1"/>
  <c r="BP453" i="1"/>
  <c r="BN453" i="1"/>
  <c r="Z453" i="1"/>
  <c r="BP467" i="1"/>
  <c r="BN467" i="1"/>
  <c r="Z467" i="1"/>
  <c r="M505" i="1"/>
  <c r="Y276" i="1"/>
  <c r="R505" i="1"/>
  <c r="Y346" i="1"/>
  <c r="T505" i="1"/>
  <c r="Y377" i="1"/>
  <c r="Y403" i="1"/>
  <c r="BP431" i="1"/>
  <c r="BN431" i="1"/>
  <c r="Z431" i="1"/>
  <c r="BP435" i="1"/>
  <c r="BN435" i="1"/>
  <c r="Z435" i="1"/>
  <c r="BP439" i="1"/>
  <c r="BN439" i="1"/>
  <c r="Z439" i="1"/>
  <c r="Y448" i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Z469" i="1" s="1"/>
  <c r="Y469" i="1"/>
  <c r="BP473" i="1"/>
  <c r="BN473" i="1"/>
  <c r="Z473" i="1"/>
  <c r="Z474" i="1" s="1"/>
  <c r="Y475" i="1"/>
  <c r="Y480" i="1"/>
  <c r="BP477" i="1"/>
  <c r="BN477" i="1"/>
  <c r="Z477" i="1"/>
  <c r="Z479" i="1" s="1"/>
  <c r="Y488" i="1"/>
  <c r="Y505" i="1"/>
  <c r="Z441" i="1" l="1"/>
  <c r="Z419" i="1"/>
  <c r="Z259" i="1"/>
  <c r="Z225" i="1"/>
  <c r="Z119" i="1"/>
  <c r="Z96" i="1"/>
  <c r="Y495" i="1"/>
  <c r="Y497" i="1"/>
  <c r="Z332" i="1"/>
  <c r="Z243" i="1"/>
  <c r="Z500" i="1" s="1"/>
  <c r="Y496" i="1"/>
  <c r="Y498" i="1" s="1"/>
  <c r="Y499" i="1"/>
</calcChain>
</file>

<file path=xl/sharedStrings.xml><?xml version="1.0" encoding="utf-8"?>
<sst xmlns="http://schemas.openxmlformats.org/spreadsheetml/2006/main" count="2294" uniqueCount="781">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</sst>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9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172.8</v>
      </c>
      <c r="Y41" s="554">
        <f>IFERROR(IF(X41="",0,CEILING((X41/$H41),1)*$H41),"")</f>
        <v>172.8</v>
      </c>
      <c r="Z41" s="36">
        <f>IFERROR(IF(Y41=0,"",ROUNDUP(Y41/H41,0)*0.01898),"")</f>
        <v>0.30368000000000001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179.36</v>
      </c>
      <c r="BN41" s="64">
        <f>IFERROR(Y41*I41/H41,"0")</f>
        <v>179.36</v>
      </c>
      <c r="BO41" s="64">
        <f>IFERROR(1/J41*(X41/H41),"0")</f>
        <v>0.25</v>
      </c>
      <c r="BP41" s="64">
        <f>IFERROR(1/J41*(Y41/H41),"0")</f>
        <v>0.25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16</v>
      </c>
      <c r="Y44" s="555">
        <f>IFERROR(Y41/H41,"0")+IFERROR(Y42/H42,"0")+IFERROR(Y43/H43,"0")</f>
        <v>16</v>
      </c>
      <c r="Z44" s="555">
        <f>IFERROR(IF(Z41="",0,Z41),"0")+IFERROR(IF(Z42="",0,Z42),"0")+IFERROR(IF(Z43="",0,Z43),"0")</f>
        <v>0.30368000000000001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172.8</v>
      </c>
      <c r="Y45" s="555">
        <f>IFERROR(SUM(Y41:Y43),"0")</f>
        <v>172.8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62.4</v>
      </c>
      <c r="Y79" s="554">
        <f>IFERROR(IF(X79="",0,CEILING((X79/$H79),1)*$H79),"")</f>
        <v>62.4</v>
      </c>
      <c r="Z79" s="36">
        <f>IFERROR(IF(Y79=0,"",ROUNDUP(Y79/H79,0)*0.01898),"")</f>
        <v>0.15184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65.680000000000007</v>
      </c>
      <c r="BN79" s="64">
        <f>IFERROR(Y79*I79/H79,"0")</f>
        <v>65.680000000000007</v>
      </c>
      <c r="BO79" s="64">
        <f>IFERROR(1/J79*(X79/H79),"0")</f>
        <v>0.125</v>
      </c>
      <c r="BP79" s="64">
        <f>IFERROR(1/J79*(Y79/H79),"0")</f>
        <v>0.125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8</v>
      </c>
      <c r="Y81" s="555">
        <f>IFERROR(Y79/H79,"0")+IFERROR(Y80/H80,"0")</f>
        <v>8</v>
      </c>
      <c r="Z81" s="555">
        <f>IFERROR(IF(Z79="",0,Z79),"0")+IFERROR(IF(Z80="",0,Z80),"0")</f>
        <v>0.15184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62.4</v>
      </c>
      <c r="Y82" s="555">
        <f>IFERROR(SUM(Y79:Y80),"0")</f>
        <v>62.4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64.8</v>
      </c>
      <c r="Y92" s="554">
        <f>IFERROR(IF(X92="",0,CEILING((X92/$H92),1)*$H92),"")</f>
        <v>64.8</v>
      </c>
      <c r="Z92" s="36">
        <f>IFERROR(IF(Y92=0,"",ROUNDUP(Y92/H92,0)*0.01898),"")</f>
        <v>0.15184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68.751999999999995</v>
      </c>
      <c r="BN92" s="64">
        <f>IFERROR(Y92*I92/H92,"0")</f>
        <v>68.751999999999995</v>
      </c>
      <c r="BO92" s="64">
        <f>IFERROR(1/J92*(X92/H92),"0")</f>
        <v>0.125</v>
      </c>
      <c r="BP92" s="64">
        <f>IFERROR(1/J92*(Y92/H92),"0")</f>
        <v>0.125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8</v>
      </c>
      <c r="Y96" s="555">
        <f>IFERROR(Y92/H92,"0")+IFERROR(Y93/H93,"0")+IFERROR(Y94/H94,"0")+IFERROR(Y95/H95,"0")</f>
        <v>8</v>
      </c>
      <c r="Z96" s="555">
        <f>IFERROR(IF(Z92="",0,Z92),"0")+IFERROR(IF(Z93="",0,Z93),"0")+IFERROR(IF(Z94="",0,Z94),"0")+IFERROR(IF(Z95="",0,Z95),"0")</f>
        <v>0.15184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64.8</v>
      </c>
      <c r="Y97" s="555">
        <f>IFERROR(SUM(Y92:Y95),"0")</f>
        <v>64.8</v>
      </c>
      <c r="Z97" s="37"/>
      <c r="AA97" s="556"/>
      <c r="AB97" s="556"/>
      <c r="AC97" s="556"/>
    </row>
    <row r="98" spans="1:68" ht="16.5" customHeight="1" x14ac:dyDescent="0.25">
      <c r="A98" s="567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172.8</v>
      </c>
      <c r="Y100" s="554">
        <f>IFERROR(IF(X100="",0,CEILING((X100/$H100),1)*$H100),"")</f>
        <v>172.8</v>
      </c>
      <c r="Z100" s="36">
        <f>IFERROR(IF(Y100=0,"",ROUNDUP(Y100/H100,0)*0.01898),"")</f>
        <v>0.30368000000000001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179.36</v>
      </c>
      <c r="BN100" s="64">
        <f>IFERROR(Y100*I100/H100,"0")</f>
        <v>179.36</v>
      </c>
      <c r="BO100" s="64">
        <f>IFERROR(1/J100*(X100/H100),"0")</f>
        <v>0.25</v>
      </c>
      <c r="BP100" s="64">
        <f>IFERROR(1/J100*(Y100/H100),"0")</f>
        <v>0.25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16</v>
      </c>
      <c r="Y105" s="555">
        <f>IFERROR(Y100/H100,"0")+IFERROR(Y101/H101,"0")+IFERROR(Y102/H102,"0")+IFERROR(Y103/H103,"0")+IFERROR(Y104/H104,"0")</f>
        <v>16</v>
      </c>
      <c r="Z105" s="555">
        <f>IFERROR(IF(Z100="",0,Z100),"0")+IFERROR(IF(Z101="",0,Z101),"0")+IFERROR(IF(Z102="",0,Z102),"0")+IFERROR(IF(Z103="",0,Z103),"0")+IFERROR(IF(Z104="",0,Z104),"0")</f>
        <v>0.30368000000000001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172.8</v>
      </c>
      <c r="Y106" s="555">
        <f>IFERROR(SUM(Y100:Y104),"0")</f>
        <v>172.8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64.8</v>
      </c>
      <c r="Y115" s="554">
        <f>IFERROR(IF(X115="",0,CEILING((X115/$H115),1)*$H115),"")</f>
        <v>64.8</v>
      </c>
      <c r="Z115" s="36">
        <f>IFERROR(IF(Y115=0,"",ROUNDUP(Y115/H115,0)*0.01898),"")</f>
        <v>0.15184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68.703999999999994</v>
      </c>
      <c r="BN115" s="64">
        <f>IFERROR(Y115*I115/H115,"0")</f>
        <v>68.703999999999994</v>
      </c>
      <c r="BO115" s="64">
        <f>IFERROR(1/J115*(X115/H115),"0")</f>
        <v>0.125</v>
      </c>
      <c r="BP115" s="64">
        <f>IFERROR(1/J115*(Y115/H115),"0")</f>
        <v>0.125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8</v>
      </c>
      <c r="Y119" s="555">
        <f>IFERROR(Y115/H115,"0")+IFERROR(Y116/H116,"0")+IFERROR(Y117/H117,"0")+IFERROR(Y118/H118,"0")</f>
        <v>8</v>
      </c>
      <c r="Z119" s="555">
        <f>IFERROR(IF(Z115="",0,Z115),"0")+IFERROR(IF(Z116="",0,Z116),"0")+IFERROR(IF(Z117="",0,Z117),"0")+IFERROR(IF(Z118="",0,Z118),"0")</f>
        <v>0.15184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64.8</v>
      </c>
      <c r="Y120" s="555">
        <f>IFERROR(SUM(Y115:Y118),"0")</f>
        <v>64.8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0</v>
      </c>
      <c r="Y225" s="555">
        <f>IFERROR(Y216/H216,"0")+IFERROR(Y217/H217,"0")+IFERROR(Y218/H218,"0")+IFERROR(Y219/H219,"0")+IFERROR(Y220/H220,"0")+IFERROR(Y221/H221,"0")+IFERROR(Y222/H222,"0")+IFERROR(Y223/H223,"0")+IFERROR(Y224/H224,"0")</f>
        <v>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0</v>
      </c>
      <c r="Y226" s="555">
        <f>IFERROR(SUM(Y216:Y224),"0")</f>
        <v>0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62.4</v>
      </c>
      <c r="Y323" s="554">
        <f>IFERROR(IF(X323="",0,CEILING((X323/$H323),1)*$H323),"")</f>
        <v>62.4</v>
      </c>
      <c r="Z323" s="36">
        <f>IFERROR(IF(Y323=0,"",ROUNDUP(Y323/H323,0)*0.01898),"")</f>
        <v>0.15184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66.352000000000004</v>
      </c>
      <c r="BN323" s="64">
        <f>IFERROR(Y323*I323/H323,"0")</f>
        <v>66.352000000000004</v>
      </c>
      <c r="BO323" s="64">
        <f>IFERROR(1/J323*(X323/H323),"0")</f>
        <v>0.125</v>
      </c>
      <c r="BP323" s="64">
        <f>IFERROR(1/J323*(Y323/H323),"0")</f>
        <v>0.125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67.2</v>
      </c>
      <c r="Y324" s="554">
        <f>IFERROR(IF(X324="",0,CEILING((X324/$H324),1)*$H324),"")</f>
        <v>67.2</v>
      </c>
      <c r="Z324" s="36">
        <f>IFERROR(IF(Y324=0,"",ROUNDUP(Y324/H324,0)*0.01898),"")</f>
        <v>0.15184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71.152000000000001</v>
      </c>
      <c r="BN324" s="64">
        <f>IFERROR(Y324*I324/H324,"0")</f>
        <v>71.152000000000001</v>
      </c>
      <c r="BO324" s="64">
        <f>IFERROR(1/J324*(X324/H324),"0")</f>
        <v>0.125</v>
      </c>
      <c r="BP324" s="64">
        <f>IFERROR(1/J324*(Y324/H324),"0")</f>
        <v>0.125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16</v>
      </c>
      <c r="Y325" s="555">
        <f>IFERROR(Y322/H322,"0")+IFERROR(Y323/H323,"0")+IFERROR(Y324/H324,"0")</f>
        <v>16</v>
      </c>
      <c r="Z325" s="555">
        <f>IFERROR(IF(Z322="",0,Z322),"0")+IFERROR(IF(Z323="",0,Z323),"0")+IFERROR(IF(Z324="",0,Z324),"0")</f>
        <v>0.30368000000000001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129.6</v>
      </c>
      <c r="Y326" s="555">
        <f>IFERROR(SUM(Y322:Y324),"0")</f>
        <v>129.6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120</v>
      </c>
      <c r="Y350" s="554">
        <f t="shared" ref="Y350:Y356" si="36">IFERROR(IF(X350="",0,CEILING((X350/$H350),1)*$H350),"")</f>
        <v>120</v>
      </c>
      <c r="Z350" s="36">
        <f>IFERROR(IF(Y350=0,"",ROUNDUP(Y350/H350,0)*0.02175),"")</f>
        <v>0.17399999999999999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123.76</v>
      </c>
      <c r="BN350" s="64">
        <f t="shared" ref="BN350:BN356" si="38">IFERROR(Y350*I350/H350,"0")</f>
        <v>123.76</v>
      </c>
      <c r="BO350" s="64">
        <f t="shared" ref="BO350:BO356" si="39">IFERROR(1/J350*(X350/H350),"0")</f>
        <v>0.16666666666666666</v>
      </c>
      <c r="BP350" s="64">
        <f t="shared" ref="BP350:BP356" si="40">IFERROR(1/J350*(Y350/H350),"0")</f>
        <v>0.16666666666666666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120</v>
      </c>
      <c r="Y351" s="554">
        <f t="shared" si="36"/>
        <v>120</v>
      </c>
      <c r="Z351" s="36">
        <f>IFERROR(IF(Y351=0,"",ROUNDUP(Y351/H351,0)*0.02175),"")</f>
        <v>0.17399999999999999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123.76</v>
      </c>
      <c r="BN351" s="64">
        <f t="shared" si="38"/>
        <v>123.76</v>
      </c>
      <c r="BO351" s="64">
        <f t="shared" si="39"/>
        <v>0.16666666666666666</v>
      </c>
      <c r="BP351" s="64">
        <f t="shared" si="40"/>
        <v>0.16666666666666666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16</v>
      </c>
      <c r="Y357" s="555">
        <f>IFERROR(Y350/H350,"0")+IFERROR(Y351/H351,"0")+IFERROR(Y352/H352,"0")+IFERROR(Y353/H353,"0")+IFERROR(Y354/H354,"0")+IFERROR(Y355/H355,"0")+IFERROR(Y356/H356,"0")</f>
        <v>16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0.34799999999999998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240</v>
      </c>
      <c r="Y358" s="555">
        <f>IFERROR(SUM(Y350:Y356),"0")</f>
        <v>240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96</v>
      </c>
      <c r="Y375" s="554">
        <f>IFERROR(IF(X375="",0,CEILING((X375/$H375),1)*$H375),"")</f>
        <v>96</v>
      </c>
      <c r="Z375" s="36">
        <f>IFERROR(IF(Y375=0,"",ROUNDUP(Y375/H375,0)*0.01898),"")</f>
        <v>0.15184</v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99.280000000000015</v>
      </c>
      <c r="BN375" s="64">
        <f>IFERROR(Y375*I375/H375,"0")</f>
        <v>99.280000000000015</v>
      </c>
      <c r="BO375" s="64">
        <f>IFERROR(1/J375*(X375/H375),"0")</f>
        <v>0.125</v>
      </c>
      <c r="BP375" s="64">
        <f>IFERROR(1/J375*(Y375/H375),"0")</f>
        <v>0.125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8</v>
      </c>
      <c r="Y377" s="555">
        <f>IFERROR(Y375/H375,"0")+IFERROR(Y376/H376,"0")</f>
        <v>8</v>
      </c>
      <c r="Z377" s="555">
        <f>IFERROR(IF(Z375="",0,Z375),"0")+IFERROR(IF(Z376="",0,Z376),"0")</f>
        <v>0.15184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96</v>
      </c>
      <c r="Y378" s="555">
        <f>IFERROR(SUM(Y375:Y376),"0")</f>
        <v>96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72</v>
      </c>
      <c r="Y385" s="554">
        <f>IFERROR(IF(X385="",0,CEILING((X385/$H385),1)*$H385),"")</f>
        <v>72</v>
      </c>
      <c r="Z385" s="36">
        <f>IFERROR(IF(Y385=0,"",ROUNDUP(Y385/H385,0)*0.01898),"")</f>
        <v>0.15184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75.951999999999998</v>
      </c>
      <c r="BN385" s="64">
        <f>IFERROR(Y385*I385/H385,"0")</f>
        <v>75.951999999999998</v>
      </c>
      <c r="BO385" s="64">
        <f>IFERROR(1/J385*(X385/H385),"0")</f>
        <v>0.125</v>
      </c>
      <c r="BP385" s="64">
        <f>IFERROR(1/J385*(Y385/H385),"0")</f>
        <v>0.125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33.6</v>
      </c>
      <c r="Y386" s="554">
        <f>IFERROR(IF(X386="",0,CEILING((X386/$H386),1)*$H386),"")</f>
        <v>33.6</v>
      </c>
      <c r="Z386" s="36">
        <f>IFERROR(IF(Y386=0,"",ROUNDUP(Y386/H386,0)*0.00651),"")</f>
        <v>9.1139999999999999E-2</v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37.296000000000006</v>
      </c>
      <c r="BN386" s="64">
        <f>IFERROR(Y386*I386/H386,"0")</f>
        <v>37.296000000000006</v>
      </c>
      <c r="BO386" s="64">
        <f>IFERROR(1/J386*(X386/H386),"0")</f>
        <v>7.6923076923076941E-2</v>
      </c>
      <c r="BP386" s="64">
        <f>IFERROR(1/J386*(Y386/H386),"0")</f>
        <v>7.6923076923076941E-2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22</v>
      </c>
      <c r="Y388" s="555">
        <f>IFERROR(Y385/H385,"0")+IFERROR(Y386/H386,"0")+IFERROR(Y387/H387,"0")</f>
        <v>22</v>
      </c>
      <c r="Z388" s="555">
        <f>IFERROR(IF(Z385="",0,Z385),"0")+IFERROR(IF(Z386="",0,Z386),"0")+IFERROR(IF(Z387="",0,Z387),"0")</f>
        <v>0.24298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105.6</v>
      </c>
      <c r="Y389" s="555">
        <f>IFERROR(SUM(Y385:Y387),"0")</f>
        <v>105.6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42.24</v>
      </c>
      <c r="Y433" s="554">
        <f t="shared" si="47"/>
        <v>42.24</v>
      </c>
      <c r="Z433" s="36">
        <f t="shared" si="48"/>
        <v>9.5680000000000001E-2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45.04</v>
      </c>
      <c r="BN433" s="64">
        <f t="shared" si="50"/>
        <v>45.04</v>
      </c>
      <c r="BO433" s="64">
        <f t="shared" si="51"/>
        <v>7.6923076923076927E-2</v>
      </c>
      <c r="BP433" s="64">
        <f t="shared" si="52"/>
        <v>7.6923076923076927E-2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126.72</v>
      </c>
      <c r="Y435" s="554">
        <f t="shared" si="47"/>
        <v>126.72</v>
      </c>
      <c r="Z435" s="36">
        <f t="shared" si="48"/>
        <v>0.28704000000000002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135.11999999999998</v>
      </c>
      <c r="BN435" s="64">
        <f t="shared" si="50"/>
        <v>135.11999999999998</v>
      </c>
      <c r="BO435" s="64">
        <f t="shared" si="51"/>
        <v>0.23076923076923078</v>
      </c>
      <c r="BP435" s="64">
        <f t="shared" si="52"/>
        <v>0.23076923076923078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32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32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0.38272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168.96</v>
      </c>
      <c r="Y442" s="555">
        <f>IFERROR(SUM(Y429:Y440),"0")</f>
        <v>168.96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42.24</v>
      </c>
      <c r="Y450" s="554">
        <f t="shared" ref="Y450:Y455" si="53">IFERROR(IF(X450="",0,CEILING((X450/$H450),1)*$H450),"")</f>
        <v>42.24</v>
      </c>
      <c r="Z450" s="36">
        <f>IFERROR(IF(Y450=0,"",ROUNDUP(Y450/H450,0)*0.01196),"")</f>
        <v>9.5680000000000001E-2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45.04</v>
      </c>
      <c r="BN450" s="64">
        <f t="shared" ref="BN450:BN455" si="55">IFERROR(Y450*I450/H450,"0")</f>
        <v>45.04</v>
      </c>
      <c r="BO450" s="64">
        <f t="shared" ref="BO450:BO455" si="56">IFERROR(1/J450*(X450/H450),"0")</f>
        <v>7.6923076923076927E-2</v>
      </c>
      <c r="BP450" s="64">
        <f t="shared" ref="BP450:BP455" si="57">IFERROR(1/J450*(Y450/H450),"0")</f>
        <v>7.6923076923076927E-2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42.24</v>
      </c>
      <c r="Y451" s="554">
        <f t="shared" si="53"/>
        <v>42.24</v>
      </c>
      <c r="Z451" s="36">
        <f>IFERROR(IF(Y451=0,"",ROUNDUP(Y451/H451,0)*0.01196),"")</f>
        <v>9.5680000000000001E-2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45.04</v>
      </c>
      <c r="BN451" s="64">
        <f t="shared" si="55"/>
        <v>45.04</v>
      </c>
      <c r="BO451" s="64">
        <f t="shared" si="56"/>
        <v>7.6923076923076927E-2</v>
      </c>
      <c r="BP451" s="64">
        <f t="shared" si="57"/>
        <v>7.6923076923076927E-2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16</v>
      </c>
      <c r="Y456" s="555">
        <f>IFERROR(Y450/H450,"0")+IFERROR(Y451/H451,"0")+IFERROR(Y452/H452,"0")+IFERROR(Y453/H453,"0")+IFERROR(Y454/H454,"0")+IFERROR(Y455/H455,"0")</f>
        <v>16</v>
      </c>
      <c r="Z456" s="555">
        <f>IFERROR(IF(Z450="",0,Z450),"0")+IFERROR(IF(Z451="",0,Z451),"0")+IFERROR(IF(Z452="",0,Z452),"0")+IFERROR(IF(Z453="",0,Z453),"0")+IFERROR(IF(Z454="",0,Z454),"0")+IFERROR(IF(Z455="",0,Z455),"0")</f>
        <v>0.19136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84.48</v>
      </c>
      <c r="Y457" s="555">
        <f>IFERROR(SUM(Y450:Y455),"0")</f>
        <v>84.48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1362.24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1362.24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1429.6479999999999</v>
      </c>
      <c r="Y496" s="555">
        <f>IFERROR(SUM(BN22:BN492),"0")</f>
        <v>1429.6479999999999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3</v>
      </c>
      <c r="Y497" s="38">
        <f>ROUNDUP(SUM(BP22:BP492),0)</f>
        <v>3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1504.6479999999999</v>
      </c>
      <c r="Y498" s="555">
        <f>GrossWeightTotalR+PalletQtyTotalR*25</f>
        <v>1504.6479999999999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166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166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2.6834600000000002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191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172.8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62.4</v>
      </c>
      <c r="E505" s="46">
        <f>IFERROR(Y85*1,"0")+IFERROR(Y86*1,"0")+IFERROR(Y87*1,"0")+IFERROR(Y88*1,"0")+IFERROR(Y92*1,"0")+IFERROR(Y93*1,"0")+IFERROR(Y94*1,"0")+IFERROR(Y95*1,"0")</f>
        <v>64.8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237.60000000000002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129.6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240</v>
      </c>
      <c r="T505" s="46">
        <f>IFERROR(Y375*1,"0")+IFERROR(Y376*1,"0")+IFERROR(Y380*1,"0")+IFERROR(Y381*1,"0")+IFERROR(Y385*1,"0")+IFERROR(Y386*1,"0")+IFERROR(Y387*1,"0")</f>
        <v>201.6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253.44000000000003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PwOhk/+FNPKfjTxHeZTLtqLrm2FNjzrfHgo7fe5nb4UELP1K1uC6pDCiAtCL/lyBfNElLyQ2jEHWzjEkEKLUvg==" saltValue="Vw3zTUMxv86UlgwWDyTqL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e0ysJODdXmvWnlG55Wu3VKTaWXTCHzliAWIb8aYNZiuRg35ja+ugBQAa2aA0Su9c2/6TQGdwwTlTWxqxibQGpg==" saltValue="JXmvD4beIuw/IS3rSW40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2026-01-14T07:14:18Z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