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91F9371A-9A11-4170-B9F7-2F4C8F885F3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Y269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N206" i="1"/>
  <c r="BM206" i="1"/>
  <c r="Z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9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Z64" i="1" l="1"/>
  <c r="F9" i="1"/>
  <c r="J9" i="1"/>
  <c r="F10" i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Z105" i="1" s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Z119" i="1" s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Z303" i="1" s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Z24" i="1" s="1"/>
  <c r="BN23" i="1"/>
  <c r="Y496" i="1" s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Y497" i="1" s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Z62" i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Z332" i="1" s="1"/>
  <c r="Y332" i="1"/>
  <c r="Z338" i="1"/>
  <c r="BP336" i="1"/>
  <c r="BN336" i="1"/>
  <c r="Z336" i="1"/>
  <c r="BP351" i="1"/>
  <c r="BN351" i="1"/>
  <c r="Z351" i="1"/>
  <c r="BP355" i="1"/>
  <c r="BN355" i="1"/>
  <c r="Z355" i="1"/>
  <c r="Z357" i="1" s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Y498" i="1" l="1"/>
  <c r="Z402" i="1"/>
  <c r="Z213" i="1"/>
  <c r="Z312" i="1"/>
  <c r="Z283" i="1"/>
  <c r="Z225" i="1"/>
  <c r="Z181" i="1"/>
  <c r="Z112" i="1"/>
  <c r="Z441" i="1"/>
  <c r="Z419" i="1"/>
  <c r="Z319" i="1"/>
  <c r="Z276" i="1"/>
  <c r="Z469" i="1"/>
  <c r="Z325" i="1"/>
  <c r="Z187" i="1"/>
  <c r="Z154" i="1"/>
  <c r="Z44" i="1"/>
  <c r="Z32" i="1"/>
  <c r="Z500" i="1" s="1"/>
  <c r="Y499" i="1"/>
  <c r="X498" i="1"/>
  <c r="Y495" i="1"/>
</calcChain>
</file>

<file path=xl/sharedStrings.xml><?xml version="1.0" encoding="utf-8"?>
<sst xmlns="http://schemas.openxmlformats.org/spreadsheetml/2006/main" count="2244" uniqueCount="781">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</sst>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79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77</v>
      </c>
      <c r="Y41" s="554">
        <f>IFERROR(IF(X41="",0,CEILING((X41/$H41),1)*$H41),"")</f>
        <v>86.4</v>
      </c>
      <c r="Z41" s="36">
        <f>IFERROR(IF(Y41=0,"",ROUNDUP(Y41/H41,0)*0.01898),"")</f>
        <v>0.15184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79.923148148148144</v>
      </c>
      <c r="BN41" s="64">
        <f>IFERROR(Y41*I41/H41,"0")</f>
        <v>89.68</v>
      </c>
      <c r="BO41" s="64">
        <f>IFERROR(1/J41*(X41/H41),"0")</f>
        <v>0.11140046296296295</v>
      </c>
      <c r="BP41" s="64">
        <f>IFERROR(1/J41*(Y41/H41),"0")</f>
        <v>0.125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7.1296296296296289</v>
      </c>
      <c r="Y44" s="555">
        <f>IFERROR(Y41/H41,"0")+IFERROR(Y42/H42,"0")+IFERROR(Y43/H43,"0")</f>
        <v>8</v>
      </c>
      <c r="Z44" s="555">
        <f>IFERROR(IF(Z41="",0,Z41),"0")+IFERROR(IF(Z42="",0,Z42),"0")+IFERROR(IF(Z43="",0,Z43),"0")</f>
        <v>0.15184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77</v>
      </c>
      <c r="Y45" s="555">
        <f>IFERROR(SUM(Y41:Y43),"0")</f>
        <v>86.4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114</v>
      </c>
      <c r="B47" s="54" t="s">
        <v>115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116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117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118</v>
      </c>
      <c r="B52" s="54" t="s">
        <v>119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120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121</v>
      </c>
      <c r="B53" s="54" t="s">
        <v>122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123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124</v>
      </c>
      <c r="B54" s="54" t="s">
        <v>125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126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127</v>
      </c>
      <c r="B55" s="54" t="s">
        <v>128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129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132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133</v>
      </c>
      <c r="B57" s="54" t="s">
        <v>134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135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0</v>
      </c>
      <c r="Y58" s="555">
        <f>IFERROR(Y52/H52,"0")+IFERROR(Y53/H53,"0")+IFERROR(Y54/H54,"0")+IFERROR(Y55/H55,"0")+IFERROR(Y56/H56,"0")+IFERROR(Y57/H57,"0")</f>
        <v>0</v>
      </c>
      <c r="Z58" s="555">
        <f>IFERROR(IF(Z52="",0,Z52),"0")+IFERROR(IF(Z53="",0,Z53),"0")+IFERROR(IF(Z54="",0,Z54),"0")+IFERROR(IF(Z55="",0,Z55),"0")+IFERROR(IF(Z56="",0,Z56),"0")+IFERROR(IF(Z57="",0,Z57),"0")</f>
        <v>0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0</v>
      </c>
      <c r="Y59" s="555">
        <f>IFERROR(SUM(Y52:Y57),"0")</f>
        <v>0</v>
      </c>
      <c r="Z59" s="37"/>
      <c r="AA59" s="556"/>
      <c r="AB59" s="556"/>
      <c r="AC59" s="556"/>
    </row>
    <row r="60" spans="1:68" ht="14.25" customHeight="1" x14ac:dyDescent="0.25">
      <c r="A60" s="569" t="s">
        <v>136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137</v>
      </c>
      <c r="B61" s="54" t="s">
        <v>138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/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140</v>
      </c>
      <c r="B62" s="54" t="s">
        <v>141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142</v>
      </c>
      <c r="B63" s="54" t="s">
        <v>143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139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144</v>
      </c>
      <c r="B67" s="54" t="s">
        <v>145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146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147</v>
      </c>
      <c r="B68" s="54" t="s">
        <v>148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149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150</v>
      </c>
      <c r="B72" s="54" t="s">
        <v>151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152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153</v>
      </c>
      <c r="B73" s="54" t="s">
        <v>154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155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156</v>
      </c>
      <c r="B74" s="54" t="s">
        <v>157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152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158</v>
      </c>
      <c r="B75" s="54" t="s">
        <v>159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160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161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162</v>
      </c>
      <c r="B79" s="54" t="s">
        <v>163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/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164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165</v>
      </c>
      <c r="B80" s="54" t="s">
        <v>166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167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customHeight="1" x14ac:dyDescent="0.25">
      <c r="A83" s="567" t="s">
        <v>168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169</v>
      </c>
      <c r="B85" s="54" t="s">
        <v>170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0</v>
      </c>
      <c r="Y85" s="55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171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172</v>
      </c>
      <c r="B86" s="54" t="s">
        <v>173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174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175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178</v>
      </c>
      <c r="B88" s="54" t="s">
        <v>179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171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0</v>
      </c>
      <c r="Y89" s="555">
        <f>IFERROR(Y85/H85,"0")+IFERROR(Y86/H86,"0")+IFERROR(Y87/H87,"0")+IFERROR(Y88/H88,"0")</f>
        <v>0</v>
      </c>
      <c r="Z89" s="555">
        <f>IFERROR(IF(Z85="",0,Z85),"0")+IFERROR(IF(Z86="",0,Z86),"0")+IFERROR(IF(Z87="",0,Z87),"0")+IFERROR(IF(Z88="",0,Z88),"0")</f>
        <v>0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0</v>
      </c>
      <c r="Y90" s="555">
        <f>IFERROR(SUM(Y85:Y88),"0")</f>
        <v>0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180</v>
      </c>
      <c r="B92" s="54" t="s">
        <v>181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62</v>
      </c>
      <c r="Y92" s="554">
        <f>IFERROR(IF(X92="",0,CEILING((X92/$H92),1)*$H92),"")</f>
        <v>64.8</v>
      </c>
      <c r="Z92" s="36">
        <f>IFERROR(IF(Y92=0,"",ROUNDUP(Y92/H92,0)*0.01898),"")</f>
        <v>0.15184</v>
      </c>
      <c r="AA92" s="56"/>
      <c r="AB92" s="57"/>
      <c r="AC92" s="135" t="s">
        <v>182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65.781234567901237</v>
      </c>
      <c r="BN92" s="64">
        <f>IFERROR(Y92*I92/H92,"0")</f>
        <v>68.751999999999995</v>
      </c>
      <c r="BO92" s="64">
        <f>IFERROR(1/J92*(X92/H92),"0")</f>
        <v>0.11959876543209877</v>
      </c>
      <c r="BP92" s="64">
        <f>IFERROR(1/J92*(Y92/H92),"0")</f>
        <v>0.125</v>
      </c>
    </row>
    <row r="93" spans="1:68" ht="27" customHeight="1" x14ac:dyDescent="0.25">
      <c r="A93" s="54" t="s">
        <v>183</v>
      </c>
      <c r="B93" s="54" t="s">
        <v>184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185</v>
      </c>
      <c r="B94" s="54" t="s">
        <v>186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25</v>
      </c>
      <c r="Y94" s="554">
        <f>IFERROR(IF(X94="",0,CEILING((X94/$H94),1)*$H94),"")</f>
        <v>27</v>
      </c>
      <c r="Z94" s="36">
        <f>IFERROR(IF(Y94=0,"",ROUNDUP(Y94/H94,0)*0.00651),"")</f>
        <v>6.5100000000000005E-2</v>
      </c>
      <c r="AA94" s="56"/>
      <c r="AB94" s="57"/>
      <c r="AC94" s="139" t="s">
        <v>182</v>
      </c>
      <c r="AG94" s="64"/>
      <c r="AJ94" s="68"/>
      <c r="AK94" s="68">
        <v>0</v>
      </c>
      <c r="BB94" s="140" t="s">
        <v>1</v>
      </c>
      <c r="BM94" s="64">
        <f>IFERROR(X94*I94/H94,"0")</f>
        <v>27.333333333333332</v>
      </c>
      <c r="BN94" s="64">
        <f>IFERROR(Y94*I94/H94,"0")</f>
        <v>29.519999999999996</v>
      </c>
      <c r="BO94" s="64">
        <f>IFERROR(1/J94*(X94/H94),"0")</f>
        <v>5.0875050875050877E-2</v>
      </c>
      <c r="BP94" s="64">
        <f>IFERROR(1/J94*(Y94/H94),"0")</f>
        <v>5.4945054945054951E-2</v>
      </c>
    </row>
    <row r="95" spans="1:68" ht="16.5" customHeight="1" x14ac:dyDescent="0.25">
      <c r="A95" s="54" t="s">
        <v>187</v>
      </c>
      <c r="B95" s="54" t="s">
        <v>188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189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16.913580246913583</v>
      </c>
      <c r="Y96" s="555">
        <f>IFERROR(Y92/H92,"0")+IFERROR(Y93/H93,"0")+IFERROR(Y94/H94,"0")+IFERROR(Y95/H95,"0")</f>
        <v>18</v>
      </c>
      <c r="Z96" s="555">
        <f>IFERROR(IF(Z92="",0,Z92),"0")+IFERROR(IF(Z93="",0,Z93),"0")+IFERROR(IF(Z94="",0,Z94),"0")+IFERROR(IF(Z95="",0,Z95),"0")</f>
        <v>0.21694000000000002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87</v>
      </c>
      <c r="Y97" s="555">
        <f>IFERROR(SUM(Y92:Y95),"0")</f>
        <v>91.8</v>
      </c>
      <c r="Z97" s="37"/>
      <c r="AA97" s="556"/>
      <c r="AB97" s="556"/>
      <c r="AC97" s="556"/>
    </row>
    <row r="98" spans="1:68" ht="16.5" customHeight="1" x14ac:dyDescent="0.25">
      <c r="A98" s="567" t="s">
        <v>190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191</v>
      </c>
      <c r="B100" s="54" t="s">
        <v>192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193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194</v>
      </c>
      <c r="B101" s="54" t="s">
        <v>195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174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196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197</v>
      </c>
      <c r="B102" s="54" t="s">
        <v>198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199</v>
      </c>
      <c r="B103" s="54" t="s">
        <v>200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201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202</v>
      </c>
      <c r="B104" s="54" t="s">
        <v>203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193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0</v>
      </c>
      <c r="Y105" s="555">
        <f>IFERROR(Y100/H100,"0")+IFERROR(Y101/H101,"0")+IFERROR(Y102/H102,"0")+IFERROR(Y103/H103,"0")+IFERROR(Y104/H104,"0")</f>
        <v>0</v>
      </c>
      <c r="Z105" s="555">
        <f>IFERROR(IF(Z100="",0,Z100),"0")+IFERROR(IF(Z101="",0,Z101),"0")+IFERROR(IF(Z102="",0,Z102),"0")+IFERROR(IF(Z103="",0,Z103),"0")+IFERROR(IF(Z104="",0,Z104),"0")</f>
        <v>0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0</v>
      </c>
      <c r="Y106" s="555">
        <f>IFERROR(SUM(Y100:Y104),"0")</f>
        <v>0</v>
      </c>
      <c r="Z106" s="37"/>
      <c r="AA106" s="556"/>
      <c r="AB106" s="556"/>
      <c r="AC106" s="556"/>
    </row>
    <row r="107" spans="1:68" ht="14.25" customHeight="1" x14ac:dyDescent="0.25">
      <c r="A107" s="569" t="s">
        <v>136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204</v>
      </c>
      <c r="B108" s="54" t="s">
        <v>205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/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6</v>
      </c>
      <c r="Y108" s="554">
        <f>IFERROR(IF(X108="",0,CEILING((X108/$H108),1)*$H108),"")</f>
        <v>10.8</v>
      </c>
      <c r="Z108" s="36">
        <f>IFERROR(IF(Y108=0,"",ROUNDUP(Y108/H108,0)*0.01898),"")</f>
        <v>1.898E-2</v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6.2277777777777779</v>
      </c>
      <c r="BN108" s="64">
        <f>IFERROR(Y108*I108/H108,"0")</f>
        <v>11.21</v>
      </c>
      <c r="BO108" s="64">
        <f>IFERROR(1/J108*(X108/H108),"0")</f>
        <v>8.6805555555555542E-3</v>
      </c>
      <c r="BP108" s="64">
        <f>IFERROR(1/J108*(Y108/H108),"0")</f>
        <v>1.5625E-2</v>
      </c>
    </row>
    <row r="109" spans="1:68" ht="27" customHeight="1" x14ac:dyDescent="0.25">
      <c r="A109" s="54" t="s">
        <v>207</v>
      </c>
      <c r="B109" s="54" t="s">
        <v>208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213</v>
      </c>
      <c r="B111" s="54" t="s">
        <v>214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0.55555555555555547</v>
      </c>
      <c r="Y112" s="555">
        <f>IFERROR(Y108/H108,"0")+IFERROR(Y109/H109,"0")+IFERROR(Y110/H110,"0")+IFERROR(Y111/H111,"0")</f>
        <v>1</v>
      </c>
      <c r="Z112" s="555">
        <f>IFERROR(IF(Z108="",0,Z108),"0")+IFERROR(IF(Z109="",0,Z109),"0")+IFERROR(IF(Z110="",0,Z110),"0")+IFERROR(IF(Z111="",0,Z111),"0")</f>
        <v>1.898E-2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6</v>
      </c>
      <c r="Y113" s="555">
        <f>IFERROR(SUM(Y108:Y111),"0")</f>
        <v>10.8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215</v>
      </c>
      <c r="B115" s="54" t="s">
        <v>216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81</v>
      </c>
      <c r="Y115" s="554">
        <f>IFERROR(IF(X115="",0,CEILING((X115/$H115),1)*$H115),"")</f>
        <v>81</v>
      </c>
      <c r="Z115" s="36">
        <f>IFERROR(IF(Y115=0,"",ROUNDUP(Y115/H115,0)*0.01898),"")</f>
        <v>0.1898</v>
      </c>
      <c r="AA115" s="56"/>
      <c r="AB115" s="57"/>
      <c r="AC115" s="161" t="s">
        <v>217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85.88</v>
      </c>
      <c r="BN115" s="64">
        <f>IFERROR(Y115*I115/H115,"0")</f>
        <v>85.88</v>
      </c>
      <c r="BO115" s="64">
        <f>IFERROR(1/J115*(X115/H115),"0")</f>
        <v>0.15625</v>
      </c>
      <c r="BP115" s="64">
        <f>IFERROR(1/J115*(Y115/H115),"0")</f>
        <v>0.15625</v>
      </c>
    </row>
    <row r="116" spans="1:68" ht="27" customHeight="1" x14ac:dyDescent="0.25">
      <c r="A116" s="54" t="s">
        <v>218</v>
      </c>
      <c r="B116" s="54" t="s">
        <v>219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217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220</v>
      </c>
      <c r="B117" s="54" t="s">
        <v>221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222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19</v>
      </c>
      <c r="Y117" s="554">
        <f>IFERROR(IF(X117="",0,CEILING((X117/$H117),1)*$H117),"")</f>
        <v>21.6</v>
      </c>
      <c r="Z117" s="36">
        <f>IFERROR(IF(Y117=0,"",ROUNDUP(Y117/H117,0)*0.00651),"")</f>
        <v>5.2080000000000001E-2</v>
      </c>
      <c r="AA117" s="56"/>
      <c r="AB117" s="57"/>
      <c r="AC117" s="165" t="s">
        <v>217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20.773333333333333</v>
      </c>
      <c r="BN117" s="64">
        <f>IFERROR(Y117*I117/H117,"0")</f>
        <v>23.616</v>
      </c>
      <c r="BO117" s="64">
        <f>IFERROR(1/J117*(X117/H117),"0")</f>
        <v>3.8665038665038662E-2</v>
      </c>
      <c r="BP117" s="64">
        <f>IFERROR(1/J117*(Y117/H117),"0")</f>
        <v>4.3956043956043959E-2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17.037037037037038</v>
      </c>
      <c r="Y119" s="555">
        <f>IFERROR(Y115/H115,"0")+IFERROR(Y116/H116,"0")+IFERROR(Y117/H117,"0")+IFERROR(Y118/H118,"0")</f>
        <v>18</v>
      </c>
      <c r="Z119" s="555">
        <f>IFERROR(IF(Z115="",0,Z115),"0")+IFERROR(IF(Z116="",0,Z116),"0")+IFERROR(IF(Z117="",0,Z117),"0")+IFERROR(IF(Z118="",0,Z118),"0")</f>
        <v>0.24187999999999998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100</v>
      </c>
      <c r="Y120" s="555">
        <f>IFERROR(SUM(Y115:Y118),"0")</f>
        <v>102.6</v>
      </c>
      <c r="Z120" s="37"/>
      <c r="AA120" s="556"/>
      <c r="AB120" s="556"/>
      <c r="AC120" s="556"/>
    </row>
    <row r="121" spans="1:68" ht="14.25" customHeight="1" x14ac:dyDescent="0.25">
      <c r="A121" s="569" t="s">
        <v>161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136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201</v>
      </c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201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92</v>
      </c>
      <c r="Y171" s="554">
        <f t="shared" si="10"/>
        <v>92.4</v>
      </c>
      <c r="Z171" s="36">
        <f>IFERROR(IF(Y171=0,"",ROUNDUP(Y171/H171,0)*0.00902),"")</f>
        <v>0.19844000000000001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96.161904761904751</v>
      </c>
      <c r="BN171" s="64">
        <f t="shared" si="12"/>
        <v>96.579999999999984</v>
      </c>
      <c r="BO171" s="64">
        <f t="shared" si="13"/>
        <v>0.16594516594516595</v>
      </c>
      <c r="BP171" s="64">
        <f t="shared" si="14"/>
        <v>0.16666666666666669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18</v>
      </c>
      <c r="Y173" s="554">
        <f t="shared" si="10"/>
        <v>18.900000000000002</v>
      </c>
      <c r="Z173" s="36">
        <f>IFERROR(IF(Y173=0,"",ROUNDUP(Y173/H173,0)*0.00502),"")</f>
        <v>4.5179999999999998E-2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19.114285714285714</v>
      </c>
      <c r="BN173" s="64">
        <f t="shared" si="12"/>
        <v>20.07</v>
      </c>
      <c r="BO173" s="64">
        <f t="shared" si="13"/>
        <v>3.6630036630036632E-2</v>
      </c>
      <c r="BP173" s="64">
        <f t="shared" si="14"/>
        <v>3.8461538461538464E-2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14</v>
      </c>
      <c r="Y176" s="554">
        <f t="shared" si="10"/>
        <v>14.4</v>
      </c>
      <c r="Z176" s="36">
        <f>IFERROR(IF(Y176=0,"",ROUNDUP(Y176/H176,0)*0.00502),"")</f>
        <v>4.0160000000000001E-2</v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15.011111111111111</v>
      </c>
      <c r="BN176" s="64">
        <f t="shared" si="12"/>
        <v>15.439999999999998</v>
      </c>
      <c r="BO176" s="64">
        <f t="shared" si="13"/>
        <v>3.3238366571699908E-2</v>
      </c>
      <c r="BP176" s="64">
        <f t="shared" si="14"/>
        <v>3.4188034188034191E-2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174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38.253968253968253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39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0.28378000000000003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124</v>
      </c>
      <c r="Y182" s="555">
        <f>IFERROR(SUM(Y167:Y180),"0")</f>
        <v>125.70000000000002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136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201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201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/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201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30</v>
      </c>
      <c r="Y209" s="554">
        <f t="shared" si="15"/>
        <v>30.6</v>
      </c>
      <c r="Z209" s="36">
        <f>IFERROR(IF(Y209=0,"",ROUNDUP(Y209/H209,0)*0.00502),"")</f>
        <v>8.5339999999999999E-2</v>
      </c>
      <c r="AA209" s="56"/>
      <c r="AB209" s="57"/>
      <c r="AC209" s="255" t="s">
        <v>340</v>
      </c>
      <c r="AG209" s="64"/>
      <c r="AJ209" s="68"/>
      <c r="AK209" s="68">
        <v>0</v>
      </c>
      <c r="BB209" s="256" t="s">
        <v>1</v>
      </c>
      <c r="BM209" s="64">
        <f t="shared" si="16"/>
        <v>32.166666666666664</v>
      </c>
      <c r="BN209" s="64">
        <f t="shared" si="17"/>
        <v>32.81</v>
      </c>
      <c r="BO209" s="64">
        <f t="shared" si="18"/>
        <v>7.122507122507124E-2</v>
      </c>
      <c r="BP209" s="64">
        <f t="shared" si="19"/>
        <v>7.2649572649572655E-2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/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/>
      <c r="AK212" s="68">
        <v>0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16.666666666666668</v>
      </c>
      <c r="Y213" s="555">
        <f>IFERROR(Y205/H205,"0")+IFERROR(Y206/H206,"0")+IFERROR(Y207/H207,"0")+IFERROR(Y208/H208,"0")+IFERROR(Y209/H209,"0")+IFERROR(Y210/H210,"0")+IFERROR(Y211/H211,"0")+IFERROR(Y212/H212,"0")</f>
        <v>17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8.5339999999999999E-2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30</v>
      </c>
      <c r="Y214" s="555">
        <f>IFERROR(SUM(Y205:Y212),"0")</f>
        <v>30.6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/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222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69</v>
      </c>
      <c r="Y219" s="554">
        <f t="shared" si="20"/>
        <v>69.599999999999994</v>
      </c>
      <c r="Z219" s="36">
        <f t="shared" ref="Z219:Z224" si="25">IFERROR(IF(Y219=0,"",ROUNDUP(Y219/H219,0)*0.00651),"")</f>
        <v>0.18879000000000001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76.762500000000003</v>
      </c>
      <c r="BN219" s="64">
        <f t="shared" si="22"/>
        <v>77.430000000000007</v>
      </c>
      <c r="BO219" s="64">
        <f t="shared" si="23"/>
        <v>0.15796703296703299</v>
      </c>
      <c r="BP219" s="64">
        <f t="shared" si="24"/>
        <v>0.15934065934065936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222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54</v>
      </c>
      <c r="Y221" s="554">
        <f t="shared" si="20"/>
        <v>55.199999999999996</v>
      </c>
      <c r="Z221" s="36">
        <f t="shared" si="25"/>
        <v>0.14973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59.67</v>
      </c>
      <c r="BN221" s="64">
        <f t="shared" si="22"/>
        <v>60.996000000000002</v>
      </c>
      <c r="BO221" s="64">
        <f t="shared" si="23"/>
        <v>0.12362637362637363</v>
      </c>
      <c r="BP221" s="64">
        <f t="shared" si="24"/>
        <v>0.1263736263736264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222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30</v>
      </c>
      <c r="Y222" s="554">
        <f t="shared" si="20"/>
        <v>31.2</v>
      </c>
      <c r="Z222" s="36">
        <f t="shared" si="25"/>
        <v>8.4629999999999997E-2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33.150000000000006</v>
      </c>
      <c r="BN222" s="64">
        <f t="shared" si="22"/>
        <v>34.476000000000006</v>
      </c>
      <c r="BO222" s="64">
        <f t="shared" si="23"/>
        <v>6.8681318681318687E-2</v>
      </c>
      <c r="BP222" s="64">
        <f t="shared" si="24"/>
        <v>7.1428571428571438E-2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222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222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10</v>
      </c>
      <c r="Y224" s="554">
        <f t="shared" si="20"/>
        <v>12</v>
      </c>
      <c r="Z224" s="36">
        <f t="shared" si="25"/>
        <v>3.2550000000000003E-2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11.074999999999999</v>
      </c>
      <c r="BN224" s="64">
        <f t="shared" si="22"/>
        <v>13.290000000000001</v>
      </c>
      <c r="BO224" s="64">
        <f t="shared" si="23"/>
        <v>2.2893772893772896E-2</v>
      </c>
      <c r="BP224" s="64">
        <f t="shared" si="24"/>
        <v>2.7472527472527476E-2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67.916666666666671</v>
      </c>
      <c r="Y225" s="555">
        <f>IFERROR(Y216/H216,"0")+IFERROR(Y217/H217,"0")+IFERROR(Y218/H218,"0")+IFERROR(Y219/H219,"0")+IFERROR(Y220/H220,"0")+IFERROR(Y221/H221,"0")+IFERROR(Y222/H222,"0")+IFERROR(Y223/H223,"0")+IFERROR(Y224/H224,"0")</f>
        <v>70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0.45570000000000005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163</v>
      </c>
      <c r="Y226" s="555">
        <f>IFERROR(SUM(Y216:Y224),"0")</f>
        <v>167.99999999999997</v>
      </c>
      <c r="Z226" s="37"/>
      <c r="AA226" s="556"/>
      <c r="AB226" s="556"/>
      <c r="AC226" s="556"/>
    </row>
    <row r="227" spans="1:68" ht="14.25" customHeight="1" x14ac:dyDescent="0.25">
      <c r="A227" s="569" t="s">
        <v>161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24</v>
      </c>
      <c r="Y228" s="554">
        <f>IFERROR(IF(X228="",0,CEILING((X228/$H228),1)*$H228),"")</f>
        <v>24</v>
      </c>
      <c r="Z228" s="36">
        <f>IFERROR(IF(Y228=0,"",ROUNDUP(Y228/H228,0)*0.00651),"")</f>
        <v>6.5100000000000005E-2</v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26.520000000000003</v>
      </c>
      <c r="BN228" s="64">
        <f>IFERROR(Y228*I228/H228,"0")</f>
        <v>26.520000000000003</v>
      </c>
      <c r="BO228" s="64">
        <f>IFERROR(1/J228*(X228/H228),"0")</f>
        <v>5.4945054945054951E-2</v>
      </c>
      <c r="BP228" s="64">
        <f>IFERROR(1/J228*(Y228/H228),"0")</f>
        <v>5.4945054945054951E-2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10</v>
      </c>
      <c r="Y230" s="555">
        <f>IFERROR(Y228/H228,"0")+IFERROR(Y229/H229,"0")</f>
        <v>10</v>
      </c>
      <c r="Z230" s="555">
        <f>IFERROR(IF(Z228="",0,Z228),"0")+IFERROR(IF(Z229="",0,Z229),"0")</f>
        <v>6.5100000000000005E-2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24</v>
      </c>
      <c r="Y231" s="555">
        <f>IFERROR(SUM(Y228:Y229),"0")</f>
        <v>24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customHeight="1" x14ac:dyDescent="0.25">
      <c r="A245" s="569" t="s">
        <v>136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222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222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18</v>
      </c>
      <c r="Y311" s="554">
        <f t="shared" si="31"/>
        <v>18</v>
      </c>
      <c r="Z311" s="36">
        <f>IFERROR(IF(Y311=0,"",ROUNDUP(Y311/H311,0)*0.00651),"")</f>
        <v>6.5100000000000005E-2</v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20.279999999999998</v>
      </c>
      <c r="BN311" s="64">
        <f t="shared" si="33"/>
        <v>20.279999999999998</v>
      </c>
      <c r="BO311" s="64">
        <f t="shared" si="34"/>
        <v>5.4945054945054951E-2</v>
      </c>
      <c r="BP311" s="64">
        <f t="shared" si="35"/>
        <v>5.4945054945054951E-2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10</v>
      </c>
      <c r="Y312" s="555">
        <f>IFERROR(Y306/H306,"0")+IFERROR(Y307/H307,"0")+IFERROR(Y308/H308,"0")+IFERROR(Y309/H309,"0")+IFERROR(Y310/H310,"0")+IFERROR(Y311/H311,"0")</f>
        <v>10</v>
      </c>
      <c r="Z312" s="555">
        <f>IFERROR(IF(Z306="",0,Z306),"0")+IFERROR(IF(Z307="",0,Z307),"0")+IFERROR(IF(Z308="",0,Z308),"0")+IFERROR(IF(Z309="",0,Z309),"0")+IFERROR(IF(Z310="",0,Z310),"0")+IFERROR(IF(Z311="",0,Z311),"0")</f>
        <v>6.5100000000000005E-2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18</v>
      </c>
      <c r="Y313" s="555">
        <f>IFERROR(SUM(Y306:Y311),"0")</f>
        <v>18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161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133</v>
      </c>
      <c r="Y323" s="554">
        <f>IFERROR(IF(X323="",0,CEILING((X323/$H323),1)*$H323),"")</f>
        <v>140.4</v>
      </c>
      <c r="Z323" s="36">
        <f>IFERROR(IF(Y323=0,"",ROUNDUP(Y323/H323,0)*0.01898),"")</f>
        <v>0.34164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141.42333333333335</v>
      </c>
      <c r="BN323" s="64">
        <f>IFERROR(Y323*I323/H323,"0")</f>
        <v>149.29200000000003</v>
      </c>
      <c r="BO323" s="64">
        <f>IFERROR(1/J323*(X323/H323),"0")</f>
        <v>0.26642628205128205</v>
      </c>
      <c r="BP323" s="64">
        <f>IFERROR(1/J323*(Y323/H323),"0")</f>
        <v>0.28125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/>
      <c r="AK324" s="68">
        <v>0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17.051282051282051</v>
      </c>
      <c r="Y325" s="555">
        <f>IFERROR(Y322/H322,"0")+IFERROR(Y323/H323,"0")+IFERROR(Y324/H324,"0")</f>
        <v>18</v>
      </c>
      <c r="Z325" s="555">
        <f>IFERROR(IF(Z322="",0,Z322),"0")+IFERROR(IF(Z323="",0,Z323),"0")+IFERROR(IF(Z324="",0,Z324),"0")</f>
        <v>0.34164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133</v>
      </c>
      <c r="Y326" s="555">
        <f>IFERROR(SUM(Y322:Y324),"0")</f>
        <v>140.4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/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/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/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/>
      <c r="AK344" s="68">
        <v>0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0</v>
      </c>
      <c r="Y350" s="554">
        <f t="shared" ref="Y350:Y356" si="36">IFERROR(IF(X350="",0,CEILING((X350/$H350),1)*$H350),"")</f>
        <v>0</v>
      </c>
      <c r="Z350" s="36" t="str">
        <f>IFERROR(IF(Y350=0,"",ROUNDUP(Y350/H350,0)*0.02175),"")</f>
        <v/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0</v>
      </c>
      <c r="BN350" s="64">
        <f t="shared" ref="BN350:BN356" si="38">IFERROR(Y350*I350/H350,"0")</f>
        <v>0</v>
      </c>
      <c r="BO350" s="64">
        <f t="shared" ref="BO350:BO356" si="39">IFERROR(1/J350*(X350/H350),"0")</f>
        <v>0</v>
      </c>
      <c r="BP350" s="64">
        <f t="shared" ref="BP350:BP356" si="40">IFERROR(1/J350*(Y350/H350),"0")</f>
        <v>0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22</v>
      </c>
      <c r="Y351" s="554">
        <f t="shared" si="36"/>
        <v>30</v>
      </c>
      <c r="Z351" s="36">
        <f>IFERROR(IF(Y351=0,"",ROUNDUP(Y351/H351,0)*0.02175),"")</f>
        <v>4.3499999999999997E-2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22.689333333333334</v>
      </c>
      <c r="BN351" s="64">
        <f t="shared" si="38"/>
        <v>30.94</v>
      </c>
      <c r="BO351" s="64">
        <f t="shared" si="39"/>
        <v>3.0555555555555551E-2</v>
      </c>
      <c r="BP351" s="64">
        <f t="shared" si="40"/>
        <v>4.1666666666666664E-2</v>
      </c>
    </row>
    <row r="352" spans="1:68" ht="27" customHeight="1" x14ac:dyDescent="0.25">
      <c r="A352" s="54" t="s">
        <v>567</v>
      </c>
      <c r="B352" s="54" t="s">
        <v>568</v>
      </c>
      <c r="C352" s="31">
        <v>4301012215</v>
      </c>
      <c r="D352" s="560">
        <v>4680115887046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7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0</v>
      </c>
      <c r="Y352" s="554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0">
        <v>4680115884830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 t="s">
        <v>105</v>
      </c>
      <c r="M353" s="33" t="s">
        <v>68</v>
      </c>
      <c r="N353" s="33"/>
      <c r="O353" s="32">
        <v>60</v>
      </c>
      <c r="P353" s="71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350</v>
      </c>
      <c r="Y353" s="554">
        <f t="shared" si="36"/>
        <v>360</v>
      </c>
      <c r="Z353" s="36">
        <f>IFERROR(IF(Y353=0,"",ROUNDUP(Y353/H353,0)*0.02175),"")</f>
        <v>0.52200000000000002</v>
      </c>
      <c r="AA353" s="56"/>
      <c r="AB353" s="57"/>
      <c r="AC353" s="411" t="s">
        <v>572</v>
      </c>
      <c r="AG353" s="64"/>
      <c r="AJ353" s="68" t="s">
        <v>108</v>
      </c>
      <c r="AK353" s="68">
        <v>120</v>
      </c>
      <c r="BB353" s="412" t="s">
        <v>1</v>
      </c>
      <c r="BM353" s="64">
        <f t="shared" si="37"/>
        <v>360.96666666666664</v>
      </c>
      <c r="BN353" s="64">
        <f t="shared" si="38"/>
        <v>371.28</v>
      </c>
      <c r="BO353" s="64">
        <f t="shared" si="39"/>
        <v>0.48611111111111105</v>
      </c>
      <c r="BP353" s="64">
        <f t="shared" si="40"/>
        <v>0.5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572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24.799999999999997</v>
      </c>
      <c r="Y357" s="555">
        <f>IFERROR(Y350/H350,"0")+IFERROR(Y351/H351,"0")+IFERROR(Y352/H352,"0")+IFERROR(Y353/H353,"0")+IFERROR(Y354/H354,"0")+IFERROR(Y355/H355,"0")+IFERROR(Y356/H356,"0")</f>
        <v>26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0.5655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372</v>
      </c>
      <c r="Y358" s="555">
        <f>IFERROR(SUM(Y350:Y356),"0")</f>
        <v>390</v>
      </c>
      <c r="Z358" s="37"/>
      <c r="AA358" s="556"/>
      <c r="AB358" s="556"/>
      <c r="AC358" s="556"/>
    </row>
    <row r="359" spans="1:68" ht="14.25" customHeight="1" x14ac:dyDescent="0.25">
      <c r="A359" s="569" t="s">
        <v>136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0</v>
      </c>
      <c r="Y360" s="554">
        <f>IFERROR(IF(X360="",0,CEILING((X360/$H360),1)*$H360),"")</f>
        <v>0</v>
      </c>
      <c r="Z360" s="36" t="str">
        <f>IFERROR(IF(Y360=0,"",ROUNDUP(Y360/H360,0)*0.02175),"")</f>
        <v/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0</v>
      </c>
      <c r="Y362" s="555">
        <f>IFERROR(Y360/H360,"0")+IFERROR(Y361/H361,"0")</f>
        <v>0</v>
      </c>
      <c r="Z362" s="555">
        <f>IFERROR(IF(Z360="",0,Z360),"0")+IFERROR(IF(Z361="",0,Z361),"0")</f>
        <v>0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0</v>
      </c>
      <c r="Y363" s="555">
        <f>IFERROR(SUM(Y360:Y361),"0")</f>
        <v>0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69" t="s">
        <v>161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20</v>
      </c>
      <c r="Y370" s="554">
        <f>IFERROR(IF(X370="",0,CEILING((X370/$H370),1)*$H370),"")</f>
        <v>27</v>
      </c>
      <c r="Z370" s="36">
        <f>IFERROR(IF(Y370=0,"",ROUNDUP(Y370/H370,0)*0.01898),"")</f>
        <v>5.6940000000000004E-2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21.097777777777779</v>
      </c>
      <c r="BN370" s="64">
        <f>IFERROR(Y370*I370/H370,"0")</f>
        <v>28.481999999999996</v>
      </c>
      <c r="BO370" s="64">
        <f>IFERROR(1/J370*(X370/H370),"0")</f>
        <v>3.4722222222222224E-2</v>
      </c>
      <c r="BP370" s="64">
        <f>IFERROR(1/J370*(Y370/H370),"0")</f>
        <v>4.6875E-2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2.2222222222222223</v>
      </c>
      <c r="Y371" s="555">
        <f>IFERROR(Y370/H370,"0")</f>
        <v>3</v>
      </c>
      <c r="Z371" s="555">
        <f>IFERROR(IF(Z370="",0,Z370),"0")</f>
        <v>5.6940000000000004E-2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20</v>
      </c>
      <c r="Y372" s="555">
        <f>IFERROR(SUM(Y370:Y370),"0")</f>
        <v>27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4301031457</v>
      </c>
      <c r="D380" s="560">
        <v>4607091384802</v>
      </c>
      <c r="E380" s="561"/>
      <c r="F380" s="552">
        <v>0.7</v>
      </c>
      <c r="G380" s="32">
        <v>6</v>
      </c>
      <c r="H380" s="552">
        <v>4.2</v>
      </c>
      <c r="I380" s="552">
        <v>4.45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50</v>
      </c>
      <c r="P380" s="7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4301031303</v>
      </c>
      <c r="D381" s="560">
        <v>4607091384802</v>
      </c>
      <c r="E381" s="561"/>
      <c r="F381" s="552">
        <v>0.73</v>
      </c>
      <c r="G381" s="32">
        <v>6</v>
      </c>
      <c r="H381" s="552">
        <v>4.38</v>
      </c>
      <c r="I381" s="552">
        <v>4.63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35</v>
      </c>
      <c r="P381" s="60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118</v>
      </c>
      <c r="Y385" s="554">
        <f>IFERROR(IF(X385="",0,CEILING((X385/$H385),1)*$H385),"")</f>
        <v>126</v>
      </c>
      <c r="Z385" s="36">
        <f>IFERROR(IF(Y385=0,"",ROUNDUP(Y385/H385,0)*0.01898),"")</f>
        <v>0.26572000000000001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124.47688888888888</v>
      </c>
      <c r="BN385" s="64">
        <f>IFERROR(Y385*I385/H385,"0")</f>
        <v>132.916</v>
      </c>
      <c r="BO385" s="64">
        <f>IFERROR(1/J385*(X385/H385),"0")</f>
        <v>0.2048611111111111</v>
      </c>
      <c r="BP385" s="64">
        <f>IFERROR(1/J385*(Y385/H385),"0")</f>
        <v>0.21875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13.111111111111111</v>
      </c>
      <c r="Y388" s="555">
        <f>IFERROR(Y385/H385,"0")+IFERROR(Y386/H386,"0")+IFERROR(Y387/H387,"0")</f>
        <v>14</v>
      </c>
      <c r="Z388" s="555">
        <f>IFERROR(IF(Z385="",0,Z385),"0")+IFERROR(IF(Z386="",0,Z386),"0")+IFERROR(IF(Z387="",0,Z387),"0")</f>
        <v>0.26572000000000001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118</v>
      </c>
      <c r="Y389" s="555">
        <f>IFERROR(SUM(Y385:Y387),"0")</f>
        <v>126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 t="s">
        <v>201</v>
      </c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 t="s">
        <v>108</v>
      </c>
      <c r="AK393" s="68">
        <v>64.8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136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 t="s">
        <v>201</v>
      </c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 t="s">
        <v>108</v>
      </c>
      <c r="AK415" s="68">
        <v>64.8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15</v>
      </c>
      <c r="Y429" s="554">
        <f t="shared" ref="Y429:Y440" si="47">IFERROR(IF(X429="",0,CEILING((X429/$H429),1)*$H429),"")</f>
        <v>15.84</v>
      </c>
      <c r="Z429" s="36">
        <f t="shared" ref="Z429:Z435" si="48">IFERROR(IF(Y429=0,"",ROUNDUP(Y429/H429,0)*0.01196),"")</f>
        <v>3.5880000000000002E-2</v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ref="BM429:BM440" si="49">IFERROR(X429*I429/H429,"0")</f>
        <v>15.994318181818182</v>
      </c>
      <c r="BN429" s="64">
        <f t="shared" ref="BN429:BN440" si="50">IFERROR(Y429*I429/H429,"0")</f>
        <v>16.889999999999997</v>
      </c>
      <c r="BO429" s="64">
        <f t="shared" ref="BO429:BO440" si="51">IFERROR(1/J429*(X429/H429),"0")</f>
        <v>2.7316433566433568E-2</v>
      </c>
      <c r="BP429" s="64">
        <f t="shared" ref="BP429:BP440" si="52">IFERROR(1/J429*(Y429/H429),"0")</f>
        <v>2.8846153846153848E-2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6</v>
      </c>
      <c r="Y432" s="554">
        <f t="shared" si="47"/>
        <v>10.56</v>
      </c>
      <c r="Z432" s="36">
        <f t="shared" si="48"/>
        <v>2.392E-2</v>
      </c>
      <c r="AA432" s="56"/>
      <c r="AB432" s="57"/>
      <c r="AC432" s="483" t="s">
        <v>673</v>
      </c>
      <c r="AG432" s="64"/>
      <c r="AJ432" s="68"/>
      <c r="AK432" s="68">
        <v>0</v>
      </c>
      <c r="BB432" s="484" t="s">
        <v>1</v>
      </c>
      <c r="BM432" s="64">
        <f t="shared" si="49"/>
        <v>6.3977272727272725</v>
      </c>
      <c r="BN432" s="64">
        <f t="shared" si="50"/>
        <v>11.26</v>
      </c>
      <c r="BO432" s="64">
        <f t="shared" si="51"/>
        <v>1.0926573426573426E-2</v>
      </c>
      <c r="BP432" s="64">
        <f t="shared" si="52"/>
        <v>1.9230769230769232E-2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0</v>
      </c>
      <c r="Y433" s="554">
        <f t="shared" si="47"/>
        <v>0</v>
      </c>
      <c r="Z433" s="36" t="str">
        <f t="shared" si="48"/>
        <v/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0</v>
      </c>
      <c r="Y435" s="554">
        <f t="shared" si="47"/>
        <v>0</v>
      </c>
      <c r="Z435" s="36" t="str">
        <f t="shared" si="48"/>
        <v/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3.9772727272727271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5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5.9800000000000006E-2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21</v>
      </c>
      <c r="Y442" s="555">
        <f>IFERROR(SUM(Y429:Y440),"0")</f>
        <v>26.4</v>
      </c>
      <c r="Z442" s="37"/>
      <c r="AA442" s="556"/>
      <c r="AB442" s="556"/>
      <c r="AC442" s="556"/>
    </row>
    <row r="443" spans="1:68" ht="14.25" customHeight="1" x14ac:dyDescent="0.25">
      <c r="A443" s="569" t="s">
        <v>136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/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0</v>
      </c>
      <c r="Y456" s="555">
        <f>IFERROR(Y450/H450,"0")+IFERROR(Y451/H451,"0")+IFERROR(Y452/H452,"0")+IFERROR(Y453/H453,"0")+IFERROR(Y454/H454,"0")+IFERROR(Y455/H455,"0")</f>
        <v>0</v>
      </c>
      <c r="Z456" s="555">
        <f>IFERROR(IF(Z450="",0,Z450),"0")+IFERROR(IF(Z451="",0,Z451),"0")+IFERROR(IF(Z452="",0,Z452),"0")+IFERROR(IF(Z453="",0,Z453),"0")+IFERROR(IF(Z454="",0,Z454),"0")+IFERROR(IF(Z455="",0,Z455),"0")</f>
        <v>0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0</v>
      </c>
      <c r="Y457" s="555">
        <f>IFERROR(SUM(Y450:Y455),"0")</f>
        <v>0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136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120</v>
      </c>
      <c r="Y482" s="554">
        <f>IFERROR(IF(X482="",0,CEILING((X482/$H482),1)*$H482),"")</f>
        <v>126</v>
      </c>
      <c r="Z482" s="36">
        <f>IFERROR(IF(Y482=0,"",ROUNDUP(Y482/H482,0)*0.01898),"")</f>
        <v>0.26572000000000001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126.58666666666666</v>
      </c>
      <c r="BN482" s="64">
        <f>IFERROR(Y482*I482/H482,"0")</f>
        <v>132.916</v>
      </c>
      <c r="BO482" s="64">
        <f>IFERROR(1/J482*(X482/H482),"0")</f>
        <v>0.20833333333333334</v>
      </c>
      <c r="BP482" s="64">
        <f>IFERROR(1/J482*(Y482/H482),"0")</f>
        <v>0.21875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13.333333333333334</v>
      </c>
      <c r="Y483" s="555">
        <f>IFERROR(Y482/H482,"0")</f>
        <v>14</v>
      </c>
      <c r="Z483" s="555">
        <f>IFERROR(IF(Z482="",0,Z482),"0")</f>
        <v>0.26572000000000001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120</v>
      </c>
      <c r="Y484" s="555">
        <f>IFERROR(SUM(Y482:Y482),"0")</f>
        <v>126</v>
      </c>
      <c r="Z484" s="37"/>
      <c r="AA484" s="556"/>
      <c r="AB484" s="556"/>
      <c r="AC484" s="556"/>
    </row>
    <row r="485" spans="1:68" ht="14.25" customHeight="1" x14ac:dyDescent="0.25">
      <c r="A485" s="569" t="s">
        <v>161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136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1413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1493.7000000000003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1495.463007535674</v>
      </c>
      <c r="Y496" s="555">
        <f>IFERROR(SUM(BN22:BN492),"0")</f>
        <v>1580.5259999999998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3</v>
      </c>
      <c r="Y497" s="38">
        <f>ROUNDUP(SUM(BP22:BP492),0)</f>
        <v>3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1570.463007535674</v>
      </c>
      <c r="Y498" s="555">
        <f>GrossWeightTotalR+PalletQtyTotalR*25</f>
        <v>1655.5259999999998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258.96832550165885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271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3.13998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117</v>
      </c>
      <c r="E503" s="598" t="s">
        <v>168</v>
      </c>
      <c r="F503" s="598" t="s">
        <v>190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86.4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5" s="46">
        <f>IFERROR(Y85*1,"0")+IFERROR(Y86*1,"0")+IFERROR(Y87*1,"0")+IFERROR(Y88*1,"0")+IFERROR(Y92*1,"0")+IFERROR(Y93*1,"0")+IFERROR(Y94*1,"0")+IFERROR(Y95*1,"0")</f>
        <v>91.8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113.4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125.70000000000002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222.59999999999997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158.4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417</v>
      </c>
      <c r="T505" s="46">
        <f>IFERROR(Y375*1,"0")+IFERROR(Y376*1,"0")+IFERROR(Y380*1,"0")+IFERROR(Y381*1,"0")+IFERROR(Y385*1,"0")+IFERROR(Y386*1,"0")+IFERROR(Y387*1,"0")</f>
        <v>126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26.4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126</v>
      </c>
      <c r="Z505" s="46">
        <f>IFERROR(Y492*1,"0")</f>
        <v>0</v>
      </c>
      <c r="AB505" s="52"/>
      <c r="AC505" s="52"/>
      <c r="AF505" s="551"/>
    </row>
  </sheetData>
  <sheetProtection algorithmName="SHA-512" hashValue="6jJLVR9Kh3xkPeOjX9tI0ECkwRW+QVtdgqDKqI1ZpQoXVz8JjHAmGUOiLzYyxB/TVjzKo0TWSo3oxPZmiXiGtA==" saltValue="tvhr3l2hPHTKT/bzG7FOE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85 X92 X100 X103 X115 X117 X169 X171 X173 X205:X206 X208 X219 X221:X224 X281:X282 X323 X350:X351 X353 X360 X385 X393 X415 X433 X435 X444 X450:X452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irhARvDOmEDhYt2jKtuBONf/mh7oA6BfKTQBjT0hSP5OeZ/POQXKwI4umYDz1w5//Wi5B1imRo653gbFCNcvpQ==" saltValue="dQD4P7UdeeFqgr6FQD3X2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2026-01-14T08:39:49Z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