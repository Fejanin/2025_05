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111CDFBC-0AA3-4CE8-A767-D787BA6C743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Y345" i="1" s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Y326" i="1" s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Y312" i="1" s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Y284" i="1" s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Y230" i="1" s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Y213" i="1" s="1"/>
  <c r="P205" i="1"/>
  <c r="X203" i="1"/>
  <c r="X202" i="1"/>
  <c r="BO201" i="1"/>
  <c r="BM201" i="1"/>
  <c r="Y201" i="1"/>
  <c r="Y203" i="1" s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J505" i="1" s="1"/>
  <c r="P195" i="1"/>
  <c r="X192" i="1"/>
  <c r="X191" i="1"/>
  <c r="BO190" i="1"/>
  <c r="BM190" i="1"/>
  <c r="Y190" i="1"/>
  <c r="Y192" i="1" s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Y182" i="1" s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Y139" i="1" s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Y120" i="1" s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Y64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D505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495" i="1" s="1"/>
  <c r="X24" i="1"/>
  <c r="X499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05" i="1"/>
  <c r="X496" i="1"/>
  <c r="X497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Z44" i="1" s="1"/>
  <c r="BN41" i="1"/>
  <c r="BP41" i="1"/>
  <c r="Z43" i="1"/>
  <c r="BN43" i="1"/>
  <c r="Y44" i="1"/>
  <c r="Z47" i="1"/>
  <c r="Z48" i="1" s="1"/>
  <c r="BN47" i="1"/>
  <c r="BP47" i="1"/>
  <c r="Y48" i="1"/>
  <c r="Z52" i="1"/>
  <c r="Z58" i="1" s="1"/>
  <c r="BN52" i="1"/>
  <c r="BP52" i="1"/>
  <c r="Z54" i="1"/>
  <c r="BN54" i="1"/>
  <c r="Z56" i="1"/>
  <c r="BN56" i="1"/>
  <c r="Y59" i="1"/>
  <c r="Z62" i="1"/>
  <c r="Z64" i="1" s="1"/>
  <c r="BN62" i="1"/>
  <c r="BP62" i="1"/>
  <c r="Y69" i="1"/>
  <c r="Z68" i="1"/>
  <c r="Z69" i="1" s="1"/>
  <c r="BN68" i="1"/>
  <c r="Y70" i="1"/>
  <c r="Y77" i="1"/>
  <c r="BP72" i="1"/>
  <c r="BN72" i="1"/>
  <c r="Z72" i="1"/>
  <c r="Y76" i="1"/>
  <c r="BP80" i="1"/>
  <c r="BN80" i="1"/>
  <c r="Z80" i="1"/>
  <c r="Z81" i="1" s="1"/>
  <c r="Y82" i="1"/>
  <c r="E505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8" i="1"/>
  <c r="Y187" i="1"/>
  <c r="BP184" i="1"/>
  <c r="BN184" i="1"/>
  <c r="Z184" i="1"/>
  <c r="F9" i="1"/>
  <c r="J9" i="1"/>
  <c r="Y45" i="1"/>
  <c r="Y495" i="1" s="1"/>
  <c r="Y58" i="1"/>
  <c r="BP74" i="1"/>
  <c r="Y497" i="1" s="1"/>
  <c r="BN74" i="1"/>
  <c r="Z74" i="1"/>
  <c r="BP87" i="1"/>
  <c r="BN87" i="1"/>
  <c r="Y496" i="1" s="1"/>
  <c r="Y498" i="1" s="1"/>
  <c r="Z87" i="1"/>
  <c r="BP95" i="1"/>
  <c r="BN95" i="1"/>
  <c r="Z95" i="1"/>
  <c r="Y97" i="1"/>
  <c r="F505" i="1"/>
  <c r="Y105" i="1"/>
  <c r="BP100" i="1"/>
  <c r="BN100" i="1"/>
  <c r="Z100" i="1"/>
  <c r="Z105" i="1" s="1"/>
  <c r="BP104" i="1"/>
  <c r="BN104" i="1"/>
  <c r="Z104" i="1"/>
  <c r="Y106" i="1"/>
  <c r="Y113" i="1"/>
  <c r="BP108" i="1"/>
  <c r="BN108" i="1"/>
  <c r="Z108" i="1"/>
  <c r="Z112" i="1" s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H505" i="1"/>
  <c r="Y145" i="1"/>
  <c r="I505" i="1"/>
  <c r="Y165" i="1"/>
  <c r="Z190" i="1"/>
  <c r="Z191" i="1" s="1"/>
  <c r="BN190" i="1"/>
  <c r="BP190" i="1"/>
  <c r="Y191" i="1"/>
  <c r="Z195" i="1"/>
  <c r="Z197" i="1" s="1"/>
  <c r="BN195" i="1"/>
  <c r="BP195" i="1"/>
  <c r="Y198" i="1"/>
  <c r="Z201" i="1"/>
  <c r="Z202" i="1" s="1"/>
  <c r="BN201" i="1"/>
  <c r="BP201" i="1"/>
  <c r="Z205" i="1"/>
  <c r="BN205" i="1"/>
  <c r="BP20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Y332" i="1"/>
  <c r="Z338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Y197" i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BP237" i="1"/>
  <c r="BN237" i="1"/>
  <c r="Z237" i="1"/>
  <c r="BP241" i="1"/>
  <c r="BN241" i="1"/>
  <c r="Z241" i="1"/>
  <c r="BP257" i="1"/>
  <c r="BN257" i="1"/>
  <c r="Z257" i="1"/>
  <c r="BP266" i="1"/>
  <c r="BN266" i="1"/>
  <c r="Z266" i="1"/>
  <c r="Z268" i="1" s="1"/>
  <c r="BP275" i="1"/>
  <c r="BN275" i="1"/>
  <c r="Z275" i="1"/>
  <c r="Y277" i="1"/>
  <c r="O505" i="1"/>
  <c r="Y283" i="1"/>
  <c r="BP280" i="1"/>
  <c r="BN280" i="1"/>
  <c r="Z280" i="1"/>
  <c r="Z283" i="1" s="1"/>
  <c r="BP293" i="1"/>
  <c r="BN293" i="1"/>
  <c r="Z293" i="1"/>
  <c r="Z294" i="1" s="1"/>
  <c r="Y295" i="1"/>
  <c r="Q505" i="1"/>
  <c r="Y303" i="1"/>
  <c r="BP298" i="1"/>
  <c r="BN298" i="1"/>
  <c r="Z298" i="1"/>
  <c r="Z303" i="1" s="1"/>
  <c r="BP302" i="1"/>
  <c r="BN302" i="1"/>
  <c r="Z302" i="1"/>
  <c r="Y304" i="1"/>
  <c r="Y313" i="1"/>
  <c r="BP306" i="1"/>
  <c r="BN306" i="1"/>
  <c r="Z306" i="1"/>
  <c r="Z312" i="1" s="1"/>
  <c r="BP310" i="1"/>
  <c r="BN310" i="1"/>
  <c r="Z310" i="1"/>
  <c r="BP318" i="1"/>
  <c r="BN318" i="1"/>
  <c r="Z318" i="1"/>
  <c r="Y320" i="1"/>
  <c r="Y325" i="1"/>
  <c r="BP322" i="1"/>
  <c r="BN322" i="1"/>
  <c r="Z322" i="1"/>
  <c r="Z325" i="1" s="1"/>
  <c r="BP330" i="1"/>
  <c r="BN330" i="1"/>
  <c r="Z330" i="1"/>
  <c r="BP343" i="1"/>
  <c r="BN343" i="1"/>
  <c r="Z343" i="1"/>
  <c r="Z345" i="1" s="1"/>
  <c r="BP353" i="1"/>
  <c r="BN353" i="1"/>
  <c r="Z353" i="1"/>
  <c r="Z357" i="1" s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Z447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441" i="1" l="1"/>
  <c r="Z469" i="1"/>
  <c r="Z402" i="1"/>
  <c r="Z332" i="1"/>
  <c r="Z181" i="1"/>
  <c r="Z96" i="1"/>
  <c r="Z89" i="1"/>
  <c r="Z76" i="1"/>
  <c r="Z32" i="1"/>
  <c r="Z500" i="1" s="1"/>
  <c r="X498" i="1"/>
  <c r="Z225" i="1"/>
  <c r="Z319" i="1"/>
  <c r="Z276" i="1"/>
  <c r="Z213" i="1"/>
  <c r="Z187" i="1"/>
  <c r="Z154" i="1"/>
  <c r="Y499" i="1"/>
</calcChain>
</file>

<file path=xl/sharedStrings.xml><?xml version="1.0" encoding="utf-8"?>
<sst xmlns="http://schemas.openxmlformats.org/spreadsheetml/2006/main" count="2294" uniqueCount="781">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</sst>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82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777.6</v>
      </c>
      <c r="Y41" s="554">
        <f>IFERROR(IF(X41="",0,CEILING((X41/$H41),1)*$H41),"")</f>
        <v>777.6</v>
      </c>
      <c r="Z41" s="36">
        <f>IFERROR(IF(Y41=0,"",ROUNDUP(Y41/H41,0)*0.01898),"")</f>
        <v>1.36656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807.12</v>
      </c>
      <c r="BN41" s="64">
        <f>IFERROR(Y41*I41/H41,"0")</f>
        <v>807.12</v>
      </c>
      <c r="BO41" s="64">
        <f>IFERROR(1/J41*(X41/H41),"0")</f>
        <v>1.125</v>
      </c>
      <c r="BP41" s="64">
        <f>IFERROR(1/J41*(Y41/H41),"0")</f>
        <v>1.125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72</v>
      </c>
      <c r="Y44" s="555">
        <f>IFERROR(Y41/H41,"0")+IFERROR(Y42/H42,"0")+IFERROR(Y43/H43,"0")</f>
        <v>72</v>
      </c>
      <c r="Z44" s="555">
        <f>IFERROR(IF(Z41="",0,Z41),"0")+IFERROR(IF(Z42="",0,Z42),"0")+IFERROR(IF(Z43="",0,Z43),"0")</f>
        <v>1.36656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777.6</v>
      </c>
      <c r="Y45" s="555">
        <f>IFERROR(SUM(Y41:Y43),"0")</f>
        <v>777.6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179.2</v>
      </c>
      <c r="Y52" s="554">
        <f t="shared" ref="Y52:Y57" si="0">IFERROR(IF(X52="",0,CEILING((X52/$H52),1)*$H52),"")</f>
        <v>179.2</v>
      </c>
      <c r="Z52" s="36">
        <f>IFERROR(IF(Y52=0,"",ROUNDUP(Y52/H52,0)*0.01898),"")</f>
        <v>0.30368000000000001</v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185.76</v>
      </c>
      <c r="BN52" s="64">
        <f t="shared" ref="BN52:BN57" si="2">IFERROR(Y52*I52/H52,"0")</f>
        <v>185.76</v>
      </c>
      <c r="BO52" s="64">
        <f t="shared" ref="BO52:BO57" si="3">IFERROR(1/J52*(X52/H52),"0")</f>
        <v>0.25</v>
      </c>
      <c r="BP52" s="64">
        <f t="shared" ref="BP52:BP57" si="4">IFERROR(1/J52*(Y52/H52),"0")</f>
        <v>0.25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259.2</v>
      </c>
      <c r="Y53" s="554">
        <f t="shared" si="0"/>
        <v>259.20000000000005</v>
      </c>
      <c r="Z53" s="36">
        <f>IFERROR(IF(Y53=0,"",ROUNDUP(Y53/H53,0)*0.01898),"")</f>
        <v>0.45552000000000004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269.03999999999996</v>
      </c>
      <c r="BN53" s="64">
        <f t="shared" si="2"/>
        <v>269.04000000000002</v>
      </c>
      <c r="BO53" s="64">
        <f t="shared" si="3"/>
        <v>0.37499999999999994</v>
      </c>
      <c r="BP53" s="64">
        <f t="shared" si="4"/>
        <v>0.37500000000000006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40</v>
      </c>
      <c r="Y58" s="555">
        <f>IFERROR(Y52/H52,"0")+IFERROR(Y53/H53,"0")+IFERROR(Y54/H54,"0")+IFERROR(Y55/H55,"0")+IFERROR(Y56/H56,"0")+IFERROR(Y57/H57,"0")</f>
        <v>40</v>
      </c>
      <c r="Z58" s="555">
        <f>IFERROR(IF(Z52="",0,Z52),"0")+IFERROR(IF(Z53="",0,Z53),"0")+IFERROR(IF(Z54="",0,Z54),"0")+IFERROR(IF(Z55="",0,Z55),"0")+IFERROR(IF(Z56="",0,Z56),"0")+IFERROR(IF(Z57="",0,Z57),"0")</f>
        <v>0.7592000000000001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438.4</v>
      </c>
      <c r="Y59" s="555">
        <f>IFERROR(SUM(Y52:Y57),"0")</f>
        <v>438.40000000000003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259.2</v>
      </c>
      <c r="Y61" s="554">
        <f>IFERROR(IF(X61="",0,CEILING((X61/$H61),1)*$H61),"")</f>
        <v>259.20000000000005</v>
      </c>
      <c r="Z61" s="36">
        <f>IFERROR(IF(Y61=0,"",ROUNDUP(Y61/H61,0)*0.01898),"")</f>
        <v>0.45552000000000004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269.03999999999996</v>
      </c>
      <c r="BN61" s="64">
        <f>IFERROR(Y61*I61/H61,"0")</f>
        <v>269.04000000000002</v>
      </c>
      <c r="BO61" s="64">
        <f>IFERROR(1/J61*(X61/H61),"0")</f>
        <v>0.37499999999999994</v>
      </c>
      <c r="BP61" s="64">
        <f>IFERROR(1/J61*(Y61/H61),"0")</f>
        <v>0.37500000000000006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23.999999999999996</v>
      </c>
      <c r="Y64" s="555">
        <f>IFERROR(Y61/H61,"0")+IFERROR(Y62/H62,"0")+IFERROR(Y63/H63,"0")</f>
        <v>24.000000000000004</v>
      </c>
      <c r="Z64" s="555">
        <f>IFERROR(IF(Z61="",0,Z61),"0")+IFERROR(IF(Z62="",0,Z62),"0")+IFERROR(IF(Z63="",0,Z63),"0")</f>
        <v>0.45552000000000004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259.2</v>
      </c>
      <c r="Y65" s="555">
        <f>IFERROR(SUM(Y61:Y63),"0")</f>
        <v>259.20000000000005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62.4</v>
      </c>
      <c r="Y79" s="554">
        <f>IFERROR(IF(X79="",0,CEILING((X79/$H79),1)*$H79),"")</f>
        <v>62.4</v>
      </c>
      <c r="Z79" s="36">
        <f>IFERROR(IF(Y79=0,"",ROUNDUP(Y79/H79,0)*0.01898),"")</f>
        <v>0.15184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65.680000000000007</v>
      </c>
      <c r="BN79" s="64">
        <f>IFERROR(Y79*I79/H79,"0")</f>
        <v>65.680000000000007</v>
      </c>
      <c r="BO79" s="64">
        <f>IFERROR(1/J79*(X79/H79),"0")</f>
        <v>0.125</v>
      </c>
      <c r="BP79" s="64">
        <f>IFERROR(1/J79*(Y79/H79),"0")</f>
        <v>0.125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8</v>
      </c>
      <c r="Y81" s="555">
        <f>IFERROR(Y79/H79,"0")+IFERROR(Y80/H80,"0")</f>
        <v>8</v>
      </c>
      <c r="Z81" s="555">
        <f>IFERROR(IF(Z79="",0,Z79),"0")+IFERROR(IF(Z80="",0,Z80),"0")</f>
        <v>0.15184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62.4</v>
      </c>
      <c r="Y82" s="555">
        <f>IFERROR(SUM(Y79:Y80),"0")</f>
        <v>62.4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172.8</v>
      </c>
      <c r="Y85" s="554">
        <f>IFERROR(IF(X85="",0,CEILING((X85/$H85),1)*$H85),"")</f>
        <v>172.8</v>
      </c>
      <c r="Z85" s="36">
        <f>IFERROR(IF(Y85=0,"",ROUNDUP(Y85/H85,0)*0.01898),"")</f>
        <v>0.30368000000000001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179.36</v>
      </c>
      <c r="BN85" s="64">
        <f>IFERROR(Y85*I85/H85,"0")</f>
        <v>179.36</v>
      </c>
      <c r="BO85" s="64">
        <f>IFERROR(1/J85*(X85/H85),"0")</f>
        <v>0.25</v>
      </c>
      <c r="BP85" s="64">
        <f>IFERROR(1/J85*(Y85/H85),"0")</f>
        <v>0.25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16</v>
      </c>
      <c r="Y89" s="555">
        <f>IFERROR(Y85/H85,"0")+IFERROR(Y86/H86,"0")+IFERROR(Y87/H87,"0")+IFERROR(Y88/H88,"0")</f>
        <v>16</v>
      </c>
      <c r="Z89" s="555">
        <f>IFERROR(IF(Z85="",0,Z85),"0")+IFERROR(IF(Z86="",0,Z86),"0")+IFERROR(IF(Z87="",0,Z87),"0")+IFERROR(IF(Z88="",0,Z88),"0")</f>
        <v>0.30368000000000001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172.8</v>
      </c>
      <c r="Y90" s="555">
        <f>IFERROR(SUM(Y85:Y88),"0")</f>
        <v>172.8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129.6</v>
      </c>
      <c r="Y92" s="554">
        <f>IFERROR(IF(X92="",0,CEILING((X92/$H92),1)*$H92),"")</f>
        <v>129.6</v>
      </c>
      <c r="Z92" s="36">
        <f>IFERROR(IF(Y92=0,"",ROUNDUP(Y92/H92,0)*0.01898),"")</f>
        <v>0.30368000000000001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137.50399999999999</v>
      </c>
      <c r="BN92" s="64">
        <f>IFERROR(Y92*I92/H92,"0")</f>
        <v>137.50399999999999</v>
      </c>
      <c r="BO92" s="64">
        <f>IFERROR(1/J92*(X92/H92),"0")</f>
        <v>0.25</v>
      </c>
      <c r="BP92" s="64">
        <f>IFERROR(1/J92*(Y92/H92),"0")</f>
        <v>0.25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16</v>
      </c>
      <c r="Y96" s="555">
        <f>IFERROR(Y92/H92,"0")+IFERROR(Y93/H93,"0")+IFERROR(Y94/H94,"0")+IFERROR(Y95/H95,"0")</f>
        <v>16</v>
      </c>
      <c r="Z96" s="555">
        <f>IFERROR(IF(Z92="",0,Z92),"0")+IFERROR(IF(Z93="",0,Z93),"0")+IFERROR(IF(Z94="",0,Z94),"0")+IFERROR(IF(Z95="",0,Z95),"0")</f>
        <v>0.30368000000000001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129.6</v>
      </c>
      <c r="Y97" s="555">
        <f>IFERROR(SUM(Y92:Y95),"0")</f>
        <v>129.6</v>
      </c>
      <c r="Z97" s="37"/>
      <c r="AA97" s="556"/>
      <c r="AB97" s="556"/>
      <c r="AC97" s="556"/>
    </row>
    <row r="98" spans="1:68" ht="16.5" customHeight="1" x14ac:dyDescent="0.25">
      <c r="A98" s="567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691.2</v>
      </c>
      <c r="Y100" s="554">
        <f>IFERROR(IF(X100="",0,CEILING((X100/$H100),1)*$H100),"")</f>
        <v>691.2</v>
      </c>
      <c r="Z100" s="36">
        <f>IFERROR(IF(Y100=0,"",ROUNDUP(Y100/H100,0)*0.01898),"")</f>
        <v>1.21472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717.44</v>
      </c>
      <c r="BN100" s="64">
        <f>IFERROR(Y100*I100/H100,"0")</f>
        <v>717.44</v>
      </c>
      <c r="BO100" s="64">
        <f>IFERROR(1/J100*(X100/H100),"0")</f>
        <v>1</v>
      </c>
      <c r="BP100" s="64">
        <f>IFERROR(1/J100*(Y100/H100),"0")</f>
        <v>1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64</v>
      </c>
      <c r="Y105" s="555">
        <f>IFERROR(Y100/H100,"0")+IFERROR(Y101/H101,"0")+IFERROR(Y102/H102,"0")+IFERROR(Y103/H103,"0")+IFERROR(Y104/H104,"0")</f>
        <v>64</v>
      </c>
      <c r="Z105" s="555">
        <f>IFERROR(IF(Z100="",0,Z100),"0")+IFERROR(IF(Z101="",0,Z101),"0")+IFERROR(IF(Z102="",0,Z102),"0")+IFERROR(IF(Z103="",0,Z103),"0")+IFERROR(IF(Z104="",0,Z104),"0")</f>
        <v>1.21472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691.2</v>
      </c>
      <c r="Y106" s="555">
        <f>IFERROR(SUM(Y100:Y104),"0")</f>
        <v>691.2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215</v>
      </c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129.6</v>
      </c>
      <c r="Y115" s="554">
        <f>IFERROR(IF(X115="",0,CEILING((X115/$H115),1)*$H115),"")</f>
        <v>129.6</v>
      </c>
      <c r="Z115" s="36">
        <f>IFERROR(IF(Y115=0,"",ROUNDUP(Y115/H115,0)*0.01898),"")</f>
        <v>0.30368000000000001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137.40799999999999</v>
      </c>
      <c r="BN115" s="64">
        <f>IFERROR(Y115*I115/H115,"0")</f>
        <v>137.40799999999999</v>
      </c>
      <c r="BO115" s="64">
        <f>IFERROR(1/J115*(X115/H115),"0")</f>
        <v>0.25</v>
      </c>
      <c r="BP115" s="64">
        <f>IFERROR(1/J115*(Y115/H115),"0")</f>
        <v>0.25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215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32.4</v>
      </c>
      <c r="Y117" s="554">
        <f>IFERROR(IF(X117="",0,CEILING((X117/$H117),1)*$H117),"")</f>
        <v>32.400000000000006</v>
      </c>
      <c r="Z117" s="36">
        <f>IFERROR(IF(Y117=0,"",ROUNDUP(Y117/H117,0)*0.00651),"")</f>
        <v>7.8119999999999995E-2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35.423999999999992</v>
      </c>
      <c r="BN117" s="64">
        <f>IFERROR(Y117*I117/H117,"0")</f>
        <v>35.424000000000007</v>
      </c>
      <c r="BO117" s="64">
        <f>IFERROR(1/J117*(X117/H117),"0")</f>
        <v>6.5934065934065936E-2</v>
      </c>
      <c r="BP117" s="64">
        <f>IFERROR(1/J117*(Y117/H117),"0")</f>
        <v>6.593406593406595E-2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28</v>
      </c>
      <c r="Y119" s="555">
        <f>IFERROR(Y115/H115,"0")+IFERROR(Y116/H116,"0")+IFERROR(Y117/H117,"0")+IFERROR(Y118/H118,"0")</f>
        <v>28</v>
      </c>
      <c r="Z119" s="555">
        <f>IFERROR(IF(Z115="",0,Z115),"0")+IFERROR(IF(Z116="",0,Z116),"0")+IFERROR(IF(Z117="",0,Z117),"0")+IFERROR(IF(Z118="",0,Z118),"0")</f>
        <v>0.38180000000000003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162</v>
      </c>
      <c r="Y120" s="555">
        <f>IFERROR(SUM(Y115:Y118),"0")</f>
        <v>162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215</v>
      </c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129.6</v>
      </c>
      <c r="Y205" s="554">
        <f t="shared" ref="Y205:Y212" si="15">IFERROR(IF(X205="",0,CEILING((X205/$H205),1)*$H205),"")</f>
        <v>129.60000000000002</v>
      </c>
      <c r="Z205" s="36">
        <f>IFERROR(IF(Y205=0,"",ROUNDUP(Y205/H205,0)*0.00902),"")</f>
        <v>0.21648000000000001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134.15999999999997</v>
      </c>
      <c r="BN205" s="64">
        <f t="shared" ref="BN205:BN212" si="17">IFERROR(Y205*I205/H205,"0")</f>
        <v>134.16</v>
      </c>
      <c r="BO205" s="64">
        <f t="shared" ref="BO205:BO212" si="18">IFERROR(1/J205*(X205/H205),"0")</f>
        <v>0.1818181818181818</v>
      </c>
      <c r="BP205" s="64">
        <f t="shared" ref="BP205:BP212" si="19">IFERROR(1/J205*(Y205/H205),"0")</f>
        <v>0.18181818181818185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64.8</v>
      </c>
      <c r="Y207" s="554">
        <f t="shared" si="15"/>
        <v>64.800000000000011</v>
      </c>
      <c r="Z207" s="36">
        <f>IFERROR(IF(Y207=0,"",ROUNDUP(Y207/H207,0)*0.00902),"")</f>
        <v>0.10824</v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67.079999999999984</v>
      </c>
      <c r="BN207" s="64">
        <f t="shared" si="17"/>
        <v>67.08</v>
      </c>
      <c r="BO207" s="64">
        <f t="shared" si="18"/>
        <v>9.0909090909090898E-2</v>
      </c>
      <c r="BP207" s="64">
        <f t="shared" si="19"/>
        <v>9.0909090909090925E-2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64.8</v>
      </c>
      <c r="Y208" s="554">
        <f t="shared" si="15"/>
        <v>64.800000000000011</v>
      </c>
      <c r="Z208" s="36">
        <f>IFERROR(IF(Y208=0,"",ROUNDUP(Y208/H208,0)*0.00902),"")</f>
        <v>0.10824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67.079999999999984</v>
      </c>
      <c r="BN208" s="64">
        <f t="shared" si="17"/>
        <v>67.08</v>
      </c>
      <c r="BO208" s="64">
        <f t="shared" si="18"/>
        <v>9.0909090909090898E-2</v>
      </c>
      <c r="BP208" s="64">
        <f t="shared" si="19"/>
        <v>9.0909090909090925E-2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47.999999999999993</v>
      </c>
      <c r="Y213" s="555">
        <f>IFERROR(Y205/H205,"0")+IFERROR(Y206/H206,"0")+IFERROR(Y207/H207,"0")+IFERROR(Y208/H208,"0")+IFERROR(Y209/H209,"0")+IFERROR(Y210/H210,"0")+IFERROR(Y211/H211,"0")+IFERROR(Y212/H212,"0")</f>
        <v>48.000000000000007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0.43296000000000001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259.2</v>
      </c>
      <c r="Y214" s="555">
        <f>IFERROR(SUM(Y205:Y212),"0")</f>
        <v>259.20000000000005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278.39999999999998</v>
      </c>
      <c r="Y218" s="554">
        <f t="shared" si="20"/>
        <v>278.39999999999998</v>
      </c>
      <c r="Z218" s="36">
        <f>IFERROR(IF(Y218=0,"",ROUNDUP(Y218/H218,0)*0.01898),"")</f>
        <v>0.60736000000000001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294.20800000000003</v>
      </c>
      <c r="BN218" s="64">
        <f t="shared" si="22"/>
        <v>294.20800000000003</v>
      </c>
      <c r="BO218" s="64">
        <f t="shared" si="23"/>
        <v>0.5</v>
      </c>
      <c r="BP218" s="64">
        <f t="shared" si="24"/>
        <v>0.5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215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28.8</v>
      </c>
      <c r="Y219" s="554">
        <f t="shared" si="20"/>
        <v>28.799999999999997</v>
      </c>
      <c r="Z219" s="36">
        <f t="shared" ref="Z219:Z224" si="25">IFERROR(IF(Y219=0,"",ROUNDUP(Y219/H219,0)*0.00651),"")</f>
        <v>7.8119999999999995E-2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32.04</v>
      </c>
      <c r="BN219" s="64">
        <f t="shared" si="22"/>
        <v>32.039999999999992</v>
      </c>
      <c r="BO219" s="64">
        <f t="shared" si="23"/>
        <v>6.5934065934065936E-2</v>
      </c>
      <c r="BP219" s="64">
        <f t="shared" si="24"/>
        <v>6.5934065934065936E-2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215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215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215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215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44</v>
      </c>
      <c r="Y225" s="555">
        <f>IFERROR(Y216/H216,"0")+IFERROR(Y217/H217,"0")+IFERROR(Y218/H218,"0")+IFERROR(Y219/H219,"0")+IFERROR(Y220/H220,"0")+IFERROR(Y221/H221,"0")+IFERROR(Y222/H222,"0")+IFERROR(Y223/H223,"0")+IFERROR(Y224/H224,"0")</f>
        <v>44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0.68547999999999998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307.2</v>
      </c>
      <c r="Y226" s="555">
        <f>IFERROR(SUM(Y216:Y224),"0")</f>
        <v>307.2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215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215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57.6</v>
      </c>
      <c r="Y281" s="554">
        <f>IFERROR(IF(X281="",0,CEILING((X281/$H281),1)*$H281),"")</f>
        <v>57.599999999999994</v>
      </c>
      <c r="Z281" s="36">
        <f>IFERROR(IF(Y281=0,"",ROUNDUP(Y281/H281,0)*0.00651),"")</f>
        <v>0.15623999999999999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63.648000000000003</v>
      </c>
      <c r="BN281" s="64">
        <f>IFERROR(Y281*I281/H281,"0")</f>
        <v>63.648000000000003</v>
      </c>
      <c r="BO281" s="64">
        <f>IFERROR(1/J281*(X281/H281),"0")</f>
        <v>0.13186813186813187</v>
      </c>
      <c r="BP281" s="64">
        <f>IFERROR(1/J281*(Y281/H281),"0")</f>
        <v>0.13186813186813187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215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24</v>
      </c>
      <c r="Y283" s="555">
        <f>IFERROR(Y280/H280,"0")+IFERROR(Y281/H281,"0")+IFERROR(Y282/H282,"0")</f>
        <v>24</v>
      </c>
      <c r="Z283" s="555">
        <f>IFERROR(IF(Z280="",0,Z280),"0")+IFERROR(IF(Z281="",0,Z281),"0")+IFERROR(IF(Z282="",0,Z282),"0")</f>
        <v>0.15623999999999999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57.6</v>
      </c>
      <c r="Y284" s="555">
        <f>IFERROR(SUM(Y280:Y282),"0")</f>
        <v>57.599999999999994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62.4</v>
      </c>
      <c r="Y323" s="554">
        <f>IFERROR(IF(X323="",0,CEILING((X323/$H323),1)*$H323),"")</f>
        <v>62.4</v>
      </c>
      <c r="Z323" s="36">
        <f>IFERROR(IF(Y323=0,"",ROUNDUP(Y323/H323,0)*0.01898),"")</f>
        <v>0.15184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66.352000000000004</v>
      </c>
      <c r="BN323" s="64">
        <f>IFERROR(Y323*I323/H323,"0")</f>
        <v>66.352000000000004</v>
      </c>
      <c r="BO323" s="64">
        <f>IFERROR(1/J323*(X323/H323),"0")</f>
        <v>0.125</v>
      </c>
      <c r="BP323" s="64">
        <f>IFERROR(1/J323*(Y323/H323),"0")</f>
        <v>0.125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67.2</v>
      </c>
      <c r="Y324" s="554">
        <f>IFERROR(IF(X324="",0,CEILING((X324/$H324),1)*$H324),"")</f>
        <v>67.2</v>
      </c>
      <c r="Z324" s="36">
        <f>IFERROR(IF(Y324=0,"",ROUNDUP(Y324/H324,0)*0.01898),"")</f>
        <v>0.15184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71.152000000000001</v>
      </c>
      <c r="BN324" s="64">
        <f>IFERROR(Y324*I324/H324,"0")</f>
        <v>71.152000000000001</v>
      </c>
      <c r="BO324" s="64">
        <f>IFERROR(1/J324*(X324/H324),"0")</f>
        <v>0.125</v>
      </c>
      <c r="BP324" s="64">
        <f>IFERROR(1/J324*(Y324/H324),"0")</f>
        <v>0.125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16</v>
      </c>
      <c r="Y325" s="555">
        <f>IFERROR(Y322/H322,"0")+IFERROR(Y323/H323,"0")+IFERROR(Y324/H324,"0")</f>
        <v>16</v>
      </c>
      <c r="Z325" s="555">
        <f>IFERROR(IF(Z322="",0,Z322),"0")+IFERROR(IF(Z323="",0,Z323),"0")+IFERROR(IF(Z324="",0,Z324),"0")</f>
        <v>0.30368000000000001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129.6</v>
      </c>
      <c r="Y326" s="555">
        <f>IFERROR(SUM(Y322:Y324),"0")</f>
        <v>129.6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215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480</v>
      </c>
      <c r="Y350" s="554">
        <f t="shared" ref="Y350:Y356" si="36">IFERROR(IF(X350="",0,CEILING((X350/$H350),1)*$H350),"")</f>
        <v>480</v>
      </c>
      <c r="Z350" s="36">
        <f>IFERROR(IF(Y350=0,"",ROUNDUP(Y350/H350,0)*0.02175),"")</f>
        <v>0.69599999999999995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495.04</v>
      </c>
      <c r="BN350" s="64">
        <f t="shared" ref="BN350:BN356" si="38">IFERROR(Y350*I350/H350,"0")</f>
        <v>495.04</v>
      </c>
      <c r="BO350" s="64">
        <f t="shared" ref="BO350:BO356" si="39">IFERROR(1/J350*(X350/H350),"0")</f>
        <v>0.66666666666666663</v>
      </c>
      <c r="BP350" s="64">
        <f t="shared" ref="BP350:BP356" si="40">IFERROR(1/J350*(Y350/H350),"0")</f>
        <v>0.66666666666666663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135</v>
      </c>
      <c r="Y352" s="554">
        <f t="shared" si="36"/>
        <v>135</v>
      </c>
      <c r="Z352" s="36">
        <f>IFERROR(IF(Y352=0,"",ROUNDUP(Y352/H352,0)*0.02175),"")</f>
        <v>0.19574999999999998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139.23000000000002</v>
      </c>
      <c r="BN352" s="64">
        <f t="shared" si="38"/>
        <v>139.23000000000002</v>
      </c>
      <c r="BO352" s="64">
        <f t="shared" si="39"/>
        <v>0.1875</v>
      </c>
      <c r="BP352" s="64">
        <f t="shared" si="40"/>
        <v>0.1875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41</v>
      </c>
      <c r="Y357" s="555">
        <f>IFERROR(Y350/H350,"0")+IFERROR(Y351/H351,"0")+IFERROR(Y352/H352,"0")+IFERROR(Y353/H353,"0")+IFERROR(Y354/H354,"0")+IFERROR(Y355/H355,"0")+IFERROR(Y356/H356,"0")</f>
        <v>41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0.89174999999999993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615</v>
      </c>
      <c r="Y358" s="555">
        <f>IFERROR(SUM(Y350:Y356),"0")</f>
        <v>615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240</v>
      </c>
      <c r="Y360" s="554">
        <f>IFERROR(IF(X360="",0,CEILING((X360/$H360),1)*$H360),"")</f>
        <v>240</v>
      </c>
      <c r="Z360" s="36">
        <f>IFERROR(IF(Y360=0,"",ROUNDUP(Y360/H360,0)*0.02175),"")</f>
        <v>0.34799999999999998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247.52</v>
      </c>
      <c r="BN360" s="64">
        <f>IFERROR(Y360*I360/H360,"0")</f>
        <v>247.52</v>
      </c>
      <c r="BO360" s="64">
        <f>IFERROR(1/J360*(X360/H360),"0")</f>
        <v>0.33333333333333331</v>
      </c>
      <c r="BP360" s="64">
        <f>IFERROR(1/J360*(Y360/H360),"0")</f>
        <v>0.33333333333333331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16</v>
      </c>
      <c r="Y362" s="555">
        <f>IFERROR(Y360/H360,"0")+IFERROR(Y361/H361,"0")</f>
        <v>16</v>
      </c>
      <c r="Z362" s="555">
        <f>IFERROR(IF(Z360="",0,Z360),"0")+IFERROR(IF(Z361="",0,Z361),"0")</f>
        <v>0.34799999999999998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240</v>
      </c>
      <c r="Y363" s="555">
        <f>IFERROR(SUM(Y360:Y361),"0")</f>
        <v>240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72</v>
      </c>
      <c r="Y370" s="554">
        <f>IFERROR(IF(X370="",0,CEILING((X370/$H370),1)*$H370),"")</f>
        <v>72</v>
      </c>
      <c r="Z370" s="36">
        <f>IFERROR(IF(Y370=0,"",ROUNDUP(Y370/H370,0)*0.01898),"")</f>
        <v>0.15184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75.951999999999998</v>
      </c>
      <c r="BN370" s="64">
        <f>IFERROR(Y370*I370/H370,"0")</f>
        <v>75.951999999999998</v>
      </c>
      <c r="BO370" s="64">
        <f>IFERROR(1/J370*(X370/H370),"0")</f>
        <v>0.125</v>
      </c>
      <c r="BP370" s="64">
        <f>IFERROR(1/J370*(Y370/H370),"0")</f>
        <v>0.125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8</v>
      </c>
      <c r="Y371" s="555">
        <f>IFERROR(Y370/H370,"0")</f>
        <v>8</v>
      </c>
      <c r="Z371" s="555">
        <f>IFERROR(IF(Z370="",0,Z370),"0")</f>
        <v>0.15184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72</v>
      </c>
      <c r="Y372" s="555">
        <f>IFERROR(SUM(Y370:Y370),"0")</f>
        <v>72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216</v>
      </c>
      <c r="Y385" s="554">
        <f>IFERROR(IF(X385="",0,CEILING((X385/$H385),1)*$H385),"")</f>
        <v>216</v>
      </c>
      <c r="Z385" s="36">
        <f>IFERROR(IF(Y385=0,"",ROUNDUP(Y385/H385,0)*0.01898),"")</f>
        <v>0.45552000000000004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227.85599999999997</v>
      </c>
      <c r="BN385" s="64">
        <f>IFERROR(Y385*I385/H385,"0")</f>
        <v>227.85599999999997</v>
      </c>
      <c r="BO385" s="64">
        <f>IFERROR(1/J385*(X385/H385),"0")</f>
        <v>0.375</v>
      </c>
      <c r="BP385" s="64">
        <f>IFERROR(1/J385*(Y385/H385),"0")</f>
        <v>0.375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215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28.8</v>
      </c>
      <c r="Y386" s="554">
        <f>IFERROR(IF(X386="",0,CEILING((X386/$H386),1)*$H386),"")</f>
        <v>28.799999999999997</v>
      </c>
      <c r="Z386" s="36">
        <f>IFERROR(IF(Y386=0,"",ROUNDUP(Y386/H386,0)*0.00651),"")</f>
        <v>7.8119999999999995E-2</v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31.968000000000004</v>
      </c>
      <c r="BN386" s="64">
        <f>IFERROR(Y386*I386/H386,"0")</f>
        <v>31.967999999999996</v>
      </c>
      <c r="BO386" s="64">
        <f>IFERROR(1/J386*(X386/H386),"0")</f>
        <v>6.5934065934065936E-2</v>
      </c>
      <c r="BP386" s="64">
        <f>IFERROR(1/J386*(Y386/H386),"0")</f>
        <v>6.5934065934065936E-2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36</v>
      </c>
      <c r="Y388" s="555">
        <f>IFERROR(Y385/H385,"0")+IFERROR(Y386/H386,"0")+IFERROR(Y387/H387,"0")</f>
        <v>36</v>
      </c>
      <c r="Z388" s="555">
        <f>IFERROR(IF(Z385="",0,Z385),"0")+IFERROR(IF(Z386="",0,Z386),"0")+IFERROR(IF(Z387="",0,Z387),"0")</f>
        <v>0.53364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244.8</v>
      </c>
      <c r="Y389" s="555">
        <f>IFERROR(SUM(Y385:Y387),"0")</f>
        <v>244.8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168.96</v>
      </c>
      <c r="Y433" s="554">
        <f t="shared" si="47"/>
        <v>168.96</v>
      </c>
      <c r="Z433" s="36">
        <f t="shared" si="48"/>
        <v>0.38272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180.16</v>
      </c>
      <c r="BN433" s="64">
        <f t="shared" si="50"/>
        <v>180.16</v>
      </c>
      <c r="BO433" s="64">
        <f t="shared" si="51"/>
        <v>0.30769230769230771</v>
      </c>
      <c r="BP433" s="64">
        <f t="shared" si="52"/>
        <v>0.30769230769230771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295.68</v>
      </c>
      <c r="Y435" s="554">
        <f t="shared" si="47"/>
        <v>295.68</v>
      </c>
      <c r="Z435" s="36">
        <f t="shared" si="48"/>
        <v>0.66976000000000002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315.27999999999997</v>
      </c>
      <c r="BN435" s="64">
        <f t="shared" si="50"/>
        <v>315.27999999999997</v>
      </c>
      <c r="BO435" s="64">
        <f t="shared" si="51"/>
        <v>0.53846153846153855</v>
      </c>
      <c r="BP435" s="64">
        <f t="shared" si="52"/>
        <v>0.53846153846153855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88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88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1.0524800000000001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464.64</v>
      </c>
      <c r="Y442" s="555">
        <f>IFERROR(SUM(Y429:Y440),"0")</f>
        <v>464.64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84.48</v>
      </c>
      <c r="Y450" s="554">
        <f t="shared" ref="Y450:Y455" si="53">IFERROR(IF(X450="",0,CEILING((X450/$H450),1)*$H450),"")</f>
        <v>84.48</v>
      </c>
      <c r="Z450" s="36">
        <f>IFERROR(IF(Y450=0,"",ROUNDUP(Y450/H450,0)*0.01196),"")</f>
        <v>0.19136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90.08</v>
      </c>
      <c r="BN450" s="64">
        <f t="shared" ref="BN450:BN455" si="55">IFERROR(Y450*I450/H450,"0")</f>
        <v>90.08</v>
      </c>
      <c r="BO450" s="64">
        <f t="shared" ref="BO450:BO455" si="56">IFERROR(1/J450*(X450/H450),"0")</f>
        <v>0.15384615384615385</v>
      </c>
      <c r="BP450" s="64">
        <f t="shared" ref="BP450:BP455" si="57">IFERROR(1/J450*(Y450/H450),"0")</f>
        <v>0.15384615384615385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16</v>
      </c>
      <c r="Y456" s="555">
        <f>IFERROR(Y450/H450,"0")+IFERROR(Y451/H451,"0")+IFERROR(Y452/H452,"0")+IFERROR(Y453/H453,"0")+IFERROR(Y454/H454,"0")+IFERROR(Y455/H455,"0")</f>
        <v>16</v>
      </c>
      <c r="Z456" s="555">
        <f>IFERROR(IF(Z450="",0,Z450),"0")+IFERROR(IF(Z451="",0,Z451),"0")+IFERROR(IF(Z452="",0,Z452),"0")+IFERROR(IF(Z453="",0,Z453),"0")+IFERROR(IF(Z454="",0,Z454),"0")+IFERROR(IF(Z455="",0,Z455),"0")</f>
        <v>0.19136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84.48</v>
      </c>
      <c r="Y457" s="555">
        <f>IFERROR(SUM(Y450:Y455),"0")</f>
        <v>84.48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5167.7199999999993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5167.7199999999993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5402.5819999999994</v>
      </c>
      <c r="Y496" s="555">
        <f>IFERROR(SUM(BN22:BN492),"0")</f>
        <v>5402.5819999999994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9</v>
      </c>
      <c r="Y497" s="38">
        <f>ROUNDUP(SUM(BP22:BP492),0)</f>
        <v>9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5627.5819999999994</v>
      </c>
      <c r="Y498" s="555">
        <f>GrossWeightTotalR+PalletQtyTotalR*25</f>
        <v>5627.5819999999994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605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605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9.684429999999999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191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777.6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760.00000000000011</v>
      </c>
      <c r="E505" s="46">
        <f>IFERROR(Y85*1,"0")+IFERROR(Y86*1,"0")+IFERROR(Y87*1,"0")+IFERROR(Y88*1,"0")+IFERROR(Y92*1,"0")+IFERROR(Y93*1,"0")+IFERROR(Y94*1,"0")+IFERROR(Y95*1,"0")</f>
        <v>302.39999999999998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853.2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566.4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57.599999999999994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129.6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927</v>
      </c>
      <c r="T505" s="46">
        <f>IFERROR(Y375*1,"0")+IFERROR(Y376*1,"0")+IFERROR(Y380*1,"0")+IFERROR(Y381*1,"0")+IFERROR(Y385*1,"0")+IFERROR(Y386*1,"0")+IFERROR(Y387*1,"0")</f>
        <v>244.8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549.12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PwOhk/+FNPKfjTxHeZTLtqLrm2FNjzrfHgo7fe5nb4UELP1K1uC6pDCiAtCL/lyBfNElLyQ2jEHWzjEkEKLUvg==" saltValue="Vw3zTUMxv86UlgwWDyTqL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2:X53 X55 X61 X72 X79 X85 X88 X92 X100 X103 X108 X111 X115 X117 X169 X171 X173 X176 X178 X201 X205:X206 X208:X210 X212 X218:X219 X221:X224 X229 X234 X281:X282 X322:X324 X331 X342 X350:X352 X360 X385:X386 X429 X432:X433 X435 X444 X446 X450:X452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e0ysJODdXmvWnlG55Wu3VKTaWXTCHzliAWIb8aYNZiuRg35ja+ugBQAa2aA0Su9c2/6TQGdwwTlTWxqxibQGpg==" saltValue="JXmvD4beIuw/IS3rSW40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2026-01-14T07:15:45Z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