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B372C7D7-8B8F-4E87-A234-E6ADE8FCD46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6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Y425" i="1"/>
  <c r="X425" i="1"/>
  <c r="X424" i="1"/>
  <c r="BP423" i="1"/>
  <c r="BO423" i="1"/>
  <c r="BN423" i="1"/>
  <c r="BM423" i="1"/>
  <c r="Z423" i="1"/>
  <c r="Z424" i="1" s="1"/>
  <c r="Y423" i="1"/>
  <c r="Y424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Y407" i="1" s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U505" i="1" s="1"/>
  <c r="P393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Y358" i="1" s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5" i="1" s="1"/>
  <c r="P216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Y213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Y197" i="1" s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I505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F505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X25" i="1"/>
  <c r="Y24" i="1"/>
  <c r="X24" i="1"/>
  <c r="BP23" i="1"/>
  <c r="BO23" i="1"/>
  <c r="BN23" i="1"/>
  <c r="BM23" i="1"/>
  <c r="Z23" i="1"/>
  <c r="Y23" i="1"/>
  <c r="P23" i="1"/>
  <c r="BO22" i="1"/>
  <c r="BM22" i="1"/>
  <c r="X496" i="1" s="1"/>
  <c r="Y22" i="1"/>
  <c r="P22" i="1"/>
  <c r="H10" i="1"/>
  <c r="A9" i="1"/>
  <c r="D7" i="1"/>
  <c r="Q6" i="1"/>
  <c r="P2" i="1"/>
  <c r="F10" i="1" l="1"/>
  <c r="J9" i="1"/>
  <c r="F9" i="1"/>
  <c r="A10" i="1"/>
  <c r="X498" i="1"/>
  <c r="BP28" i="1"/>
  <c r="BN28" i="1"/>
  <c r="Z28" i="1"/>
  <c r="Y32" i="1"/>
  <c r="Y499" i="1" s="1"/>
  <c r="BP42" i="1"/>
  <c r="BN42" i="1"/>
  <c r="Z42" i="1"/>
  <c r="Z44" i="1" s="1"/>
  <c r="BP55" i="1"/>
  <c r="BN55" i="1"/>
  <c r="Z55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88" i="1"/>
  <c r="BN88" i="1"/>
  <c r="Z88" i="1"/>
  <c r="Z213" i="1"/>
  <c r="Z488" i="1"/>
  <c r="H9" i="1"/>
  <c r="Y25" i="1"/>
  <c r="BP22" i="1"/>
  <c r="BN22" i="1"/>
  <c r="Z22" i="1"/>
  <c r="Z24" i="1" s="1"/>
  <c r="B505" i="1"/>
  <c r="X497" i="1"/>
  <c r="X495" i="1"/>
  <c r="Y33" i="1"/>
  <c r="BP30" i="1"/>
  <c r="BN30" i="1"/>
  <c r="Z30" i="1"/>
  <c r="Z32" i="1" s="1"/>
  <c r="Y44" i="1"/>
  <c r="BP53" i="1"/>
  <c r="BN53" i="1"/>
  <c r="Z53" i="1"/>
  <c r="Z58" i="1" s="1"/>
  <c r="BP57" i="1"/>
  <c r="BN57" i="1"/>
  <c r="Z57" i="1"/>
  <c r="Y59" i="1"/>
  <c r="Y64" i="1"/>
  <c r="BP61" i="1"/>
  <c r="BN61" i="1"/>
  <c r="Z61" i="1"/>
  <c r="Z64" i="1" s="1"/>
  <c r="Y69" i="1"/>
  <c r="BP73" i="1"/>
  <c r="BN73" i="1"/>
  <c r="Z73" i="1"/>
  <c r="Z76" i="1" s="1"/>
  <c r="Y81" i="1"/>
  <c r="BP86" i="1"/>
  <c r="BN86" i="1"/>
  <c r="Z86" i="1"/>
  <c r="Z89" i="1" s="1"/>
  <c r="Y90" i="1"/>
  <c r="Z112" i="1"/>
  <c r="Z139" i="1"/>
  <c r="Z294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Z268" i="1"/>
  <c r="BP275" i="1"/>
  <c r="BN275" i="1"/>
  <c r="Z275" i="1"/>
  <c r="Y277" i="1"/>
  <c r="Y283" i="1"/>
  <c r="BP280" i="1"/>
  <c r="BN280" i="1"/>
  <c r="Z280" i="1"/>
  <c r="Z283" i="1" s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Z325" i="1" s="1"/>
  <c r="BP330" i="1"/>
  <c r="BN330" i="1"/>
  <c r="Z330" i="1"/>
  <c r="Z345" i="1"/>
  <c r="BP343" i="1"/>
  <c r="BN343" i="1"/>
  <c r="Z343" i="1"/>
  <c r="BP353" i="1"/>
  <c r="BN353" i="1"/>
  <c r="Z353" i="1"/>
  <c r="Y357" i="1"/>
  <c r="BP361" i="1"/>
  <c r="BN361" i="1"/>
  <c r="Z361" i="1"/>
  <c r="Z362" i="1" s="1"/>
  <c r="Y363" i="1"/>
  <c r="Y368" i="1"/>
  <c r="BP365" i="1"/>
  <c r="BN365" i="1"/>
  <c r="Z365" i="1"/>
  <c r="Z367" i="1" s="1"/>
  <c r="Z388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J505" i="1"/>
  <c r="S505" i="1"/>
  <c r="X499" i="1"/>
  <c r="C505" i="1"/>
  <c r="Y45" i="1"/>
  <c r="D505" i="1"/>
  <c r="Y58" i="1"/>
  <c r="E505" i="1"/>
  <c r="Y89" i="1"/>
  <c r="Z92" i="1"/>
  <c r="BN92" i="1"/>
  <c r="BP92" i="1"/>
  <c r="Z94" i="1"/>
  <c r="BN94" i="1"/>
  <c r="Z101" i="1"/>
  <c r="Z105" i="1" s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BN138" i="1"/>
  <c r="Z143" i="1"/>
  <c r="Z145" i="1" s="1"/>
  <c r="BN143" i="1"/>
  <c r="BP143" i="1"/>
  <c r="Y146" i="1"/>
  <c r="Z149" i="1"/>
  <c r="Z154" i="1" s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Z181" i="1" s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Z197" i="1" s="1"/>
  <c r="BN196" i="1"/>
  <c r="Z200" i="1"/>
  <c r="Z202" i="1" s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Z243" i="1" s="1"/>
  <c r="BN235" i="1"/>
  <c r="Z237" i="1"/>
  <c r="BN237" i="1"/>
  <c r="Z239" i="1"/>
  <c r="BN239" i="1"/>
  <c r="Z241" i="1"/>
  <c r="BN241" i="1"/>
  <c r="Y244" i="1"/>
  <c r="Z255" i="1"/>
  <c r="Z259" i="1" s="1"/>
  <c r="BN255" i="1"/>
  <c r="Z257" i="1"/>
  <c r="BN257" i="1"/>
  <c r="L505" i="1"/>
  <c r="Y269" i="1"/>
  <c r="Z264" i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Z332" i="1" s="1"/>
  <c r="Y332" i="1"/>
  <c r="Z338" i="1"/>
  <c r="BP336" i="1"/>
  <c r="BN336" i="1"/>
  <c r="Z336" i="1"/>
  <c r="Y345" i="1"/>
  <c r="BP351" i="1"/>
  <c r="BN351" i="1"/>
  <c r="Z351" i="1"/>
  <c r="Z357" i="1" s="1"/>
  <c r="BP355" i="1"/>
  <c r="BN355" i="1"/>
  <c r="Z355" i="1"/>
  <c r="Y362" i="1"/>
  <c r="Y367" i="1"/>
  <c r="BP376" i="1"/>
  <c r="BN376" i="1"/>
  <c r="Z376" i="1"/>
  <c r="Z377" i="1" s="1"/>
  <c r="Y378" i="1"/>
  <c r="Y383" i="1"/>
  <c r="BP380" i="1"/>
  <c r="BN380" i="1"/>
  <c r="Z380" i="1"/>
  <c r="Z382" i="1" s="1"/>
  <c r="Y389" i="1"/>
  <c r="Y388" i="1"/>
  <c r="BP394" i="1"/>
  <c r="BN394" i="1"/>
  <c r="Z394" i="1"/>
  <c r="BP398" i="1"/>
  <c r="BN398" i="1"/>
  <c r="Z398" i="1"/>
  <c r="Z402" i="1" s="1"/>
  <c r="Y402" i="1"/>
  <c r="BP406" i="1"/>
  <c r="BN406" i="1"/>
  <c r="Z406" i="1"/>
  <c r="Z407" i="1" s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7" i="1"/>
  <c r="BN487" i="1"/>
  <c r="Z487" i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BP455" i="1"/>
  <c r="BN455" i="1"/>
  <c r="Z455" i="1"/>
  <c r="Z456" i="1" s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Y496" i="1" l="1"/>
  <c r="Y495" i="1"/>
  <c r="Z441" i="1"/>
  <c r="Z419" i="1"/>
  <c r="Z225" i="1"/>
  <c r="Z119" i="1"/>
  <c r="Z96" i="1"/>
  <c r="Z312" i="1"/>
  <c r="Z303" i="1"/>
  <c r="Z500" i="1"/>
  <c r="Y497" i="1"/>
  <c r="Y498" i="1" l="1"/>
</calcChain>
</file>

<file path=xl/sharedStrings.xml><?xml version="1.0" encoding="utf-8"?>
<sst xmlns="http://schemas.openxmlformats.org/spreadsheetml/2006/main" count="2358" uniqueCount="781">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</sst>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51</v>
      </c>
      <c r="Y41" s="554">
        <f>IFERROR(IF(X41="",0,CEILING((X41/$H41),1)*$H41),"")</f>
        <v>54</v>
      </c>
      <c r="Z41" s="36">
        <f>IFERROR(IF(Y41=0,"",ROUNDUP(Y41/H41,0)*0.01898),"")</f>
        <v>9.4899999999999998E-2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52.93611111111111</v>
      </c>
      <c r="BN41" s="64">
        <f>IFERROR(Y41*I41/H41,"0")</f>
        <v>56.05</v>
      </c>
      <c r="BO41" s="64">
        <f>IFERROR(1/J41*(X41/H41),"0")</f>
        <v>7.3784722222222224E-2</v>
      </c>
      <c r="BP41" s="64">
        <f>IFERROR(1/J41*(Y41/H41),"0")</f>
        <v>7.8125E-2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4.7222222222222223</v>
      </c>
      <c r="Y44" s="555">
        <f>IFERROR(Y41/H41,"0")+IFERROR(Y42/H42,"0")+IFERROR(Y43/H43,"0")</f>
        <v>5</v>
      </c>
      <c r="Z44" s="555">
        <f>IFERROR(IF(Z41="",0,Z41),"0")+IFERROR(IF(Z42="",0,Z42),"0")+IFERROR(IF(Z43="",0,Z43),"0")</f>
        <v>9.4899999999999998E-2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51</v>
      </c>
      <c r="Y45" s="555">
        <f>IFERROR(SUM(Y41:Y43),"0")</f>
        <v>54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4</v>
      </c>
      <c r="Y55" s="554">
        <f t="shared" si="0"/>
        <v>4</v>
      </c>
      <c r="Z55" s="36">
        <f>IFERROR(IF(Y55=0,"",ROUNDUP(Y55/H55,0)*0.00902),"")</f>
        <v>9.0200000000000002E-3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4.1900000000000004</v>
      </c>
      <c r="BN55" s="64">
        <f t="shared" si="2"/>
        <v>4.1900000000000004</v>
      </c>
      <c r="BO55" s="64">
        <f t="shared" si="3"/>
        <v>7.575757575757576E-3</v>
      </c>
      <c r="BP55" s="64">
        <f t="shared" si="4"/>
        <v>7.575757575757576E-3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</v>
      </c>
      <c r="Y58" s="555">
        <f>IFERROR(Y52/H52,"0")+IFERROR(Y53/H53,"0")+IFERROR(Y54/H54,"0")+IFERROR(Y55/H55,"0")+IFERROR(Y56/H56,"0")+IFERROR(Y57/H57,"0")</f>
        <v>1</v>
      </c>
      <c r="Z58" s="555">
        <f>IFERROR(IF(Z52="",0,Z52),"0")+IFERROR(IF(Z53="",0,Z53),"0")+IFERROR(IF(Z54="",0,Z54),"0")+IFERROR(IF(Z55="",0,Z55),"0")+IFERROR(IF(Z56="",0,Z56),"0")+IFERROR(IF(Z57="",0,Z57),"0")</f>
        <v>9.0200000000000002E-3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4</v>
      </c>
      <c r="Y59" s="555">
        <f>IFERROR(SUM(Y52:Y57),"0")</f>
        <v>4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18</v>
      </c>
      <c r="Y61" s="554">
        <f>IFERROR(IF(X61="",0,CEILING((X61/$H61),1)*$H61),"")</f>
        <v>21.6</v>
      </c>
      <c r="Z61" s="36">
        <f>IFERROR(IF(Y61=0,"",ROUNDUP(Y61/H61,0)*0.01898),"")</f>
        <v>3.7960000000000001E-2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18.683333333333334</v>
      </c>
      <c r="BN61" s="64">
        <f>IFERROR(Y61*I61/H61,"0")</f>
        <v>22.42</v>
      </c>
      <c r="BO61" s="64">
        <f>IFERROR(1/J61*(X61/H61),"0")</f>
        <v>2.6041666666666664E-2</v>
      </c>
      <c r="BP61" s="64">
        <f>IFERROR(1/J61*(Y61/H61),"0")</f>
        <v>3.125E-2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1.6666666666666665</v>
      </c>
      <c r="Y64" s="555">
        <f>IFERROR(Y61/H61,"0")+IFERROR(Y62/H62,"0")+IFERROR(Y63/H63,"0")</f>
        <v>2</v>
      </c>
      <c r="Z64" s="555">
        <f>IFERROR(IF(Z61="",0,Z61),"0")+IFERROR(IF(Z62="",0,Z62),"0")+IFERROR(IF(Z63="",0,Z63),"0")</f>
        <v>3.7960000000000001E-2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18</v>
      </c>
      <c r="Y65" s="555">
        <f>IFERROR(SUM(Y61:Y63),"0")</f>
        <v>21.6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23</v>
      </c>
      <c r="Y79" s="554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24.208974358974363</v>
      </c>
      <c r="BN79" s="64">
        <f>IFERROR(Y79*I79/H79,"0")</f>
        <v>24.630000000000003</v>
      </c>
      <c r="BO79" s="64">
        <f>IFERROR(1/J79*(X79/H79),"0")</f>
        <v>4.6073717948717952E-2</v>
      </c>
      <c r="BP79" s="64">
        <f>IFERROR(1/J79*(Y79/H79),"0")</f>
        <v>4.6875E-2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2.9487179487179489</v>
      </c>
      <c r="Y81" s="555">
        <f>IFERROR(Y79/H79,"0")+IFERROR(Y80/H80,"0")</f>
        <v>3</v>
      </c>
      <c r="Z81" s="555">
        <f>IFERROR(IF(Z79="",0,Z79),"0")+IFERROR(IF(Z80="",0,Z80),"0")</f>
        <v>5.6940000000000004E-2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23</v>
      </c>
      <c r="Y82" s="555">
        <f>IFERROR(SUM(Y79:Y80),"0")</f>
        <v>23.4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68</v>
      </c>
      <c r="Y85" s="554">
        <f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70.581481481481489</v>
      </c>
      <c r="BN85" s="64">
        <f>IFERROR(Y85*I85/H85,"0")</f>
        <v>78.47</v>
      </c>
      <c r="BO85" s="64">
        <f>IFERROR(1/J85*(X85/H85),"0")</f>
        <v>9.8379629629629622E-2</v>
      </c>
      <c r="BP85" s="64">
        <f>IFERROR(1/J85*(Y85/H85),"0")</f>
        <v>0.109375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6.2962962962962958</v>
      </c>
      <c r="Y89" s="555">
        <f>IFERROR(Y85/H85,"0")+IFERROR(Y86/H86,"0")+IFERROR(Y87/H87,"0")+IFERROR(Y88/H88,"0")</f>
        <v>7</v>
      </c>
      <c r="Z89" s="555">
        <f>IFERROR(IF(Z85="",0,Z85),"0")+IFERROR(IF(Z86="",0,Z86),"0")+IFERROR(IF(Z87="",0,Z87),"0")+IFERROR(IF(Z88="",0,Z88),"0")</f>
        <v>0.13286000000000001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68</v>
      </c>
      <c r="Y90" s="555">
        <f>IFERROR(SUM(Y85:Y88),"0")</f>
        <v>75.600000000000009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218</v>
      </c>
      <c r="Y92" s="554">
        <f>IFERROR(IF(X92="",0,CEILING((X92/$H92),1)*$H92),"")</f>
        <v>218.7</v>
      </c>
      <c r="Z92" s="36">
        <f>IFERROR(IF(Y92=0,"",ROUNDUP(Y92/H92,0)*0.01898),"")</f>
        <v>0.51246000000000003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231.29530864197531</v>
      </c>
      <c r="BN92" s="64">
        <f>IFERROR(Y92*I92/H92,"0")</f>
        <v>232.03799999999998</v>
      </c>
      <c r="BO92" s="64">
        <f>IFERROR(1/J92*(X92/H92),"0")</f>
        <v>0.42052469135802473</v>
      </c>
      <c r="BP92" s="64">
        <f>IFERROR(1/J92*(Y92/H92),"0")</f>
        <v>0.421875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5</v>
      </c>
      <c r="Y94" s="554">
        <f>IFERROR(IF(X94="",0,CEILING((X94/$H94),1)*$H94),"")</f>
        <v>5.4</v>
      </c>
      <c r="Z94" s="36">
        <f>IFERROR(IF(Y94=0,"",ROUNDUP(Y94/H94,0)*0.00651),"")</f>
        <v>1.302E-2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5.4666666666666659</v>
      </c>
      <c r="BN94" s="64">
        <f>IFERROR(Y94*I94/H94,"0")</f>
        <v>5.9039999999999999</v>
      </c>
      <c r="BO94" s="64">
        <f>IFERROR(1/J94*(X94/H94),"0")</f>
        <v>1.0175010175010175E-2</v>
      </c>
      <c r="BP94" s="64">
        <f>IFERROR(1/J94*(Y94/H94),"0")</f>
        <v>1.098901098901099E-2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28.765432098765434</v>
      </c>
      <c r="Y96" s="555">
        <f>IFERROR(Y92/H92,"0")+IFERROR(Y93/H93,"0")+IFERROR(Y94/H94,"0")+IFERROR(Y95/H95,"0")</f>
        <v>29</v>
      </c>
      <c r="Z96" s="555">
        <f>IFERROR(IF(Z92="",0,Z92),"0")+IFERROR(IF(Z93="",0,Z93),"0")+IFERROR(IF(Z94="",0,Z94),"0")+IFERROR(IF(Z95="",0,Z95),"0")</f>
        <v>0.52548000000000006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223</v>
      </c>
      <c r="Y97" s="555">
        <f>IFERROR(SUM(Y92:Y95),"0")</f>
        <v>224.1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68</v>
      </c>
      <c r="Y103" s="554">
        <f>IFERROR(IF(X103="",0,CEILING((X103/$H103),1)*$H103),"")</f>
        <v>72</v>
      </c>
      <c r="Z103" s="36">
        <f>IFERROR(IF(Y103=0,"",ROUNDUP(Y103/H103,0)*0.00902),"")</f>
        <v>0.14432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70.871111111111119</v>
      </c>
      <c r="BN103" s="64">
        <f>IFERROR(Y103*I103/H103,"0")</f>
        <v>75.040000000000006</v>
      </c>
      <c r="BO103" s="64">
        <f>IFERROR(1/J103*(X103/H103),"0")</f>
        <v>0.11447811447811448</v>
      </c>
      <c r="BP103" s="64">
        <f>IFERROR(1/J103*(Y103/H103),"0")</f>
        <v>0.12121212121212122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15.111111111111111</v>
      </c>
      <c r="Y105" s="555">
        <f>IFERROR(Y100/H100,"0")+IFERROR(Y101/H101,"0")+IFERROR(Y102/H102,"0")+IFERROR(Y103/H103,"0")+IFERROR(Y104/H104,"0")</f>
        <v>16</v>
      </c>
      <c r="Z105" s="555">
        <f>IFERROR(IF(Z100="",0,Z100),"0")+IFERROR(IF(Z101="",0,Z101),"0")+IFERROR(IF(Z102="",0,Z102),"0")+IFERROR(IF(Z103="",0,Z103),"0")+IFERROR(IF(Z104="",0,Z104),"0")</f>
        <v>0.14432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68</v>
      </c>
      <c r="Y106" s="555">
        <f>IFERROR(SUM(Y100:Y104),"0")</f>
        <v>72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29</v>
      </c>
      <c r="Y108" s="554">
        <f>IFERROR(IF(X108="",0,CEILING((X108/$H108),1)*$H108),"")</f>
        <v>32.400000000000006</v>
      </c>
      <c r="Z108" s="36">
        <f>IFERROR(IF(Y108=0,"",ROUNDUP(Y108/H108,0)*0.01898),"")</f>
        <v>5.6940000000000004E-2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30.100925925925928</v>
      </c>
      <c r="BN108" s="64">
        <f>IFERROR(Y108*I108/H108,"0")</f>
        <v>33.630000000000003</v>
      </c>
      <c r="BO108" s="64">
        <f>IFERROR(1/J108*(X108/H108),"0")</f>
        <v>4.1956018518518517E-2</v>
      </c>
      <c r="BP108" s="64">
        <f>IFERROR(1/J108*(Y108/H108),"0")</f>
        <v>4.6875000000000007E-2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68</v>
      </c>
      <c r="Y111" s="554">
        <f>IFERROR(IF(X111="",0,CEILING((X111/$H111),1)*$H111),"")</f>
        <v>69.599999999999994</v>
      </c>
      <c r="Z111" s="36">
        <f>IFERROR(IF(Y111=0,"",ROUNDUP(Y111/H111,0)*0.00651),"")</f>
        <v>0.18879000000000001</v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73.100000000000009</v>
      </c>
      <c r="BN111" s="64">
        <f>IFERROR(Y111*I111/H111,"0")</f>
        <v>74.819999999999993</v>
      </c>
      <c r="BO111" s="64">
        <f>IFERROR(1/J111*(X111/H111),"0")</f>
        <v>0.15567765567765571</v>
      </c>
      <c r="BP111" s="64">
        <f>IFERROR(1/J111*(Y111/H111),"0")</f>
        <v>0.15934065934065936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31.018518518518519</v>
      </c>
      <c r="Y112" s="555">
        <f>IFERROR(Y108/H108,"0")+IFERROR(Y109/H109,"0")+IFERROR(Y110/H110,"0")+IFERROR(Y111/H111,"0")</f>
        <v>32</v>
      </c>
      <c r="Z112" s="555">
        <f>IFERROR(IF(Z108="",0,Z108),"0")+IFERROR(IF(Z109="",0,Z109),"0")+IFERROR(IF(Z110="",0,Z110),"0")+IFERROR(IF(Z111="",0,Z111),"0")</f>
        <v>0.24573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97</v>
      </c>
      <c r="Y113" s="555">
        <f>IFERROR(SUM(Y108:Y111),"0")</f>
        <v>102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65</v>
      </c>
      <c r="Y115" s="554">
        <f>IFERROR(IF(X115="",0,CEILING((X115/$H115),1)*$H115),"")</f>
        <v>72.899999999999991</v>
      </c>
      <c r="Z115" s="36">
        <f>IFERROR(IF(Y115=0,"",ROUNDUP(Y115/H115,0)*0.01898),"")</f>
        <v>0.17082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68.916049382716039</v>
      </c>
      <c r="BN115" s="64">
        <f>IFERROR(Y115*I115/H115,"0")</f>
        <v>77.291999999999987</v>
      </c>
      <c r="BO115" s="64">
        <f>IFERROR(1/J115*(X115/H115),"0")</f>
        <v>0.1253858024691358</v>
      </c>
      <c r="BP115" s="64">
        <f>IFERROR(1/J115*(Y115/H115),"0")</f>
        <v>0.140625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62</v>
      </c>
      <c r="Y117" s="554">
        <f>IFERROR(IF(X117="",0,CEILING((X117/$H117),1)*$H117),"")</f>
        <v>62.1</v>
      </c>
      <c r="Z117" s="36">
        <f>IFERROR(IF(Y117=0,"",ROUNDUP(Y117/H117,0)*0.00651),"")</f>
        <v>0.14973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67.786666666666662</v>
      </c>
      <c r="BN117" s="64">
        <f>IFERROR(Y117*I117/H117,"0")</f>
        <v>67.896000000000001</v>
      </c>
      <c r="BO117" s="64">
        <f>IFERROR(1/J117*(X117/H117),"0")</f>
        <v>0.12617012617012618</v>
      </c>
      <c r="BP117" s="64">
        <f>IFERROR(1/J117*(Y117/H117),"0")</f>
        <v>0.1263736263736264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30.987654320987652</v>
      </c>
      <c r="Y119" s="555">
        <f>IFERROR(Y115/H115,"0")+IFERROR(Y116/H116,"0")+IFERROR(Y117/H117,"0")+IFERROR(Y118/H118,"0")</f>
        <v>32</v>
      </c>
      <c r="Z119" s="555">
        <f>IFERROR(IF(Z115="",0,Z115),"0")+IFERROR(IF(Z116="",0,Z116),"0")+IFERROR(IF(Z117="",0,Z117),"0")+IFERROR(IF(Z118="",0,Z118),"0")</f>
        <v>0.32055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127</v>
      </c>
      <c r="Y120" s="555">
        <f>IFERROR(SUM(Y115:Y118),"0")</f>
        <v>135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90</v>
      </c>
      <c r="Y169" s="554">
        <f t="shared" si="10"/>
        <v>92.4</v>
      </c>
      <c r="Z169" s="36">
        <f>IFERROR(IF(Y169=0,"",ROUNDUP(Y169/H169,0)*0.00902),"")</f>
        <v>0.19844000000000001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95.357142857142847</v>
      </c>
      <c r="BN169" s="64">
        <f t="shared" si="12"/>
        <v>97.9</v>
      </c>
      <c r="BO169" s="64">
        <f t="shared" si="13"/>
        <v>0.16233766233766234</v>
      </c>
      <c r="BP169" s="64">
        <f t="shared" si="14"/>
        <v>0.16666666666666669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90</v>
      </c>
      <c r="Y171" s="554">
        <f t="shared" si="10"/>
        <v>92.4</v>
      </c>
      <c r="Z171" s="36">
        <f>IFERROR(IF(Y171=0,"",ROUNDUP(Y171/H171,0)*0.00902),"")</f>
        <v>0.19844000000000001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94.071428571428555</v>
      </c>
      <c r="BN171" s="64">
        <f t="shared" si="12"/>
        <v>96.579999999999984</v>
      </c>
      <c r="BO171" s="64">
        <f t="shared" si="13"/>
        <v>0.16233766233766234</v>
      </c>
      <c r="BP171" s="64">
        <f t="shared" si="14"/>
        <v>0.16666666666666669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51</v>
      </c>
      <c r="Y178" s="554">
        <f t="shared" si="10"/>
        <v>52.5</v>
      </c>
      <c r="Z178" s="36">
        <f>IFERROR(IF(Y178=0,"",ROUNDUP(Y178/H178,0)*0.00502),"")</f>
        <v>0.1255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53.428571428571431</v>
      </c>
      <c r="BN178" s="64">
        <f t="shared" si="12"/>
        <v>55.000000000000007</v>
      </c>
      <c r="BO178" s="64">
        <f t="shared" si="13"/>
        <v>0.10378510378510379</v>
      </c>
      <c r="BP178" s="64">
        <f t="shared" si="14"/>
        <v>0.10683760683760685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67.142857142857139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69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0.52238000000000007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231</v>
      </c>
      <c r="Y182" s="555">
        <f>IFERROR(SUM(Y167:Y180),"0")</f>
        <v>237.3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89</v>
      </c>
      <c r="Y208" s="554">
        <f t="shared" si="15"/>
        <v>91.800000000000011</v>
      </c>
      <c r="Z208" s="36">
        <f>IFERROR(IF(Y208=0,"",ROUNDUP(Y208/H208,0)*0.00902),"")</f>
        <v>0.15334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92.131481481481472</v>
      </c>
      <c r="BN208" s="64">
        <f t="shared" si="17"/>
        <v>95.03</v>
      </c>
      <c r="BO208" s="64">
        <f t="shared" si="18"/>
        <v>0.12485970819304153</v>
      </c>
      <c r="BP208" s="64">
        <f t="shared" si="19"/>
        <v>0.12878787878787878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29</v>
      </c>
      <c r="Y209" s="554">
        <f t="shared" si="15"/>
        <v>30.6</v>
      </c>
      <c r="Z209" s="36">
        <f>IFERROR(IF(Y209=0,"",ROUNDUP(Y209/H209,0)*0.00502),"")</f>
        <v>8.5339999999999999E-2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31.094444444444441</v>
      </c>
      <c r="BN209" s="64">
        <f t="shared" si="17"/>
        <v>32.81</v>
      </c>
      <c r="BO209" s="64">
        <f t="shared" si="18"/>
        <v>6.8850902184235521E-2</v>
      </c>
      <c r="BP209" s="64">
        <f t="shared" si="19"/>
        <v>7.2649572649572655E-2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34</v>
      </c>
      <c r="Y212" s="554">
        <f t="shared" si="15"/>
        <v>34.200000000000003</v>
      </c>
      <c r="Z212" s="36">
        <f>IFERROR(IF(Y212=0,"",ROUNDUP(Y212/H212,0)*0.00502),"")</f>
        <v>9.5380000000000006E-2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35.888888888888886</v>
      </c>
      <c r="BN212" s="64">
        <f t="shared" si="17"/>
        <v>36.1</v>
      </c>
      <c r="BO212" s="64">
        <f t="shared" si="18"/>
        <v>8.0721747388414061E-2</v>
      </c>
      <c r="BP212" s="64">
        <f t="shared" si="19"/>
        <v>8.11965811965812E-2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51.481481481481481</v>
      </c>
      <c r="Y213" s="555">
        <f>IFERROR(Y205/H205,"0")+IFERROR(Y206/H206,"0")+IFERROR(Y207/H207,"0")+IFERROR(Y208/H208,"0")+IFERROR(Y209/H209,"0")+IFERROR(Y210/H210,"0")+IFERROR(Y211/H211,"0")+IFERROR(Y212/H212,"0")</f>
        <v>53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0.33406000000000002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152</v>
      </c>
      <c r="Y214" s="555">
        <f>IFERROR(SUM(Y205:Y212),"0")</f>
        <v>156.60000000000002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75</v>
      </c>
      <c r="Y219" s="554">
        <f t="shared" si="20"/>
        <v>76.8</v>
      </c>
      <c r="Z219" s="36">
        <f t="shared" ref="Z219:Z224" si="25">IFERROR(IF(Y219=0,"",ROUNDUP(Y219/H219,0)*0.00651),"")</f>
        <v>0.20832000000000001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83.4375</v>
      </c>
      <c r="BN219" s="64">
        <f t="shared" si="22"/>
        <v>85.44</v>
      </c>
      <c r="BO219" s="64">
        <f t="shared" si="23"/>
        <v>0.1717032967032967</v>
      </c>
      <c r="BP219" s="64">
        <f t="shared" si="24"/>
        <v>0.17582417582417584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51</v>
      </c>
      <c r="Y221" s="554">
        <f t="shared" si="20"/>
        <v>52.8</v>
      </c>
      <c r="Z221" s="36">
        <f t="shared" si="25"/>
        <v>0.14322000000000001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56.355000000000004</v>
      </c>
      <c r="BN221" s="64">
        <f t="shared" si="22"/>
        <v>58.344000000000001</v>
      </c>
      <c r="BO221" s="64">
        <f t="shared" si="23"/>
        <v>0.11675824175824177</v>
      </c>
      <c r="BP221" s="64">
        <f t="shared" si="24"/>
        <v>0.12087912087912089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33</v>
      </c>
      <c r="Y222" s="554">
        <f t="shared" si="20"/>
        <v>33.6</v>
      </c>
      <c r="Z222" s="36">
        <f t="shared" si="25"/>
        <v>9.1139999999999999E-2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36.465000000000003</v>
      </c>
      <c r="BN222" s="64">
        <f t="shared" si="22"/>
        <v>37.128000000000007</v>
      </c>
      <c r="BO222" s="64">
        <f t="shared" si="23"/>
        <v>7.5549450549450559E-2</v>
      </c>
      <c r="BP222" s="64">
        <f t="shared" si="24"/>
        <v>7.6923076923076941E-2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82</v>
      </c>
      <c r="Y223" s="554">
        <f t="shared" si="20"/>
        <v>84</v>
      </c>
      <c r="Z223" s="36">
        <f t="shared" si="25"/>
        <v>0.22785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90.61</v>
      </c>
      <c r="BN223" s="64">
        <f t="shared" si="22"/>
        <v>92.820000000000007</v>
      </c>
      <c r="BO223" s="64">
        <f t="shared" si="23"/>
        <v>0.18772893772893776</v>
      </c>
      <c r="BP223" s="64">
        <f t="shared" si="24"/>
        <v>0.19230769230769232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122</v>
      </c>
      <c r="Y224" s="554">
        <f t="shared" si="20"/>
        <v>122.39999999999999</v>
      </c>
      <c r="Z224" s="36">
        <f t="shared" si="25"/>
        <v>0.33201000000000003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135.11500000000001</v>
      </c>
      <c r="BN224" s="64">
        <f t="shared" si="22"/>
        <v>135.55799999999999</v>
      </c>
      <c r="BO224" s="64">
        <f t="shared" si="23"/>
        <v>0.27930402930402937</v>
      </c>
      <c r="BP224" s="64">
        <f t="shared" si="24"/>
        <v>0.28021978021978022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151.25</v>
      </c>
      <c r="Y225" s="555">
        <f>IFERROR(Y216/H216,"0")+IFERROR(Y217/H217,"0")+IFERROR(Y218/H218,"0")+IFERROR(Y219/H219,"0")+IFERROR(Y220/H220,"0")+IFERROR(Y221/H221,"0")+IFERROR(Y222/H222,"0")+IFERROR(Y223/H223,"0")+IFERROR(Y224/H224,"0")</f>
        <v>154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1.0025400000000002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363</v>
      </c>
      <c r="Y226" s="555">
        <f>IFERROR(SUM(Y216:Y224),"0")</f>
        <v>369.59999999999997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52</v>
      </c>
      <c r="Y228" s="554">
        <f>IFERROR(IF(X228="",0,CEILING((X228/$H228),1)*$H228),"")</f>
        <v>52.8</v>
      </c>
      <c r="Z228" s="36">
        <f>IFERROR(IF(Y228=0,"",ROUNDUP(Y228/H228,0)*0.00651),"")</f>
        <v>0.14322000000000001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57.46</v>
      </c>
      <c r="BN228" s="64">
        <f>IFERROR(Y228*I228/H228,"0")</f>
        <v>58.344000000000001</v>
      </c>
      <c r="BO228" s="64">
        <f>IFERROR(1/J228*(X228/H228),"0")</f>
        <v>0.11904761904761907</v>
      </c>
      <c r="BP228" s="64">
        <f>IFERROR(1/J228*(Y228/H228),"0")</f>
        <v>0.12087912087912089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33</v>
      </c>
      <c r="Y229" s="554">
        <f>IFERROR(IF(X229="",0,CEILING((X229/$H229),1)*$H229),"")</f>
        <v>33.6</v>
      </c>
      <c r="Z229" s="36">
        <f>IFERROR(IF(Y229=0,"",ROUNDUP(Y229/H229,0)*0.00651),"")</f>
        <v>9.1139999999999999E-2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36.465000000000003</v>
      </c>
      <c r="BN229" s="64">
        <f>IFERROR(Y229*I229/H229,"0")</f>
        <v>37.128000000000007</v>
      </c>
      <c r="BO229" s="64">
        <f>IFERROR(1/J229*(X229/H229),"0")</f>
        <v>7.5549450549450559E-2</v>
      </c>
      <c r="BP229" s="64">
        <f>IFERROR(1/J229*(Y229/H229),"0")</f>
        <v>7.6923076923076941E-2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35.416666666666671</v>
      </c>
      <c r="Y230" s="555">
        <f>IFERROR(Y228/H228,"0")+IFERROR(Y229/H229,"0")</f>
        <v>36</v>
      </c>
      <c r="Z230" s="555">
        <f>IFERROR(IF(Z228="",0,Z228),"0")+IFERROR(IF(Z229="",0,Z229),"0")</f>
        <v>0.23436000000000001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85</v>
      </c>
      <c r="Y231" s="555">
        <f>IFERROR(SUM(Y228:Y229),"0")</f>
        <v>86.4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3</v>
      </c>
      <c r="Y250" s="554">
        <f>IFERROR(IF(X250="",0,CEILING((X250/$H250),1)*$H250),"")</f>
        <v>3.6</v>
      </c>
      <c r="Z250" s="36">
        <f>IFERROR(IF(Y250=0,"",ROUNDUP(Y250/H250,0)*0.0059),"")</f>
        <v>1.18E-2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3.291666666666667</v>
      </c>
      <c r="BN250" s="64">
        <f>IFERROR(Y250*I250/H250,"0")</f>
        <v>3.95</v>
      </c>
      <c r="BO250" s="64">
        <f>IFERROR(1/J250*(X250/H250),"0")</f>
        <v>7.7160493827160481E-3</v>
      </c>
      <c r="BP250" s="64">
        <f>IFERROR(1/J250*(Y250/H250),"0")</f>
        <v>9.2592592592592587E-3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1.6666666666666665</v>
      </c>
      <c r="Y251" s="555">
        <f>IFERROR(Y250/H250,"0")</f>
        <v>2</v>
      </c>
      <c r="Z251" s="555">
        <f>IFERROR(IF(Z250="",0,Z250),"0")</f>
        <v>1.18E-2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3</v>
      </c>
      <c r="Y252" s="555">
        <f>IFERROR(SUM(Y250:Y250),"0")</f>
        <v>3.6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2</v>
      </c>
      <c r="Y257" s="554">
        <f>IFERROR(IF(X257="",0,CEILING((X257/$H257),1)*$H257),"")</f>
        <v>2.9699999999999998</v>
      </c>
      <c r="Z257" s="36">
        <f>IFERROR(IF(Y257=0,"",ROUNDUP(Y257/H257,0)*0.0059),"")</f>
        <v>1.77E-2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2.3838383838383836</v>
      </c>
      <c r="BN257" s="64">
        <f>IFERROR(Y257*I257/H257,"0")</f>
        <v>3.5399999999999996</v>
      </c>
      <c r="BO257" s="64">
        <f>IFERROR(1/J257*(X257/H257),"0")</f>
        <v>9.3527871305649091E-3</v>
      </c>
      <c r="BP257" s="64">
        <f>IFERROR(1/J257*(Y257/H257),"0")</f>
        <v>1.3888888888888886E-2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2.0202020202020203</v>
      </c>
      <c r="Y259" s="555">
        <f>IFERROR(Y254/H254,"0")+IFERROR(Y255/H255,"0")+IFERROR(Y256/H256,"0")+IFERROR(Y257/H257,"0")+IFERROR(Y258/H258,"0")</f>
        <v>2.9999999999999996</v>
      </c>
      <c r="Z259" s="555">
        <f>IFERROR(IF(Z254="",0,Z254),"0")+IFERROR(IF(Z255="",0,Z255),"0")+IFERROR(IF(Z256="",0,Z256),"0")+IFERROR(IF(Z257="",0,Z257),"0")+IFERROR(IF(Z258="",0,Z258),"0")</f>
        <v>1.77E-2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2</v>
      </c>
      <c r="Y260" s="555">
        <f>IFERROR(SUM(Y254:Y258),"0")</f>
        <v>2.9699999999999998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51</v>
      </c>
      <c r="Y322" s="554">
        <f>IFERROR(IF(X322="",0,CEILING((X322/$H322),1)*$H322),"")</f>
        <v>58.800000000000004</v>
      </c>
      <c r="Z322" s="36">
        <f>IFERROR(IF(Y322=0,"",ROUNDUP(Y322/H322,0)*0.01898),"")</f>
        <v>0.13286000000000001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53.999285714285712</v>
      </c>
      <c r="BN322" s="64">
        <f>IFERROR(Y322*I322/H322,"0")</f>
        <v>62.258000000000003</v>
      </c>
      <c r="BO322" s="64">
        <f>IFERROR(1/J322*(X322/H322),"0")</f>
        <v>9.4866071428571425E-2</v>
      </c>
      <c r="BP322" s="64">
        <f>IFERROR(1/J322*(Y322/H322),"0")</f>
        <v>0.109375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17</v>
      </c>
      <c r="Y323" s="554">
        <f>IFERROR(IF(X323="",0,CEILING((X323/$H323),1)*$H323),"")</f>
        <v>23.4</v>
      </c>
      <c r="Z323" s="36">
        <f>IFERROR(IF(Y323=0,"",ROUNDUP(Y323/H323,0)*0.01898),"")</f>
        <v>5.6940000000000004E-2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18.076666666666668</v>
      </c>
      <c r="BN323" s="64">
        <f>IFERROR(Y323*I323/H323,"0")</f>
        <v>24.882000000000001</v>
      </c>
      <c r="BO323" s="64">
        <f>IFERROR(1/J323*(X323/H323),"0")</f>
        <v>3.4054487179487183E-2</v>
      </c>
      <c r="BP323" s="64">
        <f>IFERROR(1/J323*(Y323/H323),"0")</f>
        <v>4.6875E-2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4</v>
      </c>
      <c r="Y324" s="554">
        <f>IFERROR(IF(X324="",0,CEILING((X324/$H324),1)*$H324),"")</f>
        <v>8.4</v>
      </c>
      <c r="Z324" s="36">
        <f>IFERROR(IF(Y324=0,"",ROUNDUP(Y324/H324,0)*0.01898),"")</f>
        <v>1.898E-2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4.2352380952380955</v>
      </c>
      <c r="BN324" s="64">
        <f>IFERROR(Y324*I324/H324,"0")</f>
        <v>8.8940000000000001</v>
      </c>
      <c r="BO324" s="64">
        <f>IFERROR(1/J324*(X324/H324),"0")</f>
        <v>7.4404761904761901E-3</v>
      </c>
      <c r="BP324" s="64">
        <f>IFERROR(1/J324*(Y324/H324),"0")</f>
        <v>1.5625E-2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8.7271062271062281</v>
      </c>
      <c r="Y325" s="555">
        <f>IFERROR(Y322/H322,"0")+IFERROR(Y323/H323,"0")+IFERROR(Y324/H324,"0")</f>
        <v>11</v>
      </c>
      <c r="Z325" s="555">
        <f>IFERROR(IF(Z322="",0,Z322),"0")+IFERROR(IF(Z323="",0,Z323),"0")+IFERROR(IF(Z324="",0,Z324),"0")</f>
        <v>0.20878000000000002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72</v>
      </c>
      <c r="Y326" s="555">
        <f>IFERROR(SUM(Y322:Y324),"0")</f>
        <v>90.600000000000009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4</v>
      </c>
      <c r="Y329" s="554">
        <f>IFERROR(IF(X329="",0,CEILING((X329/$H329),1)*$H329),"")</f>
        <v>6.08</v>
      </c>
      <c r="Z329" s="36">
        <f>IFERROR(IF(Y329=0,"",ROUNDUP(Y329/H329,0)*0.00902),"")</f>
        <v>1.804E-2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4.3026315789473681</v>
      </c>
      <c r="BN329" s="64">
        <f>IFERROR(Y329*I329/H329,"0")</f>
        <v>6.5399999999999991</v>
      </c>
      <c r="BO329" s="64">
        <f>IFERROR(1/J329*(X329/H329),"0")</f>
        <v>9.9681020733652318E-3</v>
      </c>
      <c r="BP329" s="64">
        <f>IFERROR(1/J329*(Y329/H329),"0")</f>
        <v>1.5151515151515152E-2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4</v>
      </c>
      <c r="Y331" s="554">
        <f>IFERROR(IF(X331="",0,CEILING((X331/$H331),1)*$H331),"")</f>
        <v>5.0999999999999996</v>
      </c>
      <c r="Z331" s="36">
        <f>IFERROR(IF(Y331=0,"",ROUNDUP(Y331/H331,0)*0.00651),"")</f>
        <v>1.302E-2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4.5176470588235293</v>
      </c>
      <c r="BN331" s="64">
        <f>IFERROR(Y331*I331/H331,"0")</f>
        <v>5.76</v>
      </c>
      <c r="BO331" s="64">
        <f>IFERROR(1/J331*(X331/H331),"0")</f>
        <v>8.6188321482439153E-3</v>
      </c>
      <c r="BP331" s="64">
        <f>IFERROR(1/J331*(Y331/H331),"0")</f>
        <v>1.098901098901099E-2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2.884416924664603</v>
      </c>
      <c r="Y332" s="555">
        <f>IFERROR(Y328/H328,"0")+IFERROR(Y329/H329,"0")+IFERROR(Y330/H330,"0")+IFERROR(Y331/H331,"0")</f>
        <v>4</v>
      </c>
      <c r="Z332" s="555">
        <f>IFERROR(IF(Z328="",0,Z328),"0")+IFERROR(IF(Z329="",0,Z329),"0")+IFERROR(IF(Z330="",0,Z330),"0")+IFERROR(IF(Z331="",0,Z331),"0")</f>
        <v>3.1060000000000001E-2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8</v>
      </c>
      <c r="Y333" s="555">
        <f>IFERROR(SUM(Y328:Y331),"0")</f>
        <v>11.18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0</v>
      </c>
      <c r="Y350" s="554">
        <f t="shared" ref="Y350:Y356" si="36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0</v>
      </c>
      <c r="BN350" s="64">
        <f t="shared" ref="BN350:BN356" si="38">IFERROR(Y350*I350/H350,"0")</f>
        <v>0</v>
      </c>
      <c r="BO350" s="64">
        <f t="shared" ref="BO350:BO356" si="39">IFERROR(1/J350*(X350/H350),"0")</f>
        <v>0</v>
      </c>
      <c r="BP350" s="64">
        <f t="shared" ref="BP350:BP356" si="40">IFERROR(1/J350*(Y350/H350),"0")</f>
        <v>0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0</v>
      </c>
      <c r="Y357" s="555">
        <f>IFERROR(Y350/H350,"0")+IFERROR(Y351/H351,"0")+IFERROR(Y352/H352,"0")+IFERROR(Y353/H353,"0")+IFERROR(Y354/H354,"0")+IFERROR(Y355/H355,"0")+IFERROR(Y356/H356,"0")</f>
        <v>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0</v>
      </c>
      <c r="Y358" s="555">
        <f>IFERROR(SUM(Y350:Y356),"0")</f>
        <v>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135</v>
      </c>
      <c r="Y370" s="554">
        <f>IFERROR(IF(X370="",0,CEILING((X370/$H370),1)*$H370),"")</f>
        <v>135</v>
      </c>
      <c r="Z370" s="36">
        <f>IFERROR(IF(Y370=0,"",ROUNDUP(Y370/H370,0)*0.01898),"")</f>
        <v>0.28470000000000001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142.41</v>
      </c>
      <c r="BN370" s="64">
        <f>IFERROR(Y370*I370/H370,"0")</f>
        <v>142.41</v>
      </c>
      <c r="BO370" s="64">
        <f>IFERROR(1/J370*(X370/H370),"0")</f>
        <v>0.234375</v>
      </c>
      <c r="BP370" s="64">
        <f>IFERROR(1/J370*(Y370/H370),"0")</f>
        <v>0.234375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15</v>
      </c>
      <c r="Y371" s="555">
        <f>IFERROR(Y370/H370,"0")</f>
        <v>15</v>
      </c>
      <c r="Z371" s="555">
        <f>IFERROR(IF(Z370="",0,Z370),"0")</f>
        <v>0.28470000000000001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135</v>
      </c>
      <c r="Y372" s="555">
        <f>IFERROR(SUM(Y370:Y370),"0")</f>
        <v>135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255</v>
      </c>
      <c r="Y385" s="554">
        <f>IFERROR(IF(X385="",0,CEILING((X385/$H385),1)*$H385),"")</f>
        <v>261</v>
      </c>
      <c r="Z385" s="36">
        <f>IFERROR(IF(Y385=0,"",ROUNDUP(Y385/H385,0)*0.01898),"")</f>
        <v>0.55042000000000002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268.99666666666667</v>
      </c>
      <c r="BN385" s="64">
        <f>IFERROR(Y385*I385/H385,"0")</f>
        <v>275.32599999999996</v>
      </c>
      <c r="BO385" s="64">
        <f>IFERROR(1/J385*(X385/H385),"0")</f>
        <v>0.44270833333333331</v>
      </c>
      <c r="BP385" s="64">
        <f>IFERROR(1/J385*(Y385/H385),"0")</f>
        <v>0.453125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14</v>
      </c>
      <c r="Y386" s="554">
        <f>IFERROR(IF(X386="",0,CEILING((X386/$H386),1)*$H386),"")</f>
        <v>14.399999999999999</v>
      </c>
      <c r="Z386" s="36">
        <f>IFERROR(IF(Y386=0,"",ROUNDUP(Y386/H386,0)*0.00651),"")</f>
        <v>3.9059999999999997E-2</v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15.540000000000001</v>
      </c>
      <c r="BN386" s="64">
        <f>IFERROR(Y386*I386/H386,"0")</f>
        <v>15.983999999999998</v>
      </c>
      <c r="BO386" s="64">
        <f>IFERROR(1/J386*(X386/H386),"0")</f>
        <v>3.2051282051282055E-2</v>
      </c>
      <c r="BP386" s="64">
        <f>IFERROR(1/J386*(Y386/H386),"0")</f>
        <v>3.2967032967032968E-2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34.166666666666664</v>
      </c>
      <c r="Y388" s="555">
        <f>IFERROR(Y385/H385,"0")+IFERROR(Y386/H386,"0")+IFERROR(Y387/H387,"0")</f>
        <v>35</v>
      </c>
      <c r="Z388" s="555">
        <f>IFERROR(IF(Z385="",0,Z385),"0")+IFERROR(IF(Z386="",0,Z386),"0")+IFERROR(IF(Z387="",0,Z387),"0")</f>
        <v>0.58948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269</v>
      </c>
      <c r="Y389" s="555">
        <f>IFERROR(SUM(Y385:Y387),"0")</f>
        <v>275.39999999999998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27</v>
      </c>
      <c r="Y433" s="554">
        <f t="shared" si="47"/>
        <v>31.68</v>
      </c>
      <c r="Z433" s="36">
        <f t="shared" si="48"/>
        <v>7.1760000000000004E-2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28.789772727272723</v>
      </c>
      <c r="BN433" s="64">
        <f t="shared" si="50"/>
        <v>33.779999999999994</v>
      </c>
      <c r="BO433" s="64">
        <f t="shared" si="51"/>
        <v>4.9169580419580416E-2</v>
      </c>
      <c r="BP433" s="64">
        <f t="shared" si="52"/>
        <v>5.7692307692307696E-2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5.1136363636363633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6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7.1760000000000004E-2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27</v>
      </c>
      <c r="Y442" s="555">
        <f>IFERROR(SUM(Y429:Y440),"0")</f>
        <v>31.68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46</v>
      </c>
      <c r="Y482" s="554">
        <f>IFERROR(IF(X482="",0,CEILING((X482/$H482),1)*$H482),"")</f>
        <v>54</v>
      </c>
      <c r="Z482" s="36">
        <f>IFERROR(IF(Y482=0,"",ROUNDUP(Y482/H482,0)*0.01898),"")</f>
        <v>0.11388000000000001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48.524888888888889</v>
      </c>
      <c r="BN482" s="64">
        <f>IFERROR(Y482*I482/H482,"0")</f>
        <v>56.963999999999992</v>
      </c>
      <c r="BO482" s="64">
        <f>IFERROR(1/J482*(X482/H482),"0")</f>
        <v>7.9861111111111105E-2</v>
      </c>
      <c r="BP482" s="64">
        <f>IFERROR(1/J482*(Y482/H482),"0")</f>
        <v>9.375E-2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5.1111111111111107</v>
      </c>
      <c r="Y483" s="555">
        <f>IFERROR(Y482/H482,"0")</f>
        <v>6</v>
      </c>
      <c r="Z483" s="555">
        <f>IFERROR(IF(Z482="",0,Z482),"0")</f>
        <v>0.11388000000000001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46</v>
      </c>
      <c r="Y484" s="555">
        <f>IFERROR(SUM(Y482:Y482),"0")</f>
        <v>54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2072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2166.0299999999997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2211.0843887992141</v>
      </c>
      <c r="Y496" s="555">
        <f>IFERROR(SUM(BN22:BN492),"0")</f>
        <v>2310.85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4</v>
      </c>
      <c r="Y497" s="38">
        <f>ROUNDUP(SUM(BP22:BP492),0)</f>
        <v>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2311.0843887992141</v>
      </c>
      <c r="Y498" s="555">
        <f>GrossWeightTotalR+PalletQtyTotalR*25</f>
        <v>2435.85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502.49743045434485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521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4.990260000000001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54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49</v>
      </c>
      <c r="E505" s="46">
        <f>IFERROR(Y85*1,"0")+IFERROR(Y86*1,"0")+IFERROR(Y87*1,"0")+IFERROR(Y88*1,"0")+IFERROR(Y92*1,"0")+IFERROR(Y93*1,"0")+IFERROR(Y94*1,"0")+IFERROR(Y95*1,"0")</f>
        <v>299.7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309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237.3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612.6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6.57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101.78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135</v>
      </c>
      <c r="T505" s="46">
        <f>IFERROR(Y375*1,"0")+IFERROR(Y376*1,"0")+IFERROR(Y380*1,"0")+IFERROR(Y381*1,"0")+IFERROR(Y385*1,"0")+IFERROR(Y386*1,"0")+IFERROR(Y387*1,"0")</f>
        <v>275.39999999999998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31.68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54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2026-01-14T08:50:15Z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