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FCFC0B6-B9CE-42E6-8ADF-44DAD4BF8DB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69" i="1"/>
  <c r="Z325" i="1"/>
  <c r="Z154" i="1"/>
  <c r="Z44" i="1"/>
  <c r="Z32" i="1"/>
  <c r="Z500" i="1" s="1"/>
  <c r="Y499" i="1"/>
  <c r="X498" i="1"/>
  <c r="Y495" i="1"/>
  <c r="Z402" i="1"/>
  <c r="Z213" i="1"/>
  <c r="Z312" i="1"/>
  <c r="Z303" i="1"/>
  <c r="Z283" i="1"/>
  <c r="Z225" i="1"/>
  <c r="Z181" i="1"/>
  <c r="Z112" i="1"/>
  <c r="Z10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<sst xmlns="http://schemas.openxmlformats.org/spreadsheetml/2006/main" count="2294" uniqueCount="781">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</sst>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6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6</v>
      </c>
      <c r="Y52" s="554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6.2196428571428575</v>
      </c>
      <c r="BN52" s="64">
        <f t="shared" ref="BN52:BN57" si="2">IFERROR(Y52*I52/H52,"0")</f>
        <v>11.61</v>
      </c>
      <c r="BO52" s="64">
        <f t="shared" ref="BO52:BO57" si="3">IFERROR(1/J52*(X52/H52),"0")</f>
        <v>8.370535714285714E-3</v>
      </c>
      <c r="BP52" s="64">
        <f t="shared" ref="BP52:BP57" si="4">IFERROR(1/J52*(Y52/H52),"0")</f>
        <v>1.5625E-2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0.5357142857142857</v>
      </c>
      <c r="Y58" s="555">
        <f>IFERROR(Y52/H52,"0")+IFERROR(Y53/H53,"0")+IFERROR(Y54/H54,"0")+IFERROR(Y55/H55,"0")+IFERROR(Y56/H56,"0")+IFERROR(Y57/H57,"0")</f>
        <v>1</v>
      </c>
      <c r="Z58" s="555">
        <f>IFERROR(IF(Z52="",0,Z52),"0")+IFERROR(IF(Z53="",0,Z53),"0")+IFERROR(IF(Z54="",0,Z54),"0")+IFERROR(IF(Z55="",0,Z55),"0")+IFERROR(IF(Z56="",0,Z56),"0")+IFERROR(IF(Z57="",0,Z57),"0")</f>
        <v>1.898E-2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6</v>
      </c>
      <c r="Y59" s="555">
        <f>IFERROR(SUM(Y52:Y57),"0")</f>
        <v>11.2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97</v>
      </c>
      <c r="Y79" s="554">
        <f>IFERROR(IF(X79="",0,CEILING((X79/$H79),1)*$H79),"")</f>
        <v>101.39999999999999</v>
      </c>
      <c r="Z79" s="36">
        <f>IFERROR(IF(Y79=0,"",ROUNDUP(Y79/H79,0)*0.01898),"")</f>
        <v>0.24674000000000001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102.09871794871796</v>
      </c>
      <c r="BN79" s="64">
        <f>IFERROR(Y79*I79/H79,"0")</f>
        <v>106.73</v>
      </c>
      <c r="BO79" s="64">
        <f>IFERROR(1/J79*(X79/H79),"0")</f>
        <v>0.19431089743589744</v>
      </c>
      <c r="BP79" s="64">
        <f>IFERROR(1/J79*(Y79/H79),"0")</f>
        <v>0.203125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12.435897435897436</v>
      </c>
      <c r="Y81" s="555">
        <f>IFERROR(Y79/H79,"0")+IFERROR(Y80/H80,"0")</f>
        <v>13</v>
      </c>
      <c r="Z81" s="555">
        <f>IFERROR(IF(Z79="",0,Z79),"0")+IFERROR(IF(Z80="",0,Z80),"0")</f>
        <v>0.24674000000000001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97</v>
      </c>
      <c r="Y82" s="555">
        <f>IFERROR(SUM(Y79:Y80),"0")</f>
        <v>101.39999999999999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440</v>
      </c>
      <c r="Y92" s="554">
        <f>IFERROR(IF(X92="",0,CEILING((X92/$H92),1)*$H92),"")</f>
        <v>445.5</v>
      </c>
      <c r="Z92" s="36">
        <f>IFERROR(IF(Y92=0,"",ROUNDUP(Y92/H92,0)*0.01898),"")</f>
        <v>1.0439000000000001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466.83456790123455</v>
      </c>
      <c r="BN92" s="64">
        <f>IFERROR(Y92*I92/H92,"0")</f>
        <v>472.67</v>
      </c>
      <c r="BO92" s="64">
        <f>IFERROR(1/J92*(X92/H92),"0")</f>
        <v>0.84876543209876543</v>
      </c>
      <c r="BP92" s="64">
        <f>IFERROR(1/J92*(Y92/H92),"0")</f>
        <v>0.859375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54.320987654320987</v>
      </c>
      <c r="Y96" s="555">
        <f>IFERROR(Y92/H92,"0")+IFERROR(Y93/H93,"0")+IFERROR(Y94/H94,"0")+IFERROR(Y95/H95,"0")</f>
        <v>55</v>
      </c>
      <c r="Z96" s="555">
        <f>IFERROR(IF(Z92="",0,Z92),"0")+IFERROR(IF(Z93="",0,Z93),"0")+IFERROR(IF(Z94="",0,Z94),"0")+IFERROR(IF(Z95="",0,Z95),"0")</f>
        <v>1.0439000000000001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440</v>
      </c>
      <c r="Y97" s="555">
        <f>IFERROR(SUM(Y92:Y95),"0")</f>
        <v>445.5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240</v>
      </c>
      <c r="Y115" s="554">
        <f>IFERROR(IF(X115="",0,CEILING((X115/$H115),1)*$H115),"")</f>
        <v>243</v>
      </c>
      <c r="Z115" s="36">
        <f>IFERROR(IF(Y115=0,"",ROUNDUP(Y115/H115,0)*0.01898),"")</f>
        <v>0.56940000000000002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254.45925925925926</v>
      </c>
      <c r="BN115" s="64">
        <f>IFERROR(Y115*I115/H115,"0")</f>
        <v>257.64</v>
      </c>
      <c r="BO115" s="64">
        <f>IFERROR(1/J115*(X115/H115),"0")</f>
        <v>0.46296296296296297</v>
      </c>
      <c r="BP115" s="64">
        <f>IFERROR(1/J115*(Y115/H115),"0")</f>
        <v>0.46875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29.62962962962963</v>
      </c>
      <c r="Y119" s="555">
        <f>IFERROR(Y115/H115,"0")+IFERROR(Y116/H116,"0")+IFERROR(Y117/H117,"0")+IFERROR(Y118/H118,"0")</f>
        <v>30</v>
      </c>
      <c r="Z119" s="555">
        <f>IFERROR(IF(Z115="",0,Z115),"0")+IFERROR(IF(Z116="",0,Z116),"0")+IFERROR(IF(Z117="",0,Z117),"0")+IFERROR(IF(Z118="",0,Z118),"0")</f>
        <v>0.56940000000000002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240</v>
      </c>
      <c r="Y120" s="555">
        <f>IFERROR(SUM(Y115:Y118),"0")</f>
        <v>243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49</v>
      </c>
      <c r="Y171" s="554">
        <f t="shared" si="10"/>
        <v>50.400000000000006</v>
      </c>
      <c r="Z171" s="36">
        <f>IFERROR(IF(Y171=0,"",ROUNDUP(Y171/H171,0)*0.00902),"")</f>
        <v>0.10824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51.216666666666661</v>
      </c>
      <c r="BN171" s="64">
        <f t="shared" si="12"/>
        <v>52.68</v>
      </c>
      <c r="BO171" s="64">
        <f t="shared" si="13"/>
        <v>8.8383838383838384E-2</v>
      </c>
      <c r="BP171" s="64">
        <f t="shared" si="14"/>
        <v>9.0909090909090912E-2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11.666666666666666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49</v>
      </c>
      <c r="Y182" s="555">
        <f>IFERROR(SUM(Y167:Y180),"0")</f>
        <v>50.400000000000006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4</v>
      </c>
      <c r="Y216" s="554">
        <f t="shared" ref="Y216:Y224" si="20">IFERROR(IF(X216="",0,CEILING((X216/$H216),1)*$H216),"")</f>
        <v>8.1</v>
      </c>
      <c r="Z216" s="36">
        <f>IFERROR(IF(Y216=0,"",ROUNDUP(Y216/H216,0)*0.01898),"")</f>
        <v>1.898E-2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4.243950617283951</v>
      </c>
      <c r="BN216" s="64">
        <f t="shared" ref="BN216:BN224" si="22">IFERROR(Y216*I216/H216,"0")</f>
        <v>8.5939999999999994</v>
      </c>
      <c r="BO216" s="64">
        <f t="shared" ref="BO216:BO224" si="23">IFERROR(1/J216*(X216/H216),"0")</f>
        <v>7.7160493827160498E-3</v>
      </c>
      <c r="BP216" s="64">
        <f t="shared" ref="BP216:BP224" si="24">IFERROR(1/J216*(Y216/H216),"0")</f>
        <v>1.5625E-2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43</v>
      </c>
      <c r="Y217" s="554">
        <f t="shared" si="20"/>
        <v>48.599999999999994</v>
      </c>
      <c r="Z217" s="36">
        <f>IFERROR(IF(Y217=0,"",ROUNDUP(Y217/H217,0)*0.01898),"")</f>
        <v>0.11388000000000001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45.526913580246919</v>
      </c>
      <c r="BN217" s="64">
        <f t="shared" si="22"/>
        <v>51.455999999999996</v>
      </c>
      <c r="BO217" s="64">
        <f t="shared" si="23"/>
        <v>8.2947530864197538E-2</v>
      </c>
      <c r="BP217" s="64">
        <f t="shared" si="24"/>
        <v>9.375E-2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125</v>
      </c>
      <c r="Y218" s="554">
        <f t="shared" si="20"/>
        <v>130.5</v>
      </c>
      <c r="Z218" s="36">
        <f>IFERROR(IF(Y218=0,"",ROUNDUP(Y218/H218,0)*0.01898),"")</f>
        <v>0.28470000000000001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132.09770114942529</v>
      </c>
      <c r="BN218" s="64">
        <f t="shared" si="22"/>
        <v>137.91000000000003</v>
      </c>
      <c r="BO218" s="64">
        <f t="shared" si="23"/>
        <v>0.22449712643678163</v>
      </c>
      <c r="BP218" s="64">
        <f t="shared" si="24"/>
        <v>0.23437500000000003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122</v>
      </c>
      <c r="Y219" s="554">
        <f t="shared" si="20"/>
        <v>122.39999999999999</v>
      </c>
      <c r="Z219" s="36">
        <f t="shared" ref="Z219:Z224" si="25">IFERROR(IF(Y219=0,"",ROUNDUP(Y219/H219,0)*0.00651),"")</f>
        <v>0.33201000000000003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135.72500000000002</v>
      </c>
      <c r="BN219" s="64">
        <f t="shared" si="22"/>
        <v>136.17000000000002</v>
      </c>
      <c r="BO219" s="64">
        <f t="shared" si="23"/>
        <v>0.27930402930402937</v>
      </c>
      <c r="BP219" s="64">
        <f t="shared" si="24"/>
        <v>0.28021978021978022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271</v>
      </c>
      <c r="Y221" s="554">
        <f t="shared" si="20"/>
        <v>271.2</v>
      </c>
      <c r="Z221" s="36">
        <f t="shared" si="25"/>
        <v>0.73563000000000001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299.45500000000004</v>
      </c>
      <c r="BN221" s="64">
        <f t="shared" si="22"/>
        <v>299.67599999999999</v>
      </c>
      <c r="BO221" s="64">
        <f t="shared" si="23"/>
        <v>0.62042124542124555</v>
      </c>
      <c r="BP221" s="64">
        <f t="shared" si="24"/>
        <v>0.62087912087912089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99</v>
      </c>
      <c r="Y222" s="554">
        <f t="shared" si="20"/>
        <v>100.8</v>
      </c>
      <c r="Z222" s="36">
        <f t="shared" si="25"/>
        <v>0.27342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109.39500000000001</v>
      </c>
      <c r="BN222" s="64">
        <f t="shared" si="22"/>
        <v>111.384</v>
      </c>
      <c r="BO222" s="64">
        <f t="shared" si="23"/>
        <v>0.22664835164835168</v>
      </c>
      <c r="BP222" s="64">
        <f t="shared" si="24"/>
        <v>0.23076923076923078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84</v>
      </c>
      <c r="Y223" s="554">
        <f t="shared" si="20"/>
        <v>84</v>
      </c>
      <c r="Z223" s="36">
        <f t="shared" si="25"/>
        <v>0.22785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92.820000000000007</v>
      </c>
      <c r="BN223" s="64">
        <f t="shared" si="22"/>
        <v>92.820000000000007</v>
      </c>
      <c r="BO223" s="64">
        <f t="shared" si="23"/>
        <v>0.19230769230769232</v>
      </c>
      <c r="BP223" s="64">
        <f t="shared" si="24"/>
        <v>0.19230769230769232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105</v>
      </c>
      <c r="Y224" s="554">
        <f t="shared" si="20"/>
        <v>105.6</v>
      </c>
      <c r="Z224" s="36">
        <f t="shared" si="25"/>
        <v>0.28644000000000003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116.28749999999999</v>
      </c>
      <c r="BN224" s="64">
        <f t="shared" si="22"/>
        <v>116.952</v>
      </c>
      <c r="BO224" s="64">
        <f t="shared" si="23"/>
        <v>0.24038461538461539</v>
      </c>
      <c r="BP224" s="64">
        <f t="shared" si="24"/>
        <v>0.24175824175824179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303.92028522775649</v>
      </c>
      <c r="Y225" s="555">
        <f>IFERROR(Y216/H216,"0")+IFERROR(Y217/H217,"0")+IFERROR(Y218/H218,"0")+IFERROR(Y219/H219,"0")+IFERROR(Y220/H220,"0")+IFERROR(Y221/H221,"0")+IFERROR(Y222/H222,"0")+IFERROR(Y223/H223,"0")+IFERROR(Y224/H224,"0")</f>
        <v>307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2.2729100000000004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853</v>
      </c>
      <c r="Y226" s="555">
        <f>IFERROR(SUM(Y216:Y224),"0")</f>
        <v>871.19999999999993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135</v>
      </c>
      <c r="Y322" s="554">
        <f>IFERROR(IF(X322="",0,CEILING((X322/$H322),1)*$H322),"")</f>
        <v>142.80000000000001</v>
      </c>
      <c r="Z322" s="36">
        <f>IFERROR(IF(Y322=0,"",ROUNDUP(Y322/H322,0)*0.01898),"")</f>
        <v>0.32266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142.93928571428572</v>
      </c>
      <c r="BN322" s="64">
        <f>IFERROR(Y322*I322/H322,"0")</f>
        <v>151.19800000000001</v>
      </c>
      <c r="BO322" s="64">
        <f>IFERROR(1/J322*(X322/H322),"0")</f>
        <v>0.2511160714285714</v>
      </c>
      <c r="BP322" s="64">
        <f>IFERROR(1/J322*(Y322/H322),"0")</f>
        <v>0.265625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739</v>
      </c>
      <c r="Y323" s="554">
        <f>IFERROR(IF(X323="",0,CEILING((X323/$H323),1)*$H323),"")</f>
        <v>741</v>
      </c>
      <c r="Z323" s="36">
        <f>IFERROR(IF(Y323=0,"",ROUNDUP(Y323/H323,0)*0.01898),"")</f>
        <v>1.8030999999999999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785.8033333333334</v>
      </c>
      <c r="BN323" s="64">
        <f>IFERROR(Y323*I323/H323,"0")</f>
        <v>787.93000000000006</v>
      </c>
      <c r="BO323" s="64">
        <f>IFERROR(1/J323*(X323/H323),"0")</f>
        <v>1.4803685897435899</v>
      </c>
      <c r="BP323" s="64">
        <f>IFERROR(1/J323*(Y323/H323),"0")</f>
        <v>1.484375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125</v>
      </c>
      <c r="Y324" s="554">
        <f>IFERROR(IF(X324="",0,CEILING((X324/$H324),1)*$H324),"")</f>
        <v>126</v>
      </c>
      <c r="Z324" s="36">
        <f>IFERROR(IF(Y324=0,"",ROUNDUP(Y324/H324,0)*0.01898),"")</f>
        <v>0.28470000000000001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132.35119047619048</v>
      </c>
      <c r="BN324" s="64">
        <f>IFERROR(Y324*I324/H324,"0")</f>
        <v>133.41</v>
      </c>
      <c r="BO324" s="64">
        <f>IFERROR(1/J324*(X324/H324),"0")</f>
        <v>0.23251488095238093</v>
      </c>
      <c r="BP324" s="64">
        <f>IFERROR(1/J324*(Y324/H324),"0")</f>
        <v>0.234375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125.6959706959707</v>
      </c>
      <c r="Y325" s="555">
        <f>IFERROR(Y322/H322,"0")+IFERROR(Y323/H323,"0")+IFERROR(Y324/H324,"0")</f>
        <v>127</v>
      </c>
      <c r="Z325" s="555">
        <f>IFERROR(IF(Z322="",0,Z322),"0")+IFERROR(IF(Z323="",0,Z323),"0")+IFERROR(IF(Z324="",0,Z324),"0")</f>
        <v>2.41046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999</v>
      </c>
      <c r="Y326" s="555">
        <f>IFERROR(SUM(Y322:Y324),"0")</f>
        <v>1009.8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77</v>
      </c>
      <c r="Y331" s="554">
        <f>IFERROR(IF(X331="",0,CEILING((X331/$H331),1)*$H331),"")</f>
        <v>79.05</v>
      </c>
      <c r="Z331" s="36">
        <f>IFERROR(IF(Y331=0,"",ROUNDUP(Y331/H331,0)*0.00651),"")</f>
        <v>0.20181000000000002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86.964705882352945</v>
      </c>
      <c r="BN331" s="64">
        <f>IFERROR(Y331*I331/H331,"0")</f>
        <v>89.28</v>
      </c>
      <c r="BO331" s="64">
        <f>IFERROR(1/J331*(X331/H331),"0")</f>
        <v>0.16591251885369535</v>
      </c>
      <c r="BP331" s="64">
        <f>IFERROR(1/J331*(Y331/H331),"0")</f>
        <v>0.17032967032967034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30.196078431372552</v>
      </c>
      <c r="Y332" s="555">
        <f>IFERROR(Y328/H328,"0")+IFERROR(Y329/H329,"0")+IFERROR(Y330/H330,"0")+IFERROR(Y331/H331,"0")</f>
        <v>31</v>
      </c>
      <c r="Z332" s="555">
        <f>IFERROR(IF(Z328="",0,Z328),"0")+IFERROR(IF(Z329="",0,Z329),"0")+IFERROR(IF(Z330="",0,Z330),"0")+IFERROR(IF(Z331="",0,Z331),"0")</f>
        <v>0.20181000000000002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77</v>
      </c>
      <c r="Y333" s="555">
        <f>IFERROR(SUM(Y328:Y331),"0")</f>
        <v>79.05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20</v>
      </c>
      <c r="Y342" s="554">
        <f>IFERROR(IF(X342="",0,CEILING((X342/$H342),1)*$H342),"")</f>
        <v>24.299999999999997</v>
      </c>
      <c r="Z342" s="36">
        <f>IFERROR(IF(Y342=0,"",ROUNDUP(Y342/H342,0)*0.01898),"")</f>
        <v>5.6940000000000004E-2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21.219753086419754</v>
      </c>
      <c r="BN342" s="64">
        <f>IFERROR(Y342*I342/H342,"0")</f>
        <v>25.781999999999996</v>
      </c>
      <c r="BO342" s="64">
        <f>IFERROR(1/J342*(X342/H342),"0")</f>
        <v>3.8580246913580252E-2</v>
      </c>
      <c r="BP342" s="64">
        <f>IFERROR(1/J342*(Y342/H342),"0")</f>
        <v>4.6875E-2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2.4691358024691361</v>
      </c>
      <c r="Y345" s="555">
        <f>IFERROR(Y342/H342,"0")+IFERROR(Y343/H343,"0")+IFERROR(Y344/H344,"0")</f>
        <v>3</v>
      </c>
      <c r="Z345" s="555">
        <f>IFERROR(IF(Z342="",0,Z342),"0")+IFERROR(IF(Z343="",0,Z343),"0")+IFERROR(IF(Z344="",0,Z344),"0")</f>
        <v>5.6940000000000004E-2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20</v>
      </c>
      <c r="Y346" s="555">
        <f>IFERROR(SUM(Y342:Y344),"0")</f>
        <v>24.299999999999997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24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25.317333333333334</v>
      </c>
      <c r="BN366" s="64">
        <f>IFERROR(Y366*I366/H366,"0")</f>
        <v>28.481999999999996</v>
      </c>
      <c r="BO366" s="64">
        <f>IFERROR(1/J366*(X366/H366),"0")</f>
        <v>4.1666666666666664E-2</v>
      </c>
      <c r="BP366" s="64">
        <f>IFERROR(1/J366*(Y366/H366),"0")</f>
        <v>4.6875E-2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2.6666666666666665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24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145</v>
      </c>
      <c r="Y370" s="554">
        <f>IFERROR(IF(X370="",0,CEILING((X370/$H370),1)*$H370),"")</f>
        <v>153</v>
      </c>
      <c r="Z370" s="36">
        <f>IFERROR(IF(Y370=0,"",ROUNDUP(Y370/H370,0)*0.01898),"")</f>
        <v>0.32266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152.95888888888888</v>
      </c>
      <c r="BN370" s="64">
        <f>IFERROR(Y370*I370/H370,"0")</f>
        <v>161.398</v>
      </c>
      <c r="BO370" s="64">
        <f>IFERROR(1/J370*(X370/H370),"0")</f>
        <v>0.2517361111111111</v>
      </c>
      <c r="BP370" s="64">
        <f>IFERROR(1/J370*(Y370/H370),"0")</f>
        <v>0.265625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16.111111111111111</v>
      </c>
      <c r="Y371" s="555">
        <f>IFERROR(Y370/H370,"0")</f>
        <v>17</v>
      </c>
      <c r="Z371" s="555">
        <f>IFERROR(IF(Z370="",0,Z370),"0")</f>
        <v>0.32266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145</v>
      </c>
      <c r="Y372" s="555">
        <f>IFERROR(SUM(Y370:Y370),"0")</f>
        <v>153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9</v>
      </c>
      <c r="Y375" s="554">
        <f>IFERROR(IF(X375="",0,CEILING((X375/$H375),1)*$H375),"")</f>
        <v>12</v>
      </c>
      <c r="Z375" s="36">
        <f>IFERROR(IF(Y375=0,"",ROUNDUP(Y375/H375,0)*0.01898),"")</f>
        <v>1.898E-2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9.3074999999999992</v>
      </c>
      <c r="BN375" s="64">
        <f>IFERROR(Y375*I375/H375,"0")</f>
        <v>12.410000000000002</v>
      </c>
      <c r="BO375" s="64">
        <f>IFERROR(1/J375*(X375/H375),"0")</f>
        <v>1.171875E-2</v>
      </c>
      <c r="BP375" s="64">
        <f>IFERROR(1/J375*(Y375/H375),"0")</f>
        <v>1.5625E-2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0.75</v>
      </c>
      <c r="Y377" s="555">
        <f>IFERROR(Y375/H375,"0")+IFERROR(Y376/H376,"0")</f>
        <v>1</v>
      </c>
      <c r="Z377" s="555">
        <f>IFERROR(IF(Z375="",0,Z375),"0")+IFERROR(IF(Z376="",0,Z376),"0")</f>
        <v>1.898E-2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9</v>
      </c>
      <c r="Y378" s="555">
        <f>IFERROR(SUM(Y375:Y376),"0")</f>
        <v>12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1893</v>
      </c>
      <c r="Y385" s="554">
        <f>IFERROR(IF(X385="",0,CEILING((X385/$H385),1)*$H385),"")</f>
        <v>1899</v>
      </c>
      <c r="Z385" s="36">
        <f>IFERROR(IF(Y385=0,"",ROUNDUP(Y385/H385,0)*0.01898),"")</f>
        <v>4.0047800000000002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1996.9046666666666</v>
      </c>
      <c r="BN385" s="64">
        <f>IFERROR(Y385*I385/H385,"0")</f>
        <v>2003.2339999999999</v>
      </c>
      <c r="BO385" s="64">
        <f>IFERROR(1/J385*(X385/H385),"0")</f>
        <v>3.2864583333333335</v>
      </c>
      <c r="BP385" s="64">
        <f>IFERROR(1/J385*(Y385/H385),"0")</f>
        <v>3.296875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210.33333333333334</v>
      </c>
      <c r="Y388" s="555">
        <f>IFERROR(Y385/H385,"0")+IFERROR(Y386/H386,"0")+IFERROR(Y387/H387,"0")</f>
        <v>211</v>
      </c>
      <c r="Z388" s="555">
        <f>IFERROR(IF(Z385="",0,Z385),"0")+IFERROR(IF(Z386="",0,Z386),"0")+IFERROR(IF(Z387="",0,Z387),"0")</f>
        <v>4.0047800000000002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1893</v>
      </c>
      <c r="Y389" s="555">
        <f>IFERROR(SUM(Y385:Y387),"0")</f>
        <v>1899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4</v>
      </c>
      <c r="Y432" s="554">
        <f t="shared" si="47"/>
        <v>5.28</v>
      </c>
      <c r="Z432" s="36">
        <f t="shared" si="48"/>
        <v>1.196E-2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4.2651515151515147</v>
      </c>
      <c r="BN432" s="64">
        <f t="shared" si="50"/>
        <v>5.63</v>
      </c>
      <c r="BO432" s="64">
        <f t="shared" si="51"/>
        <v>7.2843822843822849E-3</v>
      </c>
      <c r="BP432" s="64">
        <f t="shared" si="52"/>
        <v>9.6153846153846159E-3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4</v>
      </c>
      <c r="Y440" s="554">
        <f t="shared" si="47"/>
        <v>4.8</v>
      </c>
      <c r="Z440" s="36">
        <f>IFERROR(IF(Y440=0,"",ROUNDUP(Y440/H440,0)*0.00902),"")</f>
        <v>9.0200000000000002E-3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5.7583333333333337</v>
      </c>
      <c r="BN440" s="64">
        <f t="shared" si="50"/>
        <v>6.91</v>
      </c>
      <c r="BO440" s="64">
        <f t="shared" si="51"/>
        <v>6.3131313131313139E-3</v>
      </c>
      <c r="BP440" s="64">
        <f t="shared" si="52"/>
        <v>7.575757575757576E-3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1.5909090909090908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2.0979999999999999E-2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8</v>
      </c>
      <c r="Y442" s="555">
        <f>IFERROR(SUM(Y429:Y440),"0")</f>
        <v>10.08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4860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4936.93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5180.1700622099333</v>
      </c>
      <c r="Y496" s="555">
        <f>IFERROR(SUM(BN22:BN492),"0")</f>
        <v>5261.9560000000001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5430.1700622099333</v>
      </c>
      <c r="Y498" s="555">
        <f>GrossWeightTotalR+PalletQtyTotalR*25</f>
        <v>5511.9560000000001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802.32238603181816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813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11.353720000000001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112.6</v>
      </c>
      <c r="E505" s="46">
        <f>IFERROR(Y85*1,"0")+IFERROR(Y86*1,"0")+IFERROR(Y87*1,"0")+IFERROR(Y88*1,"0")+IFERROR(Y92*1,"0")+IFERROR(Y93*1,"0")+IFERROR(Y94*1,"0")+IFERROR(Y95*1,"0")</f>
        <v>445.5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243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871.19999999999993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1088.8499999999999</v>
      </c>
      <c r="R505" s="46">
        <f>IFERROR(Y342*1,"0")+IFERROR(Y343*1,"0")+IFERROR(Y344*1,"0")</f>
        <v>24.299999999999997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180</v>
      </c>
      <c r="T505" s="46">
        <f>IFERROR(Y375*1,"0")+IFERROR(Y376*1,"0")+IFERROR(Y380*1,"0")+IFERROR(Y381*1,"0")+IFERROR(Y385*1,"0")+IFERROR(Y386*1,"0")+IFERROR(Y387*1,"0")</f>
        <v>1911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10.08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2026-01-14T08:48:37Z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