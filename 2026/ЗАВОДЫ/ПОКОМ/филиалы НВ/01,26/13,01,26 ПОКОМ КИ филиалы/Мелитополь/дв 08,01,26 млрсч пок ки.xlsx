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"/>
    </mc:Choice>
  </mc:AlternateContent>
  <xr:revisionPtr revIDLastSave="0" documentId="13_ncr:1_{2CDB0D5B-3A69-487D-90FC-EDC2D68BF9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9" i="1"/>
  <c r="AG9" i="1" s="1"/>
  <c r="S12" i="1"/>
  <c r="S13" i="1"/>
  <c r="AG13" i="1" s="1"/>
  <c r="S14" i="1"/>
  <c r="S15" i="1"/>
  <c r="AG15" i="1" s="1"/>
  <c r="S16" i="1"/>
  <c r="S18" i="1"/>
  <c r="S19" i="1"/>
  <c r="S20" i="1"/>
  <c r="S23" i="1"/>
  <c r="S25" i="1"/>
  <c r="AG25" i="1" s="1"/>
  <c r="S26" i="1"/>
  <c r="S29" i="1"/>
  <c r="AG29" i="1" s="1"/>
  <c r="S30" i="1"/>
  <c r="S31" i="1"/>
  <c r="AG31" i="1" s="1"/>
  <c r="S32" i="1"/>
  <c r="S34" i="1"/>
  <c r="S36" i="1"/>
  <c r="S37" i="1"/>
  <c r="AG37" i="1" s="1"/>
  <c r="S38" i="1"/>
  <c r="S39" i="1"/>
  <c r="AG39" i="1" s="1"/>
  <c r="S40" i="1"/>
  <c r="S41" i="1"/>
  <c r="AG41" i="1" s="1"/>
  <c r="S43" i="1"/>
  <c r="S45" i="1"/>
  <c r="AG45" i="1" s="1"/>
  <c r="S48" i="1"/>
  <c r="S51" i="1"/>
  <c r="AG51" i="1" s="1"/>
  <c r="S52" i="1"/>
  <c r="S53" i="1"/>
  <c r="AG53" i="1" s="1"/>
  <c r="S56" i="1"/>
  <c r="S57" i="1"/>
  <c r="AG57" i="1" s="1"/>
  <c r="S58" i="1"/>
  <c r="S60" i="1"/>
  <c r="S62" i="1"/>
  <c r="S63" i="1"/>
  <c r="AG63" i="1" s="1"/>
  <c r="S64" i="1"/>
  <c r="S66" i="1"/>
  <c r="S67" i="1"/>
  <c r="S69" i="1"/>
  <c r="AG69" i="1" s="1"/>
  <c r="S70" i="1"/>
  <c r="S71" i="1"/>
  <c r="AG71" i="1" s="1"/>
  <c r="S73" i="1"/>
  <c r="S74" i="1"/>
  <c r="S75" i="1"/>
  <c r="S77" i="1"/>
  <c r="AG77" i="1" s="1"/>
  <c r="S80" i="1"/>
  <c r="S82" i="1"/>
  <c r="S83" i="1"/>
  <c r="S84" i="1"/>
  <c r="S85" i="1"/>
  <c r="S86" i="1"/>
  <c r="AG86" i="1" s="1"/>
  <c r="S87" i="1"/>
  <c r="S89" i="1"/>
  <c r="AG89" i="1" s="1"/>
  <c r="S90" i="1"/>
  <c r="AG90" i="1" s="1"/>
  <c r="S91" i="1"/>
  <c r="AG91" i="1" s="1"/>
  <c r="S93" i="1"/>
  <c r="S95" i="1"/>
  <c r="AG95" i="1" s="1"/>
  <c r="S96" i="1"/>
  <c r="AG96" i="1" s="1"/>
  <c r="S98" i="1"/>
  <c r="AG98" i="1" s="1"/>
  <c r="S6" i="1"/>
  <c r="AG6" i="1" s="1"/>
  <c r="AG7" i="1"/>
  <c r="AG19" i="1"/>
  <c r="AG23" i="1"/>
  <c r="AG43" i="1"/>
  <c r="AG67" i="1"/>
  <c r="AG73" i="1"/>
  <c r="AG75" i="1"/>
  <c r="AG83" i="1"/>
  <c r="AG85" i="1"/>
  <c r="AG87" i="1"/>
  <c r="AG93" i="1"/>
  <c r="AG84" i="1" l="1"/>
  <c r="AG82" i="1"/>
  <c r="AG80" i="1"/>
  <c r="AG74" i="1"/>
  <c r="AG70" i="1"/>
  <c r="AG66" i="1"/>
  <c r="AG64" i="1"/>
  <c r="AG62" i="1"/>
  <c r="AG60" i="1"/>
  <c r="AG58" i="1"/>
  <c r="AG56" i="1"/>
  <c r="AG52" i="1"/>
  <c r="AG48" i="1"/>
  <c r="AG40" i="1"/>
  <c r="AG38" i="1"/>
  <c r="AG36" i="1"/>
  <c r="AG34" i="1"/>
  <c r="AG32" i="1"/>
  <c r="AG30" i="1"/>
  <c r="AG26" i="1"/>
  <c r="AG20" i="1"/>
  <c r="AG18" i="1"/>
  <c r="AG16" i="1"/>
  <c r="AG14" i="1"/>
  <c r="AG12" i="1"/>
  <c r="P16" i="1"/>
  <c r="V16" i="1" s="1"/>
  <c r="P7" i="1"/>
  <c r="V7" i="1" s="1"/>
  <c r="P8" i="1"/>
  <c r="Q8" i="1" s="1"/>
  <c r="S8" i="1" s="1"/>
  <c r="V8" i="1" s="1"/>
  <c r="P9" i="1"/>
  <c r="V9" i="1" s="1"/>
  <c r="P10" i="1"/>
  <c r="P11" i="1"/>
  <c r="Q11" i="1" s="1"/>
  <c r="S11" i="1" s="1"/>
  <c r="P12" i="1"/>
  <c r="V12" i="1" s="1"/>
  <c r="P13" i="1"/>
  <c r="V13" i="1" s="1"/>
  <c r="P14" i="1"/>
  <c r="V14" i="1" s="1"/>
  <c r="P15" i="1"/>
  <c r="V15" i="1" s="1"/>
  <c r="P17" i="1"/>
  <c r="R17" i="1" s="1"/>
  <c r="P18" i="1"/>
  <c r="V18" i="1" s="1"/>
  <c r="P19" i="1"/>
  <c r="V19" i="1" s="1"/>
  <c r="P20" i="1"/>
  <c r="V20" i="1" s="1"/>
  <c r="P21" i="1"/>
  <c r="P22" i="1"/>
  <c r="R22" i="1" s="1"/>
  <c r="P23" i="1"/>
  <c r="V23" i="1" s="1"/>
  <c r="P24" i="1"/>
  <c r="P25" i="1"/>
  <c r="V25" i="1" s="1"/>
  <c r="P26" i="1"/>
  <c r="V26" i="1" s="1"/>
  <c r="P27" i="1"/>
  <c r="P28" i="1"/>
  <c r="Q28" i="1" s="1"/>
  <c r="S28" i="1" s="1"/>
  <c r="V28" i="1" s="1"/>
  <c r="P29" i="1"/>
  <c r="V29" i="1" s="1"/>
  <c r="P30" i="1"/>
  <c r="V30" i="1" s="1"/>
  <c r="P31" i="1"/>
  <c r="V31" i="1" s="1"/>
  <c r="P32" i="1"/>
  <c r="V32" i="1" s="1"/>
  <c r="P33" i="1"/>
  <c r="P34" i="1"/>
  <c r="V34" i="1" s="1"/>
  <c r="P35" i="1"/>
  <c r="P36" i="1"/>
  <c r="V36" i="1" s="1"/>
  <c r="P37" i="1"/>
  <c r="V37" i="1" s="1"/>
  <c r="P38" i="1"/>
  <c r="V38" i="1" s="1"/>
  <c r="P39" i="1"/>
  <c r="V39" i="1" s="1"/>
  <c r="P40" i="1"/>
  <c r="V40" i="1" s="1"/>
  <c r="P41" i="1"/>
  <c r="V41" i="1" s="1"/>
  <c r="P42" i="1"/>
  <c r="Q42" i="1" s="1"/>
  <c r="S42" i="1" s="1"/>
  <c r="V42" i="1" s="1"/>
  <c r="P43" i="1"/>
  <c r="V43" i="1" s="1"/>
  <c r="P44" i="1"/>
  <c r="P45" i="1"/>
  <c r="V45" i="1" s="1"/>
  <c r="P46" i="1"/>
  <c r="Q46" i="1" s="1"/>
  <c r="S46" i="1" s="1"/>
  <c r="V46" i="1" s="1"/>
  <c r="P47" i="1"/>
  <c r="P48" i="1"/>
  <c r="V48" i="1" s="1"/>
  <c r="P49" i="1"/>
  <c r="P50" i="1"/>
  <c r="P51" i="1"/>
  <c r="V51" i="1" s="1"/>
  <c r="P52" i="1"/>
  <c r="V52" i="1" s="1"/>
  <c r="P53" i="1"/>
  <c r="V53" i="1" s="1"/>
  <c r="P54" i="1"/>
  <c r="P55" i="1"/>
  <c r="P56" i="1"/>
  <c r="V56" i="1" s="1"/>
  <c r="P57" i="1"/>
  <c r="V57" i="1" s="1"/>
  <c r="P58" i="1"/>
  <c r="V58" i="1" s="1"/>
  <c r="P59" i="1"/>
  <c r="Q59" i="1" s="1"/>
  <c r="S59" i="1" s="1"/>
  <c r="P60" i="1"/>
  <c r="V60" i="1" s="1"/>
  <c r="P61" i="1"/>
  <c r="P62" i="1"/>
  <c r="V62" i="1" s="1"/>
  <c r="P63" i="1"/>
  <c r="V63" i="1" s="1"/>
  <c r="P64" i="1"/>
  <c r="V64" i="1" s="1"/>
  <c r="P65" i="1"/>
  <c r="Q65" i="1" s="1"/>
  <c r="S65" i="1" s="1"/>
  <c r="P66" i="1"/>
  <c r="V66" i="1" s="1"/>
  <c r="P67" i="1"/>
  <c r="V67" i="1" s="1"/>
  <c r="P68" i="1"/>
  <c r="P69" i="1"/>
  <c r="V69" i="1" s="1"/>
  <c r="P70" i="1"/>
  <c r="V70" i="1" s="1"/>
  <c r="P71" i="1"/>
  <c r="V71" i="1" s="1"/>
  <c r="P72" i="1"/>
  <c r="P73" i="1"/>
  <c r="V73" i="1" s="1"/>
  <c r="P74" i="1"/>
  <c r="V74" i="1" s="1"/>
  <c r="P75" i="1"/>
  <c r="V75" i="1" s="1"/>
  <c r="P76" i="1"/>
  <c r="P77" i="1"/>
  <c r="V77" i="1" s="1"/>
  <c r="P78" i="1"/>
  <c r="P79" i="1"/>
  <c r="P80" i="1"/>
  <c r="V80" i="1" s="1"/>
  <c r="P81" i="1"/>
  <c r="P82" i="1"/>
  <c r="V82" i="1" s="1"/>
  <c r="P83" i="1"/>
  <c r="V83" i="1" s="1"/>
  <c r="P84" i="1"/>
  <c r="V84" i="1" s="1"/>
  <c r="P85" i="1"/>
  <c r="V85" i="1" s="1"/>
  <c r="P86" i="1"/>
  <c r="V86" i="1" s="1"/>
  <c r="P87" i="1"/>
  <c r="V87" i="1" s="1"/>
  <c r="P88" i="1"/>
  <c r="P89" i="1"/>
  <c r="V89" i="1" s="1"/>
  <c r="P90" i="1"/>
  <c r="V90" i="1" s="1"/>
  <c r="P91" i="1"/>
  <c r="V91" i="1" s="1"/>
  <c r="P92" i="1"/>
  <c r="P93" i="1"/>
  <c r="P94" i="1"/>
  <c r="P95" i="1"/>
  <c r="P96" i="1"/>
  <c r="V96" i="1" s="1"/>
  <c r="P97" i="1"/>
  <c r="W97" i="1" s="1"/>
  <c r="P98" i="1"/>
  <c r="V98" i="1" s="1"/>
  <c r="P6" i="1"/>
  <c r="V6" i="1" s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81" i="1" l="1"/>
  <c r="R81" i="1"/>
  <c r="Q79" i="1"/>
  <c r="R79" i="1"/>
  <c r="Q61" i="1"/>
  <c r="R61" i="1"/>
  <c r="Q21" i="1"/>
  <c r="R21" i="1"/>
  <c r="R5" i="1" s="1"/>
  <c r="AG42" i="1"/>
  <c r="AG28" i="1"/>
  <c r="AG46" i="1"/>
  <c r="W95" i="1"/>
  <c r="V95" i="1"/>
  <c r="W93" i="1"/>
  <c r="V93" i="1"/>
  <c r="AG65" i="1"/>
  <c r="V65" i="1"/>
  <c r="AG59" i="1"/>
  <c r="V59" i="1"/>
  <c r="AG8" i="1"/>
  <c r="AG11" i="1"/>
  <c r="V11" i="1"/>
  <c r="Q27" i="1"/>
  <c r="S27" i="1" s="1"/>
  <c r="Q97" i="1"/>
  <c r="S97" i="1" s="1"/>
  <c r="W98" i="1"/>
  <c r="W96" i="1"/>
  <c r="W94" i="1"/>
  <c r="Q94" i="1"/>
  <c r="S94" i="1" s="1"/>
  <c r="W92" i="1"/>
  <c r="Q92" i="1"/>
  <c r="S92" i="1" s="1"/>
  <c r="Q88" i="1"/>
  <c r="S88" i="1" s="1"/>
  <c r="Q78" i="1"/>
  <c r="S78" i="1" s="1"/>
  <c r="Q76" i="1"/>
  <c r="S76" i="1" s="1"/>
  <c r="Q72" i="1"/>
  <c r="S72" i="1" s="1"/>
  <c r="Q68" i="1"/>
  <c r="S68" i="1" s="1"/>
  <c r="Q54" i="1"/>
  <c r="S54" i="1" s="1"/>
  <c r="Q50" i="1"/>
  <c r="S50" i="1" s="1"/>
  <c r="Q24" i="1"/>
  <c r="S24" i="1" s="1"/>
  <c r="Q22" i="1"/>
  <c r="S22" i="1" s="1"/>
  <c r="Q10" i="1"/>
  <c r="S10" i="1" s="1"/>
  <c r="Q44" i="1"/>
  <c r="S44" i="1" s="1"/>
  <c r="Q17" i="1"/>
  <c r="S17" i="1" s="1"/>
  <c r="Q33" i="1"/>
  <c r="S33" i="1" s="1"/>
  <c r="Q35" i="1"/>
  <c r="S35" i="1" s="1"/>
  <c r="Q47" i="1"/>
  <c r="S47" i="1" s="1"/>
  <c r="Q49" i="1"/>
  <c r="S49" i="1" s="1"/>
  <c r="Q55" i="1"/>
  <c r="S55" i="1" s="1"/>
  <c r="W90" i="1"/>
  <c r="W86" i="1"/>
  <c r="W82" i="1"/>
  <c r="W78" i="1"/>
  <c r="W74" i="1"/>
  <c r="W70" i="1"/>
  <c r="W66" i="1"/>
  <c r="W62" i="1"/>
  <c r="W58" i="1"/>
  <c r="W54" i="1"/>
  <c r="W50" i="1"/>
  <c r="W46" i="1"/>
  <c r="W42" i="1"/>
  <c r="W38" i="1"/>
  <c r="W34" i="1"/>
  <c r="W30" i="1"/>
  <c r="W26" i="1"/>
  <c r="W22" i="1"/>
  <c r="W18" i="1"/>
  <c r="W14" i="1"/>
  <c r="W10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W6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P5" i="1"/>
  <c r="L5" i="1"/>
  <c r="S21" i="1" l="1"/>
  <c r="S61" i="1"/>
  <c r="S79" i="1"/>
  <c r="S81" i="1"/>
  <c r="AG55" i="1"/>
  <c r="V55" i="1"/>
  <c r="AG47" i="1"/>
  <c r="V47" i="1"/>
  <c r="AG33" i="1"/>
  <c r="V33" i="1"/>
  <c r="V44" i="1"/>
  <c r="AG44" i="1"/>
  <c r="V22" i="1"/>
  <c r="AG22" i="1"/>
  <c r="V50" i="1"/>
  <c r="AG50" i="1"/>
  <c r="V68" i="1"/>
  <c r="AG68" i="1"/>
  <c r="V76" i="1"/>
  <c r="AG76" i="1"/>
  <c r="AG88" i="1"/>
  <c r="V88" i="1"/>
  <c r="AG27" i="1"/>
  <c r="V27" i="1"/>
  <c r="AG49" i="1"/>
  <c r="V49" i="1"/>
  <c r="AG35" i="1"/>
  <c r="V35" i="1"/>
  <c r="AG17" i="1"/>
  <c r="V17" i="1"/>
  <c r="V10" i="1"/>
  <c r="AG10" i="1"/>
  <c r="V24" i="1"/>
  <c r="AG24" i="1"/>
  <c r="V54" i="1"/>
  <c r="AG54" i="1"/>
  <c r="V72" i="1"/>
  <c r="AG72" i="1"/>
  <c r="V78" i="1"/>
  <c r="AG78" i="1"/>
  <c r="AG92" i="1"/>
  <c r="V92" i="1"/>
  <c r="AG94" i="1"/>
  <c r="V94" i="1"/>
  <c r="AG97" i="1"/>
  <c r="V97" i="1"/>
  <c r="Q5" i="1"/>
  <c r="AG81" i="1" l="1"/>
  <c r="V81" i="1"/>
  <c r="AG61" i="1"/>
  <c r="V61" i="1"/>
  <c r="S5" i="1"/>
  <c r="AG79" i="1"/>
  <c r="V79" i="1"/>
  <c r="AG21" i="1"/>
  <c r="V21" i="1"/>
  <c r="AG5" i="1" l="1"/>
</calcChain>
</file>

<file path=xl/sharedStrings.xml><?xml version="1.0" encoding="utf-8"?>
<sst xmlns="http://schemas.openxmlformats.org/spreadsheetml/2006/main" count="373" uniqueCount="148">
  <si>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</si>
  <si>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</si>
  <si>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</si>
  <si>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</si>
  <si>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</si>
  <si>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</si>
  <si>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</si>
  <si>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</si>
  <si>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</si>
  <si>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</si>
  <si>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</si>
  <si>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</si>
  <si>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</si>
  <si>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</si>
  <si>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</si>
  <si>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</si>
  <si>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</si>
  <si>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</si>
  <si>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</si>
  <si>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</si>
  <si>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</si>
  <si>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</si>
  <si>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</si>
  <si>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</si>
  <si>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</si>
  <si>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</si>
  <si>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</si>
  <si>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</si>
  <si>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</si>
  <si>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</si>
  <si>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</si>
  <si>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</si>
  <si>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</si>
  <si>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</si>
  <si>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</si>
  <si>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</si>
  <si>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</si>
  <si>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</si>
  <si>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</si>
  <si>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</si>
  <si>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</si>
  <si>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</si>
  <si>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</si>
  <si>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</si>
  <si>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</si>
  <si>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</si>
  <si>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</si>
  <si>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</si>
  <si>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</si>
  <si>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</si>
  <si>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</si>
  <si>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>ТМА декабрь_январь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</si>
  <si>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</si>
  <si>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</si>
  <si>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</si>
  <si>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</si>
  <si>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</si>
  <si>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</si>
  <si>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</si>
  <si>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</si>
  <si>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</si>
  <si>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</si>
  <si>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</si>
  <si>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</si>
  <si>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</si>
  <si>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</si>
  <si>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</si>
  <si>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</si>
  <si>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</si>
  <si>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</si>
  <si>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</si>
  <si>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</si>
  <si>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</si>
  <si>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</si>
  <si>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</si>
  <si>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</si>
  <si>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</si>
  <si>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</si>
  <si>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</si>
  <si>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</si>
  <si>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</si>
  <si>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</si>
  <si>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</si>
  <si>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</si>
  <si>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</si>
  <si>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</si>
  <si>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</si>
  <si>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</si>
  <si>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</si>
  <si>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</si>
  <si>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</si>
  <si>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</si>
  <si>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</si>
  <si>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</si>
  <si>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</si>
  <si>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</si>
  <si>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</si>
  <si>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</si>
  <si>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</si>
  <si>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</si>
  <si>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нужно увеличить продажи!!!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</si>
  <si>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</si>
  <si>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</si>
  <si>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</si>
  <si>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</si>
  <si>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</si>
  <si>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</si>
  <si>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</si>
  <si>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</si>
  <si>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</si>
  <si>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</si>
  <si>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</si>
  <si>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</si>
  <si>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</si>
  <si>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</si>
  <si>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</si>
  <si>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</si>
  <si>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</si>
  <si>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</si>
  <si>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</si>
  <si>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</si>
  <si>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</si>
  <si>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</si>
  <si>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</si>
  <si>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</si>
  <si>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</si>
  <si>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</si>
  <si>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</si>
  <si>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</si>
  <si>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</si>
  <si>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</si>
  <si>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!!!ВЫВЕДЕНА!!! ДУБЛЬ Колбаса Княжеская ТМ Стародворье сырокопч. из мяса птицы Поком</t>
  </si>
  <si>
    <t>не в матрице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</si>
  <si>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</si>
  <si>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</si>
  <si>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</si>
  <si>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</si>
  <si>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</si>
  <si>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</si>
  <si>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</si>
  <si>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</si>
  <si>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</si>
  <si>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Новороссийск</t>
  </si>
  <si>
    <t>нужно увеличить продажи / ТМА декабрь_январь</t>
  </si>
  <si>
    <t>завод не отгрузил</t>
  </si>
  <si>
    <t>до машины</t>
  </si>
  <si>
    <t>заказ</t>
  </si>
  <si>
    <t>11,01,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</si>
</sst>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164" fontId="4" fillId="5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21" customWidth="1"/>
    <col min="22" max="23" width="5" customWidth="1"/>
    <col min="24" max="31" width="6" customWidth="1"/>
    <col min="32" max="32" width="52.28515625" customWidth="1"/>
    <col min="33" max="33" width="7" customWidth="1"/>
    <col min="34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3">
        <v>1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145</v>
      </c>
      <c r="S3" s="3" t="s">
        <v>146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 t="s">
        <v>147</v>
      </c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12072.021000000001</v>
      </c>
      <c r="F5" s="4">
        <f>SUM(F6:F500)</f>
        <v>25637.792999999998</v>
      </c>
      <c r="G5" s="8"/>
      <c r="H5" s="1"/>
      <c r="I5" s="1"/>
      <c r="J5" s="1"/>
      <c r="K5" s="4">
        <f t="shared" ref="K5:T5" si="0">SUM(K6:K500)</f>
        <v>12956.014999999998</v>
      </c>
      <c r="L5" s="4">
        <f t="shared" si="0"/>
        <v>-883.99400000000003</v>
      </c>
      <c r="M5" s="4">
        <f t="shared" si="0"/>
        <v>0</v>
      </c>
      <c r="N5" s="4">
        <f t="shared" si="0"/>
        <v>0</v>
      </c>
      <c r="O5" s="4">
        <f t="shared" si="0"/>
        <v>1424.8802933333336</v>
      </c>
      <c r="P5" s="4">
        <f t="shared" si="0"/>
        <v>2012.0035000000005</v>
      </c>
      <c r="Q5" s="4">
        <f t="shared" si="0"/>
        <v>3008.0478733333325</v>
      </c>
      <c r="R5" s="4">
        <f t="shared" si="0"/>
        <v>293.91566666666665</v>
      </c>
      <c r="S5" s="4">
        <f t="shared" si="0"/>
        <v>3301.9635399999997</v>
      </c>
      <c r="T5" s="4">
        <f t="shared" si="0"/>
        <v>0</v>
      </c>
      <c r="U5" s="1"/>
      <c r="V5" s="1"/>
      <c r="W5" s="1"/>
      <c r="X5" s="4">
        <f t="shared" ref="X5:AE5" si="1">SUM(X6:X500)</f>
        <v>2063.2885000000001</v>
      </c>
      <c r="Y5" s="4">
        <f t="shared" si="1"/>
        <v>2477.1244000000002</v>
      </c>
      <c r="Z5" s="4">
        <f t="shared" si="1"/>
        <v>2375.0041999999999</v>
      </c>
      <c r="AA5" s="4">
        <f t="shared" si="1"/>
        <v>2086.8108000000002</v>
      </c>
      <c r="AB5" s="4">
        <f t="shared" si="1"/>
        <v>1960.2214000000006</v>
      </c>
      <c r="AC5" s="4">
        <f t="shared" si="1"/>
        <v>1898.6560000000002</v>
      </c>
      <c r="AD5" s="4">
        <f t="shared" si="1"/>
        <v>2035.7315999999998</v>
      </c>
      <c r="AE5" s="4">
        <f t="shared" si="1"/>
        <v>2084.4382000000001</v>
      </c>
      <c r="AF5" s="1"/>
      <c r="AG5" s="4">
        <f>SUM(AG6:AG500)</f>
        <v>2160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-2.02</v>
      </c>
      <c r="D6" s="1">
        <v>292.69400000000002</v>
      </c>
      <c r="E6" s="1">
        <v>90.037999999999997</v>
      </c>
      <c r="F6" s="1">
        <v>191.285</v>
      </c>
      <c r="G6" s="8">
        <v>1</v>
      </c>
      <c r="H6" s="1">
        <v>50</v>
      </c>
      <c r="I6" s="1" t="s">
        <v>36</v>
      </c>
      <c r="J6" s="1"/>
      <c r="K6" s="1">
        <v>91.55</v>
      </c>
      <c r="L6" s="1">
        <f t="shared" ref="L6:L37" si="2">E6-K6</f>
        <v>-1.5120000000000005</v>
      </c>
      <c r="M6" s="1"/>
      <c r="N6" s="1"/>
      <c r="O6" s="1">
        <v>0</v>
      </c>
      <c r="P6" s="1">
        <f>E6/6</f>
        <v>15.006333333333332</v>
      </c>
      <c r="Q6" s="5"/>
      <c r="R6" s="5"/>
      <c r="S6" s="5">
        <f>R6+Q6</f>
        <v>0</v>
      </c>
      <c r="T6" s="5"/>
      <c r="U6" s="1"/>
      <c r="V6" s="1">
        <f>(F6+O6+S6)/P6</f>
        <v>12.74695128723428</v>
      </c>
      <c r="W6" s="1">
        <f>(F6+O6)/P6</f>
        <v>12.74695128723428</v>
      </c>
      <c r="X6" s="1">
        <v>14.765499999999999</v>
      </c>
      <c r="Y6" s="1">
        <v>17.429400000000001</v>
      </c>
      <c r="Z6" s="1">
        <v>15.400600000000001</v>
      </c>
      <c r="AA6" s="1">
        <v>16.143799999999999</v>
      </c>
      <c r="AB6" s="1">
        <v>13.5402</v>
      </c>
      <c r="AC6" s="1">
        <v>11.7384</v>
      </c>
      <c r="AD6" s="1">
        <v>13.758599999999999</v>
      </c>
      <c r="AE6" s="1">
        <v>15.615399999999999</v>
      </c>
      <c r="AF6" s="1"/>
      <c r="AG6" s="1">
        <f>ROUND(G6*S6,0)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27.798999999999999</v>
      </c>
      <c r="D7" s="1">
        <v>447.04300000000001</v>
      </c>
      <c r="E7" s="1">
        <v>135.376</v>
      </c>
      <c r="F7" s="1">
        <v>302.87900000000002</v>
      </c>
      <c r="G7" s="8">
        <v>1</v>
      </c>
      <c r="H7" s="1">
        <v>45</v>
      </c>
      <c r="I7" s="1" t="s">
        <v>36</v>
      </c>
      <c r="J7" s="1"/>
      <c r="K7" s="1">
        <v>141.15</v>
      </c>
      <c r="L7" s="1">
        <f t="shared" si="2"/>
        <v>-5.7740000000000009</v>
      </c>
      <c r="M7" s="1"/>
      <c r="N7" s="1"/>
      <c r="O7" s="1">
        <v>0</v>
      </c>
      <c r="P7" s="1">
        <f t="shared" ref="P7:P70" si="3">E7/6</f>
        <v>22.562666666666669</v>
      </c>
      <c r="Q7" s="5"/>
      <c r="R7" s="5"/>
      <c r="S7" s="5">
        <f t="shared" ref="S7:S70" si="4">R7+Q7</f>
        <v>0</v>
      </c>
      <c r="T7" s="5"/>
      <c r="U7" s="1"/>
      <c r="V7" s="1">
        <f t="shared" ref="V7:V70" si="5">(F7+O7+S7)/P7</f>
        <v>13.423900839144309</v>
      </c>
      <c r="W7" s="1">
        <f t="shared" ref="W7:W70" si="6">(F7+O7)/P7</f>
        <v>13.423900839144309</v>
      </c>
      <c r="X7" s="1">
        <v>17.19016666666667</v>
      </c>
      <c r="Y7" s="1">
        <v>26.805199999999999</v>
      </c>
      <c r="Z7" s="1">
        <v>32.135000000000012</v>
      </c>
      <c r="AA7" s="1">
        <v>23.9206</v>
      </c>
      <c r="AB7" s="1">
        <v>19.297599999999999</v>
      </c>
      <c r="AC7" s="1">
        <v>25.408200000000001</v>
      </c>
      <c r="AD7" s="1">
        <v>34.780200000000001</v>
      </c>
      <c r="AE7" s="1">
        <v>31.786200000000001</v>
      </c>
      <c r="AF7" s="1" t="s">
        <v>38</v>
      </c>
      <c r="AG7" s="1">
        <f t="shared" ref="AG7:AG70" si="7">ROUND(G7*S7,0)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61.054000000000002</v>
      </c>
      <c r="D8" s="1">
        <v>363.61700000000002</v>
      </c>
      <c r="E8" s="1">
        <v>140.17599999999999</v>
      </c>
      <c r="F8" s="1">
        <v>233.35900000000001</v>
      </c>
      <c r="G8" s="8">
        <v>1</v>
      </c>
      <c r="H8" s="1">
        <v>45</v>
      </c>
      <c r="I8" s="1" t="s">
        <v>36</v>
      </c>
      <c r="J8" s="1"/>
      <c r="K8" s="1">
        <v>142.6</v>
      </c>
      <c r="L8" s="1">
        <f t="shared" si="2"/>
        <v>-2.4240000000000066</v>
      </c>
      <c r="M8" s="1"/>
      <c r="N8" s="1"/>
      <c r="O8" s="1">
        <v>0</v>
      </c>
      <c r="P8" s="1">
        <f t="shared" si="3"/>
        <v>23.362666666666666</v>
      </c>
      <c r="Q8" s="5">
        <f t="shared" ref="Q8" si="8">12*P8-O8-F8</f>
        <v>46.992999999999967</v>
      </c>
      <c r="R8" s="5"/>
      <c r="S8" s="5">
        <f t="shared" si="4"/>
        <v>46.992999999999967</v>
      </c>
      <c r="T8" s="5"/>
      <c r="U8" s="1"/>
      <c r="V8" s="1">
        <f t="shared" si="5"/>
        <v>12</v>
      </c>
      <c r="W8" s="1">
        <f t="shared" si="6"/>
        <v>9.9885429745462861</v>
      </c>
      <c r="X8" s="1">
        <v>21.104166666666671</v>
      </c>
      <c r="Y8" s="1">
        <v>25.3932</v>
      </c>
      <c r="Z8" s="1">
        <v>19.1204</v>
      </c>
      <c r="AA8" s="1">
        <v>22.565999999999999</v>
      </c>
      <c r="AB8" s="1">
        <v>25.279399999999999</v>
      </c>
      <c r="AC8" s="1">
        <v>21.1968</v>
      </c>
      <c r="AD8" s="1">
        <v>20.295999999999999</v>
      </c>
      <c r="AE8" s="1">
        <v>20.936800000000002</v>
      </c>
      <c r="AF8" s="1"/>
      <c r="AG8" s="1">
        <f t="shared" si="7"/>
        <v>47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40</v>
      </c>
      <c r="B9" s="12" t="s">
        <v>41</v>
      </c>
      <c r="C9" s="12"/>
      <c r="D9" s="12">
        <v>50</v>
      </c>
      <c r="E9" s="12">
        <v>4</v>
      </c>
      <c r="F9" s="12">
        <v>46</v>
      </c>
      <c r="G9" s="13">
        <v>0</v>
      </c>
      <c r="H9" s="12" t="e">
        <v>#N/A</v>
      </c>
      <c r="I9" s="14" t="s">
        <v>132</v>
      </c>
      <c r="J9" s="12"/>
      <c r="K9" s="12">
        <v>4</v>
      </c>
      <c r="L9" s="12">
        <f t="shared" si="2"/>
        <v>0</v>
      </c>
      <c r="M9" s="12"/>
      <c r="N9" s="12"/>
      <c r="O9" s="12"/>
      <c r="P9" s="12">
        <f t="shared" si="3"/>
        <v>0.66666666666666663</v>
      </c>
      <c r="Q9" s="15"/>
      <c r="R9" s="15"/>
      <c r="S9" s="5">
        <f t="shared" si="4"/>
        <v>0</v>
      </c>
      <c r="T9" s="15"/>
      <c r="U9" s="12"/>
      <c r="V9" s="1">
        <f t="shared" si="5"/>
        <v>69</v>
      </c>
      <c r="W9" s="12">
        <f t="shared" si="6"/>
        <v>69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4" t="s">
        <v>142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41</v>
      </c>
      <c r="C10" s="1">
        <v>215</v>
      </c>
      <c r="D10" s="1">
        <v>547</v>
      </c>
      <c r="E10" s="1">
        <v>276</v>
      </c>
      <c r="F10" s="1">
        <v>378</v>
      </c>
      <c r="G10" s="8">
        <v>0.45</v>
      </c>
      <c r="H10" s="1">
        <v>45</v>
      </c>
      <c r="I10" s="1" t="s">
        <v>36</v>
      </c>
      <c r="J10" s="1"/>
      <c r="K10" s="1">
        <v>281</v>
      </c>
      <c r="L10" s="1">
        <f t="shared" si="2"/>
        <v>-5</v>
      </c>
      <c r="M10" s="1"/>
      <c r="N10" s="1"/>
      <c r="O10" s="1">
        <v>40.833333333333258</v>
      </c>
      <c r="P10" s="1">
        <f t="shared" si="3"/>
        <v>46</v>
      </c>
      <c r="Q10" s="5">
        <f t="shared" ref="Q10:Q11" si="9">12*P10-O10-F10</f>
        <v>133.16666666666674</v>
      </c>
      <c r="R10" s="5"/>
      <c r="S10" s="5">
        <f t="shared" si="4"/>
        <v>133.16666666666674</v>
      </c>
      <c r="T10" s="5"/>
      <c r="U10" s="1"/>
      <c r="V10" s="1">
        <f t="shared" si="5"/>
        <v>12</v>
      </c>
      <c r="W10" s="1">
        <f t="shared" si="6"/>
        <v>9.1050724637681135</v>
      </c>
      <c r="X10" s="1">
        <v>50.166666666666657</v>
      </c>
      <c r="Y10" s="1">
        <v>41.6</v>
      </c>
      <c r="Z10" s="1">
        <v>50</v>
      </c>
      <c r="AA10" s="1">
        <v>34.200000000000003</v>
      </c>
      <c r="AB10" s="1">
        <v>20.2</v>
      </c>
      <c r="AC10" s="1">
        <v>25.8</v>
      </c>
      <c r="AD10" s="1">
        <v>53.2</v>
      </c>
      <c r="AE10" s="1">
        <v>53.6</v>
      </c>
      <c r="AF10" s="1" t="s">
        <v>38</v>
      </c>
      <c r="AG10" s="1">
        <f t="shared" si="7"/>
        <v>60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41</v>
      </c>
      <c r="C11" s="1">
        <v>125</v>
      </c>
      <c r="D11" s="1">
        <v>579</v>
      </c>
      <c r="E11" s="1">
        <v>242</v>
      </c>
      <c r="F11" s="1">
        <v>365</v>
      </c>
      <c r="G11" s="8">
        <v>0.45</v>
      </c>
      <c r="H11" s="1">
        <v>45</v>
      </c>
      <c r="I11" s="1" t="s">
        <v>36</v>
      </c>
      <c r="J11" s="1"/>
      <c r="K11" s="1">
        <v>260</v>
      </c>
      <c r="L11" s="1">
        <f t="shared" si="2"/>
        <v>-18</v>
      </c>
      <c r="M11" s="1"/>
      <c r="N11" s="1"/>
      <c r="O11" s="1">
        <v>0</v>
      </c>
      <c r="P11" s="1">
        <f t="shared" si="3"/>
        <v>40.333333333333336</v>
      </c>
      <c r="Q11" s="5">
        <f t="shared" si="9"/>
        <v>119</v>
      </c>
      <c r="R11" s="5"/>
      <c r="S11" s="5">
        <f t="shared" si="4"/>
        <v>119</v>
      </c>
      <c r="T11" s="5"/>
      <c r="U11" s="1"/>
      <c r="V11" s="1">
        <f t="shared" si="5"/>
        <v>12</v>
      </c>
      <c r="W11" s="1">
        <f t="shared" si="6"/>
        <v>9.0495867768595044</v>
      </c>
      <c r="X11" s="1">
        <v>41.5</v>
      </c>
      <c r="Y11" s="1">
        <v>38</v>
      </c>
      <c r="Z11" s="1">
        <v>50.8</v>
      </c>
      <c r="AA11" s="1">
        <v>35.799999999999997</v>
      </c>
      <c r="AB11" s="1">
        <v>36</v>
      </c>
      <c r="AC11" s="1">
        <v>38.200000000000003</v>
      </c>
      <c r="AD11" s="1">
        <v>49.6</v>
      </c>
      <c r="AE11" s="1">
        <v>51.8</v>
      </c>
      <c r="AF11" s="1"/>
      <c r="AG11" s="1">
        <f t="shared" si="7"/>
        <v>54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6" t="s">
        <v>44</v>
      </c>
      <c r="B12" s="16" t="s">
        <v>41</v>
      </c>
      <c r="C12" s="16"/>
      <c r="D12" s="16"/>
      <c r="E12" s="16"/>
      <c r="F12" s="16"/>
      <c r="G12" s="17">
        <v>0</v>
      </c>
      <c r="H12" s="16">
        <v>180</v>
      </c>
      <c r="I12" s="16" t="s">
        <v>36</v>
      </c>
      <c r="J12" s="16"/>
      <c r="K12" s="16"/>
      <c r="L12" s="16">
        <f t="shared" si="2"/>
        <v>0</v>
      </c>
      <c r="M12" s="16"/>
      <c r="N12" s="16"/>
      <c r="O12" s="16">
        <v>0</v>
      </c>
      <c r="P12" s="16">
        <f t="shared" si="3"/>
        <v>0</v>
      </c>
      <c r="Q12" s="18"/>
      <c r="R12" s="18"/>
      <c r="S12" s="5">
        <f t="shared" si="4"/>
        <v>0</v>
      </c>
      <c r="T12" s="18"/>
      <c r="U12" s="16"/>
      <c r="V12" s="1" t="e">
        <f t="shared" si="5"/>
        <v>#DIV/0!</v>
      </c>
      <c r="W12" s="16" t="e">
        <f t="shared" si="6"/>
        <v>#DIV/0!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 t="s">
        <v>45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41</v>
      </c>
      <c r="C13" s="1">
        <v>7</v>
      </c>
      <c r="D13" s="1">
        <v>127</v>
      </c>
      <c r="E13" s="1">
        <v>27</v>
      </c>
      <c r="F13" s="1">
        <v>102</v>
      </c>
      <c r="G13" s="8">
        <v>0.3</v>
      </c>
      <c r="H13" s="1">
        <v>40</v>
      </c>
      <c r="I13" s="1" t="s">
        <v>36</v>
      </c>
      <c r="J13" s="1"/>
      <c r="K13" s="1">
        <v>27</v>
      </c>
      <c r="L13" s="1">
        <f t="shared" si="2"/>
        <v>0</v>
      </c>
      <c r="M13" s="1"/>
      <c r="N13" s="1"/>
      <c r="O13" s="1">
        <v>0</v>
      </c>
      <c r="P13" s="1">
        <f t="shared" si="3"/>
        <v>4.5</v>
      </c>
      <c r="Q13" s="5"/>
      <c r="R13" s="5"/>
      <c r="S13" s="5">
        <f t="shared" si="4"/>
        <v>0</v>
      </c>
      <c r="T13" s="5"/>
      <c r="U13" s="1"/>
      <c r="V13" s="1">
        <f t="shared" si="5"/>
        <v>22.666666666666668</v>
      </c>
      <c r="W13" s="1">
        <f t="shared" si="6"/>
        <v>22.666666666666668</v>
      </c>
      <c r="X13" s="1">
        <v>6.333333333333333</v>
      </c>
      <c r="Y13" s="1">
        <v>10.8</v>
      </c>
      <c r="Z13" s="1">
        <v>4.4000000000000004</v>
      </c>
      <c r="AA13" s="1">
        <v>6.8</v>
      </c>
      <c r="AB13" s="1">
        <v>6.8</v>
      </c>
      <c r="AC13" s="1">
        <v>1.4</v>
      </c>
      <c r="AD13" s="1">
        <v>2.2000000000000002</v>
      </c>
      <c r="AE13" s="1">
        <v>6.6</v>
      </c>
      <c r="AF13" s="20" t="s">
        <v>77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41</v>
      </c>
      <c r="C14" s="1"/>
      <c r="D14" s="1">
        <v>90</v>
      </c>
      <c r="E14" s="1">
        <v>34</v>
      </c>
      <c r="F14" s="1">
        <v>55</v>
      </c>
      <c r="G14" s="8">
        <v>0.17</v>
      </c>
      <c r="H14" s="1">
        <v>180</v>
      </c>
      <c r="I14" s="1" t="s">
        <v>36</v>
      </c>
      <c r="J14" s="1"/>
      <c r="K14" s="1">
        <v>47</v>
      </c>
      <c r="L14" s="1">
        <f t="shared" si="2"/>
        <v>-13</v>
      </c>
      <c r="M14" s="1"/>
      <c r="N14" s="1"/>
      <c r="O14" s="1">
        <v>15.500000000000011</v>
      </c>
      <c r="P14" s="1">
        <f t="shared" si="3"/>
        <v>5.666666666666667</v>
      </c>
      <c r="Q14" s="5"/>
      <c r="R14" s="5"/>
      <c r="S14" s="5">
        <f t="shared" si="4"/>
        <v>0</v>
      </c>
      <c r="T14" s="5"/>
      <c r="U14" s="1"/>
      <c r="V14" s="1">
        <f t="shared" si="5"/>
        <v>12.441176470588237</v>
      </c>
      <c r="W14" s="1">
        <f t="shared" si="6"/>
        <v>12.441176470588237</v>
      </c>
      <c r="X14" s="1">
        <v>6.5</v>
      </c>
      <c r="Y14" s="1">
        <v>9.4</v>
      </c>
      <c r="Z14" s="1">
        <v>8.4</v>
      </c>
      <c r="AA14" s="1">
        <v>7.8</v>
      </c>
      <c r="AB14" s="1">
        <v>3.8</v>
      </c>
      <c r="AC14" s="1">
        <v>6.2</v>
      </c>
      <c r="AD14" s="1">
        <v>8.4</v>
      </c>
      <c r="AE14" s="1">
        <v>6.4</v>
      </c>
      <c r="AF14" s="1"/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35</v>
      </c>
      <c r="C15" s="1">
        <v>10.161</v>
      </c>
      <c r="D15" s="1">
        <v>710.60699999999997</v>
      </c>
      <c r="E15" s="1">
        <v>169.11600000000001</v>
      </c>
      <c r="F15" s="1">
        <v>514.14099999999996</v>
      </c>
      <c r="G15" s="8">
        <v>1</v>
      </c>
      <c r="H15" s="1">
        <v>55</v>
      </c>
      <c r="I15" s="1" t="s">
        <v>36</v>
      </c>
      <c r="J15" s="1"/>
      <c r="K15" s="1">
        <v>172.7</v>
      </c>
      <c r="L15" s="1">
        <f t="shared" si="2"/>
        <v>-3.5839999999999748</v>
      </c>
      <c r="M15" s="1"/>
      <c r="N15" s="1"/>
      <c r="O15" s="1">
        <v>0</v>
      </c>
      <c r="P15" s="1">
        <f t="shared" si="3"/>
        <v>28.186000000000003</v>
      </c>
      <c r="Q15" s="5"/>
      <c r="R15" s="5"/>
      <c r="S15" s="5">
        <f t="shared" si="4"/>
        <v>0</v>
      </c>
      <c r="T15" s="5"/>
      <c r="U15" s="1"/>
      <c r="V15" s="1">
        <f t="shared" si="5"/>
        <v>18.241006173277508</v>
      </c>
      <c r="W15" s="1">
        <f t="shared" si="6"/>
        <v>18.241006173277508</v>
      </c>
      <c r="X15" s="1">
        <v>30.52933333333333</v>
      </c>
      <c r="Y15" s="1">
        <v>44.335599999999999</v>
      </c>
      <c r="Z15" s="1">
        <v>37.791200000000003</v>
      </c>
      <c r="AA15" s="1">
        <v>34.451999999999998</v>
      </c>
      <c r="AB15" s="1">
        <v>32.101999999999997</v>
      </c>
      <c r="AC15" s="1">
        <v>34.7866</v>
      </c>
      <c r="AD15" s="1">
        <v>32.297800000000002</v>
      </c>
      <c r="AE15" s="1">
        <v>29.584599999999998</v>
      </c>
      <c r="AF15" s="1" t="s">
        <v>49</v>
      </c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35</v>
      </c>
      <c r="C16" s="1">
        <v>2.694</v>
      </c>
      <c r="D16" s="1">
        <v>3046.498</v>
      </c>
      <c r="E16" s="1">
        <v>522.39099999999996</v>
      </c>
      <c r="F16" s="1">
        <v>2388.4059999999999</v>
      </c>
      <c r="G16" s="8">
        <v>1</v>
      </c>
      <c r="H16" s="1">
        <v>50</v>
      </c>
      <c r="I16" s="1" t="s">
        <v>36</v>
      </c>
      <c r="J16" s="1"/>
      <c r="K16" s="1">
        <v>589</v>
      </c>
      <c r="L16" s="1">
        <f t="shared" si="2"/>
        <v>-66.609000000000037</v>
      </c>
      <c r="M16" s="1"/>
      <c r="N16" s="1"/>
      <c r="O16" s="1">
        <v>0</v>
      </c>
      <c r="P16" s="1">
        <f t="shared" si="3"/>
        <v>87.065166666666656</v>
      </c>
      <c r="Q16" s="5"/>
      <c r="R16" s="5"/>
      <c r="S16" s="5">
        <f t="shared" si="4"/>
        <v>0</v>
      </c>
      <c r="T16" s="5"/>
      <c r="U16" s="1"/>
      <c r="V16" s="1">
        <f t="shared" si="5"/>
        <v>27.432394509093765</v>
      </c>
      <c r="W16" s="1">
        <f t="shared" si="6"/>
        <v>27.432394509093765</v>
      </c>
      <c r="X16" s="1">
        <v>83.144999999999996</v>
      </c>
      <c r="Y16" s="1">
        <v>190.5986</v>
      </c>
      <c r="Z16" s="1">
        <v>151.20959999999999</v>
      </c>
      <c r="AA16" s="1">
        <v>158.971</v>
      </c>
      <c r="AB16" s="1">
        <v>133.8202</v>
      </c>
      <c r="AC16" s="1">
        <v>127.443</v>
      </c>
      <c r="AD16" s="1">
        <v>115.6288</v>
      </c>
      <c r="AE16" s="1">
        <v>114.50620000000001</v>
      </c>
      <c r="AF16" s="20" t="s">
        <v>143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35</v>
      </c>
      <c r="C17" s="1">
        <v>13.15</v>
      </c>
      <c r="D17" s="1">
        <v>528.41499999999996</v>
      </c>
      <c r="E17" s="1">
        <v>272.82100000000003</v>
      </c>
      <c r="F17" s="1">
        <v>230.48599999999999</v>
      </c>
      <c r="G17" s="8">
        <v>1</v>
      </c>
      <c r="H17" s="1">
        <v>60</v>
      </c>
      <c r="I17" s="1" t="s">
        <v>36</v>
      </c>
      <c r="J17" s="1"/>
      <c r="K17" s="1">
        <v>262.68</v>
      </c>
      <c r="L17" s="1">
        <f t="shared" si="2"/>
        <v>10.14100000000002</v>
      </c>
      <c r="M17" s="1"/>
      <c r="N17" s="1"/>
      <c r="O17" s="1">
        <v>247.64310000000009</v>
      </c>
      <c r="P17" s="1">
        <f t="shared" si="3"/>
        <v>45.470166666666671</v>
      </c>
      <c r="Q17" s="5">
        <f t="shared" ref="Q17" si="10">12*P17-O17-F17</f>
        <v>67.512899999999945</v>
      </c>
      <c r="R17" s="5">
        <f>$R$1*P17</f>
        <v>45.470166666666671</v>
      </c>
      <c r="S17" s="5">
        <f t="shared" si="4"/>
        <v>112.98306666666662</v>
      </c>
      <c r="T17" s="5"/>
      <c r="U17" s="1"/>
      <c r="V17" s="1">
        <f t="shared" si="5"/>
        <v>13.000000000000002</v>
      </c>
      <c r="W17" s="1">
        <f t="shared" si="6"/>
        <v>10.515226467170784</v>
      </c>
      <c r="X17" s="1">
        <v>48.130499999999998</v>
      </c>
      <c r="Y17" s="1">
        <v>31.964400000000001</v>
      </c>
      <c r="Z17" s="1">
        <v>28.0944</v>
      </c>
      <c r="AA17" s="1">
        <v>21.780999999999999</v>
      </c>
      <c r="AB17" s="1">
        <v>18.835799999999999</v>
      </c>
      <c r="AC17" s="1">
        <v>24.326599999999999</v>
      </c>
      <c r="AD17" s="1">
        <v>28.21</v>
      </c>
      <c r="AE17" s="1">
        <v>25.863399999999999</v>
      </c>
      <c r="AF17" s="1"/>
      <c r="AG17" s="1">
        <f t="shared" si="7"/>
        <v>113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35</v>
      </c>
      <c r="C18" s="1">
        <v>25.41</v>
      </c>
      <c r="D18" s="1">
        <v>2715.2310000000002</v>
      </c>
      <c r="E18" s="1">
        <v>689.76099999999997</v>
      </c>
      <c r="F18" s="1">
        <v>1855.953</v>
      </c>
      <c r="G18" s="8">
        <v>1</v>
      </c>
      <c r="H18" s="1">
        <v>60</v>
      </c>
      <c r="I18" s="1" t="s">
        <v>36</v>
      </c>
      <c r="J18" s="1"/>
      <c r="K18" s="1">
        <v>807.5</v>
      </c>
      <c r="L18" s="1">
        <f t="shared" si="2"/>
        <v>-117.73900000000003</v>
      </c>
      <c r="M18" s="1"/>
      <c r="N18" s="1"/>
      <c r="O18" s="1">
        <v>0</v>
      </c>
      <c r="P18" s="1">
        <f t="shared" si="3"/>
        <v>114.96016666666667</v>
      </c>
      <c r="Q18" s="5"/>
      <c r="R18" s="5"/>
      <c r="S18" s="5">
        <f t="shared" si="4"/>
        <v>0</v>
      </c>
      <c r="T18" s="5"/>
      <c r="U18" s="1"/>
      <c r="V18" s="1">
        <f t="shared" si="5"/>
        <v>16.144313755054288</v>
      </c>
      <c r="W18" s="1">
        <f t="shared" si="6"/>
        <v>16.144313755054288</v>
      </c>
      <c r="X18" s="1">
        <v>130.4443333333333</v>
      </c>
      <c r="Y18" s="1">
        <v>165.8682</v>
      </c>
      <c r="Z18" s="1">
        <v>135.5498</v>
      </c>
      <c r="AA18" s="1">
        <v>132.59360000000001</v>
      </c>
      <c r="AB18" s="1">
        <v>120.32640000000001</v>
      </c>
      <c r="AC18" s="1">
        <v>115.4118</v>
      </c>
      <c r="AD18" s="1">
        <v>90.635599999999997</v>
      </c>
      <c r="AE18" s="1">
        <v>98.152200000000008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6" t="s">
        <v>54</v>
      </c>
      <c r="B19" s="16" t="s">
        <v>35</v>
      </c>
      <c r="C19" s="16"/>
      <c r="D19" s="16"/>
      <c r="E19" s="16"/>
      <c r="F19" s="16"/>
      <c r="G19" s="17">
        <v>0</v>
      </c>
      <c r="H19" s="16">
        <v>60</v>
      </c>
      <c r="I19" s="16" t="s">
        <v>36</v>
      </c>
      <c r="J19" s="16"/>
      <c r="K19" s="16"/>
      <c r="L19" s="16">
        <f t="shared" si="2"/>
        <v>0</v>
      </c>
      <c r="M19" s="16"/>
      <c r="N19" s="16"/>
      <c r="O19" s="16">
        <v>0</v>
      </c>
      <c r="P19" s="16">
        <f t="shared" si="3"/>
        <v>0</v>
      </c>
      <c r="Q19" s="18"/>
      <c r="R19" s="18"/>
      <c r="S19" s="5">
        <f t="shared" si="4"/>
        <v>0</v>
      </c>
      <c r="T19" s="18"/>
      <c r="U19" s="16"/>
      <c r="V19" s="1" t="e">
        <f t="shared" si="5"/>
        <v>#DIV/0!</v>
      </c>
      <c r="W19" s="16" t="e">
        <f t="shared" si="6"/>
        <v>#DIV/0!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 t="s">
        <v>45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35</v>
      </c>
      <c r="C20" s="1">
        <v>2.0550000000000002</v>
      </c>
      <c r="D20" s="1">
        <v>1.2310000000000001</v>
      </c>
      <c r="E20" s="1">
        <v>3.286</v>
      </c>
      <c r="F20" s="1"/>
      <c r="G20" s="8">
        <v>1</v>
      </c>
      <c r="H20" s="1">
        <v>180</v>
      </c>
      <c r="I20" s="1" t="s">
        <v>36</v>
      </c>
      <c r="J20" s="1"/>
      <c r="K20" s="1">
        <v>3.6</v>
      </c>
      <c r="L20" s="1">
        <f t="shared" si="2"/>
        <v>-0.31400000000000006</v>
      </c>
      <c r="M20" s="1"/>
      <c r="N20" s="1"/>
      <c r="O20" s="1">
        <v>0</v>
      </c>
      <c r="P20" s="1">
        <f t="shared" si="3"/>
        <v>0.54766666666666663</v>
      </c>
      <c r="Q20" s="5">
        <v>8</v>
      </c>
      <c r="R20" s="5"/>
      <c r="S20" s="5">
        <f t="shared" si="4"/>
        <v>8</v>
      </c>
      <c r="T20" s="5"/>
      <c r="U20" s="1"/>
      <c r="V20" s="1">
        <f t="shared" si="5"/>
        <v>14.607425441265978</v>
      </c>
      <c r="W20" s="1">
        <f t="shared" si="6"/>
        <v>0</v>
      </c>
      <c r="X20" s="1">
        <v>1.2909999999999999</v>
      </c>
      <c r="Y20" s="1">
        <v>2.1907999999999999</v>
      </c>
      <c r="Z20" s="1">
        <v>0.51079999999999992</v>
      </c>
      <c r="AA20" s="1">
        <v>0.94100000000000006</v>
      </c>
      <c r="AB20" s="1">
        <v>0.80459999999999998</v>
      </c>
      <c r="AC20" s="1">
        <v>0.4748</v>
      </c>
      <c r="AD20" s="1">
        <v>1.3338000000000001</v>
      </c>
      <c r="AE20" s="1">
        <v>1.1761999999999999</v>
      </c>
      <c r="AF20" s="22" t="s">
        <v>144</v>
      </c>
      <c r="AG20" s="1">
        <f t="shared" si="7"/>
        <v>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35</v>
      </c>
      <c r="C21" s="1">
        <v>32.667999999999999</v>
      </c>
      <c r="D21" s="1">
        <v>1251.212</v>
      </c>
      <c r="E21" s="1">
        <v>418.83499999999998</v>
      </c>
      <c r="F21" s="1">
        <v>754.072</v>
      </c>
      <c r="G21" s="8">
        <v>1</v>
      </c>
      <c r="H21" s="1">
        <v>60</v>
      </c>
      <c r="I21" s="1" t="s">
        <v>36</v>
      </c>
      <c r="J21" s="1"/>
      <c r="K21" s="1">
        <v>406.92</v>
      </c>
      <c r="L21" s="1">
        <f t="shared" si="2"/>
        <v>11.914999999999964</v>
      </c>
      <c r="M21" s="1"/>
      <c r="N21" s="1"/>
      <c r="O21" s="1">
        <v>78.643000000000001</v>
      </c>
      <c r="P21" s="1">
        <f t="shared" si="3"/>
        <v>69.805833333333325</v>
      </c>
      <c r="Q21" s="5">
        <f t="shared" ref="Q21:Q24" si="11">12*P21-O21-F21</f>
        <v>4.9549999999998136</v>
      </c>
      <c r="R21" s="5">
        <f t="shared" ref="R21:R22" si="12">$R$1*P21</f>
        <v>69.805833333333325</v>
      </c>
      <c r="S21" s="5">
        <f t="shared" si="4"/>
        <v>74.760833333333139</v>
      </c>
      <c r="T21" s="5"/>
      <c r="U21" s="1"/>
      <c r="V21" s="1">
        <f t="shared" si="5"/>
        <v>13</v>
      </c>
      <c r="W21" s="1">
        <f t="shared" si="6"/>
        <v>11.92901739348431</v>
      </c>
      <c r="X21" s="1">
        <v>78.643000000000001</v>
      </c>
      <c r="Y21" s="1">
        <v>82.499800000000008</v>
      </c>
      <c r="Z21" s="1">
        <v>60.498600000000003</v>
      </c>
      <c r="AA21" s="1">
        <v>57.160799999999988</v>
      </c>
      <c r="AB21" s="1">
        <v>57.579600000000013</v>
      </c>
      <c r="AC21" s="1">
        <v>58.957599999999999</v>
      </c>
      <c r="AD21" s="1">
        <v>54.895400000000002</v>
      </c>
      <c r="AE21" s="1">
        <v>48.971400000000003</v>
      </c>
      <c r="AF21" s="1" t="s">
        <v>51</v>
      </c>
      <c r="AG21" s="1">
        <f t="shared" si="7"/>
        <v>75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35</v>
      </c>
      <c r="C22" s="1">
        <v>53.615000000000002</v>
      </c>
      <c r="D22" s="1">
        <v>296.66300000000001</v>
      </c>
      <c r="E22" s="1">
        <v>122.90600000000001</v>
      </c>
      <c r="F22" s="1">
        <v>214.41</v>
      </c>
      <c r="G22" s="8">
        <v>1</v>
      </c>
      <c r="H22" s="1">
        <v>60</v>
      </c>
      <c r="I22" s="1" t="s">
        <v>36</v>
      </c>
      <c r="J22" s="1"/>
      <c r="K22" s="1">
        <v>117.88</v>
      </c>
      <c r="L22" s="1">
        <f t="shared" si="2"/>
        <v>5.0260000000000105</v>
      </c>
      <c r="M22" s="1"/>
      <c r="N22" s="1"/>
      <c r="O22" s="1">
        <v>0</v>
      </c>
      <c r="P22" s="1">
        <f t="shared" si="3"/>
        <v>20.484333333333336</v>
      </c>
      <c r="Q22" s="5">
        <f t="shared" si="11"/>
        <v>31.402000000000015</v>
      </c>
      <c r="R22" s="5">
        <f t="shared" si="12"/>
        <v>20.484333333333336</v>
      </c>
      <c r="S22" s="5">
        <f t="shared" si="4"/>
        <v>51.886333333333354</v>
      </c>
      <c r="T22" s="5"/>
      <c r="U22" s="1"/>
      <c r="V22" s="1">
        <f t="shared" si="5"/>
        <v>12.999999999999998</v>
      </c>
      <c r="W22" s="1">
        <f t="shared" si="6"/>
        <v>10.467023578995329</v>
      </c>
      <c r="X22" s="1">
        <v>19.677666666666671</v>
      </c>
      <c r="Y22" s="1">
        <v>21.834800000000001</v>
      </c>
      <c r="Z22" s="1">
        <v>22.864799999999999</v>
      </c>
      <c r="AA22" s="1">
        <v>25.119800000000001</v>
      </c>
      <c r="AB22" s="1">
        <v>21.635400000000001</v>
      </c>
      <c r="AC22" s="1">
        <v>15.318199999999999</v>
      </c>
      <c r="AD22" s="1">
        <v>10.877000000000001</v>
      </c>
      <c r="AE22" s="1">
        <v>11.7576</v>
      </c>
      <c r="AF22" s="1"/>
      <c r="AG22" s="1">
        <f t="shared" si="7"/>
        <v>52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58</v>
      </c>
      <c r="B23" s="1" t="s">
        <v>35</v>
      </c>
      <c r="C23" s="1">
        <v>-0.104</v>
      </c>
      <c r="D23" s="1">
        <v>281.56299999999999</v>
      </c>
      <c r="E23" s="1">
        <v>43.951999999999998</v>
      </c>
      <c r="F23" s="1">
        <v>224.42699999999999</v>
      </c>
      <c r="G23" s="8">
        <v>1</v>
      </c>
      <c r="H23" s="1">
        <v>60</v>
      </c>
      <c r="I23" s="1" t="s">
        <v>36</v>
      </c>
      <c r="J23" s="1"/>
      <c r="K23" s="1">
        <v>47.48</v>
      </c>
      <c r="L23" s="1">
        <f t="shared" si="2"/>
        <v>-3.5279999999999987</v>
      </c>
      <c r="M23" s="1"/>
      <c r="N23" s="1"/>
      <c r="O23" s="1">
        <v>0</v>
      </c>
      <c r="P23" s="1">
        <f t="shared" si="3"/>
        <v>7.325333333333333</v>
      </c>
      <c r="Q23" s="5"/>
      <c r="R23" s="5"/>
      <c r="S23" s="5">
        <f t="shared" si="4"/>
        <v>0</v>
      </c>
      <c r="T23" s="5"/>
      <c r="U23" s="1"/>
      <c r="V23" s="1">
        <f t="shared" si="5"/>
        <v>30.637104113578449</v>
      </c>
      <c r="W23" s="1">
        <f t="shared" si="6"/>
        <v>30.637104113578449</v>
      </c>
      <c r="X23" s="1">
        <v>7.4840000000000009</v>
      </c>
      <c r="Y23" s="1">
        <v>19.0444</v>
      </c>
      <c r="Z23" s="1">
        <v>15.317399999999999</v>
      </c>
      <c r="AA23" s="1">
        <v>16.329000000000001</v>
      </c>
      <c r="AB23" s="1">
        <v>13.134600000000001</v>
      </c>
      <c r="AC23" s="1">
        <v>10.5968</v>
      </c>
      <c r="AD23" s="1">
        <v>10.4664</v>
      </c>
      <c r="AE23" s="1">
        <v>13.158200000000001</v>
      </c>
      <c r="AF23" s="1"/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35</v>
      </c>
      <c r="C24" s="1">
        <v>7.4909999999999997</v>
      </c>
      <c r="D24" s="1">
        <v>17.597000000000001</v>
      </c>
      <c r="E24" s="1">
        <v>12.265000000000001</v>
      </c>
      <c r="F24" s="1">
        <v>12.499000000000001</v>
      </c>
      <c r="G24" s="8">
        <v>1</v>
      </c>
      <c r="H24" s="1">
        <v>180</v>
      </c>
      <c r="I24" s="1" t="s">
        <v>36</v>
      </c>
      <c r="J24" s="1"/>
      <c r="K24" s="1">
        <v>13.4</v>
      </c>
      <c r="L24" s="1">
        <f t="shared" si="2"/>
        <v>-1.1349999999999998</v>
      </c>
      <c r="M24" s="1"/>
      <c r="N24" s="1"/>
      <c r="O24" s="1">
        <v>5.9396999999999993</v>
      </c>
      <c r="P24" s="1">
        <f t="shared" si="3"/>
        <v>2.0441666666666669</v>
      </c>
      <c r="Q24" s="5">
        <f t="shared" si="11"/>
        <v>6.0913000000000022</v>
      </c>
      <c r="R24" s="5"/>
      <c r="S24" s="5">
        <f t="shared" si="4"/>
        <v>6.0913000000000022</v>
      </c>
      <c r="T24" s="5"/>
      <c r="U24" s="1"/>
      <c r="V24" s="1">
        <f t="shared" si="5"/>
        <v>12</v>
      </c>
      <c r="W24" s="1">
        <f t="shared" si="6"/>
        <v>9.0201549123522202</v>
      </c>
      <c r="X24" s="1">
        <v>2.0674999999999999</v>
      </c>
      <c r="Y24" s="1">
        <v>1.6062000000000001</v>
      </c>
      <c r="Z24" s="1">
        <v>0.90579999999999994</v>
      </c>
      <c r="AA24" s="1">
        <v>1.3251999999999999</v>
      </c>
      <c r="AB24" s="1">
        <v>1.6357999999999999</v>
      </c>
      <c r="AC24" s="1">
        <v>1.3048</v>
      </c>
      <c r="AD24" s="1">
        <v>1.3133999999999999</v>
      </c>
      <c r="AE24" s="1">
        <v>1.1698</v>
      </c>
      <c r="AF24" s="1"/>
      <c r="AG24" s="1">
        <f t="shared" si="7"/>
        <v>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60</v>
      </c>
      <c r="B25" s="1" t="s">
        <v>35</v>
      </c>
      <c r="C25" s="1">
        <v>-4.6900000000000004</v>
      </c>
      <c r="D25" s="1">
        <v>507.56900000000002</v>
      </c>
      <c r="E25" s="1">
        <v>115.277</v>
      </c>
      <c r="F25" s="1">
        <v>358.43400000000003</v>
      </c>
      <c r="G25" s="8">
        <v>1</v>
      </c>
      <c r="H25" s="1">
        <v>60</v>
      </c>
      <c r="I25" s="1" t="s">
        <v>36</v>
      </c>
      <c r="J25" s="1"/>
      <c r="K25" s="1">
        <v>117.59</v>
      </c>
      <c r="L25" s="1">
        <f t="shared" si="2"/>
        <v>-2.3130000000000024</v>
      </c>
      <c r="M25" s="1"/>
      <c r="N25" s="1"/>
      <c r="O25" s="1">
        <v>0</v>
      </c>
      <c r="P25" s="1">
        <f t="shared" si="3"/>
        <v>19.212833333333332</v>
      </c>
      <c r="Q25" s="5"/>
      <c r="R25" s="5"/>
      <c r="S25" s="5">
        <f t="shared" si="4"/>
        <v>0</v>
      </c>
      <c r="T25" s="5"/>
      <c r="U25" s="1"/>
      <c r="V25" s="1">
        <f t="shared" si="5"/>
        <v>18.655967799300818</v>
      </c>
      <c r="W25" s="1">
        <f t="shared" si="6"/>
        <v>18.655967799300818</v>
      </c>
      <c r="X25" s="1">
        <v>22.660166666666669</v>
      </c>
      <c r="Y25" s="1">
        <v>33.264000000000003</v>
      </c>
      <c r="Z25" s="1">
        <v>23.146599999999999</v>
      </c>
      <c r="AA25" s="1">
        <v>22.4208</v>
      </c>
      <c r="AB25" s="1">
        <v>21.607399999999998</v>
      </c>
      <c r="AC25" s="1">
        <v>24.4312</v>
      </c>
      <c r="AD25" s="1">
        <v>22.273199999999999</v>
      </c>
      <c r="AE25" s="1">
        <v>18.735600000000002</v>
      </c>
      <c r="AF25" s="1" t="s">
        <v>51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35</v>
      </c>
      <c r="C26" s="1">
        <v>11.544</v>
      </c>
      <c r="D26" s="1">
        <v>120.042</v>
      </c>
      <c r="E26" s="1">
        <v>43.981000000000002</v>
      </c>
      <c r="F26" s="1">
        <v>80.427000000000007</v>
      </c>
      <c r="G26" s="8">
        <v>1</v>
      </c>
      <c r="H26" s="1">
        <v>30</v>
      </c>
      <c r="I26" s="1" t="s">
        <v>36</v>
      </c>
      <c r="J26" s="1"/>
      <c r="K26" s="1">
        <v>48.2</v>
      </c>
      <c r="L26" s="1">
        <f t="shared" si="2"/>
        <v>-4.2190000000000012</v>
      </c>
      <c r="M26" s="1"/>
      <c r="N26" s="1"/>
      <c r="O26" s="1">
        <v>0</v>
      </c>
      <c r="P26" s="1">
        <f t="shared" si="3"/>
        <v>7.3301666666666669</v>
      </c>
      <c r="Q26" s="5"/>
      <c r="R26" s="5"/>
      <c r="S26" s="5">
        <f t="shared" si="4"/>
        <v>0</v>
      </c>
      <c r="T26" s="5"/>
      <c r="U26" s="1"/>
      <c r="V26" s="1">
        <f t="shared" si="5"/>
        <v>10.97205611514063</v>
      </c>
      <c r="W26" s="1">
        <f t="shared" si="6"/>
        <v>10.97205611514063</v>
      </c>
      <c r="X26" s="1">
        <v>5.9853333333333332</v>
      </c>
      <c r="Y26" s="1">
        <v>6.7058000000000009</v>
      </c>
      <c r="Z26" s="1">
        <v>6.5873999999999997</v>
      </c>
      <c r="AA26" s="1">
        <v>8.5191999999999997</v>
      </c>
      <c r="AB26" s="1">
        <v>5.9988000000000001</v>
      </c>
      <c r="AC26" s="1">
        <v>3.6366000000000001</v>
      </c>
      <c r="AD26" s="1">
        <v>4.4817999999999998</v>
      </c>
      <c r="AE26" s="1">
        <v>6.4792000000000014</v>
      </c>
      <c r="AF26" s="1"/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35</v>
      </c>
      <c r="C27" s="1">
        <v>70.622</v>
      </c>
      <c r="D27" s="1">
        <v>243.292</v>
      </c>
      <c r="E27" s="1">
        <v>134.292</v>
      </c>
      <c r="F27" s="1">
        <v>122.82</v>
      </c>
      <c r="G27" s="8">
        <v>1</v>
      </c>
      <c r="H27" s="1">
        <v>30</v>
      </c>
      <c r="I27" s="1" t="s">
        <v>36</v>
      </c>
      <c r="J27" s="1"/>
      <c r="K27" s="1">
        <v>113</v>
      </c>
      <c r="L27" s="1">
        <f t="shared" si="2"/>
        <v>21.292000000000002</v>
      </c>
      <c r="M27" s="1"/>
      <c r="N27" s="1"/>
      <c r="O27" s="1">
        <v>5.2037933333333513</v>
      </c>
      <c r="P27" s="1">
        <f t="shared" si="3"/>
        <v>22.382000000000001</v>
      </c>
      <c r="Q27" s="5">
        <f t="shared" ref="Q27:Q28" si="13">11*P27-O27-F27</f>
        <v>118.17820666666668</v>
      </c>
      <c r="R27" s="5"/>
      <c r="S27" s="5">
        <f t="shared" si="4"/>
        <v>118.17820666666668</v>
      </c>
      <c r="T27" s="5"/>
      <c r="U27" s="1"/>
      <c r="V27" s="1">
        <f t="shared" si="5"/>
        <v>11</v>
      </c>
      <c r="W27" s="1">
        <f t="shared" si="6"/>
        <v>5.7199443004795523</v>
      </c>
      <c r="X27" s="1">
        <v>16.56516666666667</v>
      </c>
      <c r="Y27" s="1">
        <v>16.7834</v>
      </c>
      <c r="Z27" s="1">
        <v>16.783200000000001</v>
      </c>
      <c r="AA27" s="1">
        <v>20.8384</v>
      </c>
      <c r="AB27" s="1">
        <v>18.890799999999999</v>
      </c>
      <c r="AC27" s="1">
        <v>13.833600000000001</v>
      </c>
      <c r="AD27" s="1">
        <v>24.519200000000001</v>
      </c>
      <c r="AE27" s="1">
        <v>24.551600000000001</v>
      </c>
      <c r="AF27" s="1"/>
      <c r="AG27" s="1">
        <f t="shared" si="7"/>
        <v>118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35</v>
      </c>
      <c r="C28" s="1">
        <v>62.737000000000002</v>
      </c>
      <c r="D28" s="1">
        <v>238.94900000000001</v>
      </c>
      <c r="E28" s="1">
        <v>113.586</v>
      </c>
      <c r="F28" s="1">
        <v>122.961</v>
      </c>
      <c r="G28" s="8">
        <v>1</v>
      </c>
      <c r="H28" s="1">
        <v>30</v>
      </c>
      <c r="I28" s="1" t="s">
        <v>36</v>
      </c>
      <c r="J28" s="1"/>
      <c r="K28" s="1">
        <v>115.49</v>
      </c>
      <c r="L28" s="1">
        <f t="shared" si="2"/>
        <v>-1.9039999999999964</v>
      </c>
      <c r="M28" s="1"/>
      <c r="N28" s="1"/>
      <c r="O28" s="1">
        <v>54.87016666666667</v>
      </c>
      <c r="P28" s="1">
        <f t="shared" si="3"/>
        <v>18.931000000000001</v>
      </c>
      <c r="Q28" s="5">
        <f t="shared" si="13"/>
        <v>30.409833333333339</v>
      </c>
      <c r="R28" s="5"/>
      <c r="S28" s="5">
        <f t="shared" si="4"/>
        <v>30.409833333333339</v>
      </c>
      <c r="T28" s="5"/>
      <c r="U28" s="1"/>
      <c r="V28" s="1">
        <f t="shared" si="5"/>
        <v>10.999999999999998</v>
      </c>
      <c r="W28" s="1">
        <f t="shared" si="6"/>
        <v>9.3936488651770453</v>
      </c>
      <c r="X28" s="1">
        <v>18.378833333333329</v>
      </c>
      <c r="Y28" s="1">
        <v>15.5036</v>
      </c>
      <c r="Z28" s="1">
        <v>16.7544</v>
      </c>
      <c r="AA28" s="1">
        <v>14.166600000000001</v>
      </c>
      <c r="AB28" s="1">
        <v>17.920200000000001</v>
      </c>
      <c r="AC28" s="1">
        <v>21.265000000000001</v>
      </c>
      <c r="AD28" s="1">
        <v>16.261800000000001</v>
      </c>
      <c r="AE28" s="1">
        <v>15.2302</v>
      </c>
      <c r="AF28" s="1" t="s">
        <v>51</v>
      </c>
      <c r="AG28" s="1">
        <f t="shared" si="7"/>
        <v>30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6" t="s">
        <v>64</v>
      </c>
      <c r="B29" s="16" t="s">
        <v>35</v>
      </c>
      <c r="C29" s="16"/>
      <c r="D29" s="16"/>
      <c r="E29" s="16"/>
      <c r="F29" s="16"/>
      <c r="G29" s="17">
        <v>0</v>
      </c>
      <c r="H29" s="16">
        <v>45</v>
      </c>
      <c r="I29" s="16" t="s">
        <v>36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>
        <f t="shared" si="3"/>
        <v>0</v>
      </c>
      <c r="Q29" s="18"/>
      <c r="R29" s="18"/>
      <c r="S29" s="5">
        <f t="shared" si="4"/>
        <v>0</v>
      </c>
      <c r="T29" s="18"/>
      <c r="U29" s="16"/>
      <c r="V29" s="1" t="e">
        <f t="shared" si="5"/>
        <v>#DIV/0!</v>
      </c>
      <c r="W29" s="16" t="e">
        <f t="shared" si="6"/>
        <v>#DIV/0!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 t="s">
        <v>45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35</v>
      </c>
      <c r="C30" s="1">
        <v>36.859000000000002</v>
      </c>
      <c r="D30" s="1">
        <v>197.59200000000001</v>
      </c>
      <c r="E30" s="1">
        <v>30.062999999999999</v>
      </c>
      <c r="F30" s="1">
        <v>176.261</v>
      </c>
      <c r="G30" s="8">
        <v>1</v>
      </c>
      <c r="H30" s="1">
        <v>40</v>
      </c>
      <c r="I30" s="1" t="s">
        <v>36</v>
      </c>
      <c r="J30" s="1"/>
      <c r="K30" s="1">
        <v>41.9</v>
      </c>
      <c r="L30" s="1">
        <f t="shared" si="2"/>
        <v>-11.837</v>
      </c>
      <c r="M30" s="1"/>
      <c r="N30" s="1"/>
      <c r="O30" s="1">
        <v>0</v>
      </c>
      <c r="P30" s="1">
        <f t="shared" si="3"/>
        <v>5.0104999999999995</v>
      </c>
      <c r="Q30" s="5"/>
      <c r="R30" s="5"/>
      <c r="S30" s="5">
        <f t="shared" si="4"/>
        <v>0</v>
      </c>
      <c r="T30" s="5"/>
      <c r="U30" s="1"/>
      <c r="V30" s="1">
        <f t="shared" si="5"/>
        <v>35.178325516415534</v>
      </c>
      <c r="W30" s="1">
        <f t="shared" si="6"/>
        <v>35.178325516415534</v>
      </c>
      <c r="X30" s="1">
        <v>6.8230000000000004</v>
      </c>
      <c r="Y30" s="1">
        <v>23.580400000000001</v>
      </c>
      <c r="Z30" s="1">
        <v>9.5122</v>
      </c>
      <c r="AA30" s="1">
        <v>6.2631999999999994</v>
      </c>
      <c r="AB30" s="1">
        <v>12.383599999999999</v>
      </c>
      <c r="AC30" s="1">
        <v>17.438199999999998</v>
      </c>
      <c r="AD30" s="1">
        <v>16.522200000000002</v>
      </c>
      <c r="AE30" s="1">
        <v>13.6046</v>
      </c>
      <c r="AF30" s="1"/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35</v>
      </c>
      <c r="C31" s="1">
        <v>-0.14199999999999999</v>
      </c>
      <c r="D31" s="1">
        <v>67.62</v>
      </c>
      <c r="E31" s="1">
        <v>16.288</v>
      </c>
      <c r="F31" s="1">
        <v>48.822000000000003</v>
      </c>
      <c r="G31" s="8">
        <v>1</v>
      </c>
      <c r="H31" s="1">
        <v>30</v>
      </c>
      <c r="I31" s="1" t="s">
        <v>36</v>
      </c>
      <c r="J31" s="1"/>
      <c r="K31" s="1">
        <v>18.600000000000001</v>
      </c>
      <c r="L31" s="1">
        <f t="shared" si="2"/>
        <v>-2.3120000000000012</v>
      </c>
      <c r="M31" s="1"/>
      <c r="N31" s="1"/>
      <c r="O31" s="1">
        <v>0</v>
      </c>
      <c r="P31" s="1">
        <f t="shared" si="3"/>
        <v>2.7146666666666666</v>
      </c>
      <c r="Q31" s="5"/>
      <c r="R31" s="5"/>
      <c r="S31" s="5">
        <f t="shared" si="4"/>
        <v>0</v>
      </c>
      <c r="T31" s="5"/>
      <c r="U31" s="1"/>
      <c r="V31" s="1">
        <f t="shared" si="5"/>
        <v>17.984528487229863</v>
      </c>
      <c r="W31" s="1">
        <f t="shared" si="6"/>
        <v>17.984528487229863</v>
      </c>
      <c r="X31" s="1">
        <v>1.5523333333333329</v>
      </c>
      <c r="Y31" s="1">
        <v>0</v>
      </c>
      <c r="Z31" s="1">
        <v>4.1215999999999999</v>
      </c>
      <c r="AA31" s="1">
        <v>3.9285999999999999</v>
      </c>
      <c r="AB31" s="1">
        <v>0.78800000000000003</v>
      </c>
      <c r="AC31" s="1">
        <v>0.96140000000000003</v>
      </c>
      <c r="AD31" s="1">
        <v>2.6095999999999999</v>
      </c>
      <c r="AE31" s="1">
        <v>3.3153999999999999</v>
      </c>
      <c r="AF31" s="1"/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35</v>
      </c>
      <c r="C32" s="1">
        <v>0.378</v>
      </c>
      <c r="D32" s="1">
        <v>325.09100000000001</v>
      </c>
      <c r="E32" s="1">
        <v>80.918000000000006</v>
      </c>
      <c r="F32" s="1">
        <v>224.89599999999999</v>
      </c>
      <c r="G32" s="8">
        <v>1</v>
      </c>
      <c r="H32" s="1">
        <v>50</v>
      </c>
      <c r="I32" s="1" t="s">
        <v>36</v>
      </c>
      <c r="J32" s="1"/>
      <c r="K32" s="1">
        <v>85.2</v>
      </c>
      <c r="L32" s="1">
        <f t="shared" si="2"/>
        <v>-4.2819999999999965</v>
      </c>
      <c r="M32" s="1"/>
      <c r="N32" s="1"/>
      <c r="O32" s="1">
        <v>0</v>
      </c>
      <c r="P32" s="1">
        <f t="shared" si="3"/>
        <v>13.486333333333334</v>
      </c>
      <c r="Q32" s="5"/>
      <c r="R32" s="5"/>
      <c r="S32" s="5">
        <f t="shared" si="4"/>
        <v>0</v>
      </c>
      <c r="T32" s="5"/>
      <c r="U32" s="1"/>
      <c r="V32" s="1">
        <f t="shared" si="5"/>
        <v>16.675844682270938</v>
      </c>
      <c r="W32" s="1">
        <f t="shared" si="6"/>
        <v>16.675844682270938</v>
      </c>
      <c r="X32" s="1">
        <v>10.241</v>
      </c>
      <c r="Y32" s="1">
        <v>4.9218000000000002</v>
      </c>
      <c r="Z32" s="1">
        <v>23.067599999999999</v>
      </c>
      <c r="AA32" s="1">
        <v>20.9938</v>
      </c>
      <c r="AB32" s="1">
        <v>11.053800000000001</v>
      </c>
      <c r="AC32" s="1">
        <v>7.2932000000000006</v>
      </c>
      <c r="AD32" s="1">
        <v>14.2464</v>
      </c>
      <c r="AE32" s="1">
        <v>18.599799999999998</v>
      </c>
      <c r="AF32" s="1"/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35</v>
      </c>
      <c r="C33" s="1">
        <v>1.1359999999999999</v>
      </c>
      <c r="D33" s="1">
        <v>156.738</v>
      </c>
      <c r="E33" s="1">
        <v>63.604999999999997</v>
      </c>
      <c r="F33" s="1">
        <v>86.317999999999998</v>
      </c>
      <c r="G33" s="8">
        <v>1</v>
      </c>
      <c r="H33" s="1">
        <v>50</v>
      </c>
      <c r="I33" s="1" t="s">
        <v>36</v>
      </c>
      <c r="J33" s="1"/>
      <c r="K33" s="1">
        <v>65.2</v>
      </c>
      <c r="L33" s="1">
        <f t="shared" si="2"/>
        <v>-1.595000000000006</v>
      </c>
      <c r="M33" s="1"/>
      <c r="N33" s="1"/>
      <c r="O33" s="1">
        <v>0</v>
      </c>
      <c r="P33" s="1">
        <f t="shared" si="3"/>
        <v>10.600833333333332</v>
      </c>
      <c r="Q33" s="5">
        <f t="shared" ref="Q33:Q35" si="14">12*P33-O33-F33</f>
        <v>40.891999999999982</v>
      </c>
      <c r="R33" s="5"/>
      <c r="S33" s="5">
        <f t="shared" si="4"/>
        <v>40.891999999999982</v>
      </c>
      <c r="T33" s="5"/>
      <c r="U33" s="1"/>
      <c r="V33" s="1">
        <f t="shared" si="5"/>
        <v>12</v>
      </c>
      <c r="W33" s="1">
        <f t="shared" si="6"/>
        <v>8.1425674082226251</v>
      </c>
      <c r="X33" s="1">
        <v>9.8345000000000002</v>
      </c>
      <c r="Y33" s="1">
        <v>9.8483999999999998</v>
      </c>
      <c r="Z33" s="1">
        <v>13.716799999999999</v>
      </c>
      <c r="AA33" s="1">
        <v>12.073399999999999</v>
      </c>
      <c r="AB33" s="1">
        <v>9.2620000000000005</v>
      </c>
      <c r="AC33" s="1">
        <v>7.1505999999999998</v>
      </c>
      <c r="AD33" s="1">
        <v>6.9281999999999986</v>
      </c>
      <c r="AE33" s="1">
        <v>10.534800000000001</v>
      </c>
      <c r="AF33" s="1"/>
      <c r="AG33" s="1">
        <f t="shared" si="7"/>
        <v>41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41</v>
      </c>
      <c r="C34" s="1">
        <v>174</v>
      </c>
      <c r="D34" s="1">
        <v>1126</v>
      </c>
      <c r="E34" s="1">
        <v>391</v>
      </c>
      <c r="F34" s="1">
        <v>802</v>
      </c>
      <c r="G34" s="8">
        <v>0.4</v>
      </c>
      <c r="H34" s="1">
        <v>45</v>
      </c>
      <c r="I34" s="1" t="s">
        <v>36</v>
      </c>
      <c r="J34" s="1"/>
      <c r="K34" s="1">
        <v>400</v>
      </c>
      <c r="L34" s="1">
        <f t="shared" si="2"/>
        <v>-9</v>
      </c>
      <c r="M34" s="1"/>
      <c r="N34" s="1"/>
      <c r="O34" s="1">
        <v>0</v>
      </c>
      <c r="P34" s="1">
        <f t="shared" si="3"/>
        <v>65.166666666666671</v>
      </c>
      <c r="Q34" s="5"/>
      <c r="R34" s="5"/>
      <c r="S34" s="5">
        <f t="shared" si="4"/>
        <v>0</v>
      </c>
      <c r="T34" s="5"/>
      <c r="U34" s="1"/>
      <c r="V34" s="1">
        <f t="shared" si="5"/>
        <v>12.306905370843989</v>
      </c>
      <c r="W34" s="1">
        <f t="shared" si="6"/>
        <v>12.306905370843989</v>
      </c>
      <c r="X34" s="1">
        <v>73.833333333333329</v>
      </c>
      <c r="Y34" s="1">
        <v>75.400000000000006</v>
      </c>
      <c r="Z34" s="1">
        <v>81.2</v>
      </c>
      <c r="AA34" s="1">
        <v>67.400000000000006</v>
      </c>
      <c r="AB34" s="1">
        <v>57</v>
      </c>
      <c r="AC34" s="1">
        <v>54</v>
      </c>
      <c r="AD34" s="1">
        <v>88.6</v>
      </c>
      <c r="AE34" s="1">
        <v>91</v>
      </c>
      <c r="AF34" s="1" t="s">
        <v>49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41</v>
      </c>
      <c r="C35" s="1">
        <v>21</v>
      </c>
      <c r="D35" s="1">
        <v>683</v>
      </c>
      <c r="E35" s="1">
        <v>286</v>
      </c>
      <c r="F35" s="1">
        <v>322</v>
      </c>
      <c r="G35" s="8">
        <v>0.45</v>
      </c>
      <c r="H35" s="1">
        <v>50</v>
      </c>
      <c r="I35" s="11" t="s">
        <v>71</v>
      </c>
      <c r="J35" s="1"/>
      <c r="K35" s="1">
        <v>283</v>
      </c>
      <c r="L35" s="1">
        <f t="shared" si="2"/>
        <v>3</v>
      </c>
      <c r="M35" s="1"/>
      <c r="N35" s="1"/>
      <c r="O35" s="1">
        <v>0</v>
      </c>
      <c r="P35" s="1">
        <f t="shared" si="3"/>
        <v>47.666666666666664</v>
      </c>
      <c r="Q35" s="5">
        <f t="shared" si="14"/>
        <v>250</v>
      </c>
      <c r="R35" s="5"/>
      <c r="S35" s="5">
        <f t="shared" si="4"/>
        <v>250</v>
      </c>
      <c r="T35" s="5"/>
      <c r="U35" s="1"/>
      <c r="V35" s="1">
        <f t="shared" si="5"/>
        <v>12</v>
      </c>
      <c r="W35" s="1">
        <f t="shared" si="6"/>
        <v>6.7552447552447559</v>
      </c>
      <c r="X35" s="1">
        <v>39</v>
      </c>
      <c r="Y35" s="1">
        <v>42.2</v>
      </c>
      <c r="Z35" s="1">
        <v>65.400000000000006</v>
      </c>
      <c r="AA35" s="1">
        <v>29</v>
      </c>
      <c r="AB35" s="1">
        <v>50.6</v>
      </c>
      <c r="AC35" s="1">
        <v>52.8</v>
      </c>
      <c r="AD35" s="1">
        <v>46.4</v>
      </c>
      <c r="AE35" s="1">
        <v>48.2</v>
      </c>
      <c r="AF35" s="1" t="s">
        <v>38</v>
      </c>
      <c r="AG35" s="1">
        <f t="shared" si="7"/>
        <v>113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72</v>
      </c>
      <c r="B36" s="1" t="s">
        <v>41</v>
      </c>
      <c r="C36" s="1">
        <v>97</v>
      </c>
      <c r="D36" s="1">
        <v>928</v>
      </c>
      <c r="E36" s="1">
        <v>276</v>
      </c>
      <c r="F36" s="1">
        <v>654</v>
      </c>
      <c r="G36" s="8">
        <v>0.4</v>
      </c>
      <c r="H36" s="1">
        <v>45</v>
      </c>
      <c r="I36" s="1" t="s">
        <v>36</v>
      </c>
      <c r="J36" s="1"/>
      <c r="K36" s="1">
        <v>298</v>
      </c>
      <c r="L36" s="1">
        <f t="shared" si="2"/>
        <v>-22</v>
      </c>
      <c r="M36" s="1"/>
      <c r="N36" s="1"/>
      <c r="O36" s="1">
        <v>0</v>
      </c>
      <c r="P36" s="1">
        <f t="shared" si="3"/>
        <v>46</v>
      </c>
      <c r="Q36" s="5"/>
      <c r="R36" s="5"/>
      <c r="S36" s="5">
        <f t="shared" si="4"/>
        <v>0</v>
      </c>
      <c r="T36" s="5"/>
      <c r="U36" s="1"/>
      <c r="V36" s="1">
        <f t="shared" si="5"/>
        <v>14.217391304347826</v>
      </c>
      <c r="W36" s="1">
        <f t="shared" si="6"/>
        <v>14.217391304347826</v>
      </c>
      <c r="X36" s="1">
        <v>53.833333333333343</v>
      </c>
      <c r="Y36" s="1">
        <v>59.2</v>
      </c>
      <c r="Z36" s="1">
        <v>70.400000000000006</v>
      </c>
      <c r="AA36" s="1">
        <v>56.8</v>
      </c>
      <c r="AB36" s="1">
        <v>51.2</v>
      </c>
      <c r="AC36" s="1">
        <v>44.4</v>
      </c>
      <c r="AD36" s="1">
        <v>62.2</v>
      </c>
      <c r="AE36" s="1">
        <v>70</v>
      </c>
      <c r="AF36" s="1"/>
      <c r="AG36" s="1">
        <f t="shared" si="7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73</v>
      </c>
      <c r="B37" s="12" t="s">
        <v>41</v>
      </c>
      <c r="C37" s="12"/>
      <c r="D37" s="12">
        <v>50</v>
      </c>
      <c r="E37" s="12">
        <v>6</v>
      </c>
      <c r="F37" s="12">
        <v>44</v>
      </c>
      <c r="G37" s="13">
        <v>0</v>
      </c>
      <c r="H37" s="12" t="e">
        <v>#N/A</v>
      </c>
      <c r="I37" s="14" t="s">
        <v>132</v>
      </c>
      <c r="J37" s="12"/>
      <c r="K37" s="12">
        <v>6</v>
      </c>
      <c r="L37" s="12">
        <f t="shared" si="2"/>
        <v>0</v>
      </c>
      <c r="M37" s="12"/>
      <c r="N37" s="12"/>
      <c r="O37" s="12"/>
      <c r="P37" s="12">
        <f t="shared" si="3"/>
        <v>1</v>
      </c>
      <c r="Q37" s="15"/>
      <c r="R37" s="15"/>
      <c r="S37" s="5">
        <f t="shared" si="4"/>
        <v>0</v>
      </c>
      <c r="T37" s="15"/>
      <c r="U37" s="12"/>
      <c r="V37" s="1">
        <f t="shared" si="5"/>
        <v>44</v>
      </c>
      <c r="W37" s="12">
        <f t="shared" si="6"/>
        <v>44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4" t="s">
        <v>142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74</v>
      </c>
      <c r="B38" s="1" t="s">
        <v>41</v>
      </c>
      <c r="C38" s="1">
        <v>1</v>
      </c>
      <c r="D38" s="1">
        <v>67</v>
      </c>
      <c r="E38" s="1">
        <v>16</v>
      </c>
      <c r="F38" s="1">
        <v>43</v>
      </c>
      <c r="G38" s="8">
        <v>0.4</v>
      </c>
      <c r="H38" s="1">
        <v>40</v>
      </c>
      <c r="I38" s="1" t="s">
        <v>36</v>
      </c>
      <c r="J38" s="1"/>
      <c r="K38" s="1">
        <v>23</v>
      </c>
      <c r="L38" s="1">
        <f t="shared" ref="L38:L69" si="15">E38-K38</f>
        <v>-7</v>
      </c>
      <c r="M38" s="1"/>
      <c r="N38" s="1"/>
      <c r="O38" s="1">
        <v>0</v>
      </c>
      <c r="P38" s="1">
        <f t="shared" si="3"/>
        <v>2.6666666666666665</v>
      </c>
      <c r="Q38" s="5"/>
      <c r="R38" s="5"/>
      <c r="S38" s="5">
        <f t="shared" si="4"/>
        <v>0</v>
      </c>
      <c r="T38" s="5"/>
      <c r="U38" s="1"/>
      <c r="V38" s="1">
        <f t="shared" si="5"/>
        <v>16.125</v>
      </c>
      <c r="W38" s="1">
        <f t="shared" si="6"/>
        <v>16.125</v>
      </c>
      <c r="X38" s="1">
        <v>0.33333333333333331</v>
      </c>
      <c r="Y38" s="1">
        <v>-1</v>
      </c>
      <c r="Z38" s="1">
        <v>11</v>
      </c>
      <c r="AA38" s="1">
        <v>2.8</v>
      </c>
      <c r="AB38" s="1">
        <v>3</v>
      </c>
      <c r="AC38" s="1">
        <v>2.6</v>
      </c>
      <c r="AD38" s="1">
        <v>2.8</v>
      </c>
      <c r="AE38" s="1">
        <v>2.8</v>
      </c>
      <c r="AF38" s="1"/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6" t="s">
        <v>75</v>
      </c>
      <c r="B39" s="16" t="s">
        <v>35</v>
      </c>
      <c r="C39" s="16"/>
      <c r="D39" s="16"/>
      <c r="E39" s="16"/>
      <c r="F39" s="16"/>
      <c r="G39" s="17">
        <v>0</v>
      </c>
      <c r="H39" s="16">
        <v>45</v>
      </c>
      <c r="I39" s="16" t="s">
        <v>36</v>
      </c>
      <c r="J39" s="16"/>
      <c r="K39" s="16"/>
      <c r="L39" s="16">
        <f t="shared" si="15"/>
        <v>0</v>
      </c>
      <c r="M39" s="16"/>
      <c r="N39" s="16"/>
      <c r="O39" s="16">
        <v>0</v>
      </c>
      <c r="P39" s="16">
        <f t="shared" si="3"/>
        <v>0</v>
      </c>
      <c r="Q39" s="18"/>
      <c r="R39" s="18"/>
      <c r="S39" s="5">
        <f t="shared" si="4"/>
        <v>0</v>
      </c>
      <c r="T39" s="18"/>
      <c r="U39" s="16"/>
      <c r="V39" s="1" t="e">
        <f t="shared" si="5"/>
        <v>#DIV/0!</v>
      </c>
      <c r="W39" s="16" t="e">
        <f t="shared" si="6"/>
        <v>#DIV/0!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 t="s">
        <v>45</v>
      </c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76</v>
      </c>
      <c r="B40" s="1" t="s">
        <v>41</v>
      </c>
      <c r="C40" s="1">
        <v>44</v>
      </c>
      <c r="D40" s="1">
        <v>80</v>
      </c>
      <c r="E40" s="1">
        <v>10</v>
      </c>
      <c r="F40" s="1">
        <v>93</v>
      </c>
      <c r="G40" s="8">
        <v>0.1</v>
      </c>
      <c r="H40" s="1">
        <v>730</v>
      </c>
      <c r="I40" s="1" t="s">
        <v>36</v>
      </c>
      <c r="J40" s="1"/>
      <c r="K40" s="1">
        <v>10</v>
      </c>
      <c r="L40" s="1">
        <f t="shared" si="15"/>
        <v>0</v>
      </c>
      <c r="M40" s="1"/>
      <c r="N40" s="1"/>
      <c r="O40" s="1">
        <v>0</v>
      </c>
      <c r="P40" s="1">
        <f t="shared" si="3"/>
        <v>1.6666666666666667</v>
      </c>
      <c r="Q40" s="5"/>
      <c r="R40" s="5"/>
      <c r="S40" s="5">
        <f t="shared" si="4"/>
        <v>0</v>
      </c>
      <c r="T40" s="5"/>
      <c r="U40" s="1"/>
      <c r="V40" s="1">
        <f t="shared" si="5"/>
        <v>55.8</v>
      </c>
      <c r="W40" s="1">
        <f t="shared" si="6"/>
        <v>55.8</v>
      </c>
      <c r="X40" s="1">
        <v>1.5</v>
      </c>
      <c r="Y40" s="1">
        <v>5.8</v>
      </c>
      <c r="Z40" s="1">
        <v>5</v>
      </c>
      <c r="AA40" s="1">
        <v>3.2</v>
      </c>
      <c r="AB40" s="1">
        <v>4.5999999999999996</v>
      </c>
      <c r="AC40" s="1">
        <v>8</v>
      </c>
      <c r="AD40" s="1">
        <v>8.6</v>
      </c>
      <c r="AE40" s="1">
        <v>5.8</v>
      </c>
      <c r="AF40" s="20" t="s">
        <v>77</v>
      </c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78</v>
      </c>
      <c r="B41" s="1" t="s">
        <v>41</v>
      </c>
      <c r="C41" s="1">
        <v>133</v>
      </c>
      <c r="D41" s="1">
        <v>182</v>
      </c>
      <c r="E41" s="1">
        <v>104</v>
      </c>
      <c r="F41" s="1">
        <v>189</v>
      </c>
      <c r="G41" s="8">
        <v>0.35</v>
      </c>
      <c r="H41" s="1">
        <v>40</v>
      </c>
      <c r="I41" s="1" t="s">
        <v>36</v>
      </c>
      <c r="J41" s="1"/>
      <c r="K41" s="1">
        <v>109</v>
      </c>
      <c r="L41" s="1">
        <f t="shared" si="15"/>
        <v>-5</v>
      </c>
      <c r="M41" s="1"/>
      <c r="N41" s="1"/>
      <c r="O41" s="1">
        <v>27.733333333333359</v>
      </c>
      <c r="P41" s="1">
        <f t="shared" si="3"/>
        <v>17.333333333333332</v>
      </c>
      <c r="Q41" s="5"/>
      <c r="R41" s="5"/>
      <c r="S41" s="5">
        <f t="shared" si="4"/>
        <v>0</v>
      </c>
      <c r="T41" s="5"/>
      <c r="U41" s="1"/>
      <c r="V41" s="1">
        <f t="shared" si="5"/>
        <v>12.503846153846155</v>
      </c>
      <c r="W41" s="1">
        <f t="shared" si="6"/>
        <v>12.503846153846155</v>
      </c>
      <c r="X41" s="1">
        <v>21.666666666666671</v>
      </c>
      <c r="Y41" s="1">
        <v>20.2</v>
      </c>
      <c r="Z41" s="1">
        <v>17.399999999999999</v>
      </c>
      <c r="AA41" s="1">
        <v>18.399999999999999</v>
      </c>
      <c r="AB41" s="1">
        <v>14.6</v>
      </c>
      <c r="AC41" s="1">
        <v>14.2</v>
      </c>
      <c r="AD41" s="1">
        <v>32.200000000000003</v>
      </c>
      <c r="AE41" s="1">
        <v>31</v>
      </c>
      <c r="AF41" s="1" t="s">
        <v>38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79</v>
      </c>
      <c r="B42" s="1" t="s">
        <v>35</v>
      </c>
      <c r="C42" s="1">
        <v>-0.22700000000000001</v>
      </c>
      <c r="D42" s="1">
        <v>219.84200000000001</v>
      </c>
      <c r="E42" s="1">
        <v>95.594999999999999</v>
      </c>
      <c r="F42" s="1">
        <v>117.38</v>
      </c>
      <c r="G42" s="8">
        <v>1</v>
      </c>
      <c r="H42" s="1">
        <v>40</v>
      </c>
      <c r="I42" s="1" t="s">
        <v>36</v>
      </c>
      <c r="J42" s="1"/>
      <c r="K42" s="1">
        <v>114.4</v>
      </c>
      <c r="L42" s="1">
        <f t="shared" si="15"/>
        <v>-18.805000000000007</v>
      </c>
      <c r="M42" s="1"/>
      <c r="N42" s="1"/>
      <c r="O42" s="1">
        <v>6.0013000000000432</v>
      </c>
      <c r="P42" s="1">
        <f t="shared" si="3"/>
        <v>15.932499999999999</v>
      </c>
      <c r="Q42" s="5">
        <f t="shared" ref="Q42:Q50" si="16">12*P42-O42-F42</f>
        <v>67.808699999999959</v>
      </c>
      <c r="R42" s="5"/>
      <c r="S42" s="5">
        <f t="shared" si="4"/>
        <v>67.808699999999959</v>
      </c>
      <c r="T42" s="5"/>
      <c r="U42" s="1"/>
      <c r="V42" s="1">
        <f t="shared" si="5"/>
        <v>12</v>
      </c>
      <c r="W42" s="1">
        <f t="shared" si="6"/>
        <v>7.7440012552957818</v>
      </c>
      <c r="X42" s="1">
        <v>13.7525</v>
      </c>
      <c r="Y42" s="1">
        <v>14.0908</v>
      </c>
      <c r="Z42" s="1">
        <v>19.176200000000001</v>
      </c>
      <c r="AA42" s="1">
        <v>18.424199999999999</v>
      </c>
      <c r="AB42" s="1">
        <v>14.9422</v>
      </c>
      <c r="AC42" s="1">
        <v>14.175000000000001</v>
      </c>
      <c r="AD42" s="1">
        <v>16.470600000000001</v>
      </c>
      <c r="AE42" s="1">
        <v>18.725200000000001</v>
      </c>
      <c r="AF42" s="1"/>
      <c r="AG42" s="1">
        <f t="shared" si="7"/>
        <v>68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80</v>
      </c>
      <c r="B43" s="1" t="s">
        <v>41</v>
      </c>
      <c r="C43" s="1">
        <v>-7</v>
      </c>
      <c r="D43" s="1">
        <v>422</v>
      </c>
      <c r="E43" s="1">
        <v>120</v>
      </c>
      <c r="F43" s="1">
        <v>287</v>
      </c>
      <c r="G43" s="8">
        <v>0.4</v>
      </c>
      <c r="H43" s="1">
        <v>40</v>
      </c>
      <c r="I43" s="1" t="s">
        <v>36</v>
      </c>
      <c r="J43" s="1"/>
      <c r="K43" s="1">
        <v>122</v>
      </c>
      <c r="L43" s="1">
        <f t="shared" si="15"/>
        <v>-2</v>
      </c>
      <c r="M43" s="1"/>
      <c r="N43" s="1"/>
      <c r="O43" s="1">
        <v>0</v>
      </c>
      <c r="P43" s="1">
        <f t="shared" si="3"/>
        <v>20</v>
      </c>
      <c r="Q43" s="5"/>
      <c r="R43" s="5"/>
      <c r="S43" s="5">
        <f t="shared" si="4"/>
        <v>0</v>
      </c>
      <c r="T43" s="5"/>
      <c r="U43" s="1"/>
      <c r="V43" s="1">
        <f t="shared" si="5"/>
        <v>14.35</v>
      </c>
      <c r="W43" s="1">
        <f t="shared" si="6"/>
        <v>14.35</v>
      </c>
      <c r="X43" s="1">
        <v>4.166666666666667</v>
      </c>
      <c r="Y43" s="1">
        <v>6.8</v>
      </c>
      <c r="Z43" s="1">
        <v>35.200000000000003</v>
      </c>
      <c r="AA43" s="1">
        <v>21.6</v>
      </c>
      <c r="AB43" s="1">
        <v>7.8</v>
      </c>
      <c r="AC43" s="1">
        <v>11</v>
      </c>
      <c r="AD43" s="1">
        <v>22.4</v>
      </c>
      <c r="AE43" s="1">
        <v>23.6</v>
      </c>
      <c r="AF43" s="1"/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81</v>
      </c>
      <c r="B44" s="1" t="s">
        <v>41</v>
      </c>
      <c r="C44" s="1">
        <v>95</v>
      </c>
      <c r="D44" s="1">
        <v>600</v>
      </c>
      <c r="E44" s="1">
        <v>271</v>
      </c>
      <c r="F44" s="1">
        <v>365</v>
      </c>
      <c r="G44" s="8">
        <v>0.4</v>
      </c>
      <c r="H44" s="1">
        <v>45</v>
      </c>
      <c r="I44" s="1" t="s">
        <v>36</v>
      </c>
      <c r="J44" s="1"/>
      <c r="K44" s="1">
        <v>353</v>
      </c>
      <c r="L44" s="1">
        <f t="shared" si="15"/>
        <v>-82</v>
      </c>
      <c r="M44" s="1"/>
      <c r="N44" s="1"/>
      <c r="O44" s="1">
        <v>0</v>
      </c>
      <c r="P44" s="1">
        <f t="shared" si="3"/>
        <v>45.166666666666664</v>
      </c>
      <c r="Q44" s="5">
        <f t="shared" si="16"/>
        <v>177</v>
      </c>
      <c r="R44" s="5"/>
      <c r="S44" s="5">
        <f t="shared" si="4"/>
        <v>177</v>
      </c>
      <c r="T44" s="5"/>
      <c r="U44" s="1"/>
      <c r="V44" s="1">
        <f t="shared" si="5"/>
        <v>12</v>
      </c>
      <c r="W44" s="1">
        <f t="shared" si="6"/>
        <v>8.0811808118081192</v>
      </c>
      <c r="X44" s="1">
        <v>40</v>
      </c>
      <c r="Y44" s="1">
        <v>34</v>
      </c>
      <c r="Z44" s="1">
        <v>54</v>
      </c>
      <c r="AA44" s="1">
        <v>29.4</v>
      </c>
      <c r="AB44" s="1">
        <v>39.200000000000003</v>
      </c>
      <c r="AC44" s="1">
        <v>45.2</v>
      </c>
      <c r="AD44" s="1">
        <v>54.4</v>
      </c>
      <c r="AE44" s="1">
        <v>50.4</v>
      </c>
      <c r="AF44" s="1"/>
      <c r="AG44" s="1">
        <f t="shared" si="7"/>
        <v>71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82</v>
      </c>
      <c r="B45" s="1" t="s">
        <v>35</v>
      </c>
      <c r="C45" s="1">
        <v>-2.1640000000000001</v>
      </c>
      <c r="D45" s="1">
        <v>264.12900000000002</v>
      </c>
      <c r="E45" s="1">
        <v>78.102000000000004</v>
      </c>
      <c r="F45" s="1">
        <v>163.04300000000001</v>
      </c>
      <c r="G45" s="8">
        <v>1</v>
      </c>
      <c r="H45" s="1">
        <v>40</v>
      </c>
      <c r="I45" s="1" t="s">
        <v>36</v>
      </c>
      <c r="J45" s="1"/>
      <c r="K45" s="1">
        <v>95.8</v>
      </c>
      <c r="L45" s="1">
        <f t="shared" si="15"/>
        <v>-17.697999999999993</v>
      </c>
      <c r="M45" s="1"/>
      <c r="N45" s="1"/>
      <c r="O45" s="1">
        <v>0</v>
      </c>
      <c r="P45" s="1">
        <f t="shared" si="3"/>
        <v>13.017000000000001</v>
      </c>
      <c r="Q45" s="5"/>
      <c r="R45" s="5"/>
      <c r="S45" s="5">
        <f t="shared" si="4"/>
        <v>0</v>
      </c>
      <c r="T45" s="5"/>
      <c r="U45" s="1"/>
      <c r="V45" s="1">
        <f t="shared" si="5"/>
        <v>12.525389874779135</v>
      </c>
      <c r="W45" s="1">
        <f t="shared" si="6"/>
        <v>12.525389874779135</v>
      </c>
      <c r="X45" s="1">
        <v>10.044499999999999</v>
      </c>
      <c r="Y45" s="1">
        <v>16.438800000000001</v>
      </c>
      <c r="Z45" s="1">
        <v>18.190200000000001</v>
      </c>
      <c r="AA45" s="1">
        <v>16.869800000000001</v>
      </c>
      <c r="AB45" s="1">
        <v>13.7286</v>
      </c>
      <c r="AC45" s="1">
        <v>13.1746</v>
      </c>
      <c r="AD45" s="1">
        <v>13.57</v>
      </c>
      <c r="AE45" s="1">
        <v>14.661</v>
      </c>
      <c r="AF45" s="1"/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83</v>
      </c>
      <c r="B46" s="1" t="s">
        <v>41</v>
      </c>
      <c r="C46" s="1">
        <v>80</v>
      </c>
      <c r="D46" s="1">
        <v>494</v>
      </c>
      <c r="E46" s="1">
        <v>205</v>
      </c>
      <c r="F46" s="1">
        <v>301</v>
      </c>
      <c r="G46" s="8">
        <v>0.35</v>
      </c>
      <c r="H46" s="1">
        <v>40</v>
      </c>
      <c r="I46" s="1" t="s">
        <v>36</v>
      </c>
      <c r="J46" s="1"/>
      <c r="K46" s="1">
        <v>225</v>
      </c>
      <c r="L46" s="1">
        <f t="shared" si="15"/>
        <v>-20</v>
      </c>
      <c r="M46" s="1"/>
      <c r="N46" s="1"/>
      <c r="O46" s="1">
        <v>0</v>
      </c>
      <c r="P46" s="1">
        <f t="shared" si="3"/>
        <v>34.166666666666664</v>
      </c>
      <c r="Q46" s="5">
        <f t="shared" si="16"/>
        <v>109</v>
      </c>
      <c r="R46" s="5"/>
      <c r="S46" s="5">
        <f t="shared" si="4"/>
        <v>109</v>
      </c>
      <c r="T46" s="5"/>
      <c r="U46" s="1"/>
      <c r="V46" s="1">
        <f t="shared" si="5"/>
        <v>12</v>
      </c>
      <c r="W46" s="1">
        <f t="shared" si="6"/>
        <v>8.8097560975609763</v>
      </c>
      <c r="X46" s="1">
        <v>42.5</v>
      </c>
      <c r="Y46" s="1">
        <v>54.2</v>
      </c>
      <c r="Z46" s="1">
        <v>43.4</v>
      </c>
      <c r="AA46" s="1">
        <v>49.4</v>
      </c>
      <c r="AB46" s="1">
        <v>43.4</v>
      </c>
      <c r="AC46" s="1">
        <v>36.4</v>
      </c>
      <c r="AD46" s="1">
        <v>35.4</v>
      </c>
      <c r="AE46" s="1">
        <v>36.4</v>
      </c>
      <c r="AF46" s="1" t="s">
        <v>51</v>
      </c>
      <c r="AG46" s="1">
        <f t="shared" si="7"/>
        <v>38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84</v>
      </c>
      <c r="B47" s="1" t="s">
        <v>41</v>
      </c>
      <c r="C47" s="1">
        <v>132</v>
      </c>
      <c r="D47" s="1">
        <v>791</v>
      </c>
      <c r="E47" s="1">
        <v>384</v>
      </c>
      <c r="F47" s="1">
        <v>409</v>
      </c>
      <c r="G47" s="8">
        <v>0.4</v>
      </c>
      <c r="H47" s="1">
        <v>40</v>
      </c>
      <c r="I47" s="1" t="s">
        <v>36</v>
      </c>
      <c r="J47" s="1"/>
      <c r="K47" s="1">
        <v>432</v>
      </c>
      <c r="L47" s="1">
        <f t="shared" si="15"/>
        <v>-48</v>
      </c>
      <c r="M47" s="1"/>
      <c r="N47" s="1"/>
      <c r="O47" s="1">
        <v>13.200000000000269</v>
      </c>
      <c r="P47" s="1">
        <f t="shared" si="3"/>
        <v>64</v>
      </c>
      <c r="Q47" s="5">
        <f t="shared" si="16"/>
        <v>345.79999999999973</v>
      </c>
      <c r="R47" s="5"/>
      <c r="S47" s="5">
        <f t="shared" si="4"/>
        <v>345.79999999999973</v>
      </c>
      <c r="T47" s="5"/>
      <c r="U47" s="1"/>
      <c r="V47" s="1">
        <f t="shared" si="5"/>
        <v>12</v>
      </c>
      <c r="W47" s="1">
        <f t="shared" si="6"/>
        <v>6.5968750000000043</v>
      </c>
      <c r="X47" s="1">
        <v>55</v>
      </c>
      <c r="Y47" s="1">
        <v>52.8</v>
      </c>
      <c r="Z47" s="1">
        <v>86</v>
      </c>
      <c r="AA47" s="1">
        <v>58</v>
      </c>
      <c r="AB47" s="1">
        <v>63.8</v>
      </c>
      <c r="AC47" s="1">
        <v>70.599999999999994</v>
      </c>
      <c r="AD47" s="1">
        <v>66.8</v>
      </c>
      <c r="AE47" s="1">
        <v>59.4</v>
      </c>
      <c r="AF47" s="1" t="s">
        <v>38</v>
      </c>
      <c r="AG47" s="1">
        <f t="shared" si="7"/>
        <v>138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85</v>
      </c>
      <c r="B48" s="1" t="s">
        <v>35</v>
      </c>
      <c r="C48" s="1">
        <v>-2E-3</v>
      </c>
      <c r="D48" s="1">
        <v>86.626999999999995</v>
      </c>
      <c r="E48" s="1">
        <v>14.881</v>
      </c>
      <c r="F48" s="1">
        <v>71.744</v>
      </c>
      <c r="G48" s="8">
        <v>1</v>
      </c>
      <c r="H48" s="1">
        <v>50</v>
      </c>
      <c r="I48" s="1" t="s">
        <v>36</v>
      </c>
      <c r="J48" s="1"/>
      <c r="K48" s="1">
        <v>22.1</v>
      </c>
      <c r="L48" s="1">
        <f t="shared" si="15"/>
        <v>-7.2190000000000012</v>
      </c>
      <c r="M48" s="1"/>
      <c r="N48" s="1"/>
      <c r="O48" s="1">
        <v>0</v>
      </c>
      <c r="P48" s="1">
        <f t="shared" si="3"/>
        <v>2.4801666666666669</v>
      </c>
      <c r="Q48" s="5"/>
      <c r="R48" s="5"/>
      <c r="S48" s="5">
        <f t="shared" si="4"/>
        <v>0</v>
      </c>
      <c r="T48" s="5"/>
      <c r="U48" s="1"/>
      <c r="V48" s="1">
        <f t="shared" si="5"/>
        <v>28.927088233317651</v>
      </c>
      <c r="W48" s="1">
        <f t="shared" si="6"/>
        <v>28.927088233317651</v>
      </c>
      <c r="X48" s="1">
        <v>2.6353333333333331</v>
      </c>
      <c r="Y48" s="1">
        <v>7.4829999999999997</v>
      </c>
      <c r="Z48" s="1">
        <v>5.6665999999999999</v>
      </c>
      <c r="AA48" s="1">
        <v>6.5701999999999998</v>
      </c>
      <c r="AB48" s="1">
        <v>4.4101999999999997</v>
      </c>
      <c r="AC48" s="1">
        <v>4.3031999999999986</v>
      </c>
      <c r="AD48" s="1">
        <v>6.1943999999999999</v>
      </c>
      <c r="AE48" s="1">
        <v>6.4640000000000004</v>
      </c>
      <c r="AF48" s="1"/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86</v>
      </c>
      <c r="B49" s="1" t="s">
        <v>35</v>
      </c>
      <c r="C49" s="1">
        <v>0.29899999999999999</v>
      </c>
      <c r="D49" s="1">
        <v>345.03800000000001</v>
      </c>
      <c r="E49" s="1">
        <v>111.39700000000001</v>
      </c>
      <c r="F49" s="1">
        <v>212.251</v>
      </c>
      <c r="G49" s="8">
        <v>1</v>
      </c>
      <c r="H49" s="1">
        <v>50</v>
      </c>
      <c r="I49" s="1" t="s">
        <v>36</v>
      </c>
      <c r="J49" s="1"/>
      <c r="K49" s="1">
        <v>143.44999999999999</v>
      </c>
      <c r="L49" s="1">
        <f t="shared" si="15"/>
        <v>-32.052999999999983</v>
      </c>
      <c r="M49" s="1"/>
      <c r="N49" s="1"/>
      <c r="O49" s="1">
        <v>0</v>
      </c>
      <c r="P49" s="1">
        <f t="shared" si="3"/>
        <v>18.566166666666668</v>
      </c>
      <c r="Q49" s="5">
        <f t="shared" si="16"/>
        <v>10.543000000000006</v>
      </c>
      <c r="R49" s="5"/>
      <c r="S49" s="5">
        <f t="shared" si="4"/>
        <v>10.543000000000006</v>
      </c>
      <c r="T49" s="5"/>
      <c r="U49" s="1"/>
      <c r="V49" s="1">
        <f t="shared" si="5"/>
        <v>12</v>
      </c>
      <c r="W49" s="1">
        <f t="shared" si="6"/>
        <v>11.432139106080056</v>
      </c>
      <c r="X49" s="1">
        <v>16.356333333333339</v>
      </c>
      <c r="Y49" s="1">
        <v>22.979800000000001</v>
      </c>
      <c r="Z49" s="1">
        <v>15.784000000000001</v>
      </c>
      <c r="AA49" s="1">
        <v>16.3386</v>
      </c>
      <c r="AB49" s="1">
        <v>14.586</v>
      </c>
      <c r="AC49" s="1">
        <v>15.031599999999999</v>
      </c>
      <c r="AD49" s="1">
        <v>15.904400000000001</v>
      </c>
      <c r="AE49" s="1">
        <v>18.180399999999999</v>
      </c>
      <c r="AF49" s="1"/>
      <c r="AG49" s="1">
        <f t="shared" si="7"/>
        <v>11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87</v>
      </c>
      <c r="B50" s="1" t="s">
        <v>35</v>
      </c>
      <c r="C50" s="1">
        <v>163.298</v>
      </c>
      <c r="D50" s="1">
        <v>264.529</v>
      </c>
      <c r="E50" s="1">
        <v>184.399</v>
      </c>
      <c r="F50" s="1">
        <v>206.71100000000001</v>
      </c>
      <c r="G50" s="8">
        <v>1</v>
      </c>
      <c r="H50" s="1">
        <v>40</v>
      </c>
      <c r="I50" s="1" t="s">
        <v>36</v>
      </c>
      <c r="J50" s="1"/>
      <c r="K50" s="1">
        <v>166.3</v>
      </c>
      <c r="L50" s="1">
        <f t="shared" si="15"/>
        <v>18.09899999999999</v>
      </c>
      <c r="M50" s="1"/>
      <c r="N50" s="1"/>
      <c r="O50" s="1">
        <v>82.590500000000077</v>
      </c>
      <c r="P50" s="1">
        <f t="shared" si="3"/>
        <v>30.733166666666666</v>
      </c>
      <c r="Q50" s="5">
        <f t="shared" si="16"/>
        <v>79.496499999999912</v>
      </c>
      <c r="R50" s="5"/>
      <c r="S50" s="5">
        <f t="shared" si="4"/>
        <v>79.496499999999912</v>
      </c>
      <c r="T50" s="5"/>
      <c r="U50" s="1"/>
      <c r="V50" s="1">
        <f t="shared" si="5"/>
        <v>12</v>
      </c>
      <c r="W50" s="1">
        <f t="shared" si="6"/>
        <v>9.4133319595008675</v>
      </c>
      <c r="X50" s="1">
        <v>28.462499999999999</v>
      </c>
      <c r="Y50" s="1">
        <v>24.233599999999999</v>
      </c>
      <c r="Z50" s="1">
        <v>24.036999999999999</v>
      </c>
      <c r="AA50" s="1">
        <v>28.885999999999999</v>
      </c>
      <c r="AB50" s="1">
        <v>30.209</v>
      </c>
      <c r="AC50" s="1">
        <v>22.2088</v>
      </c>
      <c r="AD50" s="1">
        <v>22.597999999999999</v>
      </c>
      <c r="AE50" s="1">
        <v>22.935400000000001</v>
      </c>
      <c r="AF50" s="1"/>
      <c r="AG50" s="1">
        <f t="shared" si="7"/>
        <v>79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88</v>
      </c>
      <c r="B51" s="12" t="s">
        <v>41</v>
      </c>
      <c r="C51" s="12"/>
      <c r="D51" s="12">
        <v>50</v>
      </c>
      <c r="E51" s="12">
        <v>6</v>
      </c>
      <c r="F51" s="12">
        <v>44</v>
      </c>
      <c r="G51" s="13">
        <v>0</v>
      </c>
      <c r="H51" s="12" t="e">
        <v>#N/A</v>
      </c>
      <c r="I51" s="14" t="s">
        <v>132</v>
      </c>
      <c r="J51" s="12"/>
      <c r="K51" s="12">
        <v>6</v>
      </c>
      <c r="L51" s="12">
        <f t="shared" si="15"/>
        <v>0</v>
      </c>
      <c r="M51" s="12"/>
      <c r="N51" s="12"/>
      <c r="O51" s="12"/>
      <c r="P51" s="12">
        <f t="shared" si="3"/>
        <v>1</v>
      </c>
      <c r="Q51" s="15"/>
      <c r="R51" s="15"/>
      <c r="S51" s="5">
        <f t="shared" si="4"/>
        <v>0</v>
      </c>
      <c r="T51" s="15"/>
      <c r="U51" s="12"/>
      <c r="V51" s="1">
        <f t="shared" si="5"/>
        <v>44</v>
      </c>
      <c r="W51" s="12">
        <f t="shared" si="6"/>
        <v>44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4" t="s">
        <v>142</v>
      </c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0" t="s">
        <v>89</v>
      </c>
      <c r="B52" s="1" t="s">
        <v>41</v>
      </c>
      <c r="C52" s="1">
        <v>124</v>
      </c>
      <c r="D52" s="1">
        <v>886</v>
      </c>
      <c r="E52" s="1">
        <v>212</v>
      </c>
      <c r="F52" s="1">
        <v>611</v>
      </c>
      <c r="G52" s="8">
        <v>0.45</v>
      </c>
      <c r="H52" s="1">
        <v>50</v>
      </c>
      <c r="I52" s="1" t="s">
        <v>36</v>
      </c>
      <c r="J52" s="1"/>
      <c r="K52" s="1">
        <v>214.5</v>
      </c>
      <c r="L52" s="1">
        <f t="shared" si="15"/>
        <v>-2.5</v>
      </c>
      <c r="M52" s="1"/>
      <c r="N52" s="1"/>
      <c r="O52" s="1">
        <v>49.166666666666657</v>
      </c>
      <c r="P52" s="1">
        <f t="shared" si="3"/>
        <v>35.333333333333336</v>
      </c>
      <c r="Q52" s="5"/>
      <c r="R52" s="5"/>
      <c r="S52" s="5">
        <f t="shared" si="4"/>
        <v>0</v>
      </c>
      <c r="T52" s="5"/>
      <c r="U52" s="1"/>
      <c r="V52" s="1">
        <f t="shared" si="5"/>
        <v>18.683962264150942</v>
      </c>
      <c r="W52" s="1">
        <f t="shared" si="6"/>
        <v>18.683962264150942</v>
      </c>
      <c r="X52" s="1">
        <v>49.166666666666657</v>
      </c>
      <c r="Y52" s="1">
        <v>49.8</v>
      </c>
      <c r="Z52" s="1">
        <v>49.8</v>
      </c>
      <c r="AA52" s="1">
        <v>34.6</v>
      </c>
      <c r="AB52" s="1">
        <v>14.4</v>
      </c>
      <c r="AC52" s="1">
        <v>14.8</v>
      </c>
      <c r="AD52" s="1">
        <v>39.799999999999997</v>
      </c>
      <c r="AE52" s="1">
        <v>43.6</v>
      </c>
      <c r="AF52" s="1"/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2" t="s">
        <v>90</v>
      </c>
      <c r="B53" s="12" t="s">
        <v>41</v>
      </c>
      <c r="C53" s="12"/>
      <c r="D53" s="12">
        <v>50</v>
      </c>
      <c r="E53" s="12">
        <v>4</v>
      </c>
      <c r="F53" s="12">
        <v>46</v>
      </c>
      <c r="G53" s="13">
        <v>0</v>
      </c>
      <c r="H53" s="12" t="e">
        <v>#N/A</v>
      </c>
      <c r="I53" s="14" t="s">
        <v>132</v>
      </c>
      <c r="J53" s="12"/>
      <c r="K53" s="12">
        <v>4</v>
      </c>
      <c r="L53" s="12">
        <f t="shared" si="15"/>
        <v>0</v>
      </c>
      <c r="M53" s="12"/>
      <c r="N53" s="12"/>
      <c r="O53" s="12"/>
      <c r="P53" s="12">
        <f t="shared" si="3"/>
        <v>0.66666666666666663</v>
      </c>
      <c r="Q53" s="15"/>
      <c r="R53" s="15"/>
      <c r="S53" s="5">
        <f t="shared" si="4"/>
        <v>0</v>
      </c>
      <c r="T53" s="15"/>
      <c r="U53" s="12"/>
      <c r="V53" s="1">
        <f t="shared" si="5"/>
        <v>69</v>
      </c>
      <c r="W53" s="12">
        <f t="shared" si="6"/>
        <v>69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4" t="s">
        <v>142</v>
      </c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91</v>
      </c>
      <c r="B54" s="1" t="s">
        <v>41</v>
      </c>
      <c r="C54" s="1">
        <v>5</v>
      </c>
      <c r="D54" s="1">
        <v>228</v>
      </c>
      <c r="E54" s="1">
        <v>105</v>
      </c>
      <c r="F54" s="1">
        <v>117</v>
      </c>
      <c r="G54" s="8">
        <v>0.4</v>
      </c>
      <c r="H54" s="1">
        <v>40</v>
      </c>
      <c r="I54" s="1" t="s">
        <v>36</v>
      </c>
      <c r="J54" s="1"/>
      <c r="K54" s="1">
        <v>111</v>
      </c>
      <c r="L54" s="1">
        <f t="shared" si="15"/>
        <v>-6</v>
      </c>
      <c r="M54" s="1"/>
      <c r="N54" s="1"/>
      <c r="O54" s="1">
        <v>0</v>
      </c>
      <c r="P54" s="1">
        <f t="shared" si="3"/>
        <v>17.5</v>
      </c>
      <c r="Q54" s="5">
        <f t="shared" ref="Q54:Q55" si="17">12*P54-O54-F54</f>
        <v>93</v>
      </c>
      <c r="R54" s="5"/>
      <c r="S54" s="5">
        <f t="shared" si="4"/>
        <v>93</v>
      </c>
      <c r="T54" s="5"/>
      <c r="U54" s="1"/>
      <c r="V54" s="1">
        <f t="shared" si="5"/>
        <v>12</v>
      </c>
      <c r="W54" s="1">
        <f t="shared" si="6"/>
        <v>6.6857142857142859</v>
      </c>
      <c r="X54" s="1">
        <v>12.33333333333333</v>
      </c>
      <c r="Y54" s="1">
        <v>15.4</v>
      </c>
      <c r="Z54" s="1">
        <v>24.4</v>
      </c>
      <c r="AA54" s="1">
        <v>11.2</v>
      </c>
      <c r="AB54" s="1">
        <v>10.4</v>
      </c>
      <c r="AC54" s="1">
        <v>8</v>
      </c>
      <c r="AD54" s="1">
        <v>19</v>
      </c>
      <c r="AE54" s="1">
        <v>27.2</v>
      </c>
      <c r="AF54" s="1"/>
      <c r="AG54" s="1">
        <f t="shared" si="7"/>
        <v>37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92</v>
      </c>
      <c r="B55" s="1" t="s">
        <v>41</v>
      </c>
      <c r="C55" s="1">
        <v>43</v>
      </c>
      <c r="D55" s="1">
        <v>308</v>
      </c>
      <c r="E55" s="1">
        <v>106</v>
      </c>
      <c r="F55" s="1">
        <v>202</v>
      </c>
      <c r="G55" s="8">
        <v>0.4</v>
      </c>
      <c r="H55" s="1">
        <v>40</v>
      </c>
      <c r="I55" s="1" t="s">
        <v>36</v>
      </c>
      <c r="J55" s="1"/>
      <c r="K55" s="1">
        <v>126</v>
      </c>
      <c r="L55" s="1">
        <f t="shared" si="15"/>
        <v>-20</v>
      </c>
      <c r="M55" s="1"/>
      <c r="N55" s="1"/>
      <c r="O55" s="1">
        <v>0</v>
      </c>
      <c r="P55" s="1">
        <f t="shared" si="3"/>
        <v>17.666666666666668</v>
      </c>
      <c r="Q55" s="5">
        <f t="shared" si="17"/>
        <v>10</v>
      </c>
      <c r="R55" s="5"/>
      <c r="S55" s="5">
        <f t="shared" si="4"/>
        <v>10</v>
      </c>
      <c r="T55" s="5"/>
      <c r="U55" s="1"/>
      <c r="V55" s="1">
        <f t="shared" si="5"/>
        <v>12</v>
      </c>
      <c r="W55" s="1">
        <f t="shared" si="6"/>
        <v>11.433962264150942</v>
      </c>
      <c r="X55" s="1">
        <v>16.5</v>
      </c>
      <c r="Y55" s="1">
        <v>20.6</v>
      </c>
      <c r="Z55" s="1">
        <v>29.4</v>
      </c>
      <c r="AA55" s="1">
        <v>15.6</v>
      </c>
      <c r="AB55" s="1">
        <v>21.4</v>
      </c>
      <c r="AC55" s="1">
        <v>17.399999999999999</v>
      </c>
      <c r="AD55" s="1">
        <v>-1.2</v>
      </c>
      <c r="AE55" s="1">
        <v>-0.8</v>
      </c>
      <c r="AF55" s="1" t="s">
        <v>51</v>
      </c>
      <c r="AG55" s="1">
        <f t="shared" si="7"/>
        <v>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6" t="s">
        <v>93</v>
      </c>
      <c r="B56" s="16" t="s">
        <v>35</v>
      </c>
      <c r="C56" s="16"/>
      <c r="D56" s="16"/>
      <c r="E56" s="16"/>
      <c r="F56" s="16"/>
      <c r="G56" s="17">
        <v>0</v>
      </c>
      <c r="H56" s="16">
        <v>50</v>
      </c>
      <c r="I56" s="16" t="s">
        <v>36</v>
      </c>
      <c r="J56" s="16"/>
      <c r="K56" s="16"/>
      <c r="L56" s="16">
        <f t="shared" si="15"/>
        <v>0</v>
      </c>
      <c r="M56" s="16"/>
      <c r="N56" s="16"/>
      <c r="O56" s="16">
        <v>0</v>
      </c>
      <c r="P56" s="16">
        <f t="shared" si="3"/>
        <v>0</v>
      </c>
      <c r="Q56" s="18"/>
      <c r="R56" s="18"/>
      <c r="S56" s="5">
        <f t="shared" si="4"/>
        <v>0</v>
      </c>
      <c r="T56" s="18"/>
      <c r="U56" s="16"/>
      <c r="V56" s="1" t="e">
        <f t="shared" si="5"/>
        <v>#DIV/0!</v>
      </c>
      <c r="W56" s="16" t="e">
        <f t="shared" si="6"/>
        <v>#DIV/0!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 t="s">
        <v>45</v>
      </c>
      <c r="AG56" s="1">
        <f t="shared" si="7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94</v>
      </c>
      <c r="B57" s="1" t="s">
        <v>41</v>
      </c>
      <c r="C57" s="1">
        <v>40</v>
      </c>
      <c r="D57" s="1">
        <v>80</v>
      </c>
      <c r="E57" s="1">
        <v>7</v>
      </c>
      <c r="F57" s="1">
        <v>93</v>
      </c>
      <c r="G57" s="8">
        <v>0.1</v>
      </c>
      <c r="H57" s="1">
        <v>730</v>
      </c>
      <c r="I57" s="1" t="s">
        <v>36</v>
      </c>
      <c r="J57" s="1"/>
      <c r="K57" s="1">
        <v>7</v>
      </c>
      <c r="L57" s="1">
        <f t="shared" si="15"/>
        <v>0</v>
      </c>
      <c r="M57" s="1"/>
      <c r="N57" s="1"/>
      <c r="O57" s="1">
        <v>0</v>
      </c>
      <c r="P57" s="1">
        <f t="shared" si="3"/>
        <v>1.1666666666666667</v>
      </c>
      <c r="Q57" s="5"/>
      <c r="R57" s="5"/>
      <c r="S57" s="5">
        <f t="shared" si="4"/>
        <v>0</v>
      </c>
      <c r="T57" s="5"/>
      <c r="U57" s="1"/>
      <c r="V57" s="1">
        <f t="shared" si="5"/>
        <v>79.714285714285708</v>
      </c>
      <c r="W57" s="1">
        <f t="shared" si="6"/>
        <v>79.714285714285708</v>
      </c>
      <c r="X57" s="1">
        <v>1</v>
      </c>
      <c r="Y57" s="1">
        <v>6.2</v>
      </c>
      <c r="Z57" s="1">
        <v>6.6</v>
      </c>
      <c r="AA57" s="1">
        <v>4.5999999999999996</v>
      </c>
      <c r="AB57" s="1">
        <v>5</v>
      </c>
      <c r="AC57" s="1">
        <v>7.8</v>
      </c>
      <c r="AD57" s="1">
        <v>8</v>
      </c>
      <c r="AE57" s="1">
        <v>5.6</v>
      </c>
      <c r="AF57" s="21" t="s">
        <v>100</v>
      </c>
      <c r="AG57" s="1">
        <f t="shared" si="7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95</v>
      </c>
      <c r="B58" s="1" t="s">
        <v>35</v>
      </c>
      <c r="C58" s="1">
        <v>0.57099999999999995</v>
      </c>
      <c r="D58" s="1">
        <v>317.30700000000002</v>
      </c>
      <c r="E58" s="1">
        <v>93.561000000000007</v>
      </c>
      <c r="F58" s="1">
        <v>187.30799999999999</v>
      </c>
      <c r="G58" s="8">
        <v>1</v>
      </c>
      <c r="H58" s="1">
        <v>50</v>
      </c>
      <c r="I58" s="1" t="s">
        <v>36</v>
      </c>
      <c r="J58" s="1"/>
      <c r="K58" s="1">
        <v>128.65</v>
      </c>
      <c r="L58" s="1">
        <f t="shared" si="15"/>
        <v>-35.088999999999999</v>
      </c>
      <c r="M58" s="1"/>
      <c r="N58" s="1"/>
      <c r="O58" s="1">
        <v>24.448499999999949</v>
      </c>
      <c r="P58" s="1">
        <f t="shared" si="3"/>
        <v>15.593500000000001</v>
      </c>
      <c r="Q58" s="5"/>
      <c r="R58" s="5"/>
      <c r="S58" s="5">
        <f t="shared" si="4"/>
        <v>0</v>
      </c>
      <c r="T58" s="5"/>
      <c r="U58" s="1"/>
      <c r="V58" s="1">
        <f t="shared" si="5"/>
        <v>13.579792862410615</v>
      </c>
      <c r="W58" s="1">
        <f t="shared" si="6"/>
        <v>13.579792862410615</v>
      </c>
      <c r="X58" s="1">
        <v>19.488499999999998</v>
      </c>
      <c r="Y58" s="1">
        <v>21.813600000000001</v>
      </c>
      <c r="Z58" s="1">
        <v>13.634399999999999</v>
      </c>
      <c r="AA58" s="1">
        <v>14.105399999999999</v>
      </c>
      <c r="AB58" s="1">
        <v>14.321</v>
      </c>
      <c r="AC58" s="1">
        <v>13.4536</v>
      </c>
      <c r="AD58" s="1">
        <v>11.087999999999999</v>
      </c>
      <c r="AE58" s="1">
        <v>15.3454</v>
      </c>
      <c r="AF58" s="1"/>
      <c r="AG58" s="1">
        <f t="shared" si="7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96</v>
      </c>
      <c r="B59" s="1" t="s">
        <v>35</v>
      </c>
      <c r="C59" s="1">
        <v>6.4000000000000001E-2</v>
      </c>
      <c r="D59" s="1">
        <v>77.313999999999993</v>
      </c>
      <c r="E59" s="1">
        <v>39.219000000000001</v>
      </c>
      <c r="F59" s="1">
        <v>36.685000000000002</v>
      </c>
      <c r="G59" s="8">
        <v>1</v>
      </c>
      <c r="H59" s="1">
        <v>50</v>
      </c>
      <c r="I59" s="1" t="s">
        <v>36</v>
      </c>
      <c r="J59" s="1"/>
      <c r="K59" s="1">
        <v>42.55</v>
      </c>
      <c r="L59" s="1">
        <f t="shared" si="15"/>
        <v>-3.330999999999996</v>
      </c>
      <c r="M59" s="1"/>
      <c r="N59" s="1"/>
      <c r="O59" s="1">
        <v>13.588666666666681</v>
      </c>
      <c r="P59" s="1">
        <f t="shared" si="3"/>
        <v>6.5365000000000002</v>
      </c>
      <c r="Q59" s="5">
        <f t="shared" ref="Q59:Q68" si="18">12*P59-O59-F59</f>
        <v>28.164333333333317</v>
      </c>
      <c r="R59" s="5"/>
      <c r="S59" s="5">
        <f t="shared" si="4"/>
        <v>28.164333333333317</v>
      </c>
      <c r="T59" s="5"/>
      <c r="U59" s="1"/>
      <c r="V59" s="1">
        <f t="shared" si="5"/>
        <v>12</v>
      </c>
      <c r="W59" s="1">
        <f t="shared" si="6"/>
        <v>7.6912210918177442</v>
      </c>
      <c r="X59" s="1">
        <v>5.1783333333333337</v>
      </c>
      <c r="Y59" s="1">
        <v>4.3322000000000003</v>
      </c>
      <c r="Z59" s="1">
        <v>5.694</v>
      </c>
      <c r="AA59" s="1">
        <v>6.5052000000000003</v>
      </c>
      <c r="AB59" s="1">
        <v>3.7835999999999999</v>
      </c>
      <c r="AC59" s="1">
        <v>2.1604000000000001</v>
      </c>
      <c r="AD59" s="1">
        <v>3.2309999999999999</v>
      </c>
      <c r="AE59" s="1">
        <v>3.7675999999999998</v>
      </c>
      <c r="AF59" s="1"/>
      <c r="AG59" s="1">
        <f t="shared" si="7"/>
        <v>28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97</v>
      </c>
      <c r="B60" s="1" t="s">
        <v>41</v>
      </c>
      <c r="C60" s="1">
        <v>14</v>
      </c>
      <c r="D60" s="1">
        <v>94</v>
      </c>
      <c r="E60" s="1">
        <v>7</v>
      </c>
      <c r="F60" s="1">
        <v>87</v>
      </c>
      <c r="G60" s="8">
        <v>0.1</v>
      </c>
      <c r="H60" s="1">
        <v>730</v>
      </c>
      <c r="I60" s="1" t="s">
        <v>36</v>
      </c>
      <c r="J60" s="1"/>
      <c r="K60" s="1">
        <v>7</v>
      </c>
      <c r="L60" s="1">
        <f t="shared" si="15"/>
        <v>0</v>
      </c>
      <c r="M60" s="1"/>
      <c r="N60" s="1"/>
      <c r="O60" s="1">
        <v>0</v>
      </c>
      <c r="P60" s="1">
        <f t="shared" si="3"/>
        <v>1.1666666666666667</v>
      </c>
      <c r="Q60" s="5"/>
      <c r="R60" s="5"/>
      <c r="S60" s="5">
        <f t="shared" si="4"/>
        <v>0</v>
      </c>
      <c r="T60" s="5"/>
      <c r="U60" s="1"/>
      <c r="V60" s="1">
        <f t="shared" si="5"/>
        <v>74.571428571428569</v>
      </c>
      <c r="W60" s="1">
        <f t="shared" si="6"/>
        <v>74.571428571428569</v>
      </c>
      <c r="X60" s="1">
        <v>1.333333333333333</v>
      </c>
      <c r="Y60" s="1">
        <v>6.6</v>
      </c>
      <c r="Z60" s="1">
        <v>6.6</v>
      </c>
      <c r="AA60" s="1">
        <v>4</v>
      </c>
      <c r="AB60" s="1">
        <v>3.6</v>
      </c>
      <c r="AC60" s="1">
        <v>7</v>
      </c>
      <c r="AD60" s="1">
        <v>8</v>
      </c>
      <c r="AE60" s="1">
        <v>5.6</v>
      </c>
      <c r="AF60" s="21" t="s">
        <v>100</v>
      </c>
      <c r="AG60" s="1">
        <f t="shared" si="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98</v>
      </c>
      <c r="B61" s="1" t="s">
        <v>41</v>
      </c>
      <c r="C61" s="1">
        <v>-1</v>
      </c>
      <c r="D61" s="1">
        <v>412</v>
      </c>
      <c r="E61" s="1">
        <v>171</v>
      </c>
      <c r="F61" s="1">
        <v>233</v>
      </c>
      <c r="G61" s="8">
        <v>0.4</v>
      </c>
      <c r="H61" s="1">
        <v>50</v>
      </c>
      <c r="I61" s="1" t="s">
        <v>36</v>
      </c>
      <c r="J61" s="1"/>
      <c r="K61" s="1">
        <v>179</v>
      </c>
      <c r="L61" s="1">
        <f t="shared" si="15"/>
        <v>-8</v>
      </c>
      <c r="M61" s="1"/>
      <c r="N61" s="1"/>
      <c r="O61" s="1">
        <v>0</v>
      </c>
      <c r="P61" s="1">
        <f t="shared" si="3"/>
        <v>28.5</v>
      </c>
      <c r="Q61" s="5">
        <f t="shared" si="18"/>
        <v>109</v>
      </c>
      <c r="R61" s="5">
        <f>$R$1*P61</f>
        <v>28.5</v>
      </c>
      <c r="S61" s="5">
        <f t="shared" si="4"/>
        <v>137.5</v>
      </c>
      <c r="T61" s="5"/>
      <c r="U61" s="1"/>
      <c r="V61" s="1">
        <f t="shared" si="5"/>
        <v>13</v>
      </c>
      <c r="W61" s="1">
        <f t="shared" si="6"/>
        <v>8.1754385964912277</v>
      </c>
      <c r="X61" s="1">
        <v>5</v>
      </c>
      <c r="Y61" s="1">
        <v>2.6</v>
      </c>
      <c r="Z61" s="1">
        <v>30</v>
      </c>
      <c r="AA61" s="1">
        <v>23.4</v>
      </c>
      <c r="AB61" s="1">
        <v>7</v>
      </c>
      <c r="AC61" s="1">
        <v>5.8</v>
      </c>
      <c r="AD61" s="1">
        <v>12</v>
      </c>
      <c r="AE61" s="1">
        <v>14.4</v>
      </c>
      <c r="AF61" s="1"/>
      <c r="AG61" s="1">
        <f t="shared" si="7"/>
        <v>55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99</v>
      </c>
      <c r="B62" s="1" t="s">
        <v>35</v>
      </c>
      <c r="C62" s="1">
        <v>29.555</v>
      </c>
      <c r="D62" s="1">
        <v>24.036999999999999</v>
      </c>
      <c r="E62" s="1">
        <v>12.115</v>
      </c>
      <c r="F62" s="1">
        <v>40.042000000000002</v>
      </c>
      <c r="G62" s="8">
        <v>1</v>
      </c>
      <c r="H62" s="1">
        <v>40</v>
      </c>
      <c r="I62" s="1" t="s">
        <v>36</v>
      </c>
      <c r="J62" s="1"/>
      <c r="K62" s="1">
        <v>13.1</v>
      </c>
      <c r="L62" s="1">
        <f t="shared" si="15"/>
        <v>-0.98499999999999943</v>
      </c>
      <c r="M62" s="1"/>
      <c r="N62" s="1"/>
      <c r="O62" s="1">
        <v>0</v>
      </c>
      <c r="P62" s="1">
        <f t="shared" si="3"/>
        <v>2.0191666666666666</v>
      </c>
      <c r="Q62" s="5"/>
      <c r="R62" s="5"/>
      <c r="S62" s="5">
        <f t="shared" si="4"/>
        <v>0</v>
      </c>
      <c r="T62" s="5"/>
      <c r="U62" s="1"/>
      <c r="V62" s="1">
        <f t="shared" si="5"/>
        <v>19.830953363598848</v>
      </c>
      <c r="W62" s="1">
        <f t="shared" si="6"/>
        <v>19.830953363598848</v>
      </c>
      <c r="X62" s="1">
        <v>2.0093333333333332</v>
      </c>
      <c r="Y62" s="1">
        <v>1.0698000000000001</v>
      </c>
      <c r="Z62" s="1">
        <v>1.6020000000000001</v>
      </c>
      <c r="AA62" s="1">
        <v>4.3689999999999998</v>
      </c>
      <c r="AB62" s="1">
        <v>4.3714000000000004</v>
      </c>
      <c r="AC62" s="1">
        <v>1.9312</v>
      </c>
      <c r="AD62" s="1">
        <v>1.1220000000000001</v>
      </c>
      <c r="AE62" s="1">
        <v>1.956</v>
      </c>
      <c r="AF62" s="21" t="s">
        <v>100</v>
      </c>
      <c r="AG62" s="1">
        <f t="shared" si="7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101</v>
      </c>
      <c r="B63" s="1" t="s">
        <v>35</v>
      </c>
      <c r="C63" s="1">
        <v>12.215999999999999</v>
      </c>
      <c r="D63" s="1">
        <v>27.062999999999999</v>
      </c>
      <c r="E63" s="1">
        <v>4.9210000000000003</v>
      </c>
      <c r="F63" s="1">
        <v>30.431999999999999</v>
      </c>
      <c r="G63" s="8">
        <v>1</v>
      </c>
      <c r="H63" s="1">
        <v>40</v>
      </c>
      <c r="I63" s="1" t="s">
        <v>36</v>
      </c>
      <c r="J63" s="1"/>
      <c r="K63" s="1">
        <v>6.6</v>
      </c>
      <c r="L63" s="1">
        <f t="shared" si="15"/>
        <v>-1.6789999999999994</v>
      </c>
      <c r="M63" s="1"/>
      <c r="N63" s="1"/>
      <c r="O63" s="1">
        <v>0</v>
      </c>
      <c r="P63" s="1">
        <f t="shared" si="3"/>
        <v>0.82016666666666671</v>
      </c>
      <c r="Q63" s="5"/>
      <c r="R63" s="5"/>
      <c r="S63" s="5">
        <f t="shared" si="4"/>
        <v>0</v>
      </c>
      <c r="T63" s="5"/>
      <c r="U63" s="1"/>
      <c r="V63" s="1">
        <f t="shared" si="5"/>
        <v>37.104653525706155</v>
      </c>
      <c r="W63" s="1">
        <f t="shared" si="6"/>
        <v>37.104653525706155</v>
      </c>
      <c r="X63" s="1">
        <v>1.0906666666666669</v>
      </c>
      <c r="Y63" s="1">
        <v>1.3555999999999999</v>
      </c>
      <c r="Z63" s="1">
        <v>2.5045999999999999</v>
      </c>
      <c r="AA63" s="1">
        <v>3.0059999999999998</v>
      </c>
      <c r="AB63" s="1">
        <v>2.6836000000000002</v>
      </c>
      <c r="AC63" s="1">
        <v>2.4140000000000001</v>
      </c>
      <c r="AD63" s="1">
        <v>1.5102</v>
      </c>
      <c r="AE63" s="1">
        <v>2.036</v>
      </c>
      <c r="AF63" s="21" t="s">
        <v>100</v>
      </c>
      <c r="AG63" s="1">
        <f t="shared" si="7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102</v>
      </c>
      <c r="B64" s="1" t="s">
        <v>41</v>
      </c>
      <c r="C64" s="1">
        <v>57</v>
      </c>
      <c r="D64" s="1">
        <v>1254</v>
      </c>
      <c r="E64" s="1">
        <v>327</v>
      </c>
      <c r="F64" s="1">
        <v>897</v>
      </c>
      <c r="G64" s="8">
        <v>0.4</v>
      </c>
      <c r="H64" s="1">
        <v>40</v>
      </c>
      <c r="I64" s="1" t="s">
        <v>36</v>
      </c>
      <c r="J64" s="1"/>
      <c r="K64" s="1">
        <v>328</v>
      </c>
      <c r="L64" s="1">
        <f t="shared" si="15"/>
        <v>-1</v>
      </c>
      <c r="M64" s="1"/>
      <c r="N64" s="1"/>
      <c r="O64" s="1">
        <v>0</v>
      </c>
      <c r="P64" s="1">
        <f t="shared" si="3"/>
        <v>54.5</v>
      </c>
      <c r="Q64" s="5"/>
      <c r="R64" s="5"/>
      <c r="S64" s="5">
        <f t="shared" si="4"/>
        <v>0</v>
      </c>
      <c r="T64" s="5"/>
      <c r="U64" s="1"/>
      <c r="V64" s="1">
        <f t="shared" si="5"/>
        <v>16.458715596330276</v>
      </c>
      <c r="W64" s="1">
        <f t="shared" si="6"/>
        <v>16.458715596330276</v>
      </c>
      <c r="X64" s="1">
        <v>63.833333333333343</v>
      </c>
      <c r="Y64" s="1">
        <v>85.8</v>
      </c>
      <c r="Z64" s="1">
        <v>93.6</v>
      </c>
      <c r="AA64" s="1">
        <v>82.8</v>
      </c>
      <c r="AB64" s="1">
        <v>74</v>
      </c>
      <c r="AC64" s="1">
        <v>63</v>
      </c>
      <c r="AD64" s="1">
        <v>93.2</v>
      </c>
      <c r="AE64" s="1">
        <v>101.8</v>
      </c>
      <c r="AF64" s="1"/>
      <c r="AG64" s="1">
        <f t="shared" si="7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103</v>
      </c>
      <c r="B65" s="1" t="s">
        <v>41</v>
      </c>
      <c r="C65" s="1">
        <v>48</v>
      </c>
      <c r="D65" s="1">
        <v>966</v>
      </c>
      <c r="E65" s="1">
        <v>390</v>
      </c>
      <c r="F65" s="1">
        <v>520</v>
      </c>
      <c r="G65" s="8">
        <v>0.4</v>
      </c>
      <c r="H65" s="1">
        <v>40</v>
      </c>
      <c r="I65" s="1" t="s">
        <v>36</v>
      </c>
      <c r="J65" s="1"/>
      <c r="K65" s="1">
        <v>393</v>
      </c>
      <c r="L65" s="1">
        <f t="shared" si="15"/>
        <v>-3</v>
      </c>
      <c r="M65" s="1"/>
      <c r="N65" s="1"/>
      <c r="O65" s="1">
        <v>0</v>
      </c>
      <c r="P65" s="1">
        <f t="shared" si="3"/>
        <v>65</v>
      </c>
      <c r="Q65" s="5">
        <f t="shared" si="18"/>
        <v>260</v>
      </c>
      <c r="R65" s="5"/>
      <c r="S65" s="5">
        <f t="shared" si="4"/>
        <v>260</v>
      </c>
      <c r="T65" s="5"/>
      <c r="U65" s="1"/>
      <c r="V65" s="1">
        <f t="shared" si="5"/>
        <v>12</v>
      </c>
      <c r="W65" s="1">
        <f t="shared" si="6"/>
        <v>8</v>
      </c>
      <c r="X65" s="1">
        <v>49.5</v>
      </c>
      <c r="Y65" s="1">
        <v>55.2</v>
      </c>
      <c r="Z65" s="1">
        <v>95.8</v>
      </c>
      <c r="AA65" s="1">
        <v>62.2</v>
      </c>
      <c r="AB65" s="1">
        <v>63.6</v>
      </c>
      <c r="AC65" s="1">
        <v>65.400000000000006</v>
      </c>
      <c r="AD65" s="1">
        <v>77.400000000000006</v>
      </c>
      <c r="AE65" s="1">
        <v>77.599999999999994</v>
      </c>
      <c r="AF65" s="1" t="s">
        <v>38</v>
      </c>
      <c r="AG65" s="1">
        <f t="shared" si="7"/>
        <v>104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104</v>
      </c>
      <c r="B66" s="1" t="s">
        <v>35</v>
      </c>
      <c r="C66" s="1">
        <v>12.634</v>
      </c>
      <c r="D66" s="1">
        <v>937.95699999999999</v>
      </c>
      <c r="E66" s="1">
        <v>100.04</v>
      </c>
      <c r="F66" s="1">
        <v>695.44899999999996</v>
      </c>
      <c r="G66" s="8">
        <v>1</v>
      </c>
      <c r="H66" s="1">
        <v>40</v>
      </c>
      <c r="I66" s="1" t="s">
        <v>36</v>
      </c>
      <c r="J66" s="1"/>
      <c r="K66" s="1">
        <v>145.9</v>
      </c>
      <c r="L66" s="1">
        <f t="shared" si="15"/>
        <v>-45.86</v>
      </c>
      <c r="M66" s="1"/>
      <c r="N66" s="1"/>
      <c r="O66" s="1">
        <v>0</v>
      </c>
      <c r="P66" s="1">
        <f t="shared" si="3"/>
        <v>16.673333333333336</v>
      </c>
      <c r="Q66" s="5"/>
      <c r="R66" s="5"/>
      <c r="S66" s="5">
        <f t="shared" si="4"/>
        <v>0</v>
      </c>
      <c r="T66" s="5"/>
      <c r="U66" s="1"/>
      <c r="V66" s="1">
        <f t="shared" si="5"/>
        <v>41.710255897640934</v>
      </c>
      <c r="W66" s="1">
        <f t="shared" si="6"/>
        <v>41.710255897640934</v>
      </c>
      <c r="X66" s="1">
        <v>40.398000000000003</v>
      </c>
      <c r="Y66" s="1">
        <v>60.168999999999997</v>
      </c>
      <c r="Z66" s="1">
        <v>46.936999999999998</v>
      </c>
      <c r="AA66" s="1">
        <v>47.155200000000001</v>
      </c>
      <c r="AB66" s="1">
        <v>42.860199999999999</v>
      </c>
      <c r="AC66" s="1">
        <v>37.9572</v>
      </c>
      <c r="AD66" s="1">
        <v>36.941000000000003</v>
      </c>
      <c r="AE66" s="1">
        <v>43.912199999999999</v>
      </c>
      <c r="AF66" s="20" t="s">
        <v>77</v>
      </c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105</v>
      </c>
      <c r="B67" s="1" t="s">
        <v>35</v>
      </c>
      <c r="C67" s="1">
        <v>27.457000000000001</v>
      </c>
      <c r="D67" s="1">
        <v>674.01</v>
      </c>
      <c r="E67" s="1">
        <v>94.593000000000004</v>
      </c>
      <c r="F67" s="1">
        <v>547.73299999999995</v>
      </c>
      <c r="G67" s="8">
        <v>1</v>
      </c>
      <c r="H67" s="1">
        <v>40</v>
      </c>
      <c r="I67" s="1" t="s">
        <v>36</v>
      </c>
      <c r="J67" s="1"/>
      <c r="K67" s="1">
        <v>134.80000000000001</v>
      </c>
      <c r="L67" s="1">
        <f t="shared" si="15"/>
        <v>-40.207000000000008</v>
      </c>
      <c r="M67" s="1"/>
      <c r="N67" s="1"/>
      <c r="O67" s="1">
        <v>0</v>
      </c>
      <c r="P67" s="1">
        <f t="shared" si="3"/>
        <v>15.765500000000001</v>
      </c>
      <c r="Q67" s="5"/>
      <c r="R67" s="5"/>
      <c r="S67" s="5">
        <f t="shared" si="4"/>
        <v>0</v>
      </c>
      <c r="T67" s="5"/>
      <c r="U67" s="1"/>
      <c r="V67" s="1">
        <f t="shared" si="5"/>
        <v>34.742507373695723</v>
      </c>
      <c r="W67" s="1">
        <f t="shared" si="6"/>
        <v>34.742507373695723</v>
      </c>
      <c r="X67" s="1">
        <v>38.824666666666673</v>
      </c>
      <c r="Y67" s="1">
        <v>70.222799999999992</v>
      </c>
      <c r="Z67" s="1">
        <v>28.621600000000001</v>
      </c>
      <c r="AA67" s="1">
        <v>36.405999999999999</v>
      </c>
      <c r="AB67" s="1">
        <v>41.0762</v>
      </c>
      <c r="AC67" s="1">
        <v>31.288399999999999</v>
      </c>
      <c r="AD67" s="1">
        <v>23.487200000000001</v>
      </c>
      <c r="AE67" s="1">
        <v>32.866799999999998</v>
      </c>
      <c r="AF67" s="1"/>
      <c r="AG67" s="1">
        <f t="shared" si="7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106</v>
      </c>
      <c r="B68" s="1" t="s">
        <v>35</v>
      </c>
      <c r="C68" s="1">
        <v>-3.7189999999999999</v>
      </c>
      <c r="D68" s="1">
        <v>519.86599999999999</v>
      </c>
      <c r="E68" s="1">
        <v>193.596</v>
      </c>
      <c r="F68" s="1">
        <v>270.44400000000002</v>
      </c>
      <c r="G68" s="8">
        <v>1</v>
      </c>
      <c r="H68" s="1">
        <v>40</v>
      </c>
      <c r="I68" s="1" t="s">
        <v>36</v>
      </c>
      <c r="J68" s="1"/>
      <c r="K68" s="1">
        <v>196.4</v>
      </c>
      <c r="L68" s="1">
        <f t="shared" si="15"/>
        <v>-2.804000000000002</v>
      </c>
      <c r="M68" s="1"/>
      <c r="N68" s="1"/>
      <c r="O68" s="1">
        <v>0</v>
      </c>
      <c r="P68" s="1">
        <f t="shared" si="3"/>
        <v>32.265999999999998</v>
      </c>
      <c r="Q68" s="5">
        <f t="shared" si="18"/>
        <v>116.74799999999999</v>
      </c>
      <c r="R68" s="5"/>
      <c r="S68" s="5">
        <f t="shared" si="4"/>
        <v>116.74799999999999</v>
      </c>
      <c r="T68" s="5"/>
      <c r="U68" s="1"/>
      <c r="V68" s="1">
        <f t="shared" si="5"/>
        <v>12</v>
      </c>
      <c r="W68" s="1">
        <f t="shared" si="6"/>
        <v>8.3817021012830857</v>
      </c>
      <c r="X68" s="1">
        <v>24.18483333333333</v>
      </c>
      <c r="Y68" s="1">
        <v>32.285800000000002</v>
      </c>
      <c r="Z68" s="1">
        <v>42.161799999999999</v>
      </c>
      <c r="AA68" s="1">
        <v>30.8492</v>
      </c>
      <c r="AB68" s="1">
        <v>30.094000000000001</v>
      </c>
      <c r="AC68" s="1">
        <v>37.154800000000002</v>
      </c>
      <c r="AD68" s="1">
        <v>38.478200000000001</v>
      </c>
      <c r="AE68" s="1">
        <v>32.153399999999998</v>
      </c>
      <c r="AF68" s="1"/>
      <c r="AG68" s="1">
        <f t="shared" si="7"/>
        <v>117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107</v>
      </c>
      <c r="B69" s="1" t="s">
        <v>35</v>
      </c>
      <c r="C69" s="1">
        <v>19.876000000000001</v>
      </c>
      <c r="D69" s="1">
        <v>93.153999999999996</v>
      </c>
      <c r="E69" s="1">
        <v>20.788</v>
      </c>
      <c r="F69" s="1">
        <v>77.932000000000002</v>
      </c>
      <c r="G69" s="8">
        <v>1</v>
      </c>
      <c r="H69" s="1">
        <v>30</v>
      </c>
      <c r="I69" s="1" t="s">
        <v>36</v>
      </c>
      <c r="J69" s="1"/>
      <c r="K69" s="1">
        <v>24.8</v>
      </c>
      <c r="L69" s="1">
        <f t="shared" si="15"/>
        <v>-4.0120000000000005</v>
      </c>
      <c r="M69" s="1"/>
      <c r="N69" s="1"/>
      <c r="O69" s="1">
        <v>0</v>
      </c>
      <c r="P69" s="1">
        <f t="shared" si="3"/>
        <v>3.4646666666666666</v>
      </c>
      <c r="Q69" s="5"/>
      <c r="R69" s="5"/>
      <c r="S69" s="5">
        <f t="shared" si="4"/>
        <v>0</v>
      </c>
      <c r="T69" s="5"/>
      <c r="U69" s="1"/>
      <c r="V69" s="1">
        <f t="shared" si="5"/>
        <v>22.493361554743121</v>
      </c>
      <c r="W69" s="1">
        <f t="shared" si="6"/>
        <v>22.493361554743121</v>
      </c>
      <c r="X69" s="1">
        <v>4.7973333333333326</v>
      </c>
      <c r="Y69" s="1">
        <v>8.5617999999999999</v>
      </c>
      <c r="Z69" s="1">
        <v>5.1890000000000001</v>
      </c>
      <c r="AA69" s="1">
        <v>5.1581999999999999</v>
      </c>
      <c r="AB69" s="1">
        <v>7.3041999999999998</v>
      </c>
      <c r="AC69" s="1">
        <v>5.5386000000000006</v>
      </c>
      <c r="AD69" s="1">
        <v>5.2718000000000007</v>
      </c>
      <c r="AE69" s="1">
        <v>5.8475999999999999</v>
      </c>
      <c r="AF69" s="1"/>
      <c r="AG69" s="1">
        <f t="shared" si="7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108</v>
      </c>
      <c r="B70" s="16" t="s">
        <v>41</v>
      </c>
      <c r="C70" s="16"/>
      <c r="D70" s="16"/>
      <c r="E70" s="16"/>
      <c r="F70" s="16"/>
      <c r="G70" s="17">
        <v>0</v>
      </c>
      <c r="H70" s="16">
        <v>60</v>
      </c>
      <c r="I70" s="16" t="s">
        <v>36</v>
      </c>
      <c r="J70" s="16"/>
      <c r="K70" s="16"/>
      <c r="L70" s="16">
        <f t="shared" ref="L70:L98" si="19">E70-K70</f>
        <v>0</v>
      </c>
      <c r="M70" s="16"/>
      <c r="N70" s="16"/>
      <c r="O70" s="16">
        <v>0</v>
      </c>
      <c r="P70" s="16">
        <f t="shared" si="3"/>
        <v>0</v>
      </c>
      <c r="Q70" s="18"/>
      <c r="R70" s="18"/>
      <c r="S70" s="5">
        <f t="shared" si="4"/>
        <v>0</v>
      </c>
      <c r="T70" s="18"/>
      <c r="U70" s="16"/>
      <c r="V70" s="1" t="e">
        <f t="shared" si="5"/>
        <v>#DIV/0!</v>
      </c>
      <c r="W70" s="16" t="e">
        <f t="shared" si="6"/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 t="s">
        <v>45</v>
      </c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109</v>
      </c>
      <c r="B71" s="1" t="s">
        <v>41</v>
      </c>
      <c r="C71" s="1">
        <v>8</v>
      </c>
      <c r="D71" s="1">
        <v>48</v>
      </c>
      <c r="E71" s="1">
        <v>6</v>
      </c>
      <c r="F71" s="1">
        <v>44</v>
      </c>
      <c r="G71" s="8">
        <v>0.6</v>
      </c>
      <c r="H71" s="1">
        <v>60</v>
      </c>
      <c r="I71" s="1" t="s">
        <v>36</v>
      </c>
      <c r="J71" s="1"/>
      <c r="K71" s="1">
        <v>15</v>
      </c>
      <c r="L71" s="1">
        <f t="shared" si="19"/>
        <v>-9</v>
      </c>
      <c r="M71" s="1"/>
      <c r="N71" s="1"/>
      <c r="O71" s="1">
        <v>8</v>
      </c>
      <c r="P71" s="1">
        <f t="shared" ref="P71:P98" si="20">E71/6</f>
        <v>1</v>
      </c>
      <c r="Q71" s="5"/>
      <c r="R71" s="5"/>
      <c r="S71" s="5">
        <f t="shared" ref="S71:S98" si="21">R71+Q71</f>
        <v>0</v>
      </c>
      <c r="T71" s="5"/>
      <c r="U71" s="1"/>
      <c r="V71" s="1">
        <f t="shared" ref="V71:V98" si="22">(F71+O71+S71)/P71</f>
        <v>52</v>
      </c>
      <c r="W71" s="1">
        <f t="shared" ref="W71:W98" si="23">(F71+O71)/P71</f>
        <v>52</v>
      </c>
      <c r="X71" s="1">
        <v>3.5</v>
      </c>
      <c r="Y71" s="1">
        <v>4.4000000000000004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110</v>
      </c>
      <c r="AG71" s="1">
        <f t="shared" ref="AG71:AG98" si="24">ROUND(G71*S71,0)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41</v>
      </c>
      <c r="C72" s="1">
        <v>160</v>
      </c>
      <c r="D72" s="1">
        <v>709</v>
      </c>
      <c r="E72" s="1">
        <v>309</v>
      </c>
      <c r="F72" s="1">
        <v>364</v>
      </c>
      <c r="G72" s="8">
        <v>0.37</v>
      </c>
      <c r="H72" s="1">
        <v>50</v>
      </c>
      <c r="I72" s="11" t="s">
        <v>71</v>
      </c>
      <c r="J72" s="1"/>
      <c r="K72" s="1">
        <v>385</v>
      </c>
      <c r="L72" s="1">
        <f t="shared" si="19"/>
        <v>-76</v>
      </c>
      <c r="M72" s="1"/>
      <c r="N72" s="1"/>
      <c r="O72" s="1">
        <v>220.8666666666667</v>
      </c>
      <c r="P72" s="1">
        <f t="shared" si="20"/>
        <v>51.5</v>
      </c>
      <c r="Q72" s="5">
        <f t="shared" ref="Q72" si="25">12*P72-O72-F72</f>
        <v>33.133333333333326</v>
      </c>
      <c r="R72" s="5"/>
      <c r="S72" s="5">
        <f t="shared" si="21"/>
        <v>33.133333333333326</v>
      </c>
      <c r="T72" s="5"/>
      <c r="U72" s="1"/>
      <c r="V72" s="1">
        <f t="shared" si="22"/>
        <v>12</v>
      </c>
      <c r="W72" s="1">
        <f t="shared" si="23"/>
        <v>11.35663430420712</v>
      </c>
      <c r="X72" s="1">
        <v>64.333333333333329</v>
      </c>
      <c r="Y72" s="1">
        <v>54</v>
      </c>
      <c r="Z72" s="1">
        <v>32.799999999999997</v>
      </c>
      <c r="AA72" s="1">
        <v>15.4</v>
      </c>
      <c r="AB72" s="1">
        <v>52.8</v>
      </c>
      <c r="AC72" s="1">
        <v>53.6</v>
      </c>
      <c r="AD72" s="1">
        <v>22.6</v>
      </c>
      <c r="AE72" s="1">
        <v>22.2</v>
      </c>
      <c r="AF72" s="1" t="s">
        <v>38</v>
      </c>
      <c r="AG72" s="1">
        <f t="shared" si="24"/>
        <v>12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6" t="s">
        <v>112</v>
      </c>
      <c r="B73" s="16" t="s">
        <v>41</v>
      </c>
      <c r="C73" s="16"/>
      <c r="D73" s="16"/>
      <c r="E73" s="16"/>
      <c r="F73" s="16"/>
      <c r="G73" s="17">
        <v>0</v>
      </c>
      <c r="H73" s="16">
        <v>30</v>
      </c>
      <c r="I73" s="16" t="s">
        <v>36</v>
      </c>
      <c r="J73" s="16"/>
      <c r="K73" s="16"/>
      <c r="L73" s="16">
        <f t="shared" si="19"/>
        <v>0</v>
      </c>
      <c r="M73" s="16"/>
      <c r="N73" s="16"/>
      <c r="O73" s="16">
        <v>0</v>
      </c>
      <c r="P73" s="16">
        <f t="shared" si="20"/>
        <v>0</v>
      </c>
      <c r="Q73" s="18"/>
      <c r="R73" s="18"/>
      <c r="S73" s="5">
        <f t="shared" si="21"/>
        <v>0</v>
      </c>
      <c r="T73" s="18"/>
      <c r="U73" s="16"/>
      <c r="V73" s="1" t="e">
        <f t="shared" si="22"/>
        <v>#DIV/0!</v>
      </c>
      <c r="W73" s="16" t="e">
        <f t="shared" si="23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45</v>
      </c>
      <c r="AG73" s="1">
        <f t="shared" si="24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6" t="s">
        <v>113</v>
      </c>
      <c r="B74" s="16" t="s">
        <v>41</v>
      </c>
      <c r="C74" s="16"/>
      <c r="D74" s="16"/>
      <c r="E74" s="16"/>
      <c r="F74" s="16"/>
      <c r="G74" s="17">
        <v>0</v>
      </c>
      <c r="H74" s="16">
        <v>55</v>
      </c>
      <c r="I74" s="16" t="s">
        <v>36</v>
      </c>
      <c r="J74" s="16"/>
      <c r="K74" s="16"/>
      <c r="L74" s="16">
        <f t="shared" si="19"/>
        <v>0</v>
      </c>
      <c r="M74" s="16"/>
      <c r="N74" s="16"/>
      <c r="O74" s="16">
        <v>0</v>
      </c>
      <c r="P74" s="16">
        <f t="shared" si="20"/>
        <v>0</v>
      </c>
      <c r="Q74" s="18"/>
      <c r="R74" s="18"/>
      <c r="S74" s="5">
        <f t="shared" si="21"/>
        <v>0</v>
      </c>
      <c r="T74" s="18"/>
      <c r="U74" s="16"/>
      <c r="V74" s="1" t="e">
        <f t="shared" si="22"/>
        <v>#DIV/0!</v>
      </c>
      <c r="W74" s="16" t="e">
        <f t="shared" si="23"/>
        <v>#DIV/0!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 t="s">
        <v>45</v>
      </c>
      <c r="AG74" s="1">
        <f t="shared" si="24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6" t="s">
        <v>114</v>
      </c>
      <c r="B75" s="16" t="s">
        <v>41</v>
      </c>
      <c r="C75" s="16"/>
      <c r="D75" s="16"/>
      <c r="E75" s="16"/>
      <c r="F75" s="16"/>
      <c r="G75" s="17">
        <v>0</v>
      </c>
      <c r="H75" s="16">
        <v>40</v>
      </c>
      <c r="I75" s="16" t="s">
        <v>36</v>
      </c>
      <c r="J75" s="16"/>
      <c r="K75" s="16"/>
      <c r="L75" s="16">
        <f t="shared" si="19"/>
        <v>0</v>
      </c>
      <c r="M75" s="16"/>
      <c r="N75" s="16"/>
      <c r="O75" s="16">
        <v>0</v>
      </c>
      <c r="P75" s="16">
        <f t="shared" si="20"/>
        <v>0</v>
      </c>
      <c r="Q75" s="18"/>
      <c r="R75" s="18"/>
      <c r="S75" s="5">
        <f t="shared" si="21"/>
        <v>0</v>
      </c>
      <c r="T75" s="18"/>
      <c r="U75" s="16"/>
      <c r="V75" s="1" t="e">
        <f t="shared" si="22"/>
        <v>#DIV/0!</v>
      </c>
      <c r="W75" s="16" t="e">
        <f t="shared" si="23"/>
        <v>#DIV/0!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 t="s">
        <v>115</v>
      </c>
      <c r="AG75" s="1">
        <f t="shared" si="24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116</v>
      </c>
      <c r="B76" s="1" t="s">
        <v>41</v>
      </c>
      <c r="C76" s="1">
        <v>2</v>
      </c>
      <c r="D76" s="1">
        <v>365</v>
      </c>
      <c r="E76" s="1">
        <v>118</v>
      </c>
      <c r="F76" s="1">
        <v>224</v>
      </c>
      <c r="G76" s="8">
        <v>0.4</v>
      </c>
      <c r="H76" s="1">
        <v>50</v>
      </c>
      <c r="I76" s="1" t="s">
        <v>36</v>
      </c>
      <c r="J76" s="1"/>
      <c r="K76" s="1">
        <v>120</v>
      </c>
      <c r="L76" s="1">
        <f t="shared" si="19"/>
        <v>-2</v>
      </c>
      <c r="M76" s="1"/>
      <c r="N76" s="1"/>
      <c r="O76" s="1">
        <v>0</v>
      </c>
      <c r="P76" s="1">
        <f t="shared" si="20"/>
        <v>19.666666666666668</v>
      </c>
      <c r="Q76" s="5">
        <f t="shared" ref="Q76:Q81" si="26">12*P76-O76-F76</f>
        <v>12</v>
      </c>
      <c r="R76" s="5"/>
      <c r="S76" s="5">
        <f t="shared" si="21"/>
        <v>12</v>
      </c>
      <c r="T76" s="5"/>
      <c r="U76" s="1"/>
      <c r="V76" s="1">
        <f t="shared" si="22"/>
        <v>12</v>
      </c>
      <c r="W76" s="1">
        <f t="shared" si="23"/>
        <v>11.389830508474576</v>
      </c>
      <c r="X76" s="1">
        <v>7.333333333333333</v>
      </c>
      <c r="Y76" s="1">
        <v>0</v>
      </c>
      <c r="Z76" s="1">
        <v>24.8</v>
      </c>
      <c r="AA76" s="1">
        <v>17.2</v>
      </c>
      <c r="AB76" s="1">
        <v>7.4</v>
      </c>
      <c r="AC76" s="1">
        <v>7.2</v>
      </c>
      <c r="AD76" s="1">
        <v>12.2</v>
      </c>
      <c r="AE76" s="1">
        <v>13</v>
      </c>
      <c r="AF76" s="1"/>
      <c r="AG76" s="1">
        <f t="shared" si="24"/>
        <v>5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117</v>
      </c>
      <c r="B77" s="1" t="s">
        <v>41</v>
      </c>
      <c r="C77" s="1">
        <v>117</v>
      </c>
      <c r="D77" s="1"/>
      <c r="E77" s="1">
        <v>9</v>
      </c>
      <c r="F77" s="1">
        <v>104</v>
      </c>
      <c r="G77" s="8">
        <v>0.4</v>
      </c>
      <c r="H77" s="1">
        <v>55</v>
      </c>
      <c r="I77" s="1" t="s">
        <v>36</v>
      </c>
      <c r="J77" s="1"/>
      <c r="K77" s="1">
        <v>9</v>
      </c>
      <c r="L77" s="1">
        <f t="shared" si="19"/>
        <v>0</v>
      </c>
      <c r="M77" s="1"/>
      <c r="N77" s="1"/>
      <c r="O77" s="1">
        <v>0</v>
      </c>
      <c r="P77" s="1">
        <f t="shared" si="20"/>
        <v>1.5</v>
      </c>
      <c r="Q77" s="5"/>
      <c r="R77" s="5"/>
      <c r="S77" s="5">
        <f t="shared" si="21"/>
        <v>0</v>
      </c>
      <c r="T77" s="5"/>
      <c r="U77" s="1"/>
      <c r="V77" s="1">
        <f t="shared" si="22"/>
        <v>69.333333333333329</v>
      </c>
      <c r="W77" s="1">
        <f t="shared" si="23"/>
        <v>69.333333333333329</v>
      </c>
      <c r="X77" s="1">
        <v>2</v>
      </c>
      <c r="Y77" s="1">
        <v>2.2000000000000002</v>
      </c>
      <c r="Z77" s="1">
        <v>2.2000000000000002</v>
      </c>
      <c r="AA77" s="1">
        <v>4.5999999999999996</v>
      </c>
      <c r="AB77" s="1">
        <v>3.2</v>
      </c>
      <c r="AC77" s="1">
        <v>1.8</v>
      </c>
      <c r="AD77" s="1">
        <v>2</v>
      </c>
      <c r="AE77" s="1">
        <v>3.2</v>
      </c>
      <c r="AF77" s="21" t="s">
        <v>100</v>
      </c>
      <c r="AG77" s="1">
        <f t="shared" si="24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118</v>
      </c>
      <c r="B78" s="1" t="s">
        <v>35</v>
      </c>
      <c r="C78" s="1">
        <v>14.595000000000001</v>
      </c>
      <c r="D78" s="1">
        <v>38.75</v>
      </c>
      <c r="E78" s="1">
        <v>25.981000000000002</v>
      </c>
      <c r="F78" s="1">
        <v>18.640999999999998</v>
      </c>
      <c r="G78" s="8">
        <v>1</v>
      </c>
      <c r="H78" s="1">
        <v>55</v>
      </c>
      <c r="I78" s="1" t="s">
        <v>36</v>
      </c>
      <c r="J78" s="1"/>
      <c r="K78" s="1">
        <v>31.8</v>
      </c>
      <c r="L78" s="1">
        <f t="shared" si="19"/>
        <v>-5.8189999999999991</v>
      </c>
      <c r="M78" s="1"/>
      <c r="N78" s="1"/>
      <c r="O78" s="1">
        <v>26.649233333333331</v>
      </c>
      <c r="P78" s="1">
        <f t="shared" si="20"/>
        <v>4.3301666666666669</v>
      </c>
      <c r="Q78" s="5">
        <f t="shared" si="26"/>
        <v>6.6717666666666737</v>
      </c>
      <c r="R78" s="5"/>
      <c r="S78" s="5">
        <f t="shared" si="21"/>
        <v>6.6717666666666737</v>
      </c>
      <c r="T78" s="5"/>
      <c r="U78" s="1"/>
      <c r="V78" s="1">
        <f t="shared" si="22"/>
        <v>12</v>
      </c>
      <c r="W78" s="1">
        <f t="shared" si="23"/>
        <v>10.459235595242676</v>
      </c>
      <c r="X78" s="1">
        <v>4.8131666666666666</v>
      </c>
      <c r="Y78" s="1">
        <v>2.8963999999999999</v>
      </c>
      <c r="Z78" s="1">
        <v>2.028</v>
      </c>
      <c r="AA78" s="1">
        <v>1.1492</v>
      </c>
      <c r="AB78" s="1">
        <v>2.589</v>
      </c>
      <c r="AC78" s="1">
        <v>2.5908000000000002</v>
      </c>
      <c r="AD78" s="1">
        <v>1.7248000000000001</v>
      </c>
      <c r="AE78" s="1">
        <v>1.1496</v>
      </c>
      <c r="AF78" s="1"/>
      <c r="AG78" s="1">
        <f t="shared" si="24"/>
        <v>7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119</v>
      </c>
      <c r="B79" s="1" t="s">
        <v>35</v>
      </c>
      <c r="C79" s="1">
        <v>19.268000000000001</v>
      </c>
      <c r="D79" s="1">
        <v>443.71</v>
      </c>
      <c r="E79" s="1">
        <v>145.1</v>
      </c>
      <c r="F79" s="1">
        <v>253.83600000000001</v>
      </c>
      <c r="G79" s="8">
        <v>1</v>
      </c>
      <c r="H79" s="1">
        <v>60</v>
      </c>
      <c r="I79" s="1" t="s">
        <v>36</v>
      </c>
      <c r="J79" s="1"/>
      <c r="K79" s="1">
        <v>153.26</v>
      </c>
      <c r="L79" s="1">
        <f t="shared" si="19"/>
        <v>-8.1599999999999966</v>
      </c>
      <c r="M79" s="1"/>
      <c r="N79" s="1"/>
      <c r="O79" s="1">
        <v>0</v>
      </c>
      <c r="P79" s="1">
        <f t="shared" si="20"/>
        <v>24.183333333333334</v>
      </c>
      <c r="Q79" s="5">
        <f t="shared" si="26"/>
        <v>36.363999999999976</v>
      </c>
      <c r="R79" s="5">
        <f>$R$1*P79</f>
        <v>24.183333333333334</v>
      </c>
      <c r="S79" s="5">
        <f t="shared" si="21"/>
        <v>60.547333333333313</v>
      </c>
      <c r="T79" s="5"/>
      <c r="U79" s="1"/>
      <c r="V79" s="1">
        <f t="shared" si="22"/>
        <v>13</v>
      </c>
      <c r="W79" s="1">
        <f t="shared" si="23"/>
        <v>10.496319779462441</v>
      </c>
      <c r="X79" s="1">
        <v>27.132000000000001</v>
      </c>
      <c r="Y79" s="1">
        <v>29.917200000000001</v>
      </c>
      <c r="Z79" s="1">
        <v>21.681999999999999</v>
      </c>
      <c r="AA79" s="1">
        <v>19.560199999999998</v>
      </c>
      <c r="AB79" s="1">
        <v>20.8292</v>
      </c>
      <c r="AC79" s="1">
        <v>19.3828</v>
      </c>
      <c r="AD79" s="1">
        <v>20.1402</v>
      </c>
      <c r="AE79" s="1">
        <v>20.0914</v>
      </c>
      <c r="AF79" s="1" t="s">
        <v>51</v>
      </c>
      <c r="AG79" s="1">
        <f t="shared" si="24"/>
        <v>61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120</v>
      </c>
      <c r="B80" s="1" t="s">
        <v>35</v>
      </c>
      <c r="C80" s="1">
        <v>105.848</v>
      </c>
      <c r="D80" s="1">
        <v>1577.8</v>
      </c>
      <c r="E80" s="1">
        <v>485.00700000000001</v>
      </c>
      <c r="F80" s="1">
        <v>1112.193</v>
      </c>
      <c r="G80" s="8">
        <v>1</v>
      </c>
      <c r="H80" s="1">
        <v>60</v>
      </c>
      <c r="I80" s="1" t="s">
        <v>36</v>
      </c>
      <c r="J80" s="1"/>
      <c r="K80" s="1">
        <v>515</v>
      </c>
      <c r="L80" s="1">
        <f t="shared" si="19"/>
        <v>-29.992999999999995</v>
      </c>
      <c r="M80" s="1"/>
      <c r="N80" s="1"/>
      <c r="O80" s="1">
        <v>98.829333333333338</v>
      </c>
      <c r="P80" s="1">
        <f t="shared" si="20"/>
        <v>80.834500000000006</v>
      </c>
      <c r="Q80" s="5"/>
      <c r="R80" s="5"/>
      <c r="S80" s="5">
        <f t="shared" si="21"/>
        <v>0</v>
      </c>
      <c r="T80" s="5"/>
      <c r="U80" s="1"/>
      <c r="V80" s="1">
        <f t="shared" si="22"/>
        <v>14.981503359745322</v>
      </c>
      <c r="W80" s="1">
        <f t="shared" si="23"/>
        <v>14.981503359745322</v>
      </c>
      <c r="X80" s="1">
        <v>98.829333333333338</v>
      </c>
      <c r="Y80" s="1">
        <v>102.3514</v>
      </c>
      <c r="Z80" s="1">
        <v>80.802800000000005</v>
      </c>
      <c r="AA80" s="1">
        <v>79.558599999999998</v>
      </c>
      <c r="AB80" s="1">
        <v>77.887799999999999</v>
      </c>
      <c r="AC80" s="1">
        <v>74.399799999999999</v>
      </c>
      <c r="AD80" s="1">
        <v>77.364800000000002</v>
      </c>
      <c r="AE80" s="1">
        <v>77.063199999999995</v>
      </c>
      <c r="AF80" s="1"/>
      <c r="AG80" s="1">
        <f t="shared" si="24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121</v>
      </c>
      <c r="B81" s="1" t="s">
        <v>35</v>
      </c>
      <c r="C81" s="1">
        <v>3.5710000000000002</v>
      </c>
      <c r="D81" s="1">
        <v>1572.0319999999999</v>
      </c>
      <c r="E81" s="1">
        <v>632.83199999999999</v>
      </c>
      <c r="F81" s="1">
        <v>900.18799999999999</v>
      </c>
      <c r="G81" s="8">
        <v>1</v>
      </c>
      <c r="H81" s="1">
        <v>60</v>
      </c>
      <c r="I81" s="1" t="s">
        <v>36</v>
      </c>
      <c r="J81" s="1"/>
      <c r="K81" s="1">
        <v>680</v>
      </c>
      <c r="L81" s="1">
        <f t="shared" si="19"/>
        <v>-47.168000000000006</v>
      </c>
      <c r="M81" s="1"/>
      <c r="N81" s="1"/>
      <c r="O81" s="1">
        <v>78.396666666666661</v>
      </c>
      <c r="P81" s="1">
        <f t="shared" si="20"/>
        <v>105.47199999999999</v>
      </c>
      <c r="Q81" s="5">
        <f t="shared" si="26"/>
        <v>287.07933333333324</v>
      </c>
      <c r="R81" s="5">
        <f>$R$1*P81</f>
        <v>105.47199999999999</v>
      </c>
      <c r="S81" s="5">
        <f t="shared" si="21"/>
        <v>392.55133333333322</v>
      </c>
      <c r="T81" s="5"/>
      <c r="U81" s="1"/>
      <c r="V81" s="1">
        <f t="shared" si="22"/>
        <v>13</v>
      </c>
      <c r="W81" s="1">
        <f t="shared" si="23"/>
        <v>9.2781464906957929</v>
      </c>
      <c r="X81" s="1">
        <v>78.396666666666661</v>
      </c>
      <c r="Y81" s="1">
        <v>101.4876</v>
      </c>
      <c r="Z81" s="1">
        <v>87.493600000000001</v>
      </c>
      <c r="AA81" s="1">
        <v>79.887799999999999</v>
      </c>
      <c r="AB81" s="1">
        <v>66.611199999999997</v>
      </c>
      <c r="AC81" s="1">
        <v>70.506600000000006</v>
      </c>
      <c r="AD81" s="1">
        <v>85.866799999999998</v>
      </c>
      <c r="AE81" s="1">
        <v>82.857200000000006</v>
      </c>
      <c r="AF81" s="1" t="s">
        <v>51</v>
      </c>
      <c r="AG81" s="1">
        <f t="shared" si="24"/>
        <v>393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122</v>
      </c>
      <c r="B82" s="1" t="s">
        <v>35</v>
      </c>
      <c r="C82" s="1">
        <v>58.521999999999998</v>
      </c>
      <c r="D82" s="1">
        <v>3728.4949999999999</v>
      </c>
      <c r="E82" s="1">
        <v>1047.9749999999999</v>
      </c>
      <c r="F82" s="1">
        <v>2483.4459999999999</v>
      </c>
      <c r="G82" s="8">
        <v>1</v>
      </c>
      <c r="H82" s="1">
        <v>60</v>
      </c>
      <c r="I82" s="1" t="s">
        <v>36</v>
      </c>
      <c r="J82" s="1"/>
      <c r="K82" s="1">
        <v>1117.5150000000001</v>
      </c>
      <c r="L82" s="1">
        <f t="shared" si="19"/>
        <v>-69.540000000000191</v>
      </c>
      <c r="M82" s="1"/>
      <c r="N82" s="1"/>
      <c r="O82" s="1">
        <v>216.143</v>
      </c>
      <c r="P82" s="1">
        <f t="shared" si="20"/>
        <v>174.66249999999999</v>
      </c>
      <c r="Q82" s="5"/>
      <c r="R82" s="5"/>
      <c r="S82" s="5">
        <f t="shared" si="21"/>
        <v>0</v>
      </c>
      <c r="T82" s="5"/>
      <c r="U82" s="1"/>
      <c r="V82" s="1">
        <f t="shared" si="22"/>
        <v>15.456030916768054</v>
      </c>
      <c r="W82" s="1">
        <f t="shared" si="23"/>
        <v>15.456030916768054</v>
      </c>
      <c r="X82" s="1">
        <v>216.143</v>
      </c>
      <c r="Y82" s="1">
        <v>248.3784</v>
      </c>
      <c r="Z82" s="1">
        <v>171.5676</v>
      </c>
      <c r="AA82" s="1">
        <v>168.447</v>
      </c>
      <c r="AB82" s="1">
        <v>168.0044</v>
      </c>
      <c r="AC82" s="1">
        <v>166.23480000000001</v>
      </c>
      <c r="AD82" s="1">
        <v>135.21459999999999</v>
      </c>
      <c r="AE82" s="1">
        <v>127.8674</v>
      </c>
      <c r="AF82" s="1" t="s">
        <v>51</v>
      </c>
      <c r="AG82" s="1">
        <f t="shared" si="24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6" t="s">
        <v>123</v>
      </c>
      <c r="B83" s="16" t="s">
        <v>35</v>
      </c>
      <c r="C83" s="16"/>
      <c r="D83" s="16"/>
      <c r="E83" s="16"/>
      <c r="F83" s="16"/>
      <c r="G83" s="17">
        <v>0</v>
      </c>
      <c r="H83" s="16">
        <v>60</v>
      </c>
      <c r="I83" s="16" t="s">
        <v>36</v>
      </c>
      <c r="J83" s="16"/>
      <c r="K83" s="16"/>
      <c r="L83" s="16">
        <f t="shared" si="19"/>
        <v>0</v>
      </c>
      <c r="M83" s="16"/>
      <c r="N83" s="16"/>
      <c r="O83" s="16">
        <v>0</v>
      </c>
      <c r="P83" s="16">
        <f t="shared" si="20"/>
        <v>0</v>
      </c>
      <c r="Q83" s="18"/>
      <c r="R83" s="18"/>
      <c r="S83" s="5">
        <f t="shared" si="21"/>
        <v>0</v>
      </c>
      <c r="T83" s="18"/>
      <c r="U83" s="16"/>
      <c r="V83" s="1" t="e">
        <f t="shared" si="22"/>
        <v>#DIV/0!</v>
      </c>
      <c r="W83" s="16" t="e">
        <f t="shared" si="23"/>
        <v>#DIV/0!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 t="s">
        <v>45</v>
      </c>
      <c r="AG83" s="1">
        <f t="shared" si="24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124</v>
      </c>
      <c r="B84" s="1" t="s">
        <v>41</v>
      </c>
      <c r="C84" s="1">
        <v>16</v>
      </c>
      <c r="D84" s="1">
        <v>251</v>
      </c>
      <c r="E84" s="1">
        <v>69</v>
      </c>
      <c r="F84" s="1">
        <v>166</v>
      </c>
      <c r="G84" s="8">
        <v>0.3</v>
      </c>
      <c r="H84" s="1">
        <v>40</v>
      </c>
      <c r="I84" s="1" t="s">
        <v>36</v>
      </c>
      <c r="J84" s="1"/>
      <c r="K84" s="1">
        <v>77</v>
      </c>
      <c r="L84" s="1">
        <f t="shared" si="19"/>
        <v>-8</v>
      </c>
      <c r="M84" s="1"/>
      <c r="N84" s="1"/>
      <c r="O84" s="1">
        <v>0</v>
      </c>
      <c r="P84" s="1">
        <f t="shared" si="20"/>
        <v>11.5</v>
      </c>
      <c r="Q84" s="5"/>
      <c r="R84" s="5"/>
      <c r="S84" s="5">
        <f t="shared" si="21"/>
        <v>0</v>
      </c>
      <c r="T84" s="5"/>
      <c r="U84" s="1"/>
      <c r="V84" s="1">
        <f t="shared" si="22"/>
        <v>14.434782608695652</v>
      </c>
      <c r="W84" s="1">
        <f t="shared" si="23"/>
        <v>14.434782608695652</v>
      </c>
      <c r="X84" s="1">
        <v>15.83333333333333</v>
      </c>
      <c r="Y84" s="1">
        <v>20.2</v>
      </c>
      <c r="Z84" s="1">
        <v>13.4</v>
      </c>
      <c r="AA84" s="1">
        <v>13.6</v>
      </c>
      <c r="AB84" s="1">
        <v>14.2</v>
      </c>
      <c r="AC84" s="1">
        <v>15</v>
      </c>
      <c r="AD84" s="1">
        <v>10.8</v>
      </c>
      <c r="AE84" s="1">
        <v>9.6</v>
      </c>
      <c r="AF84" s="1"/>
      <c r="AG84" s="1">
        <f t="shared" si="24"/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125</v>
      </c>
      <c r="B85" s="1" t="s">
        <v>41</v>
      </c>
      <c r="C85" s="1">
        <v>8</v>
      </c>
      <c r="D85" s="1">
        <v>136</v>
      </c>
      <c r="E85" s="1">
        <v>16</v>
      </c>
      <c r="F85" s="1">
        <v>118</v>
      </c>
      <c r="G85" s="8">
        <v>7.0000000000000007E-2</v>
      </c>
      <c r="H85" s="1">
        <v>90</v>
      </c>
      <c r="I85" s="1" t="s">
        <v>36</v>
      </c>
      <c r="J85" s="1"/>
      <c r="K85" s="1">
        <v>16</v>
      </c>
      <c r="L85" s="1">
        <f t="shared" si="19"/>
        <v>0</v>
      </c>
      <c r="M85" s="1"/>
      <c r="N85" s="1"/>
      <c r="O85" s="1">
        <v>0</v>
      </c>
      <c r="P85" s="1">
        <f t="shared" si="20"/>
        <v>2.6666666666666665</v>
      </c>
      <c r="Q85" s="5"/>
      <c r="R85" s="5"/>
      <c r="S85" s="5">
        <f t="shared" si="21"/>
        <v>0</v>
      </c>
      <c r="T85" s="5"/>
      <c r="U85" s="1"/>
      <c r="V85" s="1">
        <f t="shared" si="22"/>
        <v>44.25</v>
      </c>
      <c r="W85" s="1">
        <f t="shared" si="23"/>
        <v>44.25</v>
      </c>
      <c r="X85" s="1">
        <v>4.666666666666667</v>
      </c>
      <c r="Y85" s="1">
        <v>9.1999999999999993</v>
      </c>
      <c r="Z85" s="1">
        <v>3</v>
      </c>
      <c r="AA85" s="1">
        <v>5.4</v>
      </c>
      <c r="AB85" s="1">
        <v>5.8</v>
      </c>
      <c r="AC85" s="1">
        <v>4.2</v>
      </c>
      <c r="AD85" s="1">
        <v>6.2</v>
      </c>
      <c r="AE85" s="1">
        <v>6.2</v>
      </c>
      <c r="AF85" s="20" t="s">
        <v>77</v>
      </c>
      <c r="AG85" s="1">
        <f t="shared" si="24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126</v>
      </c>
      <c r="B86" s="1" t="s">
        <v>41</v>
      </c>
      <c r="C86" s="1"/>
      <c r="D86" s="1">
        <v>153</v>
      </c>
      <c r="E86" s="1">
        <v>12</v>
      </c>
      <c r="F86" s="1">
        <v>132</v>
      </c>
      <c r="G86" s="8">
        <v>7.0000000000000007E-2</v>
      </c>
      <c r="H86" s="1">
        <v>90</v>
      </c>
      <c r="I86" s="1" t="s">
        <v>36</v>
      </c>
      <c r="J86" s="1"/>
      <c r="K86" s="1">
        <v>12</v>
      </c>
      <c r="L86" s="1">
        <f t="shared" si="19"/>
        <v>0</v>
      </c>
      <c r="M86" s="1"/>
      <c r="N86" s="1"/>
      <c r="O86" s="1">
        <v>0</v>
      </c>
      <c r="P86" s="1">
        <f t="shared" si="20"/>
        <v>2</v>
      </c>
      <c r="Q86" s="5"/>
      <c r="R86" s="5"/>
      <c r="S86" s="5">
        <f t="shared" si="21"/>
        <v>0</v>
      </c>
      <c r="T86" s="5"/>
      <c r="U86" s="1"/>
      <c r="V86" s="1">
        <f t="shared" si="22"/>
        <v>66</v>
      </c>
      <c r="W86" s="1">
        <f t="shared" si="23"/>
        <v>66</v>
      </c>
      <c r="X86" s="1">
        <v>2.166666666666667</v>
      </c>
      <c r="Y86" s="1">
        <v>7</v>
      </c>
      <c r="Z86" s="1">
        <v>5.8</v>
      </c>
      <c r="AA86" s="1">
        <v>7.6</v>
      </c>
      <c r="AB86" s="1">
        <v>5.4</v>
      </c>
      <c r="AC86" s="1">
        <v>3.8</v>
      </c>
      <c r="AD86" s="1">
        <v>5.6</v>
      </c>
      <c r="AE86" s="1">
        <v>5.6</v>
      </c>
      <c r="AF86" s="20" t="s">
        <v>77</v>
      </c>
      <c r="AG86" s="1">
        <f t="shared" si="24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127</v>
      </c>
      <c r="B87" s="1" t="s">
        <v>41</v>
      </c>
      <c r="C87" s="1"/>
      <c r="D87" s="1">
        <v>96</v>
      </c>
      <c r="E87" s="1">
        <v>24</v>
      </c>
      <c r="F87" s="1">
        <v>66</v>
      </c>
      <c r="G87" s="8">
        <v>7.0000000000000007E-2</v>
      </c>
      <c r="H87" s="1">
        <v>90</v>
      </c>
      <c r="I87" s="1" t="s">
        <v>36</v>
      </c>
      <c r="J87" s="1"/>
      <c r="K87" s="1">
        <v>24</v>
      </c>
      <c r="L87" s="1">
        <f t="shared" si="19"/>
        <v>0</v>
      </c>
      <c r="M87" s="1"/>
      <c r="N87" s="1"/>
      <c r="O87" s="1">
        <v>0</v>
      </c>
      <c r="P87" s="1">
        <f t="shared" si="20"/>
        <v>4</v>
      </c>
      <c r="Q87" s="5"/>
      <c r="R87" s="5"/>
      <c r="S87" s="5">
        <f t="shared" si="21"/>
        <v>0</v>
      </c>
      <c r="T87" s="5"/>
      <c r="U87" s="1"/>
      <c r="V87" s="1">
        <f t="shared" si="22"/>
        <v>16.5</v>
      </c>
      <c r="W87" s="1">
        <f t="shared" si="23"/>
        <v>16.5</v>
      </c>
      <c r="X87" s="1">
        <v>2.333333333333333</v>
      </c>
      <c r="Y87" s="1">
        <v>5</v>
      </c>
      <c r="Z87" s="1">
        <v>4.4000000000000004</v>
      </c>
      <c r="AA87" s="1">
        <v>5.2</v>
      </c>
      <c r="AB87" s="1">
        <v>5.2</v>
      </c>
      <c r="AC87" s="1">
        <v>5</v>
      </c>
      <c r="AD87" s="1">
        <v>6.4</v>
      </c>
      <c r="AE87" s="1">
        <v>5.6</v>
      </c>
      <c r="AF87" s="1"/>
      <c r="AG87" s="1">
        <f t="shared" si="24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128</v>
      </c>
      <c r="B88" s="1" t="s">
        <v>41</v>
      </c>
      <c r="C88" s="1"/>
      <c r="D88" s="1">
        <v>108</v>
      </c>
      <c r="E88" s="1">
        <v>51</v>
      </c>
      <c r="F88" s="1">
        <v>56</v>
      </c>
      <c r="G88" s="8">
        <v>0.05</v>
      </c>
      <c r="H88" s="1">
        <v>90</v>
      </c>
      <c r="I88" s="1" t="s">
        <v>36</v>
      </c>
      <c r="J88" s="1"/>
      <c r="K88" s="1">
        <v>49</v>
      </c>
      <c r="L88" s="1">
        <f t="shared" si="19"/>
        <v>2</v>
      </c>
      <c r="M88" s="1"/>
      <c r="N88" s="1"/>
      <c r="O88" s="1">
        <v>39.066666666666649</v>
      </c>
      <c r="P88" s="1">
        <f t="shared" si="20"/>
        <v>8.5</v>
      </c>
      <c r="Q88" s="5">
        <f t="shared" ref="Q88" si="27">12*P88-O88-F88</f>
        <v>6.9333333333333513</v>
      </c>
      <c r="R88" s="5"/>
      <c r="S88" s="5">
        <f t="shared" si="21"/>
        <v>6.9333333333333513</v>
      </c>
      <c r="T88" s="5"/>
      <c r="U88" s="1"/>
      <c r="V88" s="1">
        <f t="shared" si="22"/>
        <v>12</v>
      </c>
      <c r="W88" s="1">
        <f t="shared" si="23"/>
        <v>11.184313725490194</v>
      </c>
      <c r="X88" s="1">
        <v>7.333333333333333</v>
      </c>
      <c r="Y88" s="1">
        <v>5</v>
      </c>
      <c r="Z88" s="1">
        <v>4.5999999999999996</v>
      </c>
      <c r="AA88" s="1">
        <v>4.4000000000000004</v>
      </c>
      <c r="AB88" s="1">
        <v>4.2</v>
      </c>
      <c r="AC88" s="1">
        <v>4.2</v>
      </c>
      <c r="AD88" s="1">
        <v>5.6</v>
      </c>
      <c r="AE88" s="1">
        <v>6.8</v>
      </c>
      <c r="AF88" s="1"/>
      <c r="AG88" s="1">
        <f t="shared" si="24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129</v>
      </c>
      <c r="B89" s="1" t="s">
        <v>41</v>
      </c>
      <c r="C89" s="1"/>
      <c r="D89" s="1">
        <v>108</v>
      </c>
      <c r="E89" s="1">
        <v>36</v>
      </c>
      <c r="F89" s="1">
        <v>72</v>
      </c>
      <c r="G89" s="8">
        <v>0.05</v>
      </c>
      <c r="H89" s="1">
        <v>90</v>
      </c>
      <c r="I89" s="1" t="s">
        <v>36</v>
      </c>
      <c r="J89" s="1"/>
      <c r="K89" s="1">
        <v>36</v>
      </c>
      <c r="L89" s="1">
        <f t="shared" si="19"/>
        <v>0</v>
      </c>
      <c r="M89" s="1"/>
      <c r="N89" s="1"/>
      <c r="O89" s="1">
        <v>0</v>
      </c>
      <c r="P89" s="1">
        <f t="shared" si="20"/>
        <v>6</v>
      </c>
      <c r="Q89" s="5">
        <v>10</v>
      </c>
      <c r="R89" s="5"/>
      <c r="S89" s="5">
        <f t="shared" si="21"/>
        <v>10</v>
      </c>
      <c r="T89" s="5"/>
      <c r="U89" s="1"/>
      <c r="V89" s="1">
        <f t="shared" si="22"/>
        <v>13.666666666666666</v>
      </c>
      <c r="W89" s="1">
        <f t="shared" si="23"/>
        <v>12</v>
      </c>
      <c r="X89" s="1">
        <v>4.166666666666667</v>
      </c>
      <c r="Y89" s="1">
        <v>6</v>
      </c>
      <c r="Z89" s="1">
        <v>8</v>
      </c>
      <c r="AA89" s="1">
        <v>7.2</v>
      </c>
      <c r="AB89" s="1">
        <v>6</v>
      </c>
      <c r="AC89" s="1">
        <v>6.6</v>
      </c>
      <c r="AD89" s="1">
        <v>8</v>
      </c>
      <c r="AE89" s="1">
        <v>7.4</v>
      </c>
      <c r="AF89" s="1"/>
      <c r="AG89" s="1">
        <f t="shared" si="24"/>
        <v>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130</v>
      </c>
      <c r="B90" s="1" t="s">
        <v>41</v>
      </c>
      <c r="C90" s="1"/>
      <c r="D90" s="1">
        <v>216</v>
      </c>
      <c r="E90" s="1">
        <v>37</v>
      </c>
      <c r="F90" s="1">
        <v>177</v>
      </c>
      <c r="G90" s="8">
        <v>5.5E-2</v>
      </c>
      <c r="H90" s="1">
        <v>90</v>
      </c>
      <c r="I90" s="1" t="s">
        <v>36</v>
      </c>
      <c r="J90" s="1"/>
      <c r="K90" s="1">
        <v>39</v>
      </c>
      <c r="L90" s="1">
        <f t="shared" si="19"/>
        <v>-2</v>
      </c>
      <c r="M90" s="1"/>
      <c r="N90" s="1"/>
      <c r="O90" s="1">
        <v>0</v>
      </c>
      <c r="P90" s="1">
        <f t="shared" si="20"/>
        <v>6.166666666666667</v>
      </c>
      <c r="Q90" s="5"/>
      <c r="R90" s="5"/>
      <c r="S90" s="5">
        <f t="shared" si="21"/>
        <v>0</v>
      </c>
      <c r="T90" s="5"/>
      <c r="U90" s="1"/>
      <c r="V90" s="1">
        <f t="shared" si="22"/>
        <v>28.702702702702702</v>
      </c>
      <c r="W90" s="1">
        <f t="shared" si="23"/>
        <v>28.702702702702702</v>
      </c>
      <c r="X90" s="1">
        <v>8.8333333333333339</v>
      </c>
      <c r="Y90" s="1">
        <v>12.2</v>
      </c>
      <c r="Z90" s="1">
        <v>6.2</v>
      </c>
      <c r="AA90" s="1">
        <v>5.8</v>
      </c>
      <c r="AB90" s="1">
        <v>5</v>
      </c>
      <c r="AC90" s="1">
        <v>6.2</v>
      </c>
      <c r="AD90" s="1">
        <v>8</v>
      </c>
      <c r="AE90" s="1">
        <v>8.1999999999999993</v>
      </c>
      <c r="AF90" s="20" t="s">
        <v>77</v>
      </c>
      <c r="AG90" s="1">
        <f t="shared" si="24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2" t="s">
        <v>131</v>
      </c>
      <c r="B91" s="12" t="s">
        <v>35</v>
      </c>
      <c r="C91" s="12">
        <v>0.91100000000000003</v>
      </c>
      <c r="D91" s="12"/>
      <c r="E91" s="12"/>
      <c r="F91" s="12"/>
      <c r="G91" s="13">
        <v>0</v>
      </c>
      <c r="H91" s="12">
        <v>180</v>
      </c>
      <c r="I91" s="12" t="s">
        <v>132</v>
      </c>
      <c r="J91" s="12" t="s">
        <v>55</v>
      </c>
      <c r="K91" s="12"/>
      <c r="L91" s="12">
        <f t="shared" si="19"/>
        <v>0</v>
      </c>
      <c r="M91" s="12"/>
      <c r="N91" s="12"/>
      <c r="O91" s="12">
        <v>0</v>
      </c>
      <c r="P91" s="12">
        <f t="shared" si="20"/>
        <v>0</v>
      </c>
      <c r="Q91" s="15"/>
      <c r="R91" s="15"/>
      <c r="S91" s="5">
        <f t="shared" si="21"/>
        <v>0</v>
      </c>
      <c r="T91" s="15"/>
      <c r="U91" s="12"/>
      <c r="V91" s="1" t="e">
        <f t="shared" si="22"/>
        <v>#DIV/0!</v>
      </c>
      <c r="W91" s="12" t="e">
        <f t="shared" si="23"/>
        <v>#DIV/0!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/>
      <c r="AG91" s="1">
        <f t="shared" si="24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133</v>
      </c>
      <c r="B92" s="1" t="s">
        <v>35</v>
      </c>
      <c r="C92" s="1">
        <v>216.17</v>
      </c>
      <c r="D92" s="1">
        <v>1069.827</v>
      </c>
      <c r="E92" s="1">
        <v>462.32100000000003</v>
      </c>
      <c r="F92" s="1">
        <v>773.70399999999995</v>
      </c>
      <c r="G92" s="8">
        <v>1</v>
      </c>
      <c r="H92" s="1">
        <v>40</v>
      </c>
      <c r="I92" s="1" t="s">
        <v>36</v>
      </c>
      <c r="J92" s="1"/>
      <c r="K92" s="1">
        <v>414.5</v>
      </c>
      <c r="L92" s="1">
        <f t="shared" si="19"/>
        <v>47.821000000000026</v>
      </c>
      <c r="M92" s="1"/>
      <c r="N92" s="1"/>
      <c r="O92" s="1">
        <v>0</v>
      </c>
      <c r="P92" s="1">
        <f t="shared" si="20"/>
        <v>77.0535</v>
      </c>
      <c r="Q92" s="5">
        <f t="shared" ref="Q92:Q97" si="28">12*P92-O92-F92</f>
        <v>150.9380000000001</v>
      </c>
      <c r="R92" s="5"/>
      <c r="S92" s="5">
        <f t="shared" si="21"/>
        <v>150.9380000000001</v>
      </c>
      <c r="T92" s="5"/>
      <c r="U92" s="1"/>
      <c r="V92" s="1">
        <f t="shared" si="22"/>
        <v>12</v>
      </c>
      <c r="W92" s="1">
        <f t="shared" si="23"/>
        <v>10.041127268715892</v>
      </c>
      <c r="X92" s="1">
        <v>72.843333333333334</v>
      </c>
      <c r="Y92" s="1">
        <v>89.893200000000007</v>
      </c>
      <c r="Z92" s="1">
        <v>73.190799999999996</v>
      </c>
      <c r="AA92" s="1">
        <v>83.168199999999999</v>
      </c>
      <c r="AB92" s="1">
        <v>83.365600000000001</v>
      </c>
      <c r="AC92" s="1">
        <v>77.248999999999995</v>
      </c>
      <c r="AD92" s="1">
        <v>75.239400000000003</v>
      </c>
      <c r="AE92" s="1">
        <v>78.774599999999992</v>
      </c>
      <c r="AF92" s="1" t="s">
        <v>51</v>
      </c>
      <c r="AG92" s="1">
        <f t="shared" si="24"/>
        <v>151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1" t="s">
        <v>134</v>
      </c>
      <c r="B93" s="1" t="s">
        <v>35</v>
      </c>
      <c r="C93" s="1"/>
      <c r="D93" s="1"/>
      <c r="E93" s="1"/>
      <c r="F93" s="1"/>
      <c r="G93" s="8">
        <v>1</v>
      </c>
      <c r="H93" s="1">
        <v>60</v>
      </c>
      <c r="I93" s="1" t="s">
        <v>36</v>
      </c>
      <c r="J93" s="1"/>
      <c r="K93" s="1"/>
      <c r="L93" s="1">
        <f t="shared" si="19"/>
        <v>0</v>
      </c>
      <c r="M93" s="1"/>
      <c r="N93" s="1"/>
      <c r="O93" s="11"/>
      <c r="P93" s="1">
        <f t="shared" si="20"/>
        <v>0</v>
      </c>
      <c r="Q93" s="19">
        <v>4</v>
      </c>
      <c r="R93" s="19"/>
      <c r="S93" s="5">
        <f t="shared" si="21"/>
        <v>4</v>
      </c>
      <c r="T93" s="5"/>
      <c r="U93" s="1"/>
      <c r="V93" s="1" t="e">
        <f t="shared" si="22"/>
        <v>#DIV/0!</v>
      </c>
      <c r="W93" s="1" t="e">
        <f t="shared" si="23"/>
        <v>#DIV/0!</v>
      </c>
      <c r="X93" s="1">
        <v>0</v>
      </c>
      <c r="Y93" s="1">
        <v>-1.274</v>
      </c>
      <c r="Z93" s="1">
        <v>0</v>
      </c>
      <c r="AA93" s="1">
        <v>0</v>
      </c>
      <c r="AB93" s="1">
        <v>-0.58600000000000008</v>
      </c>
      <c r="AC93" s="1">
        <v>-0.58600000000000008</v>
      </c>
      <c r="AD93" s="1">
        <v>0</v>
      </c>
      <c r="AE93" s="1">
        <v>-0.186</v>
      </c>
      <c r="AF93" s="11" t="s">
        <v>135</v>
      </c>
      <c r="AG93" s="1">
        <f t="shared" si="24"/>
        <v>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136</v>
      </c>
      <c r="B94" s="1" t="s">
        <v>41</v>
      </c>
      <c r="C94" s="1">
        <v>24</v>
      </c>
      <c r="D94" s="1">
        <v>344</v>
      </c>
      <c r="E94" s="1">
        <v>169</v>
      </c>
      <c r="F94" s="1">
        <v>159</v>
      </c>
      <c r="G94" s="8">
        <v>0.3</v>
      </c>
      <c r="H94" s="1">
        <v>40</v>
      </c>
      <c r="I94" s="1" t="s">
        <v>36</v>
      </c>
      <c r="J94" s="1"/>
      <c r="K94" s="1">
        <v>175</v>
      </c>
      <c r="L94" s="1">
        <f t="shared" si="19"/>
        <v>-6</v>
      </c>
      <c r="M94" s="1"/>
      <c r="N94" s="1"/>
      <c r="O94" s="1">
        <v>12.233333333333411</v>
      </c>
      <c r="P94" s="1">
        <f t="shared" si="20"/>
        <v>28.166666666666668</v>
      </c>
      <c r="Q94" s="5">
        <f t="shared" si="28"/>
        <v>166.76666666666659</v>
      </c>
      <c r="R94" s="5"/>
      <c r="S94" s="5">
        <f t="shared" si="21"/>
        <v>166.76666666666659</v>
      </c>
      <c r="T94" s="5"/>
      <c r="U94" s="1"/>
      <c r="V94" s="1">
        <f t="shared" si="22"/>
        <v>12</v>
      </c>
      <c r="W94" s="1">
        <f t="shared" si="23"/>
        <v>6.0792899408284047</v>
      </c>
      <c r="X94" s="1">
        <v>24.166666666666671</v>
      </c>
      <c r="Y94" s="1">
        <v>23.8</v>
      </c>
      <c r="Z94" s="1">
        <v>29</v>
      </c>
      <c r="AA94" s="1">
        <v>26.2</v>
      </c>
      <c r="AB94" s="1">
        <v>21.2</v>
      </c>
      <c r="AC94" s="1">
        <v>13.2</v>
      </c>
      <c r="AD94" s="1">
        <v>19.399999999999999</v>
      </c>
      <c r="AE94" s="1">
        <v>26</v>
      </c>
      <c r="AF94" s="1"/>
      <c r="AG94" s="1">
        <f t="shared" si="24"/>
        <v>50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137</v>
      </c>
      <c r="B95" s="1" t="s">
        <v>41</v>
      </c>
      <c r="C95" s="1">
        <v>67</v>
      </c>
      <c r="D95" s="1">
        <v>179</v>
      </c>
      <c r="E95" s="1">
        <v>87</v>
      </c>
      <c r="F95" s="1">
        <v>138</v>
      </c>
      <c r="G95" s="8">
        <v>0.3</v>
      </c>
      <c r="H95" s="1">
        <v>40</v>
      </c>
      <c r="I95" s="1" t="s">
        <v>36</v>
      </c>
      <c r="J95" s="1"/>
      <c r="K95" s="1">
        <v>98</v>
      </c>
      <c r="L95" s="1">
        <f t="shared" si="19"/>
        <v>-11</v>
      </c>
      <c r="M95" s="1"/>
      <c r="N95" s="1"/>
      <c r="O95" s="1">
        <v>59.333333333333371</v>
      </c>
      <c r="P95" s="1">
        <f t="shared" si="20"/>
        <v>14.5</v>
      </c>
      <c r="Q95" s="5"/>
      <c r="R95" s="5"/>
      <c r="S95" s="5">
        <f t="shared" si="21"/>
        <v>0</v>
      </c>
      <c r="T95" s="5"/>
      <c r="U95" s="1"/>
      <c r="V95" s="1">
        <f t="shared" si="22"/>
        <v>13.609195402298853</v>
      </c>
      <c r="W95" s="1">
        <f t="shared" si="23"/>
        <v>13.609195402298853</v>
      </c>
      <c r="X95" s="1">
        <v>19.666666666666671</v>
      </c>
      <c r="Y95" s="1">
        <v>17.399999999999999</v>
      </c>
      <c r="Z95" s="1">
        <v>8.1999999999999993</v>
      </c>
      <c r="AA95" s="1">
        <v>13</v>
      </c>
      <c r="AB95" s="1">
        <v>15.6</v>
      </c>
      <c r="AC95" s="1">
        <v>12.6</v>
      </c>
      <c r="AD95" s="1">
        <v>9.6</v>
      </c>
      <c r="AE95" s="1">
        <v>11.4</v>
      </c>
      <c r="AF95" s="1" t="s">
        <v>138</v>
      </c>
      <c r="AG95" s="1">
        <f t="shared" si="24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139</v>
      </c>
      <c r="B96" s="1" t="s">
        <v>35</v>
      </c>
      <c r="C96" s="1">
        <v>2.1999999999999999E-2</v>
      </c>
      <c r="D96" s="1">
        <v>57.076999999999998</v>
      </c>
      <c r="E96" s="1">
        <v>6.665</v>
      </c>
      <c r="F96" s="1">
        <v>47.774999999999999</v>
      </c>
      <c r="G96" s="8">
        <v>1</v>
      </c>
      <c r="H96" s="1">
        <v>50</v>
      </c>
      <c r="I96" s="1" t="s">
        <v>36</v>
      </c>
      <c r="J96" s="1"/>
      <c r="K96" s="1">
        <v>13.95</v>
      </c>
      <c r="L96" s="1">
        <f t="shared" si="19"/>
        <v>-7.2849999999999993</v>
      </c>
      <c r="M96" s="1"/>
      <c r="N96" s="1"/>
      <c r="O96" s="1">
        <v>0</v>
      </c>
      <c r="P96" s="1">
        <f t="shared" si="20"/>
        <v>1.1108333333333333</v>
      </c>
      <c r="Q96" s="5"/>
      <c r="R96" s="5"/>
      <c r="S96" s="5">
        <f t="shared" si="21"/>
        <v>0</v>
      </c>
      <c r="T96" s="5"/>
      <c r="U96" s="1"/>
      <c r="V96" s="1">
        <f t="shared" si="22"/>
        <v>43.008252063015753</v>
      </c>
      <c r="W96" s="1">
        <f t="shared" si="23"/>
        <v>43.008252063015753</v>
      </c>
      <c r="X96" s="1">
        <v>0.89566666666666661</v>
      </c>
      <c r="Y96" s="1">
        <v>4.6595999999999993</v>
      </c>
      <c r="Z96" s="1">
        <v>1.3528</v>
      </c>
      <c r="AA96" s="1">
        <v>1.889</v>
      </c>
      <c r="AB96" s="1">
        <v>1.8537999999999999</v>
      </c>
      <c r="AC96" s="1">
        <v>1.3133999999999999</v>
      </c>
      <c r="AD96" s="1">
        <v>1.5788</v>
      </c>
      <c r="AE96" s="1">
        <v>1.8406</v>
      </c>
      <c r="AF96" s="20" t="s">
        <v>77</v>
      </c>
      <c r="AG96" s="1">
        <f t="shared" si="24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140</v>
      </c>
      <c r="B97" s="1" t="s">
        <v>41</v>
      </c>
      <c r="C97" s="1"/>
      <c r="D97" s="1">
        <v>126</v>
      </c>
      <c r="E97" s="1">
        <v>52</v>
      </c>
      <c r="F97" s="1">
        <v>73</v>
      </c>
      <c r="G97" s="8">
        <v>0.3</v>
      </c>
      <c r="H97" s="1">
        <v>40</v>
      </c>
      <c r="I97" s="1" t="s">
        <v>36</v>
      </c>
      <c r="J97" s="1"/>
      <c r="K97" s="1">
        <v>55</v>
      </c>
      <c r="L97" s="1">
        <f t="shared" si="19"/>
        <v>-3</v>
      </c>
      <c r="M97" s="1"/>
      <c r="N97" s="1"/>
      <c r="O97" s="1">
        <v>0</v>
      </c>
      <c r="P97" s="1">
        <f t="shared" si="20"/>
        <v>8.6666666666666661</v>
      </c>
      <c r="Q97" s="5">
        <f t="shared" si="28"/>
        <v>31</v>
      </c>
      <c r="R97" s="5"/>
      <c r="S97" s="5">
        <f t="shared" si="21"/>
        <v>31</v>
      </c>
      <c r="T97" s="5"/>
      <c r="U97" s="1"/>
      <c r="V97" s="1">
        <f t="shared" si="22"/>
        <v>12</v>
      </c>
      <c r="W97" s="1">
        <f t="shared" si="23"/>
        <v>8.4230769230769234</v>
      </c>
      <c r="X97" s="1">
        <v>7.333333333333333</v>
      </c>
      <c r="Y97" s="1">
        <v>8.8000000000000007</v>
      </c>
      <c r="Z97" s="1">
        <v>9.6</v>
      </c>
      <c r="AA97" s="1">
        <v>8.4</v>
      </c>
      <c r="AB97" s="1">
        <v>7.6</v>
      </c>
      <c r="AC97" s="1">
        <v>8.4</v>
      </c>
      <c r="AD97" s="1">
        <v>10.6</v>
      </c>
      <c r="AE97" s="1">
        <v>10.8</v>
      </c>
      <c r="AF97" s="1"/>
      <c r="AG97" s="1">
        <f t="shared" si="24"/>
        <v>9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141</v>
      </c>
      <c r="B98" s="1" t="s">
        <v>41</v>
      </c>
      <c r="C98" s="1"/>
      <c r="D98" s="1">
        <v>75</v>
      </c>
      <c r="E98" s="1">
        <v>22</v>
      </c>
      <c r="F98" s="1">
        <v>50</v>
      </c>
      <c r="G98" s="8">
        <v>0.12</v>
      </c>
      <c r="H98" s="1">
        <v>45</v>
      </c>
      <c r="I98" s="1" t="s">
        <v>36</v>
      </c>
      <c r="J98" s="1"/>
      <c r="K98" s="1">
        <v>28</v>
      </c>
      <c r="L98" s="1">
        <f t="shared" si="19"/>
        <v>-6</v>
      </c>
      <c r="M98" s="1"/>
      <c r="N98" s="1"/>
      <c r="O98" s="1">
        <v>0</v>
      </c>
      <c r="P98" s="1">
        <f t="shared" si="20"/>
        <v>3.6666666666666665</v>
      </c>
      <c r="Q98" s="5"/>
      <c r="R98" s="5"/>
      <c r="S98" s="5">
        <f t="shared" si="21"/>
        <v>0</v>
      </c>
      <c r="T98" s="5"/>
      <c r="U98" s="1"/>
      <c r="V98" s="1">
        <f t="shared" si="22"/>
        <v>13.636363636363637</v>
      </c>
      <c r="W98" s="1">
        <f t="shared" si="23"/>
        <v>13.636363636363637</v>
      </c>
      <c r="X98" s="1">
        <v>1.833333333333333</v>
      </c>
      <c r="Y98" s="1">
        <v>6.8</v>
      </c>
      <c r="Z98" s="1">
        <v>3.8</v>
      </c>
      <c r="AA98" s="1">
        <v>5</v>
      </c>
      <c r="AB98" s="1">
        <v>4.4000000000000004</v>
      </c>
      <c r="AC98" s="1">
        <v>2</v>
      </c>
      <c r="AD98" s="1">
        <v>4</v>
      </c>
      <c r="AE98" s="1">
        <v>4.4000000000000004</v>
      </c>
      <c r="AF98" s="1"/>
      <c r="AG98" s="1">
        <f t="shared" si="24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8" xr:uid="{0903AFE7-4C58-4B05-B2A1-9AB15703B65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2026-01-08T10:18:31Z</dcterms:created>
  <dcterms:modified xsi:type="dcterms:W3CDTF">2026-01-09T07:07:35Z</dcterms:modified>
</cp:coreProperties>
</file>