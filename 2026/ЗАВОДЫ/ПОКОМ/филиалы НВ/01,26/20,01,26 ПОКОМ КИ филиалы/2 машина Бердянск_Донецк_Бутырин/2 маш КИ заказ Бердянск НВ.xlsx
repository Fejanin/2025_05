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8A5C8A3-416E-49FA-9395-696E33DFDEA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503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Y406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Y376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Y366" i="1" s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Y311" i="1" s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Q503" i="1" s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Y282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Y283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Y259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Y230" i="1" s="1"/>
  <c r="P227" i="1"/>
  <c r="X225" i="1"/>
  <c r="X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Y224" i="1" s="1"/>
  <c r="P215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Y212" i="1" s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Y202" i="1" s="1"/>
  <c r="P199" i="1"/>
  <c r="X197" i="1"/>
  <c r="X196" i="1"/>
  <c r="BO195" i="1"/>
  <c r="BM195" i="1"/>
  <c r="Y195" i="1"/>
  <c r="BP195" i="1" s="1"/>
  <c r="P195" i="1"/>
  <c r="BP194" i="1"/>
  <c r="BO194" i="1"/>
  <c r="BN194" i="1"/>
  <c r="BM194" i="1"/>
  <c r="Z194" i="1"/>
  <c r="Y194" i="1"/>
  <c r="Y196" i="1" s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1" i="1" s="1"/>
  <c r="P166" i="1"/>
  <c r="X164" i="1"/>
  <c r="X163" i="1"/>
  <c r="BO162" i="1"/>
  <c r="BM162" i="1"/>
  <c r="Y162" i="1"/>
  <c r="I503" i="1" s="1"/>
  <c r="P162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503" i="1" s="1"/>
  <c r="P142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F503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Y24" i="1" s="1"/>
  <c r="P22" i="1"/>
  <c r="H10" i="1"/>
  <c r="F10" i="1"/>
  <c r="J9" i="1"/>
  <c r="F9" i="1"/>
  <c r="A9" i="1"/>
  <c r="A10" i="1" s="1"/>
  <c r="D7" i="1"/>
  <c r="Q6" i="1"/>
  <c r="P2" i="1"/>
  <c r="Z111" i="1" l="1"/>
  <c r="Z138" i="1"/>
  <c r="Z186" i="1"/>
  <c r="Z43" i="1"/>
  <c r="Z242" i="1"/>
  <c r="Z366" i="1"/>
  <c r="Y58" i="1"/>
  <c r="Y64" i="1"/>
  <c r="Y68" i="1"/>
  <c r="Y89" i="1"/>
  <c r="Y95" i="1"/>
  <c r="Y104" i="1"/>
  <c r="Y112" i="1"/>
  <c r="Y118" i="1"/>
  <c r="Y133" i="1"/>
  <c r="Y139" i="1"/>
  <c r="Y154" i="1"/>
  <c r="Y158" i="1"/>
  <c r="Y164" i="1"/>
  <c r="Y197" i="1"/>
  <c r="Y201" i="1"/>
  <c r="Y213" i="1"/>
  <c r="Y225" i="1"/>
  <c r="Y229" i="1"/>
  <c r="Y242" i="1"/>
  <c r="Y258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BP300" i="1"/>
  <c r="BN300" i="1"/>
  <c r="Z300" i="1"/>
  <c r="BP308" i="1"/>
  <c r="BN308" i="1"/>
  <c r="Z308" i="1"/>
  <c r="BP316" i="1"/>
  <c r="BN316" i="1"/>
  <c r="Z316" i="1"/>
  <c r="BP328" i="1"/>
  <c r="BN328" i="1"/>
  <c r="Z328" i="1"/>
  <c r="Z331" i="1" s="1"/>
  <c r="BP336" i="1"/>
  <c r="BN336" i="1"/>
  <c r="Z336" i="1"/>
  <c r="Y338" i="1"/>
  <c r="R503" i="1"/>
  <c r="Y344" i="1"/>
  <c r="BP341" i="1"/>
  <c r="BN341" i="1"/>
  <c r="Z341" i="1"/>
  <c r="Z344" i="1" s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BP380" i="1"/>
  <c r="BN380" i="1"/>
  <c r="Z380" i="1"/>
  <c r="Z381" i="1" s="1"/>
  <c r="Y382" i="1"/>
  <c r="Y387" i="1"/>
  <c r="BP384" i="1"/>
  <c r="BN384" i="1"/>
  <c r="Z384" i="1"/>
  <c r="BP394" i="1"/>
  <c r="BN394" i="1"/>
  <c r="Z394" i="1"/>
  <c r="BP398" i="1"/>
  <c r="BN398" i="1"/>
  <c r="Z398" i="1"/>
  <c r="BP415" i="1"/>
  <c r="BN415" i="1"/>
  <c r="Z415" i="1"/>
  <c r="B503" i="1"/>
  <c r="J503" i="1"/>
  <c r="S503" i="1"/>
  <c r="Y25" i="1"/>
  <c r="Y31" i="1"/>
  <c r="Y497" i="1" s="1"/>
  <c r="Y43" i="1"/>
  <c r="Y76" i="1"/>
  <c r="Y80" i="1"/>
  <c r="Y129" i="1"/>
  <c r="Y144" i="1"/>
  <c r="Y180" i="1"/>
  <c r="Y186" i="1"/>
  <c r="H9" i="1"/>
  <c r="X494" i="1"/>
  <c r="X496" i="1" s="1"/>
  <c r="X495" i="1"/>
  <c r="Z23" i="1"/>
  <c r="Z24" i="1" s="1"/>
  <c r="BN23" i="1"/>
  <c r="X493" i="1"/>
  <c r="Z27" i="1"/>
  <c r="BN27" i="1"/>
  <c r="Y494" i="1" s="1"/>
  <c r="BP27" i="1"/>
  <c r="Y495" i="1" s="1"/>
  <c r="Z29" i="1"/>
  <c r="BN29" i="1"/>
  <c r="C503" i="1"/>
  <c r="Z41" i="1"/>
  <c r="BN41" i="1"/>
  <c r="Y44" i="1"/>
  <c r="D503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8" i="1" s="1"/>
  <c r="BN66" i="1"/>
  <c r="BP66" i="1"/>
  <c r="Z72" i="1"/>
  <c r="Z75" i="1" s="1"/>
  <c r="BN72" i="1"/>
  <c r="Z74" i="1"/>
  <c r="BN74" i="1"/>
  <c r="Z78" i="1"/>
  <c r="Z80" i="1" s="1"/>
  <c r="BN78" i="1"/>
  <c r="BP78" i="1"/>
  <c r="E503" i="1"/>
  <c r="Z85" i="1"/>
  <c r="Z88" i="1" s="1"/>
  <c r="BN85" i="1"/>
  <c r="Z87" i="1"/>
  <c r="BN87" i="1"/>
  <c r="Y88" i="1"/>
  <c r="Z91" i="1"/>
  <c r="BN91" i="1"/>
  <c r="BP91" i="1"/>
  <c r="Z93" i="1"/>
  <c r="BN93" i="1"/>
  <c r="Z100" i="1"/>
  <c r="Z104" i="1" s="1"/>
  <c r="BN100" i="1"/>
  <c r="Z102" i="1"/>
  <c r="BN102" i="1"/>
  <c r="Y105" i="1"/>
  <c r="Z108" i="1"/>
  <c r="BN108" i="1"/>
  <c r="Z110" i="1"/>
  <c r="BN110" i="1"/>
  <c r="Z114" i="1"/>
  <c r="BN114" i="1"/>
  <c r="BP114" i="1"/>
  <c r="Z116" i="1"/>
  <c r="BN116" i="1"/>
  <c r="G503" i="1"/>
  <c r="Z127" i="1"/>
  <c r="Z128" i="1" s="1"/>
  <c r="BN127" i="1"/>
  <c r="Y128" i="1"/>
  <c r="Z131" i="1"/>
  <c r="Z133" i="1" s="1"/>
  <c r="BN131" i="1"/>
  <c r="BP131" i="1"/>
  <c r="Z137" i="1"/>
  <c r="BN137" i="1"/>
  <c r="Z142" i="1"/>
  <c r="Z144" i="1" s="1"/>
  <c r="BN142" i="1"/>
  <c r="BP142" i="1"/>
  <c r="Y145" i="1"/>
  <c r="Z148" i="1"/>
  <c r="Z153" i="1" s="1"/>
  <c r="BN148" i="1"/>
  <c r="Z150" i="1"/>
  <c r="BN150" i="1"/>
  <c r="Z152" i="1"/>
  <c r="BN152" i="1"/>
  <c r="Z156" i="1"/>
  <c r="Z157" i="1" s="1"/>
  <c r="BN156" i="1"/>
  <c r="BP156" i="1"/>
  <c r="Z162" i="1"/>
  <c r="Z163" i="1" s="1"/>
  <c r="BN162" i="1"/>
  <c r="BP162" i="1"/>
  <c r="Y163" i="1"/>
  <c r="Z166" i="1"/>
  <c r="Z180" i="1" s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4" i="1"/>
  <c r="BN184" i="1"/>
  <c r="Z195" i="1"/>
  <c r="Z196" i="1" s="1"/>
  <c r="BN195" i="1"/>
  <c r="Z199" i="1"/>
  <c r="Z201" i="1" s="1"/>
  <c r="BN199" i="1"/>
  <c r="BP199" i="1"/>
  <c r="Z205" i="1"/>
  <c r="Z212" i="1" s="1"/>
  <c r="BN205" i="1"/>
  <c r="Z207" i="1"/>
  <c r="BN207" i="1"/>
  <c r="Z209" i="1"/>
  <c r="BN209" i="1"/>
  <c r="Z211" i="1"/>
  <c r="BN211" i="1"/>
  <c r="Z215" i="1"/>
  <c r="Z224" i="1" s="1"/>
  <c r="BN215" i="1"/>
  <c r="BP215" i="1"/>
  <c r="Z217" i="1"/>
  <c r="BN217" i="1"/>
  <c r="Z219" i="1"/>
  <c r="BN219" i="1"/>
  <c r="Z221" i="1"/>
  <c r="BN221" i="1"/>
  <c r="Z223" i="1"/>
  <c r="BN223" i="1"/>
  <c r="Z227" i="1"/>
  <c r="Z229" i="1" s="1"/>
  <c r="BN227" i="1"/>
  <c r="BP227" i="1"/>
  <c r="K503" i="1"/>
  <c r="Z234" i="1"/>
  <c r="BN234" i="1"/>
  <c r="Z236" i="1"/>
  <c r="BN236" i="1"/>
  <c r="Z238" i="1"/>
  <c r="BN238" i="1"/>
  <c r="Z240" i="1"/>
  <c r="BN240" i="1"/>
  <c r="Y243" i="1"/>
  <c r="Z254" i="1"/>
  <c r="Z258" i="1" s="1"/>
  <c r="BN254" i="1"/>
  <c r="Z256" i="1"/>
  <c r="BN256" i="1"/>
  <c r="L503" i="1"/>
  <c r="Y267" i="1"/>
  <c r="Z263" i="1"/>
  <c r="Z267" i="1" s="1"/>
  <c r="BN263" i="1"/>
  <c r="Z265" i="1"/>
  <c r="BN265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Y293" i="1"/>
  <c r="BP298" i="1"/>
  <c r="BN298" i="1"/>
  <c r="Z298" i="1"/>
  <c r="Z302" i="1" s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Z318" i="1" s="1"/>
  <c r="Y318" i="1"/>
  <c r="Z324" i="1"/>
  <c r="BP322" i="1"/>
  <c r="BN322" i="1"/>
  <c r="Z322" i="1"/>
  <c r="Y331" i="1"/>
  <c r="BP330" i="1"/>
  <c r="BN330" i="1"/>
  <c r="Z330" i="1"/>
  <c r="Y332" i="1"/>
  <c r="Y337" i="1"/>
  <c r="BP334" i="1"/>
  <c r="BN334" i="1"/>
  <c r="Z334" i="1"/>
  <c r="Z337" i="1" s="1"/>
  <c r="BP343" i="1"/>
  <c r="BN343" i="1"/>
  <c r="Z343" i="1"/>
  <c r="Y345" i="1"/>
  <c r="Y356" i="1"/>
  <c r="BP349" i="1"/>
  <c r="BN349" i="1"/>
  <c r="Z349" i="1"/>
  <c r="Z356" i="1" s="1"/>
  <c r="BP353" i="1"/>
  <c r="BN353" i="1"/>
  <c r="Z353" i="1"/>
  <c r="Y361" i="1"/>
  <c r="BP365" i="1"/>
  <c r="BN365" i="1"/>
  <c r="Z365" i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Y381" i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Z418" i="1" s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Z446" i="1" s="1"/>
  <c r="Y447" i="1"/>
  <c r="BP451" i="1"/>
  <c r="BN451" i="1"/>
  <c r="Z451" i="1"/>
  <c r="Y455" i="1"/>
  <c r="BP465" i="1"/>
  <c r="BN465" i="1"/>
  <c r="Z465" i="1"/>
  <c r="Y503" i="1"/>
  <c r="Y469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P503" i="1"/>
  <c r="Y288" i="1"/>
  <c r="Y303" i="1"/>
  <c r="V503" i="1"/>
  <c r="Y412" i="1"/>
  <c r="Y419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BP453" i="1"/>
  <c r="BN453" i="1"/>
  <c r="Z453" i="1"/>
  <c r="Y468" i="1"/>
  <c r="BP467" i="1"/>
  <c r="BN467" i="1"/>
  <c r="Z467" i="1"/>
  <c r="Z468" i="1" s="1"/>
  <c r="Y474" i="1"/>
  <c r="BP471" i="1"/>
  <c r="BN471" i="1"/>
  <c r="Z471" i="1"/>
  <c r="Z473" i="1" s="1"/>
  <c r="Y486" i="1"/>
  <c r="Y440" i="1"/>
  <c r="Y496" i="1" l="1"/>
  <c r="Z440" i="1"/>
  <c r="Z401" i="1"/>
  <c r="Y493" i="1"/>
  <c r="Z455" i="1"/>
  <c r="Z118" i="1"/>
  <c r="Z95" i="1"/>
  <c r="Z31" i="1"/>
  <c r="Z498" i="1" s="1"/>
  <c r="Z387" i="1"/>
</calcChain>
</file>

<file path=xl/sharedStrings.xml><?xml version="1.0" encoding="utf-8"?>
<sst xmlns="http://schemas.openxmlformats.org/spreadsheetml/2006/main" count="2226" uniqueCount="773">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</sst>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252</v>
      </c>
      <c r="Y40" s="550">
        <f>IFERROR(IF(X40="",0,CEILING((X40/$H40),1)*$H40),"")</f>
        <v>259.20000000000005</v>
      </c>
      <c r="Z40" s="36">
        <f>IFERROR(IF(Y40=0,"",ROUNDUP(Y40/H40,0)*0.01898),"")</f>
        <v>0.45552000000000004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261.56666666666666</v>
      </c>
      <c r="BN40" s="64">
        <f>IFERROR(Y40*I40/H40,"0")</f>
        <v>269.04000000000002</v>
      </c>
      <c r="BO40" s="64">
        <f>IFERROR(1/J40*(X40/H40),"0")</f>
        <v>0.36458333333333331</v>
      </c>
      <c r="BP40" s="64">
        <f>IFERROR(1/J40*(Y40/H40),"0")</f>
        <v>0.37500000000000006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23.333333333333332</v>
      </c>
      <c r="Y43" s="551">
        <f>IFERROR(Y40/H40,"0")+IFERROR(Y41/H41,"0")+IFERROR(Y42/H42,"0")</f>
        <v>24.000000000000004</v>
      </c>
      <c r="Z43" s="551">
        <f>IFERROR(IF(Z40="",0,Z40),"0")+IFERROR(IF(Z41="",0,Z41),"0")+IFERROR(IF(Z42="",0,Z42),"0")</f>
        <v>0.45552000000000004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252</v>
      </c>
      <c r="Y44" s="551">
        <f>IFERROR(SUM(Y40:Y42),"0")</f>
        <v>259.20000000000005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115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37</v>
      </c>
      <c r="Y51" s="550">
        <f t="shared" ref="Y51:Y56" si="0">IFERROR(IF(X51="",0,CEILING((X51/$H51),1)*$H51),"")</f>
        <v>44.8</v>
      </c>
      <c r="Z51" s="36">
        <f>IFERROR(IF(Y51=0,"",ROUNDUP(Y51/H51,0)*0.01898),"")</f>
        <v>7.5920000000000001E-2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38.354464285714286</v>
      </c>
      <c r="BN51" s="64">
        <f t="shared" ref="BN51:BN56" si="2">IFERROR(Y51*I51/H51,"0")</f>
        <v>46.44</v>
      </c>
      <c r="BO51" s="64">
        <f t="shared" ref="BO51:BO56" si="3">IFERROR(1/J51*(X51/H51),"0")</f>
        <v>5.1618303571428575E-2</v>
      </c>
      <c r="BP51" s="64">
        <f t="shared" ref="BP51:BP56" si="4">IFERROR(1/J51*(Y51/H51),"0")</f>
        <v>6.25E-2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28</v>
      </c>
      <c r="Y54" s="550">
        <f t="shared" si="0"/>
        <v>28</v>
      </c>
      <c r="Z54" s="36">
        <f>IFERROR(IF(Y54=0,"",ROUNDUP(Y54/H54,0)*0.00902),"")</f>
        <v>6.3140000000000002E-2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29.330000000000002</v>
      </c>
      <c r="BN54" s="64">
        <f t="shared" si="2"/>
        <v>29.330000000000002</v>
      </c>
      <c r="BO54" s="64">
        <f t="shared" si="3"/>
        <v>5.3030303030303032E-2</v>
      </c>
      <c r="BP54" s="64">
        <f t="shared" si="4"/>
        <v>5.3030303030303032E-2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131</v>
      </c>
      <c r="B56" s="54" t="s">
        <v>132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10.303571428571429</v>
      </c>
      <c r="Y57" s="551">
        <f>IFERROR(Y51/H51,"0")+IFERROR(Y52/H52,"0")+IFERROR(Y53/H53,"0")+IFERROR(Y54/H54,"0")+IFERROR(Y55/H55,"0")+IFERROR(Y56/H56,"0")</f>
        <v>11</v>
      </c>
      <c r="Z57" s="551">
        <f>IFERROR(IF(Z51="",0,Z51),"0")+IFERROR(IF(Z52="",0,Z52),"0")+IFERROR(IF(Z53="",0,Z53),"0")+IFERROR(IF(Z54="",0,Z54),"0")+IFERROR(IF(Z55="",0,Z55),"0")+IFERROR(IF(Z56="",0,Z56),"0")</f>
        <v>0.13906000000000002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65</v>
      </c>
      <c r="Y58" s="551">
        <f>IFERROR(SUM(Y51:Y56),"0")</f>
        <v>72.8</v>
      </c>
      <c r="Z58" s="37"/>
      <c r="AA58" s="552"/>
      <c r="AB58" s="552"/>
      <c r="AC58" s="552"/>
    </row>
    <row r="59" spans="1:68" ht="14.25" customHeight="1" x14ac:dyDescent="0.25">
      <c r="A59" s="564" t="s">
        <v>134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148</v>
      </c>
      <c r="B71" s="54" t="s">
        <v>149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150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151</v>
      </c>
      <c r="B72" s="54" t="s">
        <v>152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150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158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159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160</v>
      </c>
      <c r="B78" s="54" t="s">
        <v>161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162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163</v>
      </c>
      <c r="B79" s="54" t="s">
        <v>164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166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167</v>
      </c>
      <c r="B84" s="54" t="s">
        <v>168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241</v>
      </c>
      <c r="Y84" s="550">
        <f>IFERROR(IF(X84="",0,CEILING((X84/$H84),1)*$H84),"")</f>
        <v>248.4</v>
      </c>
      <c r="Z84" s="36">
        <f>IFERROR(IF(Y84=0,"",ROUNDUP(Y84/H84,0)*0.01898),"")</f>
        <v>0.43653999999999998</v>
      </c>
      <c r="AA84" s="56"/>
      <c r="AB84" s="57"/>
      <c r="AC84" s="125" t="s">
        <v>169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250.14907407407406</v>
      </c>
      <c r="BN84" s="64">
        <f>IFERROR(Y84*I84/H84,"0")</f>
        <v>257.83</v>
      </c>
      <c r="BO84" s="64">
        <f>IFERROR(1/J84*(X84/H84),"0")</f>
        <v>0.34866898148148145</v>
      </c>
      <c r="BP84" s="64">
        <f>IFERROR(1/J84*(Y84/H84),"0")</f>
        <v>0.359375</v>
      </c>
    </row>
    <row r="85" spans="1:68" ht="27" customHeight="1" x14ac:dyDescent="0.25">
      <c r="A85" s="54" t="s">
        <v>170</v>
      </c>
      <c r="B85" s="54" t="s">
        <v>171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172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173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169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116</v>
      </c>
      <c r="Y87" s="550">
        <f>IFERROR(IF(X87="",0,CEILING((X87/$H87),1)*$H87),"")</f>
        <v>117</v>
      </c>
      <c r="Z87" s="36">
        <f>IFERROR(IF(Y87=0,"",ROUNDUP(Y87/H87,0)*0.00902),"")</f>
        <v>0.23452000000000001</v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120.89777777777779</v>
      </c>
      <c r="BN87" s="64">
        <f>IFERROR(Y87*I87/H87,"0")</f>
        <v>121.94</v>
      </c>
      <c r="BO87" s="64">
        <f>IFERROR(1/J87*(X87/H87),"0")</f>
        <v>0.19528619528619529</v>
      </c>
      <c r="BP87" s="64">
        <f>IFERROR(1/J87*(Y87/H87),"0")</f>
        <v>0.19696969696969696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48.092592592592595</v>
      </c>
      <c r="Y88" s="551">
        <f>IFERROR(Y84/H84,"0")+IFERROR(Y85/H85,"0")+IFERROR(Y86/H86,"0")+IFERROR(Y87/H87,"0")</f>
        <v>49</v>
      </c>
      <c r="Z88" s="551">
        <f>IFERROR(IF(Z84="",0,Z84),"0")+IFERROR(IF(Z85="",0,Z85),"0")+IFERROR(IF(Z86="",0,Z86),"0")+IFERROR(IF(Z87="",0,Z87),"0")</f>
        <v>0.67105999999999999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357</v>
      </c>
      <c r="Y89" s="551">
        <f>IFERROR(SUM(Y84:Y87),"0")</f>
        <v>365.4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23</v>
      </c>
      <c r="Y91" s="550">
        <f>IFERROR(IF(X91="",0,CEILING((X91/$H91),1)*$H91),"")</f>
        <v>24.299999999999997</v>
      </c>
      <c r="Z91" s="36">
        <f>IFERROR(IF(Y91=0,"",ROUNDUP(Y91/H91,0)*0.01898),"")</f>
        <v>5.6940000000000004E-2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24.402716049382715</v>
      </c>
      <c r="BN91" s="64">
        <f>IFERROR(Y91*I91/H91,"0")</f>
        <v>25.781999999999996</v>
      </c>
      <c r="BO91" s="64">
        <f>IFERROR(1/J91*(X91/H91),"0")</f>
        <v>4.4367283950617287E-2</v>
      </c>
      <c r="BP91" s="64">
        <f>IFERROR(1/J91*(Y91/H91),"0")</f>
        <v>4.6875E-2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69</v>
      </c>
      <c r="Y93" s="550">
        <f>IFERROR(IF(X93="",0,CEILING((X93/$H93),1)*$H93),"")</f>
        <v>70.2</v>
      </c>
      <c r="Z93" s="36">
        <f>IFERROR(IF(Y93=0,"",ROUNDUP(Y93/H93,0)*0.00651),"")</f>
        <v>0.16925999999999999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75.44</v>
      </c>
      <c r="BN93" s="64">
        <f>IFERROR(Y93*I93/H93,"0")</f>
        <v>76.751999999999995</v>
      </c>
      <c r="BO93" s="64">
        <f>IFERROR(1/J93*(X93/H93),"0")</f>
        <v>0.14041514041514042</v>
      </c>
      <c r="BP93" s="64">
        <f>IFERROR(1/J93*(Y93/H93),"0")</f>
        <v>0.14285714285714288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28.39506172839506</v>
      </c>
      <c r="Y95" s="551">
        <f>IFERROR(Y91/H91,"0")+IFERROR(Y92/H92,"0")+IFERROR(Y93/H93,"0")+IFERROR(Y94/H94,"0")</f>
        <v>29</v>
      </c>
      <c r="Z95" s="551">
        <f>IFERROR(IF(Z91="",0,Z91),"0")+IFERROR(IF(Z92="",0,Z92),"0")+IFERROR(IF(Z93="",0,Z93),"0")+IFERROR(IF(Z94="",0,Z94),"0")</f>
        <v>0.22620000000000001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92</v>
      </c>
      <c r="Y96" s="551">
        <f>IFERROR(SUM(Y91:Y94),"0")</f>
        <v>94.5</v>
      </c>
      <c r="Z96" s="37"/>
      <c r="AA96" s="552"/>
      <c r="AB96" s="552"/>
      <c r="AC96" s="552"/>
    </row>
    <row r="97" spans="1:68" ht="16.5" customHeight="1" x14ac:dyDescent="0.25">
      <c r="A97" s="570" t="s">
        <v>188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224</v>
      </c>
      <c r="Y99" s="550">
        <f>IFERROR(IF(X99="",0,CEILING((X99/$H99),1)*$H99),"")</f>
        <v>226.8</v>
      </c>
      <c r="Z99" s="36">
        <f>IFERROR(IF(Y99=0,"",ROUNDUP(Y99/H99,0)*0.01898),"")</f>
        <v>0.39857999999999999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232.50370370370368</v>
      </c>
      <c r="BN99" s="64">
        <f>IFERROR(Y99*I99/H99,"0")</f>
        <v>235.41000000000003</v>
      </c>
      <c r="BO99" s="64">
        <f>IFERROR(1/J99*(X99/H99),"0")</f>
        <v>0.32407407407407407</v>
      </c>
      <c r="BP99" s="64">
        <f>IFERROR(1/J99*(Y99/H99),"0")</f>
        <v>0.328125</v>
      </c>
    </row>
    <row r="100" spans="1:68" ht="27" customHeight="1" x14ac:dyDescent="0.25">
      <c r="A100" s="54" t="s">
        <v>192</v>
      </c>
      <c r="B100" s="54" t="s">
        <v>193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172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194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199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20.74074074074074</v>
      </c>
      <c r="Y104" s="551">
        <f>IFERROR(Y99/H99,"0")+IFERROR(Y100/H100,"0")+IFERROR(Y101/H101,"0")+IFERROR(Y102/H102,"0")+IFERROR(Y103/H103,"0")</f>
        <v>21</v>
      </c>
      <c r="Z104" s="551">
        <f>IFERROR(IF(Z99="",0,Z99),"0")+IFERROR(IF(Z100="",0,Z100),"0")+IFERROR(IF(Z101="",0,Z101),"0")+IFERROR(IF(Z102="",0,Z102),"0")+IFERROR(IF(Z103="",0,Z103),"0")</f>
        <v>0.39857999999999999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224</v>
      </c>
      <c r="Y105" s="551">
        <f>IFERROR(SUM(Y99:Y103),"0")</f>
        <v>226.8</v>
      </c>
      <c r="Z105" s="37"/>
      <c r="AA105" s="552"/>
      <c r="AB105" s="552"/>
      <c r="AC105" s="552"/>
    </row>
    <row r="106" spans="1:68" ht="14.25" customHeight="1" x14ac:dyDescent="0.25">
      <c r="A106" s="564" t="s">
        <v>134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90</v>
      </c>
      <c r="Y114" s="550">
        <f>IFERROR(IF(X114="",0,CEILING((X114/$H114),1)*$H114),"")</f>
        <v>97.199999999999989</v>
      </c>
      <c r="Z114" s="36">
        <f>IFERROR(IF(Y114=0,"",ROUNDUP(Y114/H114,0)*0.01898),"")</f>
        <v>0.22776000000000002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95.422222222222217</v>
      </c>
      <c r="BN114" s="64">
        <f>IFERROR(Y114*I114/H114,"0")</f>
        <v>103.05599999999998</v>
      </c>
      <c r="BO114" s="64">
        <f>IFERROR(1/J114*(X114/H114),"0")</f>
        <v>0.1736111111111111</v>
      </c>
      <c r="BP114" s="64">
        <f>IFERROR(1/J114*(Y114/H114),"0")</f>
        <v>0.1875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168</v>
      </c>
      <c r="Y116" s="550">
        <f>IFERROR(IF(X116="",0,CEILING((X116/$H116),1)*$H116),"")</f>
        <v>170.10000000000002</v>
      </c>
      <c r="Z116" s="36">
        <f>IFERROR(IF(Y116=0,"",ROUNDUP(Y116/H116,0)*0.00651),"")</f>
        <v>0.41012999999999999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183.67999999999998</v>
      </c>
      <c r="BN116" s="64">
        <f>IFERROR(Y116*I116/H116,"0")</f>
        <v>185.976</v>
      </c>
      <c r="BO116" s="64">
        <f>IFERROR(1/J116*(X116/H116),"0")</f>
        <v>0.34188034188034189</v>
      </c>
      <c r="BP116" s="64">
        <f>IFERROR(1/J116*(Y116/H116),"0")</f>
        <v>0.3461538461538462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73.333333333333329</v>
      </c>
      <c r="Y118" s="551">
        <f>IFERROR(Y114/H114,"0")+IFERROR(Y115/H115,"0")+IFERROR(Y116/H116,"0")+IFERROR(Y117/H117,"0")</f>
        <v>75</v>
      </c>
      <c r="Z118" s="551">
        <f>IFERROR(IF(Z114="",0,Z114),"0")+IFERROR(IF(Z115="",0,Z115),"0")+IFERROR(IF(Z116="",0,Z116),"0")+IFERROR(IF(Z117="",0,Z117),"0")</f>
        <v>0.63789000000000007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258</v>
      </c>
      <c r="Y119" s="551">
        <f>IFERROR(SUM(Y114:Y117),"0")</f>
        <v>267.3</v>
      </c>
      <c r="Z119" s="37"/>
      <c r="AA119" s="552"/>
      <c r="AB119" s="552"/>
      <c r="AC119" s="552"/>
    </row>
    <row r="120" spans="1:68" ht="14.25" customHeight="1" x14ac:dyDescent="0.25">
      <c r="A120" s="564" t="s">
        <v>159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199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199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50</v>
      </c>
      <c r="Y168" s="550">
        <f t="shared" si="10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52.261904761904752</v>
      </c>
      <c r="BN168" s="64">
        <f t="shared" si="12"/>
        <v>52.68</v>
      </c>
      <c r="BO168" s="64">
        <f t="shared" si="13"/>
        <v>9.0187590187590191E-2</v>
      </c>
      <c r="BP168" s="64">
        <f t="shared" si="14"/>
        <v>9.0909090909090912E-2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73</v>
      </c>
      <c r="Y170" s="550">
        <f t="shared" si="10"/>
        <v>73.5</v>
      </c>
      <c r="Z170" s="36">
        <f>IFERROR(IF(Y170=0,"",ROUNDUP(Y170/H170,0)*0.00502),"")</f>
        <v>0.1757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77.519047619047612</v>
      </c>
      <c r="BN170" s="64">
        <f t="shared" si="12"/>
        <v>78.05</v>
      </c>
      <c r="BO170" s="64">
        <f t="shared" si="13"/>
        <v>0.14855514855514856</v>
      </c>
      <c r="BP170" s="64">
        <f t="shared" si="14"/>
        <v>0.1495726495726496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2</v>
      </c>
      <c r="Y175" s="550">
        <f t="shared" si="10"/>
        <v>3.6</v>
      </c>
      <c r="Z175" s="36">
        <f>IFERROR(IF(Y175=0,"",ROUNDUP(Y175/H175,0)*0.00502),"")</f>
        <v>1.004E-2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2.1444444444444444</v>
      </c>
      <c r="BN175" s="64">
        <f t="shared" si="12"/>
        <v>3.8599999999999994</v>
      </c>
      <c r="BO175" s="64">
        <f t="shared" si="13"/>
        <v>4.7483380816714157E-3</v>
      </c>
      <c r="BP175" s="64">
        <f t="shared" si="14"/>
        <v>8.5470085470085479E-3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172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99</v>
      </c>
      <c r="Y177" s="550">
        <f t="shared" si="10"/>
        <v>100.80000000000001</v>
      </c>
      <c r="Z177" s="36">
        <f>IFERROR(IF(Y177=0,"",ROUNDUP(Y177/H177,0)*0.00502),"")</f>
        <v>0.24096000000000001</v>
      </c>
      <c r="AA177" s="56"/>
      <c r="AB177" s="57"/>
      <c r="AC177" s="223" t="s">
        <v>279</v>
      </c>
      <c r="AG177" s="64"/>
      <c r="AJ177" s="68"/>
      <c r="AK177" s="68">
        <v>0</v>
      </c>
      <c r="BB177" s="224" t="s">
        <v>1</v>
      </c>
      <c r="BM177" s="64">
        <f t="shared" si="11"/>
        <v>103.71428571428572</v>
      </c>
      <c r="BN177" s="64">
        <f t="shared" si="12"/>
        <v>105.60000000000002</v>
      </c>
      <c r="BO177" s="64">
        <f t="shared" si="13"/>
        <v>0.20146520146520147</v>
      </c>
      <c r="BP177" s="64">
        <f t="shared" si="14"/>
        <v>0.20512820512820515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94.92063492063491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97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0.53493999999999997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224</v>
      </c>
      <c r="Y181" s="551">
        <f>IFERROR(SUM(Y166:Y179),"0")</f>
        <v>228.3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2</v>
      </c>
      <c r="Y184" s="550">
        <f>IFERROR(IF(X184="",0,CEILING((X184/$H184),1)*$H184),"")</f>
        <v>2.52</v>
      </c>
      <c r="Z184" s="36">
        <f>IFERROR(IF(Y184=0,"",ROUNDUP(Y184/H184,0)*0.0059),"")</f>
        <v>1.18E-2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2.3015873015873014</v>
      </c>
      <c r="BN184" s="64">
        <f>IFERROR(Y184*I184/H184,"0")</f>
        <v>2.9</v>
      </c>
      <c r="BO184" s="64">
        <f>IFERROR(1/J184*(X184/H184),"0")</f>
        <v>7.3486184597295699E-3</v>
      </c>
      <c r="BP184" s="64">
        <f>IFERROR(1/J184*(Y184/H184),"0")</f>
        <v>9.2592592592592587E-3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1.5873015873015872</v>
      </c>
      <c r="Y186" s="551">
        <f>IFERROR(Y183/H183,"0")+IFERROR(Y184/H184,"0")+IFERROR(Y185/H185,"0")</f>
        <v>2</v>
      </c>
      <c r="Z186" s="551">
        <f>IFERROR(IF(Z183="",0,Z183),"0")+IFERROR(IF(Z184="",0,Z184),"0")+IFERROR(IF(Z185="",0,Z185),"0")</f>
        <v>1.18E-2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2</v>
      </c>
      <c r="Y187" s="551">
        <f>IFERROR(SUM(Y183:Y185),"0")</f>
        <v>2.52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134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199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44</v>
      </c>
      <c r="Y204" s="550">
        <f t="shared" ref="Y204:Y211" si="15">IFERROR(IF(X204="",0,CEILING((X204/$H204),1)*$H204),"")</f>
        <v>48.6</v>
      </c>
      <c r="Z204" s="36">
        <f>IFERROR(IF(Y204=0,"",ROUNDUP(Y204/H204,0)*0.00902),"")</f>
        <v>8.1180000000000002E-2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45.548148148148144</v>
      </c>
      <c r="BN204" s="64">
        <f t="shared" ref="BN204:BN211" si="17">IFERROR(Y204*I204/H204,"0")</f>
        <v>50.309999999999995</v>
      </c>
      <c r="BO204" s="64">
        <f t="shared" ref="BO204:BO211" si="18">IFERROR(1/J204*(X204/H204),"0")</f>
        <v>6.1728395061728392E-2</v>
      </c>
      <c r="BP204" s="64">
        <f t="shared" ref="BP204:BP211" si="19">IFERROR(1/J204*(Y204/H204),"0")</f>
        <v>6.8181818181818177E-2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199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64</v>
      </c>
      <c r="Y205" s="550">
        <f t="shared" si="15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66.251851851851839</v>
      </c>
      <c r="BN205" s="64">
        <f t="shared" si="17"/>
        <v>67.08</v>
      </c>
      <c r="BO205" s="64">
        <f t="shared" si="18"/>
        <v>8.9786756453423114E-2</v>
      </c>
      <c r="BP205" s="64">
        <f t="shared" si="19"/>
        <v>9.0909090909090925E-2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199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106</v>
      </c>
      <c r="Y207" s="550">
        <f t="shared" si="15"/>
        <v>108</v>
      </c>
      <c r="Z207" s="36">
        <f>IFERROR(IF(Y207=0,"",ROUNDUP(Y207/H207,0)*0.00902),"")</f>
        <v>0.1804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109.72962962962961</v>
      </c>
      <c r="BN207" s="64">
        <f t="shared" si="17"/>
        <v>111.8</v>
      </c>
      <c r="BO207" s="64">
        <f t="shared" si="18"/>
        <v>0.14870931537598206</v>
      </c>
      <c r="BP207" s="64">
        <f t="shared" si="19"/>
        <v>0.15151515151515152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35</v>
      </c>
      <c r="Y208" s="550">
        <f t="shared" si="15"/>
        <v>36</v>
      </c>
      <c r="Z208" s="36">
        <f>IFERROR(IF(Y208=0,"",ROUNDUP(Y208/H208,0)*0.00502),"")</f>
        <v>0.1004</v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6"/>
        <v>37.527777777777779</v>
      </c>
      <c r="BN208" s="64">
        <f t="shared" si="17"/>
        <v>38.6</v>
      </c>
      <c r="BO208" s="64">
        <f t="shared" si="18"/>
        <v>8.3095916429249767E-2</v>
      </c>
      <c r="BP208" s="64">
        <f t="shared" si="19"/>
        <v>8.5470085470085472E-2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44</v>
      </c>
      <c r="Y211" s="550">
        <f t="shared" si="15"/>
        <v>45</v>
      </c>
      <c r="Z211" s="36">
        <f>IFERROR(IF(Y211=0,"",ROUNDUP(Y211/H211,0)*0.00502),"")</f>
        <v>0.1255</v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46.444444444444443</v>
      </c>
      <c r="BN211" s="64">
        <f t="shared" si="17"/>
        <v>47.5</v>
      </c>
      <c r="BO211" s="64">
        <f t="shared" si="18"/>
        <v>0.10446343779677113</v>
      </c>
      <c r="BP211" s="64">
        <f t="shared" si="19"/>
        <v>0.10683760683760685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83.518518518518519</v>
      </c>
      <c r="Y212" s="551">
        <f>IFERROR(Y204/H204,"0")+IFERROR(Y205/H205,"0")+IFERROR(Y206/H206,"0")+IFERROR(Y207/H207,"0")+IFERROR(Y208/H208,"0")+IFERROR(Y209/H209,"0")+IFERROR(Y210/H210,"0")+IFERROR(Y211/H211,"0")</f>
        <v>86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0.59572000000000003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293</v>
      </c>
      <c r="Y213" s="551">
        <f>IFERROR(SUM(Y204:Y211),"0")</f>
        <v>302.39999999999998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70</v>
      </c>
      <c r="Y216" s="550">
        <f t="shared" si="20"/>
        <v>72.899999999999991</v>
      </c>
      <c r="Z216" s="36">
        <f>IFERROR(IF(Y216=0,"",ROUNDUP(Y216/H216,0)*0.01898),"")</f>
        <v>0.17082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74.113580246913585</v>
      </c>
      <c r="BN216" s="64">
        <f t="shared" si="22"/>
        <v>77.183999999999997</v>
      </c>
      <c r="BO216" s="64">
        <f t="shared" si="23"/>
        <v>0.13503086419753088</v>
      </c>
      <c r="BP216" s="64">
        <f t="shared" si="24"/>
        <v>0.140625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/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19</v>
      </c>
      <c r="Y217" s="550">
        <f t="shared" si="20"/>
        <v>26.099999999999998</v>
      </c>
      <c r="Z217" s="36">
        <f>IFERROR(IF(Y217=0,"",ROUNDUP(Y217/H217,0)*0.01898),"")</f>
        <v>5.6940000000000004E-2</v>
      </c>
      <c r="AA217" s="56"/>
      <c r="AB217" s="57"/>
      <c r="AC217" s="265" t="s">
        <v>361</v>
      </c>
      <c r="AG217" s="64"/>
      <c r="AJ217" s="68"/>
      <c r="AK217" s="68">
        <v>0</v>
      </c>
      <c r="BB217" s="266" t="s">
        <v>1</v>
      </c>
      <c r="BM217" s="64">
        <f t="shared" si="21"/>
        <v>20.078850574712646</v>
      </c>
      <c r="BN217" s="64">
        <f t="shared" si="22"/>
        <v>27.582000000000004</v>
      </c>
      <c r="BO217" s="64">
        <f t="shared" si="23"/>
        <v>3.4123563218390808E-2</v>
      </c>
      <c r="BP217" s="64">
        <f t="shared" si="24"/>
        <v>4.6875E-2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101</v>
      </c>
      <c r="Y218" s="550">
        <f t="shared" si="20"/>
        <v>103.2</v>
      </c>
      <c r="Z218" s="36">
        <f t="shared" ref="Z218:Z223" si="25">IFERROR(IF(Y218=0,"",ROUNDUP(Y218/H218,0)*0.00651),"")</f>
        <v>0.27993000000000001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112.36250000000001</v>
      </c>
      <c r="BN218" s="64">
        <f t="shared" si="22"/>
        <v>114.81</v>
      </c>
      <c r="BO218" s="64">
        <f t="shared" si="23"/>
        <v>0.23122710622710627</v>
      </c>
      <c r="BP218" s="64">
        <f t="shared" si="24"/>
        <v>0.23626373626373628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312</v>
      </c>
      <c r="Y220" s="550">
        <f t="shared" si="20"/>
        <v>312</v>
      </c>
      <c r="Z220" s="36">
        <f t="shared" si="25"/>
        <v>0.84630000000000005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344.76000000000005</v>
      </c>
      <c r="BN220" s="64">
        <f t="shared" si="22"/>
        <v>344.76000000000005</v>
      </c>
      <c r="BO220" s="64">
        <f t="shared" si="23"/>
        <v>0.7142857142857143</v>
      </c>
      <c r="BP220" s="64">
        <f t="shared" si="24"/>
        <v>0.7142857142857143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220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198</v>
      </c>
      <c r="Y221" s="550">
        <f t="shared" si="20"/>
        <v>199.2</v>
      </c>
      <c r="Z221" s="36">
        <f t="shared" si="25"/>
        <v>0.54032999999999998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218.79000000000002</v>
      </c>
      <c r="BN221" s="64">
        <f t="shared" si="22"/>
        <v>220.11600000000001</v>
      </c>
      <c r="BO221" s="64">
        <f t="shared" si="23"/>
        <v>0.45329670329670335</v>
      </c>
      <c r="BP221" s="64">
        <f t="shared" si="24"/>
        <v>0.45604395604395609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265.40921668795232</v>
      </c>
      <c r="Y224" s="551">
        <f>IFERROR(Y215/H215,"0")+IFERROR(Y216/H216,"0")+IFERROR(Y217/H217,"0")+IFERROR(Y218/H218,"0")+IFERROR(Y219/H219,"0")+IFERROR(Y220/H220,"0")+IFERROR(Y221/H221,"0")+IFERROR(Y222/H222,"0")+IFERROR(Y223/H223,"0")</f>
        <v>268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1.89432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700</v>
      </c>
      <c r="Y225" s="551">
        <f>IFERROR(SUM(Y215:Y223),"0")</f>
        <v>713.40000000000009</v>
      </c>
      <c r="Z225" s="37"/>
      <c r="AA225" s="552"/>
      <c r="AB225" s="552"/>
      <c r="AC225" s="552"/>
    </row>
    <row r="226" spans="1:68" ht="14.25" customHeight="1" x14ac:dyDescent="0.25">
      <c r="A226" s="564" t="s">
        <v>159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4301012196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4301011824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4301012195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4301011722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134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2</v>
      </c>
      <c r="Y256" s="550">
        <f>IFERROR(IF(X256="",0,CEILING((X256/$H256),1)*$H256),"")</f>
        <v>2.9699999999999998</v>
      </c>
      <c r="Z256" s="36">
        <f>IFERROR(IF(Y256=0,"",ROUNDUP(Y256/H256,0)*0.0059),"")</f>
        <v>1.77E-2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2.3838383838383836</v>
      </c>
      <c r="BN256" s="64">
        <f>IFERROR(Y256*I256/H256,"0")</f>
        <v>3.5399999999999996</v>
      </c>
      <c r="BO256" s="64">
        <f>IFERROR(1/J256*(X256/H256),"0")</f>
        <v>9.3527871305649091E-3</v>
      </c>
      <c r="BP256" s="64">
        <f>IFERROR(1/J256*(Y256/H256),"0")</f>
        <v>1.3888888888888886E-2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2.0202020202020203</v>
      </c>
      <c r="Y258" s="551">
        <f>IFERROR(Y253/H253,"0")+IFERROR(Y254/H254,"0")+IFERROR(Y255/H255,"0")+IFERROR(Y256/H256,"0")+IFERROR(Y257/H257,"0")</f>
        <v>2.9999999999999996</v>
      </c>
      <c r="Z258" s="551">
        <f>IFERROR(IF(Z253="",0,Z253),"0")+IFERROR(IF(Z254="",0,Z254),"0")+IFERROR(IF(Z255="",0,Z255),"0")+IFERROR(IF(Z256="",0,Z256),"0")+IFERROR(IF(Z257="",0,Z257),"0")</f>
        <v>1.77E-2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2</v>
      </c>
      <c r="Y259" s="551">
        <f>IFERROR(SUM(Y253:Y257),"0")</f>
        <v>2.9699999999999998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79</v>
      </c>
      <c r="Y280" s="550">
        <f>IFERROR(IF(X280="",0,CEILING((X280/$H280),1)*$H280),"")</f>
        <v>79.2</v>
      </c>
      <c r="Z280" s="36">
        <f>IFERROR(IF(Y280=0,"",ROUNDUP(Y280/H280,0)*0.00651),"")</f>
        <v>0.21482999999999999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87.295000000000002</v>
      </c>
      <c r="BN280" s="64">
        <f>IFERROR(Y280*I280/H280,"0")</f>
        <v>87.51600000000002</v>
      </c>
      <c r="BO280" s="64">
        <f>IFERROR(1/J280*(X280/H280),"0")</f>
        <v>0.18086080586080591</v>
      </c>
      <c r="BP280" s="64">
        <f>IFERROR(1/J280*(Y280/H280),"0")</f>
        <v>0.18131868131868134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220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133</v>
      </c>
      <c r="Y281" s="550">
        <f>IFERROR(IF(X281="",0,CEILING((X281/$H281),1)*$H281),"")</f>
        <v>134.4</v>
      </c>
      <c r="Z281" s="36">
        <f>IFERROR(IF(Y281=0,"",ROUNDUP(Y281/H281,0)*0.00651),"")</f>
        <v>0.36456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142.97499999999999</v>
      </c>
      <c r="BN281" s="64">
        <f>IFERROR(Y281*I281/H281,"0")</f>
        <v>144.48000000000002</v>
      </c>
      <c r="BO281" s="64">
        <f>IFERROR(1/J281*(X281/H281),"0")</f>
        <v>0.30448717948717952</v>
      </c>
      <c r="BP281" s="64">
        <f>IFERROR(1/J281*(Y281/H281),"0")</f>
        <v>0.30769230769230776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88.333333333333343</v>
      </c>
      <c r="Y282" s="551">
        <f>IFERROR(Y279/H279,"0")+IFERROR(Y280/H280,"0")+IFERROR(Y281/H281,"0")</f>
        <v>89</v>
      </c>
      <c r="Z282" s="551">
        <f>IFERROR(IF(Z279="",0,Z279),"0")+IFERROR(IF(Z280="",0,Z280),"0")+IFERROR(IF(Z281="",0,Z281),"0")</f>
        <v>0.57938999999999996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212</v>
      </c>
      <c r="Y283" s="551">
        <f>IFERROR(SUM(Y279:Y281),"0")</f>
        <v>213.60000000000002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159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25</v>
      </c>
      <c r="Y322" s="550">
        <f>IFERROR(IF(X322="",0,CEILING((X322/$H322),1)*$H322),"")</f>
        <v>31.2</v>
      </c>
      <c r="Z322" s="36">
        <f>IFERROR(IF(Y322=0,"",ROUNDUP(Y322/H322,0)*0.01898),"")</f>
        <v>7.5920000000000001E-2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26.583333333333336</v>
      </c>
      <c r="BN322" s="64">
        <f>IFERROR(Y322*I322/H322,"0")</f>
        <v>33.176000000000002</v>
      </c>
      <c r="BO322" s="64">
        <f>IFERROR(1/J322*(X322/H322),"0")</f>
        <v>5.0080128205128208E-2</v>
      </c>
      <c r="BP322" s="64">
        <f>IFERROR(1/J322*(Y322/H322),"0")</f>
        <v>6.25E-2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6</v>
      </c>
      <c r="Y323" s="550">
        <f>IFERROR(IF(X323="",0,CEILING((X323/$H323),1)*$H323),"")</f>
        <v>8.4</v>
      </c>
      <c r="Z323" s="36">
        <f>IFERROR(IF(Y323=0,"",ROUNDUP(Y323/H323,0)*0.01898),"")</f>
        <v>1.898E-2</v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6.3528571428571432</v>
      </c>
      <c r="BN323" s="64">
        <f>IFERROR(Y323*I323/H323,"0")</f>
        <v>8.8940000000000001</v>
      </c>
      <c r="BO323" s="64">
        <f>IFERROR(1/J323*(X323/H323),"0")</f>
        <v>1.1160714285714286E-2</v>
      </c>
      <c r="BP323" s="64">
        <f>IFERROR(1/J323*(Y323/H323),"0")</f>
        <v>1.5625E-2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3.9194139194139197</v>
      </c>
      <c r="Y324" s="551">
        <f>IFERROR(Y321/H321,"0")+IFERROR(Y322/H322,"0")+IFERROR(Y323/H323,"0")</f>
        <v>5</v>
      </c>
      <c r="Z324" s="551">
        <f>IFERROR(IF(Z321="",0,Z321),"0")+IFERROR(IF(Z322="",0,Z322),"0")+IFERROR(IF(Z323="",0,Z323),"0")</f>
        <v>9.4899999999999998E-2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31</v>
      </c>
      <c r="Y325" s="551">
        <f>IFERROR(SUM(Y321:Y323),"0")</f>
        <v>39.6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/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2</v>
      </c>
      <c r="Y330" s="550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527</v>
      </c>
      <c r="AG330" s="64"/>
      <c r="AJ330" s="68"/>
      <c r="AK330" s="68">
        <v>0</v>
      </c>
      <c r="BB330" s="390" t="s">
        <v>1</v>
      </c>
      <c r="BM330" s="64">
        <f>IFERROR(X330*I330/H330,"0")</f>
        <v>2.2588235294117647</v>
      </c>
      <c r="BN330" s="64">
        <f>IFERROR(Y330*I330/H330,"0")</f>
        <v>2.88</v>
      </c>
      <c r="BO330" s="64">
        <f>IFERROR(1/J330*(X330/H330),"0")</f>
        <v>4.3094160741219576E-3</v>
      </c>
      <c r="BP330" s="64">
        <f>IFERROR(1/J330*(Y330/H330),"0")</f>
        <v>5.4945054945054949E-3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0.78431372549019618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2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1</v>
      </c>
      <c r="Y335" s="550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0.5</v>
      </c>
      <c r="Y337" s="551">
        <f>IFERROR(Y334/H334,"0")+IFERROR(Y335/H335,"0")+IFERROR(Y336/H336,"0")</f>
        <v>1</v>
      </c>
      <c r="Z337" s="551">
        <f>IFERROR(IF(Z334="",0,Z334),"0")+IFERROR(IF(Z335="",0,Z335),"0")+IFERROR(IF(Z336="",0,Z336),"0")</f>
        <v>4.7400000000000003E-3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1</v>
      </c>
      <c r="Y338" s="551">
        <f>IFERROR(SUM(Y334:Y336),"0")</f>
        <v>2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958</v>
      </c>
      <c r="Y349" s="550">
        <f t="shared" ref="Y349:Y355" si="36">IFERROR(IF(X349="",0,CEILING((X349/$H349),1)*$H349),"")</f>
        <v>960</v>
      </c>
      <c r="Z349" s="36">
        <f>IFERROR(IF(Y349=0,"",ROUNDUP(Y349/H349,0)*0.02175),"")</f>
        <v>1.3919999999999999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988.01733333333334</v>
      </c>
      <c r="BN349" s="64">
        <f t="shared" ref="BN349:BN355" si="38">IFERROR(Y349*I349/H349,"0")</f>
        <v>990.08</v>
      </c>
      <c r="BO349" s="64">
        <f t="shared" ref="BO349:BO355" si="39">IFERROR(1/J349*(X349/H349),"0")</f>
        <v>1.3305555555555555</v>
      </c>
      <c r="BP349" s="64">
        <f t="shared" ref="BP349:BP355" si="40">IFERROR(1/J349*(Y349/H349),"0")</f>
        <v>1.3333333333333333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464</v>
      </c>
      <c r="Y350" s="550">
        <f t="shared" si="36"/>
        <v>465</v>
      </c>
      <c r="Z350" s="36">
        <f>IFERROR(IF(Y350=0,"",ROUNDUP(Y350/H350,0)*0.02175),"")</f>
        <v>0.6742499999999999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478.53866666666664</v>
      </c>
      <c r="BN350" s="64">
        <f t="shared" si="38"/>
        <v>479.57</v>
      </c>
      <c r="BO350" s="64">
        <f t="shared" si="39"/>
        <v>0.64444444444444438</v>
      </c>
      <c r="BP350" s="64">
        <f t="shared" si="40"/>
        <v>0.64583333333333326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6">
        <v>4680115887046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6">
        <v>4680115884830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390</v>
      </c>
      <c r="Y352" s="550">
        <f t="shared" si="36"/>
        <v>390</v>
      </c>
      <c r="Z352" s="36">
        <f>IFERROR(IF(Y352=0,"",ROUNDUP(Y352/H352,0)*0.02175),"")</f>
        <v>0.5655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402.22</v>
      </c>
      <c r="BN352" s="64">
        <f t="shared" si="38"/>
        <v>402.22</v>
      </c>
      <c r="BO352" s="64">
        <f t="shared" si="39"/>
        <v>0.54166666666666663</v>
      </c>
      <c r="BP352" s="64">
        <f t="shared" si="40"/>
        <v>0.54166666666666663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120.8</v>
      </c>
      <c r="Y356" s="551">
        <f>IFERROR(Y349/H349,"0")+IFERROR(Y350/H350,"0")+IFERROR(Y351/H351,"0")+IFERROR(Y352/H352,"0")+IFERROR(Y353/H353,"0")+IFERROR(Y354/H354,"0")+IFERROR(Y355/H355,"0")</f>
        <v>121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2.6317499999999998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1812</v>
      </c>
      <c r="Y357" s="551">
        <f>IFERROR(SUM(Y349:Y355),"0")</f>
        <v>1815</v>
      </c>
      <c r="Z357" s="37"/>
      <c r="AA357" s="552"/>
      <c r="AB357" s="552"/>
      <c r="AC357" s="552"/>
    </row>
    <row r="358" spans="1:68" ht="14.25" customHeight="1" x14ac:dyDescent="0.25">
      <c r="A358" s="564" t="s">
        <v>134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1032</v>
      </c>
      <c r="Y359" s="550">
        <f>IFERROR(IF(X359="",0,CEILING((X359/$H359),1)*$H359),"")</f>
        <v>1035</v>
      </c>
      <c r="Z359" s="36">
        <f>IFERROR(IF(Y359=0,"",ROUNDUP(Y359/H359,0)*0.02175),"")</f>
        <v>1.5007499999999998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1064.336</v>
      </c>
      <c r="BN359" s="64">
        <f>IFERROR(Y359*I359/H359,"0")</f>
        <v>1067.43</v>
      </c>
      <c r="BO359" s="64">
        <f>IFERROR(1/J359*(X359/H359),"0")</f>
        <v>1.4333333333333331</v>
      </c>
      <c r="BP359" s="64">
        <f>IFERROR(1/J359*(Y359/H359),"0")</f>
        <v>1.4375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68.8</v>
      </c>
      <c r="Y361" s="551">
        <f>IFERROR(Y359/H359,"0")+IFERROR(Y360/H360,"0")</f>
        <v>69</v>
      </c>
      <c r="Z361" s="551">
        <f>IFERROR(IF(Z359="",0,Z359),"0")+IFERROR(IF(Z360="",0,Z360),"0")</f>
        <v>1.5007499999999998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1032</v>
      </c>
      <c r="Y362" s="551">
        <f>IFERROR(SUM(Y359:Y360),"0")</f>
        <v>1035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4</v>
      </c>
      <c r="Y365" s="550">
        <f>IFERROR(IF(X365="",0,CEILING((X365/$H365),1)*$H365),"")</f>
        <v>9</v>
      </c>
      <c r="Z365" s="36">
        <f>IFERROR(IF(Y365=0,"",ROUNDUP(Y365/H365,0)*0.01898),"")</f>
        <v>1.898E-2</v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4.2195555555555551</v>
      </c>
      <c r="BN365" s="64">
        <f>IFERROR(Y365*I365/H365,"0")</f>
        <v>9.4939999999999998</v>
      </c>
      <c r="BO365" s="64">
        <f>IFERROR(1/J365*(X365/H365),"0")</f>
        <v>6.9444444444444441E-3</v>
      </c>
      <c r="BP365" s="64">
        <f>IFERROR(1/J365*(Y365/H365),"0")</f>
        <v>1.5625E-2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0.44444444444444442</v>
      </c>
      <c r="Y366" s="551">
        <f>IFERROR(Y364/H364,"0")+IFERROR(Y365/H365,"0")</f>
        <v>1</v>
      </c>
      <c r="Z366" s="551">
        <f>IFERROR(IF(Z364="",0,Z364),"0")+IFERROR(IF(Z365="",0,Z365),"0")</f>
        <v>1.898E-2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4</v>
      </c>
      <c r="Y367" s="551">
        <f>IFERROR(SUM(Y364:Y365),"0")</f>
        <v>9</v>
      </c>
      <c r="Z367" s="37"/>
      <c r="AA367" s="552"/>
      <c r="AB367" s="552"/>
      <c r="AC367" s="552"/>
    </row>
    <row r="368" spans="1:68" ht="14.25" customHeight="1" x14ac:dyDescent="0.25">
      <c r="A368" s="564" t="s">
        <v>159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71</v>
      </c>
      <c r="Y369" s="550">
        <f>IFERROR(IF(X369="",0,CEILING((X369/$H369),1)*$H369),"")</f>
        <v>72</v>
      </c>
      <c r="Z369" s="36">
        <f>IFERROR(IF(Y369=0,"",ROUNDUP(Y369/H369,0)*0.01898),"")</f>
        <v>0.15184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74.897111111111101</v>
      </c>
      <c r="BN369" s="64">
        <f>IFERROR(Y369*I369/H369,"0")</f>
        <v>75.951999999999998</v>
      </c>
      <c r="BO369" s="64">
        <f>IFERROR(1/J369*(X369/H369),"0")</f>
        <v>0.1232638888888889</v>
      </c>
      <c r="BP369" s="64">
        <f>IFERROR(1/J369*(Y369/H369),"0")</f>
        <v>0.125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7.8888888888888893</v>
      </c>
      <c r="Y370" s="551">
        <f>IFERROR(Y369/H369,"0")</f>
        <v>8</v>
      </c>
      <c r="Z370" s="551">
        <f>IFERROR(IF(Z369="",0,Z369),"0")</f>
        <v>0.15184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71</v>
      </c>
      <c r="Y371" s="551">
        <f>IFERROR(SUM(Y369:Y369),"0")</f>
        <v>72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4301031457</v>
      </c>
      <c r="D379" s="556">
        <v>4607091384802</v>
      </c>
      <c r="E379" s="557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4301031303</v>
      </c>
      <c r="D380" s="556">
        <v>4607091384802</v>
      </c>
      <c r="E380" s="557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395</v>
      </c>
      <c r="Y384" s="550">
        <f>IFERROR(IF(X384="",0,CEILING((X384/$H384),1)*$H384),"")</f>
        <v>396</v>
      </c>
      <c r="Z384" s="36">
        <f>IFERROR(IF(Y384=0,"",ROUNDUP(Y384/H384,0)*0.01898),"")</f>
        <v>0.83511999999999997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416.68111111111114</v>
      </c>
      <c r="BN384" s="64">
        <f>IFERROR(Y384*I384/H384,"0")</f>
        <v>417.73599999999999</v>
      </c>
      <c r="BO384" s="64">
        <f>IFERROR(1/J384*(X384/H384),"0")</f>
        <v>0.68576388888888884</v>
      </c>
      <c r="BP384" s="64">
        <f>IFERROR(1/J384*(Y384/H384),"0")</f>
        <v>0.6875</v>
      </c>
    </row>
    <row r="385" spans="1:68" ht="27" customHeight="1" x14ac:dyDescent="0.25">
      <c r="A385" s="54" t="s">
        <v>603</v>
      </c>
      <c r="B385" s="54" t="s">
        <v>604</v>
      </c>
      <c r="C385" s="31">
        <v>4301052069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6</v>
      </c>
      <c r="Y386" s="550">
        <f>IFERROR(IF(X386="",0,CEILING((X386/$H386),1)*$H386),"")</f>
        <v>7.1999999999999993</v>
      </c>
      <c r="Z386" s="36">
        <f>IFERROR(IF(Y386=0,"",ROUNDUP(Y386/H386,0)*0.00651),"")</f>
        <v>1.9529999999999999E-2</v>
      </c>
      <c r="AA386" s="56"/>
      <c r="AB386" s="57"/>
      <c r="AC386" s="439" t="s">
        <v>602</v>
      </c>
      <c r="AG386" s="64"/>
      <c r="AJ386" s="68"/>
      <c r="AK386" s="68">
        <v>0</v>
      </c>
      <c r="BB386" s="440" t="s">
        <v>1</v>
      </c>
      <c r="BM386" s="64">
        <f>IFERROR(X386*I386/H386,"0")</f>
        <v>6.660000000000001</v>
      </c>
      <c r="BN386" s="64">
        <f>IFERROR(Y386*I386/H386,"0")</f>
        <v>7.9919999999999991</v>
      </c>
      <c r="BO386" s="64">
        <f>IFERROR(1/J386*(X386/H386),"0")</f>
        <v>1.3736263736263738E-2</v>
      </c>
      <c r="BP386" s="64">
        <f>IFERROR(1/J386*(Y386/H386),"0")</f>
        <v>1.6483516483516484E-2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46.388888888888886</v>
      </c>
      <c r="Y387" s="551">
        <f>IFERROR(Y384/H384,"0")+IFERROR(Y385/H385,"0")+IFERROR(Y386/H386,"0")</f>
        <v>47</v>
      </c>
      <c r="Z387" s="551">
        <f>IFERROR(IF(Z384="",0,Z384),"0")+IFERROR(IF(Z385="",0,Z385),"0")+IFERROR(IF(Z386="",0,Z386),"0")</f>
        <v>0.85465000000000002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401</v>
      </c>
      <c r="Y388" s="551">
        <f>IFERROR(SUM(Y384:Y386),"0")</f>
        <v>403.2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199</v>
      </c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134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199</v>
      </c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54</v>
      </c>
      <c r="Y414" s="550">
        <f>IFERROR(IF(X414="",0,CEILING((X414/$H414),1)*$H414),"")</f>
        <v>54</v>
      </c>
      <c r="Z414" s="36">
        <f>IFERROR(IF(Y414=0,"",ROUNDUP(Y414/H414,0)*0.00902),"")</f>
        <v>9.0200000000000002E-2</v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55.9</v>
      </c>
      <c r="BN414" s="64">
        <f>IFERROR(Y414*I414/H414,"0")</f>
        <v>55.9</v>
      </c>
      <c r="BO414" s="64">
        <f>IFERROR(1/J414*(X414/H414),"0")</f>
        <v>7.575757575757576E-2</v>
      </c>
      <c r="BP414" s="64">
        <f>IFERROR(1/J414*(Y414/H414),"0")</f>
        <v>7.575757575757576E-2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10</v>
      </c>
      <c r="Y418" s="551">
        <f>IFERROR(Y414/H414,"0")+IFERROR(Y415/H415,"0")+IFERROR(Y416/H416,"0")+IFERROR(Y417/H417,"0")</f>
        <v>10</v>
      </c>
      <c r="Z418" s="551">
        <f>IFERROR(IF(Z414="",0,Z414),"0")+IFERROR(IF(Z415="",0,Z415),"0")+IFERROR(IF(Z416="",0,Z416),"0")+IFERROR(IF(Z417="",0,Z417),"0")</f>
        <v>9.0200000000000002E-2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54</v>
      </c>
      <c r="Y419" s="551">
        <f>IFERROR(SUM(Y414:Y417),"0")</f>
        <v>54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24</v>
      </c>
      <c r="Y428" s="550">
        <f t="shared" ref="Y428:Y439" si="47">IFERROR(IF(X428="",0,CEILING((X428/$H428),1)*$H428),"")</f>
        <v>26.400000000000002</v>
      </c>
      <c r="Z428" s="36">
        <f t="shared" ref="Z428:Z434" si="48">IFERROR(IF(Y428=0,"",ROUNDUP(Y428/H428,0)*0.01196),"")</f>
        <v>5.9799999999999999E-2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ref="BM428:BM439" si="49">IFERROR(X428*I428/H428,"0")</f>
        <v>25.59090909090909</v>
      </c>
      <c r="BN428" s="64">
        <f t="shared" ref="BN428:BN439" si="50">IFERROR(Y428*I428/H428,"0")</f>
        <v>28.15</v>
      </c>
      <c r="BO428" s="64">
        <f t="shared" ref="BO428:BO439" si="51">IFERROR(1/J428*(X428/H428),"0")</f>
        <v>4.3706293706293704E-2</v>
      </c>
      <c r="BP428" s="64">
        <f t="shared" ref="BP428:BP439" si="52">IFERROR(1/J428*(Y428/H428),"0")</f>
        <v>4.807692307692308E-2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38</v>
      </c>
      <c r="Y432" s="550">
        <f t="shared" si="47"/>
        <v>42.24</v>
      </c>
      <c r="Z432" s="36">
        <f t="shared" si="48"/>
        <v>9.5680000000000001E-2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40.518939393939391</v>
      </c>
      <c r="BN432" s="64">
        <f t="shared" si="50"/>
        <v>45.04</v>
      </c>
      <c r="BO432" s="64">
        <f t="shared" si="51"/>
        <v>6.9201631701631697E-2</v>
      </c>
      <c r="BP432" s="64">
        <f t="shared" si="52"/>
        <v>7.6923076923076927E-2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522</v>
      </c>
      <c r="Y434" s="550">
        <f t="shared" si="47"/>
        <v>522.72</v>
      </c>
      <c r="Z434" s="36">
        <f t="shared" si="48"/>
        <v>1.18404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556.60227272727275</v>
      </c>
      <c r="BN434" s="64">
        <f t="shared" si="50"/>
        <v>557.37</v>
      </c>
      <c r="BO434" s="64">
        <f t="shared" si="51"/>
        <v>0.95061188811188813</v>
      </c>
      <c r="BP434" s="64">
        <f t="shared" si="52"/>
        <v>0.95192307692307698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110.60606060606059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112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1.33952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584</v>
      </c>
      <c r="Y441" s="551">
        <f>IFERROR(SUM(Y428:Y439),"0")</f>
        <v>591.36</v>
      </c>
      <c r="Z441" s="37"/>
      <c r="AA441" s="552"/>
      <c r="AB441" s="552"/>
      <c r="AC441" s="552"/>
    </row>
    <row r="442" spans="1:68" ht="14.25" customHeight="1" x14ac:dyDescent="0.25">
      <c r="A442" s="564" t="s">
        <v>134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229</v>
      </c>
      <c r="Y443" s="550">
        <f>IFERROR(IF(X443="",0,CEILING((X443/$H443),1)*$H443),"")</f>
        <v>232.32000000000002</v>
      </c>
      <c r="Z443" s="36">
        <f>IFERROR(IF(Y443=0,"",ROUNDUP(Y443/H443,0)*0.01196),"")</f>
        <v>0.52624000000000004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244.17992424242422</v>
      </c>
      <c r="BN443" s="64">
        <f>IFERROR(Y443*I443/H443,"0")</f>
        <v>247.72</v>
      </c>
      <c r="BO443" s="64">
        <f>IFERROR(1/J443*(X443/H443),"0")</f>
        <v>0.41703088578088576</v>
      </c>
      <c r="BP443" s="64">
        <f>IFERROR(1/J443*(Y443/H443),"0")</f>
        <v>0.42307692307692313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17</v>
      </c>
      <c r="Y445" s="550">
        <f>IFERROR(IF(X445="",0,CEILING((X445/$H445),1)*$H445),"")</f>
        <v>19.2</v>
      </c>
      <c r="Z445" s="36">
        <f>IFERROR(IF(Y445=0,"",ROUNDUP(Y445/H445,0)*0.00902),"")</f>
        <v>3.6080000000000001E-2</v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24.472916666666666</v>
      </c>
      <c r="BN445" s="64">
        <f>IFERROR(Y445*I445/H445,"0")</f>
        <v>27.64</v>
      </c>
      <c r="BO445" s="64">
        <f>IFERROR(1/J445*(X445/H445),"0")</f>
        <v>2.6830808080808084E-2</v>
      </c>
      <c r="BP445" s="64">
        <f>IFERROR(1/J445*(Y445/H445),"0")</f>
        <v>3.0303030303030304E-2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46.912878787878782</v>
      </c>
      <c r="Y446" s="551">
        <f>IFERROR(Y443/H443,"0")+IFERROR(Y444/H444,"0")+IFERROR(Y445/H445,"0")</f>
        <v>48</v>
      </c>
      <c r="Z446" s="551">
        <f>IFERROR(IF(Z443="",0,Z443),"0")+IFERROR(IF(Z444="",0,Z444),"0")+IFERROR(IF(Z445="",0,Z445),"0")</f>
        <v>0.56232000000000004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246</v>
      </c>
      <c r="Y447" s="551">
        <f>IFERROR(SUM(Y443:Y445),"0")</f>
        <v>251.52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5</v>
      </c>
      <c r="Y449" s="550">
        <f t="shared" ref="Y449:Y454" si="53">IFERROR(IF(X449="",0,CEILING((X449/$H449),1)*$H449),"")</f>
        <v>5.28</v>
      </c>
      <c r="Z449" s="36">
        <f>IFERROR(IF(Y449=0,"",ROUNDUP(Y449/H449,0)*0.01196),"")</f>
        <v>1.196E-2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5.3314393939393936</v>
      </c>
      <c r="BN449" s="64">
        <f t="shared" ref="BN449:BN454" si="55">IFERROR(Y449*I449/H449,"0")</f>
        <v>5.63</v>
      </c>
      <c r="BO449" s="64">
        <f t="shared" ref="BO449:BO454" si="56">IFERROR(1/J449*(X449/H449),"0")</f>
        <v>9.1054778554778559E-3</v>
      </c>
      <c r="BP449" s="64">
        <f t="shared" ref="BP449:BP454" si="57">IFERROR(1/J449*(Y449/H449),"0")</f>
        <v>9.6153846153846159E-3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4</v>
      </c>
      <c r="Y450" s="550">
        <f t="shared" si="53"/>
        <v>5.28</v>
      </c>
      <c r="Z450" s="36">
        <f>IFERROR(IF(Y450=0,"",ROUNDUP(Y450/H450,0)*0.01196),"")</f>
        <v>1.196E-2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4.2651515151515147</v>
      </c>
      <c r="BN450" s="64">
        <f t="shared" si="55"/>
        <v>5.63</v>
      </c>
      <c r="BO450" s="64">
        <f t="shared" si="56"/>
        <v>7.2843822843822849E-3</v>
      </c>
      <c r="BP450" s="64">
        <f t="shared" si="57"/>
        <v>9.6153846153846159E-3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48</v>
      </c>
      <c r="Y451" s="550">
        <f t="shared" si="53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51.18181818181818</v>
      </c>
      <c r="BN451" s="64">
        <f t="shared" si="55"/>
        <v>56.3</v>
      </c>
      <c r="BO451" s="64">
        <f t="shared" si="56"/>
        <v>8.7412587412587409E-2</v>
      </c>
      <c r="BP451" s="64">
        <f t="shared" si="57"/>
        <v>9.6153846153846159E-2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10.795454545454545</v>
      </c>
      <c r="Y455" s="551">
        <f>IFERROR(Y449/H449,"0")+IFERROR(Y450/H450,"0")+IFERROR(Y451/H451,"0")+IFERROR(Y452/H452,"0")+IFERROR(Y453/H453,"0")+IFERROR(Y454/H454,"0")</f>
        <v>12</v>
      </c>
      <c r="Z455" s="551">
        <f>IFERROR(IF(Z449="",0,Z449),"0")+IFERROR(IF(Z450="",0,Z450),"0")+IFERROR(IF(Z451="",0,Z451),"0")+IFERROR(IF(Z452="",0,Z452),"0")+IFERROR(IF(Z453="",0,Z453),"0")+IFERROR(IF(Z454="",0,Z454),"0")</f>
        <v>0.14352000000000001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57</v>
      </c>
      <c r="Y456" s="551">
        <f>IFERROR(SUM(Y449:Y454),"0")</f>
        <v>63.360000000000007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134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159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134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6976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7087.78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7337.8766786736287</v>
      </c>
      <c r="Y494" s="551">
        <f>IFERROR(SUM(BN22:BN490),"0")</f>
        <v>7456.9680000000008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12</v>
      </c>
      <c r="Y495" s="38">
        <f>ROUNDUP(SUM(BP22:BP490),0)</f>
        <v>12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7637.8766786736287</v>
      </c>
      <c r="Y496" s="551">
        <f>GrossWeightTotalR+PalletQtyTotalR*25</f>
        <v>7756.9680000000008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1167.8281840314294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1189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13.561859999999999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115</v>
      </c>
      <c r="E501" s="589" t="s">
        <v>166</v>
      </c>
      <c r="F501" s="589" t="s">
        <v>188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259.20000000000005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72.8</v>
      </c>
      <c r="E503" s="46">
        <f>IFERROR(Y84*1,"0")+IFERROR(Y85*1,"0")+IFERROR(Y86*1,"0")+IFERROR(Y87*1,"0")+IFERROR(Y91*1,"0")+IFERROR(Y92*1,"0")+IFERROR(Y93*1,"0")+IFERROR(Y94*1,"0")</f>
        <v>459.9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494.1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230.82000000000002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1015.8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2.9699999999999998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213.60000000000002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44.15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2931</v>
      </c>
      <c r="T503" s="46">
        <f>IFERROR(Y374*1,"0")+IFERROR(Y375*1,"0")+IFERROR(Y379*1,"0")+IFERROR(Y380*1,"0")+IFERROR(Y384*1,"0")+IFERROR(Y385*1,"0")+IFERROR(Y386*1,"0")</f>
        <v>403.2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54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906.24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iF9lin2EPXz2mpbQKaSOjZpd0ur942m3fy5zfALFXtYx2YetMSq480SNDFC7nX8uqqbShVSFu1po80ae6q3ZoQ==" saltValue="92nWDMT3nFogACDAvCnsb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4 X91 X99 X102 X114 X116 X166 X168 X170 X204:X205 X207 X218 X220:X223 X280:X281 X322 X349:X350 X352 X359 X384 X392 X414 X432 X434 X443 X449:X451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QSIt3rAF6B9sjUpgj3QNyfQ1rmfSEmxtu5wR4VXbyO+3AK8HKnmghAz3zNxmYWyV08Jk0V5BcXtsAOV5VjSD3g==" saltValue="xDnndXMXPJUuHj0vcb4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2026-01-21T09:47:19Z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