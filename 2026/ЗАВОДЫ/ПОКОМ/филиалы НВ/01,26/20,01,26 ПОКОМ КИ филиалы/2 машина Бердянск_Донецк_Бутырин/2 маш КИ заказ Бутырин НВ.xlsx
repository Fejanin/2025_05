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Бутырин на погрузку с филиалами 24,01,26\"/>
    </mc:Choice>
  </mc:AlternateContent>
  <xr:revisionPtr revIDLastSave="0" documentId="13_ncr:1_{3D388D91-F86F-4564-BE35-83762E9B84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Z504" i="1" s="1"/>
  <c r="P491" i="1"/>
  <c r="X488" i="1"/>
  <c r="X487" i="1"/>
  <c r="BO486" i="1"/>
  <c r="BM486" i="1"/>
  <c r="Y486" i="1"/>
  <c r="BP486" i="1" s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Y448" i="1" s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X504" i="1" s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U504" i="1" s="1"/>
  <c r="P393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X383" i="1"/>
  <c r="X382" i="1"/>
  <c r="BO381" i="1"/>
  <c r="BM381" i="1"/>
  <c r="Y381" i="1"/>
  <c r="Y383" i="1" s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Y377" i="1" s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Y358" i="1" s="1"/>
  <c r="P350" i="1"/>
  <c r="X346" i="1"/>
  <c r="X345" i="1"/>
  <c r="BO344" i="1"/>
  <c r="BM344" i="1"/>
  <c r="Z344" i="1"/>
  <c r="Y344" i="1"/>
  <c r="P344" i="1"/>
  <c r="BO343" i="1"/>
  <c r="BM343" i="1"/>
  <c r="Y343" i="1"/>
  <c r="Y346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Y320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Y289" i="1" s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M504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L504" i="1" s="1"/>
  <c r="P262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Y259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504" i="1" s="1"/>
  <c r="P233" i="1"/>
  <c r="X230" i="1"/>
  <c r="X229" i="1"/>
  <c r="BO228" i="1"/>
  <c r="BM228" i="1"/>
  <c r="Y228" i="1"/>
  <c r="Y230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4" i="1" s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Y181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504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50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504" i="1" s="1"/>
  <c r="P84" i="1"/>
  <c r="X81" i="1"/>
  <c r="X80" i="1"/>
  <c r="BO79" i="1"/>
  <c r="BM79" i="1"/>
  <c r="Y79" i="1"/>
  <c r="Y81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X69" i="1"/>
  <c r="X68" i="1"/>
  <c r="BO67" i="1"/>
  <c r="BM67" i="1"/>
  <c r="Y67" i="1"/>
  <c r="Y69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4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4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X495" i="1" s="1"/>
  <c r="X497" i="1" s="1"/>
  <c r="Y22" i="1"/>
  <c r="B504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8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8" i="1" s="1"/>
  <c r="BN67" i="1"/>
  <c r="BP67" i="1"/>
  <c r="Z71" i="1"/>
  <c r="BN71" i="1"/>
  <c r="BP71" i="1"/>
  <c r="Z73" i="1"/>
  <c r="BN73" i="1"/>
  <c r="Y76" i="1"/>
  <c r="Z79" i="1"/>
  <c r="Z80" i="1" s="1"/>
  <c r="BN79" i="1"/>
  <c r="BP79" i="1"/>
  <c r="Z84" i="1"/>
  <c r="Z88" i="1" s="1"/>
  <c r="BN84" i="1"/>
  <c r="BP84" i="1"/>
  <c r="Z86" i="1"/>
  <c r="BN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Z138" i="1" s="1"/>
  <c r="BN136" i="1"/>
  <c r="BP136" i="1"/>
  <c r="Y139" i="1"/>
  <c r="H504" i="1"/>
  <c r="Z143" i="1"/>
  <c r="Z144" i="1" s="1"/>
  <c r="BN143" i="1"/>
  <c r="BP143" i="1"/>
  <c r="Y144" i="1"/>
  <c r="Z147" i="1"/>
  <c r="Z153" i="1" s="1"/>
  <c r="BN147" i="1"/>
  <c r="BP147" i="1"/>
  <c r="Z149" i="1"/>
  <c r="BN149" i="1"/>
  <c r="Z151" i="1"/>
  <c r="BN151" i="1"/>
  <c r="Y154" i="1"/>
  <c r="I504" i="1"/>
  <c r="Y164" i="1"/>
  <c r="Z167" i="1"/>
  <c r="Z180" i="1" s="1"/>
  <c r="BN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Y180" i="1"/>
  <c r="Z183" i="1"/>
  <c r="BN183" i="1"/>
  <c r="BP183" i="1"/>
  <c r="Z185" i="1"/>
  <c r="BN185" i="1"/>
  <c r="Y186" i="1"/>
  <c r="Z189" i="1"/>
  <c r="Z190" i="1" s="1"/>
  <c r="J504" i="1"/>
  <c r="Y197" i="1"/>
  <c r="BP194" i="1"/>
  <c r="BN194" i="1"/>
  <c r="Z194" i="1"/>
  <c r="Z196" i="1" s="1"/>
  <c r="BP206" i="1"/>
  <c r="BN206" i="1"/>
  <c r="Z206" i="1"/>
  <c r="BP210" i="1"/>
  <c r="BN210" i="1"/>
  <c r="Z210" i="1"/>
  <c r="H9" i="1"/>
  <c r="Y24" i="1"/>
  <c r="Y44" i="1"/>
  <c r="Y57" i="1"/>
  <c r="Y88" i="1"/>
  <c r="Y105" i="1"/>
  <c r="Y128" i="1"/>
  <c r="Y190" i="1"/>
  <c r="BP189" i="1"/>
  <c r="BN189" i="1"/>
  <c r="Y196" i="1"/>
  <c r="BP200" i="1"/>
  <c r="BN200" i="1"/>
  <c r="Z200" i="1"/>
  <c r="Z201" i="1" s="1"/>
  <c r="Y202" i="1"/>
  <c r="Y212" i="1"/>
  <c r="Y213" i="1"/>
  <c r="BP204" i="1"/>
  <c r="BN204" i="1"/>
  <c r="Z204" i="1"/>
  <c r="Z212" i="1" s="1"/>
  <c r="BP208" i="1"/>
  <c r="BN208" i="1"/>
  <c r="Z208" i="1"/>
  <c r="Z216" i="1"/>
  <c r="Z224" i="1" s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BN233" i="1"/>
  <c r="BP233" i="1"/>
  <c r="Z235" i="1"/>
  <c r="BN235" i="1"/>
  <c r="Z237" i="1"/>
  <c r="BN237" i="1"/>
  <c r="Z239" i="1"/>
  <c r="BN239" i="1"/>
  <c r="Z241" i="1"/>
  <c r="BN241" i="1"/>
  <c r="Y242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BP253" i="1"/>
  <c r="Z255" i="1"/>
  <c r="BN255" i="1"/>
  <c r="Z257" i="1"/>
  <c r="BN257" i="1"/>
  <c r="Y258" i="1"/>
  <c r="Z262" i="1"/>
  <c r="BN262" i="1"/>
  <c r="BP262" i="1"/>
  <c r="Z264" i="1"/>
  <c r="BN264" i="1"/>
  <c r="Z266" i="1"/>
  <c r="BN266" i="1"/>
  <c r="Y267" i="1"/>
  <c r="Z271" i="1"/>
  <c r="BN271" i="1"/>
  <c r="BP271" i="1"/>
  <c r="Z273" i="1"/>
  <c r="BN273" i="1"/>
  <c r="Y276" i="1"/>
  <c r="O504" i="1"/>
  <c r="Z280" i="1"/>
  <c r="Z282" i="1" s="1"/>
  <c r="BN280" i="1"/>
  <c r="BP280" i="1"/>
  <c r="Y283" i="1"/>
  <c r="P504" i="1"/>
  <c r="Z287" i="1"/>
  <c r="Z288" i="1" s="1"/>
  <c r="BN287" i="1"/>
  <c r="BP287" i="1"/>
  <c r="Y288" i="1"/>
  <c r="Z291" i="1"/>
  <c r="Z293" i="1" s="1"/>
  <c r="BN291" i="1"/>
  <c r="BP291" i="1"/>
  <c r="Y294" i="1"/>
  <c r="Q504" i="1"/>
  <c r="Z298" i="1"/>
  <c r="Z303" i="1" s="1"/>
  <c r="BN298" i="1"/>
  <c r="BP298" i="1"/>
  <c r="Z300" i="1"/>
  <c r="BN300" i="1"/>
  <c r="Z302" i="1"/>
  <c r="BN302" i="1"/>
  <c r="Y303" i="1"/>
  <c r="Z306" i="1"/>
  <c r="Z312" i="1" s="1"/>
  <c r="BN306" i="1"/>
  <c r="BP306" i="1"/>
  <c r="Z308" i="1"/>
  <c r="BN308" i="1"/>
  <c r="Z310" i="1"/>
  <c r="BN310" i="1"/>
  <c r="Y313" i="1"/>
  <c r="Z316" i="1"/>
  <c r="Z319" i="1" s="1"/>
  <c r="BN316" i="1"/>
  <c r="BP316" i="1"/>
  <c r="Z318" i="1"/>
  <c r="BN318" i="1"/>
  <c r="Z322" i="1"/>
  <c r="BN322" i="1"/>
  <c r="BP322" i="1"/>
  <c r="Z324" i="1"/>
  <c r="BN324" i="1"/>
  <c r="Y325" i="1"/>
  <c r="Z328" i="1"/>
  <c r="BN328" i="1"/>
  <c r="BP328" i="1"/>
  <c r="Z330" i="1"/>
  <c r="BN330" i="1"/>
  <c r="Y333" i="1"/>
  <c r="Z336" i="1"/>
  <c r="Z338" i="1" s="1"/>
  <c r="BN336" i="1"/>
  <c r="BP336" i="1"/>
  <c r="R504" i="1"/>
  <c r="Y345" i="1"/>
  <c r="Z343" i="1"/>
  <c r="Z345" i="1" s="1"/>
  <c r="BN343" i="1"/>
  <c r="BP343" i="1"/>
  <c r="BP344" i="1"/>
  <c r="BN344" i="1"/>
  <c r="BP352" i="1"/>
  <c r="BN352" i="1"/>
  <c r="Z352" i="1"/>
  <c r="BP356" i="1"/>
  <c r="BN356" i="1"/>
  <c r="Z356" i="1"/>
  <c r="Y363" i="1"/>
  <c r="BP360" i="1"/>
  <c r="BN360" i="1"/>
  <c r="Z360" i="1"/>
  <c r="Z362" i="1" s="1"/>
  <c r="Y367" i="1"/>
  <c r="Z382" i="1"/>
  <c r="Y243" i="1"/>
  <c r="Y268" i="1"/>
  <c r="Y275" i="1"/>
  <c r="S504" i="1"/>
  <c r="Y357" i="1"/>
  <c r="BP350" i="1"/>
  <c r="BN350" i="1"/>
  <c r="Z350" i="1"/>
  <c r="Z357" i="1" s="1"/>
  <c r="BP354" i="1"/>
  <c r="BN354" i="1"/>
  <c r="Z354" i="1"/>
  <c r="BP366" i="1"/>
  <c r="BN366" i="1"/>
  <c r="Z366" i="1"/>
  <c r="Z367" i="1" s="1"/>
  <c r="Y368" i="1"/>
  <c r="Y371" i="1"/>
  <c r="BP370" i="1"/>
  <c r="BN370" i="1"/>
  <c r="Z370" i="1"/>
  <c r="Z371" i="1" s="1"/>
  <c r="Y372" i="1"/>
  <c r="T504" i="1"/>
  <c r="Y378" i="1"/>
  <c r="BP375" i="1"/>
  <c r="BN375" i="1"/>
  <c r="Z375" i="1"/>
  <c r="Z377" i="1" s="1"/>
  <c r="Z381" i="1"/>
  <c r="BN381" i="1"/>
  <c r="BP381" i="1"/>
  <c r="Z385" i="1"/>
  <c r="Z388" i="1" s="1"/>
  <c r="BN385" i="1"/>
  <c r="BP385" i="1"/>
  <c r="Z387" i="1"/>
  <c r="BN387" i="1"/>
  <c r="Y388" i="1"/>
  <c r="Z393" i="1"/>
  <c r="Z402" i="1" s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Y408" i="1"/>
  <c r="V504" i="1"/>
  <c r="Y413" i="1"/>
  <c r="Y420" i="1"/>
  <c r="Z416" i="1"/>
  <c r="BN416" i="1"/>
  <c r="Z418" i="1"/>
  <c r="BN418" i="1"/>
  <c r="Y419" i="1"/>
  <c r="BP430" i="1"/>
  <c r="BN430" i="1"/>
  <c r="Z430" i="1"/>
  <c r="BP434" i="1"/>
  <c r="BN434" i="1"/>
  <c r="Z434" i="1"/>
  <c r="BP438" i="1"/>
  <c r="BN438" i="1"/>
  <c r="Z438" i="1"/>
  <c r="BP446" i="1"/>
  <c r="BN446" i="1"/>
  <c r="Z446" i="1"/>
  <c r="Y457" i="1"/>
  <c r="BP450" i="1"/>
  <c r="BN450" i="1"/>
  <c r="Z450" i="1"/>
  <c r="BP454" i="1"/>
  <c r="BN454" i="1"/>
  <c r="Z454" i="1"/>
  <c r="Y469" i="1"/>
  <c r="BP468" i="1"/>
  <c r="BN468" i="1"/>
  <c r="Z468" i="1"/>
  <c r="Y475" i="1"/>
  <c r="BP472" i="1"/>
  <c r="BN472" i="1"/>
  <c r="Z472" i="1"/>
  <c r="Z474" i="1" s="1"/>
  <c r="Y403" i="1"/>
  <c r="Z419" i="1"/>
  <c r="BP432" i="1"/>
  <c r="BN432" i="1"/>
  <c r="Z432" i="1"/>
  <c r="BP436" i="1"/>
  <c r="BN436" i="1"/>
  <c r="Z436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6" i="1"/>
  <c r="BP466" i="1"/>
  <c r="BN466" i="1"/>
  <c r="Z466" i="1"/>
  <c r="Z469" i="1" s="1"/>
  <c r="Y488" i="1"/>
  <c r="Y493" i="1"/>
  <c r="W504" i="1"/>
  <c r="Y504" i="1"/>
  <c r="Y441" i="1"/>
  <c r="Z486" i="1"/>
  <c r="Z487" i="1" s="1"/>
  <c r="BN486" i="1"/>
  <c r="Z491" i="1"/>
  <c r="Z492" i="1" s="1"/>
  <c r="BN491" i="1"/>
  <c r="BP491" i="1"/>
  <c r="Y492" i="1"/>
  <c r="Z456" i="1" l="1"/>
  <c r="Z332" i="1"/>
  <c r="Z325" i="1"/>
  <c r="Z275" i="1"/>
  <c r="Z267" i="1"/>
  <c r="Z258" i="1"/>
  <c r="Z242" i="1"/>
  <c r="Z186" i="1"/>
  <c r="Z111" i="1"/>
  <c r="Z104" i="1"/>
  <c r="Z75" i="1"/>
  <c r="Z57" i="1"/>
  <c r="Z43" i="1"/>
  <c r="Y494" i="1"/>
  <c r="Y496" i="1"/>
  <c r="Z441" i="1"/>
  <c r="Z499" i="1" s="1"/>
  <c r="Y498" i="1"/>
  <c r="Y495" i="1"/>
  <c r="Y497" i="1" s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<sst xmlns="http://schemas.openxmlformats.org/spreadsheetml/2006/main" count="2363" uniqueCount="776">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</sst>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7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0</v>
      </c>
      <c r="Y40" s="55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0</v>
      </c>
      <c r="Y43" s="553">
        <f>IFERROR(Y40/H40,"0")+IFERROR(Y41/H41,"0")+IFERROR(Y42/H42,"0")</f>
        <v>0</v>
      </c>
      <c r="Z43" s="553">
        <f>IFERROR(IF(Z40="",0,Z40),"0")+IFERROR(IF(Z41="",0,Z41),"0")+IFERROR(IF(Z42="",0,Z42),"0")</f>
        <v>0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0</v>
      </c>
      <c r="Y44" s="553">
        <f>IFERROR(SUM(Y40:Y42),"0")</f>
        <v>0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0</v>
      </c>
      <c r="Y57" s="553">
        <f>IFERROR(Y51/H51,"0")+IFERROR(Y52/H52,"0")+IFERROR(Y53/H53,"0")+IFERROR(Y54/H54,"0")+IFERROR(Y55/H55,"0")+IFERROR(Y56/H56,"0")</f>
        <v>0</v>
      </c>
      <c r="Z57" s="553">
        <f>IFERROR(IF(Z51="",0,Z51),"0")+IFERROR(IF(Z52="",0,Z52),"0")+IFERROR(IF(Z53="",0,Z53),"0")+IFERROR(IF(Z54="",0,Z54),"0")+IFERROR(IF(Z55="",0,Z55),"0")+IFERROR(IF(Z56="",0,Z56),"0")</f>
        <v>0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0</v>
      </c>
      <c r="Y58" s="553">
        <f>IFERROR(SUM(Y51:Y56),"0")</f>
        <v>0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149</v>
      </c>
      <c r="Y91" s="55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158.08716049382716</v>
      </c>
      <c r="BN91" s="64">
        <f>IFERROR(Y91*I91/H91,"0")</f>
        <v>163.286</v>
      </c>
      <c r="BO91" s="64">
        <f>IFERROR(1/J91*(X91/H91),"0")</f>
        <v>0.28742283950617287</v>
      </c>
      <c r="BP91" s="64">
        <f>IFERROR(1/J91*(Y91/H91),"0")</f>
        <v>0.296875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18.395061728395063</v>
      </c>
      <c r="Y95" s="553">
        <f>IFERROR(Y91/H91,"0")+IFERROR(Y92/H92,"0")+IFERROR(Y93/H93,"0")+IFERROR(Y94/H94,"0")</f>
        <v>19</v>
      </c>
      <c r="Z95" s="553">
        <f>IFERROR(IF(Z91="",0,Z91),"0")+IFERROR(IF(Z92="",0,Z92),"0")+IFERROR(IF(Z93="",0,Z93),"0")+IFERROR(IF(Z94="",0,Z94),"0")</f>
        <v>0.36062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149</v>
      </c>
      <c r="Y96" s="553">
        <f>IFERROR(SUM(Y91:Y94),"0")</f>
        <v>153.9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150</v>
      </c>
      <c r="Y114" s="552">
        <f>IFERROR(IF(X114="",0,CEILING((X114/$H114),1)*$H114),"")</f>
        <v>153.9</v>
      </c>
      <c r="Z114" s="36">
        <f>IFERROR(IF(Y114=0,"",ROUNDUP(Y114/H114,0)*0.01898),"")</f>
        <v>0.36062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159.03703703703701</v>
      </c>
      <c r="BN114" s="64">
        <f>IFERROR(Y114*I114/H114,"0")</f>
        <v>163.172</v>
      </c>
      <c r="BO114" s="64">
        <f>IFERROR(1/J114*(X114/H114),"0")</f>
        <v>0.28935185185185186</v>
      </c>
      <c r="BP114" s="64">
        <f>IFERROR(1/J114*(Y114/H114),"0")</f>
        <v>0.296875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18.518518518518519</v>
      </c>
      <c r="Y118" s="553">
        <f>IFERROR(Y114/H114,"0")+IFERROR(Y115/H115,"0")+IFERROR(Y116/H116,"0")+IFERROR(Y117/H117,"0")</f>
        <v>19</v>
      </c>
      <c r="Z118" s="553">
        <f>IFERROR(IF(Z114="",0,Z114),"0")+IFERROR(IF(Z115="",0,Z115),"0")+IFERROR(IF(Z116="",0,Z116),"0")+IFERROR(IF(Z117="",0,Z117),"0")</f>
        <v>0.36062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150</v>
      </c>
      <c r="Y119" s="553">
        <f>IFERROR(SUM(Y114:Y117),"0")</f>
        <v>153.9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125</v>
      </c>
      <c r="Y220" s="552">
        <f t="shared" si="20"/>
        <v>127.19999999999999</v>
      </c>
      <c r="Z220" s="36">
        <f t="shared" si="25"/>
        <v>0.34503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138.125</v>
      </c>
      <c r="BN220" s="64">
        <f t="shared" si="22"/>
        <v>140.55599999999998</v>
      </c>
      <c r="BO220" s="64">
        <f t="shared" si="23"/>
        <v>0.28617216117216121</v>
      </c>
      <c r="BP220" s="64">
        <f t="shared" si="24"/>
        <v>0.29120879120879123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115</v>
      </c>
      <c r="Y221" s="552">
        <f t="shared" si="20"/>
        <v>115.19999999999999</v>
      </c>
      <c r="Z221" s="36">
        <f t="shared" si="25"/>
        <v>0.31247999999999998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127.07500000000002</v>
      </c>
      <c r="BN221" s="64">
        <f t="shared" si="22"/>
        <v>127.29600000000001</v>
      </c>
      <c r="BO221" s="64">
        <f t="shared" si="23"/>
        <v>0.26327838827838834</v>
      </c>
      <c r="BP221" s="64">
        <f t="shared" si="24"/>
        <v>0.26373626373626374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100</v>
      </c>
      <c r="Y224" s="553">
        <f>IFERROR(Y215/H215,"0")+IFERROR(Y216/H216,"0")+IFERROR(Y217/H217,"0")+IFERROR(Y218/H218,"0")+IFERROR(Y219/H219,"0")+IFERROR(Y220/H220,"0")+IFERROR(Y221/H221,"0")+IFERROR(Y222/H222,"0")+IFERROR(Y223/H223,"0")</f>
        <v>101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0.65751000000000004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240</v>
      </c>
      <c r="Y225" s="553">
        <f>IFERROR(SUM(Y215:Y223),"0")</f>
        <v>242.39999999999998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57</v>
      </c>
      <c r="Y280" s="552">
        <f>IFERROR(IF(X280="",0,CEILING((X280/$H280),1)*$H280),"")</f>
        <v>57.599999999999994</v>
      </c>
      <c r="Z280" s="36">
        <f>IFERROR(IF(Y280=0,"",ROUNDUP(Y280/H280,0)*0.00651),"")</f>
        <v>0.15623999999999999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62.985000000000007</v>
      </c>
      <c r="BN280" s="64">
        <f>IFERROR(Y280*I280/H280,"0")</f>
        <v>63.648000000000003</v>
      </c>
      <c r="BO280" s="64">
        <f>IFERROR(1/J280*(X280/H280),"0")</f>
        <v>0.1304945054945055</v>
      </c>
      <c r="BP280" s="64">
        <f>IFERROR(1/J280*(Y280/H280),"0")</f>
        <v>0.13186813186813187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67</v>
      </c>
      <c r="Y281" s="552">
        <f>IFERROR(IF(X281="",0,CEILING((X281/$H281),1)*$H281),"")</f>
        <v>67.2</v>
      </c>
      <c r="Z281" s="36">
        <f>IFERROR(IF(Y281=0,"",ROUNDUP(Y281/H281,0)*0.00651),"")</f>
        <v>0.18228</v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72.025000000000006</v>
      </c>
      <c r="BN281" s="64">
        <f>IFERROR(Y281*I281/H281,"0")</f>
        <v>72.240000000000009</v>
      </c>
      <c r="BO281" s="64">
        <f>IFERROR(1/J281*(X281/H281),"0")</f>
        <v>0.1533882783882784</v>
      </c>
      <c r="BP281" s="64">
        <f>IFERROR(1/J281*(Y281/H281),"0")</f>
        <v>0.15384615384615388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51.666666666666671</v>
      </c>
      <c r="Y282" s="553">
        <f>IFERROR(Y279/H279,"0")+IFERROR(Y280/H280,"0")+IFERROR(Y281/H281,"0")</f>
        <v>52</v>
      </c>
      <c r="Z282" s="553">
        <f>IFERROR(IF(Z279="",0,Z279),"0")+IFERROR(IF(Z280="",0,Z280),"0")+IFERROR(IF(Z281="",0,Z281),"0")</f>
        <v>0.33851999999999999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124</v>
      </c>
      <c r="Y283" s="553">
        <f>IFERROR(SUM(Y279:Y281),"0")</f>
        <v>124.8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97</v>
      </c>
      <c r="Y323" s="552">
        <f>IFERROR(IF(X323="",0,CEILING((X323/$H323),1)*$H323),"")</f>
        <v>101.39999999999999</v>
      </c>
      <c r="Z323" s="36">
        <f>IFERROR(IF(Y323=0,"",ROUNDUP(Y323/H323,0)*0.01898),"")</f>
        <v>0.24674000000000001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103.14333333333335</v>
      </c>
      <c r="BN323" s="64">
        <f>IFERROR(Y323*I323/H323,"0")</f>
        <v>107.82199999999999</v>
      </c>
      <c r="BO323" s="64">
        <f>IFERROR(1/J323*(X323/H323),"0")</f>
        <v>0.19431089743589744</v>
      </c>
      <c r="BP323" s="64">
        <f>IFERROR(1/J323*(Y323/H323),"0")</f>
        <v>0.203125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12.435897435897436</v>
      </c>
      <c r="Y325" s="553">
        <f>IFERROR(Y322/H322,"0")+IFERROR(Y323/H323,"0")+IFERROR(Y324/H324,"0")</f>
        <v>13</v>
      </c>
      <c r="Z325" s="553">
        <f>IFERROR(IF(Z322="",0,Z322),"0")+IFERROR(IF(Z323="",0,Z323),"0")+IFERROR(IF(Z324="",0,Z324),"0")</f>
        <v>0.24674000000000001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97</v>
      </c>
      <c r="Y326" s="553">
        <f>IFERROR(SUM(Y322:Y324),"0")</f>
        <v>101.39999999999999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0</v>
      </c>
      <c r="Y345" s="553">
        <f>IFERROR(Y342/H342,"0")+IFERROR(Y343/H343,"0")+IFERROR(Y344/H344,"0")</f>
        <v>0</v>
      </c>
      <c r="Z345" s="553">
        <f>IFERROR(IF(Z342="",0,Z342),"0")+IFERROR(IF(Z343="",0,Z343),"0")+IFERROR(IF(Z344="",0,Z344),"0")</f>
        <v>0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0</v>
      </c>
      <c r="Y346" s="553">
        <f>IFERROR(SUM(Y342:Y344),"0")</f>
        <v>0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202</v>
      </c>
      <c r="Y350" s="552">
        <f t="shared" ref="Y350:Y356" si="41">IFERROR(IF(X350="",0,CEILING((X350/$H350),1)*$H350),"")</f>
        <v>210</v>
      </c>
      <c r="Z350" s="36">
        <f>IFERROR(IF(Y350=0,"",ROUNDUP(Y350/H350,0)*0.02175),"")</f>
        <v>0.30449999999999999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208.32933333333332</v>
      </c>
      <c r="BN350" s="64">
        <f t="shared" ref="BN350:BN356" si="43">IFERROR(Y350*I350/H350,"0")</f>
        <v>216.58</v>
      </c>
      <c r="BO350" s="64">
        <f t="shared" ref="BO350:BO356" si="44">IFERROR(1/J350*(X350/H350),"0")</f>
        <v>0.28055555555555556</v>
      </c>
      <c r="BP350" s="64">
        <f t="shared" ref="BP350:BP356" si="45">IFERROR(1/J350*(Y350/H350),"0")</f>
        <v>0.29166666666666663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188</v>
      </c>
      <c r="Y353" s="552">
        <f t="shared" si="41"/>
        <v>195</v>
      </c>
      <c r="Z353" s="36">
        <f>IFERROR(IF(Y353=0,"",ROUNDUP(Y353/H353,0)*0.02175),"")</f>
        <v>0.28275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193.89066666666668</v>
      </c>
      <c r="BN353" s="64">
        <f t="shared" si="43"/>
        <v>201.11</v>
      </c>
      <c r="BO353" s="64">
        <f t="shared" si="44"/>
        <v>0.26111111111111107</v>
      </c>
      <c r="BP353" s="64">
        <f t="shared" si="45"/>
        <v>0.27083333333333331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26</v>
      </c>
      <c r="Y357" s="553">
        <f>IFERROR(Y350/H350,"0")+IFERROR(Y351/H351,"0")+IFERROR(Y352/H352,"0")+IFERROR(Y353/H353,"0")+IFERROR(Y354/H354,"0")+IFERROR(Y355/H355,"0")+IFERROR(Y356/H356,"0")</f>
        <v>27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0.58725000000000005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390</v>
      </c>
      <c r="Y358" s="553">
        <f>IFERROR(SUM(Y350:Y356),"0")</f>
        <v>405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198</v>
      </c>
      <c r="Y360" s="552">
        <f>IFERROR(IF(X360="",0,CEILING((X360/$H360),1)*$H360),"")</f>
        <v>210</v>
      </c>
      <c r="Z360" s="36">
        <f>IFERROR(IF(Y360=0,"",ROUNDUP(Y360/H360,0)*0.02175),"")</f>
        <v>0.30449999999999999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204.20400000000001</v>
      </c>
      <c r="BN360" s="64">
        <f>IFERROR(Y360*I360/H360,"0")</f>
        <v>216.58</v>
      </c>
      <c r="BO360" s="64">
        <f>IFERROR(1/J360*(X360/H360),"0")</f>
        <v>0.27499999999999997</v>
      </c>
      <c r="BP360" s="64">
        <f>IFERROR(1/J360*(Y360/H360),"0")</f>
        <v>0.29166666666666663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13.2</v>
      </c>
      <c r="Y362" s="553">
        <f>IFERROR(Y360/H360,"0")+IFERROR(Y361/H361,"0")</f>
        <v>14</v>
      </c>
      <c r="Z362" s="553">
        <f>IFERROR(IF(Z360="",0,Z360),"0")+IFERROR(IF(Z361="",0,Z361),"0")</f>
        <v>0.30449999999999999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198</v>
      </c>
      <c r="Y363" s="553">
        <f>IFERROR(SUM(Y360:Y361),"0")</f>
        <v>210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377</v>
      </c>
      <c r="Y435" s="552">
        <f t="shared" si="52"/>
        <v>380.16</v>
      </c>
      <c r="Z435" s="36">
        <f t="shared" si="53"/>
        <v>0.86112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401.99053030303025</v>
      </c>
      <c r="BN435" s="64">
        <f t="shared" si="55"/>
        <v>405.35999999999996</v>
      </c>
      <c r="BO435" s="64">
        <f t="shared" si="56"/>
        <v>0.68655303030303028</v>
      </c>
      <c r="BP435" s="64">
        <f t="shared" si="57"/>
        <v>0.69230769230769229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71.401515151515142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72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0.86112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377</v>
      </c>
      <c r="Y442" s="553">
        <f>IFERROR(SUM(Y429:Y440),"0")</f>
        <v>380.16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150</v>
      </c>
      <c r="Y444" s="552">
        <f>IFERROR(IF(X444="",0,CEILING((X444/$H444),1)*$H444),"")</f>
        <v>153.12</v>
      </c>
      <c r="Z444" s="36">
        <f>IFERROR(IF(Y444=0,"",ROUNDUP(Y444/H444,0)*0.01196),"")</f>
        <v>0.34683999999999998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159.94318181818181</v>
      </c>
      <c r="BN444" s="64">
        <f>IFERROR(Y444*I444/H444,"0")</f>
        <v>163.26999999999998</v>
      </c>
      <c r="BO444" s="64">
        <f>IFERROR(1/J444*(X444/H444),"0")</f>
        <v>0.27316433566433568</v>
      </c>
      <c r="BP444" s="64">
        <f>IFERROR(1/J444*(Y444/H444),"0")</f>
        <v>0.27884615384615385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28.409090909090907</v>
      </c>
      <c r="Y447" s="553">
        <f>IFERROR(Y444/H444,"0")+IFERROR(Y445/H445,"0")+IFERROR(Y446/H446,"0")</f>
        <v>29</v>
      </c>
      <c r="Z447" s="553">
        <f>IFERROR(IF(Z444="",0,Z444),"0")+IFERROR(IF(Z445="",0,Z445),"0")+IFERROR(IF(Z446="",0,Z446),"0")</f>
        <v>0.34683999999999998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150</v>
      </c>
      <c r="Y448" s="553">
        <f>IFERROR(SUM(Y444:Y446),"0")</f>
        <v>153.12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74</v>
      </c>
      <c r="Y450" s="552">
        <f t="shared" ref="Y450:Y455" si="58">IFERROR(IF(X450="",0,CEILING((X450/$H450),1)*$H450),"")</f>
        <v>79.2</v>
      </c>
      <c r="Z450" s="36">
        <f>IFERROR(IF(Y450=0,"",ROUNDUP(Y450/H450,0)*0.01196),"")</f>
        <v>0.1794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78.905303030303031</v>
      </c>
      <c r="BN450" s="64">
        <f t="shared" ref="BN450:BN455" si="60">IFERROR(Y450*I450/H450,"0")</f>
        <v>84.45</v>
      </c>
      <c r="BO450" s="64">
        <f t="shared" ref="BO450:BO455" si="61">IFERROR(1/J450*(X450/H450),"0")</f>
        <v>0.13476107226107226</v>
      </c>
      <c r="BP450" s="64">
        <f t="shared" ref="BP450:BP455" si="62">IFERROR(1/J450*(Y450/H450),"0")</f>
        <v>0.14423076923076925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73</v>
      </c>
      <c r="Y451" s="552">
        <f t="shared" si="58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77.839015151515156</v>
      </c>
      <c r="BN451" s="64">
        <f t="shared" si="60"/>
        <v>78.819999999999993</v>
      </c>
      <c r="BO451" s="64">
        <f t="shared" si="61"/>
        <v>0.13293997668997667</v>
      </c>
      <c r="BP451" s="64">
        <f t="shared" si="62"/>
        <v>0.13461538461538464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103</v>
      </c>
      <c r="Y452" s="552">
        <f t="shared" si="58"/>
        <v>105.60000000000001</v>
      </c>
      <c r="Z452" s="36">
        <f>IFERROR(IF(Y452=0,"",ROUNDUP(Y452/H452,0)*0.01196),"")</f>
        <v>0.2392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109.8276515151515</v>
      </c>
      <c r="BN452" s="64">
        <f t="shared" si="60"/>
        <v>112.6</v>
      </c>
      <c r="BO452" s="64">
        <f t="shared" si="61"/>
        <v>0.18757284382284384</v>
      </c>
      <c r="BP452" s="64">
        <f t="shared" si="62"/>
        <v>0.19230769230769232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47.348484848484844</v>
      </c>
      <c r="Y456" s="553">
        <f>IFERROR(Y450/H450,"0")+IFERROR(Y451/H451,"0")+IFERROR(Y452/H452,"0")+IFERROR(Y453/H453,"0")+IFERROR(Y454/H454,"0")+IFERROR(Y455/H455,"0")</f>
        <v>49</v>
      </c>
      <c r="Z456" s="553">
        <f>IFERROR(IF(Z450="",0,Z450),"0")+IFERROR(IF(Z451="",0,Z451),"0")+IFERROR(IF(Z452="",0,Z452),"0")+IFERROR(IF(Z453="",0,Z453),"0")+IFERROR(IF(Z454="",0,Z454),"0")+IFERROR(IF(Z455="",0,Z455),"0")</f>
        <v>0.58604000000000001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250</v>
      </c>
      <c r="Y457" s="553">
        <f>IFERROR(SUM(Y450:Y455),"0")</f>
        <v>258.72000000000003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2125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2183.4000000000005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2255.4072126823789</v>
      </c>
      <c r="Y495" s="553">
        <f>IFERROR(SUM(BN22:BN491),"0")</f>
        <v>2316.79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4</v>
      </c>
      <c r="Y496" s="38">
        <f>ROUNDUP(SUM(BP22:BP491),0)</f>
        <v>4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2355.4072126823789</v>
      </c>
      <c r="Y497" s="553">
        <f>GrossWeightTotalR+PalletQtyTotalR*25</f>
        <v>2416.79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387.37523525856864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395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4.6497599999999997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0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4" s="46">
        <f>IFERROR(Y84*1,"0")+IFERROR(Y85*1,"0")+IFERROR(Y86*1,"0")+IFERROR(Y87*1,"0")+IFERROR(Y91*1,"0")+IFERROR(Y92*1,"0")+IFERROR(Y93*1,"0")+IFERROR(Y94*1,"0")</f>
        <v>153.9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153.9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242.39999999999998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124.8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101.39999999999999</v>
      </c>
      <c r="R504" s="46">
        <f>IFERROR(Y342*1,"0")+IFERROR(Y343*1,"0")+IFERROR(Y344*1,"0")</f>
        <v>0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615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792</v>
      </c>
      <c r="Y504" s="46">
        <f>IFERROR(Y465*1,"0")+IFERROR(Y466*1,"0")+IFERROR(Y467*1,"0")+IFERROR(Y468*1,"0")+IFERROR(Y472*1,"0")+IFERROR(Y473*1,"0")+IFERROR(Y477*1,"0")+IFERROR(Y481*1,"0")+IFERROR(Y485*1,"0")+IFERROR(Y486*1,"0")</f>
        <v>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2026-01-21T07:43:29Z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