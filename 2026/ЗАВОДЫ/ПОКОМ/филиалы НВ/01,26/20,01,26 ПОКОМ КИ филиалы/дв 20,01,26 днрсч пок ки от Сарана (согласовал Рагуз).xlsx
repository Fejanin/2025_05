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2FD48F59-4829-4D76-A76C-CAE6CAFF66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AO8" i="1" s="1"/>
  <c r="Y9" i="1"/>
  <c r="Y10" i="1"/>
  <c r="AO10" i="1" s="1"/>
  <c r="Y11" i="1"/>
  <c r="Y12" i="1"/>
  <c r="AO12" i="1" s="1"/>
  <c r="Y13" i="1"/>
  <c r="Y14" i="1"/>
  <c r="AO14" i="1" s="1"/>
  <c r="Y15" i="1"/>
  <c r="AO15" i="1" s="1"/>
  <c r="Y16" i="1"/>
  <c r="AO16" i="1" s="1"/>
  <c r="Y17" i="1"/>
  <c r="Y18" i="1"/>
  <c r="AO18" i="1" s="1"/>
  <c r="Y19" i="1"/>
  <c r="Y20" i="1"/>
  <c r="AO20" i="1" s="1"/>
  <c r="Y21" i="1"/>
  <c r="AO21" i="1" s="1"/>
  <c r="Y22" i="1"/>
  <c r="AO22" i="1" s="1"/>
  <c r="Y23" i="1"/>
  <c r="Y24" i="1"/>
  <c r="AO24" i="1" s="1"/>
  <c r="Y25" i="1"/>
  <c r="Y26" i="1"/>
  <c r="AO26" i="1" s="1"/>
  <c r="Y27" i="1"/>
  <c r="Y28" i="1"/>
  <c r="AO28" i="1" s="1"/>
  <c r="Y29" i="1"/>
  <c r="Y30" i="1"/>
  <c r="AO30" i="1" s="1"/>
  <c r="Y31" i="1"/>
  <c r="Y32" i="1"/>
  <c r="AO32" i="1" s="1"/>
  <c r="Y33" i="1"/>
  <c r="Y34" i="1"/>
  <c r="AO34" i="1" s="1"/>
  <c r="Y35" i="1"/>
  <c r="Y36" i="1"/>
  <c r="AO36" i="1" s="1"/>
  <c r="Y37" i="1"/>
  <c r="Y38" i="1"/>
  <c r="AO38" i="1" s="1"/>
  <c r="Y39" i="1"/>
  <c r="Y40" i="1"/>
  <c r="AO40" i="1" s="1"/>
  <c r="Y41" i="1"/>
  <c r="Y42" i="1"/>
  <c r="AO42" i="1" s="1"/>
  <c r="Y43" i="1"/>
  <c r="Y44" i="1"/>
  <c r="AO44" i="1" s="1"/>
  <c r="Y45" i="1"/>
  <c r="Y46" i="1"/>
  <c r="AO46" i="1" s="1"/>
  <c r="Y47" i="1"/>
  <c r="Y48" i="1"/>
  <c r="AO48" i="1" s="1"/>
  <c r="Y49" i="1"/>
  <c r="Y50" i="1"/>
  <c r="AO50" i="1" s="1"/>
  <c r="Y51" i="1"/>
  <c r="Y52" i="1"/>
  <c r="AO52" i="1" s="1"/>
  <c r="Y53" i="1"/>
  <c r="Y54" i="1"/>
  <c r="AO54" i="1" s="1"/>
  <c r="Y55" i="1"/>
  <c r="Y56" i="1"/>
  <c r="AO56" i="1" s="1"/>
  <c r="Y57" i="1"/>
  <c r="Y58" i="1"/>
  <c r="AO58" i="1" s="1"/>
  <c r="Y59" i="1"/>
  <c r="Y60" i="1"/>
  <c r="AO60" i="1" s="1"/>
  <c r="Y61" i="1"/>
  <c r="Y62" i="1"/>
  <c r="AO62" i="1" s="1"/>
  <c r="Y63" i="1"/>
  <c r="Y64" i="1"/>
  <c r="AO64" i="1" s="1"/>
  <c r="Y65" i="1"/>
  <c r="Y66" i="1"/>
  <c r="AO66" i="1" s="1"/>
  <c r="Y67" i="1"/>
  <c r="Y68" i="1"/>
  <c r="AO68" i="1" s="1"/>
  <c r="Y69" i="1"/>
  <c r="Y70" i="1"/>
  <c r="AO70" i="1" s="1"/>
  <c r="Y71" i="1"/>
  <c r="Y72" i="1"/>
  <c r="AO72" i="1" s="1"/>
  <c r="Y73" i="1"/>
  <c r="Y74" i="1"/>
  <c r="AO74" i="1" s="1"/>
  <c r="Y75" i="1"/>
  <c r="Y76" i="1"/>
  <c r="AO76" i="1" s="1"/>
  <c r="Y77" i="1"/>
  <c r="Y78" i="1"/>
  <c r="AO78" i="1" s="1"/>
  <c r="Y79" i="1"/>
  <c r="AO79" i="1" s="1"/>
  <c r="Y80" i="1"/>
  <c r="AO80" i="1" s="1"/>
  <c r="Y81" i="1"/>
  <c r="Y82" i="1"/>
  <c r="AO82" i="1" s="1"/>
  <c r="Y83" i="1"/>
  <c r="Y84" i="1"/>
  <c r="AO84" i="1" s="1"/>
  <c r="Y85" i="1"/>
  <c r="Y86" i="1"/>
  <c r="AO86" i="1" s="1"/>
  <c r="Y87" i="1"/>
  <c r="Y88" i="1"/>
  <c r="AO88" i="1" s="1"/>
  <c r="Y89" i="1"/>
  <c r="Y90" i="1"/>
  <c r="AO90" i="1" s="1"/>
  <c r="Y91" i="1"/>
  <c r="Y92" i="1"/>
  <c r="AO92" i="1" s="1"/>
  <c r="Y93" i="1"/>
  <c r="Y94" i="1"/>
  <c r="AO94" i="1" s="1"/>
  <c r="Y95" i="1"/>
  <c r="Y96" i="1"/>
  <c r="AO96" i="1" s="1"/>
  <c r="Y97" i="1"/>
  <c r="Y98" i="1"/>
  <c r="AO98" i="1" s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6" i="1"/>
  <c r="AO7" i="1"/>
  <c r="AO9" i="1"/>
  <c r="AO11" i="1"/>
  <c r="AO13" i="1"/>
  <c r="AO17" i="1"/>
  <c r="AO19" i="1"/>
  <c r="AO23" i="1"/>
  <c r="AO25" i="1"/>
  <c r="AO27" i="1"/>
  <c r="AO29" i="1"/>
  <c r="AO31" i="1"/>
  <c r="AO33" i="1"/>
  <c r="AO35" i="1"/>
  <c r="AO37" i="1"/>
  <c r="AO39" i="1"/>
  <c r="AO41" i="1"/>
  <c r="AO43" i="1"/>
  <c r="AO45" i="1"/>
  <c r="AO47" i="1"/>
  <c r="AO49" i="1"/>
  <c r="AO51" i="1"/>
  <c r="AO53" i="1"/>
  <c r="AO55" i="1"/>
  <c r="AO57" i="1"/>
  <c r="AO59" i="1"/>
  <c r="AO61" i="1"/>
  <c r="AO63" i="1"/>
  <c r="AO65" i="1"/>
  <c r="AO67" i="1"/>
  <c r="AO69" i="1"/>
  <c r="AO71" i="1"/>
  <c r="AO73" i="1"/>
  <c r="AO75" i="1"/>
  <c r="AO77" i="1"/>
  <c r="AO81" i="1"/>
  <c r="AO83" i="1"/>
  <c r="AO85" i="1"/>
  <c r="AO87" i="1"/>
  <c r="AO89" i="1"/>
  <c r="AO91" i="1"/>
  <c r="AO93" i="1"/>
  <c r="AO95" i="1"/>
  <c r="AO97" i="1"/>
  <c r="AO6" i="1"/>
  <c r="Y6" i="1"/>
  <c r="Z5" i="1"/>
  <c r="Y5" i="1" l="1"/>
  <c r="AP5" i="1"/>
  <c r="V50" i="1"/>
  <c r="X50" i="1" s="1"/>
  <c r="V32" i="1"/>
  <c r="V9" i="1"/>
  <c r="V13" i="1"/>
  <c r="X13" i="1" s="1"/>
  <c r="V14" i="1"/>
  <c r="X14" i="1" s="1"/>
  <c r="V19" i="1"/>
  <c r="X19" i="1" s="1"/>
  <c r="V20" i="1"/>
  <c r="X20" i="1" s="1"/>
  <c r="V22" i="1"/>
  <c r="X22" i="1" s="1"/>
  <c r="V24" i="1"/>
  <c r="V25" i="1"/>
  <c r="X25" i="1" s="1"/>
  <c r="V27" i="1"/>
  <c r="V28" i="1"/>
  <c r="X28" i="1" s="1"/>
  <c r="V29" i="1"/>
  <c r="X29" i="1" s="1"/>
  <c r="V30" i="1"/>
  <c r="X30" i="1" s="1"/>
  <c r="V31" i="1"/>
  <c r="V33" i="1"/>
  <c r="X33" i="1" s="1"/>
  <c r="V34" i="1"/>
  <c r="X34" i="1" s="1"/>
  <c r="V38" i="1"/>
  <c r="X38" i="1" s="1"/>
  <c r="V39" i="1"/>
  <c r="X39" i="1" s="1"/>
  <c r="V40" i="1"/>
  <c r="X40" i="1" s="1"/>
  <c r="V42" i="1"/>
  <c r="X42" i="1" s="1"/>
  <c r="V51" i="1"/>
  <c r="X51" i="1" s="1"/>
  <c r="V53" i="1"/>
  <c r="X53" i="1" s="1"/>
  <c r="V54" i="1"/>
  <c r="X54" i="1" s="1"/>
  <c r="V58" i="1"/>
  <c r="X58" i="1" s="1"/>
  <c r="V59" i="1"/>
  <c r="X59" i="1" s="1"/>
  <c r="V60" i="1"/>
  <c r="X60" i="1" s="1"/>
  <c r="V66" i="1"/>
  <c r="X66" i="1" s="1"/>
  <c r="V72" i="1"/>
  <c r="X72" i="1" s="1"/>
  <c r="V73" i="1"/>
  <c r="X73" i="1" s="1"/>
  <c r="V75" i="1"/>
  <c r="V77" i="1"/>
  <c r="X77" i="1" s="1"/>
  <c r="V81" i="1"/>
  <c r="V82" i="1"/>
  <c r="X82" i="1" s="1"/>
  <c r="V83" i="1"/>
  <c r="X83" i="1" s="1"/>
  <c r="V87" i="1"/>
  <c r="X87" i="1" s="1"/>
  <c r="V88" i="1"/>
  <c r="X88" i="1" s="1"/>
  <c r="V89" i="1"/>
  <c r="X89" i="1" s="1"/>
  <c r="V90" i="1"/>
  <c r="X90" i="1" s="1"/>
  <c r="V91" i="1"/>
  <c r="X91" i="1" s="1"/>
  <c r="V93" i="1"/>
  <c r="X93" i="1" s="1"/>
  <c r="V96" i="1"/>
  <c r="X96" i="1" s="1"/>
  <c r="V98" i="1"/>
  <c r="X98" i="1" s="1"/>
  <c r="X9" i="1"/>
  <c r="X27" i="1"/>
  <c r="X31" i="1"/>
  <c r="X75" i="1"/>
  <c r="X81" i="1"/>
  <c r="M98" i="1" l="1"/>
  <c r="T98" i="1" s="1"/>
  <c r="AD98" i="1" s="1"/>
  <c r="L98" i="1"/>
  <c r="M97" i="1"/>
  <c r="T97" i="1" s="1"/>
  <c r="U97" i="1" s="1"/>
  <c r="V97" i="1" s="1"/>
  <c r="X97" i="1" s="1"/>
  <c r="L97" i="1"/>
  <c r="M96" i="1"/>
  <c r="T96" i="1" s="1"/>
  <c r="AD96" i="1" s="1"/>
  <c r="L96" i="1"/>
  <c r="M95" i="1"/>
  <c r="T95" i="1" s="1"/>
  <c r="L95" i="1"/>
  <c r="M94" i="1"/>
  <c r="T94" i="1" s="1"/>
  <c r="U94" i="1" s="1"/>
  <c r="V94" i="1" s="1"/>
  <c r="X94" i="1" s="1"/>
  <c r="L94" i="1"/>
  <c r="M93" i="1"/>
  <c r="T93" i="1" s="1"/>
  <c r="AD93" i="1" s="1"/>
  <c r="L93" i="1"/>
  <c r="M92" i="1"/>
  <c r="T92" i="1" s="1"/>
  <c r="U92" i="1" s="1"/>
  <c r="V92" i="1" s="1"/>
  <c r="X92" i="1" s="1"/>
  <c r="L92" i="1"/>
  <c r="M91" i="1"/>
  <c r="T91" i="1" s="1"/>
  <c r="AD91" i="1" s="1"/>
  <c r="L91" i="1"/>
  <c r="M90" i="1"/>
  <c r="T90" i="1" s="1"/>
  <c r="AD90" i="1" s="1"/>
  <c r="L90" i="1"/>
  <c r="M89" i="1"/>
  <c r="T89" i="1" s="1"/>
  <c r="AD89" i="1" s="1"/>
  <c r="L89" i="1"/>
  <c r="M88" i="1"/>
  <c r="T88" i="1" s="1"/>
  <c r="AD88" i="1" s="1"/>
  <c r="L88" i="1"/>
  <c r="M87" i="1"/>
  <c r="T87" i="1" s="1"/>
  <c r="AD87" i="1" s="1"/>
  <c r="L87" i="1"/>
  <c r="M86" i="1"/>
  <c r="T86" i="1" s="1"/>
  <c r="U86" i="1" s="1"/>
  <c r="V86" i="1" s="1"/>
  <c r="X86" i="1" s="1"/>
  <c r="L86" i="1"/>
  <c r="M85" i="1"/>
  <c r="T85" i="1" s="1"/>
  <c r="U85" i="1" s="1"/>
  <c r="V85" i="1" s="1"/>
  <c r="X85" i="1" s="1"/>
  <c r="L85" i="1"/>
  <c r="M84" i="1"/>
  <c r="T84" i="1" s="1"/>
  <c r="U84" i="1" s="1"/>
  <c r="V84" i="1" s="1"/>
  <c r="X84" i="1" s="1"/>
  <c r="L84" i="1"/>
  <c r="M83" i="1"/>
  <c r="T83" i="1" s="1"/>
  <c r="AD83" i="1" s="1"/>
  <c r="L83" i="1"/>
  <c r="F82" i="1"/>
  <c r="E82" i="1"/>
  <c r="L82" i="1" s="1"/>
  <c r="M81" i="1"/>
  <c r="T81" i="1" s="1"/>
  <c r="AD81" i="1" s="1"/>
  <c r="L81" i="1"/>
  <c r="M80" i="1"/>
  <c r="T80" i="1" s="1"/>
  <c r="W80" i="1" s="1"/>
  <c r="L80" i="1"/>
  <c r="M79" i="1"/>
  <c r="T79" i="1" s="1"/>
  <c r="L79" i="1"/>
  <c r="M78" i="1"/>
  <c r="T78" i="1" s="1"/>
  <c r="L78" i="1"/>
  <c r="M77" i="1"/>
  <c r="T77" i="1" s="1"/>
  <c r="AD77" i="1" s="1"/>
  <c r="L77" i="1"/>
  <c r="M76" i="1"/>
  <c r="T76" i="1" s="1"/>
  <c r="U76" i="1" s="1"/>
  <c r="V76" i="1" s="1"/>
  <c r="X76" i="1" s="1"/>
  <c r="L76" i="1"/>
  <c r="M75" i="1"/>
  <c r="T75" i="1" s="1"/>
  <c r="AD75" i="1" s="1"/>
  <c r="L75" i="1"/>
  <c r="M74" i="1"/>
  <c r="T74" i="1" s="1"/>
  <c r="AE74" i="1" s="1"/>
  <c r="L74" i="1"/>
  <c r="M73" i="1"/>
  <c r="T73" i="1" s="1"/>
  <c r="AD73" i="1" s="1"/>
  <c r="L73" i="1"/>
  <c r="M72" i="1"/>
  <c r="T72" i="1" s="1"/>
  <c r="AD72" i="1" s="1"/>
  <c r="L72" i="1"/>
  <c r="M71" i="1"/>
  <c r="T71" i="1" s="1"/>
  <c r="U71" i="1" s="1"/>
  <c r="V71" i="1" s="1"/>
  <c r="X71" i="1" s="1"/>
  <c r="L71" i="1"/>
  <c r="M70" i="1"/>
  <c r="T70" i="1" s="1"/>
  <c r="U70" i="1" s="1"/>
  <c r="V70" i="1" s="1"/>
  <c r="X70" i="1" s="1"/>
  <c r="L70" i="1"/>
  <c r="M69" i="1"/>
  <c r="T69" i="1" s="1"/>
  <c r="L69" i="1"/>
  <c r="M68" i="1"/>
  <c r="T68" i="1" s="1"/>
  <c r="U68" i="1" s="1"/>
  <c r="V68" i="1" s="1"/>
  <c r="X68" i="1" s="1"/>
  <c r="L68" i="1"/>
  <c r="M67" i="1"/>
  <c r="T67" i="1" s="1"/>
  <c r="U67" i="1" s="1"/>
  <c r="V67" i="1" s="1"/>
  <c r="X67" i="1" s="1"/>
  <c r="L67" i="1"/>
  <c r="M66" i="1"/>
  <c r="T66" i="1" s="1"/>
  <c r="AD66" i="1" s="1"/>
  <c r="L66" i="1"/>
  <c r="M65" i="1"/>
  <c r="T65" i="1" s="1"/>
  <c r="U65" i="1" s="1"/>
  <c r="V65" i="1" s="1"/>
  <c r="X65" i="1" s="1"/>
  <c r="L65" i="1"/>
  <c r="M64" i="1"/>
  <c r="T64" i="1" s="1"/>
  <c r="U64" i="1" s="1"/>
  <c r="V64" i="1" s="1"/>
  <c r="X64" i="1" s="1"/>
  <c r="L64" i="1"/>
  <c r="M63" i="1"/>
  <c r="T63" i="1" s="1"/>
  <c r="L63" i="1"/>
  <c r="M62" i="1"/>
  <c r="T62" i="1" s="1"/>
  <c r="U62" i="1" s="1"/>
  <c r="V62" i="1" s="1"/>
  <c r="X62" i="1" s="1"/>
  <c r="L62" i="1"/>
  <c r="M61" i="1"/>
  <c r="T61" i="1" s="1"/>
  <c r="U61" i="1" s="1"/>
  <c r="V61" i="1" s="1"/>
  <c r="X61" i="1" s="1"/>
  <c r="L61" i="1"/>
  <c r="M60" i="1"/>
  <c r="T60" i="1" s="1"/>
  <c r="AD60" i="1" s="1"/>
  <c r="L60" i="1"/>
  <c r="M59" i="1"/>
  <c r="T59" i="1" s="1"/>
  <c r="AD59" i="1" s="1"/>
  <c r="L59" i="1"/>
  <c r="M58" i="1"/>
  <c r="T58" i="1" s="1"/>
  <c r="AD58" i="1" s="1"/>
  <c r="L58" i="1"/>
  <c r="M57" i="1"/>
  <c r="T57" i="1" s="1"/>
  <c r="U57" i="1" s="1"/>
  <c r="V57" i="1" s="1"/>
  <c r="X57" i="1" s="1"/>
  <c r="L57" i="1"/>
  <c r="M56" i="1"/>
  <c r="T56" i="1" s="1"/>
  <c r="L56" i="1"/>
  <c r="M55" i="1"/>
  <c r="T55" i="1" s="1"/>
  <c r="U55" i="1" s="1"/>
  <c r="V55" i="1" s="1"/>
  <c r="X55" i="1" s="1"/>
  <c r="L55" i="1"/>
  <c r="M54" i="1"/>
  <c r="T54" i="1" s="1"/>
  <c r="AD54" i="1" s="1"/>
  <c r="L54" i="1"/>
  <c r="M53" i="1"/>
  <c r="T53" i="1" s="1"/>
  <c r="AD53" i="1" s="1"/>
  <c r="L53" i="1"/>
  <c r="M52" i="1"/>
  <c r="T52" i="1" s="1"/>
  <c r="L52" i="1"/>
  <c r="M51" i="1"/>
  <c r="T51" i="1" s="1"/>
  <c r="AD51" i="1" s="1"/>
  <c r="L51" i="1"/>
  <c r="M50" i="1"/>
  <c r="T50" i="1" s="1"/>
  <c r="AD50" i="1" s="1"/>
  <c r="L50" i="1"/>
  <c r="M49" i="1"/>
  <c r="T49" i="1" s="1"/>
  <c r="L49" i="1"/>
  <c r="M48" i="1"/>
  <c r="T48" i="1" s="1"/>
  <c r="L48" i="1"/>
  <c r="M47" i="1"/>
  <c r="T47" i="1" s="1"/>
  <c r="L47" i="1"/>
  <c r="M46" i="1"/>
  <c r="T46" i="1" s="1"/>
  <c r="L46" i="1"/>
  <c r="M45" i="1"/>
  <c r="T45" i="1" s="1"/>
  <c r="U45" i="1" s="1"/>
  <c r="V45" i="1" s="1"/>
  <c r="X45" i="1" s="1"/>
  <c r="L45" i="1"/>
  <c r="M44" i="1"/>
  <c r="T44" i="1" s="1"/>
  <c r="U44" i="1" s="1"/>
  <c r="V44" i="1" s="1"/>
  <c r="X44" i="1" s="1"/>
  <c r="L44" i="1"/>
  <c r="M43" i="1"/>
  <c r="T43" i="1" s="1"/>
  <c r="L43" i="1"/>
  <c r="M42" i="1"/>
  <c r="T42" i="1" s="1"/>
  <c r="AD42" i="1" s="1"/>
  <c r="L42" i="1"/>
  <c r="M41" i="1"/>
  <c r="T41" i="1" s="1"/>
  <c r="U41" i="1" s="1"/>
  <c r="V41" i="1" s="1"/>
  <c r="X41" i="1" s="1"/>
  <c r="L41" i="1"/>
  <c r="M40" i="1"/>
  <c r="T40" i="1" s="1"/>
  <c r="AD40" i="1" s="1"/>
  <c r="L40" i="1"/>
  <c r="M39" i="1"/>
  <c r="T39" i="1" s="1"/>
  <c r="AD39" i="1" s="1"/>
  <c r="L39" i="1"/>
  <c r="M38" i="1"/>
  <c r="T38" i="1" s="1"/>
  <c r="AD38" i="1" s="1"/>
  <c r="L38" i="1"/>
  <c r="M37" i="1"/>
  <c r="T37" i="1" s="1"/>
  <c r="U37" i="1" s="1"/>
  <c r="V37" i="1" s="1"/>
  <c r="X37" i="1" s="1"/>
  <c r="L37" i="1"/>
  <c r="M36" i="1"/>
  <c r="T36" i="1" s="1"/>
  <c r="W36" i="1" s="1"/>
  <c r="L36" i="1"/>
  <c r="M35" i="1"/>
  <c r="T35" i="1" s="1"/>
  <c r="L35" i="1"/>
  <c r="M34" i="1"/>
  <c r="T34" i="1" s="1"/>
  <c r="AD34" i="1" s="1"/>
  <c r="L34" i="1"/>
  <c r="M33" i="1"/>
  <c r="T33" i="1" s="1"/>
  <c r="AE33" i="1" s="1"/>
  <c r="L33" i="1"/>
  <c r="M32" i="1"/>
  <c r="T32" i="1" s="1"/>
  <c r="L32" i="1"/>
  <c r="M31" i="1"/>
  <c r="T31" i="1" s="1"/>
  <c r="AE31" i="1" s="1"/>
  <c r="L31" i="1"/>
  <c r="M30" i="1"/>
  <c r="T30" i="1" s="1"/>
  <c r="AD30" i="1" s="1"/>
  <c r="L30" i="1"/>
  <c r="M29" i="1"/>
  <c r="T29" i="1" s="1"/>
  <c r="AD29" i="1" s="1"/>
  <c r="L29" i="1"/>
  <c r="M28" i="1"/>
  <c r="T28" i="1" s="1"/>
  <c r="AE28" i="1" s="1"/>
  <c r="L28" i="1"/>
  <c r="M27" i="1"/>
  <c r="T27" i="1" s="1"/>
  <c r="AD27" i="1" s="1"/>
  <c r="L27" i="1"/>
  <c r="M26" i="1"/>
  <c r="T26" i="1" s="1"/>
  <c r="W26" i="1" s="1"/>
  <c r="L26" i="1"/>
  <c r="M25" i="1"/>
  <c r="T25" i="1" s="1"/>
  <c r="AD25" i="1" s="1"/>
  <c r="L25" i="1"/>
  <c r="M24" i="1"/>
  <c r="T24" i="1" s="1"/>
  <c r="L24" i="1"/>
  <c r="M23" i="1"/>
  <c r="T23" i="1" s="1"/>
  <c r="L23" i="1"/>
  <c r="M22" i="1"/>
  <c r="T22" i="1" s="1"/>
  <c r="AD22" i="1" s="1"/>
  <c r="L22" i="1"/>
  <c r="M21" i="1"/>
  <c r="T21" i="1" s="1"/>
  <c r="L21" i="1"/>
  <c r="M20" i="1"/>
  <c r="T20" i="1" s="1"/>
  <c r="AE20" i="1" s="1"/>
  <c r="L20" i="1"/>
  <c r="M19" i="1"/>
  <c r="T19" i="1" s="1"/>
  <c r="AD19" i="1" s="1"/>
  <c r="L19" i="1"/>
  <c r="M18" i="1"/>
  <c r="T18" i="1" s="1"/>
  <c r="L18" i="1"/>
  <c r="M17" i="1"/>
  <c r="T17" i="1" s="1"/>
  <c r="L17" i="1"/>
  <c r="M16" i="1"/>
  <c r="T16" i="1" s="1"/>
  <c r="L16" i="1"/>
  <c r="M15" i="1"/>
  <c r="T15" i="1" s="1"/>
  <c r="L15" i="1"/>
  <c r="M14" i="1"/>
  <c r="T14" i="1" s="1"/>
  <c r="AD14" i="1" s="1"/>
  <c r="L14" i="1"/>
  <c r="M13" i="1"/>
  <c r="T13" i="1" s="1"/>
  <c r="AD13" i="1" s="1"/>
  <c r="L13" i="1"/>
  <c r="M12" i="1"/>
  <c r="T12" i="1" s="1"/>
  <c r="U12" i="1" s="1"/>
  <c r="V12" i="1" s="1"/>
  <c r="X12" i="1" s="1"/>
  <c r="L12" i="1"/>
  <c r="M11" i="1"/>
  <c r="T11" i="1" s="1"/>
  <c r="U11" i="1" s="1"/>
  <c r="V11" i="1" s="1"/>
  <c r="X11" i="1" s="1"/>
  <c r="L11" i="1"/>
  <c r="M10" i="1"/>
  <c r="T10" i="1" s="1"/>
  <c r="U10" i="1" s="1"/>
  <c r="V10" i="1" s="1"/>
  <c r="X10" i="1" s="1"/>
  <c r="L10" i="1"/>
  <c r="M9" i="1"/>
  <c r="T9" i="1" s="1"/>
  <c r="AD9" i="1" s="1"/>
  <c r="L9" i="1"/>
  <c r="M8" i="1"/>
  <c r="T8" i="1" s="1"/>
  <c r="U8" i="1" s="1"/>
  <c r="V8" i="1" s="1"/>
  <c r="X8" i="1" s="1"/>
  <c r="L8" i="1"/>
  <c r="M7" i="1"/>
  <c r="T7" i="1" s="1"/>
  <c r="L7" i="1"/>
  <c r="M6" i="1"/>
  <c r="T6" i="1" s="1"/>
  <c r="L6" i="1"/>
  <c r="AM5" i="1"/>
  <c r="AL5" i="1"/>
  <c r="AK5" i="1"/>
  <c r="AJ5" i="1"/>
  <c r="AI5" i="1"/>
  <c r="AH5" i="1"/>
  <c r="AG5" i="1"/>
  <c r="AF5" i="1"/>
  <c r="AC5" i="1"/>
  <c r="AA5" i="1"/>
  <c r="S5" i="1"/>
  <c r="R5" i="1"/>
  <c r="Q5" i="1"/>
  <c r="P5" i="1"/>
  <c r="O5" i="1"/>
  <c r="N5" i="1"/>
  <c r="K5" i="1"/>
  <c r="U6" i="1" l="1"/>
  <c r="V6" i="1" s="1"/>
  <c r="W6" i="1"/>
  <c r="U15" i="1"/>
  <c r="V15" i="1" s="1"/>
  <c r="W15" i="1"/>
  <c r="U16" i="1"/>
  <c r="V16" i="1" s="1"/>
  <c r="W16" i="1"/>
  <c r="AE21" i="1"/>
  <c r="W21" i="1"/>
  <c r="U23" i="1"/>
  <c r="V23" i="1" s="1"/>
  <c r="W23" i="1"/>
  <c r="W24" i="1"/>
  <c r="X24" i="1" s="1"/>
  <c r="U49" i="1"/>
  <c r="V49" i="1" s="1"/>
  <c r="W49" i="1"/>
  <c r="U52" i="1"/>
  <c r="V52" i="1" s="1"/>
  <c r="W52" i="1"/>
  <c r="AE79" i="1"/>
  <c r="W79" i="1"/>
  <c r="AD31" i="1"/>
  <c r="AD8" i="1"/>
  <c r="AD10" i="1"/>
  <c r="AD11" i="1"/>
  <c r="AD12" i="1"/>
  <c r="AD37" i="1"/>
  <c r="AD41" i="1"/>
  <c r="AD44" i="1"/>
  <c r="AD45" i="1"/>
  <c r="AD55" i="1"/>
  <c r="AD57" i="1"/>
  <c r="AD61" i="1"/>
  <c r="AD62" i="1"/>
  <c r="AD64" i="1"/>
  <c r="AD65" i="1"/>
  <c r="AD67" i="1"/>
  <c r="AD68" i="1"/>
  <c r="AD70" i="1"/>
  <c r="AD71" i="1"/>
  <c r="AD76" i="1"/>
  <c r="F5" i="1"/>
  <c r="AD84" i="1"/>
  <c r="AD85" i="1"/>
  <c r="AD86" i="1"/>
  <c r="AD92" i="1"/>
  <c r="AD94" i="1"/>
  <c r="AD97" i="1"/>
  <c r="AD28" i="1"/>
  <c r="AD33" i="1"/>
  <c r="AD20" i="1"/>
  <c r="U46" i="1"/>
  <c r="V46" i="1" s="1"/>
  <c r="X46" i="1" s="1"/>
  <c r="AD46" i="1" s="1"/>
  <c r="U56" i="1"/>
  <c r="V56" i="1" s="1"/>
  <c r="X56" i="1" s="1"/>
  <c r="AD56" i="1" s="1"/>
  <c r="AE78" i="1"/>
  <c r="U78" i="1"/>
  <c r="V78" i="1" s="1"/>
  <c r="X78" i="1" s="1"/>
  <c r="AD78" i="1" s="1"/>
  <c r="U69" i="1"/>
  <c r="V69" i="1" s="1"/>
  <c r="X69" i="1" s="1"/>
  <c r="AD69" i="1" s="1"/>
  <c r="U63" i="1"/>
  <c r="V63" i="1" s="1"/>
  <c r="X63" i="1" s="1"/>
  <c r="AD63" i="1" s="1"/>
  <c r="E5" i="1"/>
  <c r="U79" i="1"/>
  <c r="V79" i="1" s="1"/>
  <c r="U21" i="1"/>
  <c r="V21" i="1" s="1"/>
  <c r="AE22" i="1"/>
  <c r="U35" i="1"/>
  <c r="V35" i="1" s="1"/>
  <c r="X35" i="1" s="1"/>
  <c r="AD35" i="1" s="1"/>
  <c r="U7" i="1"/>
  <c r="V7" i="1" s="1"/>
  <c r="X7" i="1" s="1"/>
  <c r="AD7" i="1" s="1"/>
  <c r="U26" i="1"/>
  <c r="V26" i="1" s="1"/>
  <c r="X26" i="1" s="1"/>
  <c r="AD26" i="1" s="1"/>
  <c r="U36" i="1"/>
  <c r="V36" i="1" s="1"/>
  <c r="X36" i="1" s="1"/>
  <c r="AD36" i="1" s="1"/>
  <c r="U48" i="1"/>
  <c r="V48" i="1" s="1"/>
  <c r="X48" i="1" s="1"/>
  <c r="AD48" i="1" s="1"/>
  <c r="U17" i="1"/>
  <c r="V17" i="1" s="1"/>
  <c r="X17" i="1" s="1"/>
  <c r="AD17" i="1" s="1"/>
  <c r="U43" i="1"/>
  <c r="V43" i="1" s="1"/>
  <c r="X43" i="1" s="1"/>
  <c r="AD43" i="1" s="1"/>
  <c r="U47" i="1"/>
  <c r="V47" i="1" s="1"/>
  <c r="X47" i="1" s="1"/>
  <c r="AD47" i="1" s="1"/>
  <c r="AE75" i="1"/>
  <c r="AE80" i="1"/>
  <c r="U80" i="1"/>
  <c r="V80" i="1" s="1"/>
  <c r="X80" i="1" s="1"/>
  <c r="AD80" i="1" s="1"/>
  <c r="AE81" i="1"/>
  <c r="U95" i="1"/>
  <c r="V95" i="1" s="1"/>
  <c r="X95" i="1" s="1"/>
  <c r="AD95" i="1" s="1"/>
  <c r="U18" i="1"/>
  <c r="X18" i="1" s="1"/>
  <c r="AD18" i="1" s="1"/>
  <c r="U74" i="1"/>
  <c r="V74" i="1" s="1"/>
  <c r="X74" i="1" s="1"/>
  <c r="AD74" i="1" s="1"/>
  <c r="AE12" i="1"/>
  <c r="AE16" i="1"/>
  <c r="AE23" i="1"/>
  <c r="AE27" i="1"/>
  <c r="AE34" i="1"/>
  <c r="AE38" i="1"/>
  <c r="AE42" i="1"/>
  <c r="AE46" i="1"/>
  <c r="AE50" i="1"/>
  <c r="AE76" i="1"/>
  <c r="AE93" i="1"/>
  <c r="AE97" i="1"/>
  <c r="AE30" i="1"/>
  <c r="AE53" i="1"/>
  <c r="L5" i="1"/>
  <c r="AE14" i="1"/>
  <c r="AE18" i="1"/>
  <c r="AE25" i="1"/>
  <c r="AE36" i="1"/>
  <c r="AE40" i="1"/>
  <c r="AE44" i="1"/>
  <c r="AE48" i="1"/>
  <c r="M82" i="1"/>
  <c r="T82" i="1" s="1"/>
  <c r="AD82" i="1" s="1"/>
  <c r="AE95" i="1"/>
  <c r="AE10" i="1"/>
  <c r="AE6" i="1"/>
  <c r="AE7" i="1"/>
  <c r="AE8" i="1"/>
  <c r="AE9" i="1"/>
  <c r="AE51" i="1"/>
  <c r="AE54" i="1"/>
  <c r="AE56" i="1"/>
  <c r="AE58" i="1"/>
  <c r="AE60" i="1"/>
  <c r="AE62" i="1"/>
  <c r="AE64" i="1"/>
  <c r="AE66" i="1"/>
  <c r="AE68" i="1"/>
  <c r="AE70" i="1"/>
  <c r="AE72" i="1"/>
  <c r="AE77" i="1"/>
  <c r="AE83" i="1"/>
  <c r="AE85" i="1"/>
  <c r="AE87" i="1"/>
  <c r="AE89" i="1"/>
  <c r="AE91" i="1"/>
  <c r="AE94" i="1"/>
  <c r="AE98" i="1"/>
  <c r="AE11" i="1"/>
  <c r="AE13" i="1"/>
  <c r="AE15" i="1"/>
  <c r="AE17" i="1"/>
  <c r="AE19" i="1"/>
  <c r="AE24" i="1"/>
  <c r="AE26" i="1"/>
  <c r="AE29" i="1"/>
  <c r="AE32" i="1"/>
  <c r="AE35" i="1"/>
  <c r="AE37" i="1"/>
  <c r="AE39" i="1"/>
  <c r="AE41" i="1"/>
  <c r="AE43" i="1"/>
  <c r="AE45" i="1"/>
  <c r="AE47" i="1"/>
  <c r="AE49" i="1"/>
  <c r="AE52" i="1"/>
  <c r="AE55" i="1"/>
  <c r="AE57" i="1"/>
  <c r="AE59" i="1"/>
  <c r="AE61" i="1"/>
  <c r="AE63" i="1"/>
  <c r="AE65" i="1"/>
  <c r="AE67" i="1"/>
  <c r="AE69" i="1"/>
  <c r="AE71" i="1"/>
  <c r="AE73" i="1"/>
  <c r="AE84" i="1"/>
  <c r="AE86" i="1"/>
  <c r="AE88" i="1"/>
  <c r="AE90" i="1"/>
  <c r="AE92" i="1"/>
  <c r="AE96" i="1"/>
  <c r="AE82" i="1"/>
  <c r="X79" i="1" l="1"/>
  <c r="AD79" i="1" s="1"/>
  <c r="W5" i="1"/>
  <c r="X21" i="1"/>
  <c r="AD21" i="1" s="1"/>
  <c r="X52" i="1"/>
  <c r="X49" i="1"/>
  <c r="AD24" i="1"/>
  <c r="X23" i="1"/>
  <c r="X16" i="1"/>
  <c r="X15" i="1"/>
  <c r="X6" i="1"/>
  <c r="T5" i="1"/>
  <c r="U5" i="1"/>
  <c r="M5" i="1"/>
  <c r="V5" i="1"/>
  <c r="X32" i="1"/>
  <c r="AD15" i="1" l="1"/>
  <c r="AD23" i="1"/>
  <c r="AD49" i="1"/>
  <c r="AD6" i="1"/>
  <c r="AD16" i="1"/>
  <c r="AD52" i="1"/>
  <c r="X5" i="1"/>
  <c r="AD32" i="1"/>
  <c r="AO5" i="1" l="1"/>
</calcChain>
</file>

<file path=xl/sharedStrings.xml><?xml version="1.0" encoding="utf-8"?>
<sst xmlns="http://schemas.openxmlformats.org/spreadsheetml/2006/main" count="388" uniqueCount="163">
  <si>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</si>
  <si>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</si>
  <si>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</si>
  <si>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</si>
  <si>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</si>
  <si>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</si>
  <si>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</si>
  <si>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</si>
  <si>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</si>
  <si>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</si>
  <si>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</si>
  <si>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</si>
  <si>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</si>
  <si>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</si>
  <si>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</si>
  <si>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</si>
  <si>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</si>
  <si>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</si>
  <si>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</si>
  <si>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</si>
  <si>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</si>
  <si>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</si>
  <si>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</si>
  <si>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</si>
  <si>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</si>
  <si>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14,01,</t>
  </si>
  <si>
    <t>Бутырин(17,01)</t>
  </si>
  <si>
    <t>17,01,</t>
  </si>
  <si>
    <t>18,01,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</si>
  <si>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</si>
  <si>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</si>
  <si>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</si>
  <si>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</si>
  <si>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</si>
  <si>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</si>
  <si>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</si>
  <si>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</si>
  <si>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</si>
  <si>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</si>
  <si>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</si>
  <si>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</si>
  <si>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</si>
  <si>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</si>
  <si>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</si>
  <si>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</si>
  <si>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</si>
  <si>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</si>
  <si>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</si>
  <si>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</si>
  <si>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</si>
  <si>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</si>
  <si>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</si>
  <si>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</si>
  <si>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</si>
  <si>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</si>
  <si>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</si>
  <si>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</si>
  <si>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</si>
  <si>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</si>
  <si>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</si>
  <si>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</si>
  <si>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</si>
  <si>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</si>
  <si>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</si>
  <si>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</si>
  <si>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</si>
  <si>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</si>
  <si>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</si>
  <si>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</si>
  <si>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</si>
  <si>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</si>
  <si>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</si>
  <si>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</si>
  <si>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</si>
  <si>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</si>
  <si>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</si>
  <si>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</si>
  <si>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</si>
  <si>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</si>
  <si>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</si>
  <si>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</si>
  <si>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</si>
  <si>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</si>
  <si>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</si>
  <si>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</si>
  <si>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</si>
  <si>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</si>
  <si>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</si>
  <si>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</si>
  <si>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</si>
  <si>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</si>
  <si>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</si>
  <si>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</si>
  <si>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</si>
  <si>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</si>
  <si>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</si>
  <si>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</si>
  <si>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</si>
  <si>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</si>
  <si>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</si>
  <si>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</si>
  <si>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</si>
  <si>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</si>
  <si>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</si>
  <si>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</si>
  <si>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</si>
  <si>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</si>
  <si>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</si>
  <si>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</si>
  <si>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</si>
  <si>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</si>
  <si>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</si>
  <si>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</si>
  <si>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</si>
  <si>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</si>
  <si>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</si>
  <si>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</si>
  <si>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</si>
  <si>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</si>
  <si>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</si>
  <si>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</si>
  <si>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</si>
  <si>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</si>
  <si>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</si>
  <si>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</si>
  <si>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</si>
  <si>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</si>
  <si>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</si>
  <si>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</si>
  <si>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</si>
  <si>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</si>
  <si>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</si>
  <si>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</si>
  <si>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</si>
  <si>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</si>
  <si>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</si>
  <si>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</si>
  <si>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</si>
  <si>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</si>
  <si>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</si>
  <si>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</si>
  <si>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</si>
  <si>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</si>
  <si>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</si>
  <si>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</si>
  <si>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</si>
  <si>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</si>
  <si>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</si>
  <si>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</si>
  <si>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</si>
  <si>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</si>
  <si>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</si>
  <si>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23,06,25 в уценку 6кг / 22,04,25 в уценку 34 кг / 25,01,25 в уценку 108кг</t>
    </r>
  </si>
  <si>
    <t>19,12,25 списание 146кг (сроки)</t>
  </si>
  <si>
    <t>можно переместить из Луганска???</t>
  </si>
  <si>
    <t>Просьба ТК</t>
  </si>
  <si>
    <t>с 21,01,26 заказываем</t>
  </si>
  <si>
    <t>с учетом ТК</t>
  </si>
  <si>
    <t>до машины</t>
  </si>
  <si>
    <t>заказ</t>
  </si>
  <si>
    <t>итого</t>
  </si>
  <si>
    <t>24,01,(1)</t>
  </si>
  <si>
    <t>24,01,(2)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</si>
</sst>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7" fillId="9" borderId="1" xfId="1" applyNumberFormat="1" applyFont="1" applyFill="1"/>
    <xf numFmtId="164" fontId="7" fillId="0" borderId="1" xfId="1" applyNumberFormat="1" applyFont="1"/>
    <xf numFmtId="164" fontId="1" fillId="10" borderId="2" xfId="1" applyNumberFormat="1" applyFill="1" applyBorder="1"/>
    <xf numFmtId="164" fontId="7" fillId="10" borderId="1" xfId="1" applyNumberFormat="1" applyFont="1" applyFill="1"/>
    <xf numFmtId="164" fontId="1" fillId="9" borderId="2" xfId="1" applyNumberFormat="1" applyFill="1" applyBorder="1"/>
    <xf numFmtId="164" fontId="1" fillId="9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M1" sqref="AM1"/>
    </sheetView>
  </sheetViews>
  <sheetFormatPr defaultRowHeight="15" x14ac:dyDescent="0.25"/>
  <cols>
    <col min="1" max="1" width="43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21" width="7" customWidth="1"/>
    <col min="22" max="26" width="7" style="28" customWidth="1"/>
    <col min="27" max="27" width="7" customWidth="1"/>
    <col min="28" max="28" width="9.42578125" customWidth="1"/>
    <col min="29" max="29" width="7" customWidth="1"/>
    <col min="30" max="31" width="5" customWidth="1"/>
    <col min="32" max="39" width="6" customWidth="1"/>
    <col min="40" max="40" width="8.85546875" customWidth="1"/>
    <col min="41" max="42" width="7" customWidth="1"/>
    <col min="43" max="56" width="3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9">
        <v>2.25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157</v>
      </c>
      <c r="W3" s="3" t="s">
        <v>158</v>
      </c>
      <c r="X3" s="3" t="s">
        <v>160</v>
      </c>
      <c r="Y3" s="3" t="s">
        <v>159</v>
      </c>
      <c r="Z3" s="3" t="s">
        <v>159</v>
      </c>
      <c r="AA3" s="7" t="s">
        <v>17</v>
      </c>
      <c r="AB3" s="7" t="s">
        <v>18</v>
      </c>
      <c r="AC3" s="10" t="s">
        <v>19</v>
      </c>
      <c r="AD3" s="2" t="s">
        <v>20</v>
      </c>
      <c r="AE3" s="2" t="s">
        <v>21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22</v>
      </c>
      <c r="AN3" s="2" t="s">
        <v>23</v>
      </c>
      <c r="AO3" s="2" t="s">
        <v>24</v>
      </c>
      <c r="AP3" s="2" t="s">
        <v>24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/>
      <c r="V4" s="1"/>
      <c r="W4" s="1"/>
      <c r="X4" s="1"/>
      <c r="Y4" s="1" t="s">
        <v>161</v>
      </c>
      <c r="Z4" s="1" t="s">
        <v>162</v>
      </c>
      <c r="AA4" s="1"/>
      <c r="AB4" s="1"/>
      <c r="AC4" s="1"/>
      <c r="AD4" s="1"/>
      <c r="AE4" s="1"/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/>
      <c r="AO4" s="1" t="s">
        <v>161</v>
      </c>
      <c r="AP4" s="1" t="s">
        <v>162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SUM(E6:E500)</f>
        <v>40465.038</v>
      </c>
      <c r="F5" s="4">
        <f>SUM(F6:F500)</f>
        <v>35143.085000000006</v>
      </c>
      <c r="G5" s="8"/>
      <c r="H5" s="1"/>
      <c r="I5" s="1"/>
      <c r="J5" s="1"/>
      <c r="K5" s="4">
        <f t="shared" ref="K5:AA5" si="0">SUM(K6:K500)</f>
        <v>48034.985999999975</v>
      </c>
      <c r="L5" s="4">
        <f t="shared" si="0"/>
        <v>-7569.9479999999994</v>
      </c>
      <c r="M5" s="4">
        <f t="shared" si="0"/>
        <v>35086.733000000007</v>
      </c>
      <c r="N5" s="4">
        <f t="shared" si="0"/>
        <v>5378.3049999999994</v>
      </c>
      <c r="O5" s="4">
        <f t="shared" si="0"/>
        <v>5644.8683999999994</v>
      </c>
      <c r="P5" s="4">
        <f t="shared" si="0"/>
        <v>1858</v>
      </c>
      <c r="Q5" s="4">
        <f t="shared" si="0"/>
        <v>11179.915522723339</v>
      </c>
      <c r="R5" s="4">
        <f t="shared" si="0"/>
        <v>9984.8511362766658</v>
      </c>
      <c r="S5" s="4">
        <f t="shared" si="0"/>
        <v>7080</v>
      </c>
      <c r="T5" s="4">
        <f t="shared" si="0"/>
        <v>7017.346599999998</v>
      </c>
      <c r="U5" s="4">
        <f t="shared" si="0"/>
        <v>12276.438987666665</v>
      </c>
      <c r="V5" s="4">
        <f t="shared" si="0"/>
        <v>12452.916387666664</v>
      </c>
      <c r="W5" s="4">
        <f t="shared" si="0"/>
        <v>5336.3488499999994</v>
      </c>
      <c r="X5" s="4">
        <f t="shared" si="0"/>
        <v>17789.26523766667</v>
      </c>
      <c r="Y5" s="4">
        <f t="shared" si="0"/>
        <v>11399.265237666667</v>
      </c>
      <c r="Z5" s="4">
        <f t="shared" ref="Z5" si="1">SUM(Z6:Z500)</f>
        <v>6390</v>
      </c>
      <c r="AA5" s="4">
        <f t="shared" si="0"/>
        <v>300</v>
      </c>
      <c r="AB5" s="1"/>
      <c r="AC5" s="4">
        <f>SUM(AC6:AC500)</f>
        <v>0</v>
      </c>
      <c r="AD5" s="1"/>
      <c r="AE5" s="1"/>
      <c r="AF5" s="4">
        <f t="shared" ref="AF5:AM5" si="2">SUM(AF6:AF500)</f>
        <v>7009.6939999999995</v>
      </c>
      <c r="AG5" s="4">
        <f t="shared" si="2"/>
        <v>6817.6777999999995</v>
      </c>
      <c r="AH5" s="4">
        <f t="shared" si="2"/>
        <v>7264.9101666666629</v>
      </c>
      <c r="AI5" s="4">
        <f t="shared" si="2"/>
        <v>8228.2569999999996</v>
      </c>
      <c r="AJ5" s="4">
        <f t="shared" si="2"/>
        <v>7432.0654000000004</v>
      </c>
      <c r="AK5" s="4">
        <f t="shared" si="2"/>
        <v>7216.2931999999973</v>
      </c>
      <c r="AL5" s="4">
        <f t="shared" si="2"/>
        <v>6953.5805999999984</v>
      </c>
      <c r="AM5" s="4">
        <f t="shared" si="2"/>
        <v>6680.6210000000001</v>
      </c>
      <c r="AN5" s="1"/>
      <c r="AO5" s="4">
        <f>SUM(AO6:AO500)</f>
        <v>7908</v>
      </c>
      <c r="AP5" s="4">
        <f>SUM(AP6:AP500)</f>
        <v>6090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39</v>
      </c>
      <c r="B6" s="1" t="s">
        <v>40</v>
      </c>
      <c r="C6" s="1">
        <v>-140.05699999999999</v>
      </c>
      <c r="D6" s="1">
        <v>1462.8530000000001</v>
      </c>
      <c r="E6" s="1">
        <v>493.39299999999997</v>
      </c>
      <c r="F6" s="1">
        <v>687.57</v>
      </c>
      <c r="G6" s="8">
        <v>1</v>
      </c>
      <c r="H6" s="1">
        <v>50</v>
      </c>
      <c r="I6" s="1" t="s">
        <v>41</v>
      </c>
      <c r="J6" s="1"/>
      <c r="K6" s="1">
        <v>566.91499999999996</v>
      </c>
      <c r="L6" s="1">
        <f t="shared" ref="L6:L37" si="3">E6-K6</f>
        <v>-73.521999999999991</v>
      </c>
      <c r="M6" s="1">
        <f t="shared" ref="M6:M37" si="4">E6-N6</f>
        <v>407.77799999999996</v>
      </c>
      <c r="N6" s="1">
        <v>85.614999999999995</v>
      </c>
      <c r="O6" s="1"/>
      <c r="P6" s="1">
        <v>0</v>
      </c>
      <c r="Q6" s="1">
        <v>0</v>
      </c>
      <c r="R6" s="1">
        <v>0</v>
      </c>
      <c r="S6" s="1"/>
      <c r="T6" s="1">
        <f t="shared" ref="T6:T37" si="5">M6/5</f>
        <v>81.555599999999998</v>
      </c>
      <c r="U6" s="5">
        <f>11*T6-S6-R6-Q6-O6-F6</f>
        <v>209.5415999999999</v>
      </c>
      <c r="V6" s="5">
        <f>U6</f>
        <v>209.5415999999999</v>
      </c>
      <c r="W6" s="5">
        <f>$W$1*T6</f>
        <v>183.5001</v>
      </c>
      <c r="X6" s="5">
        <f>W6+V6</f>
        <v>393.04169999999988</v>
      </c>
      <c r="Y6" s="5">
        <f>X6-Z6</f>
        <v>393.04169999999988</v>
      </c>
      <c r="Z6" s="5"/>
      <c r="AA6" s="5"/>
      <c r="AB6" s="1"/>
      <c r="AC6" s="1"/>
      <c r="AD6" s="1">
        <f>(F6+O6+Q6+R6+S6+X6)/T6</f>
        <v>13.25</v>
      </c>
      <c r="AE6" s="1">
        <f t="shared" ref="AE6:AE37" si="6">(F6+O6+Q6+R6+S6)/T6</f>
        <v>8.4306902285066876</v>
      </c>
      <c r="AF6" s="1">
        <v>28.123000000000001</v>
      </c>
      <c r="AG6" s="1">
        <v>24.486000000000001</v>
      </c>
      <c r="AH6" s="1">
        <v>91.292833333333348</v>
      </c>
      <c r="AI6" s="1">
        <v>93.21833333333332</v>
      </c>
      <c r="AJ6" s="1">
        <v>6.0432000000000006</v>
      </c>
      <c r="AK6" s="1">
        <v>71.900600000000011</v>
      </c>
      <c r="AL6" s="1">
        <v>107.9282</v>
      </c>
      <c r="AM6" s="1">
        <v>34.925199999999997</v>
      </c>
      <c r="AN6" s="1"/>
      <c r="AO6" s="1">
        <f>ROUND(G6*Y6,0)</f>
        <v>393</v>
      </c>
      <c r="AP6" s="1">
        <f>ROUND(G6*Z6,0)</f>
        <v>0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42</v>
      </c>
      <c r="B7" s="1" t="s">
        <v>40</v>
      </c>
      <c r="C7" s="1">
        <v>26.23</v>
      </c>
      <c r="D7" s="1">
        <v>414.7</v>
      </c>
      <c r="E7" s="1">
        <v>260.66399999999999</v>
      </c>
      <c r="F7" s="1">
        <v>2.657</v>
      </c>
      <c r="G7" s="8">
        <v>1</v>
      </c>
      <c r="H7" s="1">
        <v>45</v>
      </c>
      <c r="I7" s="1" t="s">
        <v>41</v>
      </c>
      <c r="J7" s="1"/>
      <c r="K7" s="1">
        <v>499.50400000000002</v>
      </c>
      <c r="L7" s="1">
        <f t="shared" si="3"/>
        <v>-238.84000000000003</v>
      </c>
      <c r="M7" s="1">
        <f t="shared" si="4"/>
        <v>186.96199999999999</v>
      </c>
      <c r="N7" s="1">
        <v>73.701999999999998</v>
      </c>
      <c r="O7" s="1"/>
      <c r="P7" s="1">
        <v>98</v>
      </c>
      <c r="Q7" s="1">
        <v>363.50174422000009</v>
      </c>
      <c r="R7" s="1">
        <v>37.009355779999836</v>
      </c>
      <c r="S7" s="1"/>
      <c r="T7" s="1">
        <f t="shared" si="5"/>
        <v>37.392399999999995</v>
      </c>
      <c r="U7" s="5">
        <f t="shared" ref="U7:U8" si="7">11*T7-S7-R7-Q7-O7-F7</f>
        <v>8.1482999999999883</v>
      </c>
      <c r="V7" s="5">
        <f t="shared" ref="V7:V70" si="8">U7</f>
        <v>8.1482999999999883</v>
      </c>
      <c r="W7" s="5"/>
      <c r="X7" s="5">
        <f t="shared" ref="X7:X70" si="9">W7+V7</f>
        <v>8.1482999999999883</v>
      </c>
      <c r="Y7" s="5">
        <f t="shared" ref="Y7:Y70" si="10">X7-Z7</f>
        <v>8.1482999999999883</v>
      </c>
      <c r="Z7" s="5"/>
      <c r="AA7" s="5"/>
      <c r="AB7" s="1"/>
      <c r="AC7" s="1"/>
      <c r="AD7" s="1">
        <f t="shared" ref="AD7:AD70" si="11">(F7+O7+Q7+R7+S7+X7)/T7</f>
        <v>11</v>
      </c>
      <c r="AE7" s="1">
        <f t="shared" si="6"/>
        <v>10.782086734202672</v>
      </c>
      <c r="AF7" s="1">
        <v>48.169800000000002</v>
      </c>
      <c r="AG7" s="1">
        <v>63.855200000000004</v>
      </c>
      <c r="AH7" s="1">
        <v>33.899500000000003</v>
      </c>
      <c r="AI7" s="1">
        <v>41.783499999999997</v>
      </c>
      <c r="AJ7" s="1">
        <v>45.427399999999992</v>
      </c>
      <c r="AK7" s="1">
        <v>32.1462</v>
      </c>
      <c r="AL7" s="1">
        <v>34.432600000000001</v>
      </c>
      <c r="AM7" s="1">
        <v>36.957800000000013</v>
      </c>
      <c r="AN7" s="1"/>
      <c r="AO7" s="1">
        <f t="shared" ref="AO7:AO70" si="12">ROUND(G7*Y7,0)</f>
        <v>8</v>
      </c>
      <c r="AP7" s="1">
        <f t="shared" ref="AP7:AP70" si="13">ROUND(G7*Z7,0)</f>
        <v>0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43</v>
      </c>
      <c r="B8" s="1" t="s">
        <v>40</v>
      </c>
      <c r="C8" s="1">
        <v>165.768</v>
      </c>
      <c r="D8" s="1">
        <v>1439.0060000000001</v>
      </c>
      <c r="E8" s="1">
        <v>925.06500000000005</v>
      </c>
      <c r="F8" s="1">
        <v>112.223</v>
      </c>
      <c r="G8" s="8">
        <v>1</v>
      </c>
      <c r="H8" s="1">
        <v>45</v>
      </c>
      <c r="I8" s="1" t="s">
        <v>41</v>
      </c>
      <c r="J8" s="1"/>
      <c r="K8" s="1">
        <v>1569.336</v>
      </c>
      <c r="L8" s="1">
        <f t="shared" si="3"/>
        <v>-644.27099999999996</v>
      </c>
      <c r="M8" s="1">
        <f t="shared" si="4"/>
        <v>524.72300000000007</v>
      </c>
      <c r="N8" s="1">
        <v>400.34199999999998</v>
      </c>
      <c r="O8" s="1"/>
      <c r="P8" s="1">
        <v>101</v>
      </c>
      <c r="Q8" s="1">
        <v>492.60317292500042</v>
      </c>
      <c r="R8" s="1">
        <v>241.670960408333</v>
      </c>
      <c r="S8" s="1">
        <v>300</v>
      </c>
      <c r="T8" s="1">
        <f t="shared" si="5"/>
        <v>104.94460000000001</v>
      </c>
      <c r="U8" s="5">
        <f t="shared" si="7"/>
        <v>7.8934666666667255</v>
      </c>
      <c r="V8" s="5">
        <f t="shared" si="8"/>
        <v>7.8934666666667255</v>
      </c>
      <c r="W8" s="5"/>
      <c r="X8" s="5">
        <f t="shared" si="9"/>
        <v>7.8934666666667255</v>
      </c>
      <c r="Y8" s="5">
        <f t="shared" si="10"/>
        <v>7.8934666666667255</v>
      </c>
      <c r="Z8" s="5"/>
      <c r="AA8" s="5"/>
      <c r="AB8" s="1"/>
      <c r="AC8" s="1"/>
      <c r="AD8" s="1">
        <f t="shared" si="11"/>
        <v>10.999999999999998</v>
      </c>
      <c r="AE8" s="1">
        <f t="shared" si="6"/>
        <v>10.924784441822954</v>
      </c>
      <c r="AF8" s="1">
        <v>137.81540000000001</v>
      </c>
      <c r="AG8" s="1">
        <v>122.11499999999999</v>
      </c>
      <c r="AH8" s="1">
        <v>109.2651666666667</v>
      </c>
      <c r="AI8" s="1">
        <v>126.5826666666667</v>
      </c>
      <c r="AJ8" s="1">
        <v>105.9686</v>
      </c>
      <c r="AK8" s="1">
        <v>133.38380000000001</v>
      </c>
      <c r="AL8" s="1">
        <v>84.897999999999996</v>
      </c>
      <c r="AM8" s="1">
        <v>144.35059999999999</v>
      </c>
      <c r="AN8" s="1"/>
      <c r="AO8" s="1">
        <f t="shared" si="12"/>
        <v>8</v>
      </c>
      <c r="AP8" s="1">
        <f t="shared" si="13"/>
        <v>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2" t="s">
        <v>44</v>
      </c>
      <c r="B9" s="12" t="s">
        <v>45</v>
      </c>
      <c r="C9" s="12">
        <v>1</v>
      </c>
      <c r="D9" s="12"/>
      <c r="E9" s="12">
        <v>1</v>
      </c>
      <c r="F9" s="12"/>
      <c r="G9" s="13">
        <v>0</v>
      </c>
      <c r="H9" s="12" t="e">
        <v>#N/A</v>
      </c>
      <c r="I9" s="12" t="s">
        <v>46</v>
      </c>
      <c r="J9" s="12"/>
      <c r="K9" s="12">
        <v>3</v>
      </c>
      <c r="L9" s="12">
        <f t="shared" si="3"/>
        <v>-2</v>
      </c>
      <c r="M9" s="12">
        <f t="shared" si="4"/>
        <v>1</v>
      </c>
      <c r="N9" s="12"/>
      <c r="O9" s="12"/>
      <c r="P9" s="12">
        <v>0</v>
      </c>
      <c r="Q9" s="12">
        <v>0</v>
      </c>
      <c r="R9" s="12">
        <v>0</v>
      </c>
      <c r="S9" s="12"/>
      <c r="T9" s="12">
        <f t="shared" si="5"/>
        <v>0.2</v>
      </c>
      <c r="U9" s="14"/>
      <c r="V9" s="5">
        <f t="shared" si="8"/>
        <v>0</v>
      </c>
      <c r="W9" s="14"/>
      <c r="X9" s="5">
        <f t="shared" si="9"/>
        <v>0</v>
      </c>
      <c r="Y9" s="5">
        <f t="shared" si="10"/>
        <v>0</v>
      </c>
      <c r="Z9" s="5"/>
      <c r="AA9" s="14"/>
      <c r="AB9" s="12"/>
      <c r="AC9" s="12"/>
      <c r="AD9" s="1">
        <f t="shared" si="11"/>
        <v>0</v>
      </c>
      <c r="AE9" s="12">
        <f t="shared" si="6"/>
        <v>0</v>
      </c>
      <c r="AF9" s="12">
        <v>0</v>
      </c>
      <c r="AG9" s="12">
        <v>1.8</v>
      </c>
      <c r="AH9" s="12">
        <v>6.333333333333333</v>
      </c>
      <c r="AI9" s="12">
        <v>6.333333333333333</v>
      </c>
      <c r="AJ9" s="12">
        <v>0</v>
      </c>
      <c r="AK9" s="12">
        <v>0</v>
      </c>
      <c r="AL9" s="12">
        <v>0</v>
      </c>
      <c r="AM9" s="12">
        <v>0</v>
      </c>
      <c r="AN9" s="12" t="s">
        <v>47</v>
      </c>
      <c r="AO9" s="1">
        <f t="shared" si="12"/>
        <v>0</v>
      </c>
      <c r="AP9" s="1">
        <f t="shared" si="13"/>
        <v>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48</v>
      </c>
      <c r="B10" s="1" t="s">
        <v>45</v>
      </c>
      <c r="C10" s="1">
        <v>791.91</v>
      </c>
      <c r="D10" s="1">
        <v>1549</v>
      </c>
      <c r="E10" s="1">
        <v>1316</v>
      </c>
      <c r="F10" s="1">
        <v>811.91</v>
      </c>
      <c r="G10" s="8">
        <v>0.45</v>
      </c>
      <c r="H10" s="1">
        <v>45</v>
      </c>
      <c r="I10" s="1" t="s">
        <v>41</v>
      </c>
      <c r="J10" s="1"/>
      <c r="K10" s="1">
        <v>1454</v>
      </c>
      <c r="L10" s="1">
        <f t="shared" si="3"/>
        <v>-138</v>
      </c>
      <c r="M10" s="1">
        <f t="shared" si="4"/>
        <v>1184</v>
      </c>
      <c r="N10" s="1">
        <v>132</v>
      </c>
      <c r="O10" s="1"/>
      <c r="P10" s="1">
        <v>0</v>
      </c>
      <c r="Q10" s="1">
        <v>340.39431999999988</v>
      </c>
      <c r="R10" s="1">
        <v>663.19234666666739</v>
      </c>
      <c r="S10" s="1">
        <v>500</v>
      </c>
      <c r="T10" s="1">
        <f t="shared" si="5"/>
        <v>236.8</v>
      </c>
      <c r="U10" s="5">
        <f t="shared" ref="U10:U18" si="14">11*T10-S10-R10-Q10-O10-F10</f>
        <v>289.30333333333294</v>
      </c>
      <c r="V10" s="5">
        <f t="shared" si="8"/>
        <v>289.30333333333294</v>
      </c>
      <c r="W10" s="5"/>
      <c r="X10" s="5">
        <f t="shared" si="9"/>
        <v>289.30333333333294</v>
      </c>
      <c r="Y10" s="5">
        <f t="shared" si="10"/>
        <v>289.30333333333294</v>
      </c>
      <c r="Z10" s="5"/>
      <c r="AA10" s="5"/>
      <c r="AB10" s="1"/>
      <c r="AC10" s="1"/>
      <c r="AD10" s="1">
        <f t="shared" si="11"/>
        <v>10.999999999999998</v>
      </c>
      <c r="AE10" s="1">
        <f t="shared" si="6"/>
        <v>9.7782798423423429</v>
      </c>
      <c r="AF10" s="1">
        <v>237.8</v>
      </c>
      <c r="AG10" s="1">
        <v>223.61799999999999</v>
      </c>
      <c r="AH10" s="1">
        <v>216.68166666666659</v>
      </c>
      <c r="AI10" s="1">
        <v>217.83333333333329</v>
      </c>
      <c r="AJ10" s="1">
        <v>173.8</v>
      </c>
      <c r="AK10" s="1">
        <v>199.2</v>
      </c>
      <c r="AL10" s="1">
        <v>203.2</v>
      </c>
      <c r="AM10" s="1">
        <v>188.4</v>
      </c>
      <c r="AN10" s="1" t="s">
        <v>49</v>
      </c>
      <c r="AO10" s="1">
        <f t="shared" si="12"/>
        <v>130</v>
      </c>
      <c r="AP10" s="1">
        <f t="shared" si="13"/>
        <v>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50</v>
      </c>
      <c r="B11" s="1" t="s">
        <v>45</v>
      </c>
      <c r="C11" s="1">
        <v>908</v>
      </c>
      <c r="D11" s="1">
        <v>2286</v>
      </c>
      <c r="E11" s="1">
        <v>1855.7</v>
      </c>
      <c r="F11" s="1">
        <v>784.3</v>
      </c>
      <c r="G11" s="8">
        <v>0.45</v>
      </c>
      <c r="H11" s="1">
        <v>45</v>
      </c>
      <c r="I11" s="1" t="s">
        <v>41</v>
      </c>
      <c r="J11" s="1"/>
      <c r="K11" s="1">
        <v>2226.6999999999998</v>
      </c>
      <c r="L11" s="1">
        <f t="shared" si="3"/>
        <v>-370.99999999999977</v>
      </c>
      <c r="M11" s="1">
        <f t="shared" si="4"/>
        <v>1616</v>
      </c>
      <c r="N11" s="1">
        <v>239.7</v>
      </c>
      <c r="O11" s="1"/>
      <c r="P11" s="1">
        <v>0</v>
      </c>
      <c r="Q11" s="1">
        <v>644.15682000000038</v>
      </c>
      <c r="R11" s="1">
        <v>731.87651333333315</v>
      </c>
      <c r="S11" s="1">
        <v>500</v>
      </c>
      <c r="T11" s="1">
        <f t="shared" si="5"/>
        <v>323.2</v>
      </c>
      <c r="U11" s="5">
        <f t="shared" si="14"/>
        <v>894.86666666666633</v>
      </c>
      <c r="V11" s="5">
        <f t="shared" si="8"/>
        <v>894.86666666666633</v>
      </c>
      <c r="W11" s="5"/>
      <c r="X11" s="5">
        <f t="shared" si="9"/>
        <v>894.86666666666633</v>
      </c>
      <c r="Y11" s="5">
        <f t="shared" si="10"/>
        <v>894.86666666666633</v>
      </c>
      <c r="Z11" s="5"/>
      <c r="AA11" s="5"/>
      <c r="AB11" s="1"/>
      <c r="AC11" s="1"/>
      <c r="AD11" s="1">
        <f t="shared" si="11"/>
        <v>11</v>
      </c>
      <c r="AE11" s="1">
        <f t="shared" si="6"/>
        <v>8.2312293729372943</v>
      </c>
      <c r="AF11" s="1">
        <v>294.8</v>
      </c>
      <c r="AG11" s="1">
        <v>291.60000000000002</v>
      </c>
      <c r="AH11" s="1">
        <v>281.5</v>
      </c>
      <c r="AI11" s="1">
        <v>266.16666666666669</v>
      </c>
      <c r="AJ11" s="1">
        <v>233.2</v>
      </c>
      <c r="AK11" s="1">
        <v>300</v>
      </c>
      <c r="AL11" s="1">
        <v>260.60000000000002</v>
      </c>
      <c r="AM11" s="1">
        <v>270.2</v>
      </c>
      <c r="AN11" s="1" t="s">
        <v>49</v>
      </c>
      <c r="AO11" s="1">
        <f t="shared" si="12"/>
        <v>403</v>
      </c>
      <c r="AP11" s="1">
        <f t="shared" si="13"/>
        <v>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51</v>
      </c>
      <c r="B12" s="1" t="s">
        <v>45</v>
      </c>
      <c r="C12" s="1">
        <v>38</v>
      </c>
      <c r="D12" s="1">
        <v>20</v>
      </c>
      <c r="E12" s="1">
        <v>59</v>
      </c>
      <c r="F12" s="1">
        <v>-5</v>
      </c>
      <c r="G12" s="8">
        <v>0.17</v>
      </c>
      <c r="H12" s="1">
        <v>180</v>
      </c>
      <c r="I12" s="1" t="s">
        <v>41</v>
      </c>
      <c r="J12" s="1"/>
      <c r="K12" s="1">
        <v>64</v>
      </c>
      <c r="L12" s="1">
        <f t="shared" si="3"/>
        <v>-5</v>
      </c>
      <c r="M12" s="1">
        <f t="shared" si="4"/>
        <v>59</v>
      </c>
      <c r="N12" s="1"/>
      <c r="O12" s="1"/>
      <c r="P12" s="1">
        <v>0</v>
      </c>
      <c r="Q12" s="1">
        <v>0</v>
      </c>
      <c r="R12" s="1">
        <v>130.06666666666669</v>
      </c>
      <c r="S12" s="1"/>
      <c r="T12" s="1">
        <f t="shared" si="5"/>
        <v>11.8</v>
      </c>
      <c r="U12" s="5">
        <f t="shared" si="14"/>
        <v>4.7333333333333201</v>
      </c>
      <c r="V12" s="5">
        <f t="shared" si="8"/>
        <v>4.7333333333333201</v>
      </c>
      <c r="W12" s="5"/>
      <c r="X12" s="5">
        <f t="shared" si="9"/>
        <v>4.7333333333333201</v>
      </c>
      <c r="Y12" s="5">
        <f t="shared" si="10"/>
        <v>4.7333333333333201</v>
      </c>
      <c r="Z12" s="5"/>
      <c r="AA12" s="5"/>
      <c r="AB12" s="1"/>
      <c r="AC12" s="1"/>
      <c r="AD12" s="1">
        <f t="shared" si="11"/>
        <v>11</v>
      </c>
      <c r="AE12" s="1">
        <f t="shared" si="6"/>
        <v>10.598870056497177</v>
      </c>
      <c r="AF12" s="1">
        <v>12.4</v>
      </c>
      <c r="AG12" s="1">
        <v>10.6</v>
      </c>
      <c r="AH12" s="1">
        <v>17.833333333333329</v>
      </c>
      <c r="AI12" s="1">
        <v>22.166666666666671</v>
      </c>
      <c r="AJ12" s="1">
        <v>12.6</v>
      </c>
      <c r="AK12" s="1">
        <v>15.8</v>
      </c>
      <c r="AL12" s="1">
        <v>14.6</v>
      </c>
      <c r="AM12" s="1">
        <v>8.4</v>
      </c>
      <c r="AN12" s="1" t="s">
        <v>49</v>
      </c>
      <c r="AO12" s="1">
        <f t="shared" si="12"/>
        <v>1</v>
      </c>
      <c r="AP12" s="1">
        <f t="shared" si="13"/>
        <v>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52</v>
      </c>
      <c r="B13" s="1" t="s">
        <v>45</v>
      </c>
      <c r="C13" s="1">
        <v>31</v>
      </c>
      <c r="D13" s="1">
        <v>12</v>
      </c>
      <c r="E13" s="1">
        <v>13</v>
      </c>
      <c r="F13" s="1">
        <v>23</v>
      </c>
      <c r="G13" s="8">
        <v>0.3</v>
      </c>
      <c r="H13" s="1">
        <v>40</v>
      </c>
      <c r="I13" s="1" t="s">
        <v>41</v>
      </c>
      <c r="J13" s="1"/>
      <c r="K13" s="1">
        <v>20</v>
      </c>
      <c r="L13" s="1">
        <f t="shared" si="3"/>
        <v>-7</v>
      </c>
      <c r="M13" s="1">
        <f t="shared" si="4"/>
        <v>13</v>
      </c>
      <c r="N13" s="1"/>
      <c r="O13" s="1"/>
      <c r="P13" s="1">
        <v>0</v>
      </c>
      <c r="Q13" s="1">
        <v>0</v>
      </c>
      <c r="R13" s="1">
        <v>8.4000000000000057</v>
      </c>
      <c r="S13" s="1"/>
      <c r="T13" s="1">
        <f t="shared" si="5"/>
        <v>2.6</v>
      </c>
      <c r="U13" s="5"/>
      <c r="V13" s="5">
        <f t="shared" si="8"/>
        <v>0</v>
      </c>
      <c r="W13" s="5"/>
      <c r="X13" s="5">
        <f t="shared" si="9"/>
        <v>0</v>
      </c>
      <c r="Y13" s="5">
        <f t="shared" si="10"/>
        <v>0</v>
      </c>
      <c r="Z13" s="5"/>
      <c r="AA13" s="5"/>
      <c r="AB13" s="1"/>
      <c r="AC13" s="1"/>
      <c r="AD13" s="1">
        <f t="shared" si="11"/>
        <v>12.076923076923078</v>
      </c>
      <c r="AE13" s="1">
        <f t="shared" si="6"/>
        <v>12.076923076923078</v>
      </c>
      <c r="AF13" s="1">
        <v>3.2</v>
      </c>
      <c r="AG13" s="1">
        <v>1.8</v>
      </c>
      <c r="AH13" s="1">
        <v>3.833333333333333</v>
      </c>
      <c r="AI13" s="1">
        <v>4.666666666666667</v>
      </c>
      <c r="AJ13" s="1">
        <v>3.8</v>
      </c>
      <c r="AK13" s="1">
        <v>4.4000000000000004</v>
      </c>
      <c r="AL13" s="1">
        <v>4</v>
      </c>
      <c r="AM13" s="1">
        <v>3</v>
      </c>
      <c r="AN13" s="1"/>
      <c r="AO13" s="1">
        <f t="shared" si="12"/>
        <v>0</v>
      </c>
      <c r="AP13" s="1">
        <f t="shared" si="13"/>
        <v>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53</v>
      </c>
      <c r="B14" s="1" t="s">
        <v>45</v>
      </c>
      <c r="C14" s="1">
        <v>234</v>
      </c>
      <c r="D14" s="1">
        <v>86</v>
      </c>
      <c r="E14" s="1">
        <v>137</v>
      </c>
      <c r="F14" s="1">
        <v>97</v>
      </c>
      <c r="G14" s="8">
        <v>0.17</v>
      </c>
      <c r="H14" s="1">
        <v>180</v>
      </c>
      <c r="I14" s="1" t="s">
        <v>41</v>
      </c>
      <c r="J14" s="1"/>
      <c r="K14" s="1">
        <v>295</v>
      </c>
      <c r="L14" s="1">
        <f t="shared" si="3"/>
        <v>-158</v>
      </c>
      <c r="M14" s="1">
        <f t="shared" si="4"/>
        <v>92</v>
      </c>
      <c r="N14" s="1">
        <v>45</v>
      </c>
      <c r="O14" s="1"/>
      <c r="P14" s="1">
        <v>0</v>
      </c>
      <c r="Q14" s="1">
        <v>81.64800000000001</v>
      </c>
      <c r="R14" s="1">
        <v>24.351999999999979</v>
      </c>
      <c r="S14" s="1"/>
      <c r="T14" s="1">
        <f t="shared" si="5"/>
        <v>18.399999999999999</v>
      </c>
      <c r="U14" s="5"/>
      <c r="V14" s="5">
        <f t="shared" si="8"/>
        <v>0</v>
      </c>
      <c r="W14" s="5"/>
      <c r="X14" s="5">
        <f t="shared" si="9"/>
        <v>0</v>
      </c>
      <c r="Y14" s="5">
        <f t="shared" si="10"/>
        <v>0</v>
      </c>
      <c r="Z14" s="5"/>
      <c r="AA14" s="5"/>
      <c r="AB14" s="1"/>
      <c r="AC14" s="1"/>
      <c r="AD14" s="1">
        <f t="shared" si="11"/>
        <v>11.032608695652176</v>
      </c>
      <c r="AE14" s="1">
        <f t="shared" si="6"/>
        <v>11.032608695652176</v>
      </c>
      <c r="AF14" s="1">
        <v>22</v>
      </c>
      <c r="AG14" s="1">
        <v>28.8</v>
      </c>
      <c r="AH14" s="1">
        <v>27.166666666666671</v>
      </c>
      <c r="AI14" s="1">
        <v>38.5</v>
      </c>
      <c r="AJ14" s="1">
        <v>46.4</v>
      </c>
      <c r="AK14" s="1">
        <v>29.2</v>
      </c>
      <c r="AL14" s="1">
        <v>41.4</v>
      </c>
      <c r="AM14" s="1">
        <v>37</v>
      </c>
      <c r="AN14" s="1"/>
      <c r="AO14" s="1">
        <f t="shared" si="12"/>
        <v>0</v>
      </c>
      <c r="AP14" s="1">
        <f t="shared" si="13"/>
        <v>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54</v>
      </c>
      <c r="B15" s="1" t="s">
        <v>40</v>
      </c>
      <c r="C15" s="1">
        <v>2776.491</v>
      </c>
      <c r="D15" s="1">
        <v>1843.8230000000001</v>
      </c>
      <c r="E15" s="1">
        <v>1676.0160000000001</v>
      </c>
      <c r="F15" s="1">
        <v>2741.498</v>
      </c>
      <c r="G15" s="8">
        <v>1</v>
      </c>
      <c r="H15" s="1">
        <v>55</v>
      </c>
      <c r="I15" s="1" t="s">
        <v>41</v>
      </c>
      <c r="J15" s="1"/>
      <c r="K15" s="1">
        <v>1692.8820000000001</v>
      </c>
      <c r="L15" s="1">
        <f t="shared" si="3"/>
        <v>-16.865999999999985</v>
      </c>
      <c r="M15" s="1">
        <f t="shared" si="4"/>
        <v>1557.7910000000002</v>
      </c>
      <c r="N15" s="1">
        <v>118.22499999999999</v>
      </c>
      <c r="O15" s="1">
        <v>635.93019000000004</v>
      </c>
      <c r="P15" s="1">
        <v>134</v>
      </c>
      <c r="Q15" s="1">
        <v>0</v>
      </c>
      <c r="R15" s="1">
        <v>0</v>
      </c>
      <c r="S15" s="1"/>
      <c r="T15" s="1">
        <f t="shared" si="5"/>
        <v>311.55820000000006</v>
      </c>
      <c r="U15" s="5">
        <f t="shared" si="14"/>
        <v>49.712010000000646</v>
      </c>
      <c r="V15" s="5">
        <f t="shared" si="8"/>
        <v>49.712010000000646</v>
      </c>
      <c r="W15" s="5">
        <f t="shared" ref="W15:W16" si="15">$W$1*T15</f>
        <v>701.0059500000001</v>
      </c>
      <c r="X15" s="5">
        <f t="shared" si="9"/>
        <v>750.71796000000074</v>
      </c>
      <c r="Y15" s="5">
        <f t="shared" si="10"/>
        <v>250.71796000000074</v>
      </c>
      <c r="Z15" s="5">
        <v>500</v>
      </c>
      <c r="AA15" s="5"/>
      <c r="AB15" s="1"/>
      <c r="AC15" s="1"/>
      <c r="AD15" s="1">
        <f t="shared" si="11"/>
        <v>13.25</v>
      </c>
      <c r="AE15" s="1">
        <f t="shared" si="6"/>
        <v>10.840440694547597</v>
      </c>
      <c r="AF15" s="1">
        <v>276.5412</v>
      </c>
      <c r="AG15" s="1">
        <v>287.16539999999998</v>
      </c>
      <c r="AH15" s="1">
        <v>392.54950000000002</v>
      </c>
      <c r="AI15" s="1">
        <v>441.82666666666671</v>
      </c>
      <c r="AJ15" s="1">
        <v>402.2398</v>
      </c>
      <c r="AK15" s="1">
        <v>358.09359999999998</v>
      </c>
      <c r="AL15" s="1">
        <v>345.32100000000003</v>
      </c>
      <c r="AM15" s="1">
        <v>333.00639999999999</v>
      </c>
      <c r="AN15" s="1" t="s">
        <v>55</v>
      </c>
      <c r="AO15" s="1">
        <f t="shared" si="12"/>
        <v>251</v>
      </c>
      <c r="AP15" s="1">
        <f t="shared" si="13"/>
        <v>500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56</v>
      </c>
      <c r="B16" s="1" t="s">
        <v>40</v>
      </c>
      <c r="C16" s="1">
        <v>2109.279</v>
      </c>
      <c r="D16" s="1">
        <v>3009.3519999999999</v>
      </c>
      <c r="E16" s="1">
        <v>1824.155</v>
      </c>
      <c r="F16" s="1">
        <v>2551.2069999999999</v>
      </c>
      <c r="G16" s="8">
        <v>1</v>
      </c>
      <c r="H16" s="1">
        <v>50</v>
      </c>
      <c r="I16" s="1" t="s">
        <v>41</v>
      </c>
      <c r="J16" s="1"/>
      <c r="K16" s="1">
        <v>2103.232</v>
      </c>
      <c r="L16" s="1">
        <f t="shared" si="3"/>
        <v>-279.077</v>
      </c>
      <c r="M16" s="1">
        <f t="shared" si="4"/>
        <v>1525.0729999999999</v>
      </c>
      <c r="N16" s="1">
        <v>299.08199999999999</v>
      </c>
      <c r="O16" s="1">
        <v>688.04073000000005</v>
      </c>
      <c r="P16" s="1">
        <v>131</v>
      </c>
      <c r="Q16" s="1">
        <v>0</v>
      </c>
      <c r="R16" s="1">
        <v>0</v>
      </c>
      <c r="S16" s="1"/>
      <c r="T16" s="1">
        <f t="shared" si="5"/>
        <v>305.01459999999997</v>
      </c>
      <c r="U16" s="5">
        <f t="shared" si="14"/>
        <v>115.91286999999966</v>
      </c>
      <c r="V16" s="5">
        <f t="shared" si="8"/>
        <v>115.91286999999966</v>
      </c>
      <c r="W16" s="5">
        <f t="shared" si="15"/>
        <v>686.28284999999994</v>
      </c>
      <c r="X16" s="5">
        <f t="shared" si="9"/>
        <v>802.1957199999996</v>
      </c>
      <c r="Y16" s="5">
        <f t="shared" si="10"/>
        <v>302.1957199999996</v>
      </c>
      <c r="Z16" s="5">
        <v>500</v>
      </c>
      <c r="AA16" s="5"/>
      <c r="AB16" s="1"/>
      <c r="AC16" s="1"/>
      <c r="AD16" s="1">
        <f t="shared" si="11"/>
        <v>13.25</v>
      </c>
      <c r="AE16" s="1">
        <f t="shared" si="6"/>
        <v>10.619975994591735</v>
      </c>
      <c r="AF16" s="1">
        <v>282.12360000000001</v>
      </c>
      <c r="AG16" s="1">
        <v>302.11219999999997</v>
      </c>
      <c r="AH16" s="1">
        <v>424.7165</v>
      </c>
      <c r="AI16" s="1">
        <v>496.30500000000001</v>
      </c>
      <c r="AJ16" s="1">
        <v>453.74119999999999</v>
      </c>
      <c r="AK16" s="1">
        <v>386.56920000000002</v>
      </c>
      <c r="AL16" s="1">
        <v>388.9726</v>
      </c>
      <c r="AM16" s="1">
        <v>395.18700000000001</v>
      </c>
      <c r="AN16" s="1" t="s">
        <v>55</v>
      </c>
      <c r="AO16" s="1">
        <f t="shared" si="12"/>
        <v>302</v>
      </c>
      <c r="AP16" s="1">
        <f t="shared" si="13"/>
        <v>500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57</v>
      </c>
      <c r="B17" s="1" t="s">
        <v>40</v>
      </c>
      <c r="C17" s="1">
        <v>378.79300000000001</v>
      </c>
      <c r="D17" s="1">
        <v>71.037999999999997</v>
      </c>
      <c r="E17" s="1">
        <v>273.47399999999999</v>
      </c>
      <c r="F17" s="1">
        <v>134.947</v>
      </c>
      <c r="G17" s="8">
        <v>1</v>
      </c>
      <c r="H17" s="1">
        <v>60</v>
      </c>
      <c r="I17" s="1" t="s">
        <v>41</v>
      </c>
      <c r="J17" s="1"/>
      <c r="K17" s="1">
        <v>294.47899999999998</v>
      </c>
      <c r="L17" s="1">
        <f t="shared" si="3"/>
        <v>-21.004999999999995</v>
      </c>
      <c r="M17" s="1">
        <f t="shared" si="4"/>
        <v>236.69499999999999</v>
      </c>
      <c r="N17" s="1">
        <v>36.779000000000003</v>
      </c>
      <c r="O17" s="1"/>
      <c r="P17" s="1">
        <v>0</v>
      </c>
      <c r="Q17" s="1">
        <v>7.270433333333358</v>
      </c>
      <c r="R17" s="1">
        <v>216.26716666666661</v>
      </c>
      <c r="S17" s="1">
        <v>30</v>
      </c>
      <c r="T17" s="1">
        <f t="shared" si="5"/>
        <v>47.338999999999999</v>
      </c>
      <c r="U17" s="5">
        <f t="shared" si="14"/>
        <v>132.24440000000004</v>
      </c>
      <c r="V17" s="5">
        <f t="shared" si="8"/>
        <v>132.24440000000004</v>
      </c>
      <c r="W17" s="5"/>
      <c r="X17" s="5">
        <f t="shared" si="9"/>
        <v>132.24440000000004</v>
      </c>
      <c r="Y17" s="5">
        <f t="shared" si="10"/>
        <v>132.24440000000004</v>
      </c>
      <c r="Z17" s="5"/>
      <c r="AA17" s="5"/>
      <c r="AB17" s="1"/>
      <c r="AC17" s="1"/>
      <c r="AD17" s="1">
        <f t="shared" si="11"/>
        <v>11.000000000000002</v>
      </c>
      <c r="AE17" s="1">
        <f t="shared" si="6"/>
        <v>8.2064386657935326</v>
      </c>
      <c r="AF17" s="1">
        <v>43.282800000000002</v>
      </c>
      <c r="AG17" s="1">
        <v>36.054200000000002</v>
      </c>
      <c r="AH17" s="1">
        <v>36.965166666666661</v>
      </c>
      <c r="AI17" s="1">
        <v>52.663833333333322</v>
      </c>
      <c r="AJ17" s="1">
        <v>48.583599999999997</v>
      </c>
      <c r="AK17" s="1">
        <v>39.573</v>
      </c>
      <c r="AL17" s="1">
        <v>39.678199999999997</v>
      </c>
      <c r="AM17" s="1">
        <v>30.9574</v>
      </c>
      <c r="AN17" s="1"/>
      <c r="AO17" s="1">
        <f t="shared" si="12"/>
        <v>132</v>
      </c>
      <c r="AP17" s="1">
        <f t="shared" si="13"/>
        <v>0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58</v>
      </c>
      <c r="B18" s="1" t="s">
        <v>40</v>
      </c>
      <c r="C18" s="1">
        <v>1300.72</v>
      </c>
      <c r="D18" s="1">
        <v>1322.6</v>
      </c>
      <c r="E18" s="1">
        <v>925.447</v>
      </c>
      <c r="F18" s="1">
        <v>1214.8979999999999</v>
      </c>
      <c r="G18" s="8">
        <v>1</v>
      </c>
      <c r="H18" s="1">
        <v>60</v>
      </c>
      <c r="I18" s="1" t="s">
        <v>41</v>
      </c>
      <c r="J18" s="1"/>
      <c r="K18" s="1">
        <v>1270.1790000000001</v>
      </c>
      <c r="L18" s="1">
        <f t="shared" si="3"/>
        <v>-344.73200000000008</v>
      </c>
      <c r="M18" s="1">
        <f t="shared" si="4"/>
        <v>608.37300000000005</v>
      </c>
      <c r="N18" s="1">
        <v>317.07400000000001</v>
      </c>
      <c r="O18" s="1"/>
      <c r="P18" s="1">
        <v>133</v>
      </c>
      <c r="Q18" s="1">
        <v>0</v>
      </c>
      <c r="R18" s="1">
        <v>0</v>
      </c>
      <c r="S18" s="1"/>
      <c r="T18" s="1">
        <f t="shared" si="5"/>
        <v>121.67460000000001</v>
      </c>
      <c r="U18" s="24">
        <f t="shared" si="14"/>
        <v>123.52260000000024</v>
      </c>
      <c r="V18" s="5">
        <v>0</v>
      </c>
      <c r="W18" s="24"/>
      <c r="X18" s="5">
        <f t="shared" si="9"/>
        <v>0</v>
      </c>
      <c r="Y18" s="5">
        <f t="shared" si="10"/>
        <v>0</v>
      </c>
      <c r="Z18" s="5"/>
      <c r="AA18" s="5"/>
      <c r="AB18" s="1"/>
      <c r="AC18" s="1"/>
      <c r="AD18" s="1">
        <f t="shared" si="11"/>
        <v>9.9848119492482397</v>
      </c>
      <c r="AE18" s="1">
        <f t="shared" si="6"/>
        <v>9.9848119492482397</v>
      </c>
      <c r="AF18" s="1">
        <v>88.111599999999996</v>
      </c>
      <c r="AG18" s="1">
        <v>81.115399999999994</v>
      </c>
      <c r="AH18" s="1">
        <v>208.27016666666671</v>
      </c>
      <c r="AI18" s="1">
        <v>281.90366666666671</v>
      </c>
      <c r="AJ18" s="1">
        <v>221.13499999999999</v>
      </c>
      <c r="AK18" s="1">
        <v>136.88759999999999</v>
      </c>
      <c r="AL18" s="1">
        <v>149.70660000000001</v>
      </c>
      <c r="AM18" s="1">
        <v>254.6002</v>
      </c>
      <c r="AN18" s="25" t="s">
        <v>154</v>
      </c>
      <c r="AO18" s="1">
        <f t="shared" si="12"/>
        <v>0</v>
      </c>
      <c r="AP18" s="1">
        <f t="shared" si="13"/>
        <v>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5" t="s">
        <v>59</v>
      </c>
      <c r="B19" s="15" t="s">
        <v>40</v>
      </c>
      <c r="C19" s="15"/>
      <c r="D19" s="15"/>
      <c r="E19" s="15"/>
      <c r="F19" s="15"/>
      <c r="G19" s="16">
        <v>0</v>
      </c>
      <c r="H19" s="15">
        <v>60</v>
      </c>
      <c r="I19" s="15" t="s">
        <v>41</v>
      </c>
      <c r="J19" s="15"/>
      <c r="K19" s="15"/>
      <c r="L19" s="15">
        <f t="shared" si="3"/>
        <v>0</v>
      </c>
      <c r="M19" s="15">
        <f t="shared" si="4"/>
        <v>0</v>
      </c>
      <c r="N19" s="15"/>
      <c r="O19" s="15"/>
      <c r="P19" s="15">
        <v>0</v>
      </c>
      <c r="Q19" s="15">
        <v>0</v>
      </c>
      <c r="R19" s="15">
        <v>0</v>
      </c>
      <c r="S19" s="15"/>
      <c r="T19" s="15">
        <f t="shared" si="5"/>
        <v>0</v>
      </c>
      <c r="U19" s="17"/>
      <c r="V19" s="5">
        <f t="shared" si="8"/>
        <v>0</v>
      </c>
      <c r="W19" s="17"/>
      <c r="X19" s="5">
        <f t="shared" si="9"/>
        <v>0</v>
      </c>
      <c r="Y19" s="5">
        <f t="shared" si="10"/>
        <v>0</v>
      </c>
      <c r="Z19" s="5"/>
      <c r="AA19" s="17"/>
      <c r="AB19" s="15"/>
      <c r="AC19" s="15"/>
      <c r="AD19" s="1" t="e">
        <f t="shared" si="11"/>
        <v>#DIV/0!</v>
      </c>
      <c r="AE19" s="15" t="e">
        <f t="shared" si="6"/>
        <v>#DIV/0!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 t="s">
        <v>60</v>
      </c>
      <c r="AO19" s="1">
        <f t="shared" si="12"/>
        <v>0</v>
      </c>
      <c r="AP19" s="1">
        <f t="shared" si="13"/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61</v>
      </c>
      <c r="B20" s="1" t="s">
        <v>40</v>
      </c>
      <c r="C20" s="1"/>
      <c r="D20" s="1">
        <v>14.699</v>
      </c>
      <c r="E20" s="1">
        <v>1.762</v>
      </c>
      <c r="F20" s="1">
        <v>12.936999999999999</v>
      </c>
      <c r="G20" s="8">
        <v>1</v>
      </c>
      <c r="H20" s="1">
        <v>180</v>
      </c>
      <c r="I20" s="1" t="s">
        <v>41</v>
      </c>
      <c r="J20" s="1"/>
      <c r="K20" s="1">
        <v>1.83</v>
      </c>
      <c r="L20" s="1">
        <f t="shared" si="3"/>
        <v>-6.800000000000006E-2</v>
      </c>
      <c r="M20" s="1">
        <f t="shared" si="4"/>
        <v>1.762</v>
      </c>
      <c r="N20" s="1"/>
      <c r="O20" s="1"/>
      <c r="P20" s="1">
        <v>0</v>
      </c>
      <c r="Q20" s="1">
        <v>0</v>
      </c>
      <c r="R20" s="1">
        <v>0</v>
      </c>
      <c r="S20" s="1"/>
      <c r="T20" s="1">
        <f t="shared" si="5"/>
        <v>0.35239999999999999</v>
      </c>
      <c r="U20" s="5"/>
      <c r="V20" s="5">
        <f t="shared" si="8"/>
        <v>0</v>
      </c>
      <c r="W20" s="5"/>
      <c r="X20" s="5">
        <f t="shared" si="9"/>
        <v>0</v>
      </c>
      <c r="Y20" s="5">
        <f t="shared" si="10"/>
        <v>0</v>
      </c>
      <c r="Z20" s="5"/>
      <c r="AA20" s="5"/>
      <c r="AB20" s="1"/>
      <c r="AC20" s="1"/>
      <c r="AD20" s="1">
        <f t="shared" si="11"/>
        <v>36.711123723042</v>
      </c>
      <c r="AE20" s="1">
        <f t="shared" si="6"/>
        <v>36.711123723042</v>
      </c>
      <c r="AF20" s="1">
        <v>0</v>
      </c>
      <c r="AG20" s="1">
        <v>0.15939999999999999</v>
      </c>
      <c r="AH20" s="1">
        <v>0.79133333333333333</v>
      </c>
      <c r="AI20" s="1">
        <v>1.112166666666667</v>
      </c>
      <c r="AJ20" s="1">
        <v>1.2574000000000001</v>
      </c>
      <c r="AK20" s="1">
        <v>0.877</v>
      </c>
      <c r="AL20" s="1">
        <v>0.71840000000000004</v>
      </c>
      <c r="AM20" s="1">
        <v>0.39600000000000002</v>
      </c>
      <c r="AN20" s="1"/>
      <c r="AO20" s="1">
        <f t="shared" si="12"/>
        <v>0</v>
      </c>
      <c r="AP20" s="1">
        <f t="shared" si="13"/>
        <v>0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62</v>
      </c>
      <c r="B21" s="1" t="s">
        <v>40</v>
      </c>
      <c r="C21" s="1">
        <v>3176.7809999999999</v>
      </c>
      <c r="D21" s="1">
        <v>3623.0529999999999</v>
      </c>
      <c r="E21" s="1">
        <v>2682.4009999999998</v>
      </c>
      <c r="F21" s="1">
        <v>3645.855</v>
      </c>
      <c r="G21" s="8">
        <v>1</v>
      </c>
      <c r="H21" s="1">
        <v>60</v>
      </c>
      <c r="I21" s="1" t="s">
        <v>41</v>
      </c>
      <c r="J21" s="1"/>
      <c r="K21" s="1">
        <v>2782.0540000000001</v>
      </c>
      <c r="L21" s="1">
        <f t="shared" si="3"/>
        <v>-99.653000000000247</v>
      </c>
      <c r="M21" s="1">
        <f t="shared" si="4"/>
        <v>2682.4009999999998</v>
      </c>
      <c r="N21" s="1"/>
      <c r="O21" s="1">
        <v>964.66059000000007</v>
      </c>
      <c r="P21" s="1">
        <v>306</v>
      </c>
      <c r="Q21" s="1">
        <v>32.601751589999822</v>
      </c>
      <c r="R21" s="1">
        <v>211.20263341000151</v>
      </c>
      <c r="S21" s="1">
        <v>350</v>
      </c>
      <c r="T21" s="1">
        <f t="shared" si="5"/>
        <v>536.48019999999997</v>
      </c>
      <c r="U21" s="5">
        <f t="shared" ref="U21" si="16">11*T21-S21-R21-Q21-O21-F21</f>
        <v>696.96222499999794</v>
      </c>
      <c r="V21" s="5">
        <f t="shared" si="8"/>
        <v>696.96222499999794</v>
      </c>
      <c r="W21" s="5">
        <f>$W$1*T21</f>
        <v>1207.0804499999999</v>
      </c>
      <c r="X21" s="5">
        <f t="shared" si="9"/>
        <v>1904.0426749999979</v>
      </c>
      <c r="Y21" s="5">
        <f t="shared" si="10"/>
        <v>404.04267499999787</v>
      </c>
      <c r="Z21" s="5">
        <v>1500</v>
      </c>
      <c r="AA21" s="5"/>
      <c r="AB21" s="1"/>
      <c r="AC21" s="1"/>
      <c r="AD21" s="1">
        <f t="shared" si="11"/>
        <v>13.25</v>
      </c>
      <c r="AE21" s="1">
        <f t="shared" si="6"/>
        <v>9.7008612340213141</v>
      </c>
      <c r="AF21" s="1">
        <v>559.10059999999999</v>
      </c>
      <c r="AG21" s="1">
        <v>642.4251999999999</v>
      </c>
      <c r="AH21" s="1">
        <v>595.46950000000004</v>
      </c>
      <c r="AI21" s="1">
        <v>671.97050000000002</v>
      </c>
      <c r="AJ21" s="1">
        <v>619.25720000000001</v>
      </c>
      <c r="AK21" s="1">
        <v>510.13720000000001</v>
      </c>
      <c r="AL21" s="1">
        <v>478.51620000000003</v>
      </c>
      <c r="AM21" s="1">
        <v>470.24</v>
      </c>
      <c r="AN21" s="1" t="s">
        <v>55</v>
      </c>
      <c r="AO21" s="1">
        <f t="shared" si="12"/>
        <v>404</v>
      </c>
      <c r="AP21" s="1">
        <f t="shared" si="13"/>
        <v>1500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2" t="s">
        <v>63</v>
      </c>
      <c r="B22" s="12" t="s">
        <v>40</v>
      </c>
      <c r="C22" s="12"/>
      <c r="D22" s="12"/>
      <c r="E22" s="19">
        <v>5.008</v>
      </c>
      <c r="F22" s="19">
        <v>-5.008</v>
      </c>
      <c r="G22" s="13">
        <v>0</v>
      </c>
      <c r="H22" s="12" t="e">
        <v>#N/A</v>
      </c>
      <c r="I22" s="12" t="s">
        <v>46</v>
      </c>
      <c r="J22" s="12" t="s">
        <v>64</v>
      </c>
      <c r="K22" s="12">
        <v>5</v>
      </c>
      <c r="L22" s="12">
        <f t="shared" si="3"/>
        <v>8.0000000000000071E-3</v>
      </c>
      <c r="M22" s="12">
        <f t="shared" si="4"/>
        <v>5.008</v>
      </c>
      <c r="N22" s="12"/>
      <c r="O22" s="12"/>
      <c r="P22" s="12"/>
      <c r="Q22" s="12"/>
      <c r="R22" s="12">
        <v>0</v>
      </c>
      <c r="S22" s="12"/>
      <c r="T22" s="12">
        <f t="shared" si="5"/>
        <v>1.0016</v>
      </c>
      <c r="U22" s="14"/>
      <c r="V22" s="5">
        <f t="shared" si="8"/>
        <v>0</v>
      </c>
      <c r="W22" s="14"/>
      <c r="X22" s="5">
        <f t="shared" si="9"/>
        <v>0</v>
      </c>
      <c r="Y22" s="5">
        <f t="shared" si="10"/>
        <v>0</v>
      </c>
      <c r="Z22" s="5"/>
      <c r="AA22" s="14"/>
      <c r="AB22" s="12"/>
      <c r="AC22" s="12"/>
      <c r="AD22" s="1">
        <f t="shared" si="11"/>
        <v>-5</v>
      </c>
      <c r="AE22" s="12">
        <f t="shared" si="6"/>
        <v>-5</v>
      </c>
      <c r="AF22" s="12">
        <v>0.49919999999999998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/>
      <c r="AO22" s="1">
        <f t="shared" si="12"/>
        <v>0</v>
      </c>
      <c r="AP22" s="1">
        <f t="shared" si="13"/>
        <v>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65</v>
      </c>
      <c r="B23" s="1" t="s">
        <v>40</v>
      </c>
      <c r="C23" s="1">
        <v>451.66199999999998</v>
      </c>
      <c r="D23" s="1">
        <v>621.65300000000002</v>
      </c>
      <c r="E23" s="1">
        <v>541.07000000000005</v>
      </c>
      <c r="F23" s="1">
        <v>321.07100000000003</v>
      </c>
      <c r="G23" s="8">
        <v>1</v>
      </c>
      <c r="H23" s="1">
        <v>60</v>
      </c>
      <c r="I23" s="1" t="s">
        <v>41</v>
      </c>
      <c r="J23" s="1"/>
      <c r="K23" s="1">
        <v>660.9</v>
      </c>
      <c r="L23" s="1">
        <f t="shared" si="3"/>
        <v>-119.82999999999993</v>
      </c>
      <c r="M23" s="1">
        <f t="shared" si="4"/>
        <v>466.57000000000005</v>
      </c>
      <c r="N23" s="1">
        <v>74.5</v>
      </c>
      <c r="O23" s="1"/>
      <c r="P23" s="1">
        <v>61</v>
      </c>
      <c r="Q23" s="1">
        <v>58.54008916666664</v>
      </c>
      <c r="R23" s="1">
        <v>191.3287108333333</v>
      </c>
      <c r="S23" s="1">
        <v>200</v>
      </c>
      <c r="T23" s="1">
        <f t="shared" si="5"/>
        <v>93.314000000000007</v>
      </c>
      <c r="U23" s="5">
        <f t="shared" ref="U23:U26" si="17">11*T23-S23-R23-Q23-O23-F23</f>
        <v>255.51420000000019</v>
      </c>
      <c r="V23" s="5">
        <f t="shared" si="8"/>
        <v>255.51420000000019</v>
      </c>
      <c r="W23" s="5">
        <f t="shared" ref="W23:W24" si="18">$W$1*T23</f>
        <v>209.95650000000001</v>
      </c>
      <c r="X23" s="5">
        <f t="shared" si="9"/>
        <v>465.47070000000019</v>
      </c>
      <c r="Y23" s="5">
        <f t="shared" si="10"/>
        <v>465.47070000000019</v>
      </c>
      <c r="Z23" s="5"/>
      <c r="AA23" s="5"/>
      <c r="AB23" s="1"/>
      <c r="AC23" s="1"/>
      <c r="AD23" s="1">
        <f t="shared" si="11"/>
        <v>13.250000000000002</v>
      </c>
      <c r="AE23" s="1">
        <f t="shared" si="6"/>
        <v>8.2617806545641592</v>
      </c>
      <c r="AF23" s="1">
        <v>83.183599999999998</v>
      </c>
      <c r="AG23" s="1">
        <v>76.678399999999996</v>
      </c>
      <c r="AH23" s="1">
        <v>72.070666666666668</v>
      </c>
      <c r="AI23" s="1">
        <v>90.065333333333328</v>
      </c>
      <c r="AJ23" s="1">
        <v>81.176199999999994</v>
      </c>
      <c r="AK23" s="1">
        <v>74.248999999999995</v>
      </c>
      <c r="AL23" s="1">
        <v>67.222000000000008</v>
      </c>
      <c r="AM23" s="1">
        <v>71.748000000000005</v>
      </c>
      <c r="AN23" s="1"/>
      <c r="AO23" s="1">
        <f t="shared" si="12"/>
        <v>465</v>
      </c>
      <c r="AP23" s="1">
        <f t="shared" si="13"/>
        <v>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66</v>
      </c>
      <c r="B24" s="1" t="s">
        <v>40</v>
      </c>
      <c r="C24" s="1">
        <v>781.74199999999996</v>
      </c>
      <c r="D24" s="1">
        <v>600.149</v>
      </c>
      <c r="E24" s="1">
        <v>496.77699999999999</v>
      </c>
      <c r="F24" s="1">
        <v>766.40099999999995</v>
      </c>
      <c r="G24" s="8">
        <v>1</v>
      </c>
      <c r="H24" s="1">
        <v>60</v>
      </c>
      <c r="I24" s="1" t="s">
        <v>41</v>
      </c>
      <c r="J24" s="1"/>
      <c r="K24" s="1">
        <v>535.755</v>
      </c>
      <c r="L24" s="1">
        <f t="shared" si="3"/>
        <v>-38.978000000000009</v>
      </c>
      <c r="M24" s="1">
        <f t="shared" si="4"/>
        <v>428.29499999999996</v>
      </c>
      <c r="N24" s="1">
        <v>68.481999999999999</v>
      </c>
      <c r="O24" s="1">
        <v>186.14178000000001</v>
      </c>
      <c r="P24" s="1">
        <v>50</v>
      </c>
      <c r="Q24" s="1">
        <v>0</v>
      </c>
      <c r="R24" s="1">
        <v>0</v>
      </c>
      <c r="S24" s="1"/>
      <c r="T24" s="1">
        <f t="shared" si="5"/>
        <v>85.658999999999992</v>
      </c>
      <c r="U24" s="5"/>
      <c r="V24" s="5">
        <f t="shared" si="8"/>
        <v>0</v>
      </c>
      <c r="W24" s="5">
        <f t="shared" si="18"/>
        <v>192.73274999999998</v>
      </c>
      <c r="X24" s="5">
        <f t="shared" si="9"/>
        <v>192.73274999999998</v>
      </c>
      <c r="Y24" s="5">
        <f t="shared" si="10"/>
        <v>192.73274999999998</v>
      </c>
      <c r="Z24" s="5"/>
      <c r="AA24" s="5"/>
      <c r="AB24" s="1"/>
      <c r="AC24" s="1"/>
      <c r="AD24" s="1">
        <f t="shared" si="11"/>
        <v>13.370171610688894</v>
      </c>
      <c r="AE24" s="1">
        <f t="shared" si="6"/>
        <v>11.120171610688896</v>
      </c>
      <c r="AF24" s="1">
        <v>84.333600000000004</v>
      </c>
      <c r="AG24" s="1">
        <v>94.044799999999981</v>
      </c>
      <c r="AH24" s="1">
        <v>114.9023333333333</v>
      </c>
      <c r="AI24" s="1">
        <v>125.092</v>
      </c>
      <c r="AJ24" s="1">
        <v>124.4898</v>
      </c>
      <c r="AK24" s="1">
        <v>104.41800000000001</v>
      </c>
      <c r="AL24" s="1">
        <v>112.0742</v>
      </c>
      <c r="AM24" s="1">
        <v>117.4408</v>
      </c>
      <c r="AN24" s="1"/>
      <c r="AO24" s="1">
        <f t="shared" si="12"/>
        <v>193</v>
      </c>
      <c r="AP24" s="1">
        <f t="shared" si="13"/>
        <v>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67</v>
      </c>
      <c r="B25" s="1" t="s">
        <v>40</v>
      </c>
      <c r="C25" s="1">
        <v>19.739999999999998</v>
      </c>
      <c r="D25" s="1">
        <v>1.083</v>
      </c>
      <c r="E25" s="1">
        <v>3.2410000000000001</v>
      </c>
      <c r="F25" s="1">
        <v>16.498999999999999</v>
      </c>
      <c r="G25" s="8">
        <v>1</v>
      </c>
      <c r="H25" s="1">
        <v>180</v>
      </c>
      <c r="I25" s="1" t="s">
        <v>41</v>
      </c>
      <c r="J25" s="1"/>
      <c r="K25" s="1">
        <v>3.28</v>
      </c>
      <c r="L25" s="1">
        <f t="shared" si="3"/>
        <v>-3.8999999999999702E-2</v>
      </c>
      <c r="M25" s="1">
        <f t="shared" si="4"/>
        <v>3.2410000000000001</v>
      </c>
      <c r="N25" s="1"/>
      <c r="O25" s="1"/>
      <c r="P25" s="1">
        <v>0</v>
      </c>
      <c r="Q25" s="1">
        <v>0</v>
      </c>
      <c r="R25" s="1">
        <v>0</v>
      </c>
      <c r="S25" s="1"/>
      <c r="T25" s="1">
        <f t="shared" si="5"/>
        <v>0.6482</v>
      </c>
      <c r="U25" s="5"/>
      <c r="V25" s="5">
        <f t="shared" si="8"/>
        <v>0</v>
      </c>
      <c r="W25" s="5"/>
      <c r="X25" s="5">
        <f t="shared" si="9"/>
        <v>0</v>
      </c>
      <c r="Y25" s="5">
        <f t="shared" si="10"/>
        <v>0</v>
      </c>
      <c r="Z25" s="5"/>
      <c r="AA25" s="5"/>
      <c r="AB25" s="1"/>
      <c r="AC25" s="1"/>
      <c r="AD25" s="1">
        <f t="shared" si="11"/>
        <v>25.453563714902806</v>
      </c>
      <c r="AE25" s="1">
        <f t="shared" si="6"/>
        <v>25.453563714902806</v>
      </c>
      <c r="AF25" s="1">
        <v>0.49540000000000001</v>
      </c>
      <c r="AG25" s="1">
        <v>0.27639999999999998</v>
      </c>
      <c r="AH25" s="1">
        <v>0.86949999999999994</v>
      </c>
      <c r="AI25" s="1">
        <v>1.3806666666666669</v>
      </c>
      <c r="AJ25" s="1">
        <v>1.7272000000000001</v>
      </c>
      <c r="AK25" s="1">
        <v>1.8042</v>
      </c>
      <c r="AL25" s="1">
        <v>1.3904000000000001</v>
      </c>
      <c r="AM25" s="1">
        <v>0.35139999999999999</v>
      </c>
      <c r="AN25" s="21" t="s">
        <v>68</v>
      </c>
      <c r="AO25" s="1">
        <f t="shared" si="12"/>
        <v>0</v>
      </c>
      <c r="AP25" s="1">
        <f t="shared" si="13"/>
        <v>0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69</v>
      </c>
      <c r="B26" s="1" t="s">
        <v>40</v>
      </c>
      <c r="C26" s="1">
        <v>2139.3760000000002</v>
      </c>
      <c r="D26" s="1">
        <v>920.98900000000003</v>
      </c>
      <c r="E26" s="1">
        <v>1234.9639999999999</v>
      </c>
      <c r="F26" s="1">
        <v>1664.5550000000001</v>
      </c>
      <c r="G26" s="8">
        <v>1</v>
      </c>
      <c r="H26" s="1">
        <v>60</v>
      </c>
      <c r="I26" s="1" t="s">
        <v>41</v>
      </c>
      <c r="J26" s="1"/>
      <c r="K26" s="1">
        <v>1244.8320000000001</v>
      </c>
      <c r="L26" s="1">
        <f t="shared" si="3"/>
        <v>-9.8680000000001655</v>
      </c>
      <c r="M26" s="1">
        <f t="shared" si="4"/>
        <v>1155.8999999999999</v>
      </c>
      <c r="N26" s="1">
        <v>79.063999999999993</v>
      </c>
      <c r="O26" s="1">
        <v>431.56341000000009</v>
      </c>
      <c r="P26" s="1">
        <v>77</v>
      </c>
      <c r="Q26" s="1">
        <v>0</v>
      </c>
      <c r="R26" s="1">
        <v>0</v>
      </c>
      <c r="S26" s="1"/>
      <c r="T26" s="1">
        <f t="shared" si="5"/>
        <v>231.17999999999998</v>
      </c>
      <c r="U26" s="5">
        <f t="shared" si="17"/>
        <v>446.8615899999993</v>
      </c>
      <c r="V26" s="5">
        <f t="shared" si="8"/>
        <v>446.8615899999993</v>
      </c>
      <c r="W26" s="5">
        <f>$W$1*T26</f>
        <v>520.15499999999997</v>
      </c>
      <c r="X26" s="5">
        <f t="shared" si="9"/>
        <v>967.01658999999927</v>
      </c>
      <c r="Y26" s="5">
        <f t="shared" si="10"/>
        <v>467.01658999999927</v>
      </c>
      <c r="Z26" s="5">
        <v>500</v>
      </c>
      <c r="AA26" s="5"/>
      <c r="AB26" s="1"/>
      <c r="AC26" s="1"/>
      <c r="AD26" s="1">
        <f t="shared" si="11"/>
        <v>13.249999999999998</v>
      </c>
      <c r="AE26" s="1">
        <f t="shared" si="6"/>
        <v>9.0670404446751451</v>
      </c>
      <c r="AF26" s="1">
        <v>200.8886</v>
      </c>
      <c r="AG26" s="1">
        <v>204.5264</v>
      </c>
      <c r="AH26" s="1">
        <v>266.39716666666669</v>
      </c>
      <c r="AI26" s="1">
        <v>294.76016666666658</v>
      </c>
      <c r="AJ26" s="1">
        <v>297.45620000000002</v>
      </c>
      <c r="AK26" s="1">
        <v>250.17160000000001</v>
      </c>
      <c r="AL26" s="1">
        <v>267.72300000000001</v>
      </c>
      <c r="AM26" s="1">
        <v>266.43220000000002</v>
      </c>
      <c r="AN26" s="1" t="s">
        <v>55</v>
      </c>
      <c r="AO26" s="1">
        <f t="shared" si="12"/>
        <v>467</v>
      </c>
      <c r="AP26" s="1">
        <f t="shared" si="13"/>
        <v>500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5" t="s">
        <v>70</v>
      </c>
      <c r="B27" s="15" t="s">
        <v>40</v>
      </c>
      <c r="C27" s="15"/>
      <c r="D27" s="15"/>
      <c r="E27" s="15"/>
      <c r="F27" s="15"/>
      <c r="G27" s="16">
        <v>0</v>
      </c>
      <c r="H27" s="15">
        <v>30</v>
      </c>
      <c r="I27" s="15" t="s">
        <v>41</v>
      </c>
      <c r="J27" s="15"/>
      <c r="K27" s="15"/>
      <c r="L27" s="15">
        <f t="shared" si="3"/>
        <v>0</v>
      </c>
      <c r="M27" s="15">
        <f t="shared" si="4"/>
        <v>0</v>
      </c>
      <c r="N27" s="15"/>
      <c r="O27" s="15"/>
      <c r="P27" s="15">
        <v>0</v>
      </c>
      <c r="Q27" s="15">
        <v>0</v>
      </c>
      <c r="R27" s="15">
        <v>0</v>
      </c>
      <c r="S27" s="15"/>
      <c r="T27" s="15">
        <f t="shared" si="5"/>
        <v>0</v>
      </c>
      <c r="U27" s="17"/>
      <c r="V27" s="5">
        <f t="shared" si="8"/>
        <v>0</v>
      </c>
      <c r="W27" s="17"/>
      <c r="X27" s="5">
        <f t="shared" si="9"/>
        <v>0</v>
      </c>
      <c r="Y27" s="5">
        <f t="shared" si="10"/>
        <v>0</v>
      </c>
      <c r="Z27" s="5"/>
      <c r="AA27" s="17"/>
      <c r="AB27" s="15"/>
      <c r="AC27" s="15"/>
      <c r="AD27" s="1" t="e">
        <f t="shared" si="11"/>
        <v>#DIV/0!</v>
      </c>
      <c r="AE27" s="15" t="e">
        <f t="shared" si="6"/>
        <v>#DIV/0!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 t="s">
        <v>60</v>
      </c>
      <c r="AO27" s="1">
        <f t="shared" si="12"/>
        <v>0</v>
      </c>
      <c r="AP27" s="1">
        <f t="shared" si="13"/>
        <v>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5" t="s">
        <v>71</v>
      </c>
      <c r="B28" s="15" t="s">
        <v>40</v>
      </c>
      <c r="C28" s="15"/>
      <c r="D28" s="15"/>
      <c r="E28" s="15"/>
      <c r="F28" s="15"/>
      <c r="G28" s="16">
        <v>0</v>
      </c>
      <c r="H28" s="15">
        <v>30</v>
      </c>
      <c r="I28" s="15" t="s">
        <v>41</v>
      </c>
      <c r="J28" s="15"/>
      <c r="K28" s="15"/>
      <c r="L28" s="15">
        <f t="shared" si="3"/>
        <v>0</v>
      </c>
      <c r="M28" s="15">
        <f t="shared" si="4"/>
        <v>0</v>
      </c>
      <c r="N28" s="15"/>
      <c r="O28" s="15"/>
      <c r="P28" s="15">
        <v>0</v>
      </c>
      <c r="Q28" s="15">
        <v>0</v>
      </c>
      <c r="R28" s="15">
        <v>0</v>
      </c>
      <c r="S28" s="15"/>
      <c r="T28" s="15">
        <f t="shared" si="5"/>
        <v>0</v>
      </c>
      <c r="U28" s="17"/>
      <c r="V28" s="5">
        <f t="shared" si="8"/>
        <v>0</v>
      </c>
      <c r="W28" s="17"/>
      <c r="X28" s="5">
        <f t="shared" si="9"/>
        <v>0</v>
      </c>
      <c r="Y28" s="5">
        <f t="shared" si="10"/>
        <v>0</v>
      </c>
      <c r="Z28" s="5"/>
      <c r="AA28" s="17"/>
      <c r="AB28" s="15"/>
      <c r="AC28" s="15"/>
      <c r="AD28" s="1" t="e">
        <f t="shared" si="11"/>
        <v>#DIV/0!</v>
      </c>
      <c r="AE28" s="15" t="e">
        <f t="shared" si="6"/>
        <v>#DIV/0!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 t="s">
        <v>60</v>
      </c>
      <c r="AO28" s="1">
        <f t="shared" si="12"/>
        <v>0</v>
      </c>
      <c r="AP28" s="1">
        <f t="shared" si="13"/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72</v>
      </c>
      <c r="B29" s="1" t="s">
        <v>40</v>
      </c>
      <c r="C29" s="1">
        <v>337.68599999999998</v>
      </c>
      <c r="D29" s="1">
        <v>1086.1849999999999</v>
      </c>
      <c r="E29" s="1">
        <v>892.79399999999998</v>
      </c>
      <c r="F29" s="1">
        <v>64.724999999999994</v>
      </c>
      <c r="G29" s="8">
        <v>1</v>
      </c>
      <c r="H29" s="1">
        <v>30</v>
      </c>
      <c r="I29" s="1" t="s">
        <v>41</v>
      </c>
      <c r="J29" s="1"/>
      <c r="K29" s="1">
        <v>1604.3</v>
      </c>
      <c r="L29" s="1">
        <f t="shared" si="3"/>
        <v>-711.50599999999997</v>
      </c>
      <c r="M29" s="1">
        <f t="shared" si="4"/>
        <v>604.96799999999996</v>
      </c>
      <c r="N29" s="1">
        <v>287.82600000000002</v>
      </c>
      <c r="O29" s="1"/>
      <c r="P29" s="1">
        <v>76</v>
      </c>
      <c r="Q29" s="1">
        <v>1109.5999750000001</v>
      </c>
      <c r="R29" s="1">
        <v>307.47655833333329</v>
      </c>
      <c r="S29" s="1">
        <v>400</v>
      </c>
      <c r="T29" s="1">
        <f t="shared" si="5"/>
        <v>120.99359999999999</v>
      </c>
      <c r="U29" s="5"/>
      <c r="V29" s="5">
        <f t="shared" si="8"/>
        <v>0</v>
      </c>
      <c r="W29" s="5"/>
      <c r="X29" s="5">
        <f t="shared" si="9"/>
        <v>0</v>
      </c>
      <c r="Y29" s="5">
        <f t="shared" si="10"/>
        <v>0</v>
      </c>
      <c r="Z29" s="5"/>
      <c r="AA29" s="5"/>
      <c r="AB29" s="1"/>
      <c r="AC29" s="1"/>
      <c r="AD29" s="1">
        <f t="shared" si="11"/>
        <v>15.552901420681206</v>
      </c>
      <c r="AE29" s="1">
        <f t="shared" si="6"/>
        <v>15.552901420681206</v>
      </c>
      <c r="AF29" s="1">
        <v>191.4426</v>
      </c>
      <c r="AG29" s="1">
        <v>180.36940000000001</v>
      </c>
      <c r="AH29" s="1">
        <v>157.65600000000001</v>
      </c>
      <c r="AI29" s="1">
        <v>169.0156666666667</v>
      </c>
      <c r="AJ29" s="1">
        <v>183.89060000000001</v>
      </c>
      <c r="AK29" s="1">
        <v>229.03219999999999</v>
      </c>
      <c r="AL29" s="1">
        <v>235.68979999999999</v>
      </c>
      <c r="AM29" s="1">
        <v>181.5676</v>
      </c>
      <c r="AN29" s="1" t="s">
        <v>55</v>
      </c>
      <c r="AO29" s="1">
        <f t="shared" si="12"/>
        <v>0</v>
      </c>
      <c r="AP29" s="1">
        <f t="shared" si="13"/>
        <v>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5" t="s">
        <v>73</v>
      </c>
      <c r="B30" s="15" t="s">
        <v>40</v>
      </c>
      <c r="C30" s="15"/>
      <c r="D30" s="15"/>
      <c r="E30" s="15"/>
      <c r="F30" s="15"/>
      <c r="G30" s="16">
        <v>0</v>
      </c>
      <c r="H30" s="15">
        <v>45</v>
      </c>
      <c r="I30" s="15" t="s">
        <v>41</v>
      </c>
      <c r="J30" s="15"/>
      <c r="K30" s="15"/>
      <c r="L30" s="15">
        <f t="shared" si="3"/>
        <v>0</v>
      </c>
      <c r="M30" s="15">
        <f t="shared" si="4"/>
        <v>0</v>
      </c>
      <c r="N30" s="15"/>
      <c r="O30" s="15"/>
      <c r="P30" s="15">
        <v>0</v>
      </c>
      <c r="Q30" s="15">
        <v>0</v>
      </c>
      <c r="R30" s="15">
        <v>0</v>
      </c>
      <c r="S30" s="15"/>
      <c r="T30" s="15">
        <f t="shared" si="5"/>
        <v>0</v>
      </c>
      <c r="U30" s="17"/>
      <c r="V30" s="5">
        <f t="shared" si="8"/>
        <v>0</v>
      </c>
      <c r="W30" s="17"/>
      <c r="X30" s="5">
        <f t="shared" si="9"/>
        <v>0</v>
      </c>
      <c r="Y30" s="5">
        <f t="shared" si="10"/>
        <v>0</v>
      </c>
      <c r="Z30" s="5"/>
      <c r="AA30" s="17"/>
      <c r="AB30" s="15"/>
      <c r="AC30" s="15"/>
      <c r="AD30" s="1" t="e">
        <f t="shared" si="11"/>
        <v>#DIV/0!</v>
      </c>
      <c r="AE30" s="15" t="e">
        <f t="shared" si="6"/>
        <v>#DIV/0!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 t="s">
        <v>60</v>
      </c>
      <c r="AO30" s="1">
        <f t="shared" si="12"/>
        <v>0</v>
      </c>
      <c r="AP30" s="1">
        <f t="shared" si="13"/>
        <v>0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5" t="s">
        <v>74</v>
      </c>
      <c r="B31" s="15" t="s">
        <v>40</v>
      </c>
      <c r="C31" s="15"/>
      <c r="D31" s="15"/>
      <c r="E31" s="15"/>
      <c r="F31" s="15"/>
      <c r="G31" s="16">
        <v>0</v>
      </c>
      <c r="H31" s="15">
        <v>40</v>
      </c>
      <c r="I31" s="15" t="s">
        <v>41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/>
      <c r="P31" s="15">
        <v>0</v>
      </c>
      <c r="Q31" s="15">
        <v>0</v>
      </c>
      <c r="R31" s="15">
        <v>0</v>
      </c>
      <c r="S31" s="15"/>
      <c r="T31" s="15">
        <f t="shared" si="5"/>
        <v>0</v>
      </c>
      <c r="U31" s="17"/>
      <c r="V31" s="5">
        <f t="shared" si="8"/>
        <v>0</v>
      </c>
      <c r="W31" s="17"/>
      <c r="X31" s="5">
        <f t="shared" si="9"/>
        <v>0</v>
      </c>
      <c r="Y31" s="5">
        <f t="shared" si="10"/>
        <v>0</v>
      </c>
      <c r="Z31" s="5"/>
      <c r="AA31" s="17"/>
      <c r="AB31" s="15"/>
      <c r="AC31" s="15"/>
      <c r="AD31" s="1" t="e">
        <f t="shared" si="11"/>
        <v>#DIV/0!</v>
      </c>
      <c r="AE31" s="15" t="e">
        <f t="shared" si="6"/>
        <v>#DIV/0!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 t="s">
        <v>60</v>
      </c>
      <c r="AO31" s="1">
        <f t="shared" si="12"/>
        <v>0</v>
      </c>
      <c r="AP31" s="1">
        <f t="shared" si="13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5" t="s">
        <v>75</v>
      </c>
      <c r="B32" s="15" t="s">
        <v>40</v>
      </c>
      <c r="C32" s="15"/>
      <c r="D32" s="15"/>
      <c r="E32" s="15"/>
      <c r="F32" s="15"/>
      <c r="G32" s="16">
        <v>1</v>
      </c>
      <c r="H32" s="15">
        <v>30</v>
      </c>
      <c r="I32" s="15" t="s">
        <v>41</v>
      </c>
      <c r="J32" s="15"/>
      <c r="K32" s="15"/>
      <c r="L32" s="15">
        <f t="shared" si="3"/>
        <v>0</v>
      </c>
      <c r="M32" s="15">
        <f t="shared" si="4"/>
        <v>0</v>
      </c>
      <c r="N32" s="15"/>
      <c r="O32" s="15"/>
      <c r="P32" s="15">
        <v>0</v>
      </c>
      <c r="Q32" s="15">
        <v>0</v>
      </c>
      <c r="R32" s="15">
        <v>0</v>
      </c>
      <c r="S32" s="15"/>
      <c r="T32" s="15">
        <f t="shared" si="5"/>
        <v>0</v>
      </c>
      <c r="U32" s="17"/>
      <c r="V32" s="5">
        <f>AA32</f>
        <v>100</v>
      </c>
      <c r="W32" s="17"/>
      <c r="X32" s="5">
        <f t="shared" si="9"/>
        <v>100</v>
      </c>
      <c r="Y32" s="5">
        <f t="shared" si="10"/>
        <v>100</v>
      </c>
      <c r="Z32" s="5"/>
      <c r="AA32" s="26">
        <v>100</v>
      </c>
      <c r="AB32" s="27" t="s">
        <v>155</v>
      </c>
      <c r="AC32" s="15"/>
      <c r="AD32" s="1" t="e">
        <f t="shared" si="11"/>
        <v>#DIV/0!</v>
      </c>
      <c r="AE32" s="15" t="e">
        <f t="shared" si="6"/>
        <v>#DIV/0!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 t="s">
        <v>156</v>
      </c>
      <c r="AO32" s="1">
        <f t="shared" si="12"/>
        <v>100</v>
      </c>
      <c r="AP32" s="1">
        <f t="shared" si="13"/>
        <v>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5" t="s">
        <v>76</v>
      </c>
      <c r="B33" s="15" t="s">
        <v>40</v>
      </c>
      <c r="C33" s="15"/>
      <c r="D33" s="15"/>
      <c r="E33" s="15"/>
      <c r="F33" s="15"/>
      <c r="G33" s="16">
        <v>0</v>
      </c>
      <c r="H33" s="15">
        <v>50</v>
      </c>
      <c r="I33" s="15" t="s">
        <v>41</v>
      </c>
      <c r="J33" s="15"/>
      <c r="K33" s="15"/>
      <c r="L33" s="15">
        <f t="shared" si="3"/>
        <v>0</v>
      </c>
      <c r="M33" s="15">
        <f t="shared" si="4"/>
        <v>0</v>
      </c>
      <c r="N33" s="15"/>
      <c r="O33" s="15"/>
      <c r="P33" s="15">
        <v>0</v>
      </c>
      <c r="Q33" s="15">
        <v>0</v>
      </c>
      <c r="R33" s="15">
        <v>0</v>
      </c>
      <c r="S33" s="15"/>
      <c r="T33" s="15">
        <f t="shared" si="5"/>
        <v>0</v>
      </c>
      <c r="U33" s="17"/>
      <c r="V33" s="5">
        <f t="shared" si="8"/>
        <v>0</v>
      </c>
      <c r="W33" s="17"/>
      <c r="X33" s="5">
        <f t="shared" si="9"/>
        <v>0</v>
      </c>
      <c r="Y33" s="5">
        <f t="shared" si="10"/>
        <v>0</v>
      </c>
      <c r="Z33" s="5"/>
      <c r="AA33" s="17"/>
      <c r="AB33" s="15"/>
      <c r="AC33" s="15"/>
      <c r="AD33" s="1" t="e">
        <f t="shared" si="11"/>
        <v>#DIV/0!</v>
      </c>
      <c r="AE33" s="15" t="e">
        <f t="shared" si="6"/>
        <v>#DIV/0!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 t="s">
        <v>60</v>
      </c>
      <c r="AO33" s="1">
        <f t="shared" si="12"/>
        <v>0</v>
      </c>
      <c r="AP33" s="1">
        <f t="shared" si="13"/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77</v>
      </c>
      <c r="B34" s="1" t="s">
        <v>40</v>
      </c>
      <c r="C34" s="1">
        <v>27.968</v>
      </c>
      <c r="D34" s="1"/>
      <c r="E34" s="1">
        <v>3.6179999999999999</v>
      </c>
      <c r="F34" s="1">
        <v>23.454000000000001</v>
      </c>
      <c r="G34" s="8">
        <v>1</v>
      </c>
      <c r="H34" s="1">
        <v>50</v>
      </c>
      <c r="I34" s="1" t="s">
        <v>41</v>
      </c>
      <c r="J34" s="1"/>
      <c r="K34" s="1">
        <v>4.0999999999999996</v>
      </c>
      <c r="L34" s="1">
        <f t="shared" si="3"/>
        <v>-0.48199999999999976</v>
      </c>
      <c r="M34" s="1">
        <f t="shared" si="4"/>
        <v>3.6179999999999999</v>
      </c>
      <c r="N34" s="1"/>
      <c r="O34" s="1"/>
      <c r="P34" s="1">
        <v>0</v>
      </c>
      <c r="Q34" s="1">
        <v>0</v>
      </c>
      <c r="R34" s="1">
        <v>0</v>
      </c>
      <c r="S34" s="1"/>
      <c r="T34" s="1">
        <f t="shared" si="5"/>
        <v>0.72360000000000002</v>
      </c>
      <c r="U34" s="5"/>
      <c r="V34" s="5">
        <f t="shared" si="8"/>
        <v>0</v>
      </c>
      <c r="W34" s="5"/>
      <c r="X34" s="5">
        <f t="shared" si="9"/>
        <v>0</v>
      </c>
      <c r="Y34" s="5">
        <f t="shared" si="10"/>
        <v>0</v>
      </c>
      <c r="Z34" s="5"/>
      <c r="AA34" s="5"/>
      <c r="AB34" s="1"/>
      <c r="AC34" s="1"/>
      <c r="AD34" s="1">
        <f t="shared" si="11"/>
        <v>32.412935323383081</v>
      </c>
      <c r="AE34" s="1">
        <f t="shared" si="6"/>
        <v>32.412935323383081</v>
      </c>
      <c r="AF34" s="1">
        <v>-4.0000000000000002E-4</v>
      </c>
      <c r="AG34" s="1">
        <v>0.53700000000000003</v>
      </c>
      <c r="AH34" s="1">
        <v>1.4944999999999999</v>
      </c>
      <c r="AI34" s="1">
        <v>2.2494999999999998</v>
      </c>
      <c r="AJ34" s="1">
        <v>2.3441999999999998</v>
      </c>
      <c r="AK34" s="1">
        <v>0.35959999999999998</v>
      </c>
      <c r="AL34" s="1">
        <v>1.2498</v>
      </c>
      <c r="AM34" s="1">
        <v>2.3142</v>
      </c>
      <c r="AN34" s="22" t="s">
        <v>152</v>
      </c>
      <c r="AO34" s="1">
        <f t="shared" si="12"/>
        <v>0</v>
      </c>
      <c r="AP34" s="1">
        <f t="shared" si="13"/>
        <v>0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78</v>
      </c>
      <c r="B35" s="1" t="s">
        <v>45</v>
      </c>
      <c r="C35" s="1">
        <v>1372</v>
      </c>
      <c r="D35" s="1">
        <v>1143</v>
      </c>
      <c r="E35" s="1">
        <v>1877</v>
      </c>
      <c r="F35" s="1">
        <v>63</v>
      </c>
      <c r="G35" s="8">
        <v>0.4</v>
      </c>
      <c r="H35" s="1">
        <v>45</v>
      </c>
      <c r="I35" s="1" t="s">
        <v>41</v>
      </c>
      <c r="J35" s="1"/>
      <c r="K35" s="1">
        <v>2378</v>
      </c>
      <c r="L35" s="1">
        <f t="shared" si="3"/>
        <v>-501</v>
      </c>
      <c r="M35" s="1">
        <f t="shared" si="4"/>
        <v>1421</v>
      </c>
      <c r="N35" s="1">
        <v>456</v>
      </c>
      <c r="O35" s="1"/>
      <c r="P35" s="1">
        <v>206</v>
      </c>
      <c r="Q35" s="1">
        <v>1282.5082199999999</v>
      </c>
      <c r="R35" s="1">
        <v>451.83199999999943</v>
      </c>
      <c r="S35" s="1">
        <v>1000</v>
      </c>
      <c r="T35" s="1">
        <f t="shared" si="5"/>
        <v>284.2</v>
      </c>
      <c r="U35" s="5">
        <f t="shared" ref="U35:U49" si="19">11*T35-S35-R35-Q35-O35-F35</f>
        <v>328.85978000000046</v>
      </c>
      <c r="V35" s="5">
        <f t="shared" si="8"/>
        <v>328.85978000000046</v>
      </c>
      <c r="W35" s="5"/>
      <c r="X35" s="5">
        <f t="shared" si="9"/>
        <v>328.85978000000046</v>
      </c>
      <c r="Y35" s="5">
        <f t="shared" si="10"/>
        <v>328.85978000000046</v>
      </c>
      <c r="Z35" s="5"/>
      <c r="AA35" s="5"/>
      <c r="AB35" s="1"/>
      <c r="AC35" s="1"/>
      <c r="AD35" s="1">
        <f t="shared" si="11"/>
        <v>11</v>
      </c>
      <c r="AE35" s="1">
        <f t="shared" si="6"/>
        <v>9.8428579169598844</v>
      </c>
      <c r="AF35" s="1">
        <v>302.2</v>
      </c>
      <c r="AG35" s="1">
        <v>280.8</v>
      </c>
      <c r="AH35" s="1">
        <v>228.83333333333329</v>
      </c>
      <c r="AI35" s="1">
        <v>252.66666666666671</v>
      </c>
      <c r="AJ35" s="1">
        <v>275</v>
      </c>
      <c r="AK35" s="1">
        <v>268.60000000000002</v>
      </c>
      <c r="AL35" s="1">
        <v>252.6</v>
      </c>
      <c r="AM35" s="1">
        <v>229.2</v>
      </c>
      <c r="AN35" s="1" t="s">
        <v>79</v>
      </c>
      <c r="AO35" s="1">
        <f t="shared" si="12"/>
        <v>132</v>
      </c>
      <c r="AP35" s="1">
        <f t="shared" si="13"/>
        <v>0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80</v>
      </c>
      <c r="B36" s="1" t="s">
        <v>45</v>
      </c>
      <c r="C36" s="1">
        <v>65.826999999999998</v>
      </c>
      <c r="D36" s="1">
        <v>747</v>
      </c>
      <c r="E36" s="1">
        <v>406</v>
      </c>
      <c r="F36" s="1">
        <v>339.827</v>
      </c>
      <c r="G36" s="8">
        <v>0.45</v>
      </c>
      <c r="H36" s="1">
        <v>50</v>
      </c>
      <c r="I36" s="1" t="s">
        <v>41</v>
      </c>
      <c r="J36" s="1"/>
      <c r="K36" s="1">
        <v>459</v>
      </c>
      <c r="L36" s="1">
        <f t="shared" si="3"/>
        <v>-53</v>
      </c>
      <c r="M36" s="1">
        <f t="shared" si="4"/>
        <v>360</v>
      </c>
      <c r="N36" s="1">
        <v>46</v>
      </c>
      <c r="O36" s="1">
        <v>107.50671</v>
      </c>
      <c r="P36" s="1">
        <v>0</v>
      </c>
      <c r="Q36" s="1">
        <v>0</v>
      </c>
      <c r="R36" s="1">
        <v>0</v>
      </c>
      <c r="S36" s="1"/>
      <c r="T36" s="1">
        <f t="shared" si="5"/>
        <v>72</v>
      </c>
      <c r="U36" s="5">
        <f t="shared" si="19"/>
        <v>344.66629</v>
      </c>
      <c r="V36" s="5">
        <f t="shared" si="8"/>
        <v>344.66629</v>
      </c>
      <c r="W36" s="5">
        <f>$W$1*T36</f>
        <v>162</v>
      </c>
      <c r="X36" s="5">
        <f t="shared" si="9"/>
        <v>506.66629</v>
      </c>
      <c r="Y36" s="5">
        <f t="shared" si="10"/>
        <v>506.66629</v>
      </c>
      <c r="Z36" s="5"/>
      <c r="AA36" s="5"/>
      <c r="AB36" s="1"/>
      <c r="AC36" s="1"/>
      <c r="AD36" s="1">
        <f t="shared" si="11"/>
        <v>13.25</v>
      </c>
      <c r="AE36" s="1">
        <f t="shared" si="6"/>
        <v>6.2129681944444446</v>
      </c>
      <c r="AF36" s="1">
        <v>54.4</v>
      </c>
      <c r="AG36" s="1">
        <v>54</v>
      </c>
      <c r="AH36" s="1">
        <v>66.362166666666667</v>
      </c>
      <c r="AI36" s="1">
        <v>75.195499999999996</v>
      </c>
      <c r="AJ36" s="1">
        <v>45.08</v>
      </c>
      <c r="AK36" s="1">
        <v>53.1158</v>
      </c>
      <c r="AL36" s="1">
        <v>56.4</v>
      </c>
      <c r="AM36" s="1">
        <v>42.8</v>
      </c>
      <c r="AN36" s="1" t="s">
        <v>49</v>
      </c>
      <c r="AO36" s="1">
        <f t="shared" si="12"/>
        <v>228</v>
      </c>
      <c r="AP36" s="1">
        <f t="shared" si="13"/>
        <v>0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81</v>
      </c>
      <c r="B37" s="1" t="s">
        <v>45</v>
      </c>
      <c r="C37" s="1">
        <v>2268</v>
      </c>
      <c r="D37" s="1">
        <v>550</v>
      </c>
      <c r="E37" s="1">
        <v>1409</v>
      </c>
      <c r="F37" s="1">
        <v>1011</v>
      </c>
      <c r="G37" s="8">
        <v>0.4</v>
      </c>
      <c r="H37" s="1">
        <v>45</v>
      </c>
      <c r="I37" s="1" t="s">
        <v>41</v>
      </c>
      <c r="J37" s="1"/>
      <c r="K37" s="1">
        <v>1720</v>
      </c>
      <c r="L37" s="1">
        <f t="shared" si="3"/>
        <v>-311</v>
      </c>
      <c r="M37" s="1">
        <f t="shared" si="4"/>
        <v>1367</v>
      </c>
      <c r="N37" s="1">
        <v>42</v>
      </c>
      <c r="O37" s="1"/>
      <c r="P37" s="1">
        <v>186</v>
      </c>
      <c r="Q37" s="1">
        <v>715.31199999999978</v>
      </c>
      <c r="R37" s="1">
        <v>392.48800000000028</v>
      </c>
      <c r="S37" s="1"/>
      <c r="T37" s="1">
        <f t="shared" si="5"/>
        <v>273.39999999999998</v>
      </c>
      <c r="U37" s="5">
        <f t="shared" si="19"/>
        <v>888.59999999999945</v>
      </c>
      <c r="V37" s="5">
        <f t="shared" si="8"/>
        <v>888.59999999999945</v>
      </c>
      <c r="W37" s="5"/>
      <c r="X37" s="5">
        <f t="shared" si="9"/>
        <v>888.59999999999945</v>
      </c>
      <c r="Y37" s="5">
        <f t="shared" si="10"/>
        <v>388.59999999999945</v>
      </c>
      <c r="Z37" s="5">
        <v>500</v>
      </c>
      <c r="AA37" s="5"/>
      <c r="AB37" s="1"/>
      <c r="AC37" s="1"/>
      <c r="AD37" s="1">
        <f t="shared" si="11"/>
        <v>11</v>
      </c>
      <c r="AE37" s="1">
        <f t="shared" si="6"/>
        <v>7.7498171177761535</v>
      </c>
      <c r="AF37" s="1">
        <v>231.4</v>
      </c>
      <c r="AG37" s="1">
        <v>272.2</v>
      </c>
      <c r="AH37" s="1">
        <v>188.66666666666671</v>
      </c>
      <c r="AI37" s="1">
        <v>212.66666666666671</v>
      </c>
      <c r="AJ37" s="1">
        <v>291.2</v>
      </c>
      <c r="AK37" s="1">
        <v>238.6</v>
      </c>
      <c r="AL37" s="1">
        <v>258.2</v>
      </c>
      <c r="AM37" s="1">
        <v>190.8</v>
      </c>
      <c r="AN37" s="1"/>
      <c r="AO37" s="1">
        <f t="shared" si="12"/>
        <v>155</v>
      </c>
      <c r="AP37" s="1">
        <f t="shared" si="13"/>
        <v>200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82</v>
      </c>
      <c r="B38" s="1" t="s">
        <v>45</v>
      </c>
      <c r="C38" s="1">
        <v>365</v>
      </c>
      <c r="D38" s="1">
        <v>13</v>
      </c>
      <c r="E38" s="1">
        <v>183</v>
      </c>
      <c r="F38" s="1">
        <v>184</v>
      </c>
      <c r="G38" s="8">
        <v>0.4</v>
      </c>
      <c r="H38" s="1">
        <v>40</v>
      </c>
      <c r="I38" s="1" t="s">
        <v>41</v>
      </c>
      <c r="J38" s="1"/>
      <c r="K38" s="1">
        <v>218</v>
      </c>
      <c r="L38" s="1">
        <f t="shared" ref="L38:L69" si="20">E38-K38</f>
        <v>-35</v>
      </c>
      <c r="M38" s="1">
        <f t="shared" ref="M38:M69" si="21">E38-N38</f>
        <v>183</v>
      </c>
      <c r="N38" s="1"/>
      <c r="O38" s="1"/>
      <c r="P38" s="1">
        <v>0</v>
      </c>
      <c r="Q38" s="1">
        <v>0</v>
      </c>
      <c r="R38" s="1">
        <v>292.39999999999998</v>
      </c>
      <c r="S38" s="1"/>
      <c r="T38" s="1">
        <f t="shared" ref="T38:T69" si="22">M38/5</f>
        <v>36.6</v>
      </c>
      <c r="U38" s="5"/>
      <c r="V38" s="5">
        <f t="shared" si="8"/>
        <v>0</v>
      </c>
      <c r="W38" s="5"/>
      <c r="X38" s="5">
        <f t="shared" si="9"/>
        <v>0</v>
      </c>
      <c r="Y38" s="5">
        <f t="shared" si="10"/>
        <v>0</v>
      </c>
      <c r="Z38" s="5"/>
      <c r="AA38" s="5"/>
      <c r="AB38" s="1"/>
      <c r="AC38" s="1"/>
      <c r="AD38" s="1">
        <f t="shared" si="11"/>
        <v>13.016393442622949</v>
      </c>
      <c r="AE38" s="1">
        <f t="shared" ref="AE38:AE69" si="23">(F38+O38+Q38+R38+S38)/T38</f>
        <v>13.016393442622949</v>
      </c>
      <c r="AF38" s="1">
        <v>42.2</v>
      </c>
      <c r="AG38" s="1">
        <v>21.4</v>
      </c>
      <c r="AH38" s="1">
        <v>20.5</v>
      </c>
      <c r="AI38" s="1">
        <v>26.833333333333329</v>
      </c>
      <c r="AJ38" s="1">
        <v>25.4</v>
      </c>
      <c r="AK38" s="1">
        <v>20.8</v>
      </c>
      <c r="AL38" s="1">
        <v>30</v>
      </c>
      <c r="AM38" s="1">
        <v>21.8</v>
      </c>
      <c r="AN38" s="1"/>
      <c r="AO38" s="1">
        <f t="shared" si="12"/>
        <v>0</v>
      </c>
      <c r="AP38" s="1">
        <f t="shared" si="13"/>
        <v>0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83</v>
      </c>
      <c r="B39" s="1" t="s">
        <v>40</v>
      </c>
      <c r="C39" s="1">
        <v>401.161</v>
      </c>
      <c r="D39" s="1">
        <v>355.60700000000003</v>
      </c>
      <c r="E39" s="1">
        <v>347.30200000000002</v>
      </c>
      <c r="F39" s="1">
        <v>201.55600000000001</v>
      </c>
      <c r="G39" s="8">
        <v>1</v>
      </c>
      <c r="H39" s="1">
        <v>45</v>
      </c>
      <c r="I39" s="1" t="s">
        <v>41</v>
      </c>
      <c r="J39" s="1"/>
      <c r="K39" s="1">
        <v>451.35399999999998</v>
      </c>
      <c r="L39" s="1">
        <f t="shared" si="20"/>
        <v>-104.05199999999996</v>
      </c>
      <c r="M39" s="1">
        <f t="shared" si="21"/>
        <v>347.30200000000002</v>
      </c>
      <c r="N39" s="1"/>
      <c r="O39" s="1"/>
      <c r="P39" s="1">
        <v>0</v>
      </c>
      <c r="Q39" s="1">
        <v>385.19017558666678</v>
      </c>
      <c r="R39" s="1">
        <v>194.16002441333319</v>
      </c>
      <c r="S39" s="1"/>
      <c r="T39" s="1">
        <f t="shared" si="22"/>
        <v>69.460400000000007</v>
      </c>
      <c r="U39" s="5"/>
      <c r="V39" s="5">
        <f t="shared" si="8"/>
        <v>0</v>
      </c>
      <c r="W39" s="5"/>
      <c r="X39" s="5">
        <f t="shared" si="9"/>
        <v>0</v>
      </c>
      <c r="Y39" s="5">
        <f t="shared" si="10"/>
        <v>0</v>
      </c>
      <c r="Z39" s="5"/>
      <c r="AA39" s="5"/>
      <c r="AB39" s="1"/>
      <c r="AC39" s="1"/>
      <c r="AD39" s="1">
        <f t="shared" si="11"/>
        <v>11.242466210963368</v>
      </c>
      <c r="AE39" s="1">
        <f t="shared" si="23"/>
        <v>11.242466210963368</v>
      </c>
      <c r="AF39" s="1">
        <v>89.989599999999996</v>
      </c>
      <c r="AG39" s="1">
        <v>85.057000000000002</v>
      </c>
      <c r="AH39" s="1">
        <v>75.769833333333338</v>
      </c>
      <c r="AI39" s="1">
        <v>87.567166666666665</v>
      </c>
      <c r="AJ39" s="1">
        <v>81.440799999999996</v>
      </c>
      <c r="AK39" s="1">
        <v>76.940799999999996</v>
      </c>
      <c r="AL39" s="1">
        <v>67.9786</v>
      </c>
      <c r="AM39" s="1">
        <v>64.661199999999994</v>
      </c>
      <c r="AN39" s="1"/>
      <c r="AO39" s="1">
        <f t="shared" si="12"/>
        <v>0</v>
      </c>
      <c r="AP39" s="1">
        <f t="shared" si="13"/>
        <v>0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84</v>
      </c>
      <c r="B40" s="1" t="s">
        <v>45</v>
      </c>
      <c r="C40" s="1">
        <v>183</v>
      </c>
      <c r="D40" s="1"/>
      <c r="E40" s="1">
        <v>137</v>
      </c>
      <c r="F40" s="1">
        <v>46</v>
      </c>
      <c r="G40" s="8">
        <v>0.1</v>
      </c>
      <c r="H40" s="1">
        <v>730</v>
      </c>
      <c r="I40" s="1" t="s">
        <v>41</v>
      </c>
      <c r="J40" s="1"/>
      <c r="K40" s="1">
        <v>137</v>
      </c>
      <c r="L40" s="1">
        <f t="shared" si="20"/>
        <v>0</v>
      </c>
      <c r="M40" s="1">
        <f t="shared" si="21"/>
        <v>137</v>
      </c>
      <c r="N40" s="1"/>
      <c r="O40" s="1"/>
      <c r="P40" s="1">
        <v>0</v>
      </c>
      <c r="Q40" s="1">
        <v>134.84</v>
      </c>
      <c r="R40" s="1">
        <v>119.16</v>
      </c>
      <c r="S40" s="1"/>
      <c r="T40" s="1">
        <f t="shared" si="22"/>
        <v>27.4</v>
      </c>
      <c r="U40" s="5">
        <v>10</v>
      </c>
      <c r="V40" s="5">
        <f t="shared" si="8"/>
        <v>10</v>
      </c>
      <c r="W40" s="5"/>
      <c r="X40" s="5">
        <f t="shared" si="9"/>
        <v>10</v>
      </c>
      <c r="Y40" s="5">
        <f t="shared" si="10"/>
        <v>10</v>
      </c>
      <c r="Z40" s="5"/>
      <c r="AA40" s="5"/>
      <c r="AB40" s="1"/>
      <c r="AC40" s="1"/>
      <c r="AD40" s="1">
        <f t="shared" si="11"/>
        <v>11.313868613138686</v>
      </c>
      <c r="AE40" s="1">
        <f t="shared" si="23"/>
        <v>10.948905109489052</v>
      </c>
      <c r="AF40" s="1">
        <v>30</v>
      </c>
      <c r="AG40" s="1">
        <v>29</v>
      </c>
      <c r="AH40" s="1">
        <v>19.333333333333329</v>
      </c>
      <c r="AI40" s="1">
        <v>16.5</v>
      </c>
      <c r="AJ40" s="1">
        <v>27.4</v>
      </c>
      <c r="AK40" s="1">
        <v>27.4</v>
      </c>
      <c r="AL40" s="1">
        <v>26</v>
      </c>
      <c r="AM40" s="1">
        <v>24.4</v>
      </c>
      <c r="AN40" s="1"/>
      <c r="AO40" s="1">
        <f t="shared" si="12"/>
        <v>1</v>
      </c>
      <c r="AP40" s="1">
        <f t="shared" si="13"/>
        <v>0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85</v>
      </c>
      <c r="B41" s="1" t="s">
        <v>45</v>
      </c>
      <c r="C41" s="1">
        <v>452</v>
      </c>
      <c r="D41" s="1">
        <v>93</v>
      </c>
      <c r="E41" s="1">
        <v>282</v>
      </c>
      <c r="F41" s="1">
        <v>199</v>
      </c>
      <c r="G41" s="8">
        <v>0.35</v>
      </c>
      <c r="H41" s="1">
        <v>40</v>
      </c>
      <c r="I41" s="1" t="s">
        <v>41</v>
      </c>
      <c r="J41" s="1"/>
      <c r="K41" s="1">
        <v>331</v>
      </c>
      <c r="L41" s="1">
        <f t="shared" si="20"/>
        <v>-49</v>
      </c>
      <c r="M41" s="1">
        <f t="shared" si="21"/>
        <v>282</v>
      </c>
      <c r="N41" s="1"/>
      <c r="O41" s="1"/>
      <c r="P41" s="1">
        <v>0</v>
      </c>
      <c r="Q41" s="1">
        <v>0</v>
      </c>
      <c r="R41" s="1">
        <v>150.21449999999999</v>
      </c>
      <c r="S41" s="1"/>
      <c r="T41" s="1">
        <f t="shared" si="22"/>
        <v>56.4</v>
      </c>
      <c r="U41" s="5">
        <f t="shared" si="19"/>
        <v>271.18549999999999</v>
      </c>
      <c r="V41" s="5">
        <f t="shared" si="8"/>
        <v>271.18549999999999</v>
      </c>
      <c r="W41" s="5"/>
      <c r="X41" s="5">
        <f t="shared" si="9"/>
        <v>271.18549999999999</v>
      </c>
      <c r="Y41" s="5">
        <f t="shared" si="10"/>
        <v>271.18549999999999</v>
      </c>
      <c r="Z41" s="5"/>
      <c r="AA41" s="5"/>
      <c r="AB41" s="1"/>
      <c r="AC41" s="1"/>
      <c r="AD41" s="1">
        <f t="shared" si="11"/>
        <v>11</v>
      </c>
      <c r="AE41" s="1">
        <f t="shared" si="23"/>
        <v>6.1917464539007092</v>
      </c>
      <c r="AF41" s="1">
        <v>39.799999999999997</v>
      </c>
      <c r="AG41" s="1">
        <v>38.799999999999997</v>
      </c>
      <c r="AH41" s="1">
        <v>47.833333333333343</v>
      </c>
      <c r="AI41" s="1">
        <v>48.5</v>
      </c>
      <c r="AJ41" s="1">
        <v>56.4</v>
      </c>
      <c r="AK41" s="1">
        <v>50</v>
      </c>
      <c r="AL41" s="1">
        <v>71.599999999999994</v>
      </c>
      <c r="AM41" s="1">
        <v>46.4</v>
      </c>
      <c r="AN41" s="1"/>
      <c r="AO41" s="1">
        <f t="shared" si="12"/>
        <v>95</v>
      </c>
      <c r="AP41" s="1">
        <f t="shared" si="13"/>
        <v>0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86</v>
      </c>
      <c r="B42" s="1" t="s">
        <v>40</v>
      </c>
      <c r="C42" s="1">
        <v>83.266999999999996</v>
      </c>
      <c r="D42" s="1">
        <v>31.802</v>
      </c>
      <c r="E42" s="1">
        <v>34.031999999999996</v>
      </c>
      <c r="F42" s="1">
        <v>79.572000000000003</v>
      </c>
      <c r="G42" s="8">
        <v>1</v>
      </c>
      <c r="H42" s="1">
        <v>40</v>
      </c>
      <c r="I42" s="1" t="s">
        <v>41</v>
      </c>
      <c r="J42" s="1"/>
      <c r="K42" s="1">
        <v>47.231000000000002</v>
      </c>
      <c r="L42" s="1">
        <f t="shared" si="20"/>
        <v>-13.199000000000005</v>
      </c>
      <c r="M42" s="1">
        <f t="shared" si="21"/>
        <v>29.700999999999997</v>
      </c>
      <c r="N42" s="1">
        <v>4.3310000000000004</v>
      </c>
      <c r="O42" s="1"/>
      <c r="P42" s="1">
        <v>0</v>
      </c>
      <c r="Q42" s="1">
        <v>0</v>
      </c>
      <c r="R42" s="1">
        <v>0</v>
      </c>
      <c r="S42" s="1"/>
      <c r="T42" s="1">
        <f t="shared" si="22"/>
        <v>5.940199999999999</v>
      </c>
      <c r="U42" s="5"/>
      <c r="V42" s="5">
        <f t="shared" si="8"/>
        <v>0</v>
      </c>
      <c r="W42" s="5"/>
      <c r="X42" s="5">
        <f t="shared" si="9"/>
        <v>0</v>
      </c>
      <c r="Y42" s="5">
        <f t="shared" si="10"/>
        <v>0</v>
      </c>
      <c r="Z42" s="5"/>
      <c r="AA42" s="5"/>
      <c r="AB42" s="1"/>
      <c r="AC42" s="1"/>
      <c r="AD42" s="1">
        <f t="shared" si="11"/>
        <v>13.395508568735062</v>
      </c>
      <c r="AE42" s="1">
        <f t="shared" si="23"/>
        <v>13.395508568735062</v>
      </c>
      <c r="AF42" s="1">
        <v>4.9160000000000004</v>
      </c>
      <c r="AG42" s="1">
        <v>4.7683999999999997</v>
      </c>
      <c r="AH42" s="1">
        <v>6.6183333333333332</v>
      </c>
      <c r="AI42" s="1">
        <v>11.930833333333331</v>
      </c>
      <c r="AJ42" s="1">
        <v>11.86</v>
      </c>
      <c r="AK42" s="1">
        <v>6.3483999999999998</v>
      </c>
      <c r="AL42" s="1">
        <v>6.6596000000000002</v>
      </c>
      <c r="AM42" s="1">
        <v>11.127599999999999</v>
      </c>
      <c r="AN42" s="1"/>
      <c r="AO42" s="1">
        <f t="shared" si="12"/>
        <v>0</v>
      </c>
      <c r="AP42" s="1">
        <f t="shared" si="13"/>
        <v>0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87</v>
      </c>
      <c r="B43" s="1" t="s">
        <v>45</v>
      </c>
      <c r="C43" s="1">
        <v>86</v>
      </c>
      <c r="D43" s="1">
        <v>405</v>
      </c>
      <c r="E43" s="1">
        <v>324</v>
      </c>
      <c r="F43" s="1">
        <v>80</v>
      </c>
      <c r="G43" s="8">
        <v>0.4</v>
      </c>
      <c r="H43" s="1">
        <v>40</v>
      </c>
      <c r="I43" s="1" t="s">
        <v>41</v>
      </c>
      <c r="J43" s="1"/>
      <c r="K43" s="1">
        <v>399</v>
      </c>
      <c r="L43" s="1">
        <f t="shared" si="20"/>
        <v>-75</v>
      </c>
      <c r="M43" s="1">
        <f t="shared" si="21"/>
        <v>264</v>
      </c>
      <c r="N43" s="1">
        <v>60</v>
      </c>
      <c r="O43" s="1"/>
      <c r="P43" s="1">
        <v>72</v>
      </c>
      <c r="Q43" s="1">
        <v>0</v>
      </c>
      <c r="R43" s="1">
        <v>314.2</v>
      </c>
      <c r="S43" s="1"/>
      <c r="T43" s="1">
        <f t="shared" si="22"/>
        <v>52.8</v>
      </c>
      <c r="U43" s="5">
        <f t="shared" si="19"/>
        <v>186.59999999999997</v>
      </c>
      <c r="V43" s="5">
        <f t="shared" si="8"/>
        <v>186.59999999999997</v>
      </c>
      <c r="W43" s="5"/>
      <c r="X43" s="5">
        <f t="shared" si="9"/>
        <v>186.59999999999997</v>
      </c>
      <c r="Y43" s="5">
        <f t="shared" si="10"/>
        <v>186.59999999999997</v>
      </c>
      <c r="Z43" s="5"/>
      <c r="AA43" s="5"/>
      <c r="AB43" s="1"/>
      <c r="AC43" s="1"/>
      <c r="AD43" s="1">
        <f t="shared" si="11"/>
        <v>11</v>
      </c>
      <c r="AE43" s="1">
        <f t="shared" si="23"/>
        <v>7.4659090909090908</v>
      </c>
      <c r="AF43" s="1">
        <v>44.6</v>
      </c>
      <c r="AG43" s="1">
        <v>27.8</v>
      </c>
      <c r="AH43" s="1">
        <v>34.833333333333343</v>
      </c>
      <c r="AI43" s="1">
        <v>43.166666666666657</v>
      </c>
      <c r="AJ43" s="1">
        <v>35.4</v>
      </c>
      <c r="AK43" s="1">
        <v>42</v>
      </c>
      <c r="AL43" s="1">
        <v>31.6</v>
      </c>
      <c r="AM43" s="1">
        <v>25.8</v>
      </c>
      <c r="AN43" s="1"/>
      <c r="AO43" s="1">
        <f t="shared" si="12"/>
        <v>75</v>
      </c>
      <c r="AP43" s="1">
        <f t="shared" si="13"/>
        <v>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88</v>
      </c>
      <c r="B44" s="1" t="s">
        <v>45</v>
      </c>
      <c r="C44" s="1">
        <v>284</v>
      </c>
      <c r="D44" s="1">
        <v>511</v>
      </c>
      <c r="E44" s="1">
        <v>525</v>
      </c>
      <c r="F44" s="1">
        <v>160</v>
      </c>
      <c r="G44" s="8">
        <v>0.4</v>
      </c>
      <c r="H44" s="1">
        <v>45</v>
      </c>
      <c r="I44" s="1" t="s">
        <v>41</v>
      </c>
      <c r="J44" s="1"/>
      <c r="K44" s="1">
        <v>627</v>
      </c>
      <c r="L44" s="1">
        <f t="shared" si="20"/>
        <v>-102</v>
      </c>
      <c r="M44" s="1">
        <f t="shared" si="21"/>
        <v>525</v>
      </c>
      <c r="N44" s="1"/>
      <c r="O44" s="1"/>
      <c r="P44" s="1">
        <v>78</v>
      </c>
      <c r="Q44" s="1">
        <v>234.38651999999999</v>
      </c>
      <c r="R44" s="1">
        <v>281.71347999999989</v>
      </c>
      <c r="S44" s="1"/>
      <c r="T44" s="1">
        <f t="shared" si="22"/>
        <v>105</v>
      </c>
      <c r="U44" s="5">
        <f t="shared" si="19"/>
        <v>478.90000000000009</v>
      </c>
      <c r="V44" s="5">
        <f t="shared" si="8"/>
        <v>478.90000000000009</v>
      </c>
      <c r="W44" s="5"/>
      <c r="X44" s="5">
        <f t="shared" si="9"/>
        <v>478.90000000000009</v>
      </c>
      <c r="Y44" s="5">
        <f t="shared" si="10"/>
        <v>478.90000000000009</v>
      </c>
      <c r="Z44" s="5"/>
      <c r="AA44" s="5"/>
      <c r="AB44" s="1"/>
      <c r="AC44" s="1"/>
      <c r="AD44" s="1">
        <f t="shared" si="11"/>
        <v>11</v>
      </c>
      <c r="AE44" s="1">
        <f t="shared" si="23"/>
        <v>6.439047619047618</v>
      </c>
      <c r="AF44" s="1">
        <v>73.8</v>
      </c>
      <c r="AG44" s="1">
        <v>76</v>
      </c>
      <c r="AH44" s="1">
        <v>61.666666666666657</v>
      </c>
      <c r="AI44" s="1">
        <v>62.5</v>
      </c>
      <c r="AJ44" s="1">
        <v>64.400000000000006</v>
      </c>
      <c r="AK44" s="1">
        <v>71.400000000000006</v>
      </c>
      <c r="AL44" s="1">
        <v>76.599999999999994</v>
      </c>
      <c r="AM44" s="1">
        <v>67.2</v>
      </c>
      <c r="AN44" s="1" t="s">
        <v>49</v>
      </c>
      <c r="AO44" s="1">
        <f t="shared" si="12"/>
        <v>192</v>
      </c>
      <c r="AP44" s="1">
        <f t="shared" si="13"/>
        <v>0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89</v>
      </c>
      <c r="B45" s="1" t="s">
        <v>40</v>
      </c>
      <c r="C45" s="1">
        <v>84.506</v>
      </c>
      <c r="D45" s="1">
        <v>49.264000000000003</v>
      </c>
      <c r="E45" s="1">
        <v>105.68300000000001</v>
      </c>
      <c r="F45" s="1">
        <v>7.7190000000000003</v>
      </c>
      <c r="G45" s="8">
        <v>1</v>
      </c>
      <c r="H45" s="1">
        <v>40</v>
      </c>
      <c r="I45" s="1" t="s">
        <v>41</v>
      </c>
      <c r="J45" s="1"/>
      <c r="K45" s="1">
        <v>136.036</v>
      </c>
      <c r="L45" s="1">
        <f t="shared" si="20"/>
        <v>-30.352999999999994</v>
      </c>
      <c r="M45" s="1">
        <f t="shared" si="21"/>
        <v>83.847000000000008</v>
      </c>
      <c r="N45" s="1">
        <v>21.835999999999999</v>
      </c>
      <c r="O45" s="1"/>
      <c r="P45" s="1">
        <v>0</v>
      </c>
      <c r="Q45" s="1">
        <v>6.2764986533345004</v>
      </c>
      <c r="R45" s="1">
        <v>120.4405013466655</v>
      </c>
      <c r="S45" s="1"/>
      <c r="T45" s="1">
        <f t="shared" si="22"/>
        <v>16.769400000000001</v>
      </c>
      <c r="U45" s="5">
        <f t="shared" si="19"/>
        <v>50.027400000000007</v>
      </c>
      <c r="V45" s="5">
        <f t="shared" si="8"/>
        <v>50.027400000000007</v>
      </c>
      <c r="W45" s="5"/>
      <c r="X45" s="5">
        <f t="shared" si="9"/>
        <v>50.027400000000007</v>
      </c>
      <c r="Y45" s="5">
        <f t="shared" si="10"/>
        <v>50.027400000000007</v>
      </c>
      <c r="Z45" s="5"/>
      <c r="AA45" s="5"/>
      <c r="AB45" s="1"/>
      <c r="AC45" s="1"/>
      <c r="AD45" s="1">
        <f t="shared" si="11"/>
        <v>11</v>
      </c>
      <c r="AE45" s="1">
        <f t="shared" si="23"/>
        <v>8.0167447851443701</v>
      </c>
      <c r="AF45" s="1">
        <v>15.831</v>
      </c>
      <c r="AG45" s="1">
        <v>10.4956</v>
      </c>
      <c r="AH45" s="1">
        <v>9.793666666666665</v>
      </c>
      <c r="AI45" s="1">
        <v>15.25633333333333</v>
      </c>
      <c r="AJ45" s="1">
        <v>14.3988</v>
      </c>
      <c r="AK45" s="1">
        <v>18.870199999999819</v>
      </c>
      <c r="AL45" s="1">
        <v>17.675599999999999</v>
      </c>
      <c r="AM45" s="1">
        <v>5.4978000000000007</v>
      </c>
      <c r="AN45" s="1"/>
      <c r="AO45" s="1">
        <f t="shared" si="12"/>
        <v>50</v>
      </c>
      <c r="AP45" s="1">
        <f t="shared" si="13"/>
        <v>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90</v>
      </c>
      <c r="B46" s="1" t="s">
        <v>45</v>
      </c>
      <c r="C46" s="1">
        <v>274</v>
      </c>
      <c r="D46" s="1">
        <v>2236</v>
      </c>
      <c r="E46" s="1">
        <v>1192</v>
      </c>
      <c r="F46" s="1">
        <v>1184</v>
      </c>
      <c r="G46" s="8">
        <v>0.35</v>
      </c>
      <c r="H46" s="1">
        <v>40</v>
      </c>
      <c r="I46" s="11" t="s">
        <v>91</v>
      </c>
      <c r="J46" s="1"/>
      <c r="K46" s="1">
        <v>1411</v>
      </c>
      <c r="L46" s="1">
        <f t="shared" si="20"/>
        <v>-219</v>
      </c>
      <c r="M46" s="1">
        <f t="shared" si="21"/>
        <v>1106</v>
      </c>
      <c r="N46" s="1">
        <v>86</v>
      </c>
      <c r="O46" s="1"/>
      <c r="P46" s="1">
        <v>0</v>
      </c>
      <c r="Q46" s="1">
        <v>0</v>
      </c>
      <c r="R46" s="1">
        <v>314</v>
      </c>
      <c r="S46" s="1"/>
      <c r="T46" s="1">
        <f t="shared" si="22"/>
        <v>221.2</v>
      </c>
      <c r="U46" s="5">
        <f>9*T46-S46-R46-Q46-O46-F46</f>
        <v>492.79999999999995</v>
      </c>
      <c r="V46" s="5">
        <f t="shared" si="8"/>
        <v>492.79999999999995</v>
      </c>
      <c r="W46" s="5"/>
      <c r="X46" s="5">
        <f t="shared" si="9"/>
        <v>492.79999999999995</v>
      </c>
      <c r="Y46" s="5">
        <f t="shared" si="10"/>
        <v>492.79999999999995</v>
      </c>
      <c r="Z46" s="5"/>
      <c r="AA46" s="5"/>
      <c r="AB46" s="1"/>
      <c r="AC46" s="1"/>
      <c r="AD46" s="1">
        <f t="shared" si="11"/>
        <v>9</v>
      </c>
      <c r="AE46" s="1">
        <f t="shared" si="23"/>
        <v>6.7721518987341778</v>
      </c>
      <c r="AF46" s="1">
        <v>208.8</v>
      </c>
      <c r="AG46" s="1">
        <v>127.2</v>
      </c>
      <c r="AH46" s="1">
        <v>116.1666666666667</v>
      </c>
      <c r="AI46" s="1">
        <v>140.33333333333329</v>
      </c>
      <c r="AJ46" s="1">
        <v>130.19999999999999</v>
      </c>
      <c r="AK46" s="1">
        <v>104.8</v>
      </c>
      <c r="AL46" s="1">
        <v>104.2</v>
      </c>
      <c r="AM46" s="1">
        <v>119.2</v>
      </c>
      <c r="AN46" s="1" t="s">
        <v>55</v>
      </c>
      <c r="AO46" s="1">
        <f t="shared" si="12"/>
        <v>172</v>
      </c>
      <c r="AP46" s="1">
        <f t="shared" si="13"/>
        <v>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92</v>
      </c>
      <c r="B47" s="1" t="s">
        <v>45</v>
      </c>
      <c r="C47" s="1">
        <v>183</v>
      </c>
      <c r="D47" s="1">
        <v>464</v>
      </c>
      <c r="E47" s="1">
        <v>314</v>
      </c>
      <c r="F47" s="1">
        <v>284</v>
      </c>
      <c r="G47" s="8">
        <v>0.4</v>
      </c>
      <c r="H47" s="1">
        <v>40</v>
      </c>
      <c r="I47" s="1" t="s">
        <v>41</v>
      </c>
      <c r="J47" s="1"/>
      <c r="K47" s="1">
        <v>469</v>
      </c>
      <c r="L47" s="1">
        <f t="shared" si="20"/>
        <v>-155</v>
      </c>
      <c r="M47" s="1">
        <f t="shared" si="21"/>
        <v>314</v>
      </c>
      <c r="N47" s="1"/>
      <c r="O47" s="1"/>
      <c r="P47" s="1">
        <v>0</v>
      </c>
      <c r="Q47" s="1">
        <v>288.57580000000007</v>
      </c>
      <c r="R47" s="1">
        <v>18.790866666666549</v>
      </c>
      <c r="S47" s="1"/>
      <c r="T47" s="1">
        <f t="shared" si="22"/>
        <v>62.8</v>
      </c>
      <c r="U47" s="5">
        <f t="shared" si="19"/>
        <v>99.43333333333328</v>
      </c>
      <c r="V47" s="5">
        <f t="shared" si="8"/>
        <v>99.43333333333328</v>
      </c>
      <c r="W47" s="5"/>
      <c r="X47" s="5">
        <f t="shared" si="9"/>
        <v>99.43333333333328</v>
      </c>
      <c r="Y47" s="5">
        <f t="shared" si="10"/>
        <v>99.43333333333328</v>
      </c>
      <c r="Z47" s="5"/>
      <c r="AA47" s="5"/>
      <c r="AB47" s="1"/>
      <c r="AC47" s="1"/>
      <c r="AD47" s="1">
        <f t="shared" si="11"/>
        <v>11</v>
      </c>
      <c r="AE47" s="1">
        <f t="shared" si="23"/>
        <v>9.4166666666666679</v>
      </c>
      <c r="AF47" s="1">
        <v>64.599999999999994</v>
      </c>
      <c r="AG47" s="1">
        <v>81.2</v>
      </c>
      <c r="AH47" s="1">
        <v>66.333333333333329</v>
      </c>
      <c r="AI47" s="1">
        <v>53.833333333333343</v>
      </c>
      <c r="AJ47" s="1">
        <v>54.2</v>
      </c>
      <c r="AK47" s="1">
        <v>73.8</v>
      </c>
      <c r="AL47" s="1">
        <v>59</v>
      </c>
      <c r="AM47" s="1">
        <v>65</v>
      </c>
      <c r="AN47" s="1" t="s">
        <v>49</v>
      </c>
      <c r="AO47" s="1">
        <f t="shared" si="12"/>
        <v>40</v>
      </c>
      <c r="AP47" s="1">
        <f t="shared" si="13"/>
        <v>0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93</v>
      </c>
      <c r="B48" s="1" t="s">
        <v>40</v>
      </c>
      <c r="C48" s="1">
        <v>73.596000000000004</v>
      </c>
      <c r="D48" s="1">
        <v>196.40100000000001</v>
      </c>
      <c r="E48" s="1">
        <v>127.462</v>
      </c>
      <c r="F48" s="1">
        <v>59.125999999999998</v>
      </c>
      <c r="G48" s="8">
        <v>1</v>
      </c>
      <c r="H48" s="1">
        <v>50</v>
      </c>
      <c r="I48" s="1" t="s">
        <v>41</v>
      </c>
      <c r="J48" s="1"/>
      <c r="K48" s="1">
        <v>156.28200000000001</v>
      </c>
      <c r="L48" s="1">
        <f t="shared" si="20"/>
        <v>-28.820000000000007</v>
      </c>
      <c r="M48" s="1">
        <f t="shared" si="21"/>
        <v>95.093000000000004</v>
      </c>
      <c r="N48" s="1">
        <v>32.369</v>
      </c>
      <c r="O48" s="1"/>
      <c r="P48" s="1">
        <v>0</v>
      </c>
      <c r="Q48" s="1">
        <v>60.941224000000041</v>
      </c>
      <c r="R48" s="1">
        <v>4</v>
      </c>
      <c r="S48" s="1"/>
      <c r="T48" s="1">
        <f t="shared" si="22"/>
        <v>19.018599999999999</v>
      </c>
      <c r="U48" s="5">
        <f t="shared" si="19"/>
        <v>85.137375999999961</v>
      </c>
      <c r="V48" s="5">
        <f t="shared" si="8"/>
        <v>85.137375999999961</v>
      </c>
      <c r="W48" s="5"/>
      <c r="X48" s="5">
        <f t="shared" si="9"/>
        <v>85.137375999999961</v>
      </c>
      <c r="Y48" s="5">
        <f t="shared" si="10"/>
        <v>85.137375999999961</v>
      </c>
      <c r="Z48" s="5"/>
      <c r="AA48" s="5"/>
      <c r="AB48" s="1"/>
      <c r="AC48" s="1"/>
      <c r="AD48" s="1">
        <f t="shared" si="11"/>
        <v>11</v>
      </c>
      <c r="AE48" s="1">
        <f t="shared" si="23"/>
        <v>6.5234677631371421</v>
      </c>
      <c r="AF48" s="1">
        <v>19.779399999999999</v>
      </c>
      <c r="AG48" s="1">
        <v>20.9544</v>
      </c>
      <c r="AH48" s="1">
        <v>22.292999999999999</v>
      </c>
      <c r="AI48" s="1">
        <v>25.291166666666669</v>
      </c>
      <c r="AJ48" s="1">
        <v>11.3508</v>
      </c>
      <c r="AK48" s="1">
        <v>29.2</v>
      </c>
      <c r="AL48" s="1">
        <v>20.061399999999999</v>
      </c>
      <c r="AM48" s="1">
        <v>16.882400000000001</v>
      </c>
      <c r="AN48" s="1"/>
      <c r="AO48" s="1">
        <f t="shared" si="12"/>
        <v>85</v>
      </c>
      <c r="AP48" s="1">
        <f t="shared" si="13"/>
        <v>0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94</v>
      </c>
      <c r="B49" s="1" t="s">
        <v>40</v>
      </c>
      <c r="C49" s="1">
        <v>-89.480999999999995</v>
      </c>
      <c r="D49" s="1">
        <v>1175.098</v>
      </c>
      <c r="E49" s="1">
        <v>498.51</v>
      </c>
      <c r="F49" s="1">
        <v>244.81</v>
      </c>
      <c r="G49" s="8">
        <v>1</v>
      </c>
      <c r="H49" s="1">
        <v>50</v>
      </c>
      <c r="I49" s="1" t="s">
        <v>41</v>
      </c>
      <c r="J49" s="1"/>
      <c r="K49" s="1">
        <v>511.38600000000002</v>
      </c>
      <c r="L49" s="1">
        <f t="shared" si="20"/>
        <v>-12.876000000000033</v>
      </c>
      <c r="M49" s="1">
        <f t="shared" si="21"/>
        <v>473.12399999999997</v>
      </c>
      <c r="N49" s="1">
        <v>25.385999999999999</v>
      </c>
      <c r="O49" s="1"/>
      <c r="P49" s="1">
        <v>0</v>
      </c>
      <c r="Q49" s="1">
        <v>237.94205175833309</v>
      </c>
      <c r="R49" s="1">
        <v>193.65897324166681</v>
      </c>
      <c r="S49" s="1">
        <v>150</v>
      </c>
      <c r="T49" s="1">
        <f t="shared" si="22"/>
        <v>94.624799999999993</v>
      </c>
      <c r="U49" s="5">
        <f t="shared" si="19"/>
        <v>214.46177499999999</v>
      </c>
      <c r="V49" s="5">
        <f t="shared" si="8"/>
        <v>214.46177499999999</v>
      </c>
      <c r="W49" s="5">
        <f>$W$1*T49</f>
        <v>212.9058</v>
      </c>
      <c r="X49" s="5">
        <f t="shared" si="9"/>
        <v>427.36757499999999</v>
      </c>
      <c r="Y49" s="5">
        <f t="shared" si="10"/>
        <v>427.36757499999999</v>
      </c>
      <c r="Z49" s="5"/>
      <c r="AA49" s="5"/>
      <c r="AB49" s="1"/>
      <c r="AC49" s="1"/>
      <c r="AD49" s="1">
        <f t="shared" si="11"/>
        <v>13.25</v>
      </c>
      <c r="AE49" s="1">
        <f t="shared" si="23"/>
        <v>8.7335563721138634</v>
      </c>
      <c r="AF49" s="1">
        <v>82.347399999999993</v>
      </c>
      <c r="AG49" s="1">
        <v>89.943399999999983</v>
      </c>
      <c r="AH49" s="1">
        <v>92.93983333333334</v>
      </c>
      <c r="AI49" s="1">
        <v>118.5981666666667</v>
      </c>
      <c r="AJ49" s="1">
        <v>107.2774</v>
      </c>
      <c r="AK49" s="1">
        <v>87.752600000000001</v>
      </c>
      <c r="AL49" s="1">
        <v>58.676399999999987</v>
      </c>
      <c r="AM49" s="1">
        <v>110.0492</v>
      </c>
      <c r="AN49" s="1"/>
      <c r="AO49" s="1">
        <f t="shared" si="12"/>
        <v>427</v>
      </c>
      <c r="AP49" s="1">
        <f t="shared" si="13"/>
        <v>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5" t="s">
        <v>95</v>
      </c>
      <c r="B50" s="15" t="s">
        <v>40</v>
      </c>
      <c r="C50" s="15"/>
      <c r="D50" s="15"/>
      <c r="E50" s="15"/>
      <c r="F50" s="15"/>
      <c r="G50" s="16">
        <v>1</v>
      </c>
      <c r="H50" s="15">
        <v>40</v>
      </c>
      <c r="I50" s="15" t="s">
        <v>41</v>
      </c>
      <c r="J50" s="15"/>
      <c r="K50" s="15"/>
      <c r="L50" s="15">
        <f t="shared" si="20"/>
        <v>0</v>
      </c>
      <c r="M50" s="15">
        <f t="shared" si="21"/>
        <v>0</v>
      </c>
      <c r="N50" s="15"/>
      <c r="O50" s="15"/>
      <c r="P50" s="15">
        <v>0</v>
      </c>
      <c r="Q50" s="15">
        <v>0</v>
      </c>
      <c r="R50" s="15">
        <v>0</v>
      </c>
      <c r="S50" s="15"/>
      <c r="T50" s="15">
        <f t="shared" si="22"/>
        <v>0</v>
      </c>
      <c r="U50" s="17"/>
      <c r="V50" s="5">
        <f>AA50</f>
        <v>200</v>
      </c>
      <c r="W50" s="17"/>
      <c r="X50" s="5">
        <f t="shared" si="9"/>
        <v>200</v>
      </c>
      <c r="Y50" s="5">
        <f t="shared" si="10"/>
        <v>200</v>
      </c>
      <c r="Z50" s="5"/>
      <c r="AA50" s="26">
        <v>200</v>
      </c>
      <c r="AB50" s="27" t="s">
        <v>155</v>
      </c>
      <c r="AC50" s="15"/>
      <c r="AD50" s="1" t="e">
        <f t="shared" si="11"/>
        <v>#DIV/0!</v>
      </c>
      <c r="AE50" s="15" t="e">
        <f t="shared" si="23"/>
        <v>#DIV/0!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 t="s">
        <v>156</v>
      </c>
      <c r="AO50" s="1">
        <f t="shared" si="12"/>
        <v>200</v>
      </c>
      <c r="AP50" s="1">
        <f t="shared" si="13"/>
        <v>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2" t="s">
        <v>96</v>
      </c>
      <c r="B51" s="12" t="s">
        <v>45</v>
      </c>
      <c r="C51" s="12">
        <v>65</v>
      </c>
      <c r="D51" s="12">
        <v>1</v>
      </c>
      <c r="E51" s="12">
        <v>32</v>
      </c>
      <c r="F51" s="12">
        <v>35</v>
      </c>
      <c r="G51" s="13">
        <v>0</v>
      </c>
      <c r="H51" s="12" t="e">
        <v>#N/A</v>
      </c>
      <c r="I51" s="12" t="s">
        <v>46</v>
      </c>
      <c r="J51" s="12"/>
      <c r="K51" s="12">
        <v>49</v>
      </c>
      <c r="L51" s="12">
        <f t="shared" si="20"/>
        <v>-17</v>
      </c>
      <c r="M51" s="12">
        <f t="shared" si="21"/>
        <v>32</v>
      </c>
      <c r="N51" s="12"/>
      <c r="O51" s="12"/>
      <c r="P51" s="12">
        <v>0</v>
      </c>
      <c r="Q51" s="12">
        <v>0</v>
      </c>
      <c r="R51" s="12">
        <v>0</v>
      </c>
      <c r="S51" s="12"/>
      <c r="T51" s="12">
        <f t="shared" si="22"/>
        <v>6.4</v>
      </c>
      <c r="U51" s="14"/>
      <c r="V51" s="5">
        <f t="shared" si="8"/>
        <v>0</v>
      </c>
      <c r="W51" s="14"/>
      <c r="X51" s="5">
        <f t="shared" si="9"/>
        <v>0</v>
      </c>
      <c r="Y51" s="5">
        <f t="shared" si="10"/>
        <v>0</v>
      </c>
      <c r="Z51" s="5"/>
      <c r="AA51" s="14"/>
      <c r="AB51" s="12"/>
      <c r="AC51" s="12"/>
      <c r="AD51" s="1">
        <f t="shared" si="11"/>
        <v>5.46875</v>
      </c>
      <c r="AE51" s="12">
        <f t="shared" si="23"/>
        <v>5.46875</v>
      </c>
      <c r="AF51" s="12">
        <v>7.6</v>
      </c>
      <c r="AG51" s="12">
        <v>8.8000000000000007</v>
      </c>
      <c r="AH51" s="12">
        <v>5.333333333333333</v>
      </c>
      <c r="AI51" s="12">
        <v>1.833333333333333</v>
      </c>
      <c r="AJ51" s="12">
        <v>0</v>
      </c>
      <c r="AK51" s="12">
        <v>0</v>
      </c>
      <c r="AL51" s="12">
        <v>0</v>
      </c>
      <c r="AM51" s="12">
        <v>0</v>
      </c>
      <c r="AN51" s="12" t="s">
        <v>47</v>
      </c>
      <c r="AO51" s="1">
        <f t="shared" si="12"/>
        <v>0</v>
      </c>
      <c r="AP51" s="1">
        <f t="shared" si="13"/>
        <v>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97</v>
      </c>
      <c r="B52" s="1" t="s">
        <v>45</v>
      </c>
      <c r="C52" s="1">
        <v>511</v>
      </c>
      <c r="D52" s="1">
        <v>64</v>
      </c>
      <c r="E52" s="1">
        <v>343</v>
      </c>
      <c r="F52" s="1">
        <v>179</v>
      </c>
      <c r="G52" s="8">
        <v>0.45</v>
      </c>
      <c r="H52" s="1">
        <v>50</v>
      </c>
      <c r="I52" s="1" t="s">
        <v>41</v>
      </c>
      <c r="J52" s="1"/>
      <c r="K52" s="1">
        <v>381</v>
      </c>
      <c r="L52" s="1">
        <f t="shared" si="20"/>
        <v>-38</v>
      </c>
      <c r="M52" s="1">
        <f t="shared" si="21"/>
        <v>327</v>
      </c>
      <c r="N52" s="1">
        <v>16</v>
      </c>
      <c r="O52" s="1"/>
      <c r="P52" s="1">
        <v>0</v>
      </c>
      <c r="Q52" s="1">
        <v>0</v>
      </c>
      <c r="R52" s="1">
        <v>190.2</v>
      </c>
      <c r="S52" s="1">
        <v>200</v>
      </c>
      <c r="T52" s="1">
        <f t="shared" si="22"/>
        <v>65.400000000000006</v>
      </c>
      <c r="U52" s="5">
        <f>11*T52-S52-R52-Q52-O52-F52</f>
        <v>150.2000000000001</v>
      </c>
      <c r="V52" s="5">
        <f t="shared" si="8"/>
        <v>150.2000000000001</v>
      </c>
      <c r="W52" s="5">
        <f>$W$1*T52</f>
        <v>147.15</v>
      </c>
      <c r="X52" s="5">
        <f t="shared" si="9"/>
        <v>297.35000000000014</v>
      </c>
      <c r="Y52" s="5">
        <f t="shared" si="10"/>
        <v>297.35000000000014</v>
      </c>
      <c r="Z52" s="5"/>
      <c r="AA52" s="5"/>
      <c r="AB52" s="1"/>
      <c r="AC52" s="1"/>
      <c r="AD52" s="1">
        <f t="shared" si="11"/>
        <v>13.250000000000002</v>
      </c>
      <c r="AE52" s="1">
        <f t="shared" si="23"/>
        <v>8.7033639143730888</v>
      </c>
      <c r="AF52" s="1">
        <v>59.6</v>
      </c>
      <c r="AG52" s="1">
        <v>40.200000000000003</v>
      </c>
      <c r="AH52" s="1">
        <v>41.5</v>
      </c>
      <c r="AI52" s="1">
        <v>56.666666666666657</v>
      </c>
      <c r="AJ52" s="1">
        <v>60.4</v>
      </c>
      <c r="AK52" s="1">
        <v>44.512199999999993</v>
      </c>
      <c r="AL52" s="1">
        <v>58.2</v>
      </c>
      <c r="AM52" s="1">
        <v>38.799999999999997</v>
      </c>
      <c r="AN52" s="1" t="s">
        <v>49</v>
      </c>
      <c r="AO52" s="1">
        <f t="shared" si="12"/>
        <v>134</v>
      </c>
      <c r="AP52" s="1">
        <f t="shared" si="13"/>
        <v>0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2" t="s">
        <v>98</v>
      </c>
      <c r="B53" s="12" t="s">
        <v>45</v>
      </c>
      <c r="C53" s="12">
        <v>9</v>
      </c>
      <c r="D53" s="12"/>
      <c r="E53" s="12">
        <v>7</v>
      </c>
      <c r="F53" s="12">
        <v>4</v>
      </c>
      <c r="G53" s="13">
        <v>0</v>
      </c>
      <c r="H53" s="12" t="e">
        <v>#N/A</v>
      </c>
      <c r="I53" s="12" t="s">
        <v>46</v>
      </c>
      <c r="J53" s="12"/>
      <c r="K53" s="12">
        <v>20</v>
      </c>
      <c r="L53" s="12">
        <f t="shared" si="20"/>
        <v>-13</v>
      </c>
      <c r="M53" s="12">
        <f t="shared" si="21"/>
        <v>7</v>
      </c>
      <c r="N53" s="12"/>
      <c r="O53" s="12"/>
      <c r="P53" s="12">
        <v>0</v>
      </c>
      <c r="Q53" s="12">
        <v>0</v>
      </c>
      <c r="R53" s="12">
        <v>0</v>
      </c>
      <c r="S53" s="12"/>
      <c r="T53" s="12">
        <f t="shared" si="22"/>
        <v>1.4</v>
      </c>
      <c r="U53" s="14"/>
      <c r="V53" s="5">
        <f t="shared" si="8"/>
        <v>0</v>
      </c>
      <c r="W53" s="14"/>
      <c r="X53" s="5">
        <f t="shared" si="9"/>
        <v>0</v>
      </c>
      <c r="Y53" s="5">
        <f t="shared" si="10"/>
        <v>0</v>
      </c>
      <c r="Z53" s="5"/>
      <c r="AA53" s="14"/>
      <c r="AB53" s="12"/>
      <c r="AC53" s="12"/>
      <c r="AD53" s="1">
        <f t="shared" si="11"/>
        <v>2.8571428571428572</v>
      </c>
      <c r="AE53" s="12">
        <f t="shared" si="23"/>
        <v>2.8571428571428572</v>
      </c>
      <c r="AF53" s="12">
        <v>3.2</v>
      </c>
      <c r="AG53" s="12">
        <v>4</v>
      </c>
      <c r="AH53" s="12">
        <v>3.5</v>
      </c>
      <c r="AI53" s="12">
        <v>3.5</v>
      </c>
      <c r="AJ53" s="12">
        <v>0</v>
      </c>
      <c r="AK53" s="12">
        <v>0</v>
      </c>
      <c r="AL53" s="12">
        <v>0</v>
      </c>
      <c r="AM53" s="12">
        <v>0</v>
      </c>
      <c r="AN53" s="12" t="s">
        <v>47</v>
      </c>
      <c r="AO53" s="1">
        <f t="shared" si="12"/>
        <v>0</v>
      </c>
      <c r="AP53" s="1">
        <f t="shared" si="13"/>
        <v>0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99</v>
      </c>
      <c r="B54" s="1" t="s">
        <v>45</v>
      </c>
      <c r="C54" s="1">
        <v>49</v>
      </c>
      <c r="D54" s="1">
        <v>20</v>
      </c>
      <c r="E54" s="1">
        <v>65</v>
      </c>
      <c r="F54" s="1">
        <v>-1</v>
      </c>
      <c r="G54" s="8">
        <v>0.4</v>
      </c>
      <c r="H54" s="1">
        <v>40</v>
      </c>
      <c r="I54" s="1" t="s">
        <v>41</v>
      </c>
      <c r="J54" s="1"/>
      <c r="K54" s="1">
        <v>94</v>
      </c>
      <c r="L54" s="1">
        <f t="shared" si="20"/>
        <v>-29</v>
      </c>
      <c r="M54" s="1">
        <f t="shared" si="21"/>
        <v>65</v>
      </c>
      <c r="N54" s="1"/>
      <c r="O54" s="1"/>
      <c r="P54" s="1">
        <v>0</v>
      </c>
      <c r="Q54" s="1">
        <v>89.900120000000001</v>
      </c>
      <c r="R54" s="1">
        <v>59.368000000000009</v>
      </c>
      <c r="S54" s="1"/>
      <c r="T54" s="1">
        <f t="shared" si="22"/>
        <v>13</v>
      </c>
      <c r="U54" s="5"/>
      <c r="V54" s="5">
        <f t="shared" si="8"/>
        <v>0</v>
      </c>
      <c r="W54" s="5"/>
      <c r="X54" s="5">
        <f t="shared" si="9"/>
        <v>0</v>
      </c>
      <c r="Y54" s="5">
        <f t="shared" si="10"/>
        <v>0</v>
      </c>
      <c r="Z54" s="5"/>
      <c r="AA54" s="5"/>
      <c r="AB54" s="1"/>
      <c r="AC54" s="1"/>
      <c r="AD54" s="1">
        <f t="shared" si="11"/>
        <v>11.405240000000001</v>
      </c>
      <c r="AE54" s="1">
        <f t="shared" si="23"/>
        <v>11.405240000000001</v>
      </c>
      <c r="AF54" s="1">
        <v>15</v>
      </c>
      <c r="AG54" s="1">
        <v>14.2</v>
      </c>
      <c r="AH54" s="1">
        <v>8.8333333333333339</v>
      </c>
      <c r="AI54" s="1">
        <v>7.833333333333333</v>
      </c>
      <c r="AJ54" s="1">
        <v>10.6</v>
      </c>
      <c r="AK54" s="1">
        <v>12.6</v>
      </c>
      <c r="AL54" s="1">
        <v>9.6</v>
      </c>
      <c r="AM54" s="1">
        <v>10</v>
      </c>
      <c r="AN54" s="1"/>
      <c r="AO54" s="1">
        <f t="shared" si="12"/>
        <v>0</v>
      </c>
      <c r="AP54" s="1">
        <f t="shared" si="13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100</v>
      </c>
      <c r="B55" s="1" t="s">
        <v>45</v>
      </c>
      <c r="C55" s="1">
        <v>41</v>
      </c>
      <c r="D55" s="1">
        <v>122</v>
      </c>
      <c r="E55" s="1">
        <v>69</v>
      </c>
      <c r="F55" s="1">
        <v>58</v>
      </c>
      <c r="G55" s="8">
        <v>0.4</v>
      </c>
      <c r="H55" s="1">
        <v>40</v>
      </c>
      <c r="I55" s="1" t="s">
        <v>41</v>
      </c>
      <c r="J55" s="1"/>
      <c r="K55" s="1">
        <v>87</v>
      </c>
      <c r="L55" s="1">
        <f t="shared" si="20"/>
        <v>-18</v>
      </c>
      <c r="M55" s="1">
        <f t="shared" si="21"/>
        <v>69</v>
      </c>
      <c r="N55" s="1"/>
      <c r="O55" s="1"/>
      <c r="P55" s="1">
        <v>0</v>
      </c>
      <c r="Q55" s="1">
        <v>25</v>
      </c>
      <c r="R55" s="1">
        <v>0</v>
      </c>
      <c r="S55" s="1"/>
      <c r="T55" s="1">
        <f t="shared" si="22"/>
        <v>13.8</v>
      </c>
      <c r="U55" s="5">
        <f t="shared" ref="U55:U71" si="24">11*T55-S55-R55-Q55-O55-F55</f>
        <v>68.800000000000011</v>
      </c>
      <c r="V55" s="5">
        <f t="shared" si="8"/>
        <v>68.800000000000011</v>
      </c>
      <c r="W55" s="5"/>
      <c r="X55" s="5">
        <f t="shared" si="9"/>
        <v>68.800000000000011</v>
      </c>
      <c r="Y55" s="5">
        <f t="shared" si="10"/>
        <v>68.800000000000011</v>
      </c>
      <c r="Z55" s="5"/>
      <c r="AA55" s="5"/>
      <c r="AB55" s="1"/>
      <c r="AC55" s="1"/>
      <c r="AD55" s="1">
        <f t="shared" si="11"/>
        <v>11</v>
      </c>
      <c r="AE55" s="1">
        <f t="shared" si="23"/>
        <v>6.0144927536231885</v>
      </c>
      <c r="AF55" s="1">
        <v>10.199999999999999</v>
      </c>
      <c r="AG55" s="1">
        <v>16</v>
      </c>
      <c r="AH55" s="1">
        <v>16</v>
      </c>
      <c r="AI55" s="1">
        <v>12.33333333333333</v>
      </c>
      <c r="AJ55" s="1">
        <v>9.8000000000000007</v>
      </c>
      <c r="AK55" s="1">
        <v>15.4</v>
      </c>
      <c r="AL55" s="1">
        <v>14</v>
      </c>
      <c r="AM55" s="1">
        <v>14.6</v>
      </c>
      <c r="AN55" s="1" t="s">
        <v>101</v>
      </c>
      <c r="AO55" s="1">
        <f t="shared" si="12"/>
        <v>28</v>
      </c>
      <c r="AP55" s="1">
        <f t="shared" si="13"/>
        <v>0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102</v>
      </c>
      <c r="B56" s="1" t="s">
        <v>40</v>
      </c>
      <c r="C56" s="1">
        <v>2.8540000000000001</v>
      </c>
      <c r="D56" s="1">
        <v>647.22400000000005</v>
      </c>
      <c r="E56" s="1">
        <v>309.13499999999999</v>
      </c>
      <c r="F56" s="1">
        <v>140.304</v>
      </c>
      <c r="G56" s="8">
        <v>1</v>
      </c>
      <c r="H56" s="1">
        <v>50</v>
      </c>
      <c r="I56" s="1" t="s">
        <v>41</v>
      </c>
      <c r="J56" s="1"/>
      <c r="K56" s="1">
        <v>437.36799999999999</v>
      </c>
      <c r="L56" s="1">
        <f t="shared" si="20"/>
        <v>-128.233</v>
      </c>
      <c r="M56" s="1">
        <f t="shared" si="21"/>
        <v>201.767</v>
      </c>
      <c r="N56" s="1">
        <v>107.36799999999999</v>
      </c>
      <c r="O56" s="1"/>
      <c r="P56" s="1">
        <v>0</v>
      </c>
      <c r="Q56" s="1">
        <v>0</v>
      </c>
      <c r="R56" s="1">
        <v>0</v>
      </c>
      <c r="S56" s="1"/>
      <c r="T56" s="1">
        <f t="shared" si="22"/>
        <v>40.353400000000001</v>
      </c>
      <c r="U56" s="5">
        <f>9*T56-S56-R56-Q56-O56-F56</f>
        <v>222.87660000000002</v>
      </c>
      <c r="V56" s="5">
        <f t="shared" si="8"/>
        <v>222.87660000000002</v>
      </c>
      <c r="W56" s="5"/>
      <c r="X56" s="5">
        <f t="shared" si="9"/>
        <v>222.87660000000002</v>
      </c>
      <c r="Y56" s="5">
        <f t="shared" si="10"/>
        <v>222.87660000000002</v>
      </c>
      <c r="Z56" s="5"/>
      <c r="AA56" s="5"/>
      <c r="AB56" s="1"/>
      <c r="AC56" s="1"/>
      <c r="AD56" s="1">
        <f t="shared" si="11"/>
        <v>9</v>
      </c>
      <c r="AE56" s="1">
        <f t="shared" si="23"/>
        <v>3.4768817497410378</v>
      </c>
      <c r="AF56" s="1">
        <v>10.4498</v>
      </c>
      <c r="AG56" s="1">
        <v>19.356200000000001</v>
      </c>
      <c r="AH56" s="1">
        <v>39.077166666666663</v>
      </c>
      <c r="AI56" s="1">
        <v>52.681666666666672</v>
      </c>
      <c r="AJ56" s="1">
        <v>34.299999999999997</v>
      </c>
      <c r="AK56" s="1">
        <v>24.556799999999999</v>
      </c>
      <c r="AL56" s="1">
        <v>46.5458</v>
      </c>
      <c r="AM56" s="1">
        <v>33.462800000000001</v>
      </c>
      <c r="AN56" s="1"/>
      <c r="AO56" s="1">
        <f t="shared" si="12"/>
        <v>223</v>
      </c>
      <c r="AP56" s="1">
        <f t="shared" si="13"/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103</v>
      </c>
      <c r="B57" s="1" t="s">
        <v>45</v>
      </c>
      <c r="C57" s="1">
        <v>227</v>
      </c>
      <c r="D57" s="1"/>
      <c r="E57" s="1">
        <v>96</v>
      </c>
      <c r="F57" s="1">
        <v>131</v>
      </c>
      <c r="G57" s="8">
        <v>0.1</v>
      </c>
      <c r="H57" s="1">
        <v>730</v>
      </c>
      <c r="I57" s="1" t="s">
        <v>41</v>
      </c>
      <c r="J57" s="1"/>
      <c r="K57" s="1">
        <v>96</v>
      </c>
      <c r="L57" s="1">
        <f t="shared" si="20"/>
        <v>0</v>
      </c>
      <c r="M57" s="1">
        <f t="shared" si="21"/>
        <v>96</v>
      </c>
      <c r="N57" s="1"/>
      <c r="O57" s="1"/>
      <c r="P57" s="1">
        <v>0</v>
      </c>
      <c r="Q57" s="1">
        <v>0</v>
      </c>
      <c r="R57" s="1">
        <v>35.600000000000023</v>
      </c>
      <c r="S57" s="1"/>
      <c r="T57" s="1">
        <f t="shared" si="22"/>
        <v>19.2</v>
      </c>
      <c r="U57" s="5">
        <f t="shared" si="24"/>
        <v>44.599999999999966</v>
      </c>
      <c r="V57" s="5">
        <f t="shared" si="8"/>
        <v>44.599999999999966</v>
      </c>
      <c r="W57" s="5"/>
      <c r="X57" s="5">
        <f t="shared" si="9"/>
        <v>44.599999999999966</v>
      </c>
      <c r="Y57" s="5">
        <f t="shared" si="10"/>
        <v>44.599999999999966</v>
      </c>
      <c r="Z57" s="5"/>
      <c r="AA57" s="5"/>
      <c r="AB57" s="1"/>
      <c r="AC57" s="1"/>
      <c r="AD57" s="1">
        <f t="shared" si="11"/>
        <v>11</v>
      </c>
      <c r="AE57" s="1">
        <f t="shared" si="23"/>
        <v>8.6770833333333357</v>
      </c>
      <c r="AF57" s="1">
        <v>17.8</v>
      </c>
      <c r="AG57" s="1">
        <v>17</v>
      </c>
      <c r="AH57" s="1">
        <v>12.33333333333333</v>
      </c>
      <c r="AI57" s="1">
        <v>10</v>
      </c>
      <c r="AJ57" s="1">
        <v>15.2</v>
      </c>
      <c r="AK57" s="1">
        <v>27</v>
      </c>
      <c r="AL57" s="1">
        <v>26</v>
      </c>
      <c r="AM57" s="1">
        <v>21</v>
      </c>
      <c r="AN57" s="1"/>
      <c r="AO57" s="1">
        <f t="shared" si="12"/>
        <v>4</v>
      </c>
      <c r="AP57" s="1">
        <f t="shared" si="13"/>
        <v>0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104</v>
      </c>
      <c r="B58" s="1" t="s">
        <v>40</v>
      </c>
      <c r="C58" s="1">
        <v>188.25200000000001</v>
      </c>
      <c r="D58" s="1">
        <v>3460.9960000000001</v>
      </c>
      <c r="E58" s="1">
        <v>625.85299999999995</v>
      </c>
      <c r="F58" s="1">
        <v>2087.5259999999998</v>
      </c>
      <c r="G58" s="8">
        <v>1</v>
      </c>
      <c r="H58" s="1">
        <v>50</v>
      </c>
      <c r="I58" s="1" t="s">
        <v>41</v>
      </c>
      <c r="J58" s="1"/>
      <c r="K58" s="1">
        <v>682.71500000000003</v>
      </c>
      <c r="L58" s="1">
        <f t="shared" si="20"/>
        <v>-56.86200000000008</v>
      </c>
      <c r="M58" s="1">
        <f t="shared" si="21"/>
        <v>546.63799999999992</v>
      </c>
      <c r="N58" s="1">
        <v>79.215000000000003</v>
      </c>
      <c r="O58" s="1">
        <v>387.97703999999999</v>
      </c>
      <c r="P58" s="1">
        <v>0</v>
      </c>
      <c r="Q58" s="1">
        <v>0</v>
      </c>
      <c r="R58" s="1">
        <v>0</v>
      </c>
      <c r="S58" s="1"/>
      <c r="T58" s="1">
        <f t="shared" si="22"/>
        <v>109.32759999999999</v>
      </c>
      <c r="U58" s="5"/>
      <c r="V58" s="5">
        <f t="shared" si="8"/>
        <v>0</v>
      </c>
      <c r="W58" s="5"/>
      <c r="X58" s="5">
        <f t="shared" si="9"/>
        <v>0</v>
      </c>
      <c r="Y58" s="5">
        <f t="shared" si="10"/>
        <v>0</v>
      </c>
      <c r="Z58" s="5"/>
      <c r="AA58" s="5"/>
      <c r="AB58" s="1"/>
      <c r="AC58" s="1"/>
      <c r="AD58" s="1">
        <f t="shared" si="11"/>
        <v>22.642983473523611</v>
      </c>
      <c r="AE58" s="1">
        <f t="shared" si="23"/>
        <v>22.642983473523611</v>
      </c>
      <c r="AF58" s="1">
        <v>108.7816</v>
      </c>
      <c r="AG58" s="1">
        <v>126.9586</v>
      </c>
      <c r="AH58" s="1">
        <v>239.49199999999999</v>
      </c>
      <c r="AI58" s="1">
        <v>312.97966666666667</v>
      </c>
      <c r="AJ58" s="1">
        <v>156.31059999999999</v>
      </c>
      <c r="AK58" s="1">
        <v>140.68879999999999</v>
      </c>
      <c r="AL58" s="1">
        <v>132.6848</v>
      </c>
      <c r="AM58" s="1">
        <v>108.95659999999999</v>
      </c>
      <c r="AN58" s="21" t="s">
        <v>68</v>
      </c>
      <c r="AO58" s="1">
        <f t="shared" si="12"/>
        <v>0</v>
      </c>
      <c r="AP58" s="1">
        <f t="shared" si="13"/>
        <v>0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105</v>
      </c>
      <c r="B59" s="1" t="s">
        <v>40</v>
      </c>
      <c r="C59" s="1">
        <v>39.139000000000003</v>
      </c>
      <c r="D59" s="1">
        <v>22.977</v>
      </c>
      <c r="E59" s="1">
        <v>33.761000000000003</v>
      </c>
      <c r="F59" s="1">
        <v>8.0779999999999994</v>
      </c>
      <c r="G59" s="8">
        <v>1</v>
      </c>
      <c r="H59" s="1">
        <v>50</v>
      </c>
      <c r="I59" s="1" t="s">
        <v>41</v>
      </c>
      <c r="J59" s="1"/>
      <c r="K59" s="1">
        <v>42.17</v>
      </c>
      <c r="L59" s="1">
        <f t="shared" si="20"/>
        <v>-8.4089999999999989</v>
      </c>
      <c r="M59" s="1">
        <f t="shared" si="21"/>
        <v>22.991000000000003</v>
      </c>
      <c r="N59" s="1">
        <v>10.77</v>
      </c>
      <c r="O59" s="1"/>
      <c r="P59" s="1">
        <v>0</v>
      </c>
      <c r="Q59" s="1">
        <v>70.058455999999993</v>
      </c>
      <c r="R59" s="1">
        <v>12.878544</v>
      </c>
      <c r="S59" s="1"/>
      <c r="T59" s="1">
        <f t="shared" si="22"/>
        <v>4.5982000000000003</v>
      </c>
      <c r="U59" s="5"/>
      <c r="V59" s="5">
        <f t="shared" si="8"/>
        <v>0</v>
      </c>
      <c r="W59" s="5"/>
      <c r="X59" s="5">
        <f t="shared" si="9"/>
        <v>0</v>
      </c>
      <c r="Y59" s="5">
        <f t="shared" si="10"/>
        <v>0</v>
      </c>
      <c r="Z59" s="5"/>
      <c r="AA59" s="5"/>
      <c r="AB59" s="1"/>
      <c r="AC59" s="1"/>
      <c r="AD59" s="1">
        <f t="shared" si="11"/>
        <v>19.793614892784131</v>
      </c>
      <c r="AE59" s="1">
        <f t="shared" si="23"/>
        <v>19.793614892784131</v>
      </c>
      <c r="AF59" s="1">
        <v>9.7219999999999995</v>
      </c>
      <c r="AG59" s="1">
        <v>10.9636</v>
      </c>
      <c r="AH59" s="1">
        <v>5.243666666666666</v>
      </c>
      <c r="AI59" s="1">
        <v>8.0398333333333341</v>
      </c>
      <c r="AJ59" s="1">
        <v>9.7560000000000002</v>
      </c>
      <c r="AK59" s="1">
        <v>9.4539999999999988</v>
      </c>
      <c r="AL59" s="1">
        <v>8.9174000000000007</v>
      </c>
      <c r="AM59" s="1">
        <v>7.0279999999999996</v>
      </c>
      <c r="AN59" s="1" t="s">
        <v>106</v>
      </c>
      <c r="AO59" s="1">
        <f t="shared" si="12"/>
        <v>0</v>
      </c>
      <c r="AP59" s="1">
        <f t="shared" si="13"/>
        <v>0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107</v>
      </c>
      <c r="B60" s="1" t="s">
        <v>45</v>
      </c>
      <c r="C60" s="1">
        <v>246</v>
      </c>
      <c r="D60" s="1"/>
      <c r="E60" s="1">
        <v>87</v>
      </c>
      <c r="F60" s="1">
        <v>159</v>
      </c>
      <c r="G60" s="8">
        <v>0.1</v>
      </c>
      <c r="H60" s="1">
        <v>730</v>
      </c>
      <c r="I60" s="1" t="s">
        <v>41</v>
      </c>
      <c r="J60" s="1"/>
      <c r="K60" s="1">
        <v>87</v>
      </c>
      <c r="L60" s="1">
        <f t="shared" si="20"/>
        <v>0</v>
      </c>
      <c r="M60" s="1">
        <f t="shared" si="21"/>
        <v>87</v>
      </c>
      <c r="N60" s="1"/>
      <c r="O60" s="1"/>
      <c r="P60" s="1">
        <v>0</v>
      </c>
      <c r="Q60" s="1">
        <v>0</v>
      </c>
      <c r="R60" s="1">
        <v>40.600000000000023</v>
      </c>
      <c r="S60" s="1"/>
      <c r="T60" s="1">
        <f t="shared" si="22"/>
        <v>17.399999999999999</v>
      </c>
      <c r="U60" s="5"/>
      <c r="V60" s="5">
        <f t="shared" si="8"/>
        <v>0</v>
      </c>
      <c r="W60" s="5"/>
      <c r="X60" s="5">
        <f t="shared" si="9"/>
        <v>0</v>
      </c>
      <c r="Y60" s="5">
        <f t="shared" si="10"/>
        <v>0</v>
      </c>
      <c r="Z60" s="5"/>
      <c r="AA60" s="5"/>
      <c r="AB60" s="1"/>
      <c r="AC60" s="1"/>
      <c r="AD60" s="1">
        <f t="shared" si="11"/>
        <v>11.471264367816094</v>
      </c>
      <c r="AE60" s="1">
        <f t="shared" si="23"/>
        <v>11.471264367816094</v>
      </c>
      <c r="AF60" s="1">
        <v>19.8</v>
      </c>
      <c r="AG60" s="1">
        <v>19.8</v>
      </c>
      <c r="AH60" s="1">
        <v>12.33333333333333</v>
      </c>
      <c r="AI60" s="1">
        <v>10.83333333333333</v>
      </c>
      <c r="AJ60" s="1">
        <v>16.600000000000001</v>
      </c>
      <c r="AK60" s="1">
        <v>26</v>
      </c>
      <c r="AL60" s="1">
        <v>25.4</v>
      </c>
      <c r="AM60" s="1">
        <v>22</v>
      </c>
      <c r="AN60" s="1"/>
      <c r="AO60" s="1">
        <f t="shared" si="12"/>
        <v>0</v>
      </c>
      <c r="AP60" s="1">
        <f t="shared" si="13"/>
        <v>0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108</v>
      </c>
      <c r="B61" s="1" t="s">
        <v>45</v>
      </c>
      <c r="C61" s="1">
        <v>254</v>
      </c>
      <c r="D61" s="1">
        <v>89</v>
      </c>
      <c r="E61" s="1">
        <v>205</v>
      </c>
      <c r="F61" s="1">
        <v>69</v>
      </c>
      <c r="G61" s="8">
        <v>0.4</v>
      </c>
      <c r="H61" s="1">
        <v>50</v>
      </c>
      <c r="I61" s="1" t="s">
        <v>41</v>
      </c>
      <c r="J61" s="1"/>
      <c r="K61" s="1">
        <v>246</v>
      </c>
      <c r="L61" s="1">
        <f t="shared" si="20"/>
        <v>-41</v>
      </c>
      <c r="M61" s="1">
        <f t="shared" si="21"/>
        <v>125</v>
      </c>
      <c r="N61" s="1">
        <v>80</v>
      </c>
      <c r="O61" s="1"/>
      <c r="P61" s="1">
        <v>0</v>
      </c>
      <c r="Q61" s="1">
        <v>0</v>
      </c>
      <c r="R61" s="1">
        <v>51.799999999999947</v>
      </c>
      <c r="S61" s="1"/>
      <c r="T61" s="1">
        <f t="shared" si="22"/>
        <v>25</v>
      </c>
      <c r="U61" s="5">
        <f t="shared" si="24"/>
        <v>154.20000000000005</v>
      </c>
      <c r="V61" s="5">
        <f t="shared" si="8"/>
        <v>154.20000000000005</v>
      </c>
      <c r="W61" s="5"/>
      <c r="X61" s="5">
        <f t="shared" si="9"/>
        <v>154.20000000000005</v>
      </c>
      <c r="Y61" s="5">
        <f t="shared" si="10"/>
        <v>154.20000000000005</v>
      </c>
      <c r="Z61" s="5"/>
      <c r="AA61" s="5"/>
      <c r="AB61" s="1"/>
      <c r="AC61" s="1"/>
      <c r="AD61" s="1">
        <f t="shared" si="11"/>
        <v>11</v>
      </c>
      <c r="AE61" s="1">
        <f t="shared" si="23"/>
        <v>4.8319999999999981</v>
      </c>
      <c r="AF61" s="1">
        <v>21.4</v>
      </c>
      <c r="AG61" s="1">
        <v>16.2</v>
      </c>
      <c r="AH61" s="1">
        <v>17.166666666666671</v>
      </c>
      <c r="AI61" s="1">
        <v>35.833333333333343</v>
      </c>
      <c r="AJ61" s="1">
        <v>41.8</v>
      </c>
      <c r="AK61" s="1">
        <v>21.761199999999999</v>
      </c>
      <c r="AL61" s="1">
        <v>21.6</v>
      </c>
      <c r="AM61" s="1">
        <v>23.8</v>
      </c>
      <c r="AN61" s="1"/>
      <c r="AO61" s="1">
        <f t="shared" si="12"/>
        <v>62</v>
      </c>
      <c r="AP61" s="1">
        <f t="shared" si="13"/>
        <v>0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109</v>
      </c>
      <c r="B62" s="1" t="s">
        <v>40</v>
      </c>
      <c r="C62" s="1">
        <v>69.210999999999999</v>
      </c>
      <c r="D62" s="1">
        <v>112.97199999999999</v>
      </c>
      <c r="E62" s="1">
        <v>127.94199999999999</v>
      </c>
      <c r="F62" s="1">
        <v>2.6829999999999998</v>
      </c>
      <c r="G62" s="8">
        <v>1</v>
      </c>
      <c r="H62" s="1">
        <v>40</v>
      </c>
      <c r="I62" s="1" t="s">
        <v>41</v>
      </c>
      <c r="J62" s="1"/>
      <c r="K62" s="1">
        <v>181.464</v>
      </c>
      <c r="L62" s="1">
        <f t="shared" si="20"/>
        <v>-53.522000000000006</v>
      </c>
      <c r="M62" s="1">
        <f t="shared" si="21"/>
        <v>87.578000000000003</v>
      </c>
      <c r="N62" s="1">
        <v>40.363999999999997</v>
      </c>
      <c r="O62" s="1"/>
      <c r="P62" s="1">
        <v>0</v>
      </c>
      <c r="Q62" s="1">
        <v>0</v>
      </c>
      <c r="R62" s="1">
        <v>126.66459999999999</v>
      </c>
      <c r="S62" s="1"/>
      <c r="T62" s="1">
        <f t="shared" si="22"/>
        <v>17.515599999999999</v>
      </c>
      <c r="U62" s="5">
        <f t="shared" si="24"/>
        <v>63.323999999999991</v>
      </c>
      <c r="V62" s="5">
        <f t="shared" si="8"/>
        <v>63.323999999999991</v>
      </c>
      <c r="W62" s="5"/>
      <c r="X62" s="5">
        <f t="shared" si="9"/>
        <v>63.323999999999991</v>
      </c>
      <c r="Y62" s="5">
        <f t="shared" si="10"/>
        <v>63.323999999999991</v>
      </c>
      <c r="Z62" s="5"/>
      <c r="AA62" s="5"/>
      <c r="AB62" s="1"/>
      <c r="AC62" s="1"/>
      <c r="AD62" s="1">
        <f t="shared" si="11"/>
        <v>11</v>
      </c>
      <c r="AE62" s="1">
        <f t="shared" si="23"/>
        <v>7.3847084884331684</v>
      </c>
      <c r="AF62" s="1">
        <v>17.064800000000002</v>
      </c>
      <c r="AG62" s="1">
        <v>12.2264</v>
      </c>
      <c r="AH62" s="1">
        <v>6.7670000000000003</v>
      </c>
      <c r="AI62" s="1">
        <v>16.099666666666671</v>
      </c>
      <c r="AJ62" s="1">
        <v>10.4344</v>
      </c>
      <c r="AK62" s="1">
        <v>10.0336</v>
      </c>
      <c r="AL62" s="1">
        <v>14.316800000000001</v>
      </c>
      <c r="AM62" s="1">
        <v>7.9794</v>
      </c>
      <c r="AN62" s="1"/>
      <c r="AO62" s="1">
        <f t="shared" si="12"/>
        <v>63</v>
      </c>
      <c r="AP62" s="1">
        <f t="shared" si="13"/>
        <v>0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110</v>
      </c>
      <c r="B63" s="1" t="s">
        <v>40</v>
      </c>
      <c r="C63" s="1">
        <v>76.221000000000004</v>
      </c>
      <c r="D63" s="1">
        <v>65.587000000000003</v>
      </c>
      <c r="E63" s="1">
        <v>87.58</v>
      </c>
      <c r="F63" s="1">
        <v>5.2480000000000002</v>
      </c>
      <c r="G63" s="8">
        <v>1</v>
      </c>
      <c r="H63" s="1">
        <v>40</v>
      </c>
      <c r="I63" s="1" t="s">
        <v>41</v>
      </c>
      <c r="J63" s="1"/>
      <c r="K63" s="1">
        <v>134.14099999999999</v>
      </c>
      <c r="L63" s="1">
        <f t="shared" si="20"/>
        <v>-46.560999999999993</v>
      </c>
      <c r="M63" s="1">
        <f t="shared" si="21"/>
        <v>46.638999999999996</v>
      </c>
      <c r="N63" s="1">
        <v>40.941000000000003</v>
      </c>
      <c r="O63" s="1"/>
      <c r="P63" s="1">
        <v>0</v>
      </c>
      <c r="Q63" s="1">
        <v>0</v>
      </c>
      <c r="R63" s="1">
        <v>4.0033999999999992</v>
      </c>
      <c r="S63" s="1"/>
      <c r="T63" s="1">
        <f t="shared" si="22"/>
        <v>9.3277999999999999</v>
      </c>
      <c r="U63" s="5">
        <f>7*T63-S63-R63-Q63-O63-F63</f>
        <v>56.043200000000006</v>
      </c>
      <c r="V63" s="5">
        <f t="shared" si="8"/>
        <v>56.043200000000006</v>
      </c>
      <c r="W63" s="5"/>
      <c r="X63" s="5">
        <f t="shared" si="9"/>
        <v>56.043200000000006</v>
      </c>
      <c r="Y63" s="5">
        <f t="shared" si="10"/>
        <v>56.043200000000006</v>
      </c>
      <c r="Z63" s="5"/>
      <c r="AA63" s="5"/>
      <c r="AB63" s="1"/>
      <c r="AC63" s="1"/>
      <c r="AD63" s="1">
        <f t="shared" si="11"/>
        <v>7</v>
      </c>
      <c r="AE63" s="1">
        <f t="shared" si="23"/>
        <v>0.99180942987628384</v>
      </c>
      <c r="AF63" s="1">
        <v>6.0221999999999998</v>
      </c>
      <c r="AG63" s="1">
        <v>1.7558</v>
      </c>
      <c r="AH63" s="1">
        <v>1.2138333333333331</v>
      </c>
      <c r="AI63" s="1">
        <v>7.4118333333333331</v>
      </c>
      <c r="AJ63" s="1">
        <v>7.2992000000000008</v>
      </c>
      <c r="AK63" s="1">
        <v>2.4436</v>
      </c>
      <c r="AL63" s="1">
        <v>1.631</v>
      </c>
      <c r="AM63" s="1">
        <v>1.9201999999999999</v>
      </c>
      <c r="AN63" s="1"/>
      <c r="AO63" s="1">
        <f t="shared" si="12"/>
        <v>56</v>
      </c>
      <c r="AP63" s="1">
        <f t="shared" si="13"/>
        <v>0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111</v>
      </c>
      <c r="B64" s="1" t="s">
        <v>45</v>
      </c>
      <c r="C64" s="1">
        <v>837</v>
      </c>
      <c r="D64" s="1">
        <v>304</v>
      </c>
      <c r="E64" s="1">
        <v>841</v>
      </c>
      <c r="F64" s="1">
        <v>15</v>
      </c>
      <c r="G64" s="8">
        <v>0.4</v>
      </c>
      <c r="H64" s="1">
        <v>40</v>
      </c>
      <c r="I64" s="1" t="s">
        <v>41</v>
      </c>
      <c r="J64" s="1"/>
      <c r="K64" s="1">
        <v>1095</v>
      </c>
      <c r="L64" s="1">
        <f t="shared" si="20"/>
        <v>-254</v>
      </c>
      <c r="M64" s="1">
        <f t="shared" si="21"/>
        <v>655</v>
      </c>
      <c r="N64" s="1">
        <v>186</v>
      </c>
      <c r="O64" s="1"/>
      <c r="P64" s="1">
        <v>0</v>
      </c>
      <c r="Q64" s="1">
        <v>533.11778000000004</v>
      </c>
      <c r="R64" s="1">
        <v>253.25599999999989</v>
      </c>
      <c r="S64" s="1">
        <v>200</v>
      </c>
      <c r="T64" s="1">
        <f t="shared" si="22"/>
        <v>131</v>
      </c>
      <c r="U64" s="5">
        <f t="shared" si="24"/>
        <v>439.6262200000001</v>
      </c>
      <c r="V64" s="5">
        <f t="shared" si="8"/>
        <v>439.6262200000001</v>
      </c>
      <c r="W64" s="5"/>
      <c r="X64" s="5">
        <f t="shared" si="9"/>
        <v>439.6262200000001</v>
      </c>
      <c r="Y64" s="5">
        <f t="shared" si="10"/>
        <v>439.6262200000001</v>
      </c>
      <c r="Z64" s="5"/>
      <c r="AA64" s="5"/>
      <c r="AB64" s="1"/>
      <c r="AC64" s="1"/>
      <c r="AD64" s="1">
        <f t="shared" si="11"/>
        <v>11</v>
      </c>
      <c r="AE64" s="1">
        <f t="shared" si="23"/>
        <v>7.6440746564885487</v>
      </c>
      <c r="AF64" s="1">
        <v>120.8</v>
      </c>
      <c r="AG64" s="1">
        <v>126.4</v>
      </c>
      <c r="AH64" s="1">
        <v>117.8333333333333</v>
      </c>
      <c r="AI64" s="1">
        <v>129.16666666666671</v>
      </c>
      <c r="AJ64" s="1">
        <v>150.6</v>
      </c>
      <c r="AK64" s="1">
        <v>182.4</v>
      </c>
      <c r="AL64" s="1">
        <v>162.4</v>
      </c>
      <c r="AM64" s="1">
        <v>141</v>
      </c>
      <c r="AN64" s="1"/>
      <c r="AO64" s="1">
        <f t="shared" si="12"/>
        <v>176</v>
      </c>
      <c r="AP64" s="1">
        <f t="shared" si="13"/>
        <v>0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112</v>
      </c>
      <c r="B65" s="1" t="s">
        <v>45</v>
      </c>
      <c r="C65" s="1">
        <v>438</v>
      </c>
      <c r="D65" s="1">
        <v>645</v>
      </c>
      <c r="E65" s="1">
        <v>725</v>
      </c>
      <c r="F65" s="1">
        <v>197</v>
      </c>
      <c r="G65" s="8">
        <v>0.4</v>
      </c>
      <c r="H65" s="1">
        <v>40</v>
      </c>
      <c r="I65" s="1" t="s">
        <v>41</v>
      </c>
      <c r="J65" s="1"/>
      <c r="K65" s="1">
        <v>840</v>
      </c>
      <c r="L65" s="1">
        <f t="shared" si="20"/>
        <v>-115</v>
      </c>
      <c r="M65" s="1">
        <f t="shared" si="21"/>
        <v>581</v>
      </c>
      <c r="N65" s="1">
        <v>144</v>
      </c>
      <c r="O65" s="1"/>
      <c r="P65" s="1">
        <v>0</v>
      </c>
      <c r="Q65" s="1">
        <v>173.80078</v>
      </c>
      <c r="R65" s="1">
        <v>301.89921999999979</v>
      </c>
      <c r="S65" s="1">
        <v>300</v>
      </c>
      <c r="T65" s="1">
        <f t="shared" si="22"/>
        <v>116.2</v>
      </c>
      <c r="U65" s="5">
        <f t="shared" si="24"/>
        <v>305.50000000000023</v>
      </c>
      <c r="V65" s="5">
        <f t="shared" si="8"/>
        <v>305.50000000000023</v>
      </c>
      <c r="W65" s="5"/>
      <c r="X65" s="5">
        <f t="shared" si="9"/>
        <v>305.50000000000023</v>
      </c>
      <c r="Y65" s="5">
        <f t="shared" si="10"/>
        <v>305.50000000000023</v>
      </c>
      <c r="Z65" s="5"/>
      <c r="AA65" s="5"/>
      <c r="AB65" s="1"/>
      <c r="AC65" s="1"/>
      <c r="AD65" s="1">
        <f t="shared" si="11"/>
        <v>11</v>
      </c>
      <c r="AE65" s="1">
        <f t="shared" si="23"/>
        <v>8.3709122203098083</v>
      </c>
      <c r="AF65" s="1">
        <v>113.6</v>
      </c>
      <c r="AG65" s="1">
        <v>98.6</v>
      </c>
      <c r="AH65" s="1">
        <v>104.5</v>
      </c>
      <c r="AI65" s="1">
        <v>102.5</v>
      </c>
      <c r="AJ65" s="1">
        <v>102.8</v>
      </c>
      <c r="AK65" s="1">
        <v>114.4</v>
      </c>
      <c r="AL65" s="1">
        <v>112.4</v>
      </c>
      <c r="AM65" s="1">
        <v>104.4</v>
      </c>
      <c r="AN65" s="1"/>
      <c r="AO65" s="1">
        <f t="shared" si="12"/>
        <v>122</v>
      </c>
      <c r="AP65" s="1">
        <f t="shared" si="13"/>
        <v>0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113</v>
      </c>
      <c r="B66" s="1" t="s">
        <v>40</v>
      </c>
      <c r="C66" s="1">
        <v>887.94200000000001</v>
      </c>
      <c r="D66" s="1">
        <v>1462.998</v>
      </c>
      <c r="E66" s="1">
        <v>559.524</v>
      </c>
      <c r="F66" s="1">
        <v>1329.607</v>
      </c>
      <c r="G66" s="8">
        <v>1</v>
      </c>
      <c r="H66" s="1">
        <v>40</v>
      </c>
      <c r="I66" s="1" t="s">
        <v>41</v>
      </c>
      <c r="J66" s="1"/>
      <c r="K66" s="1">
        <v>886.53200000000004</v>
      </c>
      <c r="L66" s="1">
        <f t="shared" si="20"/>
        <v>-327.00800000000004</v>
      </c>
      <c r="M66" s="1">
        <f t="shared" si="21"/>
        <v>196.392</v>
      </c>
      <c r="N66" s="1">
        <v>363.13200000000001</v>
      </c>
      <c r="O66" s="1"/>
      <c r="P66" s="1">
        <v>0</v>
      </c>
      <c r="Q66" s="1">
        <v>0</v>
      </c>
      <c r="R66" s="1">
        <v>0</v>
      </c>
      <c r="S66" s="1"/>
      <c r="T66" s="1">
        <f t="shared" si="22"/>
        <v>39.278399999999998</v>
      </c>
      <c r="U66" s="5"/>
      <c r="V66" s="5">
        <f t="shared" si="8"/>
        <v>0</v>
      </c>
      <c r="W66" s="5"/>
      <c r="X66" s="5">
        <f t="shared" si="9"/>
        <v>0</v>
      </c>
      <c r="Y66" s="5">
        <f t="shared" si="10"/>
        <v>0</v>
      </c>
      <c r="Z66" s="5"/>
      <c r="AA66" s="5"/>
      <c r="AB66" s="1"/>
      <c r="AC66" s="1"/>
      <c r="AD66" s="1">
        <f t="shared" si="11"/>
        <v>33.85084422990753</v>
      </c>
      <c r="AE66" s="1">
        <f t="shared" si="23"/>
        <v>33.85084422990753</v>
      </c>
      <c r="AF66" s="1">
        <v>69.317599999999999</v>
      </c>
      <c r="AG66" s="1">
        <v>54.402799999999992</v>
      </c>
      <c r="AH66" s="1">
        <v>109.66549999999999</v>
      </c>
      <c r="AI66" s="1">
        <v>227.04983333333331</v>
      </c>
      <c r="AJ66" s="1">
        <v>231.61019999999999</v>
      </c>
      <c r="AK66" s="1">
        <v>130.88919999999999</v>
      </c>
      <c r="AL66" s="1">
        <v>145.9238</v>
      </c>
      <c r="AM66" s="1">
        <v>154.0566</v>
      </c>
      <c r="AN66" s="1"/>
      <c r="AO66" s="1">
        <f t="shared" si="12"/>
        <v>0</v>
      </c>
      <c r="AP66" s="1">
        <f t="shared" si="13"/>
        <v>0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114</v>
      </c>
      <c r="B67" s="1" t="s">
        <v>40</v>
      </c>
      <c r="C67" s="1">
        <v>8.1790000000000003</v>
      </c>
      <c r="D67" s="1">
        <v>244.596</v>
      </c>
      <c r="E67" s="1">
        <v>102.66</v>
      </c>
      <c r="F67" s="1">
        <v>109.63200000000001</v>
      </c>
      <c r="G67" s="8">
        <v>1</v>
      </c>
      <c r="H67" s="1">
        <v>40</v>
      </c>
      <c r="I67" s="1" t="s">
        <v>41</v>
      </c>
      <c r="J67" s="1"/>
      <c r="K67" s="1">
        <v>147.87299999999999</v>
      </c>
      <c r="L67" s="1">
        <f t="shared" si="20"/>
        <v>-45.212999999999994</v>
      </c>
      <c r="M67" s="1">
        <f t="shared" si="21"/>
        <v>70.287000000000006</v>
      </c>
      <c r="N67" s="1">
        <v>32.372999999999998</v>
      </c>
      <c r="O67" s="1"/>
      <c r="P67" s="1">
        <v>0</v>
      </c>
      <c r="Q67" s="1">
        <v>0</v>
      </c>
      <c r="R67" s="1">
        <v>0</v>
      </c>
      <c r="S67" s="1"/>
      <c r="T67" s="1">
        <f t="shared" si="22"/>
        <v>14.057400000000001</v>
      </c>
      <c r="U67" s="5">
        <f t="shared" si="24"/>
        <v>44.999400000000009</v>
      </c>
      <c r="V67" s="5">
        <f t="shared" si="8"/>
        <v>44.999400000000009</v>
      </c>
      <c r="W67" s="5"/>
      <c r="X67" s="5">
        <f t="shared" si="9"/>
        <v>44.999400000000009</v>
      </c>
      <c r="Y67" s="5">
        <f t="shared" si="10"/>
        <v>44.999400000000009</v>
      </c>
      <c r="Z67" s="5"/>
      <c r="AA67" s="5"/>
      <c r="AB67" s="1"/>
      <c r="AC67" s="1"/>
      <c r="AD67" s="1">
        <f t="shared" si="11"/>
        <v>11</v>
      </c>
      <c r="AE67" s="1">
        <f t="shared" si="23"/>
        <v>7.7988817277732725</v>
      </c>
      <c r="AF67" s="1">
        <v>0.18079999999999999</v>
      </c>
      <c r="AG67" s="1">
        <v>0.38140000000000002</v>
      </c>
      <c r="AH67" s="1">
        <v>17.063499999999991</v>
      </c>
      <c r="AI67" s="1">
        <v>22.588333333333331</v>
      </c>
      <c r="AJ67" s="1">
        <v>19.980599999999999</v>
      </c>
      <c r="AK67" s="1">
        <v>38.773400000000002</v>
      </c>
      <c r="AL67" s="1">
        <v>30.109600000000011</v>
      </c>
      <c r="AM67" s="1">
        <v>11.0832</v>
      </c>
      <c r="AN67" s="1"/>
      <c r="AO67" s="1">
        <f t="shared" si="12"/>
        <v>45</v>
      </c>
      <c r="AP67" s="1">
        <f t="shared" si="13"/>
        <v>0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 t="s">
        <v>115</v>
      </c>
      <c r="B68" s="1" t="s">
        <v>40</v>
      </c>
      <c r="C68" s="1">
        <v>35.786999999999999</v>
      </c>
      <c r="D68" s="1">
        <v>372.33800000000002</v>
      </c>
      <c r="E68" s="1">
        <v>197.506</v>
      </c>
      <c r="F68" s="1">
        <v>52.027999999999999</v>
      </c>
      <c r="G68" s="8">
        <v>1</v>
      </c>
      <c r="H68" s="1">
        <v>40</v>
      </c>
      <c r="I68" s="1" t="s">
        <v>41</v>
      </c>
      <c r="J68" s="1"/>
      <c r="K68" s="1">
        <v>336.44900000000001</v>
      </c>
      <c r="L68" s="1">
        <f t="shared" si="20"/>
        <v>-138.94300000000001</v>
      </c>
      <c r="M68" s="1">
        <f t="shared" si="21"/>
        <v>50.657000000000011</v>
      </c>
      <c r="N68" s="1">
        <v>146.84899999999999</v>
      </c>
      <c r="O68" s="1"/>
      <c r="P68" s="1">
        <v>0</v>
      </c>
      <c r="Q68" s="1">
        <v>0</v>
      </c>
      <c r="R68" s="1">
        <v>13.79780000000008</v>
      </c>
      <c r="S68" s="1"/>
      <c r="T68" s="1">
        <f t="shared" si="22"/>
        <v>10.131400000000003</v>
      </c>
      <c r="U68" s="5">
        <f t="shared" si="24"/>
        <v>45.619599999999956</v>
      </c>
      <c r="V68" s="5">
        <f t="shared" si="8"/>
        <v>45.619599999999956</v>
      </c>
      <c r="W68" s="5"/>
      <c r="X68" s="5">
        <f t="shared" si="9"/>
        <v>45.619599999999956</v>
      </c>
      <c r="Y68" s="5">
        <f t="shared" si="10"/>
        <v>45.619599999999956</v>
      </c>
      <c r="Z68" s="5"/>
      <c r="AA68" s="5"/>
      <c r="AB68" s="1"/>
      <c r="AC68" s="1"/>
      <c r="AD68" s="1">
        <f t="shared" si="11"/>
        <v>11</v>
      </c>
      <c r="AE68" s="1">
        <f t="shared" si="23"/>
        <v>6.4972067039106198</v>
      </c>
      <c r="AF68" s="1">
        <v>17.514399999999998</v>
      </c>
      <c r="AG68" s="1">
        <v>14.438599999999999</v>
      </c>
      <c r="AH68" s="1">
        <v>23.942</v>
      </c>
      <c r="AI68" s="1">
        <v>21.972999999999999</v>
      </c>
      <c r="AJ68" s="1">
        <v>19.435600000000001</v>
      </c>
      <c r="AK68" s="1">
        <v>27.9544</v>
      </c>
      <c r="AL68" s="1">
        <v>15.6214</v>
      </c>
      <c r="AM68" s="1">
        <v>30.359200000000001</v>
      </c>
      <c r="AN68" s="1"/>
      <c r="AO68" s="1">
        <f t="shared" si="12"/>
        <v>46</v>
      </c>
      <c r="AP68" s="1">
        <f t="shared" si="13"/>
        <v>0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116</v>
      </c>
      <c r="B69" s="1" t="s">
        <v>40</v>
      </c>
      <c r="C69" s="1">
        <v>10.222</v>
      </c>
      <c r="D69" s="1">
        <v>148.126</v>
      </c>
      <c r="E69" s="1">
        <v>110.655</v>
      </c>
      <c r="F69" s="1">
        <v>3.9289999999999998</v>
      </c>
      <c r="G69" s="8">
        <v>1</v>
      </c>
      <c r="H69" s="1">
        <v>30</v>
      </c>
      <c r="I69" s="1" t="s">
        <v>41</v>
      </c>
      <c r="J69" s="1"/>
      <c r="K69" s="1">
        <v>153.934</v>
      </c>
      <c r="L69" s="1">
        <f t="shared" si="20"/>
        <v>-43.278999999999996</v>
      </c>
      <c r="M69" s="1">
        <f t="shared" si="21"/>
        <v>110.655</v>
      </c>
      <c r="N69" s="1"/>
      <c r="O69" s="1"/>
      <c r="P69" s="1">
        <v>0</v>
      </c>
      <c r="Q69" s="1">
        <v>30.162600000000019</v>
      </c>
      <c r="R69" s="1">
        <v>18.447900000000018</v>
      </c>
      <c r="S69" s="1"/>
      <c r="T69" s="1">
        <f t="shared" si="22"/>
        <v>22.131</v>
      </c>
      <c r="U69" s="5">
        <f>8*T69-S69-R69-Q69-O69-F69</f>
        <v>124.50849999999997</v>
      </c>
      <c r="V69" s="5">
        <f t="shared" si="8"/>
        <v>124.50849999999997</v>
      </c>
      <c r="W69" s="5"/>
      <c r="X69" s="5">
        <f t="shared" si="9"/>
        <v>124.50849999999997</v>
      </c>
      <c r="Y69" s="5">
        <f t="shared" si="10"/>
        <v>124.50849999999997</v>
      </c>
      <c r="Z69" s="5"/>
      <c r="AA69" s="5"/>
      <c r="AB69" s="1"/>
      <c r="AC69" s="1"/>
      <c r="AD69" s="1">
        <f t="shared" si="11"/>
        <v>8</v>
      </c>
      <c r="AE69" s="1">
        <f t="shared" si="23"/>
        <v>2.3740228638561311</v>
      </c>
      <c r="AF69" s="1">
        <v>12.282</v>
      </c>
      <c r="AG69" s="1">
        <v>12.848599999999999</v>
      </c>
      <c r="AH69" s="1">
        <v>14.042999999999999</v>
      </c>
      <c r="AI69" s="1">
        <v>16.8095</v>
      </c>
      <c r="AJ69" s="1">
        <v>9.7992000000000008</v>
      </c>
      <c r="AK69" s="1">
        <v>16.130199999999999</v>
      </c>
      <c r="AL69" s="1">
        <v>12.4094</v>
      </c>
      <c r="AM69" s="1">
        <v>14.855</v>
      </c>
      <c r="AN69" s="1"/>
      <c r="AO69" s="1">
        <f t="shared" si="12"/>
        <v>125</v>
      </c>
      <c r="AP69" s="1">
        <f t="shared" si="13"/>
        <v>0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117</v>
      </c>
      <c r="B70" s="1" t="s">
        <v>45</v>
      </c>
      <c r="C70" s="1">
        <v>224</v>
      </c>
      <c r="D70" s="1">
        <v>289</v>
      </c>
      <c r="E70" s="1">
        <v>332</v>
      </c>
      <c r="F70" s="1">
        <v>156</v>
      </c>
      <c r="G70" s="8">
        <v>0.6</v>
      </c>
      <c r="H70" s="1">
        <v>60</v>
      </c>
      <c r="I70" s="11" t="s">
        <v>91</v>
      </c>
      <c r="J70" s="1"/>
      <c r="K70" s="1">
        <v>332</v>
      </c>
      <c r="L70" s="1">
        <f t="shared" ref="L70:L98" si="25">E70-K70</f>
        <v>0</v>
      </c>
      <c r="M70" s="1">
        <f t="shared" ref="M70:M98" si="26">E70-N70</f>
        <v>332</v>
      </c>
      <c r="N70" s="1"/>
      <c r="O70" s="1"/>
      <c r="P70" s="1">
        <v>0</v>
      </c>
      <c r="Q70" s="1">
        <v>0</v>
      </c>
      <c r="R70" s="1">
        <v>199.2</v>
      </c>
      <c r="S70" s="1">
        <v>300</v>
      </c>
      <c r="T70" s="1">
        <f t="shared" ref="T70:T98" si="27">M70/5</f>
        <v>66.400000000000006</v>
      </c>
      <c r="U70" s="5">
        <f t="shared" si="24"/>
        <v>75.200000000000102</v>
      </c>
      <c r="V70" s="5">
        <f t="shared" si="8"/>
        <v>75.200000000000102</v>
      </c>
      <c r="W70" s="5"/>
      <c r="X70" s="5">
        <f t="shared" si="9"/>
        <v>75.200000000000102</v>
      </c>
      <c r="Y70" s="5">
        <f t="shared" si="10"/>
        <v>75.200000000000102</v>
      </c>
      <c r="Z70" s="5"/>
      <c r="AA70" s="5"/>
      <c r="AB70" s="1"/>
      <c r="AC70" s="1"/>
      <c r="AD70" s="1">
        <f t="shared" si="11"/>
        <v>11</v>
      </c>
      <c r="AE70" s="1">
        <f t="shared" ref="AE70:AE98" si="28">(F70+O70+Q70+R70+S70)/T70</f>
        <v>9.8674698795180724</v>
      </c>
      <c r="AF70" s="1">
        <v>65.2</v>
      </c>
      <c r="AG70" s="1">
        <v>25</v>
      </c>
      <c r="AH70" s="1">
        <v>35.166666666666657</v>
      </c>
      <c r="AI70" s="1">
        <v>54.666666666666657</v>
      </c>
      <c r="AJ70" s="1">
        <v>42.4</v>
      </c>
      <c r="AK70" s="1">
        <v>57</v>
      </c>
      <c r="AL70" s="1">
        <v>42</v>
      </c>
      <c r="AM70" s="1">
        <v>33.799999999999997</v>
      </c>
      <c r="AN70" s="1" t="s">
        <v>49</v>
      </c>
      <c r="AO70" s="1">
        <f t="shared" si="12"/>
        <v>45</v>
      </c>
      <c r="AP70" s="1">
        <f t="shared" si="13"/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118</v>
      </c>
      <c r="B71" s="1" t="s">
        <v>45</v>
      </c>
      <c r="C71" s="1">
        <v>449</v>
      </c>
      <c r="D71" s="1">
        <v>22</v>
      </c>
      <c r="E71" s="1">
        <v>199</v>
      </c>
      <c r="F71" s="1">
        <v>250</v>
      </c>
      <c r="G71" s="8">
        <v>0.6</v>
      </c>
      <c r="H71" s="1">
        <v>60</v>
      </c>
      <c r="I71" s="1" t="s">
        <v>41</v>
      </c>
      <c r="J71" s="1"/>
      <c r="K71" s="1">
        <v>205</v>
      </c>
      <c r="L71" s="1">
        <f t="shared" si="25"/>
        <v>-6</v>
      </c>
      <c r="M71" s="1">
        <f t="shared" si="26"/>
        <v>199</v>
      </c>
      <c r="N71" s="1"/>
      <c r="O71" s="1"/>
      <c r="P71" s="1">
        <v>0</v>
      </c>
      <c r="Q71" s="1">
        <v>0</v>
      </c>
      <c r="R71" s="1">
        <v>171.2</v>
      </c>
      <c r="S71" s="1"/>
      <c r="T71" s="1">
        <f t="shared" si="27"/>
        <v>39.799999999999997</v>
      </c>
      <c r="U71" s="5">
        <f t="shared" si="24"/>
        <v>16.599999999999966</v>
      </c>
      <c r="V71" s="5">
        <f t="shared" ref="V71:V98" si="29">U71</f>
        <v>16.599999999999966</v>
      </c>
      <c r="W71" s="5"/>
      <c r="X71" s="5">
        <f t="shared" ref="X71:X98" si="30">W71+V71</f>
        <v>16.599999999999966</v>
      </c>
      <c r="Y71" s="5">
        <f t="shared" ref="Y71:Y98" si="31">X71-Z71</f>
        <v>16.599999999999966</v>
      </c>
      <c r="Z71" s="5"/>
      <c r="AA71" s="5"/>
      <c r="AB71" s="1"/>
      <c r="AC71" s="1"/>
      <c r="AD71" s="1">
        <f t="shared" ref="AD71:AD98" si="32">(F71+O71+Q71+R71+S71+X71)/T71</f>
        <v>11</v>
      </c>
      <c r="AE71" s="1">
        <f t="shared" si="28"/>
        <v>10.582914572864322</v>
      </c>
      <c r="AF71" s="1">
        <v>39.200000000000003</v>
      </c>
      <c r="AG71" s="1">
        <v>4.2</v>
      </c>
      <c r="AH71" s="1">
        <v>6.5</v>
      </c>
      <c r="AI71" s="1">
        <v>31.166666666666671</v>
      </c>
      <c r="AJ71" s="1">
        <v>33.4</v>
      </c>
      <c r="AK71" s="1">
        <v>0</v>
      </c>
      <c r="AL71" s="1">
        <v>0</v>
      </c>
      <c r="AM71" s="1">
        <v>0</v>
      </c>
      <c r="AN71" s="1" t="s">
        <v>119</v>
      </c>
      <c r="AO71" s="1">
        <f t="shared" ref="AO71:AO98" si="33">ROUND(G71*Y71,0)</f>
        <v>10</v>
      </c>
      <c r="AP71" s="1">
        <f t="shared" ref="AP71:AP98" si="34">ROUND(G71*Z71,0)</f>
        <v>0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5" t="s">
        <v>120</v>
      </c>
      <c r="B72" s="15" t="s">
        <v>45</v>
      </c>
      <c r="C72" s="15"/>
      <c r="D72" s="15"/>
      <c r="E72" s="15"/>
      <c r="F72" s="15"/>
      <c r="G72" s="16">
        <v>0</v>
      </c>
      <c r="H72" s="15">
        <v>50</v>
      </c>
      <c r="I72" s="15" t="s">
        <v>41</v>
      </c>
      <c r="J72" s="15"/>
      <c r="K72" s="15"/>
      <c r="L72" s="15">
        <f t="shared" si="25"/>
        <v>0</v>
      </c>
      <c r="M72" s="15">
        <f t="shared" si="26"/>
        <v>0</v>
      </c>
      <c r="N72" s="15"/>
      <c r="O72" s="15"/>
      <c r="P72" s="15">
        <v>0</v>
      </c>
      <c r="Q72" s="15">
        <v>0</v>
      </c>
      <c r="R72" s="15">
        <v>0</v>
      </c>
      <c r="S72" s="15"/>
      <c r="T72" s="15">
        <f t="shared" si="27"/>
        <v>0</v>
      </c>
      <c r="U72" s="17"/>
      <c r="V72" s="5">
        <f t="shared" si="29"/>
        <v>0</v>
      </c>
      <c r="W72" s="17"/>
      <c r="X72" s="5">
        <f t="shared" si="30"/>
        <v>0</v>
      </c>
      <c r="Y72" s="5">
        <f t="shared" si="31"/>
        <v>0</v>
      </c>
      <c r="Z72" s="5"/>
      <c r="AA72" s="17"/>
      <c r="AB72" s="15"/>
      <c r="AC72" s="15"/>
      <c r="AD72" s="1" t="e">
        <f t="shared" si="32"/>
        <v>#DIV/0!</v>
      </c>
      <c r="AE72" s="15" t="e">
        <f t="shared" si="28"/>
        <v>#DIV/0!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 t="s">
        <v>60</v>
      </c>
      <c r="AO72" s="1">
        <f t="shared" si="33"/>
        <v>0</v>
      </c>
      <c r="AP72" s="1">
        <f t="shared" si="34"/>
        <v>0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5" t="s">
        <v>121</v>
      </c>
      <c r="B73" s="15" t="s">
        <v>45</v>
      </c>
      <c r="C73" s="15"/>
      <c r="D73" s="15"/>
      <c r="E73" s="15"/>
      <c r="F73" s="15"/>
      <c r="G73" s="16">
        <v>0</v>
      </c>
      <c r="H73" s="15">
        <v>30</v>
      </c>
      <c r="I73" s="15" t="s">
        <v>41</v>
      </c>
      <c r="J73" s="15"/>
      <c r="K73" s="15"/>
      <c r="L73" s="15">
        <f t="shared" si="25"/>
        <v>0</v>
      </c>
      <c r="M73" s="15">
        <f t="shared" si="26"/>
        <v>0</v>
      </c>
      <c r="N73" s="15"/>
      <c r="O73" s="15"/>
      <c r="P73" s="15">
        <v>0</v>
      </c>
      <c r="Q73" s="15">
        <v>0</v>
      </c>
      <c r="R73" s="15">
        <v>0</v>
      </c>
      <c r="S73" s="15"/>
      <c r="T73" s="15">
        <f t="shared" si="27"/>
        <v>0</v>
      </c>
      <c r="U73" s="17"/>
      <c r="V73" s="5">
        <f t="shared" si="29"/>
        <v>0</v>
      </c>
      <c r="W73" s="17"/>
      <c r="X73" s="5">
        <f t="shared" si="30"/>
        <v>0</v>
      </c>
      <c r="Y73" s="5">
        <f t="shared" si="31"/>
        <v>0</v>
      </c>
      <c r="Z73" s="5"/>
      <c r="AA73" s="17"/>
      <c r="AB73" s="15"/>
      <c r="AC73" s="15"/>
      <c r="AD73" s="1" t="e">
        <f t="shared" si="32"/>
        <v>#DIV/0!</v>
      </c>
      <c r="AE73" s="15" t="e">
        <f t="shared" si="28"/>
        <v>#DIV/0!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 t="s">
        <v>60</v>
      </c>
      <c r="AO73" s="1">
        <f t="shared" si="33"/>
        <v>0</v>
      </c>
      <c r="AP73" s="1">
        <f t="shared" si="34"/>
        <v>0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122</v>
      </c>
      <c r="B74" s="1" t="s">
        <v>45</v>
      </c>
      <c r="C74" s="1">
        <v>338</v>
      </c>
      <c r="D74" s="1">
        <v>11</v>
      </c>
      <c r="E74" s="1">
        <v>187</v>
      </c>
      <c r="F74" s="1">
        <v>151</v>
      </c>
      <c r="G74" s="8">
        <v>0.6</v>
      </c>
      <c r="H74" s="1">
        <v>55</v>
      </c>
      <c r="I74" s="11" t="s">
        <v>91</v>
      </c>
      <c r="J74" s="1"/>
      <c r="K74" s="1">
        <v>181</v>
      </c>
      <c r="L74" s="1">
        <f t="shared" si="25"/>
        <v>6</v>
      </c>
      <c r="M74" s="1">
        <f t="shared" si="26"/>
        <v>131</v>
      </c>
      <c r="N74" s="1">
        <v>56</v>
      </c>
      <c r="O74" s="1"/>
      <c r="P74" s="1">
        <v>0</v>
      </c>
      <c r="Q74" s="1">
        <v>0</v>
      </c>
      <c r="R74" s="1">
        <v>0</v>
      </c>
      <c r="S74" s="1"/>
      <c r="T74" s="1">
        <f t="shared" si="27"/>
        <v>26.2</v>
      </c>
      <c r="U74" s="5">
        <f>11*T74-S74-R74-Q74-O74-F74</f>
        <v>137.19999999999999</v>
      </c>
      <c r="V74" s="5">
        <f t="shared" si="29"/>
        <v>137.19999999999999</v>
      </c>
      <c r="W74" s="5"/>
      <c r="X74" s="5">
        <f t="shared" si="30"/>
        <v>137.19999999999999</v>
      </c>
      <c r="Y74" s="5">
        <f t="shared" si="31"/>
        <v>137.19999999999999</v>
      </c>
      <c r="Z74" s="5"/>
      <c r="AA74" s="5"/>
      <c r="AB74" s="1"/>
      <c r="AC74" s="1"/>
      <c r="AD74" s="1">
        <f t="shared" si="32"/>
        <v>11</v>
      </c>
      <c r="AE74" s="1">
        <f t="shared" si="28"/>
        <v>5.7633587786259541</v>
      </c>
      <c r="AF74" s="1">
        <v>20.2</v>
      </c>
      <c r="AG74" s="1">
        <v>13.4</v>
      </c>
      <c r="AH74" s="1">
        <v>19.5</v>
      </c>
      <c r="AI74" s="1">
        <v>28.5</v>
      </c>
      <c r="AJ74" s="1">
        <v>27.6</v>
      </c>
      <c r="AK74" s="1">
        <v>30.6</v>
      </c>
      <c r="AL74" s="1">
        <v>37.4</v>
      </c>
      <c r="AM74" s="1">
        <v>31</v>
      </c>
      <c r="AN74" s="1"/>
      <c r="AO74" s="1">
        <f t="shared" si="33"/>
        <v>82</v>
      </c>
      <c r="AP74" s="1">
        <f t="shared" si="34"/>
        <v>0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5" t="s">
        <v>123</v>
      </c>
      <c r="B75" s="15" t="s">
        <v>45</v>
      </c>
      <c r="C75" s="15"/>
      <c r="D75" s="15"/>
      <c r="E75" s="15"/>
      <c r="F75" s="15"/>
      <c r="G75" s="16">
        <v>0</v>
      </c>
      <c r="H75" s="15">
        <v>40</v>
      </c>
      <c r="I75" s="15" t="s">
        <v>41</v>
      </c>
      <c r="J75" s="15"/>
      <c r="K75" s="15"/>
      <c r="L75" s="15">
        <f t="shared" si="25"/>
        <v>0</v>
      </c>
      <c r="M75" s="15">
        <f t="shared" si="26"/>
        <v>0</v>
      </c>
      <c r="N75" s="15"/>
      <c r="O75" s="15"/>
      <c r="P75" s="15">
        <v>0</v>
      </c>
      <c r="Q75" s="15">
        <v>0</v>
      </c>
      <c r="R75" s="15">
        <v>0</v>
      </c>
      <c r="S75" s="15"/>
      <c r="T75" s="15">
        <f t="shared" si="27"/>
        <v>0</v>
      </c>
      <c r="U75" s="17"/>
      <c r="V75" s="5">
        <f t="shared" si="29"/>
        <v>0</v>
      </c>
      <c r="W75" s="17"/>
      <c r="X75" s="5">
        <f t="shared" si="30"/>
        <v>0</v>
      </c>
      <c r="Y75" s="5">
        <f t="shared" si="31"/>
        <v>0</v>
      </c>
      <c r="Z75" s="5"/>
      <c r="AA75" s="17"/>
      <c r="AB75" s="15"/>
      <c r="AC75" s="15"/>
      <c r="AD75" s="1" t="e">
        <f t="shared" si="32"/>
        <v>#DIV/0!</v>
      </c>
      <c r="AE75" s="15" t="e">
        <f t="shared" si="28"/>
        <v>#DIV/0!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 t="s">
        <v>124</v>
      </c>
      <c r="AO75" s="1">
        <f t="shared" si="33"/>
        <v>0</v>
      </c>
      <c r="AP75" s="1">
        <f t="shared" si="34"/>
        <v>0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125</v>
      </c>
      <c r="B76" s="1" t="s">
        <v>45</v>
      </c>
      <c r="C76" s="1">
        <v>45</v>
      </c>
      <c r="D76" s="1">
        <v>110</v>
      </c>
      <c r="E76" s="1">
        <v>78</v>
      </c>
      <c r="F76" s="1">
        <v>57</v>
      </c>
      <c r="G76" s="8">
        <v>0.4</v>
      </c>
      <c r="H76" s="1">
        <v>50</v>
      </c>
      <c r="I76" s="1" t="s">
        <v>41</v>
      </c>
      <c r="J76" s="1"/>
      <c r="K76" s="1">
        <v>85</v>
      </c>
      <c r="L76" s="1">
        <f t="shared" si="25"/>
        <v>-7</v>
      </c>
      <c r="M76" s="1">
        <f t="shared" si="26"/>
        <v>72</v>
      </c>
      <c r="N76" s="1">
        <v>6</v>
      </c>
      <c r="O76" s="1"/>
      <c r="P76" s="1">
        <v>0</v>
      </c>
      <c r="Q76" s="1">
        <v>0</v>
      </c>
      <c r="R76" s="1">
        <v>79.800000000000011</v>
      </c>
      <c r="S76" s="1"/>
      <c r="T76" s="1">
        <f t="shared" si="27"/>
        <v>14.4</v>
      </c>
      <c r="U76" s="5">
        <f>11*T76-S76-R76-Q76-O76-F76</f>
        <v>21.599999999999994</v>
      </c>
      <c r="V76" s="5">
        <f t="shared" si="29"/>
        <v>21.599999999999994</v>
      </c>
      <c r="W76" s="5"/>
      <c r="X76" s="5">
        <f t="shared" si="30"/>
        <v>21.599999999999994</v>
      </c>
      <c r="Y76" s="5">
        <f t="shared" si="31"/>
        <v>21.599999999999994</v>
      </c>
      <c r="Z76" s="5"/>
      <c r="AA76" s="5"/>
      <c r="AB76" s="1"/>
      <c r="AC76" s="1"/>
      <c r="AD76" s="1">
        <f t="shared" si="32"/>
        <v>11</v>
      </c>
      <c r="AE76" s="1">
        <f t="shared" si="28"/>
        <v>9.5</v>
      </c>
      <c r="AF76" s="1">
        <v>14.4</v>
      </c>
      <c r="AG76" s="1">
        <v>8.8000000000000007</v>
      </c>
      <c r="AH76" s="1">
        <v>8.8333333333333339</v>
      </c>
      <c r="AI76" s="1">
        <v>15.83333333333333</v>
      </c>
      <c r="AJ76" s="1">
        <v>11.2</v>
      </c>
      <c r="AK76" s="1">
        <v>9.1999999999999993</v>
      </c>
      <c r="AL76" s="1">
        <v>8.6</v>
      </c>
      <c r="AM76" s="1">
        <v>9.8000000000000007</v>
      </c>
      <c r="AN76" s="1" t="s">
        <v>49</v>
      </c>
      <c r="AO76" s="1">
        <f t="shared" si="33"/>
        <v>9</v>
      </c>
      <c r="AP76" s="1">
        <f t="shared" si="34"/>
        <v>0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5" t="s">
        <v>126</v>
      </c>
      <c r="B77" s="15" t="s">
        <v>45</v>
      </c>
      <c r="C77" s="15"/>
      <c r="D77" s="15"/>
      <c r="E77" s="15"/>
      <c r="F77" s="15"/>
      <c r="G77" s="16">
        <v>0</v>
      </c>
      <c r="H77" s="15">
        <v>55</v>
      </c>
      <c r="I77" s="15" t="s">
        <v>41</v>
      </c>
      <c r="J77" s="15"/>
      <c r="K77" s="15"/>
      <c r="L77" s="15">
        <f t="shared" si="25"/>
        <v>0</v>
      </c>
      <c r="M77" s="15">
        <f t="shared" si="26"/>
        <v>0</v>
      </c>
      <c r="N77" s="15"/>
      <c r="O77" s="15"/>
      <c r="P77" s="15">
        <v>0</v>
      </c>
      <c r="Q77" s="15">
        <v>0</v>
      </c>
      <c r="R77" s="15">
        <v>0</v>
      </c>
      <c r="S77" s="15"/>
      <c r="T77" s="15">
        <f t="shared" si="27"/>
        <v>0</v>
      </c>
      <c r="U77" s="17"/>
      <c r="V77" s="5">
        <f t="shared" si="29"/>
        <v>0</v>
      </c>
      <c r="W77" s="17"/>
      <c r="X77" s="5">
        <f t="shared" si="30"/>
        <v>0</v>
      </c>
      <c r="Y77" s="5">
        <f t="shared" si="31"/>
        <v>0</v>
      </c>
      <c r="Z77" s="5"/>
      <c r="AA77" s="17"/>
      <c r="AB77" s="15"/>
      <c r="AC77" s="15"/>
      <c r="AD77" s="1" t="e">
        <f t="shared" si="32"/>
        <v>#DIV/0!</v>
      </c>
      <c r="AE77" s="15" t="e">
        <f t="shared" si="28"/>
        <v>#DIV/0!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 t="s">
        <v>127</v>
      </c>
      <c r="AO77" s="1">
        <f t="shared" si="33"/>
        <v>0</v>
      </c>
      <c r="AP77" s="1">
        <f t="shared" si="34"/>
        <v>0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128</v>
      </c>
      <c r="B78" s="1" t="s">
        <v>40</v>
      </c>
      <c r="C78" s="1">
        <v>14.47</v>
      </c>
      <c r="D78" s="1"/>
      <c r="E78" s="1">
        <v>10.196</v>
      </c>
      <c r="F78" s="1">
        <v>1.4039999999999999</v>
      </c>
      <c r="G78" s="8">
        <v>1</v>
      </c>
      <c r="H78" s="1">
        <v>55</v>
      </c>
      <c r="I78" s="1" t="s">
        <v>41</v>
      </c>
      <c r="J78" s="1"/>
      <c r="K78" s="1">
        <v>9.1999999999999993</v>
      </c>
      <c r="L78" s="1">
        <f t="shared" si="25"/>
        <v>0.99600000000000044</v>
      </c>
      <c r="M78" s="1">
        <f t="shared" si="26"/>
        <v>10.196</v>
      </c>
      <c r="N78" s="1"/>
      <c r="O78" s="1"/>
      <c r="P78" s="1">
        <v>0</v>
      </c>
      <c r="Q78" s="1">
        <v>0</v>
      </c>
      <c r="R78" s="1">
        <v>4</v>
      </c>
      <c r="S78" s="1"/>
      <c r="T78" s="1">
        <f t="shared" si="27"/>
        <v>2.0392000000000001</v>
      </c>
      <c r="U78" s="5">
        <f>9*T78-S78-R78-Q78-O78-F78</f>
        <v>12.948800000000002</v>
      </c>
      <c r="V78" s="5">
        <f t="shared" si="29"/>
        <v>12.948800000000002</v>
      </c>
      <c r="W78" s="5"/>
      <c r="X78" s="5">
        <f t="shared" si="30"/>
        <v>12.948800000000002</v>
      </c>
      <c r="Y78" s="5">
        <f t="shared" si="31"/>
        <v>12.948800000000002</v>
      </c>
      <c r="Z78" s="5"/>
      <c r="AA78" s="5"/>
      <c r="AB78" s="1"/>
      <c r="AC78" s="1"/>
      <c r="AD78" s="1">
        <f t="shared" si="32"/>
        <v>9</v>
      </c>
      <c r="AE78" s="1">
        <f t="shared" si="28"/>
        <v>2.650058846606512</v>
      </c>
      <c r="AF78" s="1">
        <v>1.1514</v>
      </c>
      <c r="AG78" s="1">
        <v>1.147</v>
      </c>
      <c r="AH78" s="1">
        <v>1.1916666666666671</v>
      </c>
      <c r="AI78" s="1">
        <v>1.1919999999999999</v>
      </c>
      <c r="AJ78" s="1">
        <v>0.57440000000000002</v>
      </c>
      <c r="AK78" s="1">
        <v>1.1484000000000001</v>
      </c>
      <c r="AL78" s="1">
        <v>1.4388000000000001</v>
      </c>
      <c r="AM78" s="1">
        <v>1.7248000000000001</v>
      </c>
      <c r="AN78" s="1"/>
      <c r="AO78" s="1">
        <f t="shared" si="33"/>
        <v>13</v>
      </c>
      <c r="AP78" s="1">
        <f t="shared" si="34"/>
        <v>0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129</v>
      </c>
      <c r="B79" s="1" t="s">
        <v>40</v>
      </c>
      <c r="C79" s="1">
        <v>1991.421</v>
      </c>
      <c r="D79" s="1">
        <v>3693.6509999999998</v>
      </c>
      <c r="E79" s="1">
        <v>2216.8609999999999</v>
      </c>
      <c r="F79" s="1">
        <v>2926.098</v>
      </c>
      <c r="G79" s="8">
        <v>1</v>
      </c>
      <c r="H79" s="1">
        <v>60</v>
      </c>
      <c r="I79" s="1" t="s">
        <v>41</v>
      </c>
      <c r="J79" s="1"/>
      <c r="K79" s="1">
        <v>2547.09</v>
      </c>
      <c r="L79" s="1">
        <f t="shared" si="25"/>
        <v>-330.22900000000027</v>
      </c>
      <c r="M79" s="1">
        <f t="shared" si="26"/>
        <v>1917.6909999999998</v>
      </c>
      <c r="N79" s="1">
        <v>299.17</v>
      </c>
      <c r="O79" s="1">
        <v>773.03133000000014</v>
      </c>
      <c r="P79" s="1">
        <v>0</v>
      </c>
      <c r="Q79" s="1">
        <v>0</v>
      </c>
      <c r="R79" s="1">
        <v>0</v>
      </c>
      <c r="S79" s="1"/>
      <c r="T79" s="1">
        <f t="shared" si="27"/>
        <v>383.53819999999996</v>
      </c>
      <c r="U79" s="5">
        <f t="shared" ref="U79:U86" si="35">11*T79-S79-R79-Q79-O79-F79</f>
        <v>519.79086999999936</v>
      </c>
      <c r="V79" s="5">
        <f t="shared" si="29"/>
        <v>519.79086999999936</v>
      </c>
      <c r="W79" s="5">
        <f t="shared" ref="W79:W80" si="36">$W$1*T79</f>
        <v>862.96094999999991</v>
      </c>
      <c r="X79" s="5">
        <f t="shared" si="30"/>
        <v>1382.7518199999993</v>
      </c>
      <c r="Y79" s="5">
        <f t="shared" si="31"/>
        <v>482.75181999999927</v>
      </c>
      <c r="Z79" s="5">
        <v>900</v>
      </c>
      <c r="AA79" s="5"/>
      <c r="AB79" s="1"/>
      <c r="AC79" s="1"/>
      <c r="AD79" s="1">
        <f t="shared" si="32"/>
        <v>13.25</v>
      </c>
      <c r="AE79" s="1">
        <f t="shared" si="28"/>
        <v>9.6447481111399096</v>
      </c>
      <c r="AF79" s="1">
        <v>415.07600000000002</v>
      </c>
      <c r="AG79" s="1">
        <v>388.7432</v>
      </c>
      <c r="AH79" s="1">
        <v>477.17983333333342</v>
      </c>
      <c r="AI79" s="1">
        <v>512.40033333333338</v>
      </c>
      <c r="AJ79" s="1">
        <v>422.93639999999988</v>
      </c>
      <c r="AK79" s="1">
        <v>386.452</v>
      </c>
      <c r="AL79" s="1">
        <v>363.56479999999999</v>
      </c>
      <c r="AM79" s="1">
        <v>351.21839999999997</v>
      </c>
      <c r="AN79" s="1" t="s">
        <v>55</v>
      </c>
      <c r="AO79" s="1">
        <f t="shared" si="33"/>
        <v>483</v>
      </c>
      <c r="AP79" s="1">
        <f t="shared" si="34"/>
        <v>900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130</v>
      </c>
      <c r="B80" s="1" t="s">
        <v>40</v>
      </c>
      <c r="C80" s="1">
        <v>118.28400000000001</v>
      </c>
      <c r="D80" s="1">
        <v>1148.7339999999999</v>
      </c>
      <c r="E80" s="1">
        <v>662.09699999999998</v>
      </c>
      <c r="F80" s="1">
        <v>395.74200000000002</v>
      </c>
      <c r="G80" s="8">
        <v>1</v>
      </c>
      <c r="H80" s="1">
        <v>60</v>
      </c>
      <c r="I80" s="1" t="s">
        <v>41</v>
      </c>
      <c r="J80" s="1"/>
      <c r="K80" s="1">
        <v>842.18899999999996</v>
      </c>
      <c r="L80" s="1">
        <f t="shared" si="25"/>
        <v>-180.09199999999998</v>
      </c>
      <c r="M80" s="1">
        <f t="shared" si="26"/>
        <v>556.92999999999995</v>
      </c>
      <c r="N80" s="1">
        <v>105.167</v>
      </c>
      <c r="O80" s="1">
        <v>172.62800999999999</v>
      </c>
      <c r="P80" s="1">
        <v>0</v>
      </c>
      <c r="Q80" s="1">
        <v>72.36919955999997</v>
      </c>
      <c r="R80" s="1">
        <v>195.4839821066667</v>
      </c>
      <c r="S80" s="1">
        <v>150</v>
      </c>
      <c r="T80" s="1">
        <f t="shared" si="27"/>
        <v>111.386</v>
      </c>
      <c r="U80" s="5">
        <f t="shared" si="35"/>
        <v>239.02280833333322</v>
      </c>
      <c r="V80" s="5">
        <f t="shared" si="29"/>
        <v>239.02280833333322</v>
      </c>
      <c r="W80" s="5">
        <f t="shared" si="36"/>
        <v>250.61849999999998</v>
      </c>
      <c r="X80" s="5">
        <f t="shared" si="30"/>
        <v>489.6413083333332</v>
      </c>
      <c r="Y80" s="5">
        <f t="shared" si="31"/>
        <v>489.6413083333332</v>
      </c>
      <c r="Z80" s="5"/>
      <c r="AA80" s="5"/>
      <c r="AB80" s="1"/>
      <c r="AC80" s="1"/>
      <c r="AD80" s="1">
        <f t="shared" si="32"/>
        <v>13.25</v>
      </c>
      <c r="AE80" s="1">
        <f t="shared" si="28"/>
        <v>8.8541036725142011</v>
      </c>
      <c r="AF80" s="1">
        <v>117.4562</v>
      </c>
      <c r="AG80" s="1">
        <v>117.462</v>
      </c>
      <c r="AH80" s="1">
        <v>106.5605</v>
      </c>
      <c r="AI80" s="1">
        <v>112.21566666666671</v>
      </c>
      <c r="AJ80" s="1">
        <v>93.206400000000002</v>
      </c>
      <c r="AK80" s="1">
        <v>104.95820000000001</v>
      </c>
      <c r="AL80" s="1">
        <v>100.2758</v>
      </c>
      <c r="AM80" s="1">
        <v>97.202000000000012</v>
      </c>
      <c r="AN80" s="1"/>
      <c r="AO80" s="1">
        <f t="shared" si="33"/>
        <v>490</v>
      </c>
      <c r="AP80" s="1">
        <f t="shared" si="34"/>
        <v>0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131</v>
      </c>
      <c r="B81" s="1" t="s">
        <v>40</v>
      </c>
      <c r="C81" s="1">
        <v>268.46899999999999</v>
      </c>
      <c r="D81" s="1">
        <v>4020.6959999999999</v>
      </c>
      <c r="E81" s="1">
        <v>1282.356</v>
      </c>
      <c r="F81" s="1">
        <v>2748.14</v>
      </c>
      <c r="G81" s="8">
        <v>1</v>
      </c>
      <c r="H81" s="1">
        <v>60</v>
      </c>
      <c r="I81" s="1" t="s">
        <v>41</v>
      </c>
      <c r="J81" s="1"/>
      <c r="K81" s="1">
        <v>1399.1849999999999</v>
      </c>
      <c r="L81" s="1">
        <f t="shared" si="25"/>
        <v>-116.82899999999995</v>
      </c>
      <c r="M81" s="1">
        <f t="shared" si="26"/>
        <v>1161.5709999999999</v>
      </c>
      <c r="N81" s="1">
        <v>120.785</v>
      </c>
      <c r="O81" s="1">
        <v>591.74738999999988</v>
      </c>
      <c r="P81" s="1">
        <v>0</v>
      </c>
      <c r="Q81" s="1">
        <v>0</v>
      </c>
      <c r="R81" s="1">
        <v>0</v>
      </c>
      <c r="S81" s="1"/>
      <c r="T81" s="1">
        <f t="shared" si="27"/>
        <v>232.31419999999997</v>
      </c>
      <c r="U81" s="5"/>
      <c r="V81" s="5">
        <f t="shared" si="29"/>
        <v>0</v>
      </c>
      <c r="W81" s="5"/>
      <c r="X81" s="5">
        <f t="shared" si="30"/>
        <v>0</v>
      </c>
      <c r="Y81" s="5">
        <f t="shared" si="31"/>
        <v>0</v>
      </c>
      <c r="Z81" s="5"/>
      <c r="AA81" s="5"/>
      <c r="AB81" s="1"/>
      <c r="AC81" s="1"/>
      <c r="AD81" s="1">
        <f t="shared" si="32"/>
        <v>14.376595963570029</v>
      </c>
      <c r="AE81" s="1">
        <f t="shared" si="28"/>
        <v>14.376595963570029</v>
      </c>
      <c r="AF81" s="1">
        <v>276.44799999999998</v>
      </c>
      <c r="AG81" s="1">
        <v>331.80840000000001</v>
      </c>
      <c r="AH81" s="1">
        <v>365.2761666666666</v>
      </c>
      <c r="AI81" s="1">
        <v>363.50683333333342</v>
      </c>
      <c r="AJ81" s="1">
        <v>260.88420000000002</v>
      </c>
      <c r="AK81" s="1">
        <v>328.93779999999998</v>
      </c>
      <c r="AL81" s="1">
        <v>245.31800000000001</v>
      </c>
      <c r="AM81" s="1">
        <v>205.1558</v>
      </c>
      <c r="AN81" s="1" t="s">
        <v>132</v>
      </c>
      <c r="AO81" s="1">
        <f t="shared" si="33"/>
        <v>0</v>
      </c>
      <c r="AP81" s="1">
        <f t="shared" si="34"/>
        <v>0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64</v>
      </c>
      <c r="B82" s="1" t="s">
        <v>40</v>
      </c>
      <c r="C82" s="1">
        <v>341.17899999999997</v>
      </c>
      <c r="D82" s="1">
        <v>4623.1750000000002</v>
      </c>
      <c r="E82" s="19">
        <f>2087.048+E22</f>
        <v>2092.0559999999996</v>
      </c>
      <c r="F82" s="19">
        <f>1772.847+F22</f>
        <v>1767.8389999999999</v>
      </c>
      <c r="G82" s="8">
        <v>1</v>
      </c>
      <c r="H82" s="1">
        <v>60</v>
      </c>
      <c r="I82" s="1" t="s">
        <v>41</v>
      </c>
      <c r="J82" s="1"/>
      <c r="K82" s="1">
        <v>2409.806</v>
      </c>
      <c r="L82" s="1">
        <f t="shared" si="25"/>
        <v>-317.75000000000045</v>
      </c>
      <c r="M82" s="1">
        <f t="shared" si="26"/>
        <v>1881.6699999999996</v>
      </c>
      <c r="N82" s="1">
        <v>210.386</v>
      </c>
      <c r="O82" s="1">
        <v>705.64121999999998</v>
      </c>
      <c r="P82" s="1">
        <v>149</v>
      </c>
      <c r="Q82" s="1">
        <v>728.71742474000257</v>
      </c>
      <c r="R82" s="1">
        <v>821.30193859333122</v>
      </c>
      <c r="S82" s="1">
        <v>1000</v>
      </c>
      <c r="T82" s="1">
        <f t="shared" si="27"/>
        <v>376.33399999999995</v>
      </c>
      <c r="U82" s="5"/>
      <c r="V82" s="5">
        <f t="shared" si="29"/>
        <v>0</v>
      </c>
      <c r="W82" s="5"/>
      <c r="X82" s="5">
        <f t="shared" si="30"/>
        <v>0</v>
      </c>
      <c r="Y82" s="5">
        <f t="shared" si="31"/>
        <v>0</v>
      </c>
      <c r="Z82" s="5"/>
      <c r="AA82" s="5"/>
      <c r="AB82" s="1"/>
      <c r="AC82" s="1"/>
      <c r="AD82" s="1">
        <f t="shared" si="32"/>
        <v>13.348513775883484</v>
      </c>
      <c r="AE82" s="1">
        <f t="shared" si="28"/>
        <v>13.348513775883484</v>
      </c>
      <c r="AF82" s="1">
        <v>533.49</v>
      </c>
      <c r="AG82" s="1">
        <v>467.63459999999998</v>
      </c>
      <c r="AH82" s="1">
        <v>435.58100000000002</v>
      </c>
      <c r="AI82" s="1">
        <v>470.60383333333328</v>
      </c>
      <c r="AJ82" s="1">
        <v>379.06599999999997</v>
      </c>
      <c r="AK82" s="1">
        <v>346.77960000000002</v>
      </c>
      <c r="AL82" s="1">
        <v>348.16919999999999</v>
      </c>
      <c r="AM82" s="1">
        <v>315.13279999999997</v>
      </c>
      <c r="AN82" s="1" t="s">
        <v>55</v>
      </c>
      <c r="AO82" s="1">
        <f t="shared" si="33"/>
        <v>0</v>
      </c>
      <c r="AP82" s="1">
        <f t="shared" si="34"/>
        <v>0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133</v>
      </c>
      <c r="B83" s="1" t="s">
        <v>40</v>
      </c>
      <c r="C83" s="1">
        <v>24.303000000000001</v>
      </c>
      <c r="D83" s="1">
        <v>12.186999999999999</v>
      </c>
      <c r="E83" s="1">
        <v>17.027000000000001</v>
      </c>
      <c r="F83" s="1">
        <v>7.2759999999999998</v>
      </c>
      <c r="G83" s="8">
        <v>1</v>
      </c>
      <c r="H83" s="1">
        <v>60</v>
      </c>
      <c r="I83" s="1" t="s">
        <v>41</v>
      </c>
      <c r="J83" s="1"/>
      <c r="K83" s="1">
        <v>29.187000000000001</v>
      </c>
      <c r="L83" s="1">
        <f t="shared" si="25"/>
        <v>-12.16</v>
      </c>
      <c r="M83" s="1">
        <f t="shared" si="26"/>
        <v>4.8400000000000016</v>
      </c>
      <c r="N83" s="1">
        <v>12.186999999999999</v>
      </c>
      <c r="O83" s="1"/>
      <c r="P83" s="1">
        <v>0</v>
      </c>
      <c r="Q83" s="1">
        <v>0</v>
      </c>
      <c r="R83" s="1">
        <v>0</v>
      </c>
      <c r="S83" s="1"/>
      <c r="T83" s="1">
        <f t="shared" si="27"/>
        <v>0.9680000000000003</v>
      </c>
      <c r="U83" s="5">
        <v>4</v>
      </c>
      <c r="V83" s="5">
        <f t="shared" si="29"/>
        <v>4</v>
      </c>
      <c r="W83" s="5"/>
      <c r="X83" s="5">
        <f t="shared" si="30"/>
        <v>4</v>
      </c>
      <c r="Y83" s="5">
        <f t="shared" si="31"/>
        <v>4</v>
      </c>
      <c r="Z83" s="5"/>
      <c r="AA83" s="5"/>
      <c r="AB83" s="1"/>
      <c r="AC83" s="1"/>
      <c r="AD83" s="1">
        <f t="shared" si="32"/>
        <v>11.648760330578508</v>
      </c>
      <c r="AE83" s="1">
        <f t="shared" si="28"/>
        <v>7.5165289256198324</v>
      </c>
      <c r="AF83" s="1">
        <v>0.96799999999999997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23" t="s">
        <v>153</v>
      </c>
      <c r="AO83" s="1">
        <f t="shared" si="33"/>
        <v>4</v>
      </c>
      <c r="AP83" s="1">
        <f t="shared" si="34"/>
        <v>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134</v>
      </c>
      <c r="B84" s="1" t="s">
        <v>45</v>
      </c>
      <c r="C84" s="1">
        <v>1</v>
      </c>
      <c r="D84" s="1">
        <v>290</v>
      </c>
      <c r="E84" s="1">
        <v>131</v>
      </c>
      <c r="F84" s="1">
        <v>145</v>
      </c>
      <c r="G84" s="8">
        <v>0.3</v>
      </c>
      <c r="H84" s="1">
        <v>40</v>
      </c>
      <c r="I84" s="1" t="s">
        <v>41</v>
      </c>
      <c r="J84" s="1"/>
      <c r="K84" s="1">
        <v>158</v>
      </c>
      <c r="L84" s="1">
        <f t="shared" si="25"/>
        <v>-27</v>
      </c>
      <c r="M84" s="1">
        <f t="shared" si="26"/>
        <v>131</v>
      </c>
      <c r="N84" s="1"/>
      <c r="O84" s="1"/>
      <c r="P84" s="1">
        <v>0</v>
      </c>
      <c r="Q84" s="1">
        <v>85.779960000000017</v>
      </c>
      <c r="R84" s="1">
        <v>0</v>
      </c>
      <c r="S84" s="1"/>
      <c r="T84" s="1">
        <f t="shared" si="27"/>
        <v>26.2</v>
      </c>
      <c r="U84" s="5">
        <f t="shared" si="35"/>
        <v>57.420039999999972</v>
      </c>
      <c r="V84" s="5">
        <f t="shared" si="29"/>
        <v>57.420039999999972</v>
      </c>
      <c r="W84" s="5"/>
      <c r="X84" s="5">
        <f t="shared" si="30"/>
        <v>57.420039999999972</v>
      </c>
      <c r="Y84" s="5">
        <f t="shared" si="31"/>
        <v>57.420039999999972</v>
      </c>
      <c r="Z84" s="5"/>
      <c r="AA84" s="5"/>
      <c r="AB84" s="1"/>
      <c r="AC84" s="1"/>
      <c r="AD84" s="1">
        <f t="shared" si="32"/>
        <v>11</v>
      </c>
      <c r="AE84" s="1">
        <f t="shared" si="28"/>
        <v>8.8083954198473293</v>
      </c>
      <c r="AF84" s="1">
        <v>22</v>
      </c>
      <c r="AG84" s="1">
        <v>33.200000000000003</v>
      </c>
      <c r="AH84" s="1">
        <v>31.333333333333329</v>
      </c>
      <c r="AI84" s="1">
        <v>30.333333333333329</v>
      </c>
      <c r="AJ84" s="1">
        <v>20.8</v>
      </c>
      <c r="AK84" s="1">
        <v>26.2</v>
      </c>
      <c r="AL84" s="1">
        <v>21.8</v>
      </c>
      <c r="AM84" s="1">
        <v>19.399999999999999</v>
      </c>
      <c r="AN84" s="1"/>
      <c r="AO84" s="1">
        <f t="shared" si="33"/>
        <v>17</v>
      </c>
      <c r="AP84" s="1">
        <f t="shared" si="34"/>
        <v>0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135</v>
      </c>
      <c r="B85" s="1" t="s">
        <v>45</v>
      </c>
      <c r="C85" s="1">
        <v>81</v>
      </c>
      <c r="D85" s="1">
        <v>149</v>
      </c>
      <c r="E85" s="1">
        <v>97</v>
      </c>
      <c r="F85" s="1">
        <v>126</v>
      </c>
      <c r="G85" s="8">
        <v>7.0000000000000007E-2</v>
      </c>
      <c r="H85" s="1">
        <v>90</v>
      </c>
      <c r="I85" s="1" t="s">
        <v>41</v>
      </c>
      <c r="J85" s="1"/>
      <c r="K85" s="1">
        <v>99</v>
      </c>
      <c r="L85" s="1">
        <f t="shared" si="25"/>
        <v>-2</v>
      </c>
      <c r="M85" s="1">
        <f t="shared" si="26"/>
        <v>97</v>
      </c>
      <c r="N85" s="1"/>
      <c r="O85" s="1"/>
      <c r="P85" s="1">
        <v>0</v>
      </c>
      <c r="Q85" s="1">
        <v>0</v>
      </c>
      <c r="R85" s="1">
        <v>59.899999999999977</v>
      </c>
      <c r="S85" s="1"/>
      <c r="T85" s="1">
        <f t="shared" si="27"/>
        <v>19.399999999999999</v>
      </c>
      <c r="U85" s="5">
        <f t="shared" si="35"/>
        <v>27.5</v>
      </c>
      <c r="V85" s="5">
        <f t="shared" si="29"/>
        <v>27.5</v>
      </c>
      <c r="W85" s="5"/>
      <c r="X85" s="5">
        <f t="shared" si="30"/>
        <v>27.5</v>
      </c>
      <c r="Y85" s="5">
        <f t="shared" si="31"/>
        <v>27.5</v>
      </c>
      <c r="Z85" s="5"/>
      <c r="AA85" s="5"/>
      <c r="AB85" s="1"/>
      <c r="AC85" s="1"/>
      <c r="AD85" s="1">
        <f t="shared" si="32"/>
        <v>11</v>
      </c>
      <c r="AE85" s="1">
        <f t="shared" si="28"/>
        <v>9.5824742268041234</v>
      </c>
      <c r="AF85" s="1">
        <v>18.2</v>
      </c>
      <c r="AG85" s="1">
        <v>17.600000000000001</v>
      </c>
      <c r="AH85" s="1">
        <v>19.333333333333329</v>
      </c>
      <c r="AI85" s="1">
        <v>20.5</v>
      </c>
      <c r="AJ85" s="1">
        <v>15</v>
      </c>
      <c r="AK85" s="1">
        <v>10.4</v>
      </c>
      <c r="AL85" s="1">
        <v>7.8</v>
      </c>
      <c r="AM85" s="1">
        <v>11.8</v>
      </c>
      <c r="AN85" s="1"/>
      <c r="AO85" s="1">
        <f t="shared" si="33"/>
        <v>2</v>
      </c>
      <c r="AP85" s="1">
        <f t="shared" si="34"/>
        <v>0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136</v>
      </c>
      <c r="B86" s="1" t="s">
        <v>45</v>
      </c>
      <c r="C86" s="1">
        <v>80</v>
      </c>
      <c r="D86" s="1">
        <v>115</v>
      </c>
      <c r="E86" s="1">
        <v>156</v>
      </c>
      <c r="F86" s="1">
        <v>33</v>
      </c>
      <c r="G86" s="8">
        <v>7.0000000000000007E-2</v>
      </c>
      <c r="H86" s="1">
        <v>90</v>
      </c>
      <c r="I86" s="1" t="s">
        <v>41</v>
      </c>
      <c r="J86" s="1"/>
      <c r="K86" s="1">
        <v>156</v>
      </c>
      <c r="L86" s="1">
        <f t="shared" si="25"/>
        <v>0</v>
      </c>
      <c r="M86" s="1">
        <f t="shared" si="26"/>
        <v>156</v>
      </c>
      <c r="N86" s="1"/>
      <c r="O86" s="1"/>
      <c r="P86" s="1">
        <v>0</v>
      </c>
      <c r="Q86" s="1">
        <v>44.310999999999979</v>
      </c>
      <c r="R86" s="1">
        <v>172.6556666666666</v>
      </c>
      <c r="S86" s="1"/>
      <c r="T86" s="1">
        <f t="shared" si="27"/>
        <v>31.2</v>
      </c>
      <c r="U86" s="5">
        <f t="shared" si="35"/>
        <v>93.233333333333405</v>
      </c>
      <c r="V86" s="5">
        <f t="shared" si="29"/>
        <v>93.233333333333405</v>
      </c>
      <c r="W86" s="5"/>
      <c r="X86" s="5">
        <f t="shared" si="30"/>
        <v>93.233333333333405</v>
      </c>
      <c r="Y86" s="5">
        <f t="shared" si="31"/>
        <v>93.233333333333405</v>
      </c>
      <c r="Z86" s="5"/>
      <c r="AA86" s="5"/>
      <c r="AB86" s="1"/>
      <c r="AC86" s="1"/>
      <c r="AD86" s="1">
        <f t="shared" si="32"/>
        <v>11</v>
      </c>
      <c r="AE86" s="1">
        <f t="shared" si="28"/>
        <v>8.0117521367521345</v>
      </c>
      <c r="AF86" s="1">
        <v>27.4</v>
      </c>
      <c r="AG86" s="1">
        <v>21.4</v>
      </c>
      <c r="AH86" s="1">
        <v>20.666666666666671</v>
      </c>
      <c r="AI86" s="1">
        <v>18.833333333333329</v>
      </c>
      <c r="AJ86" s="1">
        <v>16.8</v>
      </c>
      <c r="AK86" s="1">
        <v>11.6</v>
      </c>
      <c r="AL86" s="1">
        <v>8.8000000000000007</v>
      </c>
      <c r="AM86" s="1">
        <v>11</v>
      </c>
      <c r="AN86" s="1"/>
      <c r="AO86" s="1">
        <f t="shared" si="33"/>
        <v>7</v>
      </c>
      <c r="AP86" s="1">
        <f t="shared" si="34"/>
        <v>0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137</v>
      </c>
      <c r="B87" s="1" t="s">
        <v>45</v>
      </c>
      <c r="C87" s="1">
        <v>57</v>
      </c>
      <c r="D87" s="1">
        <v>127</v>
      </c>
      <c r="E87" s="1">
        <v>50</v>
      </c>
      <c r="F87" s="1">
        <v>133</v>
      </c>
      <c r="G87" s="8">
        <v>7.0000000000000007E-2</v>
      </c>
      <c r="H87" s="1">
        <v>90</v>
      </c>
      <c r="I87" s="1" t="s">
        <v>41</v>
      </c>
      <c r="J87" s="1"/>
      <c r="K87" s="1">
        <v>95</v>
      </c>
      <c r="L87" s="1">
        <f t="shared" si="25"/>
        <v>-45</v>
      </c>
      <c r="M87" s="1">
        <f t="shared" si="26"/>
        <v>50</v>
      </c>
      <c r="N87" s="1"/>
      <c r="O87" s="1"/>
      <c r="P87" s="1">
        <v>0</v>
      </c>
      <c r="Q87" s="1">
        <v>21.399999999999981</v>
      </c>
      <c r="R87" s="1">
        <v>0</v>
      </c>
      <c r="S87" s="1"/>
      <c r="T87" s="1">
        <f t="shared" si="27"/>
        <v>10</v>
      </c>
      <c r="U87" s="5"/>
      <c r="V87" s="5">
        <f t="shared" si="29"/>
        <v>0</v>
      </c>
      <c r="W87" s="5"/>
      <c r="X87" s="5">
        <f t="shared" si="30"/>
        <v>0</v>
      </c>
      <c r="Y87" s="5">
        <f t="shared" si="31"/>
        <v>0</v>
      </c>
      <c r="Z87" s="5"/>
      <c r="AA87" s="5"/>
      <c r="AB87" s="1"/>
      <c r="AC87" s="1"/>
      <c r="AD87" s="1">
        <f t="shared" si="32"/>
        <v>15.439999999999998</v>
      </c>
      <c r="AE87" s="1">
        <f t="shared" si="28"/>
        <v>15.439999999999998</v>
      </c>
      <c r="AF87" s="1">
        <v>10.6</v>
      </c>
      <c r="AG87" s="1">
        <v>18.399999999999999</v>
      </c>
      <c r="AH87" s="1">
        <v>18.833333333333329</v>
      </c>
      <c r="AI87" s="1">
        <v>14</v>
      </c>
      <c r="AJ87" s="1">
        <v>11.2</v>
      </c>
      <c r="AK87" s="1">
        <v>13</v>
      </c>
      <c r="AL87" s="1">
        <v>9.4</v>
      </c>
      <c r="AM87" s="1">
        <v>9.8000000000000007</v>
      </c>
      <c r="AN87" s="1"/>
      <c r="AO87" s="1">
        <f t="shared" si="33"/>
        <v>0</v>
      </c>
      <c r="AP87" s="1">
        <f t="shared" si="34"/>
        <v>0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138</v>
      </c>
      <c r="B88" s="1" t="s">
        <v>45</v>
      </c>
      <c r="C88" s="1">
        <v>84</v>
      </c>
      <c r="D88" s="1">
        <v>112</v>
      </c>
      <c r="E88" s="1">
        <v>81</v>
      </c>
      <c r="F88" s="1">
        <v>111</v>
      </c>
      <c r="G88" s="8">
        <v>0.05</v>
      </c>
      <c r="H88" s="1">
        <v>90</v>
      </c>
      <c r="I88" s="1" t="s">
        <v>41</v>
      </c>
      <c r="J88" s="1"/>
      <c r="K88" s="1">
        <v>82</v>
      </c>
      <c r="L88" s="1">
        <f t="shared" si="25"/>
        <v>-1</v>
      </c>
      <c r="M88" s="1">
        <f t="shared" si="26"/>
        <v>81</v>
      </c>
      <c r="N88" s="1"/>
      <c r="O88" s="1"/>
      <c r="P88" s="1">
        <v>0</v>
      </c>
      <c r="Q88" s="1">
        <v>35.377999999999993</v>
      </c>
      <c r="R88" s="1">
        <v>40.199999999999989</v>
      </c>
      <c r="S88" s="1"/>
      <c r="T88" s="1">
        <f t="shared" si="27"/>
        <v>16.2</v>
      </c>
      <c r="U88" s="5"/>
      <c r="V88" s="5">
        <f t="shared" si="29"/>
        <v>0</v>
      </c>
      <c r="W88" s="5"/>
      <c r="X88" s="5">
        <f t="shared" si="30"/>
        <v>0</v>
      </c>
      <c r="Y88" s="5">
        <f t="shared" si="31"/>
        <v>0</v>
      </c>
      <c r="Z88" s="5"/>
      <c r="AA88" s="5"/>
      <c r="AB88" s="1"/>
      <c r="AC88" s="1"/>
      <c r="AD88" s="1">
        <f t="shared" si="32"/>
        <v>11.517160493827159</v>
      </c>
      <c r="AE88" s="1">
        <f t="shared" si="28"/>
        <v>11.517160493827159</v>
      </c>
      <c r="AF88" s="1">
        <v>17.2</v>
      </c>
      <c r="AG88" s="1">
        <v>19.2</v>
      </c>
      <c r="AH88" s="1">
        <v>17.333333333333329</v>
      </c>
      <c r="AI88" s="1">
        <v>12.5</v>
      </c>
      <c r="AJ88" s="1">
        <v>15.4</v>
      </c>
      <c r="AK88" s="1">
        <v>9.1999999999999993</v>
      </c>
      <c r="AL88" s="1">
        <v>6.8</v>
      </c>
      <c r="AM88" s="1">
        <v>6.6</v>
      </c>
      <c r="AN88" s="1"/>
      <c r="AO88" s="1">
        <f t="shared" si="33"/>
        <v>0</v>
      </c>
      <c r="AP88" s="1">
        <f t="shared" si="34"/>
        <v>0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139</v>
      </c>
      <c r="B89" s="1" t="s">
        <v>45</v>
      </c>
      <c r="C89" s="1">
        <v>118</v>
      </c>
      <c r="D89" s="1">
        <v>109</v>
      </c>
      <c r="E89" s="1">
        <v>61</v>
      </c>
      <c r="F89" s="1">
        <v>164</v>
      </c>
      <c r="G89" s="8">
        <v>0.05</v>
      </c>
      <c r="H89" s="1">
        <v>90</v>
      </c>
      <c r="I89" s="1" t="s">
        <v>41</v>
      </c>
      <c r="J89" s="1"/>
      <c r="K89" s="1">
        <v>62</v>
      </c>
      <c r="L89" s="1">
        <f t="shared" si="25"/>
        <v>-1</v>
      </c>
      <c r="M89" s="1">
        <f t="shared" si="26"/>
        <v>61</v>
      </c>
      <c r="N89" s="1"/>
      <c r="O89" s="1"/>
      <c r="P89" s="1">
        <v>0</v>
      </c>
      <c r="Q89" s="1">
        <v>0</v>
      </c>
      <c r="R89" s="1">
        <v>0</v>
      </c>
      <c r="S89" s="1"/>
      <c r="T89" s="1">
        <f t="shared" si="27"/>
        <v>12.2</v>
      </c>
      <c r="U89" s="5"/>
      <c r="V89" s="5">
        <f t="shared" si="29"/>
        <v>0</v>
      </c>
      <c r="W89" s="5"/>
      <c r="X89" s="5">
        <f t="shared" si="30"/>
        <v>0</v>
      </c>
      <c r="Y89" s="5">
        <f t="shared" si="31"/>
        <v>0</v>
      </c>
      <c r="Z89" s="5"/>
      <c r="AA89" s="5"/>
      <c r="AB89" s="1"/>
      <c r="AC89" s="1"/>
      <c r="AD89" s="1">
        <f t="shared" si="32"/>
        <v>13.442622950819674</v>
      </c>
      <c r="AE89" s="1">
        <f t="shared" si="28"/>
        <v>13.442622950819674</v>
      </c>
      <c r="AF89" s="1">
        <v>12.6</v>
      </c>
      <c r="AG89" s="1">
        <v>14.4</v>
      </c>
      <c r="AH89" s="1">
        <v>18</v>
      </c>
      <c r="AI89" s="1">
        <v>19</v>
      </c>
      <c r="AJ89" s="1">
        <v>16.399999999999999</v>
      </c>
      <c r="AK89" s="1">
        <v>8.8000000000000007</v>
      </c>
      <c r="AL89" s="1">
        <v>7.4</v>
      </c>
      <c r="AM89" s="1">
        <v>9.1999999999999993</v>
      </c>
      <c r="AN89" s="1"/>
      <c r="AO89" s="1">
        <f t="shared" si="33"/>
        <v>0</v>
      </c>
      <c r="AP89" s="1">
        <f t="shared" si="34"/>
        <v>0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140</v>
      </c>
      <c r="B90" s="1" t="s">
        <v>45</v>
      </c>
      <c r="C90" s="1">
        <v>13</v>
      </c>
      <c r="D90" s="1">
        <v>128</v>
      </c>
      <c r="E90" s="1">
        <v>38</v>
      </c>
      <c r="F90" s="1">
        <v>100</v>
      </c>
      <c r="G90" s="8">
        <v>5.5E-2</v>
      </c>
      <c r="H90" s="1">
        <v>90</v>
      </c>
      <c r="I90" s="1" t="s">
        <v>41</v>
      </c>
      <c r="J90" s="1"/>
      <c r="K90" s="1">
        <v>57</v>
      </c>
      <c r="L90" s="1">
        <f t="shared" si="25"/>
        <v>-19</v>
      </c>
      <c r="M90" s="1">
        <f t="shared" si="26"/>
        <v>38</v>
      </c>
      <c r="N90" s="1"/>
      <c r="O90" s="1"/>
      <c r="P90" s="1">
        <v>0</v>
      </c>
      <c r="Q90" s="1">
        <v>0</v>
      </c>
      <c r="R90" s="1">
        <v>0</v>
      </c>
      <c r="S90" s="1"/>
      <c r="T90" s="1">
        <f t="shared" si="27"/>
        <v>7.6</v>
      </c>
      <c r="U90" s="5"/>
      <c r="V90" s="5">
        <f t="shared" si="29"/>
        <v>0</v>
      </c>
      <c r="W90" s="5"/>
      <c r="X90" s="5">
        <f t="shared" si="30"/>
        <v>0</v>
      </c>
      <c r="Y90" s="5">
        <f t="shared" si="31"/>
        <v>0</v>
      </c>
      <c r="Z90" s="5"/>
      <c r="AA90" s="5"/>
      <c r="AB90" s="1"/>
      <c r="AC90" s="1"/>
      <c r="AD90" s="1">
        <f t="shared" si="32"/>
        <v>13.157894736842106</v>
      </c>
      <c r="AE90" s="1">
        <f t="shared" si="28"/>
        <v>13.157894736842106</v>
      </c>
      <c r="AF90" s="1">
        <v>6.8</v>
      </c>
      <c r="AG90" s="1">
        <v>10.6</v>
      </c>
      <c r="AH90" s="1">
        <v>12.16666666666667</v>
      </c>
      <c r="AI90" s="1">
        <v>6.833333333333333</v>
      </c>
      <c r="AJ90" s="1">
        <v>5.4</v>
      </c>
      <c r="AK90" s="1">
        <v>6.2</v>
      </c>
      <c r="AL90" s="1">
        <v>3.4</v>
      </c>
      <c r="AM90" s="1">
        <v>4.5999999999999996</v>
      </c>
      <c r="AN90" s="1"/>
      <c r="AO90" s="1">
        <f t="shared" si="33"/>
        <v>0</v>
      </c>
      <c r="AP90" s="1">
        <f t="shared" si="34"/>
        <v>0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2" t="s">
        <v>141</v>
      </c>
      <c r="B91" s="12" t="s">
        <v>45</v>
      </c>
      <c r="C91" s="12"/>
      <c r="D91" s="12"/>
      <c r="E91" s="12"/>
      <c r="F91" s="12">
        <v>-1</v>
      </c>
      <c r="G91" s="13">
        <v>0</v>
      </c>
      <c r="H91" s="12" t="e">
        <v>#N/A</v>
      </c>
      <c r="I91" s="12" t="s">
        <v>46</v>
      </c>
      <c r="J91" s="12"/>
      <c r="K91" s="12"/>
      <c r="L91" s="12">
        <f t="shared" si="25"/>
        <v>0</v>
      </c>
      <c r="M91" s="12">
        <f t="shared" si="26"/>
        <v>0</v>
      </c>
      <c r="N91" s="12"/>
      <c r="O91" s="12"/>
      <c r="P91" s="12"/>
      <c r="Q91" s="12"/>
      <c r="R91" s="12"/>
      <c r="S91" s="12"/>
      <c r="T91" s="12">
        <f t="shared" si="27"/>
        <v>0</v>
      </c>
      <c r="U91" s="14"/>
      <c r="V91" s="5">
        <f t="shared" si="29"/>
        <v>0</v>
      </c>
      <c r="W91" s="14"/>
      <c r="X91" s="5">
        <f t="shared" si="30"/>
        <v>0</v>
      </c>
      <c r="Y91" s="5">
        <f t="shared" si="31"/>
        <v>0</v>
      </c>
      <c r="Z91" s="5"/>
      <c r="AA91" s="14"/>
      <c r="AB91" s="12"/>
      <c r="AC91" s="12"/>
      <c r="AD91" s="1" t="e">
        <f t="shared" si="32"/>
        <v>#DIV/0!</v>
      </c>
      <c r="AE91" s="12" t="e">
        <f t="shared" si="28"/>
        <v>#DIV/0!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/>
      <c r="AO91" s="1">
        <f t="shared" si="33"/>
        <v>0</v>
      </c>
      <c r="AP91" s="1">
        <f t="shared" si="34"/>
        <v>0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142</v>
      </c>
      <c r="B92" s="1" t="s">
        <v>40</v>
      </c>
      <c r="C92" s="1">
        <v>4205.0010000000002</v>
      </c>
      <c r="D92" s="1">
        <v>1982.902</v>
      </c>
      <c r="E92" s="1">
        <v>4342.6750000000002</v>
      </c>
      <c r="F92" s="1">
        <v>1098.0820000000001</v>
      </c>
      <c r="G92" s="8">
        <v>1</v>
      </c>
      <c r="H92" s="1">
        <v>40</v>
      </c>
      <c r="I92" s="1" t="s">
        <v>41</v>
      </c>
      <c r="J92" s="1"/>
      <c r="K92" s="1">
        <v>4473.2160000000003</v>
      </c>
      <c r="L92" s="1">
        <f t="shared" si="25"/>
        <v>-130.54100000000017</v>
      </c>
      <c r="M92" s="1">
        <f t="shared" si="26"/>
        <v>4052.3900000000003</v>
      </c>
      <c r="N92" s="1">
        <v>290.28500000000003</v>
      </c>
      <c r="O92" s="1"/>
      <c r="P92" s="1">
        <v>0</v>
      </c>
      <c r="Q92" s="1">
        <v>2768.3557661900008</v>
      </c>
      <c r="R92" s="1">
        <v>1048.6160004766659</v>
      </c>
      <c r="S92" s="1">
        <v>1500</v>
      </c>
      <c r="T92" s="1">
        <f t="shared" si="27"/>
        <v>810.47800000000007</v>
      </c>
      <c r="U92" s="5">
        <f t="shared" ref="U92:U97" si="37">11*T92-S92-R92-Q92-O92-F92</f>
        <v>2500.2042333333347</v>
      </c>
      <c r="V92" s="5">
        <f t="shared" si="29"/>
        <v>2500.2042333333347</v>
      </c>
      <c r="W92" s="5"/>
      <c r="X92" s="5">
        <f t="shared" si="30"/>
        <v>2500.2042333333347</v>
      </c>
      <c r="Y92" s="5">
        <f t="shared" si="31"/>
        <v>510.20423333333474</v>
      </c>
      <c r="Z92" s="5">
        <v>1990</v>
      </c>
      <c r="AA92" s="5"/>
      <c r="AB92" s="1"/>
      <c r="AC92" s="1"/>
      <c r="AD92" s="1">
        <f t="shared" si="32"/>
        <v>11.000000000000002</v>
      </c>
      <c r="AE92" s="1">
        <f t="shared" si="28"/>
        <v>7.9151485501971264</v>
      </c>
      <c r="AF92" s="1">
        <v>783.82080000000008</v>
      </c>
      <c r="AG92" s="1">
        <v>744.96319999999992</v>
      </c>
      <c r="AH92" s="1">
        <v>668.07883333333336</v>
      </c>
      <c r="AI92" s="1">
        <v>718.29883333333328</v>
      </c>
      <c r="AJ92" s="1">
        <v>771.76340000000005</v>
      </c>
      <c r="AK92" s="1">
        <v>885.34859999999992</v>
      </c>
      <c r="AL92" s="1">
        <v>846.00020000000006</v>
      </c>
      <c r="AM92" s="1">
        <v>851.7657999999999</v>
      </c>
      <c r="AN92" s="1" t="s">
        <v>55</v>
      </c>
      <c r="AO92" s="1">
        <f t="shared" si="33"/>
        <v>510</v>
      </c>
      <c r="AP92" s="1">
        <f t="shared" si="34"/>
        <v>1990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1" t="s">
        <v>143</v>
      </c>
      <c r="B93" s="1" t="s">
        <v>40</v>
      </c>
      <c r="C93" s="1"/>
      <c r="D93" s="1"/>
      <c r="E93" s="1"/>
      <c r="F93" s="1"/>
      <c r="G93" s="8">
        <v>1</v>
      </c>
      <c r="H93" s="1">
        <v>60</v>
      </c>
      <c r="I93" s="1" t="s">
        <v>41</v>
      </c>
      <c r="J93" s="1"/>
      <c r="K93" s="1"/>
      <c r="L93" s="1">
        <f t="shared" si="25"/>
        <v>0</v>
      </c>
      <c r="M93" s="1">
        <f t="shared" si="26"/>
        <v>0</v>
      </c>
      <c r="N93" s="1"/>
      <c r="O93" s="1"/>
      <c r="P93" s="1">
        <v>0</v>
      </c>
      <c r="Q93" s="1"/>
      <c r="R93" s="11"/>
      <c r="S93" s="1"/>
      <c r="T93" s="1">
        <f t="shared" si="27"/>
        <v>0</v>
      </c>
      <c r="U93" s="18">
        <v>4</v>
      </c>
      <c r="V93" s="5">
        <f t="shared" si="29"/>
        <v>4</v>
      </c>
      <c r="W93" s="18"/>
      <c r="X93" s="5">
        <f t="shared" si="30"/>
        <v>4</v>
      </c>
      <c r="Y93" s="5">
        <f t="shared" si="31"/>
        <v>4</v>
      </c>
      <c r="Z93" s="5"/>
      <c r="AA93" s="5"/>
      <c r="AB93" s="1"/>
      <c r="AC93" s="1"/>
      <c r="AD93" s="1" t="e">
        <f t="shared" si="32"/>
        <v>#DIV/0!</v>
      </c>
      <c r="AE93" s="1" t="e">
        <f t="shared" si="28"/>
        <v>#DIV/0!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1" t="s">
        <v>144</v>
      </c>
      <c r="AO93" s="1">
        <f t="shared" si="33"/>
        <v>4</v>
      </c>
      <c r="AP93" s="1">
        <f t="shared" si="34"/>
        <v>0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145</v>
      </c>
      <c r="B94" s="1" t="s">
        <v>45</v>
      </c>
      <c r="C94" s="1">
        <v>260</v>
      </c>
      <c r="D94" s="1">
        <v>193</v>
      </c>
      <c r="E94" s="1">
        <v>223</v>
      </c>
      <c r="F94" s="1">
        <v>204</v>
      </c>
      <c r="G94" s="8">
        <v>0.3</v>
      </c>
      <c r="H94" s="1">
        <v>40</v>
      </c>
      <c r="I94" s="1" t="s">
        <v>41</v>
      </c>
      <c r="J94" s="1"/>
      <c r="K94" s="1">
        <v>231</v>
      </c>
      <c r="L94" s="1">
        <f t="shared" si="25"/>
        <v>-8</v>
      </c>
      <c r="M94" s="1">
        <f t="shared" si="26"/>
        <v>223</v>
      </c>
      <c r="N94" s="1"/>
      <c r="O94" s="1"/>
      <c r="P94" s="1">
        <v>0</v>
      </c>
      <c r="Q94" s="1">
        <v>0</v>
      </c>
      <c r="R94" s="1">
        <v>227.13333333333321</v>
      </c>
      <c r="S94" s="1"/>
      <c r="T94" s="1">
        <f t="shared" si="27"/>
        <v>44.6</v>
      </c>
      <c r="U94" s="5">
        <f t="shared" si="37"/>
        <v>59.466666666666811</v>
      </c>
      <c r="V94" s="5">
        <f t="shared" si="29"/>
        <v>59.466666666666811</v>
      </c>
      <c r="W94" s="5"/>
      <c r="X94" s="5">
        <f t="shared" si="30"/>
        <v>59.466666666666811</v>
      </c>
      <c r="Y94" s="5">
        <f t="shared" si="31"/>
        <v>59.466666666666811</v>
      </c>
      <c r="Z94" s="5"/>
      <c r="AA94" s="5"/>
      <c r="AB94" s="1"/>
      <c r="AC94" s="1"/>
      <c r="AD94" s="1">
        <f t="shared" si="32"/>
        <v>11</v>
      </c>
      <c r="AE94" s="1">
        <f t="shared" si="28"/>
        <v>9.6666666666666643</v>
      </c>
      <c r="AF94" s="1">
        <v>45.4</v>
      </c>
      <c r="AG94" s="1">
        <v>39</v>
      </c>
      <c r="AH94" s="1">
        <v>45.333333333333343</v>
      </c>
      <c r="AI94" s="1">
        <v>53.666666666666657</v>
      </c>
      <c r="AJ94" s="1">
        <v>44.2</v>
      </c>
      <c r="AK94" s="1">
        <v>44.8</v>
      </c>
      <c r="AL94" s="1">
        <v>41</v>
      </c>
      <c r="AM94" s="1">
        <v>39.200000000000003</v>
      </c>
      <c r="AN94" s="1"/>
      <c r="AO94" s="1">
        <f t="shared" si="33"/>
        <v>18</v>
      </c>
      <c r="AP94" s="1">
        <f t="shared" si="34"/>
        <v>0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146</v>
      </c>
      <c r="B95" s="1" t="s">
        <v>45</v>
      </c>
      <c r="C95" s="1">
        <v>64</v>
      </c>
      <c r="D95" s="1">
        <v>160</v>
      </c>
      <c r="E95" s="1">
        <v>123</v>
      </c>
      <c r="F95" s="1">
        <v>56</v>
      </c>
      <c r="G95" s="8">
        <v>0.3</v>
      </c>
      <c r="H95" s="1">
        <v>40</v>
      </c>
      <c r="I95" s="1" t="s">
        <v>41</v>
      </c>
      <c r="J95" s="1"/>
      <c r="K95" s="1">
        <v>151</v>
      </c>
      <c r="L95" s="1">
        <f t="shared" si="25"/>
        <v>-28</v>
      </c>
      <c r="M95" s="1">
        <f t="shared" si="26"/>
        <v>123</v>
      </c>
      <c r="N95" s="1"/>
      <c r="O95" s="1"/>
      <c r="P95" s="1">
        <v>0</v>
      </c>
      <c r="Q95" s="1">
        <v>25.275639999999949</v>
      </c>
      <c r="R95" s="1">
        <v>141.65769333333341</v>
      </c>
      <c r="S95" s="1"/>
      <c r="T95" s="1">
        <f t="shared" si="27"/>
        <v>24.6</v>
      </c>
      <c r="U95" s="5">
        <f t="shared" si="37"/>
        <v>47.666666666666657</v>
      </c>
      <c r="V95" s="5">
        <f t="shared" si="29"/>
        <v>47.666666666666657</v>
      </c>
      <c r="W95" s="5"/>
      <c r="X95" s="5">
        <f t="shared" si="30"/>
        <v>47.666666666666657</v>
      </c>
      <c r="Y95" s="5">
        <f t="shared" si="31"/>
        <v>47.666666666666657</v>
      </c>
      <c r="Z95" s="5"/>
      <c r="AA95" s="5"/>
      <c r="AB95" s="1"/>
      <c r="AC95" s="1"/>
      <c r="AD95" s="1">
        <f t="shared" si="32"/>
        <v>11</v>
      </c>
      <c r="AE95" s="1">
        <f t="shared" si="28"/>
        <v>9.0623306233062344</v>
      </c>
      <c r="AF95" s="1">
        <v>24.8</v>
      </c>
      <c r="AG95" s="1">
        <v>20.2</v>
      </c>
      <c r="AH95" s="1">
        <v>21.833333333333329</v>
      </c>
      <c r="AI95" s="1">
        <v>25.666666666666671</v>
      </c>
      <c r="AJ95" s="1">
        <v>21.4</v>
      </c>
      <c r="AK95" s="1">
        <v>21.6</v>
      </c>
      <c r="AL95" s="1">
        <v>21.2</v>
      </c>
      <c r="AM95" s="1">
        <v>18.2</v>
      </c>
      <c r="AN95" s="1" t="s">
        <v>147</v>
      </c>
      <c r="AO95" s="1">
        <f t="shared" si="33"/>
        <v>14</v>
      </c>
      <c r="AP95" s="1">
        <f t="shared" si="34"/>
        <v>0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 t="s">
        <v>148</v>
      </c>
      <c r="B96" s="1" t="s">
        <v>40</v>
      </c>
      <c r="C96" s="1">
        <v>74.864999999999995</v>
      </c>
      <c r="D96" s="1">
        <v>133.27799999999999</v>
      </c>
      <c r="E96" s="1">
        <v>43.616</v>
      </c>
      <c r="F96" s="1">
        <v>104.16</v>
      </c>
      <c r="G96" s="8">
        <v>1</v>
      </c>
      <c r="H96" s="1">
        <v>50</v>
      </c>
      <c r="I96" s="1" t="s">
        <v>41</v>
      </c>
      <c r="J96" s="1"/>
      <c r="K96" s="1">
        <v>41.9</v>
      </c>
      <c r="L96" s="1">
        <f t="shared" si="25"/>
        <v>1.7160000000000011</v>
      </c>
      <c r="M96" s="1">
        <f t="shared" si="26"/>
        <v>43.616</v>
      </c>
      <c r="N96" s="1"/>
      <c r="O96" s="1"/>
      <c r="P96" s="1">
        <v>0</v>
      </c>
      <c r="Q96" s="1">
        <v>0</v>
      </c>
      <c r="R96" s="1">
        <v>42.285800000000009</v>
      </c>
      <c r="S96" s="1"/>
      <c r="T96" s="1">
        <f t="shared" si="27"/>
        <v>8.7232000000000003</v>
      </c>
      <c r="U96" s="5"/>
      <c r="V96" s="5">
        <f t="shared" si="29"/>
        <v>0</v>
      </c>
      <c r="W96" s="5"/>
      <c r="X96" s="5">
        <f t="shared" si="30"/>
        <v>0</v>
      </c>
      <c r="Y96" s="5">
        <f t="shared" si="31"/>
        <v>0</v>
      </c>
      <c r="Z96" s="5"/>
      <c r="AA96" s="5"/>
      <c r="AB96" s="1"/>
      <c r="AC96" s="1"/>
      <c r="AD96" s="1">
        <f t="shared" si="32"/>
        <v>16.788082355099046</v>
      </c>
      <c r="AE96" s="1">
        <f t="shared" si="28"/>
        <v>16.788082355099046</v>
      </c>
      <c r="AF96" s="1">
        <v>10.574400000000001</v>
      </c>
      <c r="AG96" s="1">
        <v>7.8301999999999996</v>
      </c>
      <c r="AH96" s="1">
        <v>10.2995</v>
      </c>
      <c r="AI96" s="1">
        <v>12.304</v>
      </c>
      <c r="AJ96" s="1">
        <v>13.163399999999999</v>
      </c>
      <c r="AK96" s="1">
        <v>13.0406</v>
      </c>
      <c r="AL96" s="1">
        <v>11.8812</v>
      </c>
      <c r="AM96" s="1">
        <v>12.0274</v>
      </c>
      <c r="AN96" s="1"/>
      <c r="AO96" s="1">
        <f t="shared" si="33"/>
        <v>0</v>
      </c>
      <c r="AP96" s="1">
        <f t="shared" si="34"/>
        <v>0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 t="s">
        <v>149</v>
      </c>
      <c r="B97" s="1" t="s">
        <v>45</v>
      </c>
      <c r="C97" s="1">
        <v>29</v>
      </c>
      <c r="D97" s="1">
        <v>26</v>
      </c>
      <c r="E97" s="1">
        <v>37</v>
      </c>
      <c r="F97" s="1">
        <v>14</v>
      </c>
      <c r="G97" s="8">
        <v>0.3</v>
      </c>
      <c r="H97" s="1">
        <v>40</v>
      </c>
      <c r="I97" s="1" t="s">
        <v>41</v>
      </c>
      <c r="J97" s="1"/>
      <c r="K97" s="1">
        <v>39</v>
      </c>
      <c r="L97" s="1">
        <f t="shared" si="25"/>
        <v>-2</v>
      </c>
      <c r="M97" s="1">
        <f t="shared" si="26"/>
        <v>37</v>
      </c>
      <c r="N97" s="1"/>
      <c r="O97" s="1"/>
      <c r="P97" s="1">
        <v>0</v>
      </c>
      <c r="Q97" s="1">
        <v>0</v>
      </c>
      <c r="R97" s="1">
        <v>63</v>
      </c>
      <c r="S97" s="1"/>
      <c r="T97" s="1">
        <f t="shared" si="27"/>
        <v>7.4</v>
      </c>
      <c r="U97" s="5">
        <f t="shared" si="37"/>
        <v>4.4000000000000057</v>
      </c>
      <c r="V97" s="5">
        <f t="shared" si="29"/>
        <v>4.4000000000000057</v>
      </c>
      <c r="W97" s="5"/>
      <c r="X97" s="5">
        <f t="shared" si="30"/>
        <v>4.4000000000000057</v>
      </c>
      <c r="Y97" s="5">
        <f t="shared" si="31"/>
        <v>4.4000000000000057</v>
      </c>
      <c r="Z97" s="5"/>
      <c r="AA97" s="5"/>
      <c r="AB97" s="1"/>
      <c r="AC97" s="1"/>
      <c r="AD97" s="1">
        <f t="shared" si="32"/>
        <v>11</v>
      </c>
      <c r="AE97" s="1">
        <f t="shared" si="28"/>
        <v>10.405405405405405</v>
      </c>
      <c r="AF97" s="1">
        <v>8</v>
      </c>
      <c r="AG97" s="1">
        <v>4.4000000000000004</v>
      </c>
      <c r="AH97" s="1">
        <v>4.833333333333333</v>
      </c>
      <c r="AI97" s="1">
        <v>6.833333333333333</v>
      </c>
      <c r="AJ97" s="1">
        <v>7</v>
      </c>
      <c r="AK97" s="1">
        <v>4.8</v>
      </c>
      <c r="AL97" s="1">
        <v>4.2</v>
      </c>
      <c r="AM97" s="1">
        <v>4.5999999999999996</v>
      </c>
      <c r="AN97" s="1"/>
      <c r="AO97" s="1">
        <f t="shared" si="33"/>
        <v>1</v>
      </c>
      <c r="AP97" s="1">
        <f t="shared" si="34"/>
        <v>0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20" t="s">
        <v>150</v>
      </c>
      <c r="B98" s="1" t="s">
        <v>45</v>
      </c>
      <c r="C98" s="1"/>
      <c r="D98" s="1"/>
      <c r="E98" s="1">
        <v>-3</v>
      </c>
      <c r="F98" s="1"/>
      <c r="G98" s="8">
        <v>0.12</v>
      </c>
      <c r="H98" s="1">
        <v>45</v>
      </c>
      <c r="I98" s="1" t="s">
        <v>41</v>
      </c>
      <c r="J98" s="1"/>
      <c r="K98" s="1"/>
      <c r="L98" s="1">
        <f t="shared" si="25"/>
        <v>-3</v>
      </c>
      <c r="M98" s="1">
        <f t="shared" si="26"/>
        <v>-3</v>
      </c>
      <c r="N98" s="1"/>
      <c r="O98" s="1"/>
      <c r="P98" s="1">
        <v>0</v>
      </c>
      <c r="Q98" s="1">
        <v>0</v>
      </c>
      <c r="R98" s="1">
        <v>0</v>
      </c>
      <c r="S98" s="1"/>
      <c r="T98" s="1">
        <f t="shared" si="27"/>
        <v>-0.6</v>
      </c>
      <c r="U98" s="5">
        <v>50</v>
      </c>
      <c r="V98" s="5">
        <f t="shared" si="29"/>
        <v>50</v>
      </c>
      <c r="W98" s="5"/>
      <c r="X98" s="5">
        <f t="shared" si="30"/>
        <v>50</v>
      </c>
      <c r="Y98" s="5">
        <f t="shared" si="31"/>
        <v>50</v>
      </c>
      <c r="Z98" s="5"/>
      <c r="AA98" s="5"/>
      <c r="AB98" s="1"/>
      <c r="AC98" s="1"/>
      <c r="AD98" s="1">
        <f t="shared" si="32"/>
        <v>-83.333333333333343</v>
      </c>
      <c r="AE98" s="1">
        <f t="shared" si="28"/>
        <v>0</v>
      </c>
      <c r="AF98" s="1">
        <v>-0.6</v>
      </c>
      <c r="AG98" s="1">
        <v>0</v>
      </c>
      <c r="AH98" s="1">
        <v>7.333333333333333</v>
      </c>
      <c r="AI98" s="1">
        <v>6.833333333333333</v>
      </c>
      <c r="AJ98" s="1">
        <v>0</v>
      </c>
      <c r="AK98" s="1">
        <v>3.4</v>
      </c>
      <c r="AL98" s="1">
        <v>2.8</v>
      </c>
      <c r="AM98" s="1">
        <v>3.8</v>
      </c>
      <c r="AN98" s="11" t="s">
        <v>151</v>
      </c>
      <c r="AO98" s="1">
        <f t="shared" si="33"/>
        <v>6</v>
      </c>
      <c r="AP98" s="1">
        <f t="shared" si="34"/>
        <v>0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</sheetData>
  <autoFilter ref="A3:AO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2026-01-20T08:18:42Z</dcterms:created>
  <dcterms:modified xsi:type="dcterms:W3CDTF">2026-01-21T09:48:57Z</dcterms:modified>
</cp:coreProperties>
</file>