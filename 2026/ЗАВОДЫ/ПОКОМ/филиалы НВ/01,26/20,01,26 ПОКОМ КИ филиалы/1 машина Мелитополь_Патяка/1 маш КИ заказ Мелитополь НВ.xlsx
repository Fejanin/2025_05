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BC30F531-A829-43FA-9238-230A3C6EC6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Y495" i="1" s="1"/>
  <c r="Z29" i="1"/>
  <c r="BN29" i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Y496" i="1" l="1"/>
  <c r="Z275" i="1"/>
  <c r="Z258" i="1"/>
  <c r="Z318" i="1"/>
  <c r="Z180" i="1"/>
  <c r="Z455" i="1"/>
  <c r="Z418" i="1"/>
  <c r="Z337" i="1"/>
  <c r="Z267" i="1"/>
  <c r="Z242" i="1"/>
  <c r="Z31" i="1"/>
  <c r="Z498" i="1" s="1"/>
  <c r="Y497" i="1"/>
  <c r="X496" i="1"/>
  <c r="Z118" i="1"/>
  <c r="Z63" i="1"/>
  <c r="Y493" i="1"/>
</calcChain>
</file>

<file path=xl/sharedStrings.xml><?xml version="1.0" encoding="utf-8"?>
<sst xmlns="http://schemas.openxmlformats.org/spreadsheetml/2006/main" count="2338" uniqueCount="773">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</sst>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40</v>
      </c>
      <c r="Y40" s="550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41.518518518518519</v>
      </c>
      <c r="BN40" s="64">
        <f>IFERROR(Y40*I40/H40,"0")</f>
        <v>44.84</v>
      </c>
      <c r="BO40" s="64">
        <f>IFERROR(1/J40*(X40/H40),"0")</f>
        <v>5.7870370370370364E-2</v>
      </c>
      <c r="BP40" s="64">
        <f>IFERROR(1/J40*(Y40/H40),"0")</f>
        <v>6.25E-2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70</v>
      </c>
      <c r="Y42" s="550">
        <f>IFERROR(IF(X42="",0,CEILING((X42/$H42),1)*$H42),"")</f>
        <v>70.3</v>
      </c>
      <c r="Z42" s="36">
        <f>IFERROR(IF(Y42=0,"",ROUNDUP(Y42/H42,0)*0.00902),"")</f>
        <v>0.17138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73.594594594594597</v>
      </c>
      <c r="BN42" s="64">
        <f>IFERROR(Y42*I42/H42,"0")</f>
        <v>73.91</v>
      </c>
      <c r="BO42" s="64">
        <f>IFERROR(1/J42*(X42/H42),"0")</f>
        <v>0.14332514332514334</v>
      </c>
      <c r="BP42" s="64">
        <f>IFERROR(1/J42*(Y42/H42),"0")</f>
        <v>0.14393939393939395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22.622622622622622</v>
      </c>
      <c r="Y43" s="551">
        <f>IFERROR(Y40/H40,"0")+IFERROR(Y41/H41,"0")+IFERROR(Y42/H42,"0")</f>
        <v>23</v>
      </c>
      <c r="Z43" s="551">
        <f>IFERROR(IF(Z40="",0,Z40),"0")+IFERROR(IF(Z41="",0,Z41),"0")+IFERROR(IF(Z42="",0,Z42),"0")</f>
        <v>0.24730000000000002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110</v>
      </c>
      <c r="Y44" s="551">
        <f>IFERROR(SUM(Y40:Y42),"0")</f>
        <v>113.5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17</v>
      </c>
      <c r="Y60" s="550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17.645370370370372</v>
      </c>
      <c r="BN60" s="64">
        <f>IFERROR(Y60*I60/H60,"0")</f>
        <v>22.42</v>
      </c>
      <c r="BO60" s="64">
        <f>IFERROR(1/J60*(X60/H60),"0")</f>
        <v>2.4594907407407406E-2</v>
      </c>
      <c r="BP60" s="64">
        <f>IFERROR(1/J60*(Y60/H60),"0")</f>
        <v>3.125E-2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1.574074074074074</v>
      </c>
      <c r="Y63" s="551">
        <f>IFERROR(Y60/H60,"0")+IFERROR(Y61/H61,"0")+IFERROR(Y62/H62,"0")</f>
        <v>2</v>
      </c>
      <c r="Z63" s="551">
        <f>IFERROR(IF(Z60="",0,Z60),"0")+IFERROR(IF(Z61="",0,Z61),"0")+IFERROR(IF(Z62="",0,Z62),"0")</f>
        <v>3.7960000000000001E-2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17</v>
      </c>
      <c r="Y64" s="551">
        <f>IFERROR(SUM(Y60:Y62),"0")</f>
        <v>21.6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50</v>
      </c>
      <c r="Y84" s="550">
        <f>IFERROR(IF(X84="",0,CEILING((X84/$H84),1)*$H84),"")</f>
        <v>54</v>
      </c>
      <c r="Z84" s="36">
        <f>IFERROR(IF(Y84=0,"",ROUNDUP(Y84/H84,0)*0.01898),"")</f>
        <v>9.4899999999999998E-2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51.898148148148145</v>
      </c>
      <c r="BN84" s="64">
        <f>IFERROR(Y84*I84/H84,"0")</f>
        <v>56.05</v>
      </c>
      <c r="BO84" s="64">
        <f>IFERROR(1/J84*(X84/H84),"0")</f>
        <v>7.2337962962962965E-2</v>
      </c>
      <c r="BP84" s="64">
        <f>IFERROR(1/J84*(Y84/H84),"0")</f>
        <v>7.8125E-2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55</v>
      </c>
      <c r="Y87" s="550">
        <f>IFERROR(IF(X87="",0,CEILING((X87/$H87),1)*$H87),"")</f>
        <v>58.5</v>
      </c>
      <c r="Z87" s="36">
        <f>IFERROR(IF(Y87=0,"",ROUNDUP(Y87/H87,0)*0.00902),"")</f>
        <v>0.11726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57.32222222222223</v>
      </c>
      <c r="BN87" s="64">
        <f>IFERROR(Y87*I87/H87,"0")</f>
        <v>60.97</v>
      </c>
      <c r="BO87" s="64">
        <f>IFERROR(1/J87*(X87/H87),"0")</f>
        <v>9.2592592592592587E-2</v>
      </c>
      <c r="BP87" s="64">
        <f>IFERROR(1/J87*(Y87/H87),"0")</f>
        <v>9.8484848484848481E-2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16.851851851851851</v>
      </c>
      <c r="Y88" s="551">
        <f>IFERROR(Y84/H84,"0")+IFERROR(Y85/H85,"0")+IFERROR(Y86/H86,"0")+IFERROR(Y87/H87,"0")</f>
        <v>18</v>
      </c>
      <c r="Z88" s="551">
        <f>IFERROR(IF(Z84="",0,Z84),"0")+IFERROR(IF(Z85="",0,Z85),"0")+IFERROR(IF(Z86="",0,Z86),"0")+IFERROR(IF(Z87="",0,Z87),"0")</f>
        <v>0.21216000000000002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105</v>
      </c>
      <c r="Y89" s="551">
        <f>IFERROR(SUM(Y84:Y87),"0")</f>
        <v>112.5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85</v>
      </c>
      <c r="Y93" s="550">
        <f>IFERROR(IF(X93="",0,CEILING((X93/$H93),1)*$H93),"")</f>
        <v>86.4</v>
      </c>
      <c r="Z93" s="36">
        <f>IFERROR(IF(Y93=0,"",ROUNDUP(Y93/H93,0)*0.00651),"")</f>
        <v>0.20832000000000001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92.933333333333323</v>
      </c>
      <c r="BN93" s="64">
        <f>IFERROR(Y93*I93/H93,"0")</f>
        <v>94.463999999999999</v>
      </c>
      <c r="BO93" s="64">
        <f>IFERROR(1/J93*(X93/H93),"0")</f>
        <v>0.17297517297517298</v>
      </c>
      <c r="BP93" s="64">
        <f>IFERROR(1/J93*(Y93/H93),"0")</f>
        <v>0.17582417582417584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31.481481481481481</v>
      </c>
      <c r="Y95" s="551">
        <f>IFERROR(Y91/H91,"0")+IFERROR(Y92/H92,"0")+IFERROR(Y93/H93,"0")+IFERROR(Y94/H94,"0")</f>
        <v>32</v>
      </c>
      <c r="Z95" s="551">
        <f>IFERROR(IF(Z91="",0,Z91),"0")+IFERROR(IF(Z92="",0,Z92),"0")+IFERROR(IF(Z93="",0,Z93),"0")+IFERROR(IF(Z94="",0,Z94),"0")</f>
        <v>0.20832000000000001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85</v>
      </c>
      <c r="Y96" s="551">
        <f>IFERROR(SUM(Y91:Y94),"0")</f>
        <v>86.4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84</v>
      </c>
      <c r="Y99" s="55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87.188888888888897</v>
      </c>
      <c r="BN99" s="64">
        <f>IFERROR(Y99*I99/H99,"0")</f>
        <v>89.68</v>
      </c>
      <c r="BO99" s="64">
        <f>IFERROR(1/J99*(X99/H99),"0")</f>
        <v>0.12152777777777778</v>
      </c>
      <c r="BP99" s="64">
        <f>IFERROR(1/J99*(Y99/H99),"0")</f>
        <v>0.125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184</v>
      </c>
      <c r="Y102" s="550">
        <f>IFERROR(IF(X102="",0,CEILING((X102/$H102),1)*$H102),"")</f>
        <v>184.5</v>
      </c>
      <c r="Z102" s="36">
        <f>IFERROR(IF(Y102=0,"",ROUNDUP(Y102/H102,0)*0.00902),"")</f>
        <v>0.36982000000000004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191.76888888888891</v>
      </c>
      <c r="BN102" s="64">
        <f>IFERROR(Y102*I102/H102,"0")</f>
        <v>192.29000000000002</v>
      </c>
      <c r="BO102" s="64">
        <f>IFERROR(1/J102*(X102/H102),"0")</f>
        <v>0.30976430976430974</v>
      </c>
      <c r="BP102" s="64">
        <f>IFERROR(1/J102*(Y102/H102),"0")</f>
        <v>0.31060606060606061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48.666666666666664</v>
      </c>
      <c r="Y104" s="551">
        <f>IFERROR(Y99/H99,"0")+IFERROR(Y100/H100,"0")+IFERROR(Y101/H101,"0")+IFERROR(Y102/H102,"0")+IFERROR(Y103/H103,"0")</f>
        <v>49</v>
      </c>
      <c r="Z104" s="551">
        <f>IFERROR(IF(Z99="",0,Z99),"0")+IFERROR(IF(Z100="",0,Z100),"0")+IFERROR(IF(Z101="",0,Z101),"0")+IFERROR(IF(Z102="",0,Z102),"0")+IFERROR(IF(Z103="",0,Z103),"0")</f>
        <v>0.52166000000000001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268</v>
      </c>
      <c r="Y105" s="551">
        <f>IFERROR(SUM(Y99:Y103),"0")</f>
        <v>270.89999999999998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110</v>
      </c>
      <c r="Y114" s="550">
        <f>IFERROR(IF(X114="",0,CEILING((X114/$H114),1)*$H114),"")</f>
        <v>113.39999999999999</v>
      </c>
      <c r="Z114" s="36">
        <f>IFERROR(IF(Y114=0,"",ROUNDUP(Y114/H114,0)*0.01898),"")</f>
        <v>0.26572000000000001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116.62716049382716</v>
      </c>
      <c r="BN114" s="64">
        <f>IFERROR(Y114*I114/H114,"0")</f>
        <v>120.23199999999999</v>
      </c>
      <c r="BO114" s="64">
        <f>IFERROR(1/J114*(X114/H114),"0")</f>
        <v>0.21219135802469136</v>
      </c>
      <c r="BP114" s="64">
        <f>IFERROR(1/J114*(Y114/H114),"0")</f>
        <v>0.21875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126</v>
      </c>
      <c r="Y116" s="550">
        <f>IFERROR(IF(X116="",0,CEILING((X116/$H116),1)*$H116),"")</f>
        <v>126.9</v>
      </c>
      <c r="Z116" s="36">
        <f>IFERROR(IF(Y116=0,"",ROUNDUP(Y116/H116,0)*0.00651),"")</f>
        <v>0.30597000000000002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137.76</v>
      </c>
      <c r="BN116" s="64">
        <f>IFERROR(Y116*I116/H116,"0")</f>
        <v>138.744</v>
      </c>
      <c r="BO116" s="64">
        <f>IFERROR(1/J116*(X116/H116),"0")</f>
        <v>0.25641025641025644</v>
      </c>
      <c r="BP116" s="64">
        <f>IFERROR(1/J116*(Y116/H116),"0")</f>
        <v>0.25824175824175827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60.246913580246911</v>
      </c>
      <c r="Y118" s="551">
        <f>IFERROR(Y114/H114,"0")+IFERROR(Y115/H115,"0")+IFERROR(Y116/H116,"0")+IFERROR(Y117/H117,"0")</f>
        <v>61</v>
      </c>
      <c r="Z118" s="551">
        <f>IFERROR(IF(Z114="",0,Z114),"0")+IFERROR(IF(Z115="",0,Z115),"0")+IFERROR(IF(Z116="",0,Z116),"0")+IFERROR(IF(Z117="",0,Z117),"0")</f>
        <v>0.57169000000000003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236</v>
      </c>
      <c r="Y119" s="551">
        <f>IFERROR(SUM(Y114:Y117),"0")</f>
        <v>240.3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15</v>
      </c>
      <c r="Y168" s="550">
        <f t="shared" si="10"/>
        <v>16.8</v>
      </c>
      <c r="Z168" s="36">
        <f>IFERROR(IF(Y168=0,"",ROUNDUP(Y168/H168,0)*0.00902),"")</f>
        <v>3.6080000000000001E-2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15.678571428571427</v>
      </c>
      <c r="BN168" s="64">
        <f t="shared" si="12"/>
        <v>17.559999999999999</v>
      </c>
      <c r="BO168" s="64">
        <f t="shared" si="13"/>
        <v>2.7056277056277056E-2</v>
      </c>
      <c r="BP168" s="64">
        <f t="shared" si="14"/>
        <v>3.0303030303030304E-2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21</v>
      </c>
      <c r="Y170" s="550">
        <f t="shared" si="10"/>
        <v>21</v>
      </c>
      <c r="Z170" s="36">
        <f>IFERROR(IF(Y170=0,"",ROUNDUP(Y170/H170,0)*0.00502),"")</f>
        <v>5.0200000000000002E-2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22.299999999999997</v>
      </c>
      <c r="BN170" s="64">
        <f t="shared" si="12"/>
        <v>22.299999999999997</v>
      </c>
      <c r="BO170" s="64">
        <f t="shared" si="13"/>
        <v>4.2735042735042736E-2</v>
      </c>
      <c r="BP170" s="64">
        <f t="shared" si="14"/>
        <v>4.2735042735042736E-2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17</v>
      </c>
      <c r="Y175" s="550">
        <f t="shared" si="10"/>
        <v>18</v>
      </c>
      <c r="Z175" s="36">
        <f>IFERROR(IF(Y175=0,"",ROUNDUP(Y175/H175,0)*0.00502),"")</f>
        <v>5.0200000000000002E-2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18.227777777777778</v>
      </c>
      <c r="BN175" s="64">
        <f t="shared" si="12"/>
        <v>19.3</v>
      </c>
      <c r="BO175" s="64">
        <f t="shared" si="13"/>
        <v>4.0360873694207031E-2</v>
      </c>
      <c r="BP175" s="64">
        <f t="shared" si="14"/>
        <v>4.2735042735042736E-2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33</v>
      </c>
      <c r="Y177" s="550">
        <f t="shared" si="10"/>
        <v>33.6</v>
      </c>
      <c r="Z177" s="36">
        <f>IFERROR(IF(Y177=0,"",ROUNDUP(Y177/H177,0)*0.00502),"")</f>
        <v>8.0320000000000003E-2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34.571428571428577</v>
      </c>
      <c r="BN177" s="64">
        <f t="shared" si="12"/>
        <v>35.200000000000003</v>
      </c>
      <c r="BO177" s="64">
        <f t="shared" si="13"/>
        <v>6.7155067155067152E-2</v>
      </c>
      <c r="BP177" s="64">
        <f t="shared" si="14"/>
        <v>6.8376068376068383E-2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38.730158730158728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40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0.21679999999999999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86</v>
      </c>
      <c r="Y181" s="551">
        <f>IFERROR(SUM(Y166:Y179),"0")</f>
        <v>89.4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1</v>
      </c>
      <c r="Y189" s="550">
        <f>IFERROR(IF(X189="",0,CEILING((X189/$H189),1)*$H189),"")</f>
        <v>1.26</v>
      </c>
      <c r="Z189" s="36">
        <f>IFERROR(IF(Y189=0,"",ROUNDUP(Y189/H189,0)*0.0059),"")</f>
        <v>5.8999999999999999E-3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1.1507936507936507</v>
      </c>
      <c r="BN189" s="64">
        <f>IFERROR(Y189*I189/H189,"0")</f>
        <v>1.45</v>
      </c>
      <c r="BO189" s="64">
        <f>IFERROR(1/J189*(X189/H189),"0")</f>
        <v>3.6743092298647849E-3</v>
      </c>
      <c r="BP189" s="64">
        <f>IFERROR(1/J189*(Y189/H189),"0")</f>
        <v>4.6296296296296294E-3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0.79365079365079361</v>
      </c>
      <c r="Y190" s="551">
        <f>IFERROR(Y189/H189,"0")</f>
        <v>1</v>
      </c>
      <c r="Z190" s="551">
        <f>IFERROR(IF(Z189="",0,Z189),"0")</f>
        <v>5.8999999999999999E-3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1</v>
      </c>
      <c r="Y191" s="551">
        <f>IFERROR(SUM(Y189:Y189),"0")</f>
        <v>1.26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111</v>
      </c>
      <c r="Y204" s="550">
        <f t="shared" ref="Y204:Y211" si="15">IFERROR(IF(X204="",0,CEILING((X204/$H204),1)*$H204),"")</f>
        <v>113.4</v>
      </c>
      <c r="Z204" s="36">
        <f>IFERROR(IF(Y204=0,"",ROUNDUP(Y204/H204,0)*0.00902),"")</f>
        <v>0.18942000000000001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114.90555555555555</v>
      </c>
      <c r="BN204" s="64">
        <f t="shared" ref="BN204:BN211" si="17">IFERROR(Y204*I204/H204,"0")</f>
        <v>117.39</v>
      </c>
      <c r="BO204" s="64">
        <f t="shared" ref="BO204:BO211" si="18">IFERROR(1/J204*(X204/H204),"0")</f>
        <v>0.15572390572390571</v>
      </c>
      <c r="BP204" s="64">
        <f t="shared" ref="BP204:BP211" si="19">IFERROR(1/J204*(Y204/H204),"0")</f>
        <v>0.15909090909090909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238</v>
      </c>
      <c r="Y205" s="550">
        <f t="shared" si="15"/>
        <v>243.00000000000003</v>
      </c>
      <c r="Z205" s="36">
        <f>IFERROR(IF(Y205=0,"",ROUNDUP(Y205/H205,0)*0.00902),"")</f>
        <v>0.40590000000000004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246.37407407407406</v>
      </c>
      <c r="BN205" s="64">
        <f t="shared" si="17"/>
        <v>251.55</v>
      </c>
      <c r="BO205" s="64">
        <f t="shared" si="18"/>
        <v>0.33389450056116721</v>
      </c>
      <c r="BP205" s="64">
        <f t="shared" si="19"/>
        <v>0.34090909090909094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47</v>
      </c>
      <c r="Y207" s="550">
        <f t="shared" si="15"/>
        <v>48.6</v>
      </c>
      <c r="Z207" s="36">
        <f>IFERROR(IF(Y207=0,"",ROUNDUP(Y207/H207,0)*0.00902),"")</f>
        <v>8.1180000000000002E-2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48.653703703703705</v>
      </c>
      <c r="BN207" s="64">
        <f t="shared" si="17"/>
        <v>50.309999999999995</v>
      </c>
      <c r="BO207" s="64">
        <f t="shared" si="18"/>
        <v>6.5937149270482595E-2</v>
      </c>
      <c r="BP207" s="64">
        <f t="shared" si="19"/>
        <v>6.8181818181818177E-2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11</v>
      </c>
      <c r="Y208" s="550">
        <f t="shared" si="15"/>
        <v>12.6</v>
      </c>
      <c r="Z208" s="36">
        <f>IFERROR(IF(Y208=0,"",ROUNDUP(Y208/H208,0)*0.00502),"")</f>
        <v>3.5140000000000005E-2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11.794444444444444</v>
      </c>
      <c r="BN208" s="64">
        <f t="shared" si="17"/>
        <v>13.509999999999998</v>
      </c>
      <c r="BO208" s="64">
        <f t="shared" si="18"/>
        <v>2.6115859449192782E-2</v>
      </c>
      <c r="BP208" s="64">
        <f t="shared" si="19"/>
        <v>2.9914529914529919E-2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7</v>
      </c>
      <c r="Y209" s="550">
        <f t="shared" si="15"/>
        <v>7.2</v>
      </c>
      <c r="Z209" s="36">
        <f>IFERROR(IF(Y209=0,"",ROUNDUP(Y209/H209,0)*0.00502),"")</f>
        <v>2.0080000000000001E-2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7.3888888888888884</v>
      </c>
      <c r="BN209" s="64">
        <f t="shared" si="17"/>
        <v>7.6</v>
      </c>
      <c r="BO209" s="64">
        <f t="shared" si="18"/>
        <v>1.6619183285849954E-2</v>
      </c>
      <c r="BP209" s="64">
        <f t="shared" si="19"/>
        <v>1.7094017094017096E-2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2</v>
      </c>
      <c r="Y211" s="550">
        <f t="shared" si="15"/>
        <v>3.6</v>
      </c>
      <c r="Z211" s="36">
        <f>IFERROR(IF(Y211=0,"",ROUNDUP(Y211/H211,0)*0.00502),"")</f>
        <v>1.004E-2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2.1111111111111112</v>
      </c>
      <c r="BN211" s="64">
        <f t="shared" si="17"/>
        <v>3.8</v>
      </c>
      <c r="BO211" s="64">
        <f t="shared" si="18"/>
        <v>4.7483380816714157E-3</v>
      </c>
      <c r="BP211" s="64">
        <f t="shared" si="19"/>
        <v>8.5470085470085479E-3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84.444444444444429</v>
      </c>
      <c r="Y212" s="551">
        <f>IFERROR(Y204/H204,"0")+IFERROR(Y205/H205,"0")+IFERROR(Y206/H206,"0")+IFERROR(Y207/H207,"0")+IFERROR(Y208/H208,"0")+IFERROR(Y209/H209,"0")+IFERROR(Y210/H210,"0")+IFERROR(Y211/H211,"0")</f>
        <v>88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0.74176000000000009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416</v>
      </c>
      <c r="Y213" s="551">
        <f>IFERROR(SUM(Y204:Y211),"0")</f>
        <v>428.40000000000009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15</v>
      </c>
      <c r="Y215" s="550">
        <f t="shared" ref="Y215:Y223" si="20">IFERROR(IF(X215="",0,CEILING((X215/$H215),1)*$H215),"")</f>
        <v>16.2</v>
      </c>
      <c r="Z215" s="36">
        <f>IFERROR(IF(Y215=0,"",ROUNDUP(Y215/H215,0)*0.01898),"")</f>
        <v>3.7960000000000001E-2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15.914814814814815</v>
      </c>
      <c r="BN215" s="64">
        <f t="shared" ref="BN215:BN223" si="22">IFERROR(Y215*I215/H215,"0")</f>
        <v>17.187999999999999</v>
      </c>
      <c r="BO215" s="64">
        <f t="shared" ref="BO215:BO223" si="23">IFERROR(1/J215*(X215/H215),"0")</f>
        <v>2.8935185185185185E-2</v>
      </c>
      <c r="BP215" s="64">
        <f t="shared" ref="BP215:BP223" si="24">IFERROR(1/J215*(Y215/H215),"0")</f>
        <v>3.125E-2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180</v>
      </c>
      <c r="Y218" s="550">
        <f t="shared" si="20"/>
        <v>180</v>
      </c>
      <c r="Z218" s="36">
        <f t="shared" ref="Z218:Z223" si="25">IFERROR(IF(Y218=0,"",ROUNDUP(Y218/H218,0)*0.00651),"")</f>
        <v>0.48825000000000002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200.25</v>
      </c>
      <c r="BN218" s="64">
        <f t="shared" si="22"/>
        <v>200.25</v>
      </c>
      <c r="BO218" s="64">
        <f t="shared" si="23"/>
        <v>0.41208791208791212</v>
      </c>
      <c r="BP218" s="64">
        <f t="shared" si="24"/>
        <v>0.41208791208791212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192</v>
      </c>
      <c r="Y220" s="550">
        <f t="shared" si="20"/>
        <v>192</v>
      </c>
      <c r="Z220" s="36">
        <f t="shared" si="25"/>
        <v>0.52080000000000004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212.16000000000003</v>
      </c>
      <c r="BN220" s="64">
        <f t="shared" si="22"/>
        <v>212.16000000000003</v>
      </c>
      <c r="BO220" s="64">
        <f t="shared" si="23"/>
        <v>0.43956043956043961</v>
      </c>
      <c r="BP220" s="64">
        <f t="shared" si="24"/>
        <v>0.43956043956043961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130</v>
      </c>
      <c r="Y221" s="550">
        <f t="shared" si="20"/>
        <v>132</v>
      </c>
      <c r="Z221" s="36">
        <f t="shared" si="25"/>
        <v>0.35805000000000003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143.65</v>
      </c>
      <c r="BN221" s="64">
        <f t="shared" si="22"/>
        <v>145.86000000000001</v>
      </c>
      <c r="BO221" s="64">
        <f t="shared" si="23"/>
        <v>0.29761904761904767</v>
      </c>
      <c r="BP221" s="64">
        <f t="shared" si="24"/>
        <v>0.30219780219780223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152</v>
      </c>
      <c r="Y222" s="550">
        <f t="shared" si="20"/>
        <v>153.6</v>
      </c>
      <c r="Z222" s="36">
        <f t="shared" si="25"/>
        <v>0.41664000000000001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167.96000000000004</v>
      </c>
      <c r="BN222" s="64">
        <f t="shared" si="22"/>
        <v>169.72800000000001</v>
      </c>
      <c r="BO222" s="64">
        <f t="shared" si="23"/>
        <v>0.34798534798534803</v>
      </c>
      <c r="BP222" s="64">
        <f t="shared" si="24"/>
        <v>0.35164835164835168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242</v>
      </c>
      <c r="Y223" s="550">
        <f t="shared" si="20"/>
        <v>242.39999999999998</v>
      </c>
      <c r="Z223" s="36">
        <f t="shared" si="25"/>
        <v>0.65751000000000004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268.01499999999999</v>
      </c>
      <c r="BN223" s="64">
        <f t="shared" si="22"/>
        <v>268.45799999999997</v>
      </c>
      <c r="BO223" s="64">
        <f t="shared" si="23"/>
        <v>0.55402930402930417</v>
      </c>
      <c r="BP223" s="64">
        <f t="shared" si="24"/>
        <v>0.55494505494505497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375.18518518518522</v>
      </c>
      <c r="Y224" s="551">
        <f>IFERROR(Y215/H215,"0")+IFERROR(Y216/H216,"0")+IFERROR(Y217/H217,"0")+IFERROR(Y218/H218,"0")+IFERROR(Y219/H219,"0")+IFERROR(Y220/H220,"0")+IFERROR(Y221/H221,"0")+IFERROR(Y222/H222,"0")+IFERROR(Y223/H223,"0")</f>
        <v>377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2.4792100000000001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911</v>
      </c>
      <c r="Y225" s="551">
        <f>IFERROR(SUM(Y215:Y223),"0")</f>
        <v>916.2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52</v>
      </c>
      <c r="Y227" s="550">
        <f>IFERROR(IF(X227="",0,CEILING((X227/$H227),1)*$H227),"")</f>
        <v>52.8</v>
      </c>
      <c r="Z227" s="36">
        <f>IFERROR(IF(Y227=0,"",ROUNDUP(Y227/H227,0)*0.00651),"")</f>
        <v>0.14322000000000001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57.46</v>
      </c>
      <c r="BN227" s="64">
        <f>IFERROR(Y227*I227/H227,"0")</f>
        <v>58.344000000000001</v>
      </c>
      <c r="BO227" s="64">
        <f>IFERROR(1/J227*(X227/H227),"0")</f>
        <v>0.11904761904761907</v>
      </c>
      <c r="BP227" s="64">
        <f>IFERROR(1/J227*(Y227/H227),"0")</f>
        <v>0.12087912087912089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12</v>
      </c>
      <c r="Y228" s="550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26.666666666666668</v>
      </c>
      <c r="Y229" s="551">
        <f>IFERROR(Y227/H227,"0")+IFERROR(Y228/H228,"0")</f>
        <v>27</v>
      </c>
      <c r="Z229" s="551">
        <f>IFERROR(IF(Z227="",0,Z227),"0")+IFERROR(IF(Z228="",0,Z228),"0")</f>
        <v>0.17577000000000001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64</v>
      </c>
      <c r="Y230" s="551">
        <f>IFERROR(SUM(Y227:Y228),"0")</f>
        <v>64.8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1</v>
      </c>
      <c r="Y249" s="550">
        <f>IFERROR(IF(X249="",0,CEILING((X249/$H249),1)*$H249),"")</f>
        <v>1.8</v>
      </c>
      <c r="Z249" s="36">
        <f>IFERROR(IF(Y249=0,"",ROUNDUP(Y249/H249,0)*0.0059),"")</f>
        <v>5.8999999999999999E-3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1.0972222222222223</v>
      </c>
      <c r="BN249" s="64">
        <f>IFERROR(Y249*I249/H249,"0")</f>
        <v>1.9750000000000001</v>
      </c>
      <c r="BO249" s="64">
        <f>IFERROR(1/J249*(X249/H249),"0")</f>
        <v>2.5720164609053498E-3</v>
      </c>
      <c r="BP249" s="64">
        <f>IFERROR(1/J249*(Y249/H249),"0")</f>
        <v>4.6296296296296294E-3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0.55555555555555558</v>
      </c>
      <c r="Y250" s="551">
        <f>IFERROR(Y249/H249,"0")</f>
        <v>1</v>
      </c>
      <c r="Z250" s="551">
        <f>IFERROR(IF(Z249="",0,Z249),"0")</f>
        <v>5.8999999999999999E-3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1</v>
      </c>
      <c r="Y251" s="551">
        <f>IFERROR(SUM(Y249:Y249),"0")</f>
        <v>1.8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53</v>
      </c>
      <c r="Y280" s="550">
        <f>IFERROR(IF(X280="",0,CEILING((X280/$H280),1)*$H280),"")</f>
        <v>55.199999999999996</v>
      </c>
      <c r="Z280" s="36">
        <f>IFERROR(IF(Y280=0,"",ROUNDUP(Y280/H280,0)*0.00651),"")</f>
        <v>0.14973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58.565000000000005</v>
      </c>
      <c r="BN280" s="64">
        <f>IFERROR(Y280*I280/H280,"0")</f>
        <v>60.996000000000002</v>
      </c>
      <c r="BO280" s="64">
        <f>IFERROR(1/J280*(X280/H280),"0")</f>
        <v>0.12133699633699636</v>
      </c>
      <c r="BP280" s="64">
        <f>IFERROR(1/J280*(Y280/H280),"0")</f>
        <v>0.1263736263736264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114</v>
      </c>
      <c r="Y281" s="550">
        <f>IFERROR(IF(X281="",0,CEILING((X281/$H281),1)*$H281),"")</f>
        <v>115.19999999999999</v>
      </c>
      <c r="Z281" s="36">
        <f>IFERROR(IF(Y281=0,"",ROUNDUP(Y281/H281,0)*0.00651),"")</f>
        <v>0.31247999999999998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122.55000000000001</v>
      </c>
      <c r="BN281" s="64">
        <f>IFERROR(Y281*I281/H281,"0")</f>
        <v>123.83999999999999</v>
      </c>
      <c r="BO281" s="64">
        <f>IFERROR(1/J281*(X281/H281),"0")</f>
        <v>0.26098901098901101</v>
      </c>
      <c r="BP281" s="64">
        <f>IFERROR(1/J281*(Y281/H281),"0")</f>
        <v>0.26373626373626374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69.583333333333343</v>
      </c>
      <c r="Y282" s="551">
        <f>IFERROR(Y279/H279,"0")+IFERROR(Y280/H280,"0")+IFERROR(Y281/H281,"0")</f>
        <v>71</v>
      </c>
      <c r="Z282" s="551">
        <f>IFERROR(IF(Z279="",0,Z279),"0")+IFERROR(IF(Z280="",0,Z280),"0")+IFERROR(IF(Z281="",0,Z281),"0")</f>
        <v>0.46221000000000001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167</v>
      </c>
      <c r="Y283" s="551">
        <f>IFERROR(SUM(Y279:Y281),"0")</f>
        <v>170.39999999999998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81</v>
      </c>
      <c r="Y322" s="550">
        <f>IFERROR(IF(X322="",0,CEILING((X322/$H322),1)*$H322),"")</f>
        <v>85.8</v>
      </c>
      <c r="Z322" s="36">
        <f>IFERROR(IF(Y322=0,"",ROUNDUP(Y322/H322,0)*0.01898),"")</f>
        <v>0.20877999999999999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86.13000000000001</v>
      </c>
      <c r="BN322" s="64">
        <f>IFERROR(Y322*I322/H322,"0")</f>
        <v>91.234000000000009</v>
      </c>
      <c r="BO322" s="64">
        <f>IFERROR(1/J322*(X322/H322),"0")</f>
        <v>0.16225961538461539</v>
      </c>
      <c r="BP322" s="64">
        <f>IFERROR(1/J322*(Y322/H322),"0")</f>
        <v>0.171875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34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35.999523809523808</v>
      </c>
      <c r="BN323" s="64">
        <f>IFERROR(Y323*I323/H323,"0")</f>
        <v>44.47</v>
      </c>
      <c r="BO323" s="64">
        <f>IFERROR(1/J323*(X323/H323),"0")</f>
        <v>6.3244047619047616E-2</v>
      </c>
      <c r="BP323" s="64">
        <f>IFERROR(1/J323*(Y323/H323),"0")</f>
        <v>7.8125E-2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14.432234432234432</v>
      </c>
      <c r="Y324" s="551">
        <f>IFERROR(Y321/H321,"0")+IFERROR(Y322/H322,"0")+IFERROR(Y323/H323,"0")</f>
        <v>16</v>
      </c>
      <c r="Z324" s="551">
        <f>IFERROR(IF(Z321="",0,Z321),"0")+IFERROR(IF(Z322="",0,Z322),"0")+IFERROR(IF(Z323="",0,Z323),"0")</f>
        <v>0.30368000000000001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115</v>
      </c>
      <c r="Y325" s="551">
        <f>IFERROR(SUM(Y321:Y323),"0")</f>
        <v>127.8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5</v>
      </c>
      <c r="Y334" s="550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5.6000000000000005</v>
      </c>
      <c r="BN334" s="64">
        <f>IFERROR(Y334*I334/H334,"0")</f>
        <v>6.7200000000000006</v>
      </c>
      <c r="BO334" s="64">
        <f>IFERROR(1/J334*(X334/H334),"0")</f>
        <v>1.0504201680672268E-2</v>
      </c>
      <c r="BP334" s="64">
        <f>IFERROR(1/J334*(Y334/H334),"0")</f>
        <v>1.2605042016806723E-2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5</v>
      </c>
      <c r="Y335" s="550">
        <f>IFERROR(IF(X335="",0,CEILING((X335/$H335),1)*$H335),"")</f>
        <v>6</v>
      </c>
      <c r="Z335" s="36">
        <f>IFERROR(IF(Y335=0,"",ROUNDUP(Y335/H335,0)*0.00474),"")</f>
        <v>1.422E-2</v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5.6000000000000005</v>
      </c>
      <c r="BN335" s="64">
        <f>IFERROR(Y335*I335/H335,"0")</f>
        <v>6.7200000000000006</v>
      </c>
      <c r="BO335" s="64">
        <f>IFERROR(1/J335*(X335/H335),"0")</f>
        <v>1.0504201680672268E-2</v>
      </c>
      <c r="BP335" s="64">
        <f>IFERROR(1/J335*(Y335/H335),"0")</f>
        <v>1.2605042016806723E-2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5</v>
      </c>
      <c r="Y336" s="550">
        <f>IFERROR(IF(X336="",0,CEILING((X336/$H336),1)*$H336),"")</f>
        <v>6</v>
      </c>
      <c r="Z336" s="36">
        <f>IFERROR(IF(Y336=0,"",ROUNDUP(Y336/H336,0)*0.00474),"")</f>
        <v>1.422E-2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5.6000000000000005</v>
      </c>
      <c r="BN336" s="64">
        <f>IFERROR(Y336*I336/H336,"0")</f>
        <v>6.7200000000000006</v>
      </c>
      <c r="BO336" s="64">
        <f>IFERROR(1/J336*(X336/H336),"0")</f>
        <v>1.0504201680672268E-2</v>
      </c>
      <c r="BP336" s="64">
        <f>IFERROR(1/J336*(Y336/H336),"0")</f>
        <v>1.2605042016806723E-2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7.5</v>
      </c>
      <c r="Y337" s="551">
        <f>IFERROR(Y334/H334,"0")+IFERROR(Y335/H335,"0")+IFERROR(Y336/H336,"0")</f>
        <v>9</v>
      </c>
      <c r="Z337" s="551">
        <f>IFERROR(IF(Z334="",0,Z334),"0")+IFERROR(IF(Z335="",0,Z335),"0")+IFERROR(IF(Z336="",0,Z336),"0")</f>
        <v>4.2660000000000003E-2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15</v>
      </c>
      <c r="Y338" s="551">
        <f>IFERROR(SUM(Y334:Y336),"0")</f>
        <v>18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3246</v>
      </c>
      <c r="Y349" s="550">
        <f t="shared" ref="Y349:Y355" si="36">IFERROR(IF(X349="",0,CEILING((X349/$H349),1)*$H349),"")</f>
        <v>3255</v>
      </c>
      <c r="Z349" s="36">
        <f>IFERROR(IF(Y349=0,"",ROUNDUP(Y349/H349,0)*0.02175),"")</f>
        <v>4.7197499999999994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3347.7080000000001</v>
      </c>
      <c r="BN349" s="64">
        <f t="shared" ref="BN349:BN355" si="38">IFERROR(Y349*I349/H349,"0")</f>
        <v>3356.99</v>
      </c>
      <c r="BO349" s="64">
        <f t="shared" ref="BO349:BO355" si="39">IFERROR(1/J349*(X349/H349),"0")</f>
        <v>4.5083333333333329</v>
      </c>
      <c r="BP349" s="64">
        <f t="shared" ref="BP349:BP355" si="40">IFERROR(1/J349*(Y349/H349),"0")</f>
        <v>4.520833333333333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510</v>
      </c>
      <c r="Y350" s="550">
        <f t="shared" si="36"/>
        <v>510</v>
      </c>
      <c r="Z350" s="36">
        <f>IFERROR(IF(Y350=0,"",ROUNDUP(Y350/H350,0)*0.02175),"")</f>
        <v>0.73949999999999994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525.98</v>
      </c>
      <c r="BN350" s="64">
        <f t="shared" si="38"/>
        <v>525.98</v>
      </c>
      <c r="BO350" s="64">
        <f t="shared" si="39"/>
        <v>0.70833333333333326</v>
      </c>
      <c r="BP350" s="64">
        <f t="shared" si="40"/>
        <v>0.70833333333333326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682</v>
      </c>
      <c r="Y351" s="550">
        <f t="shared" si="36"/>
        <v>690</v>
      </c>
      <c r="Z351" s="36">
        <f>IFERROR(IF(Y351=0,"",ROUNDUP(Y351/H351,0)*0.02175),"")</f>
        <v>1.0004999999999999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703.36933333333343</v>
      </c>
      <c r="BN351" s="64">
        <f t="shared" si="38"/>
        <v>711.62000000000012</v>
      </c>
      <c r="BO351" s="64">
        <f t="shared" si="39"/>
        <v>0.94722222222222219</v>
      </c>
      <c r="BP351" s="64">
        <f t="shared" si="40"/>
        <v>0.95833333333333326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295.86666666666667</v>
      </c>
      <c r="Y356" s="551">
        <f>IFERROR(Y349/H349,"0")+IFERROR(Y350/H350,"0")+IFERROR(Y351/H351,"0")+IFERROR(Y352/H352,"0")+IFERROR(Y353/H353,"0")+IFERROR(Y354/H354,"0")+IFERROR(Y355/H355,"0")</f>
        <v>297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6.4597499999999988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4438</v>
      </c>
      <c r="Y357" s="551">
        <f>IFERROR(SUM(Y349:Y355),"0")</f>
        <v>4455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2857</v>
      </c>
      <c r="Y359" s="550">
        <f>IFERROR(IF(X359="",0,CEILING((X359/$H359),1)*$H359),"")</f>
        <v>2865</v>
      </c>
      <c r="Z359" s="36">
        <f>IFERROR(IF(Y359=0,"",ROUNDUP(Y359/H359,0)*0.02175),"")</f>
        <v>4.1542499999999993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2946.5193333333332</v>
      </c>
      <c r="BN359" s="64">
        <f>IFERROR(Y359*I359/H359,"0")</f>
        <v>2954.77</v>
      </c>
      <c r="BO359" s="64">
        <f>IFERROR(1/J359*(X359/H359),"0")</f>
        <v>3.9680555555555554</v>
      </c>
      <c r="BP359" s="64">
        <f>IFERROR(1/J359*(Y359/H359),"0")</f>
        <v>3.9791666666666665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190.46666666666667</v>
      </c>
      <c r="Y361" s="551">
        <f>IFERROR(Y359/H359,"0")+IFERROR(Y360/H360,"0")</f>
        <v>191</v>
      </c>
      <c r="Z361" s="551">
        <f>IFERROR(IF(Z359="",0,Z359),"0")+IFERROR(IF(Z360="",0,Z360),"0")</f>
        <v>4.1542499999999993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2857</v>
      </c>
      <c r="Y362" s="551">
        <f>IFERROR(SUM(Y359:Y360),"0")</f>
        <v>2865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41</v>
      </c>
      <c r="Y365" s="550">
        <f>IFERROR(IF(X365="",0,CEILING((X365/$H365),1)*$H365),"")</f>
        <v>45</v>
      </c>
      <c r="Z365" s="36">
        <f>IFERROR(IF(Y365=0,"",ROUNDUP(Y365/H365,0)*0.01898),"")</f>
        <v>9.4899999999999998E-2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43.250444444444447</v>
      </c>
      <c r="BN365" s="64">
        <f>IFERROR(Y365*I365/H365,"0")</f>
        <v>47.47</v>
      </c>
      <c r="BO365" s="64">
        <f>IFERROR(1/J365*(X365/H365),"0")</f>
        <v>7.1180555555555552E-2</v>
      </c>
      <c r="BP365" s="64">
        <f>IFERROR(1/J365*(Y365/H365),"0")</f>
        <v>7.8125E-2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4.5555555555555554</v>
      </c>
      <c r="Y366" s="551">
        <f>IFERROR(Y364/H364,"0")+IFERROR(Y365/H365,"0")</f>
        <v>5</v>
      </c>
      <c r="Z366" s="551">
        <f>IFERROR(IF(Z364="",0,Z364),"0")+IFERROR(IF(Z365="",0,Z365),"0")</f>
        <v>9.4899999999999998E-2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41</v>
      </c>
      <c r="Y367" s="551">
        <f>IFERROR(SUM(Y364:Y365),"0")</f>
        <v>45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96</v>
      </c>
      <c r="Y369" s="550">
        <f>IFERROR(IF(X369="",0,CEILING((X369/$H369),1)*$H369),"")</f>
        <v>99</v>
      </c>
      <c r="Z369" s="36">
        <f>IFERROR(IF(Y369=0,"",ROUNDUP(Y369/H369,0)*0.01898),"")</f>
        <v>0.20877999999999999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101.26933333333334</v>
      </c>
      <c r="BN369" s="64">
        <f>IFERROR(Y369*I369/H369,"0")</f>
        <v>104.434</v>
      </c>
      <c r="BO369" s="64">
        <f>IFERROR(1/J369*(X369/H369),"0")</f>
        <v>0.16666666666666666</v>
      </c>
      <c r="BP369" s="64">
        <f>IFERROR(1/J369*(Y369/H369),"0")</f>
        <v>0.171875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10.666666666666666</v>
      </c>
      <c r="Y370" s="551">
        <f>IFERROR(Y369/H369,"0")</f>
        <v>11</v>
      </c>
      <c r="Z370" s="551">
        <f>IFERROR(IF(Z369="",0,Z369),"0")</f>
        <v>0.20877999999999999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96</v>
      </c>
      <c r="Y371" s="551">
        <f>IFERROR(SUM(Y369:Y369),"0")</f>
        <v>99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394</v>
      </c>
      <c r="Y384" s="550">
        <f>IFERROR(IF(X384="",0,CEILING((X384/$H384),1)*$H384),"")</f>
        <v>396</v>
      </c>
      <c r="Z384" s="36">
        <f>IFERROR(IF(Y384=0,"",ROUNDUP(Y384/H384,0)*0.01898),"")</f>
        <v>0.83511999999999997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415.62622222222222</v>
      </c>
      <c r="BN384" s="64">
        <f>IFERROR(Y384*I384/H384,"0")</f>
        <v>417.73599999999999</v>
      </c>
      <c r="BO384" s="64">
        <f>IFERROR(1/J384*(X384/H384),"0")</f>
        <v>0.68402777777777779</v>
      </c>
      <c r="BP384" s="64">
        <f>IFERROR(1/J384*(Y384/H384),"0")</f>
        <v>0.6875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43.777777777777779</v>
      </c>
      <c r="Y387" s="551">
        <f>IFERROR(Y384/H384,"0")+IFERROR(Y385/H385,"0")+IFERROR(Y386/H386,"0")</f>
        <v>44</v>
      </c>
      <c r="Z387" s="551">
        <f>IFERROR(IF(Z384="",0,Z384),"0")+IFERROR(IF(Z385="",0,Z385),"0")+IFERROR(IF(Z386="",0,Z386),"0")</f>
        <v>0.83511999999999997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394</v>
      </c>
      <c r="Y388" s="551">
        <f>IFERROR(SUM(Y384:Y386),"0")</f>
        <v>396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72</v>
      </c>
      <c r="Y392" s="550">
        <f t="shared" ref="Y392:Y400" si="41">IFERROR(IF(X392="",0,CEILING((X392/$H392),1)*$H392),"")</f>
        <v>75.600000000000009</v>
      </c>
      <c r="Z392" s="36">
        <f>IFERROR(IF(Y392=0,"",ROUNDUP(Y392/H392,0)*0.00902),"")</f>
        <v>0.12628</v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74.533333333333331</v>
      </c>
      <c r="BN392" s="64">
        <f t="shared" ref="BN392:BN400" si="43">IFERROR(Y392*I392/H392,"0")</f>
        <v>78.260000000000005</v>
      </c>
      <c r="BO392" s="64">
        <f t="shared" ref="BO392:BO400" si="44">IFERROR(1/J392*(X392/H392),"0")</f>
        <v>0.10101010101010101</v>
      </c>
      <c r="BP392" s="64">
        <f t="shared" ref="BP392:BP400" si="45">IFERROR(1/J392*(Y392/H392),"0")</f>
        <v>0.10606060606060606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13.333333333333332</v>
      </c>
      <c r="Y401" s="551">
        <f>IFERROR(Y392/H392,"0")+IFERROR(Y393/H393,"0")+IFERROR(Y394/H394,"0")+IFERROR(Y395/H395,"0")+IFERROR(Y396/H396,"0")+IFERROR(Y397/H397,"0")+IFERROR(Y398/H398,"0")+IFERROR(Y399/H399,"0")+IFERROR(Y400/H400,"0")</f>
        <v>14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0.12628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72</v>
      </c>
      <c r="Y402" s="551">
        <f>IFERROR(SUM(Y392:Y400),"0")</f>
        <v>75.600000000000009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81</v>
      </c>
      <c r="Y414" s="550">
        <f>IFERROR(IF(X414="",0,CEILING((X414/$H414),1)*$H414),"")</f>
        <v>81</v>
      </c>
      <c r="Z414" s="36">
        <f>IFERROR(IF(Y414=0,"",ROUNDUP(Y414/H414,0)*0.00902),"")</f>
        <v>0.1353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83.85</v>
      </c>
      <c r="BN414" s="64">
        <f>IFERROR(Y414*I414/H414,"0")</f>
        <v>83.85</v>
      </c>
      <c r="BO414" s="64">
        <f>IFERROR(1/J414*(X414/H414),"0")</f>
        <v>0.11363636363636363</v>
      </c>
      <c r="BP414" s="64">
        <f>IFERROR(1/J414*(Y414/H414),"0")</f>
        <v>0.11363636363636363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14.999999999999998</v>
      </c>
      <c r="Y418" s="551">
        <f>IFERROR(Y414/H414,"0")+IFERROR(Y415/H415,"0")+IFERROR(Y416/H416,"0")+IFERROR(Y417/H417,"0")</f>
        <v>14.999999999999998</v>
      </c>
      <c r="Z418" s="551">
        <f>IFERROR(IF(Z414="",0,Z414),"0")+IFERROR(IF(Z415="",0,Z415),"0")+IFERROR(IF(Z416="",0,Z416),"0")+IFERROR(IF(Z417="",0,Z417),"0")</f>
        <v>0.1353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81</v>
      </c>
      <c r="Y419" s="551">
        <f>IFERROR(SUM(Y414:Y417),"0")</f>
        <v>81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169</v>
      </c>
      <c r="Y432" s="550">
        <f t="shared" si="47"/>
        <v>174.24</v>
      </c>
      <c r="Z432" s="36">
        <f t="shared" si="48"/>
        <v>0.39468000000000003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180.2026515151515</v>
      </c>
      <c r="BN432" s="64">
        <f t="shared" si="50"/>
        <v>185.79</v>
      </c>
      <c r="BO432" s="64">
        <f t="shared" si="51"/>
        <v>0.30776515151515155</v>
      </c>
      <c r="BP432" s="64">
        <f t="shared" si="52"/>
        <v>0.31730769230769235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304</v>
      </c>
      <c r="Y434" s="550">
        <f t="shared" si="47"/>
        <v>306.24</v>
      </c>
      <c r="Z434" s="36">
        <f t="shared" si="48"/>
        <v>0.69367999999999996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324.15151515151513</v>
      </c>
      <c r="BN434" s="64">
        <f t="shared" si="50"/>
        <v>326.53999999999996</v>
      </c>
      <c r="BO434" s="64">
        <f t="shared" si="51"/>
        <v>0.55361305361305357</v>
      </c>
      <c r="BP434" s="64">
        <f t="shared" si="52"/>
        <v>0.55769230769230771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89.583333333333329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91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1.08836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473</v>
      </c>
      <c r="Y441" s="551">
        <f>IFERROR(SUM(Y428:Y439),"0")</f>
        <v>480.48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203</v>
      </c>
      <c r="Y443" s="550">
        <f>IFERROR(IF(X443="",0,CEILING((X443/$H443),1)*$H443),"")</f>
        <v>205.92000000000002</v>
      </c>
      <c r="Z443" s="36">
        <f>IFERROR(IF(Y443=0,"",ROUNDUP(Y443/H443,0)*0.01196),"")</f>
        <v>0.46644000000000002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216.45643939393935</v>
      </c>
      <c r="BN443" s="64">
        <f>IFERROR(Y443*I443/H443,"0")</f>
        <v>219.57</v>
      </c>
      <c r="BO443" s="64">
        <f>IFERROR(1/J443*(X443/H443),"0")</f>
        <v>0.36968240093240096</v>
      </c>
      <c r="BP443" s="64">
        <f>IFERROR(1/J443*(Y443/H443),"0")</f>
        <v>0.375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38.446969696969695</v>
      </c>
      <c r="Y446" s="551">
        <f>IFERROR(Y443/H443,"0")+IFERROR(Y444/H444,"0")+IFERROR(Y445/H445,"0")</f>
        <v>39</v>
      </c>
      <c r="Z446" s="551">
        <f>IFERROR(IF(Z443="",0,Z443),"0")+IFERROR(IF(Z444="",0,Z444),"0")+IFERROR(IF(Z445="",0,Z445),"0")</f>
        <v>0.46644000000000002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203</v>
      </c>
      <c r="Y447" s="551">
        <f>IFERROR(SUM(Y443:Y445),"0")</f>
        <v>205.92000000000002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102</v>
      </c>
      <c r="Y450" s="550">
        <f t="shared" si="53"/>
        <v>105.60000000000001</v>
      </c>
      <c r="Z450" s="36">
        <f>IFERROR(IF(Y450=0,"",ROUNDUP(Y450/H450,0)*0.01196),"")</f>
        <v>0.2392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108.76136363636363</v>
      </c>
      <c r="BN450" s="64">
        <f t="shared" si="55"/>
        <v>112.6</v>
      </c>
      <c r="BO450" s="64">
        <f t="shared" si="56"/>
        <v>0.18575174825174826</v>
      </c>
      <c r="BP450" s="64">
        <f t="shared" si="57"/>
        <v>0.19230769230769232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126</v>
      </c>
      <c r="Y451" s="550">
        <f t="shared" si="53"/>
        <v>126.72</v>
      </c>
      <c r="Z451" s="36">
        <f>IFERROR(IF(Y451=0,"",ROUNDUP(Y451/H451,0)*0.01196),"")</f>
        <v>0.28704000000000002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134.35227272727272</v>
      </c>
      <c r="BN451" s="64">
        <f t="shared" si="55"/>
        <v>135.11999999999998</v>
      </c>
      <c r="BO451" s="64">
        <f t="shared" si="56"/>
        <v>0.22945804195804198</v>
      </c>
      <c r="BP451" s="64">
        <f t="shared" si="57"/>
        <v>0.23076923076923078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48.86363636363636</v>
      </c>
      <c r="Y455" s="551">
        <f>IFERROR(Y449/H449,"0")+IFERROR(Y450/H450,"0")+IFERROR(Y451/H451,"0")+IFERROR(Y452/H452,"0")+IFERROR(Y453/H453,"0")+IFERROR(Y454/H454,"0")</f>
        <v>50</v>
      </c>
      <c r="Z455" s="551">
        <f>IFERROR(IF(Z449="",0,Z449),"0")+IFERROR(IF(Z450="",0,Z450),"0")+IFERROR(IF(Z451="",0,Z451),"0")+IFERROR(IF(Z452="",0,Z452),"0")+IFERROR(IF(Z453="",0,Z453),"0")+IFERROR(IF(Z454="",0,Z454),"0")</f>
        <v>0.59800000000000009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258</v>
      </c>
      <c r="Y456" s="551">
        <f>IFERROR(SUM(Y449:Y454),"0")</f>
        <v>264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11510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11630.26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12029.243914299583</v>
      </c>
      <c r="Y494" s="551">
        <f>IFERROR(SUM(BN22:BN490),"0")</f>
        <v>12156.003000000002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19</v>
      </c>
      <c r="Y495" s="38">
        <f>ROUNDUP(SUM(BP22:BP490),0)</f>
        <v>19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12504.243914299583</v>
      </c>
      <c r="Y496" s="551">
        <f>GrossWeightTotalR+PalletQtyTotalR*25</f>
        <v>12631.003000000002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1549.8954454787788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1572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20.400159999999996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113.5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21.6</v>
      </c>
      <c r="E503" s="46">
        <f>IFERROR(Y84*1,"0")+IFERROR(Y85*1,"0")+IFERROR(Y86*1,"0")+IFERROR(Y87*1,"0")+IFERROR(Y91*1,"0")+IFERROR(Y92*1,"0")+IFERROR(Y93*1,"0")+IFERROR(Y94*1,"0")</f>
        <v>198.9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511.19999999999993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90.660000000000011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1409.3999999999999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1.8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170.39999999999998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145.80000000000001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7464</v>
      </c>
      <c r="T503" s="46">
        <f>IFERROR(Y374*1,"0")+IFERROR(Y375*1,"0")+IFERROR(Y379*1,"0")+IFERROR(Y380*1,"0")+IFERROR(Y384*1,"0")+IFERROR(Y385*1,"0")+IFERROR(Y386*1,"0")</f>
        <v>396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75.600000000000009</v>
      </c>
      <c r="V503" s="46">
        <f>IFERROR(Y410*1,"0")+IFERROR(Y414*1,"0")+IFERROR(Y415*1,"0")+IFERROR(Y416*1,"0")+IFERROR(Y417*1,"0")</f>
        <v>81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950.40000000000009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