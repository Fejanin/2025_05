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3 машина Донецк_Луганск\"/>
    </mc:Choice>
  </mc:AlternateContent>
  <xr:revisionPtr revIDLastSave="0" documentId="13_ncr:1_{8B1C62CE-1700-44AD-90D8-C552AADBF9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3" i="1" l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Y376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Y366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Y325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Y311" i="1" s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Q503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3" i="1"/>
  <c r="Y282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Y283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59" i="1"/>
  <c r="X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P253" i="1"/>
  <c r="BO253" i="1"/>
  <c r="BN253" i="1"/>
  <c r="BM253" i="1"/>
  <c r="Z253" i="1"/>
  <c r="Y253" i="1"/>
  <c r="Y259" i="1" s="1"/>
  <c r="P253" i="1"/>
  <c r="X251" i="1"/>
  <c r="Y250" i="1"/>
  <c r="X250" i="1"/>
  <c r="BP249" i="1"/>
  <c r="BO249" i="1"/>
  <c r="BN249" i="1"/>
  <c r="BM249" i="1"/>
  <c r="Z249" i="1"/>
  <c r="Z250" i="1" s="1"/>
  <c r="Y249" i="1"/>
  <c r="Y251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X230" i="1"/>
  <c r="X229" i="1"/>
  <c r="BP228" i="1"/>
  <c r="BO228" i="1"/>
  <c r="BN228" i="1"/>
  <c r="BM228" i="1"/>
  <c r="Z228" i="1"/>
  <c r="Y228" i="1"/>
  <c r="P228" i="1"/>
  <c r="BO227" i="1"/>
  <c r="BM227" i="1"/>
  <c r="Y227" i="1"/>
  <c r="Y230" i="1" s="1"/>
  <c r="P227" i="1"/>
  <c r="X225" i="1"/>
  <c r="X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Y224" i="1" s="1"/>
  <c r="P215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Y212" i="1" s="1"/>
  <c r="P204" i="1"/>
  <c r="X202" i="1"/>
  <c r="X201" i="1"/>
  <c r="BP200" i="1"/>
  <c r="BO200" i="1"/>
  <c r="BN200" i="1"/>
  <c r="BM200" i="1"/>
  <c r="Z200" i="1"/>
  <c r="Y200" i="1"/>
  <c r="P200" i="1"/>
  <c r="BO199" i="1"/>
  <c r="BM199" i="1"/>
  <c r="Y199" i="1"/>
  <c r="Y202" i="1" s="1"/>
  <c r="P199" i="1"/>
  <c r="X197" i="1"/>
  <c r="X196" i="1"/>
  <c r="BO195" i="1"/>
  <c r="BM195" i="1"/>
  <c r="Y195" i="1"/>
  <c r="BP195" i="1" s="1"/>
  <c r="P195" i="1"/>
  <c r="BP194" i="1"/>
  <c r="BO194" i="1"/>
  <c r="BN194" i="1"/>
  <c r="BM194" i="1"/>
  <c r="Z194" i="1"/>
  <c r="Y194" i="1"/>
  <c r="Y196" i="1" s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Y187" i="1" s="1"/>
  <c r="P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1" i="1" s="1"/>
  <c r="P166" i="1"/>
  <c r="X164" i="1"/>
  <c r="X163" i="1"/>
  <c r="BO162" i="1"/>
  <c r="BM162" i="1"/>
  <c r="Y162" i="1"/>
  <c r="I503" i="1" s="1"/>
  <c r="P162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503" i="1" s="1"/>
  <c r="P142" i="1"/>
  <c r="X139" i="1"/>
  <c r="X138" i="1"/>
  <c r="BO137" i="1"/>
  <c r="BM137" i="1"/>
  <c r="Y137" i="1"/>
  <c r="BP137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9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F503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Y75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23" i="1" l="1"/>
  <c r="BN23" i="1"/>
  <c r="Y494" i="1" s="1"/>
  <c r="Z23" i="1"/>
  <c r="Z24" i="1" s="1"/>
  <c r="B503" i="1"/>
  <c r="Y25" i="1"/>
  <c r="Y32" i="1"/>
  <c r="BP27" i="1"/>
  <c r="BN27" i="1"/>
  <c r="Z27" i="1"/>
  <c r="Y31" i="1"/>
  <c r="BP41" i="1"/>
  <c r="BN41" i="1"/>
  <c r="Z41" i="1"/>
  <c r="Z43" i="1" s="1"/>
  <c r="BP54" i="1"/>
  <c r="BN54" i="1"/>
  <c r="Z54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Y24" i="1"/>
  <c r="X497" i="1"/>
  <c r="BP29" i="1"/>
  <c r="Y495" i="1" s="1"/>
  <c r="BN29" i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Y104" i="1"/>
  <c r="Y112" i="1"/>
  <c r="Y118" i="1"/>
  <c r="Y129" i="1"/>
  <c r="Y133" i="1"/>
  <c r="Y139" i="1"/>
  <c r="Y144" i="1"/>
  <c r="Y154" i="1"/>
  <c r="Y158" i="1"/>
  <c r="Y164" i="1"/>
  <c r="Y180" i="1"/>
  <c r="Y186" i="1"/>
  <c r="Y197" i="1"/>
  <c r="Y201" i="1"/>
  <c r="Y213" i="1"/>
  <c r="Y225" i="1"/>
  <c r="Y229" i="1"/>
  <c r="Y242" i="1"/>
  <c r="Y258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BP300" i="1"/>
  <c r="BN300" i="1"/>
  <c r="Z300" i="1"/>
  <c r="BP308" i="1"/>
  <c r="BN308" i="1"/>
  <c r="Z308" i="1"/>
  <c r="BP316" i="1"/>
  <c r="BN316" i="1"/>
  <c r="Z316" i="1"/>
  <c r="BP328" i="1"/>
  <c r="BN328" i="1"/>
  <c r="Z328" i="1"/>
  <c r="BP336" i="1"/>
  <c r="BN336" i="1"/>
  <c r="Z336" i="1"/>
  <c r="Y338" i="1"/>
  <c r="R503" i="1"/>
  <c r="Y344" i="1"/>
  <c r="BP341" i="1"/>
  <c r="BN341" i="1"/>
  <c r="Z341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BP380" i="1"/>
  <c r="BN380" i="1"/>
  <c r="Z380" i="1"/>
  <c r="Z381" i="1" s="1"/>
  <c r="Y382" i="1"/>
  <c r="Y387" i="1"/>
  <c r="BP384" i="1"/>
  <c r="BN384" i="1"/>
  <c r="Z384" i="1"/>
  <c r="BP394" i="1"/>
  <c r="BN394" i="1"/>
  <c r="Z394" i="1"/>
  <c r="BP398" i="1"/>
  <c r="BN398" i="1"/>
  <c r="Z398" i="1"/>
  <c r="BP415" i="1"/>
  <c r="BN415" i="1"/>
  <c r="Z415" i="1"/>
  <c r="J503" i="1"/>
  <c r="S503" i="1"/>
  <c r="H9" i="1"/>
  <c r="X494" i="1"/>
  <c r="X495" i="1"/>
  <c r="X493" i="1"/>
  <c r="C503" i="1"/>
  <c r="Y44" i="1"/>
  <c r="D503" i="1"/>
  <c r="Y57" i="1"/>
  <c r="E503" i="1"/>
  <c r="Y88" i="1"/>
  <c r="Z100" i="1"/>
  <c r="Z104" i="1" s="1"/>
  <c r="BN100" i="1"/>
  <c r="Z102" i="1"/>
  <c r="BN102" i="1"/>
  <c r="Y105" i="1"/>
  <c r="Z108" i="1"/>
  <c r="Z111" i="1" s="1"/>
  <c r="BN108" i="1"/>
  <c r="Z110" i="1"/>
  <c r="BN110" i="1"/>
  <c r="Z114" i="1"/>
  <c r="BN114" i="1"/>
  <c r="BP114" i="1"/>
  <c r="Z116" i="1"/>
  <c r="BN116" i="1"/>
  <c r="G503" i="1"/>
  <c r="Z127" i="1"/>
  <c r="Z128" i="1" s="1"/>
  <c r="BN127" i="1"/>
  <c r="Y128" i="1"/>
  <c r="Z131" i="1"/>
  <c r="Z133" i="1" s="1"/>
  <c r="BN131" i="1"/>
  <c r="BP131" i="1"/>
  <c r="Z137" i="1"/>
  <c r="Z138" i="1" s="1"/>
  <c r="BN137" i="1"/>
  <c r="Z142" i="1"/>
  <c r="Z144" i="1" s="1"/>
  <c r="BN142" i="1"/>
  <c r="BP142" i="1"/>
  <c r="Y145" i="1"/>
  <c r="Z148" i="1"/>
  <c r="Z153" i="1" s="1"/>
  <c r="BN148" i="1"/>
  <c r="Z150" i="1"/>
  <c r="BN150" i="1"/>
  <c r="Z152" i="1"/>
  <c r="BN152" i="1"/>
  <c r="Z156" i="1"/>
  <c r="Z157" i="1" s="1"/>
  <c r="BN156" i="1"/>
  <c r="BP156" i="1"/>
  <c r="Z162" i="1"/>
  <c r="Z163" i="1" s="1"/>
  <c r="BN162" i="1"/>
  <c r="BP162" i="1"/>
  <c r="Y163" i="1"/>
  <c r="Z166" i="1"/>
  <c r="Z180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4" i="1"/>
  <c r="Z186" i="1" s="1"/>
  <c r="BN184" i="1"/>
  <c r="Z195" i="1"/>
  <c r="Z196" i="1" s="1"/>
  <c r="BN195" i="1"/>
  <c r="Z199" i="1"/>
  <c r="Z201" i="1" s="1"/>
  <c r="BN199" i="1"/>
  <c r="BP199" i="1"/>
  <c r="Z205" i="1"/>
  <c r="Z212" i="1" s="1"/>
  <c r="BN205" i="1"/>
  <c r="Z207" i="1"/>
  <c r="BN207" i="1"/>
  <c r="Z209" i="1"/>
  <c r="BN209" i="1"/>
  <c r="Z211" i="1"/>
  <c r="BN211" i="1"/>
  <c r="Z215" i="1"/>
  <c r="Z224" i="1" s="1"/>
  <c r="BN215" i="1"/>
  <c r="BP215" i="1"/>
  <c r="Z217" i="1"/>
  <c r="BN217" i="1"/>
  <c r="Z219" i="1"/>
  <c r="BN219" i="1"/>
  <c r="Z221" i="1"/>
  <c r="BN221" i="1"/>
  <c r="Z223" i="1"/>
  <c r="BN223" i="1"/>
  <c r="Z227" i="1"/>
  <c r="Z229" i="1" s="1"/>
  <c r="BN227" i="1"/>
  <c r="BP227" i="1"/>
  <c r="K503" i="1"/>
  <c r="Z234" i="1"/>
  <c r="Z242" i="1" s="1"/>
  <c r="BN234" i="1"/>
  <c r="Z236" i="1"/>
  <c r="BN236" i="1"/>
  <c r="Z238" i="1"/>
  <c r="BN238" i="1"/>
  <c r="Z240" i="1"/>
  <c r="BN240" i="1"/>
  <c r="Y243" i="1"/>
  <c r="Z254" i="1"/>
  <c r="Z258" i="1" s="1"/>
  <c r="BN254" i="1"/>
  <c r="Z256" i="1"/>
  <c r="BN256" i="1"/>
  <c r="L503" i="1"/>
  <c r="Y267" i="1"/>
  <c r="Z263" i="1"/>
  <c r="Z267" i="1" s="1"/>
  <c r="BN263" i="1"/>
  <c r="Z265" i="1"/>
  <c r="BN265" i="1"/>
  <c r="BP266" i="1"/>
  <c r="BN266" i="1"/>
  <c r="Z266" i="1"/>
  <c r="Y268" i="1"/>
  <c r="M503" i="1"/>
  <c r="Y276" i="1"/>
  <c r="BP271" i="1"/>
  <c r="BN271" i="1"/>
  <c r="Z271" i="1"/>
  <c r="Z275" i="1" s="1"/>
  <c r="Y275" i="1"/>
  <c r="Z282" i="1"/>
  <c r="BP280" i="1"/>
  <c r="BN280" i="1"/>
  <c r="Z280" i="1"/>
  <c r="Y293" i="1"/>
  <c r="BP298" i="1"/>
  <c r="BN298" i="1"/>
  <c r="Z298" i="1"/>
  <c r="Z302" i="1" s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Z324" i="1"/>
  <c r="BP322" i="1"/>
  <c r="BN322" i="1"/>
  <c r="Z322" i="1"/>
  <c r="Y331" i="1"/>
  <c r="BP330" i="1"/>
  <c r="BN330" i="1"/>
  <c r="Z330" i="1"/>
  <c r="Z331" i="1" s="1"/>
  <c r="Y332" i="1"/>
  <c r="Y337" i="1"/>
  <c r="BP334" i="1"/>
  <c r="BN334" i="1"/>
  <c r="Z334" i="1"/>
  <c r="Z337" i="1" s="1"/>
  <c r="BP343" i="1"/>
  <c r="BN343" i="1"/>
  <c r="Z343" i="1"/>
  <c r="Y345" i="1"/>
  <c r="Y356" i="1"/>
  <c r="BP349" i="1"/>
  <c r="BN349" i="1"/>
  <c r="Z349" i="1"/>
  <c r="Z356" i="1" s="1"/>
  <c r="BP353" i="1"/>
  <c r="BN353" i="1"/>
  <c r="Z353" i="1"/>
  <c r="Y361" i="1"/>
  <c r="BP365" i="1"/>
  <c r="BN365" i="1"/>
  <c r="Z365" i="1"/>
  <c r="Z366" i="1" s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Z418" i="1" s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Z446" i="1" s="1"/>
  <c r="Y447" i="1"/>
  <c r="BP451" i="1"/>
  <c r="BN451" i="1"/>
  <c r="Z451" i="1"/>
  <c r="Y455" i="1"/>
  <c r="BP465" i="1"/>
  <c r="BN465" i="1"/>
  <c r="Z465" i="1"/>
  <c r="Y503" i="1"/>
  <c r="Y469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O503" i="1"/>
  <c r="P503" i="1"/>
  <c r="Y288" i="1"/>
  <c r="Y303" i="1"/>
  <c r="V503" i="1"/>
  <c r="Y412" i="1"/>
  <c r="Y419" i="1"/>
  <c r="Y418" i="1"/>
  <c r="BP429" i="1"/>
  <c r="BN429" i="1"/>
  <c r="Z429" i="1"/>
  <c r="Z440" i="1" s="1"/>
  <c r="BP433" i="1"/>
  <c r="BN433" i="1"/>
  <c r="Z433" i="1"/>
  <c r="BP437" i="1"/>
  <c r="BN437" i="1"/>
  <c r="Z437" i="1"/>
  <c r="BP445" i="1"/>
  <c r="BN445" i="1"/>
  <c r="Z445" i="1"/>
  <c r="Y456" i="1"/>
  <c r="BP449" i="1"/>
  <c r="BN449" i="1"/>
  <c r="Z449" i="1"/>
  <c r="BP453" i="1"/>
  <c r="BN453" i="1"/>
  <c r="Z453" i="1"/>
  <c r="Y468" i="1"/>
  <c r="BP467" i="1"/>
  <c r="BN467" i="1"/>
  <c r="Z467" i="1"/>
  <c r="Z468" i="1" s="1"/>
  <c r="Y474" i="1"/>
  <c r="BP471" i="1"/>
  <c r="BN471" i="1"/>
  <c r="Z471" i="1"/>
  <c r="Z473" i="1" s="1"/>
  <c r="Y486" i="1"/>
  <c r="Y440" i="1"/>
  <c r="Y496" i="1" l="1"/>
  <c r="Z344" i="1"/>
  <c r="Y497" i="1"/>
  <c r="Z401" i="1"/>
  <c r="Z455" i="1"/>
  <c r="Z118" i="1"/>
  <c r="X496" i="1"/>
  <c r="Z387" i="1"/>
  <c r="Z95" i="1"/>
  <c r="Z31" i="1"/>
  <c r="Z498" i="1" s="1"/>
  <c r="Y493" i="1"/>
</calcChain>
</file>

<file path=xl/sharedStrings.xml><?xml version="1.0" encoding="utf-8"?>
<sst xmlns="http://schemas.openxmlformats.org/spreadsheetml/2006/main" count="2274" uniqueCount="773">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</sst>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499" sqref="AA499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27" t="s">
        <v>0</v>
      </c>
      <c r="E1" s="579"/>
      <c r="F1" s="579"/>
      <c r="G1" s="12" t="s">
        <v>1</v>
      </c>
      <c r="H1" s="627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2"/>
      <c r="R2" s="562"/>
      <c r="S2" s="562"/>
      <c r="T2" s="562"/>
      <c r="U2" s="562"/>
      <c r="V2" s="562"/>
      <c r="W2" s="562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2"/>
      <c r="Q3" s="562"/>
      <c r="R3" s="562"/>
      <c r="S3" s="562"/>
      <c r="T3" s="562"/>
      <c r="U3" s="562"/>
      <c r="V3" s="562"/>
      <c r="W3" s="562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4" t="s">
        <v>8</v>
      </c>
      <c r="B5" s="675"/>
      <c r="C5" s="676"/>
      <c r="D5" s="632"/>
      <c r="E5" s="633"/>
      <c r="F5" s="837" t="s">
        <v>9</v>
      </c>
      <c r="G5" s="676"/>
      <c r="H5" s="632"/>
      <c r="I5" s="783"/>
      <c r="J5" s="783"/>
      <c r="K5" s="783"/>
      <c r="L5" s="783"/>
      <c r="M5" s="633"/>
      <c r="N5" s="58"/>
      <c r="P5" s="24" t="s">
        <v>10</v>
      </c>
      <c r="Q5" s="849">
        <v>46041</v>
      </c>
      <c r="R5" s="673"/>
      <c r="T5" s="718" t="s">
        <v>11</v>
      </c>
      <c r="U5" s="719"/>
      <c r="V5" s="720" t="s">
        <v>12</v>
      </c>
      <c r="W5" s="673"/>
      <c r="AB5" s="51"/>
      <c r="AC5" s="51"/>
      <c r="AD5" s="51"/>
      <c r="AE5" s="51"/>
    </row>
    <row r="6" spans="1:32" s="543" customFormat="1" ht="24" customHeight="1" x14ac:dyDescent="0.2">
      <c r="A6" s="674" t="s">
        <v>13</v>
      </c>
      <c r="B6" s="675"/>
      <c r="C6" s="676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73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23" t="s">
        <v>16</v>
      </c>
      <c r="U6" s="719"/>
      <c r="V6" s="768" t="s">
        <v>17</v>
      </c>
      <c r="W6" s="598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2"/>
      <c r="U7" s="719"/>
      <c r="V7" s="769"/>
      <c r="W7" s="770"/>
      <c r="AB7" s="51"/>
      <c r="AC7" s="51"/>
      <c r="AD7" s="51"/>
      <c r="AE7" s="51"/>
    </row>
    <row r="8" spans="1:32" s="543" customFormat="1" ht="25.5" customHeight="1" x14ac:dyDescent="0.2">
      <c r="A8" s="872" t="s">
        <v>18</v>
      </c>
      <c r="B8" s="568"/>
      <c r="C8" s="569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4">
        <v>0.41666666666666669</v>
      </c>
      <c r="R8" s="609"/>
      <c r="T8" s="562"/>
      <c r="U8" s="719"/>
      <c r="V8" s="769"/>
      <c r="W8" s="770"/>
      <c r="AB8" s="51"/>
      <c r="AC8" s="51"/>
      <c r="AD8" s="51"/>
      <c r="AE8" s="51"/>
    </row>
    <row r="9" spans="1:32" s="543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2"/>
      <c r="C9" s="562"/>
      <c r="D9" s="693"/>
      <c r="E9" s="566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2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41"/>
      <c r="P9" s="26" t="s">
        <v>21</v>
      </c>
      <c r="Q9" s="666"/>
      <c r="R9" s="667"/>
      <c r="T9" s="562"/>
      <c r="U9" s="719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2"/>
      <c r="C10" s="562"/>
      <c r="D10" s="693"/>
      <c r="E10" s="566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2"/>
      <c r="H10" s="760" t="str">
        <f>IFERROR(VLOOKUP($D$10,Proxy,2,FALSE),"")</f>
        <v/>
      </c>
      <c r="I10" s="562"/>
      <c r="J10" s="562"/>
      <c r="K10" s="562"/>
      <c r="L10" s="562"/>
      <c r="M10" s="562"/>
      <c r="N10" s="542"/>
      <c r="P10" s="26" t="s">
        <v>22</v>
      </c>
      <c r="Q10" s="724"/>
      <c r="R10" s="725"/>
      <c r="U10" s="24" t="s">
        <v>23</v>
      </c>
      <c r="V10" s="597" t="s">
        <v>24</v>
      </c>
      <c r="W10" s="598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4" t="s">
        <v>29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30</v>
      </c>
      <c r="Q12" s="684"/>
      <c r="R12" s="609"/>
      <c r="S12" s="23"/>
      <c r="U12" s="24"/>
      <c r="V12" s="579"/>
      <c r="W12" s="562"/>
      <c r="AB12" s="51"/>
      <c r="AC12" s="51"/>
      <c r="AD12" s="51"/>
      <c r="AE12" s="51"/>
    </row>
    <row r="13" spans="1:32" s="543" customFormat="1" ht="23.25" customHeight="1" x14ac:dyDescent="0.2">
      <c r="A13" s="714" t="s">
        <v>31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32</v>
      </c>
      <c r="Q13" s="803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4" t="s">
        <v>33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7" t="s">
        <v>34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05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2" t="s">
        <v>36</v>
      </c>
      <c r="B17" s="592" t="s">
        <v>37</v>
      </c>
      <c r="C17" s="689" t="s">
        <v>38</v>
      </c>
      <c r="D17" s="592" t="s">
        <v>39</v>
      </c>
      <c r="E17" s="650"/>
      <c r="F17" s="592" t="s">
        <v>40</v>
      </c>
      <c r="G17" s="592" t="s">
        <v>41</v>
      </c>
      <c r="H17" s="592" t="s">
        <v>42</v>
      </c>
      <c r="I17" s="592" t="s">
        <v>43</v>
      </c>
      <c r="J17" s="592" t="s">
        <v>44</v>
      </c>
      <c r="K17" s="592" t="s">
        <v>45</v>
      </c>
      <c r="L17" s="592" t="s">
        <v>46</v>
      </c>
      <c r="M17" s="592" t="s">
        <v>47</v>
      </c>
      <c r="N17" s="592" t="s">
        <v>48</v>
      </c>
      <c r="O17" s="592" t="s">
        <v>49</v>
      </c>
      <c r="P17" s="592" t="s">
        <v>50</v>
      </c>
      <c r="Q17" s="649"/>
      <c r="R17" s="649"/>
      <c r="S17" s="649"/>
      <c r="T17" s="650"/>
      <c r="U17" s="867" t="s">
        <v>51</v>
      </c>
      <c r="V17" s="676"/>
      <c r="W17" s="592" t="s">
        <v>52</v>
      </c>
      <c r="X17" s="592" t="s">
        <v>53</v>
      </c>
      <c r="Y17" s="870" t="s">
        <v>54</v>
      </c>
      <c r="Z17" s="781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93"/>
      <c r="B18" s="593"/>
      <c r="C18" s="593"/>
      <c r="D18" s="651"/>
      <c r="E18" s="653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3"/>
      <c r="X18" s="593"/>
      <c r="Y18" s="871"/>
      <c r="Z18" s="782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668" t="s">
        <v>63</v>
      </c>
      <c r="B19" s="669"/>
      <c r="C19" s="669"/>
      <c r="D19" s="669"/>
      <c r="E19" s="669"/>
      <c r="F19" s="669"/>
      <c r="G19" s="669"/>
      <c r="H19" s="669"/>
      <c r="I19" s="669"/>
      <c r="J19" s="669"/>
      <c r="K19" s="669"/>
      <c r="L19" s="669"/>
      <c r="M19" s="669"/>
      <c r="N19" s="669"/>
      <c r="O19" s="669"/>
      <c r="P19" s="669"/>
      <c r="Q19" s="669"/>
      <c r="R19" s="669"/>
      <c r="S19" s="669"/>
      <c r="T19" s="669"/>
      <c r="U19" s="669"/>
      <c r="V19" s="669"/>
      <c r="W19" s="669"/>
      <c r="X19" s="669"/>
      <c r="Y19" s="669"/>
      <c r="Z19" s="669"/>
      <c r="AA19" s="48"/>
      <c r="AB19" s="48"/>
      <c r="AC19" s="48"/>
    </row>
    <row r="20" spans="1:68" ht="16.5" customHeight="1" x14ac:dyDescent="0.25">
      <c r="A20" s="570" t="s">
        <v>63</v>
      </c>
      <c r="B20" s="562"/>
      <c r="C20" s="562"/>
      <c r="D20" s="562"/>
      <c r="E20" s="562"/>
      <c r="F20" s="562"/>
      <c r="G20" s="562"/>
      <c r="H20" s="562"/>
      <c r="I20" s="562"/>
      <c r="J20" s="562"/>
      <c r="K20" s="562"/>
      <c r="L20" s="562"/>
      <c r="M20" s="562"/>
      <c r="N20" s="562"/>
      <c r="O20" s="562"/>
      <c r="P20" s="562"/>
      <c r="Q20" s="562"/>
      <c r="R20" s="562"/>
      <c r="S20" s="562"/>
      <c r="T20" s="562"/>
      <c r="U20" s="562"/>
      <c r="V20" s="562"/>
      <c r="W20" s="562"/>
      <c r="X20" s="562"/>
      <c r="Y20" s="562"/>
      <c r="Z20" s="562"/>
      <c r="AA20" s="544"/>
      <c r="AB20" s="544"/>
      <c r="AC20" s="544"/>
    </row>
    <row r="21" spans="1:68" ht="14.25" customHeight="1" x14ac:dyDescent="0.25">
      <c r="A21" s="564" t="s">
        <v>64</v>
      </c>
      <c r="B21" s="562"/>
      <c r="C21" s="562"/>
      <c r="D21" s="562"/>
      <c r="E21" s="562"/>
      <c r="F21" s="562"/>
      <c r="G21" s="562"/>
      <c r="H21" s="562"/>
      <c r="I21" s="562"/>
      <c r="J21" s="562"/>
      <c r="K21" s="562"/>
      <c r="L21" s="562"/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1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64" t="s">
        <v>77</v>
      </c>
      <c r="B26" s="562"/>
      <c r="C26" s="562"/>
      <c r="D26" s="562"/>
      <c r="E26" s="562"/>
      <c r="F26" s="562"/>
      <c r="G26" s="562"/>
      <c r="H26" s="562"/>
      <c r="I26" s="562"/>
      <c r="J26" s="562"/>
      <c r="K26" s="562"/>
      <c r="L26" s="562"/>
      <c r="M26" s="562"/>
      <c r="N26" s="562"/>
      <c r="O26" s="562"/>
      <c r="P26" s="562"/>
      <c r="Q26" s="562"/>
      <c r="R26" s="562"/>
      <c r="S26" s="562"/>
      <c r="T26" s="562"/>
      <c r="U26" s="562"/>
      <c r="V26" s="562"/>
      <c r="W26" s="562"/>
      <c r="X26" s="562"/>
      <c r="Y26" s="562"/>
      <c r="Z26" s="562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1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customHeight="1" x14ac:dyDescent="0.25">
      <c r="A33" s="564" t="s">
        <v>91</v>
      </c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  <c r="X33" s="562"/>
      <c r="Y33" s="562"/>
      <c r="Z33" s="562"/>
      <c r="AA33" s="545"/>
      <c r="AB33" s="545"/>
      <c r="AC33" s="54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1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1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customHeight="1" x14ac:dyDescent="0.2">
      <c r="A37" s="668" t="s">
        <v>97</v>
      </c>
      <c r="B37" s="669"/>
      <c r="C37" s="669"/>
      <c r="D37" s="669"/>
      <c r="E37" s="669"/>
      <c r="F37" s="669"/>
      <c r="G37" s="669"/>
      <c r="H37" s="669"/>
      <c r="I37" s="669"/>
      <c r="J37" s="669"/>
      <c r="K37" s="669"/>
      <c r="L37" s="669"/>
      <c r="M37" s="669"/>
      <c r="N37" s="669"/>
      <c r="O37" s="669"/>
      <c r="P37" s="669"/>
      <c r="Q37" s="669"/>
      <c r="R37" s="669"/>
      <c r="S37" s="669"/>
      <c r="T37" s="669"/>
      <c r="U37" s="669"/>
      <c r="V37" s="669"/>
      <c r="W37" s="669"/>
      <c r="X37" s="669"/>
      <c r="Y37" s="669"/>
      <c r="Z37" s="669"/>
      <c r="AA37" s="48"/>
      <c r="AB37" s="48"/>
      <c r="AC37" s="48"/>
    </row>
    <row r="38" spans="1:68" ht="16.5" customHeight="1" x14ac:dyDescent="0.25">
      <c r="A38" s="570" t="s">
        <v>98</v>
      </c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2"/>
      <c r="P38" s="562"/>
      <c r="Q38" s="562"/>
      <c r="R38" s="562"/>
      <c r="S38" s="562"/>
      <c r="T38" s="562"/>
      <c r="U38" s="562"/>
      <c r="V38" s="562"/>
      <c r="W38" s="562"/>
      <c r="X38" s="562"/>
      <c r="Y38" s="562"/>
      <c r="Z38" s="562"/>
      <c r="AA38" s="544"/>
      <c r="AB38" s="544"/>
      <c r="AC38" s="544"/>
    </row>
    <row r="39" spans="1:68" ht="14.25" customHeight="1" x14ac:dyDescent="0.25">
      <c r="A39" s="564" t="s">
        <v>99</v>
      </c>
      <c r="B39" s="562"/>
      <c r="C39" s="562"/>
      <c r="D39" s="562"/>
      <c r="E39" s="562"/>
      <c r="F39" s="562"/>
      <c r="G39" s="562"/>
      <c r="H39" s="562"/>
      <c r="I39" s="562"/>
      <c r="J39" s="562"/>
      <c r="K39" s="562"/>
      <c r="L39" s="562"/>
      <c r="M39" s="562"/>
      <c r="N39" s="562"/>
      <c r="O39" s="562"/>
      <c r="P39" s="562"/>
      <c r="Q39" s="562"/>
      <c r="R39" s="562"/>
      <c r="S39" s="562"/>
      <c r="T39" s="562"/>
      <c r="U39" s="562"/>
      <c r="V39" s="562"/>
      <c r="W39" s="562"/>
      <c r="X39" s="562"/>
      <c r="Y39" s="562"/>
      <c r="Z39" s="562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9">
        <v>0</v>
      </c>
      <c r="Y40" s="55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9">
        <v>464</v>
      </c>
      <c r="Y42" s="550">
        <f>IFERROR(IF(X42="",0,CEILING((X42/$H42),1)*$H42),"")</f>
        <v>466.20000000000005</v>
      </c>
      <c r="Z42" s="36">
        <f>IFERROR(IF(Y42=0,"",ROUNDUP(Y42/H42,0)*0.00902),"")</f>
        <v>1.13652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487.82702702702699</v>
      </c>
      <c r="BN42" s="64">
        <f>IFERROR(Y42*I42/H42,"0")</f>
        <v>490.14000000000004</v>
      </c>
      <c r="BO42" s="64">
        <f>IFERROR(1/J42*(X42/H42),"0")</f>
        <v>0.95004095004095002</v>
      </c>
      <c r="BP42" s="64">
        <f>IFERROR(1/J42*(Y42/H42),"0")</f>
        <v>0.95454545454545459</v>
      </c>
    </row>
    <row r="43" spans="1:68" x14ac:dyDescent="0.2">
      <c r="A43" s="561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51">
        <f>IFERROR(X40/H40,"0")+IFERROR(X41/H41,"0")+IFERROR(X42/H42,"0")</f>
        <v>125.4054054054054</v>
      </c>
      <c r="Y43" s="551">
        <f>IFERROR(Y40/H40,"0")+IFERROR(Y41/H41,"0")+IFERROR(Y42/H42,"0")</f>
        <v>126</v>
      </c>
      <c r="Z43" s="551">
        <f>IFERROR(IF(Z40="",0,Z40),"0")+IFERROR(IF(Z41="",0,Z41),"0")+IFERROR(IF(Z42="",0,Z42),"0")</f>
        <v>1.13652</v>
      </c>
      <c r="AA43" s="552"/>
      <c r="AB43" s="552"/>
      <c r="AC43" s="552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51">
        <f>IFERROR(SUM(X40:X42),"0")</f>
        <v>464</v>
      </c>
      <c r="Y44" s="551">
        <f>IFERROR(SUM(Y40:Y42),"0")</f>
        <v>466.20000000000005</v>
      </c>
      <c r="Z44" s="37"/>
      <c r="AA44" s="552"/>
      <c r="AB44" s="552"/>
      <c r="AC44" s="552"/>
    </row>
    <row r="45" spans="1:68" ht="14.25" customHeight="1" x14ac:dyDescent="0.25">
      <c r="A45" s="564" t="s">
        <v>77</v>
      </c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2"/>
      <c r="P45" s="562"/>
      <c r="Q45" s="562"/>
      <c r="R45" s="562"/>
      <c r="S45" s="562"/>
      <c r="T45" s="562"/>
      <c r="U45" s="562"/>
      <c r="V45" s="562"/>
      <c r="W45" s="562"/>
      <c r="X45" s="562"/>
      <c r="Y45" s="562"/>
      <c r="Z45" s="562"/>
      <c r="AA45" s="545"/>
      <c r="AB45" s="545"/>
      <c r="AC45" s="54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1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customHeight="1" x14ac:dyDescent="0.25">
      <c r="A49" s="570" t="s">
        <v>116</v>
      </c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2"/>
      <c r="P49" s="562"/>
      <c r="Q49" s="562"/>
      <c r="R49" s="562"/>
      <c r="S49" s="562"/>
      <c r="T49" s="562"/>
      <c r="U49" s="562"/>
      <c r="V49" s="562"/>
      <c r="W49" s="562"/>
      <c r="X49" s="562"/>
      <c r="Y49" s="562"/>
      <c r="Z49" s="562"/>
      <c r="AA49" s="544"/>
      <c r="AB49" s="544"/>
      <c r="AC49" s="544"/>
    </row>
    <row r="50" spans="1:68" ht="14.25" customHeight="1" x14ac:dyDescent="0.25">
      <c r="A50" s="564" t="s">
        <v>99</v>
      </c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2"/>
      <c r="P50" s="562"/>
      <c r="Q50" s="562"/>
      <c r="R50" s="562"/>
      <c r="S50" s="562"/>
      <c r="T50" s="562"/>
      <c r="U50" s="562"/>
      <c r="V50" s="562"/>
      <c r="W50" s="562"/>
      <c r="X50" s="562"/>
      <c r="Y50" s="562"/>
      <c r="Z50" s="562"/>
      <c r="AA50" s="545"/>
      <c r="AB50" s="545"/>
      <c r="AC50" s="54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customHeight="1" x14ac:dyDescent="0.25">
      <c r="A59" s="564" t="s">
        <v>135</v>
      </c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customHeight="1" x14ac:dyDescent="0.25">
      <c r="A65" s="564" t="s">
        <v>64</v>
      </c>
      <c r="B65" s="562"/>
      <c r="C65" s="562"/>
      <c r="D65" s="562"/>
      <c r="E65" s="562"/>
      <c r="F65" s="562"/>
      <c r="G65" s="562"/>
      <c r="H65" s="562"/>
      <c r="I65" s="562"/>
      <c r="J65" s="562"/>
      <c r="K65" s="562"/>
      <c r="L65" s="562"/>
      <c r="M65" s="562"/>
      <c r="N65" s="562"/>
      <c r="O65" s="562"/>
      <c r="P65" s="562"/>
      <c r="Q65" s="562"/>
      <c r="R65" s="562"/>
      <c r="S65" s="562"/>
      <c r="T65" s="562"/>
      <c r="U65" s="562"/>
      <c r="V65" s="562"/>
      <c r="W65" s="562"/>
      <c r="X65" s="562"/>
      <c r="Y65" s="562"/>
      <c r="Z65" s="562"/>
      <c r="AA65" s="545"/>
      <c r="AB65" s="545"/>
      <c r="AC65" s="54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1"/>
      <c r="B68" s="562"/>
      <c r="C68" s="562"/>
      <c r="D68" s="562"/>
      <c r="E68" s="562"/>
      <c r="F68" s="562"/>
      <c r="G68" s="562"/>
      <c r="H68" s="562"/>
      <c r="I68" s="562"/>
      <c r="J68" s="562"/>
      <c r="K68" s="562"/>
      <c r="L68" s="562"/>
      <c r="M68" s="562"/>
      <c r="N68" s="562"/>
      <c r="O68" s="563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customHeight="1" x14ac:dyDescent="0.25">
      <c r="A70" s="564" t="s">
        <v>77</v>
      </c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2"/>
      <c r="P70" s="562"/>
      <c r="Q70" s="562"/>
      <c r="R70" s="562"/>
      <c r="S70" s="562"/>
      <c r="T70" s="562"/>
      <c r="U70" s="562"/>
      <c r="V70" s="562"/>
      <c r="W70" s="562"/>
      <c r="X70" s="562"/>
      <c r="Y70" s="562"/>
      <c r="Z70" s="562"/>
      <c r="AA70" s="545"/>
      <c r="AB70" s="545"/>
      <c r="AC70" s="545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1"/>
      <c r="B75" s="562"/>
      <c r="C75" s="562"/>
      <c r="D75" s="562"/>
      <c r="E75" s="562"/>
      <c r="F75" s="562"/>
      <c r="G75" s="562"/>
      <c r="H75" s="562"/>
      <c r="I75" s="562"/>
      <c r="J75" s="562"/>
      <c r="K75" s="562"/>
      <c r="L75" s="562"/>
      <c r="M75" s="562"/>
      <c r="N75" s="562"/>
      <c r="O75" s="563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x14ac:dyDescent="0.2">
      <c r="A76" s="562"/>
      <c r="B76" s="562"/>
      <c r="C76" s="562"/>
      <c r="D76" s="562"/>
      <c r="E76" s="562"/>
      <c r="F76" s="562"/>
      <c r="G76" s="562"/>
      <c r="H76" s="562"/>
      <c r="I76" s="562"/>
      <c r="J76" s="562"/>
      <c r="K76" s="562"/>
      <c r="L76" s="562"/>
      <c r="M76" s="562"/>
      <c r="N76" s="562"/>
      <c r="O76" s="563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customHeight="1" x14ac:dyDescent="0.25">
      <c r="A77" s="564" t="s">
        <v>160</v>
      </c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2"/>
      <c r="P77" s="562"/>
      <c r="Q77" s="562"/>
      <c r="R77" s="562"/>
      <c r="S77" s="562"/>
      <c r="T77" s="562"/>
      <c r="U77" s="562"/>
      <c r="V77" s="562"/>
      <c r="W77" s="562"/>
      <c r="X77" s="562"/>
      <c r="Y77" s="562"/>
      <c r="Z77" s="562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9">
        <v>7</v>
      </c>
      <c r="Y79" s="550">
        <f>IFERROR(IF(X79="",0,CEILING((X79/$H79),1)*$H79),"")</f>
        <v>7.1999999999999993</v>
      </c>
      <c r="Z79" s="36">
        <f>IFERROR(IF(Y79=0,"",ROUNDUP(Y79/H79,0)*0.00902),"")</f>
        <v>2.7060000000000001E-2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7.5541666666666663</v>
      </c>
      <c r="BN79" s="64">
        <f>IFERROR(Y79*I79/H79,"0")</f>
        <v>7.7699999999999987</v>
      </c>
      <c r="BO79" s="64">
        <f>IFERROR(1/J79*(X79/H79),"0")</f>
        <v>2.2095959595959599E-2</v>
      </c>
      <c r="BP79" s="64">
        <f>IFERROR(1/J79*(Y79/H79),"0")</f>
        <v>2.2727272727272728E-2</v>
      </c>
    </row>
    <row r="80" spans="1:68" x14ac:dyDescent="0.2">
      <c r="A80" s="561"/>
      <c r="B80" s="562"/>
      <c r="C80" s="562"/>
      <c r="D80" s="562"/>
      <c r="E80" s="562"/>
      <c r="F80" s="562"/>
      <c r="G80" s="562"/>
      <c r="H80" s="562"/>
      <c r="I80" s="562"/>
      <c r="J80" s="562"/>
      <c r="K80" s="562"/>
      <c r="L80" s="562"/>
      <c r="M80" s="562"/>
      <c r="N80" s="562"/>
      <c r="O80" s="563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51">
        <f>IFERROR(X78/H78,"0")+IFERROR(X79/H79,"0")</f>
        <v>2.916666666666667</v>
      </c>
      <c r="Y80" s="551">
        <f>IFERROR(Y78/H78,"0")+IFERROR(Y79/H79,"0")</f>
        <v>3</v>
      </c>
      <c r="Z80" s="551">
        <f>IFERROR(IF(Z78="",0,Z78),"0")+IFERROR(IF(Z79="",0,Z79),"0")</f>
        <v>2.7060000000000001E-2</v>
      </c>
      <c r="AA80" s="552"/>
      <c r="AB80" s="552"/>
      <c r="AC80" s="552"/>
    </row>
    <row r="81" spans="1:68" x14ac:dyDescent="0.2">
      <c r="A81" s="562"/>
      <c r="B81" s="562"/>
      <c r="C81" s="562"/>
      <c r="D81" s="562"/>
      <c r="E81" s="562"/>
      <c r="F81" s="562"/>
      <c r="G81" s="562"/>
      <c r="H81" s="562"/>
      <c r="I81" s="562"/>
      <c r="J81" s="562"/>
      <c r="K81" s="562"/>
      <c r="L81" s="562"/>
      <c r="M81" s="562"/>
      <c r="N81" s="562"/>
      <c r="O81" s="563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51">
        <f>IFERROR(SUM(X78:X79),"0")</f>
        <v>7</v>
      </c>
      <c r="Y81" s="551">
        <f>IFERROR(SUM(Y78:Y79),"0")</f>
        <v>7.1999999999999993</v>
      </c>
      <c r="Z81" s="37"/>
      <c r="AA81" s="552"/>
      <c r="AB81" s="552"/>
      <c r="AC81" s="552"/>
    </row>
    <row r="82" spans="1:68" ht="16.5" customHeight="1" x14ac:dyDescent="0.25">
      <c r="A82" s="570" t="s">
        <v>167</v>
      </c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2"/>
      <c r="P82" s="562"/>
      <c r="Q82" s="562"/>
      <c r="R82" s="562"/>
      <c r="S82" s="562"/>
      <c r="T82" s="562"/>
      <c r="U82" s="562"/>
      <c r="V82" s="562"/>
      <c r="W82" s="562"/>
      <c r="X82" s="562"/>
      <c r="Y82" s="562"/>
      <c r="Z82" s="562"/>
      <c r="AA82" s="544"/>
      <c r="AB82" s="544"/>
      <c r="AC82" s="544"/>
    </row>
    <row r="83" spans="1:68" ht="14.25" customHeight="1" x14ac:dyDescent="0.25">
      <c r="A83" s="564" t="s">
        <v>99</v>
      </c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2"/>
      <c r="P83" s="562"/>
      <c r="Q83" s="562"/>
      <c r="R83" s="562"/>
      <c r="S83" s="562"/>
      <c r="T83" s="562"/>
      <c r="U83" s="562"/>
      <c r="V83" s="562"/>
      <c r="W83" s="562"/>
      <c r="X83" s="562"/>
      <c r="Y83" s="562"/>
      <c r="Z83" s="562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9">
        <v>296</v>
      </c>
      <c r="Y84" s="550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307.23703703703706</v>
      </c>
      <c r="BN84" s="64">
        <f>IFERROR(Y84*I84/H84,"0")</f>
        <v>313.88</v>
      </c>
      <c r="BO84" s="64">
        <f>IFERROR(1/J84*(X84/H84),"0")</f>
        <v>0.4282407407407407</v>
      </c>
      <c r="BP84" s="64">
        <f>IFERROR(1/J84*(Y84/H84),"0")</f>
        <v>0.4375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9">
        <v>349</v>
      </c>
      <c r="Y87" s="550">
        <f>IFERROR(IF(X87="",0,CEILING((X87/$H87),1)*$H87),"")</f>
        <v>351</v>
      </c>
      <c r="Z87" s="36">
        <f>IFERROR(IF(Y87=0,"",ROUNDUP(Y87/H87,0)*0.00902),"")</f>
        <v>0.70355999999999996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363.73555555555561</v>
      </c>
      <c r="BN87" s="64">
        <f>IFERROR(Y87*I87/H87,"0")</f>
        <v>365.82</v>
      </c>
      <c r="BO87" s="64">
        <f>IFERROR(1/J87*(X87/H87),"0")</f>
        <v>0.58754208754208759</v>
      </c>
      <c r="BP87" s="64">
        <f>IFERROR(1/J87*(Y87/H87),"0")</f>
        <v>0.59090909090909094</v>
      </c>
    </row>
    <row r="88" spans="1:68" x14ac:dyDescent="0.2">
      <c r="A88" s="561"/>
      <c r="B88" s="562"/>
      <c r="C88" s="562"/>
      <c r="D88" s="562"/>
      <c r="E88" s="562"/>
      <c r="F88" s="562"/>
      <c r="G88" s="562"/>
      <c r="H88" s="562"/>
      <c r="I88" s="562"/>
      <c r="J88" s="562"/>
      <c r="K88" s="562"/>
      <c r="L88" s="562"/>
      <c r="M88" s="562"/>
      <c r="N88" s="562"/>
      <c r="O88" s="563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51">
        <f>IFERROR(X84/H84,"0")+IFERROR(X85/H85,"0")+IFERROR(X86/H86,"0")+IFERROR(X87/H87,"0")</f>
        <v>104.96296296296296</v>
      </c>
      <c r="Y88" s="551">
        <f>IFERROR(Y84/H84,"0")+IFERROR(Y85/H85,"0")+IFERROR(Y86/H86,"0")+IFERROR(Y87/H87,"0")</f>
        <v>106</v>
      </c>
      <c r="Z88" s="551">
        <f>IFERROR(IF(Z84="",0,Z84),"0")+IFERROR(IF(Z85="",0,Z85),"0")+IFERROR(IF(Z86="",0,Z86),"0")+IFERROR(IF(Z87="",0,Z87),"0")</f>
        <v>1.2349999999999999</v>
      </c>
      <c r="AA88" s="552"/>
      <c r="AB88" s="552"/>
      <c r="AC88" s="552"/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51">
        <f>IFERROR(SUM(X84:X87),"0")</f>
        <v>645</v>
      </c>
      <c r="Y89" s="551">
        <f>IFERROR(SUM(Y84:Y87),"0")</f>
        <v>653.40000000000009</v>
      </c>
      <c r="Z89" s="37"/>
      <c r="AA89" s="552"/>
      <c r="AB89" s="552"/>
      <c r="AC89" s="552"/>
    </row>
    <row r="90" spans="1:68" ht="14.25" customHeight="1" x14ac:dyDescent="0.25">
      <c r="A90" s="564" t="s">
        <v>77</v>
      </c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2"/>
      <c r="P90" s="562"/>
      <c r="Q90" s="562"/>
      <c r="R90" s="562"/>
      <c r="S90" s="562"/>
      <c r="T90" s="562"/>
      <c r="U90" s="562"/>
      <c r="V90" s="562"/>
      <c r="W90" s="562"/>
      <c r="X90" s="562"/>
      <c r="Y90" s="562"/>
      <c r="Z90" s="562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9">
        <v>0</v>
      </c>
      <c r="Y91" s="55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9">
        <v>71</v>
      </c>
      <c r="Y93" s="550">
        <f>IFERROR(IF(X93="",0,CEILING((X93/$H93),1)*$H93),"")</f>
        <v>72.900000000000006</v>
      </c>
      <c r="Z93" s="36">
        <f>IFERROR(IF(Y93=0,"",ROUNDUP(Y93/H93,0)*0.00651),"")</f>
        <v>0.17577000000000001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77.626666666666651</v>
      </c>
      <c r="BN93" s="64">
        <f>IFERROR(Y93*I93/H93,"0")</f>
        <v>79.703999999999994</v>
      </c>
      <c r="BO93" s="64">
        <f>IFERROR(1/J93*(X93/H93),"0")</f>
        <v>0.14448514448514449</v>
      </c>
      <c r="BP93" s="64">
        <f>IFERROR(1/J93*(Y93/H93),"0")</f>
        <v>0.14835164835164835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62"/>
      <c r="C95" s="562"/>
      <c r="D95" s="562"/>
      <c r="E95" s="562"/>
      <c r="F95" s="562"/>
      <c r="G95" s="562"/>
      <c r="H95" s="562"/>
      <c r="I95" s="562"/>
      <c r="J95" s="562"/>
      <c r="K95" s="562"/>
      <c r="L95" s="562"/>
      <c r="M95" s="562"/>
      <c r="N95" s="562"/>
      <c r="O95" s="563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51">
        <f>IFERROR(X91/H91,"0")+IFERROR(X92/H92,"0")+IFERROR(X93/H93,"0")+IFERROR(X94/H94,"0")</f>
        <v>26.296296296296294</v>
      </c>
      <c r="Y95" s="551">
        <f>IFERROR(Y91/H91,"0")+IFERROR(Y92/H92,"0")+IFERROR(Y93/H93,"0")+IFERROR(Y94/H94,"0")</f>
        <v>27</v>
      </c>
      <c r="Z95" s="551">
        <f>IFERROR(IF(Z91="",0,Z91),"0")+IFERROR(IF(Z92="",0,Z92),"0")+IFERROR(IF(Z93="",0,Z93),"0")+IFERROR(IF(Z94="",0,Z94),"0")</f>
        <v>0.17577000000000001</v>
      </c>
      <c r="AA95" s="552"/>
      <c r="AB95" s="552"/>
      <c r="AC95" s="552"/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51">
        <f>IFERROR(SUM(X91:X94),"0")</f>
        <v>71</v>
      </c>
      <c r="Y96" s="551">
        <f>IFERROR(SUM(Y91:Y94),"0")</f>
        <v>72.900000000000006</v>
      </c>
      <c r="Z96" s="37"/>
      <c r="AA96" s="552"/>
      <c r="AB96" s="552"/>
      <c r="AC96" s="552"/>
    </row>
    <row r="97" spans="1:68" ht="16.5" customHeight="1" x14ac:dyDescent="0.25">
      <c r="A97" s="570" t="s">
        <v>189</v>
      </c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2"/>
      <c r="P97" s="562"/>
      <c r="Q97" s="562"/>
      <c r="R97" s="562"/>
      <c r="S97" s="562"/>
      <c r="T97" s="562"/>
      <c r="U97" s="562"/>
      <c r="V97" s="562"/>
      <c r="W97" s="562"/>
      <c r="X97" s="562"/>
      <c r="Y97" s="562"/>
      <c r="Z97" s="562"/>
      <c r="AA97" s="544"/>
      <c r="AB97" s="544"/>
      <c r="AC97" s="544"/>
    </row>
    <row r="98" spans="1:68" ht="14.25" customHeight="1" x14ac:dyDescent="0.25">
      <c r="A98" s="564" t="s">
        <v>99</v>
      </c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2"/>
      <c r="P98" s="562"/>
      <c r="Q98" s="562"/>
      <c r="R98" s="562"/>
      <c r="S98" s="562"/>
      <c r="T98" s="562"/>
      <c r="U98" s="562"/>
      <c r="V98" s="562"/>
      <c r="W98" s="562"/>
      <c r="X98" s="562"/>
      <c r="Y98" s="562"/>
      <c r="Z98" s="562"/>
      <c r="AA98" s="545"/>
      <c r="AB98" s="545"/>
      <c r="AC98" s="54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9">
        <v>0</v>
      </c>
      <c r="Y99" s="55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9">
        <v>337</v>
      </c>
      <c r="Y102" s="550">
        <f>IFERROR(IF(X102="",0,CEILING((X102/$H102),1)*$H102),"")</f>
        <v>337.5</v>
      </c>
      <c r="Z102" s="36">
        <f>IFERROR(IF(Y102=0,"",ROUNDUP(Y102/H102,0)*0.00902),"")</f>
        <v>0.67649999999999999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351.22888888888895</v>
      </c>
      <c r="BN102" s="64">
        <f>IFERROR(Y102*I102/H102,"0")</f>
        <v>351.75000000000006</v>
      </c>
      <c r="BO102" s="64">
        <f>IFERROR(1/J102*(X102/H102),"0")</f>
        <v>0.56734006734006737</v>
      </c>
      <c r="BP102" s="64">
        <f>IFERROR(1/J102*(Y102/H102),"0")</f>
        <v>0.56818181818181823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51">
        <f>IFERROR(X99/H99,"0")+IFERROR(X100/H100,"0")+IFERROR(X101/H101,"0")+IFERROR(X102/H102,"0")+IFERROR(X103/H103,"0")</f>
        <v>74.888888888888886</v>
      </c>
      <c r="Y104" s="551">
        <f>IFERROR(Y99/H99,"0")+IFERROR(Y100/H100,"0")+IFERROR(Y101/H101,"0")+IFERROR(Y102/H102,"0")+IFERROR(Y103/H103,"0")</f>
        <v>75</v>
      </c>
      <c r="Z104" s="551">
        <f>IFERROR(IF(Z99="",0,Z99),"0")+IFERROR(IF(Z100="",0,Z100),"0")+IFERROR(IF(Z101="",0,Z101),"0")+IFERROR(IF(Z102="",0,Z102),"0")+IFERROR(IF(Z103="",0,Z103),"0")</f>
        <v>0.67649999999999999</v>
      </c>
      <c r="AA104" s="552"/>
      <c r="AB104" s="552"/>
      <c r="AC104" s="552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51">
        <f>IFERROR(SUM(X99:X103),"0")</f>
        <v>337</v>
      </c>
      <c r="Y105" s="551">
        <f>IFERROR(SUM(Y99:Y103),"0")</f>
        <v>337.5</v>
      </c>
      <c r="Z105" s="37"/>
      <c r="AA105" s="552"/>
      <c r="AB105" s="552"/>
      <c r="AC105" s="552"/>
    </row>
    <row r="106" spans="1:68" ht="14.25" customHeight="1" x14ac:dyDescent="0.25">
      <c r="A106" s="564" t="s">
        <v>135</v>
      </c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2"/>
      <c r="P106" s="562"/>
      <c r="Q106" s="562"/>
      <c r="R106" s="562"/>
      <c r="S106" s="562"/>
      <c r="T106" s="562"/>
      <c r="U106" s="562"/>
      <c r="V106" s="562"/>
      <c r="W106" s="562"/>
      <c r="X106" s="562"/>
      <c r="Y106" s="562"/>
      <c r="Z106" s="562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9">
        <v>59</v>
      </c>
      <c r="Y107" s="550">
        <f>IFERROR(IF(X107="",0,CEILING((X107/$H107),1)*$H107),"")</f>
        <v>64.800000000000011</v>
      </c>
      <c r="Z107" s="36">
        <f>IFERROR(IF(Y107=0,"",ROUNDUP(Y107/H107,0)*0.01898),"")</f>
        <v>0.11388000000000001</v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61.239814814814821</v>
      </c>
      <c r="BN107" s="64">
        <f>IFERROR(Y107*I107/H107,"0")</f>
        <v>67.260000000000005</v>
      </c>
      <c r="BO107" s="64">
        <f>IFERROR(1/J107*(X107/H107),"0")</f>
        <v>8.5358796296296294E-2</v>
      </c>
      <c r="BP107" s="64">
        <f>IFERROR(1/J107*(Y107/H107),"0")</f>
        <v>9.3750000000000014E-2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9">
        <v>88</v>
      </c>
      <c r="Y110" s="550">
        <f>IFERROR(IF(X110="",0,CEILING((X110/$H110),1)*$H110),"")</f>
        <v>88.8</v>
      </c>
      <c r="Z110" s="36">
        <f>IFERROR(IF(Y110=0,"",ROUNDUP(Y110/H110,0)*0.00651),"")</f>
        <v>0.24087</v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94.600000000000009</v>
      </c>
      <c r="BN110" s="64">
        <f>IFERROR(Y110*I110/H110,"0")</f>
        <v>95.46</v>
      </c>
      <c r="BO110" s="64">
        <f>IFERROR(1/J110*(X110/H110),"0")</f>
        <v>0.2014652014652015</v>
      </c>
      <c r="BP110" s="64">
        <f>IFERROR(1/J110*(Y110/H110),"0")</f>
        <v>0.20329670329670332</v>
      </c>
    </row>
    <row r="111" spans="1:68" x14ac:dyDescent="0.2">
      <c r="A111" s="561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51">
        <f>IFERROR(X107/H107,"0")+IFERROR(X108/H108,"0")+IFERROR(X109/H109,"0")+IFERROR(X110/H110,"0")</f>
        <v>42.129629629629633</v>
      </c>
      <c r="Y111" s="551">
        <f>IFERROR(Y107/H107,"0")+IFERROR(Y108/H108,"0")+IFERROR(Y109/H109,"0")+IFERROR(Y110/H110,"0")</f>
        <v>43</v>
      </c>
      <c r="Z111" s="551">
        <f>IFERROR(IF(Z107="",0,Z107),"0")+IFERROR(IF(Z108="",0,Z108),"0")+IFERROR(IF(Z109="",0,Z109),"0")+IFERROR(IF(Z110="",0,Z110),"0")</f>
        <v>0.35475000000000001</v>
      </c>
      <c r="AA111" s="552"/>
      <c r="AB111" s="552"/>
      <c r="AC111" s="552"/>
    </row>
    <row r="112" spans="1:68" x14ac:dyDescent="0.2">
      <c r="A112" s="562"/>
      <c r="B112" s="562"/>
      <c r="C112" s="562"/>
      <c r="D112" s="562"/>
      <c r="E112" s="562"/>
      <c r="F112" s="562"/>
      <c r="G112" s="562"/>
      <c r="H112" s="562"/>
      <c r="I112" s="562"/>
      <c r="J112" s="562"/>
      <c r="K112" s="562"/>
      <c r="L112" s="562"/>
      <c r="M112" s="562"/>
      <c r="N112" s="562"/>
      <c r="O112" s="563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51">
        <f>IFERROR(SUM(X107:X110),"0")</f>
        <v>147</v>
      </c>
      <c r="Y112" s="551">
        <f>IFERROR(SUM(Y107:Y110),"0")</f>
        <v>153.60000000000002</v>
      </c>
      <c r="Z112" s="37"/>
      <c r="AA112" s="552"/>
      <c r="AB112" s="552"/>
      <c r="AC112" s="552"/>
    </row>
    <row r="113" spans="1:68" ht="14.25" customHeight="1" x14ac:dyDescent="0.25">
      <c r="A113" s="564" t="s">
        <v>77</v>
      </c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2"/>
      <c r="P113" s="562"/>
      <c r="Q113" s="562"/>
      <c r="R113" s="562"/>
      <c r="S113" s="562"/>
      <c r="T113" s="562"/>
      <c r="U113" s="562"/>
      <c r="V113" s="562"/>
      <c r="W113" s="562"/>
      <c r="X113" s="562"/>
      <c r="Y113" s="562"/>
      <c r="Z113" s="562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9">
        <v>0</v>
      </c>
      <c r="Y114" s="550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9">
        <v>315</v>
      </c>
      <c r="Y116" s="550">
        <f>IFERROR(IF(X116="",0,CEILING((X116/$H116),1)*$H116),"")</f>
        <v>315.90000000000003</v>
      </c>
      <c r="Z116" s="36">
        <f>IFERROR(IF(Y116=0,"",ROUNDUP(Y116/H116,0)*0.00651),"")</f>
        <v>0.76167000000000007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344.4</v>
      </c>
      <c r="BN116" s="64">
        <f>IFERROR(Y116*I116/H116,"0")</f>
        <v>345.38400000000001</v>
      </c>
      <c r="BO116" s="64">
        <f>IFERROR(1/J116*(X116/H116),"0")</f>
        <v>0.64102564102564097</v>
      </c>
      <c r="BP116" s="64">
        <f>IFERROR(1/J116*(Y116/H116),"0")</f>
        <v>0.6428571428571429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51">
        <f>IFERROR(X114/H114,"0")+IFERROR(X115/H115,"0")+IFERROR(X116/H116,"0")+IFERROR(X117/H117,"0")</f>
        <v>116.66666666666666</v>
      </c>
      <c r="Y118" s="551">
        <f>IFERROR(Y114/H114,"0")+IFERROR(Y115/H115,"0")+IFERROR(Y116/H116,"0")+IFERROR(Y117/H117,"0")</f>
        <v>117</v>
      </c>
      <c r="Z118" s="551">
        <f>IFERROR(IF(Z114="",0,Z114),"0")+IFERROR(IF(Z115="",0,Z115),"0")+IFERROR(IF(Z116="",0,Z116),"0")+IFERROR(IF(Z117="",0,Z117),"0")</f>
        <v>0.76167000000000007</v>
      </c>
      <c r="AA118" s="552"/>
      <c r="AB118" s="552"/>
      <c r="AC118" s="552"/>
    </row>
    <row r="119" spans="1:68" x14ac:dyDescent="0.2">
      <c r="A119" s="562"/>
      <c r="B119" s="562"/>
      <c r="C119" s="562"/>
      <c r="D119" s="562"/>
      <c r="E119" s="562"/>
      <c r="F119" s="562"/>
      <c r="G119" s="562"/>
      <c r="H119" s="562"/>
      <c r="I119" s="562"/>
      <c r="J119" s="562"/>
      <c r="K119" s="562"/>
      <c r="L119" s="562"/>
      <c r="M119" s="562"/>
      <c r="N119" s="562"/>
      <c r="O119" s="563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51">
        <f>IFERROR(SUM(X114:X117),"0")</f>
        <v>315</v>
      </c>
      <c r="Y119" s="551">
        <f>IFERROR(SUM(Y114:Y117),"0")</f>
        <v>315.90000000000003</v>
      </c>
      <c r="Z119" s="37"/>
      <c r="AA119" s="552"/>
      <c r="AB119" s="552"/>
      <c r="AC119" s="552"/>
    </row>
    <row r="120" spans="1:68" ht="14.25" customHeight="1" x14ac:dyDescent="0.25">
      <c r="A120" s="564" t="s">
        <v>160</v>
      </c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2"/>
      <c r="P120" s="562"/>
      <c r="Q120" s="562"/>
      <c r="R120" s="562"/>
      <c r="S120" s="562"/>
      <c r="T120" s="562"/>
      <c r="U120" s="562"/>
      <c r="V120" s="562"/>
      <c r="W120" s="562"/>
      <c r="X120" s="562"/>
      <c r="Y120" s="562"/>
      <c r="Z120" s="562"/>
      <c r="AA120" s="545"/>
      <c r="AB120" s="545"/>
      <c r="AC120" s="545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1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x14ac:dyDescent="0.2">
      <c r="A123" s="562"/>
      <c r="B123" s="562"/>
      <c r="C123" s="562"/>
      <c r="D123" s="562"/>
      <c r="E123" s="562"/>
      <c r="F123" s="562"/>
      <c r="G123" s="562"/>
      <c r="H123" s="562"/>
      <c r="I123" s="562"/>
      <c r="J123" s="562"/>
      <c r="K123" s="562"/>
      <c r="L123" s="562"/>
      <c r="M123" s="562"/>
      <c r="N123" s="562"/>
      <c r="O123" s="563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customHeight="1" x14ac:dyDescent="0.25">
      <c r="A124" s="570" t="s">
        <v>227</v>
      </c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2"/>
      <c r="P124" s="562"/>
      <c r="Q124" s="562"/>
      <c r="R124" s="562"/>
      <c r="S124" s="562"/>
      <c r="T124" s="562"/>
      <c r="U124" s="562"/>
      <c r="V124" s="562"/>
      <c r="W124" s="562"/>
      <c r="X124" s="562"/>
      <c r="Y124" s="562"/>
      <c r="Z124" s="562"/>
      <c r="AA124" s="544"/>
      <c r="AB124" s="544"/>
      <c r="AC124" s="544"/>
    </row>
    <row r="125" spans="1:68" ht="14.25" customHeight="1" x14ac:dyDescent="0.25">
      <c r="A125" s="564" t="s">
        <v>99</v>
      </c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2"/>
      <c r="P125" s="562"/>
      <c r="Q125" s="562"/>
      <c r="R125" s="562"/>
      <c r="S125" s="562"/>
      <c r="T125" s="562"/>
      <c r="U125" s="562"/>
      <c r="V125" s="562"/>
      <c r="W125" s="562"/>
      <c r="X125" s="562"/>
      <c r="Y125" s="562"/>
      <c r="Z125" s="562"/>
      <c r="AA125" s="545"/>
      <c r="AB125" s="545"/>
      <c r="AC125" s="545"/>
    </row>
    <row r="126" spans="1:68" ht="27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54"/>
      <c r="R126" s="554"/>
      <c r="S126" s="554"/>
      <c r="T126" s="555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54"/>
      <c r="R127" s="554"/>
      <c r="S127" s="554"/>
      <c r="T127" s="555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1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x14ac:dyDescent="0.2">
      <c r="A129" s="562"/>
      <c r="B129" s="562"/>
      <c r="C129" s="562"/>
      <c r="D129" s="562"/>
      <c r="E129" s="562"/>
      <c r="F129" s="562"/>
      <c r="G129" s="562"/>
      <c r="H129" s="562"/>
      <c r="I129" s="562"/>
      <c r="J129" s="562"/>
      <c r="K129" s="562"/>
      <c r="L129" s="562"/>
      <c r="M129" s="562"/>
      <c r="N129" s="562"/>
      <c r="O129" s="563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customHeight="1" x14ac:dyDescent="0.25">
      <c r="A130" s="564" t="s">
        <v>64</v>
      </c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2"/>
      <c r="P130" s="562"/>
      <c r="Q130" s="562"/>
      <c r="R130" s="562"/>
      <c r="S130" s="562"/>
      <c r="T130" s="562"/>
      <c r="U130" s="562"/>
      <c r="V130" s="562"/>
      <c r="W130" s="562"/>
      <c r="X130" s="562"/>
      <c r="Y130" s="562"/>
      <c r="Z130" s="562"/>
      <c r="AA130" s="545"/>
      <c r="AB130" s="545"/>
      <c r="AC130" s="545"/>
    </row>
    <row r="131" spans="1:68" ht="27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1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x14ac:dyDescent="0.2">
      <c r="A134" s="562"/>
      <c r="B134" s="562"/>
      <c r="C134" s="562"/>
      <c r="D134" s="562"/>
      <c r="E134" s="562"/>
      <c r="F134" s="562"/>
      <c r="G134" s="562"/>
      <c r="H134" s="562"/>
      <c r="I134" s="562"/>
      <c r="J134" s="562"/>
      <c r="K134" s="562"/>
      <c r="L134" s="562"/>
      <c r="M134" s="562"/>
      <c r="N134" s="562"/>
      <c r="O134" s="563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customHeight="1" x14ac:dyDescent="0.25">
      <c r="A135" s="564" t="s">
        <v>77</v>
      </c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2"/>
      <c r="P135" s="562"/>
      <c r="Q135" s="562"/>
      <c r="R135" s="562"/>
      <c r="S135" s="562"/>
      <c r="T135" s="562"/>
      <c r="U135" s="562"/>
      <c r="V135" s="562"/>
      <c r="W135" s="562"/>
      <c r="X135" s="562"/>
      <c r="Y135" s="562"/>
      <c r="Z135" s="562"/>
      <c r="AA135" s="545"/>
      <c r="AB135" s="545"/>
      <c r="AC135" s="545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5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1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x14ac:dyDescent="0.2">
      <c r="A139" s="562"/>
      <c r="B139" s="562"/>
      <c r="C139" s="562"/>
      <c r="D139" s="562"/>
      <c r="E139" s="562"/>
      <c r="F139" s="562"/>
      <c r="G139" s="562"/>
      <c r="H139" s="562"/>
      <c r="I139" s="562"/>
      <c r="J139" s="562"/>
      <c r="K139" s="562"/>
      <c r="L139" s="562"/>
      <c r="M139" s="562"/>
      <c r="N139" s="562"/>
      <c r="O139" s="563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customHeight="1" x14ac:dyDescent="0.25">
      <c r="A140" s="570" t="s">
        <v>97</v>
      </c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2"/>
      <c r="P140" s="562"/>
      <c r="Q140" s="562"/>
      <c r="R140" s="562"/>
      <c r="S140" s="562"/>
      <c r="T140" s="562"/>
      <c r="U140" s="562"/>
      <c r="V140" s="562"/>
      <c r="W140" s="562"/>
      <c r="X140" s="562"/>
      <c r="Y140" s="562"/>
      <c r="Z140" s="562"/>
      <c r="AA140" s="544"/>
      <c r="AB140" s="544"/>
      <c r="AC140" s="544"/>
    </row>
    <row r="141" spans="1:68" ht="14.25" customHeight="1" x14ac:dyDescent="0.25">
      <c r="A141" s="564" t="s">
        <v>99</v>
      </c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2"/>
      <c r="P141" s="562"/>
      <c r="Q141" s="562"/>
      <c r="R141" s="562"/>
      <c r="S141" s="562"/>
      <c r="T141" s="562"/>
      <c r="U141" s="562"/>
      <c r="V141" s="562"/>
      <c r="W141" s="562"/>
      <c r="X141" s="562"/>
      <c r="Y141" s="562"/>
      <c r="Z141" s="562"/>
      <c r="AA141" s="545"/>
      <c r="AB141" s="545"/>
      <c r="AC141" s="545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1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customHeight="1" x14ac:dyDescent="0.25">
      <c r="A146" s="564" t="s">
        <v>64</v>
      </c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2"/>
      <c r="P146" s="562"/>
      <c r="Q146" s="562"/>
      <c r="R146" s="562"/>
      <c r="S146" s="562"/>
      <c r="T146" s="562"/>
      <c r="U146" s="562"/>
      <c r="V146" s="562"/>
      <c r="W146" s="562"/>
      <c r="X146" s="562"/>
      <c r="Y146" s="562"/>
      <c r="Z146" s="562"/>
      <c r="AA146" s="545"/>
      <c r="AB146" s="545"/>
      <c r="AC146" s="545"/>
    </row>
    <row r="147" spans="1:68" ht="16.5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60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4"/>
      <c r="R148" s="554"/>
      <c r="S148" s="554"/>
      <c r="T148" s="555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54"/>
      <c r="R149" s="554"/>
      <c r="S149" s="554"/>
      <c r="T149" s="555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4"/>
      <c r="R150" s="554"/>
      <c r="S150" s="554"/>
      <c r="T150" s="555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87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4"/>
      <c r="R151" s="554"/>
      <c r="S151" s="554"/>
      <c r="T151" s="555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58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4"/>
      <c r="R152" s="554"/>
      <c r="S152" s="554"/>
      <c r="T152" s="555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x14ac:dyDescent="0.2">
      <c r="A153" s="561"/>
      <c r="B153" s="562"/>
      <c r="C153" s="562"/>
      <c r="D153" s="562"/>
      <c r="E153" s="562"/>
      <c r="F153" s="562"/>
      <c r="G153" s="562"/>
      <c r="H153" s="562"/>
      <c r="I153" s="562"/>
      <c r="J153" s="562"/>
      <c r="K153" s="562"/>
      <c r="L153" s="562"/>
      <c r="M153" s="562"/>
      <c r="N153" s="562"/>
      <c r="O153" s="563"/>
      <c r="P153" s="567" t="s">
        <v>75</v>
      </c>
      <c r="Q153" s="568"/>
      <c r="R153" s="568"/>
      <c r="S153" s="568"/>
      <c r="T153" s="568"/>
      <c r="U153" s="568"/>
      <c r="V153" s="569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67" t="s">
        <v>75</v>
      </c>
      <c r="Q154" s="568"/>
      <c r="R154" s="568"/>
      <c r="S154" s="568"/>
      <c r="T154" s="568"/>
      <c r="U154" s="568"/>
      <c r="V154" s="569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customHeight="1" x14ac:dyDescent="0.25">
      <c r="A155" s="564" t="s">
        <v>77</v>
      </c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2"/>
      <c r="P155" s="562"/>
      <c r="Q155" s="562"/>
      <c r="R155" s="562"/>
      <c r="S155" s="562"/>
      <c r="T155" s="562"/>
      <c r="U155" s="562"/>
      <c r="V155" s="562"/>
      <c r="W155" s="562"/>
      <c r="X155" s="562"/>
      <c r="Y155" s="562"/>
      <c r="Z155" s="562"/>
      <c r="AA155" s="545"/>
      <c r="AB155" s="545"/>
      <c r="AC155" s="545"/>
    </row>
    <row r="156" spans="1:68" ht="27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7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54"/>
      <c r="R156" s="554"/>
      <c r="S156" s="554"/>
      <c r="T156" s="555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x14ac:dyDescent="0.2">
      <c r="A157" s="561"/>
      <c r="B157" s="562"/>
      <c r="C157" s="562"/>
      <c r="D157" s="562"/>
      <c r="E157" s="562"/>
      <c r="F157" s="562"/>
      <c r="G157" s="562"/>
      <c r="H157" s="562"/>
      <c r="I157" s="562"/>
      <c r="J157" s="562"/>
      <c r="K157" s="562"/>
      <c r="L157" s="562"/>
      <c r="M157" s="562"/>
      <c r="N157" s="562"/>
      <c r="O157" s="563"/>
      <c r="P157" s="567" t="s">
        <v>75</v>
      </c>
      <c r="Q157" s="568"/>
      <c r="R157" s="568"/>
      <c r="S157" s="568"/>
      <c r="T157" s="568"/>
      <c r="U157" s="568"/>
      <c r="V157" s="569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67" t="s">
        <v>75</v>
      </c>
      <c r="Q158" s="568"/>
      <c r="R158" s="568"/>
      <c r="S158" s="568"/>
      <c r="T158" s="568"/>
      <c r="U158" s="568"/>
      <c r="V158" s="569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customHeight="1" x14ac:dyDescent="0.2">
      <c r="A159" s="668" t="s">
        <v>266</v>
      </c>
      <c r="B159" s="669"/>
      <c r="C159" s="669"/>
      <c r="D159" s="669"/>
      <c r="E159" s="669"/>
      <c r="F159" s="669"/>
      <c r="G159" s="669"/>
      <c r="H159" s="669"/>
      <c r="I159" s="669"/>
      <c r="J159" s="669"/>
      <c r="K159" s="669"/>
      <c r="L159" s="669"/>
      <c r="M159" s="669"/>
      <c r="N159" s="669"/>
      <c r="O159" s="669"/>
      <c r="P159" s="669"/>
      <c r="Q159" s="669"/>
      <c r="R159" s="669"/>
      <c r="S159" s="669"/>
      <c r="T159" s="669"/>
      <c r="U159" s="669"/>
      <c r="V159" s="669"/>
      <c r="W159" s="669"/>
      <c r="X159" s="669"/>
      <c r="Y159" s="669"/>
      <c r="Z159" s="669"/>
      <c r="AA159" s="48"/>
      <c r="AB159" s="48"/>
      <c r="AC159" s="48"/>
    </row>
    <row r="160" spans="1:68" ht="16.5" customHeight="1" x14ac:dyDescent="0.25">
      <c r="A160" s="570" t="s">
        <v>267</v>
      </c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2"/>
      <c r="P160" s="562"/>
      <c r="Q160" s="562"/>
      <c r="R160" s="562"/>
      <c r="S160" s="562"/>
      <c r="T160" s="562"/>
      <c r="U160" s="562"/>
      <c r="V160" s="562"/>
      <c r="W160" s="562"/>
      <c r="X160" s="562"/>
      <c r="Y160" s="562"/>
      <c r="Z160" s="562"/>
      <c r="AA160" s="544"/>
      <c r="AB160" s="544"/>
      <c r="AC160" s="544"/>
    </row>
    <row r="161" spans="1:68" ht="14.25" customHeight="1" x14ac:dyDescent="0.25">
      <c r="A161" s="564" t="s">
        <v>135</v>
      </c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2"/>
      <c r="P161" s="562"/>
      <c r="Q161" s="562"/>
      <c r="R161" s="562"/>
      <c r="S161" s="562"/>
      <c r="T161" s="562"/>
      <c r="U161" s="562"/>
      <c r="V161" s="562"/>
      <c r="W161" s="562"/>
      <c r="X161" s="562"/>
      <c r="Y161" s="562"/>
      <c r="Z161" s="562"/>
      <c r="AA161" s="545"/>
      <c r="AB161" s="545"/>
      <c r="AC161" s="545"/>
    </row>
    <row r="162" spans="1:68" ht="27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78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54"/>
      <c r="R162" s="554"/>
      <c r="S162" s="554"/>
      <c r="T162" s="555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561"/>
      <c r="B163" s="562"/>
      <c r="C163" s="562"/>
      <c r="D163" s="562"/>
      <c r="E163" s="562"/>
      <c r="F163" s="562"/>
      <c r="G163" s="562"/>
      <c r="H163" s="562"/>
      <c r="I163" s="562"/>
      <c r="J163" s="562"/>
      <c r="K163" s="562"/>
      <c r="L163" s="562"/>
      <c r="M163" s="562"/>
      <c r="N163" s="562"/>
      <c r="O163" s="563"/>
      <c r="P163" s="567" t="s">
        <v>75</v>
      </c>
      <c r="Q163" s="568"/>
      <c r="R163" s="568"/>
      <c r="S163" s="568"/>
      <c r="T163" s="568"/>
      <c r="U163" s="568"/>
      <c r="V163" s="569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67" t="s">
        <v>75</v>
      </c>
      <c r="Q164" s="568"/>
      <c r="R164" s="568"/>
      <c r="S164" s="568"/>
      <c r="T164" s="568"/>
      <c r="U164" s="568"/>
      <c r="V164" s="569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customHeight="1" x14ac:dyDescent="0.25">
      <c r="A165" s="564" t="s">
        <v>64</v>
      </c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2"/>
      <c r="P165" s="562"/>
      <c r="Q165" s="562"/>
      <c r="R165" s="562"/>
      <c r="S165" s="562"/>
      <c r="T165" s="562"/>
      <c r="U165" s="562"/>
      <c r="V165" s="562"/>
      <c r="W165" s="562"/>
      <c r="X165" s="562"/>
      <c r="Y165" s="562"/>
      <c r="Z165" s="562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112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4"/>
      <c r="R166" s="554"/>
      <c r="S166" s="554"/>
      <c r="T166" s="555"/>
      <c r="U166" s="34"/>
      <c r="V166" s="34"/>
      <c r="W166" s="35" t="s">
        <v>69</v>
      </c>
      <c r="X166" s="549">
        <v>53</v>
      </c>
      <c r="Y166" s="550">
        <f t="shared" ref="Y166:Y179" si="10">IFERROR(IF(X166="",0,CEILING((X166/$H166),1)*$H166),"")</f>
        <v>54.6</v>
      </c>
      <c r="Z166" s="36">
        <f>IFERROR(IF(Y166=0,"",ROUNDUP(Y166/H166,0)*0.00902),"")</f>
        <v>0.11726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56.154761904761905</v>
      </c>
      <c r="BN166" s="64">
        <f t="shared" ref="BN166:BN179" si="12">IFERROR(Y166*I166/H166,"0")</f>
        <v>57.85</v>
      </c>
      <c r="BO166" s="64">
        <f t="shared" ref="BO166:BO179" si="13">IFERROR(1/J166*(X166/H166),"0")</f>
        <v>9.55988455988456E-2</v>
      </c>
      <c r="BP166" s="64">
        <f t="shared" ref="BP166:BP179" si="14">IFERROR(1/J166*(Y166/H166),"0")</f>
        <v>9.8484848484848481E-2</v>
      </c>
    </row>
    <row r="167" spans="1:68" ht="27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67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112</v>
      </c>
      <c r="M168" s="33" t="s">
        <v>68</v>
      </c>
      <c r="N168" s="33"/>
      <c r="O168" s="32">
        <v>40</v>
      </c>
      <c r="P168" s="6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37.5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68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54"/>
      <c r="R169" s="554"/>
      <c r="S169" s="554"/>
      <c r="T169" s="555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54"/>
      <c r="R170" s="554"/>
      <c r="S170" s="554"/>
      <c r="T170" s="555"/>
      <c r="U170" s="34"/>
      <c r="V170" s="34"/>
      <c r="W170" s="35" t="s">
        <v>69</v>
      </c>
      <c r="X170" s="549">
        <v>114</v>
      </c>
      <c r="Y170" s="550">
        <f t="shared" si="10"/>
        <v>115.5</v>
      </c>
      <c r="Z170" s="36">
        <f>IFERROR(IF(Y170=0,"",ROUNDUP(Y170/H170,0)*0.00502),"")</f>
        <v>0.27610000000000001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121.05714285714285</v>
      </c>
      <c r="BN170" s="64">
        <f t="shared" si="12"/>
        <v>122.64999999999999</v>
      </c>
      <c r="BO170" s="64">
        <f t="shared" si="13"/>
        <v>0.231990231990232</v>
      </c>
      <c r="BP170" s="64">
        <f t="shared" si="14"/>
        <v>0.23504273504273507</v>
      </c>
    </row>
    <row r="171" spans="1:68" ht="27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6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54"/>
      <c r="R171" s="554"/>
      <c r="S171" s="554"/>
      <c r="T171" s="555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54"/>
      <c r="R172" s="554"/>
      <c r="S172" s="554"/>
      <c r="T172" s="555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6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86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78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9">
        <v>107</v>
      </c>
      <c r="Y175" s="550">
        <f t="shared" si="10"/>
        <v>108</v>
      </c>
      <c r="Z175" s="36">
        <f>IFERROR(IF(Y175=0,"",ROUNDUP(Y175/H175,0)*0.00502),"")</f>
        <v>0.30120000000000002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114.72777777777777</v>
      </c>
      <c r="BN175" s="64">
        <f t="shared" si="12"/>
        <v>115.8</v>
      </c>
      <c r="BO175" s="64">
        <f t="shared" si="13"/>
        <v>0.25403608736942074</v>
      </c>
      <c r="BP175" s="64">
        <f t="shared" si="14"/>
        <v>0.25641025641025644</v>
      </c>
    </row>
    <row r="176" spans="1:68" ht="27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80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79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9">
        <v>184</v>
      </c>
      <c r="Y177" s="550">
        <f t="shared" si="10"/>
        <v>184.8</v>
      </c>
      <c r="Z177" s="36">
        <f>IFERROR(IF(Y177=0,"",ROUNDUP(Y177/H177,0)*0.00502),"")</f>
        <v>0.44176000000000004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192.76190476190476</v>
      </c>
      <c r="BN177" s="64">
        <f t="shared" si="12"/>
        <v>193.60000000000002</v>
      </c>
      <c r="BO177" s="64">
        <f t="shared" si="13"/>
        <v>0.37444037444037448</v>
      </c>
      <c r="BP177" s="64">
        <f t="shared" si="14"/>
        <v>0.37606837606837612</v>
      </c>
    </row>
    <row r="178" spans="1:68" ht="27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8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54"/>
      <c r="R178" s="554"/>
      <c r="S178" s="554"/>
      <c r="T178" s="555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54"/>
      <c r="R179" s="554"/>
      <c r="S179" s="554"/>
      <c r="T179" s="555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1"/>
      <c r="B180" s="562"/>
      <c r="C180" s="562"/>
      <c r="D180" s="562"/>
      <c r="E180" s="562"/>
      <c r="F180" s="562"/>
      <c r="G180" s="562"/>
      <c r="H180" s="562"/>
      <c r="I180" s="562"/>
      <c r="J180" s="562"/>
      <c r="K180" s="562"/>
      <c r="L180" s="562"/>
      <c r="M180" s="562"/>
      <c r="N180" s="562"/>
      <c r="O180" s="563"/>
      <c r="P180" s="567" t="s">
        <v>75</v>
      </c>
      <c r="Q180" s="568"/>
      <c r="R180" s="568"/>
      <c r="S180" s="568"/>
      <c r="T180" s="568"/>
      <c r="U180" s="568"/>
      <c r="V180" s="569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213.96825396825398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216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1.13632</v>
      </c>
      <c r="AA180" s="552"/>
      <c r="AB180" s="552"/>
      <c r="AC180" s="552"/>
    </row>
    <row r="181" spans="1:68" x14ac:dyDescent="0.2">
      <c r="A181" s="562"/>
      <c r="B181" s="562"/>
      <c r="C181" s="562"/>
      <c r="D181" s="562"/>
      <c r="E181" s="562"/>
      <c r="F181" s="562"/>
      <c r="G181" s="562"/>
      <c r="H181" s="562"/>
      <c r="I181" s="562"/>
      <c r="J181" s="562"/>
      <c r="K181" s="562"/>
      <c r="L181" s="562"/>
      <c r="M181" s="562"/>
      <c r="N181" s="562"/>
      <c r="O181" s="563"/>
      <c r="P181" s="567" t="s">
        <v>75</v>
      </c>
      <c r="Q181" s="568"/>
      <c r="R181" s="568"/>
      <c r="S181" s="568"/>
      <c r="T181" s="568"/>
      <c r="U181" s="568"/>
      <c r="V181" s="569"/>
      <c r="W181" s="37" t="s">
        <v>69</v>
      </c>
      <c r="X181" s="551">
        <f>IFERROR(SUM(X166:X179),"0")</f>
        <v>458</v>
      </c>
      <c r="Y181" s="551">
        <f>IFERROR(SUM(Y166:Y179),"0")</f>
        <v>462.90000000000003</v>
      </c>
      <c r="Z181" s="37"/>
      <c r="AA181" s="552"/>
      <c r="AB181" s="552"/>
      <c r="AC181" s="552"/>
    </row>
    <row r="182" spans="1:68" ht="14.25" customHeight="1" x14ac:dyDescent="0.25">
      <c r="A182" s="564" t="s">
        <v>91</v>
      </c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2"/>
      <c r="P182" s="562"/>
      <c r="Q182" s="562"/>
      <c r="R182" s="562"/>
      <c r="S182" s="562"/>
      <c r="T182" s="562"/>
      <c r="U182" s="562"/>
      <c r="V182" s="562"/>
      <c r="W182" s="562"/>
      <c r="X182" s="562"/>
      <c r="Y182" s="562"/>
      <c r="Z182" s="562"/>
      <c r="AA182" s="545"/>
      <c r="AB182" s="545"/>
      <c r="AC182" s="545"/>
    </row>
    <row r="183" spans="1:68" ht="27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1"/>
      <c r="B186" s="562"/>
      <c r="C186" s="562"/>
      <c r="D186" s="562"/>
      <c r="E186" s="562"/>
      <c r="F186" s="562"/>
      <c r="G186" s="562"/>
      <c r="H186" s="562"/>
      <c r="I186" s="562"/>
      <c r="J186" s="562"/>
      <c r="K186" s="562"/>
      <c r="L186" s="562"/>
      <c r="M186" s="562"/>
      <c r="N186" s="562"/>
      <c r="O186" s="563"/>
      <c r="P186" s="567" t="s">
        <v>75</v>
      </c>
      <c r="Q186" s="568"/>
      <c r="R186" s="568"/>
      <c r="S186" s="568"/>
      <c r="T186" s="568"/>
      <c r="U186" s="568"/>
      <c r="V186" s="569"/>
      <c r="W186" s="37" t="s">
        <v>76</v>
      </c>
      <c r="X186" s="551">
        <f>IFERROR(X183/H183,"0")+IFERROR(X184/H184,"0")+IFERROR(X185/H185,"0")</f>
        <v>0</v>
      </c>
      <c r="Y186" s="551">
        <f>IFERROR(Y183/H183,"0")+IFERROR(Y184/H184,"0")+IFERROR(Y185/H185,"0")</f>
        <v>0</v>
      </c>
      <c r="Z186" s="551">
        <f>IFERROR(IF(Z183="",0,Z183),"0")+IFERROR(IF(Z184="",0,Z184),"0")+IFERROR(IF(Z185="",0,Z185),"0")</f>
        <v>0</v>
      </c>
      <c r="AA186" s="552"/>
      <c r="AB186" s="552"/>
      <c r="AC186" s="552"/>
    </row>
    <row r="187" spans="1:68" x14ac:dyDescent="0.2">
      <c r="A187" s="562"/>
      <c r="B187" s="562"/>
      <c r="C187" s="562"/>
      <c r="D187" s="562"/>
      <c r="E187" s="562"/>
      <c r="F187" s="562"/>
      <c r="G187" s="562"/>
      <c r="H187" s="562"/>
      <c r="I187" s="562"/>
      <c r="J187" s="562"/>
      <c r="K187" s="562"/>
      <c r="L187" s="562"/>
      <c r="M187" s="562"/>
      <c r="N187" s="562"/>
      <c r="O187" s="563"/>
      <c r="P187" s="567" t="s">
        <v>75</v>
      </c>
      <c r="Q187" s="568"/>
      <c r="R187" s="568"/>
      <c r="S187" s="568"/>
      <c r="T187" s="568"/>
      <c r="U187" s="568"/>
      <c r="V187" s="569"/>
      <c r="W187" s="37" t="s">
        <v>69</v>
      </c>
      <c r="X187" s="551">
        <f>IFERROR(SUM(X183:X185),"0")</f>
        <v>0</v>
      </c>
      <c r="Y187" s="551">
        <f>IFERROR(SUM(Y183:Y185),"0")</f>
        <v>0</v>
      </c>
      <c r="Z187" s="37"/>
      <c r="AA187" s="552"/>
      <c r="AB187" s="552"/>
      <c r="AC187" s="552"/>
    </row>
    <row r="188" spans="1:68" ht="14.25" customHeight="1" x14ac:dyDescent="0.25">
      <c r="A188" s="564" t="s">
        <v>319</v>
      </c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2"/>
      <c r="P188" s="562"/>
      <c r="Q188" s="562"/>
      <c r="R188" s="562"/>
      <c r="S188" s="562"/>
      <c r="T188" s="562"/>
      <c r="U188" s="562"/>
      <c r="V188" s="562"/>
      <c r="W188" s="562"/>
      <c r="X188" s="562"/>
      <c r="Y188" s="562"/>
      <c r="Z188" s="562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6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54"/>
      <c r="R189" s="554"/>
      <c r="S189" s="554"/>
      <c r="T189" s="555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561"/>
      <c r="B190" s="562"/>
      <c r="C190" s="562"/>
      <c r="D190" s="562"/>
      <c r="E190" s="562"/>
      <c r="F190" s="562"/>
      <c r="G190" s="562"/>
      <c r="H190" s="562"/>
      <c r="I190" s="562"/>
      <c r="J190" s="562"/>
      <c r="K190" s="562"/>
      <c r="L190" s="562"/>
      <c r="M190" s="562"/>
      <c r="N190" s="562"/>
      <c r="O190" s="563"/>
      <c r="P190" s="567" t="s">
        <v>75</v>
      </c>
      <c r="Q190" s="568"/>
      <c r="R190" s="568"/>
      <c r="S190" s="568"/>
      <c r="T190" s="568"/>
      <c r="U190" s="568"/>
      <c r="V190" s="569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x14ac:dyDescent="0.2">
      <c r="A191" s="562"/>
      <c r="B191" s="562"/>
      <c r="C191" s="562"/>
      <c r="D191" s="562"/>
      <c r="E191" s="562"/>
      <c r="F191" s="562"/>
      <c r="G191" s="562"/>
      <c r="H191" s="562"/>
      <c r="I191" s="562"/>
      <c r="J191" s="562"/>
      <c r="K191" s="562"/>
      <c r="L191" s="562"/>
      <c r="M191" s="562"/>
      <c r="N191" s="562"/>
      <c r="O191" s="563"/>
      <c r="P191" s="567" t="s">
        <v>75</v>
      </c>
      <c r="Q191" s="568"/>
      <c r="R191" s="568"/>
      <c r="S191" s="568"/>
      <c r="T191" s="568"/>
      <c r="U191" s="568"/>
      <c r="V191" s="569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customHeight="1" x14ac:dyDescent="0.25">
      <c r="A192" s="570" t="s">
        <v>322</v>
      </c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2"/>
      <c r="P192" s="562"/>
      <c r="Q192" s="562"/>
      <c r="R192" s="562"/>
      <c r="S192" s="562"/>
      <c r="T192" s="562"/>
      <c r="U192" s="562"/>
      <c r="V192" s="562"/>
      <c r="W192" s="562"/>
      <c r="X192" s="562"/>
      <c r="Y192" s="562"/>
      <c r="Z192" s="562"/>
      <c r="AA192" s="544"/>
      <c r="AB192" s="544"/>
      <c r="AC192" s="544"/>
    </row>
    <row r="193" spans="1:68" ht="14.25" customHeight="1" x14ac:dyDescent="0.25">
      <c r="A193" s="564" t="s">
        <v>99</v>
      </c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2"/>
      <c r="P193" s="562"/>
      <c r="Q193" s="562"/>
      <c r="R193" s="562"/>
      <c r="S193" s="562"/>
      <c r="T193" s="562"/>
      <c r="U193" s="562"/>
      <c r="V193" s="562"/>
      <c r="W193" s="562"/>
      <c r="X193" s="562"/>
      <c r="Y193" s="562"/>
      <c r="Z193" s="562"/>
      <c r="AA193" s="545"/>
      <c r="AB193" s="545"/>
      <c r="AC193" s="545"/>
    </row>
    <row r="194" spans="1:68" ht="27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6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54"/>
      <c r="R194" s="554"/>
      <c r="S194" s="554"/>
      <c r="T194" s="555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68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54"/>
      <c r="R195" s="554"/>
      <c r="S195" s="554"/>
      <c r="T195" s="555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561"/>
      <c r="B196" s="562"/>
      <c r="C196" s="562"/>
      <c r="D196" s="562"/>
      <c r="E196" s="562"/>
      <c r="F196" s="562"/>
      <c r="G196" s="562"/>
      <c r="H196" s="562"/>
      <c r="I196" s="562"/>
      <c r="J196" s="562"/>
      <c r="K196" s="562"/>
      <c r="L196" s="562"/>
      <c r="M196" s="562"/>
      <c r="N196" s="562"/>
      <c r="O196" s="563"/>
      <c r="P196" s="567" t="s">
        <v>75</v>
      </c>
      <c r="Q196" s="568"/>
      <c r="R196" s="568"/>
      <c r="S196" s="568"/>
      <c r="T196" s="568"/>
      <c r="U196" s="568"/>
      <c r="V196" s="569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x14ac:dyDescent="0.2">
      <c r="A197" s="562"/>
      <c r="B197" s="562"/>
      <c r="C197" s="562"/>
      <c r="D197" s="562"/>
      <c r="E197" s="562"/>
      <c r="F197" s="562"/>
      <c r="G197" s="562"/>
      <c r="H197" s="562"/>
      <c r="I197" s="562"/>
      <c r="J197" s="562"/>
      <c r="K197" s="562"/>
      <c r="L197" s="562"/>
      <c r="M197" s="562"/>
      <c r="N197" s="562"/>
      <c r="O197" s="563"/>
      <c r="P197" s="567" t="s">
        <v>75</v>
      </c>
      <c r="Q197" s="568"/>
      <c r="R197" s="568"/>
      <c r="S197" s="568"/>
      <c r="T197" s="568"/>
      <c r="U197" s="568"/>
      <c r="V197" s="569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customHeight="1" x14ac:dyDescent="0.25">
      <c r="A198" s="564" t="s">
        <v>135</v>
      </c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2"/>
      <c r="P198" s="562"/>
      <c r="Q198" s="562"/>
      <c r="R198" s="562"/>
      <c r="S198" s="562"/>
      <c r="T198" s="562"/>
      <c r="U198" s="562"/>
      <c r="V198" s="562"/>
      <c r="W198" s="562"/>
      <c r="X198" s="562"/>
      <c r="Y198" s="562"/>
      <c r="Z198" s="562"/>
      <c r="AA198" s="545"/>
      <c r="AB198" s="545"/>
      <c r="AC198" s="545"/>
    </row>
    <row r="199" spans="1:68" ht="16.5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213</v>
      </c>
      <c r="M200" s="33" t="s">
        <v>104</v>
      </c>
      <c r="N200" s="33"/>
      <c r="O200" s="32">
        <v>50</v>
      </c>
      <c r="P200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54"/>
      <c r="R200" s="554"/>
      <c r="S200" s="554"/>
      <c r="T200" s="555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561"/>
      <c r="B201" s="562"/>
      <c r="C201" s="562"/>
      <c r="D201" s="562"/>
      <c r="E201" s="562"/>
      <c r="F201" s="562"/>
      <c r="G201" s="562"/>
      <c r="H201" s="562"/>
      <c r="I201" s="562"/>
      <c r="J201" s="562"/>
      <c r="K201" s="562"/>
      <c r="L201" s="562"/>
      <c r="M201" s="562"/>
      <c r="N201" s="562"/>
      <c r="O201" s="563"/>
      <c r="P201" s="567" t="s">
        <v>75</v>
      </c>
      <c r="Q201" s="568"/>
      <c r="R201" s="568"/>
      <c r="S201" s="568"/>
      <c r="T201" s="568"/>
      <c r="U201" s="568"/>
      <c r="V201" s="569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x14ac:dyDescent="0.2">
      <c r="A202" s="562"/>
      <c r="B202" s="562"/>
      <c r="C202" s="562"/>
      <c r="D202" s="562"/>
      <c r="E202" s="562"/>
      <c r="F202" s="562"/>
      <c r="G202" s="562"/>
      <c r="H202" s="562"/>
      <c r="I202" s="562"/>
      <c r="J202" s="562"/>
      <c r="K202" s="562"/>
      <c r="L202" s="562"/>
      <c r="M202" s="562"/>
      <c r="N202" s="562"/>
      <c r="O202" s="563"/>
      <c r="P202" s="567" t="s">
        <v>75</v>
      </c>
      <c r="Q202" s="568"/>
      <c r="R202" s="568"/>
      <c r="S202" s="568"/>
      <c r="T202" s="568"/>
      <c r="U202" s="568"/>
      <c r="V202" s="569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customHeight="1" x14ac:dyDescent="0.25">
      <c r="A203" s="564" t="s">
        <v>64</v>
      </c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2"/>
      <c r="P203" s="562"/>
      <c r="Q203" s="562"/>
      <c r="R203" s="562"/>
      <c r="S203" s="562"/>
      <c r="T203" s="562"/>
      <c r="U203" s="562"/>
      <c r="V203" s="562"/>
      <c r="W203" s="562"/>
      <c r="X203" s="562"/>
      <c r="Y203" s="562"/>
      <c r="Z203" s="562"/>
      <c r="AA203" s="545"/>
      <c r="AB203" s="545"/>
      <c r="AC203" s="545"/>
    </row>
    <row r="204" spans="1:68" ht="27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9">
        <v>147</v>
      </c>
      <c r="Y204" s="550">
        <f t="shared" ref="Y204:Y211" si="15">IFERROR(IF(X204="",0,CEILING((X204/$H204),1)*$H204),"")</f>
        <v>151.20000000000002</v>
      </c>
      <c r="Z204" s="36">
        <f>IFERROR(IF(Y204=0,"",ROUNDUP(Y204/H204,0)*0.00902),"")</f>
        <v>0.25256000000000001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152.17222222222222</v>
      </c>
      <c r="BN204" s="64">
        <f t="shared" ref="BN204:BN211" si="17">IFERROR(Y204*I204/H204,"0")</f>
        <v>156.52000000000001</v>
      </c>
      <c r="BO204" s="64">
        <f t="shared" ref="BO204:BO211" si="18">IFERROR(1/J204*(X204/H204),"0")</f>
        <v>0.20622895622895623</v>
      </c>
      <c r="BP204" s="64">
        <f t="shared" ref="BP204:BP211" si="19">IFERROR(1/J204*(Y204/H204),"0")</f>
        <v>0.21212121212121213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112</v>
      </c>
      <c r="M205" s="33" t="s">
        <v>68</v>
      </c>
      <c r="N205" s="33"/>
      <c r="O205" s="32">
        <v>40</v>
      </c>
      <c r="P205" s="6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9">
        <v>155</v>
      </c>
      <c r="Y205" s="550">
        <f t="shared" si="15"/>
        <v>156.60000000000002</v>
      </c>
      <c r="Z205" s="36">
        <f>IFERROR(IF(Y205=0,"",ROUNDUP(Y205/H205,0)*0.00902),"")</f>
        <v>0.26158000000000003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160.45370370370367</v>
      </c>
      <c r="BN205" s="64">
        <f t="shared" si="17"/>
        <v>162.11000000000001</v>
      </c>
      <c r="BO205" s="64">
        <f t="shared" si="18"/>
        <v>0.21745230078563413</v>
      </c>
      <c r="BP205" s="64">
        <f t="shared" si="19"/>
        <v>0.21969696969696972</v>
      </c>
    </row>
    <row r="206" spans="1:68" ht="27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4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112</v>
      </c>
      <c r="M207" s="33" t="s">
        <v>68</v>
      </c>
      <c r="N207" s="33"/>
      <c r="O207" s="32">
        <v>40</v>
      </c>
      <c r="P207" s="7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9">
        <v>295</v>
      </c>
      <c r="Y207" s="550">
        <f t="shared" si="15"/>
        <v>297</v>
      </c>
      <c r="Z207" s="36">
        <f>IFERROR(IF(Y207=0,"",ROUNDUP(Y207/H207,0)*0.00902),"")</f>
        <v>0.49609999999999999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305.37962962962962</v>
      </c>
      <c r="BN207" s="64">
        <f t="shared" si="17"/>
        <v>307.45</v>
      </c>
      <c r="BO207" s="64">
        <f t="shared" si="18"/>
        <v>0.41386083052749717</v>
      </c>
      <c r="BP207" s="64">
        <f t="shared" si="19"/>
        <v>0.41666666666666663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9">
        <v>56</v>
      </c>
      <c r="Y208" s="550">
        <f t="shared" si="15"/>
        <v>57.6</v>
      </c>
      <c r="Z208" s="36">
        <f>IFERROR(IF(Y208=0,"",ROUNDUP(Y208/H208,0)*0.00502),"")</f>
        <v>0.16064000000000001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60.044444444444444</v>
      </c>
      <c r="BN208" s="64">
        <f t="shared" si="17"/>
        <v>61.759999999999991</v>
      </c>
      <c r="BO208" s="64">
        <f t="shared" si="18"/>
        <v>0.13295346628679963</v>
      </c>
      <c r="BP208" s="64">
        <f t="shared" si="19"/>
        <v>0.13675213675213677</v>
      </c>
    </row>
    <row r="209" spans="1:68" ht="27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6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9">
        <v>28</v>
      </c>
      <c r="Y209" s="550">
        <f t="shared" si="15"/>
        <v>28.8</v>
      </c>
      <c r="Z209" s="36">
        <f>IFERROR(IF(Y209=0,"",ROUNDUP(Y209/H209,0)*0.00502),"")</f>
        <v>8.0320000000000003E-2</v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29.555555555555554</v>
      </c>
      <c r="BN209" s="64">
        <f t="shared" si="17"/>
        <v>30.4</v>
      </c>
      <c r="BO209" s="64">
        <f t="shared" si="18"/>
        <v>6.6476733143399816E-2</v>
      </c>
      <c r="BP209" s="64">
        <f t="shared" si="19"/>
        <v>6.8376068376068383E-2</v>
      </c>
    </row>
    <row r="210" spans="1:68" ht="27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9">
        <v>34</v>
      </c>
      <c r="Y211" s="550">
        <f t="shared" si="15"/>
        <v>34.200000000000003</v>
      </c>
      <c r="Z211" s="36">
        <f>IFERROR(IF(Y211=0,"",ROUNDUP(Y211/H211,0)*0.00502),"")</f>
        <v>9.5380000000000006E-2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35.888888888888886</v>
      </c>
      <c r="BN211" s="64">
        <f t="shared" si="17"/>
        <v>36.1</v>
      </c>
      <c r="BO211" s="64">
        <f t="shared" si="18"/>
        <v>8.0721747388414061E-2</v>
      </c>
      <c r="BP211" s="64">
        <f t="shared" si="19"/>
        <v>8.11965811965812E-2</v>
      </c>
    </row>
    <row r="212" spans="1:68" x14ac:dyDescent="0.2">
      <c r="A212" s="561"/>
      <c r="B212" s="562"/>
      <c r="C212" s="562"/>
      <c r="D212" s="562"/>
      <c r="E212" s="562"/>
      <c r="F212" s="562"/>
      <c r="G212" s="562"/>
      <c r="H212" s="562"/>
      <c r="I212" s="562"/>
      <c r="J212" s="562"/>
      <c r="K212" s="562"/>
      <c r="L212" s="562"/>
      <c r="M212" s="562"/>
      <c r="N212" s="562"/>
      <c r="O212" s="563"/>
      <c r="P212" s="567" t="s">
        <v>75</v>
      </c>
      <c r="Q212" s="568"/>
      <c r="R212" s="568"/>
      <c r="S212" s="568"/>
      <c r="T212" s="568"/>
      <c r="U212" s="568"/>
      <c r="V212" s="569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176.11111111111109</v>
      </c>
      <c r="Y212" s="551">
        <f>IFERROR(Y204/H204,"0")+IFERROR(Y205/H205,"0")+IFERROR(Y206/H206,"0")+IFERROR(Y207/H207,"0")+IFERROR(Y208/H208,"0")+IFERROR(Y209/H209,"0")+IFERROR(Y210/H210,"0")+IFERROR(Y211/H211,"0")</f>
        <v>179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1.3465799999999999</v>
      </c>
      <c r="AA212" s="552"/>
      <c r="AB212" s="552"/>
      <c r="AC212" s="552"/>
    </row>
    <row r="213" spans="1:68" x14ac:dyDescent="0.2">
      <c r="A213" s="562"/>
      <c r="B213" s="562"/>
      <c r="C213" s="562"/>
      <c r="D213" s="562"/>
      <c r="E213" s="562"/>
      <c r="F213" s="562"/>
      <c r="G213" s="562"/>
      <c r="H213" s="562"/>
      <c r="I213" s="562"/>
      <c r="J213" s="562"/>
      <c r="K213" s="562"/>
      <c r="L213" s="562"/>
      <c r="M213" s="562"/>
      <c r="N213" s="562"/>
      <c r="O213" s="563"/>
      <c r="P213" s="567" t="s">
        <v>75</v>
      </c>
      <c r="Q213" s="568"/>
      <c r="R213" s="568"/>
      <c r="S213" s="568"/>
      <c r="T213" s="568"/>
      <c r="U213" s="568"/>
      <c r="V213" s="569"/>
      <c r="W213" s="37" t="s">
        <v>69</v>
      </c>
      <c r="X213" s="551">
        <f>IFERROR(SUM(X204:X211),"0")</f>
        <v>715</v>
      </c>
      <c r="Y213" s="551">
        <f>IFERROR(SUM(Y204:Y211),"0")</f>
        <v>725.40000000000009</v>
      </c>
      <c r="Z213" s="37"/>
      <c r="AA213" s="552"/>
      <c r="AB213" s="552"/>
      <c r="AC213" s="552"/>
    </row>
    <row r="214" spans="1:68" ht="14.25" customHeight="1" x14ac:dyDescent="0.25">
      <c r="A214" s="564" t="s">
        <v>77</v>
      </c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2"/>
      <c r="P214" s="562"/>
      <c r="Q214" s="562"/>
      <c r="R214" s="562"/>
      <c r="S214" s="562"/>
      <c r="T214" s="562"/>
      <c r="U214" s="562"/>
      <c r="V214" s="562"/>
      <c r="W214" s="562"/>
      <c r="X214" s="562"/>
      <c r="Y214" s="562"/>
      <c r="Z214" s="562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54"/>
      <c r="R215" s="554"/>
      <c r="S215" s="554"/>
      <c r="T215" s="555"/>
      <c r="U215" s="34"/>
      <c r="V215" s="34"/>
      <c r="W215" s="35" t="s">
        <v>69</v>
      </c>
      <c r="X215" s="549">
        <v>30</v>
      </c>
      <c r="Y215" s="550">
        <f t="shared" ref="Y215:Y223" si="20">IFERROR(IF(X215="",0,CEILING((X215/$H215),1)*$H215),"")</f>
        <v>32.4</v>
      </c>
      <c r="Z215" s="36">
        <f>IFERROR(IF(Y215=0,"",ROUNDUP(Y215/H215,0)*0.01898),"")</f>
        <v>7.5920000000000001E-2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31.829629629629629</v>
      </c>
      <c r="BN215" s="64">
        <f t="shared" ref="BN215:BN223" si="22">IFERROR(Y215*I215/H215,"0")</f>
        <v>34.375999999999998</v>
      </c>
      <c r="BO215" s="64">
        <f t="shared" ref="BO215:BO223" si="23">IFERROR(1/J215*(X215/H215),"0")</f>
        <v>5.7870370370370371E-2</v>
      </c>
      <c r="BP215" s="64">
        <f t="shared" ref="BP215:BP223" si="24">IFERROR(1/J215*(Y215/H215),"0")</f>
        <v>6.25E-2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2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54"/>
      <c r="R216" s="554"/>
      <c r="S216" s="554"/>
      <c r="T216" s="555"/>
      <c r="U216" s="34"/>
      <c r="V216" s="34"/>
      <c r="W216" s="35" t="s">
        <v>69</v>
      </c>
      <c r="X216" s="549">
        <v>10</v>
      </c>
      <c r="Y216" s="550">
        <f t="shared" si="20"/>
        <v>16.2</v>
      </c>
      <c r="Z216" s="36">
        <f>IFERROR(IF(Y216=0,"",ROUNDUP(Y216/H216,0)*0.01898),"")</f>
        <v>3.7960000000000001E-2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10.587654320987655</v>
      </c>
      <c r="BN216" s="64">
        <f t="shared" si="22"/>
        <v>17.152000000000001</v>
      </c>
      <c r="BO216" s="64">
        <f t="shared" si="23"/>
        <v>1.9290123456790126E-2</v>
      </c>
      <c r="BP216" s="64">
        <f t="shared" si="24"/>
        <v>3.125E-2</v>
      </c>
    </row>
    <row r="217" spans="1:68" ht="27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9">
        <v>73</v>
      </c>
      <c r="Y217" s="550">
        <f t="shared" si="20"/>
        <v>78.3</v>
      </c>
      <c r="Z217" s="36">
        <f>IFERROR(IF(Y217=0,"",ROUNDUP(Y217/H217,0)*0.01898),"")</f>
        <v>0.17082</v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77.14505747126438</v>
      </c>
      <c r="BN217" s="64">
        <f t="shared" si="22"/>
        <v>82.746000000000009</v>
      </c>
      <c r="BO217" s="64">
        <f t="shared" si="23"/>
        <v>0.13110632183908047</v>
      </c>
      <c r="BP217" s="64">
        <f t="shared" si="24"/>
        <v>0.140625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213</v>
      </c>
      <c r="M218" s="33" t="s">
        <v>80</v>
      </c>
      <c r="N218" s="33"/>
      <c r="O218" s="32">
        <v>40</v>
      </c>
      <c r="P218" s="8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9">
        <v>181</v>
      </c>
      <c r="Y218" s="550">
        <f t="shared" si="20"/>
        <v>182.4</v>
      </c>
      <c r="Z218" s="36">
        <f t="shared" ref="Z218:Z223" si="25">IFERROR(IF(Y218=0,"",ROUNDUP(Y218/H218,0)*0.00651),"")</f>
        <v>0.49476000000000003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201.36250000000001</v>
      </c>
      <c r="BN218" s="64">
        <f t="shared" si="22"/>
        <v>202.92</v>
      </c>
      <c r="BO218" s="64">
        <f t="shared" si="23"/>
        <v>0.41437728937728946</v>
      </c>
      <c r="BP218" s="64">
        <f t="shared" si="24"/>
        <v>0.4175824175824176</v>
      </c>
    </row>
    <row r="219" spans="1:68" ht="27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7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9">
        <v>773</v>
      </c>
      <c r="Y220" s="550">
        <f t="shared" si="20"/>
        <v>775.19999999999993</v>
      </c>
      <c r="Z220" s="36">
        <f t="shared" si="25"/>
        <v>2.1027300000000002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854.16500000000008</v>
      </c>
      <c r="BN220" s="64">
        <f t="shared" si="22"/>
        <v>856.596</v>
      </c>
      <c r="BO220" s="64">
        <f t="shared" si="23"/>
        <v>1.7696886446886451</v>
      </c>
      <c r="BP220" s="64">
        <f t="shared" si="24"/>
        <v>1.7747252747252749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213</v>
      </c>
      <c r="M221" s="33" t="s">
        <v>80</v>
      </c>
      <c r="N221" s="33"/>
      <c r="O221" s="32">
        <v>45</v>
      </c>
      <c r="P221" s="5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54"/>
      <c r="R221" s="554"/>
      <c r="S221" s="554"/>
      <c r="T221" s="555"/>
      <c r="U221" s="34"/>
      <c r="V221" s="34"/>
      <c r="W221" s="35" t="s">
        <v>69</v>
      </c>
      <c r="X221" s="549">
        <v>619</v>
      </c>
      <c r="Y221" s="550">
        <f t="shared" si="20"/>
        <v>619.19999999999993</v>
      </c>
      <c r="Z221" s="36">
        <f t="shared" si="25"/>
        <v>1.6795800000000001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683.99500000000012</v>
      </c>
      <c r="BN221" s="64">
        <f t="shared" si="22"/>
        <v>684.21600000000001</v>
      </c>
      <c r="BO221" s="64">
        <f t="shared" si="23"/>
        <v>1.4171245421245424</v>
      </c>
      <c r="BP221" s="64">
        <f t="shared" si="24"/>
        <v>1.4175824175824177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213</v>
      </c>
      <c r="M222" s="33" t="s">
        <v>86</v>
      </c>
      <c r="N222" s="33"/>
      <c r="O222" s="32">
        <v>40</v>
      </c>
      <c r="P222" s="7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54"/>
      <c r="R222" s="554"/>
      <c r="S222" s="554"/>
      <c r="T222" s="555"/>
      <c r="U222" s="34"/>
      <c r="V222" s="34"/>
      <c r="W222" s="35" t="s">
        <v>69</v>
      </c>
      <c r="X222" s="549">
        <v>90</v>
      </c>
      <c r="Y222" s="550">
        <f t="shared" si="20"/>
        <v>91.2</v>
      </c>
      <c r="Z222" s="36">
        <f t="shared" si="25"/>
        <v>0.24738000000000002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99.45</v>
      </c>
      <c r="BN222" s="64">
        <f t="shared" si="22"/>
        <v>100.77600000000001</v>
      </c>
      <c r="BO222" s="64">
        <f t="shared" si="23"/>
        <v>0.20604395604395606</v>
      </c>
      <c r="BP222" s="64">
        <f t="shared" si="24"/>
        <v>0.2087912087912088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213</v>
      </c>
      <c r="M223" s="33" t="s">
        <v>80</v>
      </c>
      <c r="N223" s="33"/>
      <c r="O223" s="32">
        <v>40</v>
      </c>
      <c r="P223" s="6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54"/>
      <c r="R223" s="554"/>
      <c r="S223" s="554"/>
      <c r="T223" s="555"/>
      <c r="U223" s="34"/>
      <c r="V223" s="34"/>
      <c r="W223" s="35" t="s">
        <v>69</v>
      </c>
      <c r="X223" s="549">
        <v>163</v>
      </c>
      <c r="Y223" s="550">
        <f t="shared" si="20"/>
        <v>163.19999999999999</v>
      </c>
      <c r="Z223" s="36">
        <f t="shared" si="25"/>
        <v>0.44268000000000002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180.52249999999998</v>
      </c>
      <c r="BN223" s="64">
        <f t="shared" si="22"/>
        <v>180.74399999999997</v>
      </c>
      <c r="BO223" s="64">
        <f t="shared" si="23"/>
        <v>0.37316849816849823</v>
      </c>
      <c r="BP223" s="64">
        <f t="shared" si="24"/>
        <v>0.37362637362637363</v>
      </c>
    </row>
    <row r="224" spans="1:68" x14ac:dyDescent="0.2">
      <c r="A224" s="561"/>
      <c r="B224" s="562"/>
      <c r="C224" s="562"/>
      <c r="D224" s="562"/>
      <c r="E224" s="562"/>
      <c r="F224" s="562"/>
      <c r="G224" s="562"/>
      <c r="H224" s="562"/>
      <c r="I224" s="562"/>
      <c r="J224" s="562"/>
      <c r="K224" s="562"/>
      <c r="L224" s="562"/>
      <c r="M224" s="562"/>
      <c r="N224" s="562"/>
      <c r="O224" s="563"/>
      <c r="P224" s="567" t="s">
        <v>75</v>
      </c>
      <c r="Q224" s="568"/>
      <c r="R224" s="568"/>
      <c r="S224" s="568"/>
      <c r="T224" s="568"/>
      <c r="U224" s="568"/>
      <c r="V224" s="569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774.16240953597287</v>
      </c>
      <c r="Y224" s="551">
        <f>IFERROR(Y215/H215,"0")+IFERROR(Y216/H216,"0")+IFERROR(Y217/H217,"0")+IFERROR(Y218/H218,"0")+IFERROR(Y219/H219,"0")+IFERROR(Y220/H220,"0")+IFERROR(Y221/H221,"0")+IFERROR(Y222/H222,"0")+IFERROR(Y223/H223,"0")</f>
        <v>778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5.2518300000000009</v>
      </c>
      <c r="AA224" s="552"/>
      <c r="AB224" s="552"/>
      <c r="AC224" s="552"/>
    </row>
    <row r="225" spans="1:68" x14ac:dyDescent="0.2">
      <c r="A225" s="562"/>
      <c r="B225" s="562"/>
      <c r="C225" s="562"/>
      <c r="D225" s="562"/>
      <c r="E225" s="562"/>
      <c r="F225" s="562"/>
      <c r="G225" s="562"/>
      <c r="H225" s="562"/>
      <c r="I225" s="562"/>
      <c r="J225" s="562"/>
      <c r="K225" s="562"/>
      <c r="L225" s="562"/>
      <c r="M225" s="562"/>
      <c r="N225" s="562"/>
      <c r="O225" s="563"/>
      <c r="P225" s="567" t="s">
        <v>75</v>
      </c>
      <c r="Q225" s="568"/>
      <c r="R225" s="568"/>
      <c r="S225" s="568"/>
      <c r="T225" s="568"/>
      <c r="U225" s="568"/>
      <c r="V225" s="569"/>
      <c r="W225" s="37" t="s">
        <v>69</v>
      </c>
      <c r="X225" s="551">
        <f>IFERROR(SUM(X215:X223),"0")</f>
        <v>1939</v>
      </c>
      <c r="Y225" s="551">
        <f>IFERROR(SUM(Y215:Y223),"0")</f>
        <v>1958.1</v>
      </c>
      <c r="Z225" s="37"/>
      <c r="AA225" s="552"/>
      <c r="AB225" s="552"/>
      <c r="AC225" s="552"/>
    </row>
    <row r="226" spans="1:68" ht="14.25" customHeight="1" x14ac:dyDescent="0.25">
      <c r="A226" s="564" t="s">
        <v>160</v>
      </c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2"/>
      <c r="P226" s="562"/>
      <c r="Q226" s="562"/>
      <c r="R226" s="562"/>
      <c r="S226" s="562"/>
      <c r="T226" s="562"/>
      <c r="U226" s="562"/>
      <c r="V226" s="562"/>
      <c r="W226" s="562"/>
      <c r="X226" s="562"/>
      <c r="Y226" s="562"/>
      <c r="Z226" s="562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9">
        <v>30</v>
      </c>
      <c r="Y227" s="550">
        <f>IFERROR(IF(X227="",0,CEILING((X227/$H227),1)*$H227),"")</f>
        <v>31.2</v>
      </c>
      <c r="Z227" s="36">
        <f>IFERROR(IF(Y227=0,"",ROUNDUP(Y227/H227,0)*0.00651),"")</f>
        <v>8.4629999999999997E-2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33.150000000000006</v>
      </c>
      <c r="BN227" s="64">
        <f>IFERROR(Y227*I227/H227,"0")</f>
        <v>34.476000000000006</v>
      </c>
      <c r="BO227" s="64">
        <f>IFERROR(1/J227*(X227/H227),"0")</f>
        <v>6.8681318681318687E-2</v>
      </c>
      <c r="BP227" s="64">
        <f>IFERROR(1/J227*(Y227/H227),"0")</f>
        <v>7.1428571428571438E-2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213</v>
      </c>
      <c r="M228" s="33" t="s">
        <v>80</v>
      </c>
      <c r="N228" s="33"/>
      <c r="O228" s="32">
        <v>40</v>
      </c>
      <c r="P228" s="8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9">
        <v>21</v>
      </c>
      <c r="Y228" s="550">
        <f>IFERROR(IF(X228="",0,CEILING((X228/$H228),1)*$H228),"")</f>
        <v>21.599999999999998</v>
      </c>
      <c r="Z228" s="36">
        <f>IFERROR(IF(Y228=0,"",ROUNDUP(Y228/H228,0)*0.00651),"")</f>
        <v>5.8590000000000003E-2</v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23.205000000000002</v>
      </c>
      <c r="BN228" s="64">
        <f>IFERROR(Y228*I228/H228,"0")</f>
        <v>23.868000000000002</v>
      </c>
      <c r="BO228" s="64">
        <f>IFERROR(1/J228*(X228/H228),"0")</f>
        <v>4.807692307692308E-2</v>
      </c>
      <c r="BP228" s="64">
        <f>IFERROR(1/J228*(Y228/H228),"0")</f>
        <v>4.9450549450549455E-2</v>
      </c>
    </row>
    <row r="229" spans="1:68" x14ac:dyDescent="0.2">
      <c r="A229" s="561"/>
      <c r="B229" s="562"/>
      <c r="C229" s="562"/>
      <c r="D229" s="562"/>
      <c r="E229" s="562"/>
      <c r="F229" s="562"/>
      <c r="G229" s="562"/>
      <c r="H229" s="562"/>
      <c r="I229" s="562"/>
      <c r="J229" s="562"/>
      <c r="K229" s="562"/>
      <c r="L229" s="562"/>
      <c r="M229" s="562"/>
      <c r="N229" s="562"/>
      <c r="O229" s="563"/>
      <c r="P229" s="567" t="s">
        <v>75</v>
      </c>
      <c r="Q229" s="568"/>
      <c r="R229" s="568"/>
      <c r="S229" s="568"/>
      <c r="T229" s="568"/>
      <c r="U229" s="568"/>
      <c r="V229" s="569"/>
      <c r="W229" s="37" t="s">
        <v>76</v>
      </c>
      <c r="X229" s="551">
        <f>IFERROR(X227/H227,"0")+IFERROR(X228/H228,"0")</f>
        <v>21.25</v>
      </c>
      <c r="Y229" s="551">
        <f>IFERROR(Y227/H227,"0")+IFERROR(Y228/H228,"0")</f>
        <v>22</v>
      </c>
      <c r="Z229" s="551">
        <f>IFERROR(IF(Z227="",0,Z227),"0")+IFERROR(IF(Z228="",0,Z228),"0")</f>
        <v>0.14322000000000001</v>
      </c>
      <c r="AA229" s="552"/>
      <c r="AB229" s="552"/>
      <c r="AC229" s="552"/>
    </row>
    <row r="230" spans="1:68" x14ac:dyDescent="0.2">
      <c r="A230" s="562"/>
      <c r="B230" s="562"/>
      <c r="C230" s="562"/>
      <c r="D230" s="562"/>
      <c r="E230" s="562"/>
      <c r="F230" s="562"/>
      <c r="G230" s="562"/>
      <c r="H230" s="562"/>
      <c r="I230" s="562"/>
      <c r="J230" s="562"/>
      <c r="K230" s="562"/>
      <c r="L230" s="562"/>
      <c r="M230" s="562"/>
      <c r="N230" s="562"/>
      <c r="O230" s="563"/>
      <c r="P230" s="567" t="s">
        <v>75</v>
      </c>
      <c r="Q230" s="568"/>
      <c r="R230" s="568"/>
      <c r="S230" s="568"/>
      <c r="T230" s="568"/>
      <c r="U230" s="568"/>
      <c r="V230" s="569"/>
      <c r="W230" s="37" t="s">
        <v>69</v>
      </c>
      <c r="X230" s="551">
        <f>IFERROR(SUM(X227:X228),"0")</f>
        <v>51</v>
      </c>
      <c r="Y230" s="551">
        <f>IFERROR(SUM(Y227:Y228),"0")</f>
        <v>52.8</v>
      </c>
      <c r="Z230" s="37"/>
      <c r="AA230" s="552"/>
      <c r="AB230" s="552"/>
      <c r="AC230" s="552"/>
    </row>
    <row r="231" spans="1:68" ht="16.5" customHeight="1" x14ac:dyDescent="0.25">
      <c r="A231" s="570" t="s">
        <v>382</v>
      </c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2"/>
      <c r="P231" s="562"/>
      <c r="Q231" s="562"/>
      <c r="R231" s="562"/>
      <c r="S231" s="562"/>
      <c r="T231" s="562"/>
      <c r="U231" s="562"/>
      <c r="V231" s="562"/>
      <c r="W231" s="562"/>
      <c r="X231" s="562"/>
      <c r="Y231" s="562"/>
      <c r="Z231" s="562"/>
      <c r="AA231" s="544"/>
      <c r="AB231" s="544"/>
      <c r="AC231" s="544"/>
    </row>
    <row r="232" spans="1:68" ht="14.25" customHeight="1" x14ac:dyDescent="0.25">
      <c r="A232" s="564" t="s">
        <v>99</v>
      </c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2"/>
      <c r="P232" s="562"/>
      <c r="Q232" s="562"/>
      <c r="R232" s="562"/>
      <c r="S232" s="562"/>
      <c r="T232" s="562"/>
      <c r="U232" s="562"/>
      <c r="V232" s="562"/>
      <c r="W232" s="562"/>
      <c r="X232" s="562"/>
      <c r="Y232" s="562"/>
      <c r="Z232" s="562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9">
        <v>649</v>
      </c>
      <c r="Y233" s="550">
        <f t="shared" ref="Y233:Y241" si="26">IFERROR(IF(X233="",0,CEILING((X233/$H233),1)*$H233),"")</f>
        <v>649.6</v>
      </c>
      <c r="Z233" s="36">
        <f>IFERROR(IF(Y233=0,"",ROUNDUP(Y233/H233,0)*0.01898),"")</f>
        <v>1.06288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671.93879310344823</v>
      </c>
      <c r="BN233" s="64">
        <f t="shared" ref="BN233:BN241" si="28">IFERROR(Y233*I233/H233,"0")</f>
        <v>672.56000000000006</v>
      </c>
      <c r="BO233" s="64">
        <f t="shared" ref="BO233:BO241" si="29">IFERROR(1/J233*(X233/H233),"0")</f>
        <v>0.87419181034482762</v>
      </c>
      <c r="BP233" s="64">
        <f t="shared" ref="BP233:BP241" si="30">IFERROR(1/J233*(Y233/H233),"0")</f>
        <v>0.87500000000000011</v>
      </c>
    </row>
    <row r="234" spans="1:68" ht="27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7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9">
        <v>7</v>
      </c>
      <c r="Y237" s="550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7.3325000000000005</v>
      </c>
      <c r="BN237" s="64">
        <f t="shared" si="28"/>
        <v>8.3800000000000008</v>
      </c>
      <c r="BO237" s="64">
        <f t="shared" si="29"/>
        <v>1.3257575757575758E-2</v>
      </c>
      <c r="BP237" s="64">
        <f t="shared" si="30"/>
        <v>1.5151515151515152E-2</v>
      </c>
    </row>
    <row r="238" spans="1:68" ht="27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1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67" t="s">
        <v>75</v>
      </c>
      <c r="Q242" s="568"/>
      <c r="R242" s="568"/>
      <c r="S242" s="568"/>
      <c r="T242" s="568"/>
      <c r="U242" s="568"/>
      <c r="V242" s="569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57.698275862068968</v>
      </c>
      <c r="Y242" s="551">
        <f>IFERROR(Y233/H233,"0")+IFERROR(Y234/H234,"0")+IFERROR(Y235/H235,"0")+IFERROR(Y236/H236,"0")+IFERROR(Y237/H237,"0")+IFERROR(Y238/H238,"0")+IFERROR(Y239/H239,"0")+IFERROR(Y240/H240,"0")+IFERROR(Y241/H241,"0")</f>
        <v>58.000000000000007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1.0809200000000001</v>
      </c>
      <c r="AA242" s="552"/>
      <c r="AB242" s="552"/>
      <c r="AC242" s="552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67" t="s">
        <v>75</v>
      </c>
      <c r="Q243" s="568"/>
      <c r="R243" s="568"/>
      <c r="S243" s="568"/>
      <c r="T243" s="568"/>
      <c r="U243" s="568"/>
      <c r="V243" s="569"/>
      <c r="W243" s="37" t="s">
        <v>69</v>
      </c>
      <c r="X243" s="551">
        <f>IFERROR(SUM(X233:X241),"0")</f>
        <v>656</v>
      </c>
      <c r="Y243" s="551">
        <f>IFERROR(SUM(Y233:Y241),"0")</f>
        <v>657.6</v>
      </c>
      <c r="Z243" s="37"/>
      <c r="AA243" s="552"/>
      <c r="AB243" s="552"/>
      <c r="AC243" s="552"/>
    </row>
    <row r="244" spans="1:68" ht="14.25" customHeight="1" x14ac:dyDescent="0.25">
      <c r="A244" s="564" t="s">
        <v>135</v>
      </c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2"/>
      <c r="P244" s="562"/>
      <c r="Q244" s="562"/>
      <c r="R244" s="562"/>
      <c r="S244" s="562"/>
      <c r="T244" s="562"/>
      <c r="U244" s="562"/>
      <c r="V244" s="562"/>
      <c r="W244" s="562"/>
      <c r="X244" s="562"/>
      <c r="Y244" s="562"/>
      <c r="Z244" s="562"/>
      <c r="AA244" s="545"/>
      <c r="AB244" s="545"/>
      <c r="AC244" s="545"/>
    </row>
    <row r="245" spans="1:68" ht="27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561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67" t="s">
        <v>75</v>
      </c>
      <c r="Q246" s="568"/>
      <c r="R246" s="568"/>
      <c r="S246" s="568"/>
      <c r="T246" s="568"/>
      <c r="U246" s="568"/>
      <c r="V246" s="569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67" t="s">
        <v>75</v>
      </c>
      <c r="Q247" s="568"/>
      <c r="R247" s="568"/>
      <c r="S247" s="568"/>
      <c r="T247" s="568"/>
      <c r="U247" s="568"/>
      <c r="V247" s="569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customHeight="1" x14ac:dyDescent="0.25">
      <c r="A248" s="564" t="s">
        <v>407</v>
      </c>
      <c r="B248" s="562"/>
      <c r="C248" s="562"/>
      <c r="D248" s="562"/>
      <c r="E248" s="562"/>
      <c r="F248" s="562"/>
      <c r="G248" s="562"/>
      <c r="H248" s="562"/>
      <c r="I248" s="562"/>
      <c r="J248" s="562"/>
      <c r="K248" s="562"/>
      <c r="L248" s="562"/>
      <c r="M248" s="562"/>
      <c r="N248" s="562"/>
      <c r="O248" s="562"/>
      <c r="P248" s="562"/>
      <c r="Q248" s="562"/>
      <c r="R248" s="562"/>
      <c r="S248" s="562"/>
      <c r="T248" s="562"/>
      <c r="U248" s="562"/>
      <c r="V248" s="562"/>
      <c r="W248" s="562"/>
      <c r="X248" s="562"/>
      <c r="Y248" s="562"/>
      <c r="Z248" s="562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5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9">
        <v>4</v>
      </c>
      <c r="Y249" s="550">
        <f>IFERROR(IF(X249="",0,CEILING((X249/$H249),1)*$H249),"")</f>
        <v>5.4</v>
      </c>
      <c r="Z249" s="36">
        <f>IFERROR(IF(Y249=0,"",ROUNDUP(Y249/H249,0)*0.0059),"")</f>
        <v>1.77E-2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4.3888888888888893</v>
      </c>
      <c r="BN249" s="64">
        <f>IFERROR(Y249*I249/H249,"0")</f>
        <v>5.9250000000000007</v>
      </c>
      <c r="BO249" s="64">
        <f>IFERROR(1/J249*(X249/H249),"0")</f>
        <v>1.0288065843621399E-2</v>
      </c>
      <c r="BP249" s="64">
        <f>IFERROR(1/J249*(Y249/H249),"0")</f>
        <v>1.3888888888888888E-2</v>
      </c>
    </row>
    <row r="250" spans="1:68" x14ac:dyDescent="0.2">
      <c r="A250" s="561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67" t="s">
        <v>75</v>
      </c>
      <c r="Q250" s="568"/>
      <c r="R250" s="568"/>
      <c r="S250" s="568"/>
      <c r="T250" s="568"/>
      <c r="U250" s="568"/>
      <c r="V250" s="569"/>
      <c r="W250" s="37" t="s">
        <v>76</v>
      </c>
      <c r="X250" s="551">
        <f>IFERROR(X249/H249,"0")</f>
        <v>2.2222222222222223</v>
      </c>
      <c r="Y250" s="551">
        <f>IFERROR(Y249/H249,"0")</f>
        <v>3</v>
      </c>
      <c r="Z250" s="551">
        <f>IFERROR(IF(Z249="",0,Z249),"0")</f>
        <v>1.77E-2</v>
      </c>
      <c r="AA250" s="552"/>
      <c r="AB250" s="552"/>
      <c r="AC250" s="552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67" t="s">
        <v>75</v>
      </c>
      <c r="Q251" s="568"/>
      <c r="R251" s="568"/>
      <c r="S251" s="568"/>
      <c r="T251" s="568"/>
      <c r="U251" s="568"/>
      <c r="V251" s="569"/>
      <c r="W251" s="37" t="s">
        <v>69</v>
      </c>
      <c r="X251" s="551">
        <f>IFERROR(SUM(X249:X249),"0")</f>
        <v>4</v>
      </c>
      <c r="Y251" s="551">
        <f>IFERROR(SUM(Y249:Y249),"0")</f>
        <v>5.4</v>
      </c>
      <c r="Z251" s="37"/>
      <c r="AA251" s="552"/>
      <c r="AB251" s="552"/>
      <c r="AC251" s="552"/>
    </row>
    <row r="252" spans="1:68" ht="14.25" customHeight="1" x14ac:dyDescent="0.25">
      <c r="A252" s="564" t="s">
        <v>411</v>
      </c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2"/>
      <c r="P252" s="562"/>
      <c r="Q252" s="562"/>
      <c r="R252" s="562"/>
      <c r="S252" s="562"/>
      <c r="T252" s="562"/>
      <c r="U252" s="562"/>
      <c r="V252" s="562"/>
      <c r="W252" s="562"/>
      <c r="X252" s="562"/>
      <c r="Y252" s="562"/>
      <c r="Z252" s="562"/>
      <c r="AA252" s="545"/>
      <c r="AB252" s="545"/>
      <c r="AC252" s="545"/>
    </row>
    <row r="253" spans="1:68" ht="27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8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7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64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78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1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67" t="s">
        <v>75</v>
      </c>
      <c r="Q258" s="568"/>
      <c r="R258" s="568"/>
      <c r="S258" s="568"/>
      <c r="T258" s="568"/>
      <c r="U258" s="568"/>
      <c r="V258" s="569"/>
      <c r="W258" s="37" t="s">
        <v>76</v>
      </c>
      <c r="X258" s="551">
        <f>IFERROR(X253/H253,"0")+IFERROR(X254/H254,"0")+IFERROR(X255/H255,"0")+IFERROR(X256/H256,"0")+IFERROR(X257/H257,"0")</f>
        <v>0</v>
      </c>
      <c r="Y258" s="551">
        <f>IFERROR(Y253/H253,"0")+IFERROR(Y254/H254,"0")+IFERROR(Y255/H255,"0")+IFERROR(Y256/H256,"0")+IFERROR(Y257/H257,"0")</f>
        <v>0</v>
      </c>
      <c r="Z258" s="551">
        <f>IFERROR(IF(Z253="",0,Z253),"0")+IFERROR(IF(Z254="",0,Z254),"0")+IFERROR(IF(Z255="",0,Z255),"0")+IFERROR(IF(Z256="",0,Z256),"0")+IFERROR(IF(Z257="",0,Z257),"0")</f>
        <v>0</v>
      </c>
      <c r="AA258" s="552"/>
      <c r="AB258" s="552"/>
      <c r="AC258" s="552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67" t="s">
        <v>75</v>
      </c>
      <c r="Q259" s="568"/>
      <c r="R259" s="568"/>
      <c r="S259" s="568"/>
      <c r="T259" s="568"/>
      <c r="U259" s="568"/>
      <c r="V259" s="569"/>
      <c r="W259" s="37" t="s">
        <v>69</v>
      </c>
      <c r="X259" s="551">
        <f>IFERROR(SUM(X253:X257),"0")</f>
        <v>0</v>
      </c>
      <c r="Y259" s="551">
        <f>IFERROR(SUM(Y253:Y257),"0")</f>
        <v>0</v>
      </c>
      <c r="Z259" s="37"/>
      <c r="AA259" s="552"/>
      <c r="AB259" s="552"/>
      <c r="AC259" s="552"/>
    </row>
    <row r="260" spans="1:68" ht="16.5" customHeight="1" x14ac:dyDescent="0.25">
      <c r="A260" s="570" t="s">
        <v>423</v>
      </c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2"/>
      <c r="P260" s="562"/>
      <c r="Q260" s="562"/>
      <c r="R260" s="562"/>
      <c r="S260" s="562"/>
      <c r="T260" s="562"/>
      <c r="U260" s="562"/>
      <c r="V260" s="562"/>
      <c r="W260" s="562"/>
      <c r="X260" s="562"/>
      <c r="Y260" s="562"/>
      <c r="Z260" s="562"/>
      <c r="AA260" s="544"/>
      <c r="AB260" s="544"/>
      <c r="AC260" s="544"/>
    </row>
    <row r="261" spans="1:68" ht="14.25" customHeight="1" x14ac:dyDescent="0.25">
      <c r="A261" s="564" t="s">
        <v>99</v>
      </c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2"/>
      <c r="P261" s="562"/>
      <c r="Q261" s="562"/>
      <c r="R261" s="562"/>
      <c r="S261" s="562"/>
      <c r="T261" s="562"/>
      <c r="U261" s="562"/>
      <c r="V261" s="562"/>
      <c r="W261" s="562"/>
      <c r="X261" s="562"/>
      <c r="Y261" s="562"/>
      <c r="Z261" s="562"/>
      <c r="AA261" s="545"/>
      <c r="AB261" s="545"/>
      <c r="AC261" s="545"/>
    </row>
    <row r="262" spans="1:68" ht="27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69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6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1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67" t="s">
        <v>75</v>
      </c>
      <c r="Q267" s="568"/>
      <c r="R267" s="568"/>
      <c r="S267" s="568"/>
      <c r="T267" s="568"/>
      <c r="U267" s="568"/>
      <c r="V267" s="569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67" t="s">
        <v>75</v>
      </c>
      <c r="Q268" s="568"/>
      <c r="R268" s="568"/>
      <c r="S268" s="568"/>
      <c r="T268" s="568"/>
      <c r="U268" s="568"/>
      <c r="V268" s="569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customHeight="1" x14ac:dyDescent="0.25">
      <c r="A269" s="570" t="s">
        <v>439</v>
      </c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2"/>
      <c r="P269" s="562"/>
      <c r="Q269" s="562"/>
      <c r="R269" s="562"/>
      <c r="S269" s="562"/>
      <c r="T269" s="562"/>
      <c r="U269" s="562"/>
      <c r="V269" s="562"/>
      <c r="W269" s="562"/>
      <c r="X269" s="562"/>
      <c r="Y269" s="562"/>
      <c r="Z269" s="562"/>
      <c r="AA269" s="544"/>
      <c r="AB269" s="544"/>
      <c r="AC269" s="544"/>
    </row>
    <row r="270" spans="1:68" ht="14.25" customHeight="1" x14ac:dyDescent="0.25">
      <c r="A270" s="564" t="s">
        <v>99</v>
      </c>
      <c r="B270" s="562"/>
      <c r="C270" s="562"/>
      <c r="D270" s="562"/>
      <c r="E270" s="562"/>
      <c r="F270" s="562"/>
      <c r="G270" s="562"/>
      <c r="H270" s="562"/>
      <c r="I270" s="562"/>
      <c r="J270" s="562"/>
      <c r="K270" s="562"/>
      <c r="L270" s="562"/>
      <c r="M270" s="562"/>
      <c r="N270" s="562"/>
      <c r="O270" s="562"/>
      <c r="P270" s="562"/>
      <c r="Q270" s="562"/>
      <c r="R270" s="562"/>
      <c r="S270" s="562"/>
      <c r="T270" s="562"/>
      <c r="U270" s="562"/>
      <c r="V270" s="562"/>
      <c r="W270" s="562"/>
      <c r="X270" s="562"/>
      <c r="Y270" s="562"/>
      <c r="Z270" s="562"/>
      <c r="AA270" s="545"/>
      <c r="AB270" s="545"/>
      <c r="AC270" s="545"/>
    </row>
    <row r="271" spans="1:68" ht="27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61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4"/>
      <c r="R271" s="554"/>
      <c r="S271" s="554"/>
      <c r="T271" s="555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70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6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77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4"/>
      <c r="R274" s="554"/>
      <c r="S274" s="554"/>
      <c r="T274" s="555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61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67" t="s">
        <v>75</v>
      </c>
      <c r="Q275" s="568"/>
      <c r="R275" s="568"/>
      <c r="S275" s="568"/>
      <c r="T275" s="568"/>
      <c r="U275" s="568"/>
      <c r="V275" s="569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67" t="s">
        <v>75</v>
      </c>
      <c r="Q276" s="568"/>
      <c r="R276" s="568"/>
      <c r="S276" s="568"/>
      <c r="T276" s="568"/>
      <c r="U276" s="568"/>
      <c r="V276" s="569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customHeight="1" x14ac:dyDescent="0.25">
      <c r="A277" s="570" t="s">
        <v>450</v>
      </c>
      <c r="B277" s="562"/>
      <c r="C277" s="562"/>
      <c r="D277" s="562"/>
      <c r="E277" s="562"/>
      <c r="F277" s="562"/>
      <c r="G277" s="562"/>
      <c r="H277" s="562"/>
      <c r="I277" s="562"/>
      <c r="J277" s="562"/>
      <c r="K277" s="562"/>
      <c r="L277" s="562"/>
      <c r="M277" s="562"/>
      <c r="N277" s="562"/>
      <c r="O277" s="562"/>
      <c r="P277" s="562"/>
      <c r="Q277" s="562"/>
      <c r="R277" s="562"/>
      <c r="S277" s="562"/>
      <c r="T277" s="562"/>
      <c r="U277" s="562"/>
      <c r="V277" s="562"/>
      <c r="W277" s="562"/>
      <c r="X277" s="562"/>
      <c r="Y277" s="562"/>
      <c r="Z277" s="562"/>
      <c r="AA277" s="544"/>
      <c r="AB277" s="544"/>
      <c r="AC277" s="544"/>
    </row>
    <row r="278" spans="1:68" ht="14.25" customHeight="1" x14ac:dyDescent="0.25">
      <c r="A278" s="564" t="s">
        <v>77</v>
      </c>
      <c r="B278" s="562"/>
      <c r="C278" s="562"/>
      <c r="D278" s="562"/>
      <c r="E278" s="562"/>
      <c r="F278" s="562"/>
      <c r="G278" s="562"/>
      <c r="H278" s="562"/>
      <c r="I278" s="562"/>
      <c r="J278" s="562"/>
      <c r="K278" s="562"/>
      <c r="L278" s="562"/>
      <c r="M278" s="562"/>
      <c r="N278" s="562"/>
      <c r="O278" s="562"/>
      <c r="P278" s="562"/>
      <c r="Q278" s="562"/>
      <c r="R278" s="562"/>
      <c r="S278" s="562"/>
      <c r="T278" s="562"/>
      <c r="U278" s="562"/>
      <c r="V278" s="562"/>
      <c r="W278" s="562"/>
      <c r="X278" s="562"/>
      <c r="Y278" s="562"/>
      <c r="Z278" s="562"/>
      <c r="AA278" s="545"/>
      <c r="AB278" s="545"/>
      <c r="AC278" s="545"/>
    </row>
    <row r="279" spans="1:68" ht="27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213</v>
      </c>
      <c r="M280" s="33" t="s">
        <v>86</v>
      </c>
      <c r="N280" s="33"/>
      <c r="O280" s="32">
        <v>40</v>
      </c>
      <c r="P280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4"/>
      <c r="R280" s="554"/>
      <c r="S280" s="554"/>
      <c r="T280" s="555"/>
      <c r="U280" s="34"/>
      <c r="V280" s="34"/>
      <c r="W280" s="35" t="s">
        <v>69</v>
      </c>
      <c r="X280" s="549">
        <v>58</v>
      </c>
      <c r="Y280" s="550">
        <f>IFERROR(IF(X280="",0,CEILING((X280/$H280),1)*$H280),"")</f>
        <v>60</v>
      </c>
      <c r="Z280" s="36">
        <f>IFERROR(IF(Y280=0,"",ROUNDUP(Y280/H280,0)*0.00651),"")</f>
        <v>0.16275000000000001</v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64.09</v>
      </c>
      <c r="BN280" s="64">
        <f>IFERROR(Y280*I280/H280,"0")</f>
        <v>66.300000000000011</v>
      </c>
      <c r="BO280" s="64">
        <f>IFERROR(1/J280*(X280/H280),"0")</f>
        <v>0.13278388278388281</v>
      </c>
      <c r="BP280" s="64">
        <f>IFERROR(1/J280*(Y280/H280),"0")</f>
        <v>0.13736263736263737</v>
      </c>
    </row>
    <row r="281" spans="1:68" ht="27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213</v>
      </c>
      <c r="M281" s="33" t="s">
        <v>80</v>
      </c>
      <c r="N281" s="33"/>
      <c r="O281" s="32">
        <v>45</v>
      </c>
      <c r="P281" s="6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4"/>
      <c r="R281" s="554"/>
      <c r="S281" s="554"/>
      <c r="T281" s="555"/>
      <c r="U281" s="34"/>
      <c r="V281" s="34"/>
      <c r="W281" s="35" t="s">
        <v>69</v>
      </c>
      <c r="X281" s="549">
        <v>93</v>
      </c>
      <c r="Y281" s="550">
        <f>IFERROR(IF(X281="",0,CEILING((X281/$H281),1)*$H281),"")</f>
        <v>93.6</v>
      </c>
      <c r="Z281" s="36">
        <f>IFERROR(IF(Y281=0,"",ROUNDUP(Y281/H281,0)*0.00651),"")</f>
        <v>0.25389</v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99.975000000000009</v>
      </c>
      <c r="BN281" s="64">
        <f>IFERROR(Y281*I281/H281,"0")</f>
        <v>100.62</v>
      </c>
      <c r="BO281" s="64">
        <f>IFERROR(1/J281*(X281/H281),"0")</f>
        <v>0.21291208791208793</v>
      </c>
      <c r="BP281" s="64">
        <f>IFERROR(1/J281*(Y281/H281),"0")</f>
        <v>0.2142857142857143</v>
      </c>
    </row>
    <row r="282" spans="1:68" x14ac:dyDescent="0.2">
      <c r="A282" s="561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67" t="s">
        <v>75</v>
      </c>
      <c r="Q282" s="568"/>
      <c r="R282" s="568"/>
      <c r="S282" s="568"/>
      <c r="T282" s="568"/>
      <c r="U282" s="568"/>
      <c r="V282" s="569"/>
      <c r="W282" s="37" t="s">
        <v>76</v>
      </c>
      <c r="X282" s="551">
        <f>IFERROR(X279/H279,"0")+IFERROR(X280/H280,"0")+IFERROR(X281/H281,"0")</f>
        <v>62.916666666666671</v>
      </c>
      <c r="Y282" s="551">
        <f>IFERROR(Y279/H279,"0")+IFERROR(Y280/H280,"0")+IFERROR(Y281/H281,"0")</f>
        <v>64</v>
      </c>
      <c r="Z282" s="551">
        <f>IFERROR(IF(Z279="",0,Z279),"0")+IFERROR(IF(Z280="",0,Z280),"0")+IFERROR(IF(Z281="",0,Z281),"0")</f>
        <v>0.41664000000000001</v>
      </c>
      <c r="AA282" s="552"/>
      <c r="AB282" s="552"/>
      <c r="AC282" s="552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67" t="s">
        <v>75</v>
      </c>
      <c r="Q283" s="568"/>
      <c r="R283" s="568"/>
      <c r="S283" s="568"/>
      <c r="T283" s="568"/>
      <c r="U283" s="568"/>
      <c r="V283" s="569"/>
      <c r="W283" s="37" t="s">
        <v>69</v>
      </c>
      <c r="X283" s="551">
        <f>IFERROR(SUM(X279:X281),"0")</f>
        <v>151</v>
      </c>
      <c r="Y283" s="551">
        <f>IFERROR(SUM(Y279:Y281),"0")</f>
        <v>153.6</v>
      </c>
      <c r="Z283" s="37"/>
      <c r="AA283" s="552"/>
      <c r="AB283" s="552"/>
      <c r="AC283" s="552"/>
    </row>
    <row r="284" spans="1:68" ht="16.5" customHeight="1" x14ac:dyDescent="0.25">
      <c r="A284" s="570" t="s">
        <v>459</v>
      </c>
      <c r="B284" s="562"/>
      <c r="C284" s="562"/>
      <c r="D284" s="562"/>
      <c r="E284" s="562"/>
      <c r="F284" s="562"/>
      <c r="G284" s="562"/>
      <c r="H284" s="562"/>
      <c r="I284" s="562"/>
      <c r="J284" s="562"/>
      <c r="K284" s="562"/>
      <c r="L284" s="562"/>
      <c r="M284" s="562"/>
      <c r="N284" s="562"/>
      <c r="O284" s="562"/>
      <c r="P284" s="562"/>
      <c r="Q284" s="562"/>
      <c r="R284" s="562"/>
      <c r="S284" s="562"/>
      <c r="T284" s="562"/>
      <c r="U284" s="562"/>
      <c r="V284" s="562"/>
      <c r="W284" s="562"/>
      <c r="X284" s="562"/>
      <c r="Y284" s="562"/>
      <c r="Z284" s="562"/>
      <c r="AA284" s="544"/>
      <c r="AB284" s="544"/>
      <c r="AC284" s="544"/>
    </row>
    <row r="285" spans="1:68" ht="14.25" customHeight="1" x14ac:dyDescent="0.25">
      <c r="A285" s="564" t="s">
        <v>64</v>
      </c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2"/>
      <c r="P285" s="562"/>
      <c r="Q285" s="562"/>
      <c r="R285" s="562"/>
      <c r="S285" s="562"/>
      <c r="T285" s="562"/>
      <c r="U285" s="562"/>
      <c r="V285" s="562"/>
      <c r="W285" s="562"/>
      <c r="X285" s="562"/>
      <c r="Y285" s="562"/>
      <c r="Z285" s="562"/>
      <c r="AA285" s="545"/>
      <c r="AB285" s="545"/>
      <c r="AC285" s="545"/>
    </row>
    <row r="286" spans="1:68" ht="27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6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4"/>
      <c r="R286" s="554"/>
      <c r="S286" s="554"/>
      <c r="T286" s="555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6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4"/>
      <c r="R287" s="554"/>
      <c r="S287" s="554"/>
      <c r="T287" s="555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x14ac:dyDescent="0.2">
      <c r="A288" s="561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67" t="s">
        <v>75</v>
      </c>
      <c r="Q288" s="568"/>
      <c r="R288" s="568"/>
      <c r="S288" s="568"/>
      <c r="T288" s="568"/>
      <c r="U288" s="568"/>
      <c r="V288" s="569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67" t="s">
        <v>75</v>
      </c>
      <c r="Q289" s="568"/>
      <c r="R289" s="568"/>
      <c r="S289" s="568"/>
      <c r="T289" s="568"/>
      <c r="U289" s="568"/>
      <c r="V289" s="569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customHeight="1" x14ac:dyDescent="0.25">
      <c r="A290" s="564" t="s">
        <v>77</v>
      </c>
      <c r="B290" s="562"/>
      <c r="C290" s="562"/>
      <c r="D290" s="562"/>
      <c r="E290" s="562"/>
      <c r="F290" s="562"/>
      <c r="G290" s="562"/>
      <c r="H290" s="562"/>
      <c r="I290" s="562"/>
      <c r="J290" s="562"/>
      <c r="K290" s="562"/>
      <c r="L290" s="562"/>
      <c r="M290" s="562"/>
      <c r="N290" s="562"/>
      <c r="O290" s="562"/>
      <c r="P290" s="562"/>
      <c r="Q290" s="562"/>
      <c r="R290" s="562"/>
      <c r="S290" s="562"/>
      <c r="T290" s="562"/>
      <c r="U290" s="562"/>
      <c r="V290" s="562"/>
      <c r="W290" s="562"/>
      <c r="X290" s="562"/>
      <c r="Y290" s="562"/>
      <c r="Z290" s="562"/>
      <c r="AA290" s="545"/>
      <c r="AB290" s="545"/>
      <c r="AC290" s="545"/>
    </row>
    <row r="291" spans="1:68" ht="37.5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1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67" t="s">
        <v>75</v>
      </c>
      <c r="Q293" s="568"/>
      <c r="R293" s="568"/>
      <c r="S293" s="568"/>
      <c r="T293" s="568"/>
      <c r="U293" s="568"/>
      <c r="V293" s="569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67" t="s">
        <v>75</v>
      </c>
      <c r="Q294" s="568"/>
      <c r="R294" s="568"/>
      <c r="S294" s="568"/>
      <c r="T294" s="568"/>
      <c r="U294" s="568"/>
      <c r="V294" s="569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customHeight="1" x14ac:dyDescent="0.25">
      <c r="A295" s="570" t="s">
        <v>472</v>
      </c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2"/>
      <c r="P295" s="562"/>
      <c r="Q295" s="562"/>
      <c r="R295" s="562"/>
      <c r="S295" s="562"/>
      <c r="T295" s="562"/>
      <c r="U295" s="562"/>
      <c r="V295" s="562"/>
      <c r="W295" s="562"/>
      <c r="X295" s="562"/>
      <c r="Y295" s="562"/>
      <c r="Z295" s="562"/>
      <c r="AA295" s="544"/>
      <c r="AB295" s="544"/>
      <c r="AC295" s="544"/>
    </row>
    <row r="296" spans="1:68" ht="14.25" customHeight="1" x14ac:dyDescent="0.25">
      <c r="A296" s="564" t="s">
        <v>99</v>
      </c>
      <c r="B296" s="562"/>
      <c r="C296" s="562"/>
      <c r="D296" s="562"/>
      <c r="E296" s="562"/>
      <c r="F296" s="562"/>
      <c r="G296" s="562"/>
      <c r="H296" s="562"/>
      <c r="I296" s="562"/>
      <c r="J296" s="562"/>
      <c r="K296" s="562"/>
      <c r="L296" s="562"/>
      <c r="M296" s="562"/>
      <c r="N296" s="562"/>
      <c r="O296" s="562"/>
      <c r="P296" s="562"/>
      <c r="Q296" s="562"/>
      <c r="R296" s="562"/>
      <c r="S296" s="562"/>
      <c r="T296" s="562"/>
      <c r="U296" s="562"/>
      <c r="V296" s="562"/>
      <c r="W296" s="562"/>
      <c r="X296" s="562"/>
      <c r="Y296" s="562"/>
      <c r="Z296" s="562"/>
      <c r="AA296" s="545"/>
      <c r="AB296" s="545"/>
      <c r="AC296" s="545"/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82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8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561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67" t="s">
        <v>75</v>
      </c>
      <c r="Q302" s="568"/>
      <c r="R302" s="568"/>
      <c r="S302" s="568"/>
      <c r="T302" s="568"/>
      <c r="U302" s="568"/>
      <c r="V302" s="569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67" t="s">
        <v>75</v>
      </c>
      <c r="Q303" s="568"/>
      <c r="R303" s="568"/>
      <c r="S303" s="568"/>
      <c r="T303" s="568"/>
      <c r="U303" s="568"/>
      <c r="V303" s="569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customHeight="1" x14ac:dyDescent="0.25">
      <c r="A304" s="564" t="s">
        <v>64</v>
      </c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2"/>
      <c r="P304" s="562"/>
      <c r="Q304" s="562"/>
      <c r="R304" s="562"/>
      <c r="S304" s="562"/>
      <c r="T304" s="562"/>
      <c r="U304" s="562"/>
      <c r="V304" s="562"/>
      <c r="W304" s="562"/>
      <c r="X304" s="562"/>
      <c r="Y304" s="562"/>
      <c r="Z304" s="562"/>
      <c r="AA304" s="545"/>
      <c r="AB304" s="545"/>
      <c r="AC304" s="545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0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1"/>
      <c r="B311" s="562"/>
      <c r="C311" s="562"/>
      <c r="D311" s="562"/>
      <c r="E311" s="562"/>
      <c r="F311" s="562"/>
      <c r="G311" s="562"/>
      <c r="H311" s="562"/>
      <c r="I311" s="562"/>
      <c r="J311" s="562"/>
      <c r="K311" s="562"/>
      <c r="L311" s="562"/>
      <c r="M311" s="562"/>
      <c r="N311" s="562"/>
      <c r="O311" s="563"/>
      <c r="P311" s="567" t="s">
        <v>75</v>
      </c>
      <c r="Q311" s="568"/>
      <c r="R311" s="568"/>
      <c r="S311" s="568"/>
      <c r="T311" s="568"/>
      <c r="U311" s="568"/>
      <c r="V311" s="569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67" t="s">
        <v>75</v>
      </c>
      <c r="Q312" s="568"/>
      <c r="R312" s="568"/>
      <c r="S312" s="568"/>
      <c r="T312" s="568"/>
      <c r="U312" s="568"/>
      <c r="V312" s="569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customHeight="1" x14ac:dyDescent="0.25">
      <c r="A313" s="564" t="s">
        <v>77</v>
      </c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2"/>
      <c r="P313" s="562"/>
      <c r="Q313" s="562"/>
      <c r="R313" s="562"/>
      <c r="S313" s="562"/>
      <c r="T313" s="562"/>
      <c r="U313" s="562"/>
      <c r="V313" s="562"/>
      <c r="W313" s="562"/>
      <c r="X313" s="562"/>
      <c r="Y313" s="562"/>
      <c r="Z313" s="562"/>
      <c r="AA313" s="545"/>
      <c r="AB313" s="545"/>
      <c r="AC313" s="545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6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8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1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67" t="s">
        <v>75</v>
      </c>
      <c r="Q318" s="568"/>
      <c r="R318" s="568"/>
      <c r="S318" s="568"/>
      <c r="T318" s="568"/>
      <c r="U318" s="568"/>
      <c r="V318" s="569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67" t="s">
        <v>75</v>
      </c>
      <c r="Q319" s="568"/>
      <c r="R319" s="568"/>
      <c r="S319" s="568"/>
      <c r="T319" s="568"/>
      <c r="U319" s="568"/>
      <c r="V319" s="569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customHeight="1" x14ac:dyDescent="0.25">
      <c r="A320" s="564" t="s">
        <v>160</v>
      </c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2"/>
      <c r="P320" s="562"/>
      <c r="Q320" s="562"/>
      <c r="R320" s="562"/>
      <c r="S320" s="562"/>
      <c r="T320" s="562"/>
      <c r="U320" s="562"/>
      <c r="V320" s="562"/>
      <c r="W320" s="562"/>
      <c r="X320" s="562"/>
      <c r="Y320" s="562"/>
      <c r="Z320" s="562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9">
        <v>33</v>
      </c>
      <c r="Y321" s="550">
        <f>IFERROR(IF(X321="",0,CEILING((X321/$H321),1)*$H321),"")</f>
        <v>33.6</v>
      </c>
      <c r="Z321" s="36">
        <f>IFERROR(IF(Y321=0,"",ROUNDUP(Y321/H321,0)*0.01898),"")</f>
        <v>7.5920000000000001E-2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34.940714285714286</v>
      </c>
      <c r="BN321" s="64">
        <f>IFERROR(Y321*I321/H321,"0")</f>
        <v>35.576000000000001</v>
      </c>
      <c r="BO321" s="64">
        <f>IFERROR(1/J321*(X321/H321),"0")</f>
        <v>6.1383928571428568E-2</v>
      </c>
      <c r="BP321" s="64">
        <f>IFERROR(1/J321*(Y321/H321),"0")</f>
        <v>6.25E-2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9">
        <v>314</v>
      </c>
      <c r="Y322" s="550">
        <f>IFERROR(IF(X322="",0,CEILING((X322/$H322),1)*$H322),"")</f>
        <v>319.8</v>
      </c>
      <c r="Z322" s="36">
        <f>IFERROR(IF(Y322=0,"",ROUNDUP(Y322/H322,0)*0.01898),"")</f>
        <v>0.77817999999999998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333.88666666666671</v>
      </c>
      <c r="BN322" s="64">
        <f>IFERROR(Y322*I322/H322,"0")</f>
        <v>340.05400000000003</v>
      </c>
      <c r="BO322" s="64">
        <f>IFERROR(1/J322*(X322/H322),"0")</f>
        <v>0.62900641025641024</v>
      </c>
      <c r="BP322" s="64">
        <f>IFERROR(1/J322*(Y322/H322),"0")</f>
        <v>0.640625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80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9">
        <v>46</v>
      </c>
      <c r="Y323" s="550">
        <f>IFERROR(IF(X323="",0,CEILING((X323/$H323),1)*$H323),"")</f>
        <v>50.400000000000006</v>
      </c>
      <c r="Z323" s="36">
        <f>IFERROR(IF(Y323=0,"",ROUNDUP(Y323/H323,0)*0.01898),"")</f>
        <v>0.11388000000000001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48.705238095238094</v>
      </c>
      <c r="BN323" s="64">
        <f>IFERROR(Y323*I323/H323,"0")</f>
        <v>53.364000000000004</v>
      </c>
      <c r="BO323" s="64">
        <f>IFERROR(1/J323*(X323/H323),"0")</f>
        <v>8.5565476190476192E-2</v>
      </c>
      <c r="BP323" s="64">
        <f>IFERROR(1/J323*(Y323/H323),"0")</f>
        <v>9.375E-2</v>
      </c>
    </row>
    <row r="324" spans="1:68" x14ac:dyDescent="0.2">
      <c r="A324" s="561"/>
      <c r="B324" s="562"/>
      <c r="C324" s="562"/>
      <c r="D324" s="562"/>
      <c r="E324" s="562"/>
      <c r="F324" s="562"/>
      <c r="G324" s="562"/>
      <c r="H324" s="562"/>
      <c r="I324" s="562"/>
      <c r="J324" s="562"/>
      <c r="K324" s="562"/>
      <c r="L324" s="562"/>
      <c r="M324" s="562"/>
      <c r="N324" s="562"/>
      <c r="O324" s="563"/>
      <c r="P324" s="567" t="s">
        <v>75</v>
      </c>
      <c r="Q324" s="568"/>
      <c r="R324" s="568"/>
      <c r="S324" s="568"/>
      <c r="T324" s="568"/>
      <c r="U324" s="568"/>
      <c r="V324" s="569"/>
      <c r="W324" s="37" t="s">
        <v>76</v>
      </c>
      <c r="X324" s="551">
        <f>IFERROR(X321/H321,"0")+IFERROR(X322/H322,"0")+IFERROR(X323/H323,"0")</f>
        <v>49.661172161172161</v>
      </c>
      <c r="Y324" s="551">
        <f>IFERROR(Y321/H321,"0")+IFERROR(Y322/H322,"0")+IFERROR(Y323/H323,"0")</f>
        <v>51</v>
      </c>
      <c r="Z324" s="551">
        <f>IFERROR(IF(Z321="",0,Z321),"0")+IFERROR(IF(Z322="",0,Z322),"0")+IFERROR(IF(Z323="",0,Z323),"0")</f>
        <v>0.96797999999999995</v>
      </c>
      <c r="AA324" s="552"/>
      <c r="AB324" s="552"/>
      <c r="AC324" s="552"/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67" t="s">
        <v>75</v>
      </c>
      <c r="Q325" s="568"/>
      <c r="R325" s="568"/>
      <c r="S325" s="568"/>
      <c r="T325" s="568"/>
      <c r="U325" s="568"/>
      <c r="V325" s="569"/>
      <c r="W325" s="37" t="s">
        <v>69</v>
      </c>
      <c r="X325" s="551">
        <f>IFERROR(SUM(X321:X323),"0")</f>
        <v>393</v>
      </c>
      <c r="Y325" s="551">
        <f>IFERROR(SUM(Y321:Y323),"0")</f>
        <v>403.80000000000007</v>
      </c>
      <c r="Z325" s="37"/>
      <c r="AA325" s="552"/>
      <c r="AB325" s="552"/>
      <c r="AC325" s="552"/>
    </row>
    <row r="326" spans="1:68" ht="14.25" customHeight="1" x14ac:dyDescent="0.25">
      <c r="A326" s="564" t="s">
        <v>91</v>
      </c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2"/>
      <c r="P326" s="562"/>
      <c r="Q326" s="562"/>
      <c r="R326" s="562"/>
      <c r="S326" s="562"/>
      <c r="T326" s="562"/>
      <c r="U326" s="562"/>
      <c r="V326" s="562"/>
      <c r="W326" s="562"/>
      <c r="X326" s="562"/>
      <c r="Y326" s="562"/>
      <c r="Z326" s="562"/>
      <c r="AA326" s="545"/>
      <c r="AB326" s="545"/>
      <c r="AC326" s="545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6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213</v>
      </c>
      <c r="M330" s="33" t="s">
        <v>94</v>
      </c>
      <c r="N330" s="33"/>
      <c r="O330" s="32">
        <v>180</v>
      </c>
      <c r="P330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1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67" t="s">
        <v>75</v>
      </c>
      <c r="Q331" s="568"/>
      <c r="R331" s="568"/>
      <c r="S331" s="568"/>
      <c r="T331" s="568"/>
      <c r="U331" s="568"/>
      <c r="V331" s="569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67" t="s">
        <v>75</v>
      </c>
      <c r="Q332" s="568"/>
      <c r="R332" s="568"/>
      <c r="S332" s="568"/>
      <c r="T332" s="568"/>
      <c r="U332" s="568"/>
      <c r="V332" s="569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customHeight="1" x14ac:dyDescent="0.25">
      <c r="A333" s="564" t="s">
        <v>534</v>
      </c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2"/>
      <c r="P333" s="562"/>
      <c r="Q333" s="562"/>
      <c r="R333" s="562"/>
      <c r="S333" s="562"/>
      <c r="T333" s="562"/>
      <c r="U333" s="562"/>
      <c r="V333" s="562"/>
      <c r="W333" s="562"/>
      <c r="X333" s="562"/>
      <c r="Y333" s="562"/>
      <c r="Z333" s="562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9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9">
        <v>1</v>
      </c>
      <c r="Y335" s="550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1.1200000000000001</v>
      </c>
      <c r="BN335" s="64">
        <f>IFERROR(Y335*I335/H335,"0")</f>
        <v>2.2400000000000002</v>
      </c>
      <c r="BO335" s="64">
        <f>IFERROR(1/J335*(X335/H335),"0")</f>
        <v>2.1008403361344537E-3</v>
      </c>
      <c r="BP335" s="64">
        <f>IFERROR(1/J335*(Y335/H335),"0")</f>
        <v>4.2016806722689074E-3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9">
        <v>20</v>
      </c>
      <c r="Y336" s="550">
        <f>IFERROR(IF(X336="",0,CEILING((X336/$H336),1)*$H336),"")</f>
        <v>20</v>
      </c>
      <c r="Z336" s="36">
        <f>IFERROR(IF(Y336=0,"",ROUNDUP(Y336/H336,0)*0.00474),"")</f>
        <v>4.7400000000000005E-2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22.400000000000002</v>
      </c>
      <c r="BN336" s="64">
        <f>IFERROR(Y336*I336/H336,"0")</f>
        <v>22.400000000000002</v>
      </c>
      <c r="BO336" s="64">
        <f>IFERROR(1/J336*(X336/H336),"0")</f>
        <v>4.2016806722689072E-2</v>
      </c>
      <c r="BP336" s="64">
        <f>IFERROR(1/J336*(Y336/H336),"0")</f>
        <v>4.2016806722689072E-2</v>
      </c>
    </row>
    <row r="337" spans="1:68" x14ac:dyDescent="0.2">
      <c r="A337" s="561"/>
      <c r="B337" s="562"/>
      <c r="C337" s="562"/>
      <c r="D337" s="562"/>
      <c r="E337" s="562"/>
      <c r="F337" s="562"/>
      <c r="G337" s="562"/>
      <c r="H337" s="562"/>
      <c r="I337" s="562"/>
      <c r="J337" s="562"/>
      <c r="K337" s="562"/>
      <c r="L337" s="562"/>
      <c r="M337" s="562"/>
      <c r="N337" s="562"/>
      <c r="O337" s="563"/>
      <c r="P337" s="567" t="s">
        <v>75</v>
      </c>
      <c r="Q337" s="568"/>
      <c r="R337" s="568"/>
      <c r="S337" s="568"/>
      <c r="T337" s="568"/>
      <c r="U337" s="568"/>
      <c r="V337" s="569"/>
      <c r="W337" s="37" t="s">
        <v>76</v>
      </c>
      <c r="X337" s="551">
        <f>IFERROR(X334/H334,"0")+IFERROR(X335/H335,"0")+IFERROR(X336/H336,"0")</f>
        <v>10.5</v>
      </c>
      <c r="Y337" s="551">
        <f>IFERROR(Y334/H334,"0")+IFERROR(Y335/H335,"0")+IFERROR(Y336/H336,"0")</f>
        <v>11</v>
      </c>
      <c r="Z337" s="551">
        <f>IFERROR(IF(Z334="",0,Z334),"0")+IFERROR(IF(Z335="",0,Z335),"0")+IFERROR(IF(Z336="",0,Z336),"0")</f>
        <v>5.2140000000000006E-2</v>
      </c>
      <c r="AA337" s="552"/>
      <c r="AB337" s="552"/>
      <c r="AC337" s="552"/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67" t="s">
        <v>75</v>
      </c>
      <c r="Q338" s="568"/>
      <c r="R338" s="568"/>
      <c r="S338" s="568"/>
      <c r="T338" s="568"/>
      <c r="U338" s="568"/>
      <c r="V338" s="569"/>
      <c r="W338" s="37" t="s">
        <v>69</v>
      </c>
      <c r="X338" s="551">
        <f>IFERROR(SUM(X334:X336),"0")</f>
        <v>21</v>
      </c>
      <c r="Y338" s="551">
        <f>IFERROR(SUM(Y334:Y336),"0")</f>
        <v>22</v>
      </c>
      <c r="Z338" s="37"/>
      <c r="AA338" s="552"/>
      <c r="AB338" s="552"/>
      <c r="AC338" s="552"/>
    </row>
    <row r="339" spans="1:68" ht="16.5" customHeight="1" x14ac:dyDescent="0.25">
      <c r="A339" s="570" t="s">
        <v>543</v>
      </c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2"/>
      <c r="P339" s="562"/>
      <c r="Q339" s="562"/>
      <c r="R339" s="562"/>
      <c r="S339" s="562"/>
      <c r="T339" s="562"/>
      <c r="U339" s="562"/>
      <c r="V339" s="562"/>
      <c r="W339" s="562"/>
      <c r="X339" s="562"/>
      <c r="Y339" s="562"/>
      <c r="Z339" s="562"/>
      <c r="AA339" s="544"/>
      <c r="AB339" s="544"/>
      <c r="AC339" s="544"/>
    </row>
    <row r="340" spans="1:68" ht="14.25" customHeight="1" x14ac:dyDescent="0.25">
      <c r="A340" s="564" t="s">
        <v>77</v>
      </c>
      <c r="B340" s="562"/>
      <c r="C340" s="562"/>
      <c r="D340" s="562"/>
      <c r="E340" s="562"/>
      <c r="F340" s="562"/>
      <c r="G340" s="562"/>
      <c r="H340" s="562"/>
      <c r="I340" s="562"/>
      <c r="J340" s="562"/>
      <c r="K340" s="562"/>
      <c r="L340" s="562"/>
      <c r="M340" s="562"/>
      <c r="N340" s="562"/>
      <c r="O340" s="562"/>
      <c r="P340" s="562"/>
      <c r="Q340" s="562"/>
      <c r="R340" s="562"/>
      <c r="S340" s="562"/>
      <c r="T340" s="562"/>
      <c r="U340" s="562"/>
      <c r="V340" s="562"/>
      <c r="W340" s="562"/>
      <c r="X340" s="562"/>
      <c r="Y340" s="562"/>
      <c r="Z340" s="562"/>
      <c r="AA340" s="545"/>
      <c r="AB340" s="545"/>
      <c r="AC340" s="545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8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7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1"/>
      <c r="B344" s="562"/>
      <c r="C344" s="562"/>
      <c r="D344" s="562"/>
      <c r="E344" s="562"/>
      <c r="F344" s="562"/>
      <c r="G344" s="562"/>
      <c r="H344" s="562"/>
      <c r="I344" s="562"/>
      <c r="J344" s="562"/>
      <c r="K344" s="562"/>
      <c r="L344" s="562"/>
      <c r="M344" s="562"/>
      <c r="N344" s="562"/>
      <c r="O344" s="563"/>
      <c r="P344" s="567" t="s">
        <v>75</v>
      </c>
      <c r="Q344" s="568"/>
      <c r="R344" s="568"/>
      <c r="S344" s="568"/>
      <c r="T344" s="568"/>
      <c r="U344" s="568"/>
      <c r="V344" s="569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67" t="s">
        <v>75</v>
      </c>
      <c r="Q345" s="568"/>
      <c r="R345" s="568"/>
      <c r="S345" s="568"/>
      <c r="T345" s="568"/>
      <c r="U345" s="568"/>
      <c r="V345" s="569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668" t="s">
        <v>553</v>
      </c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69"/>
      <c r="P346" s="669"/>
      <c r="Q346" s="669"/>
      <c r="R346" s="669"/>
      <c r="S346" s="669"/>
      <c r="T346" s="669"/>
      <c r="U346" s="669"/>
      <c r="V346" s="669"/>
      <c r="W346" s="669"/>
      <c r="X346" s="669"/>
      <c r="Y346" s="669"/>
      <c r="Z346" s="669"/>
      <c r="AA346" s="48"/>
      <c r="AB346" s="48"/>
      <c r="AC346" s="48"/>
    </row>
    <row r="347" spans="1:68" ht="16.5" customHeight="1" x14ac:dyDescent="0.25">
      <c r="A347" s="570" t="s">
        <v>554</v>
      </c>
      <c r="B347" s="562"/>
      <c r="C347" s="562"/>
      <c r="D347" s="562"/>
      <c r="E347" s="562"/>
      <c r="F347" s="562"/>
      <c r="G347" s="562"/>
      <c r="H347" s="562"/>
      <c r="I347" s="562"/>
      <c r="J347" s="562"/>
      <c r="K347" s="562"/>
      <c r="L347" s="562"/>
      <c r="M347" s="562"/>
      <c r="N347" s="562"/>
      <c r="O347" s="562"/>
      <c r="P347" s="562"/>
      <c r="Q347" s="562"/>
      <c r="R347" s="562"/>
      <c r="S347" s="562"/>
      <c r="T347" s="562"/>
      <c r="U347" s="562"/>
      <c r="V347" s="562"/>
      <c r="W347" s="562"/>
      <c r="X347" s="562"/>
      <c r="Y347" s="562"/>
      <c r="Z347" s="562"/>
      <c r="AA347" s="544"/>
      <c r="AB347" s="544"/>
      <c r="AC347" s="544"/>
    </row>
    <row r="348" spans="1:68" ht="14.25" customHeight="1" x14ac:dyDescent="0.25">
      <c r="A348" s="564" t="s">
        <v>99</v>
      </c>
      <c r="B348" s="562"/>
      <c r="C348" s="562"/>
      <c r="D348" s="562"/>
      <c r="E348" s="562"/>
      <c r="F348" s="562"/>
      <c r="G348" s="562"/>
      <c r="H348" s="562"/>
      <c r="I348" s="562"/>
      <c r="J348" s="562"/>
      <c r="K348" s="562"/>
      <c r="L348" s="562"/>
      <c r="M348" s="562"/>
      <c r="N348" s="562"/>
      <c r="O348" s="562"/>
      <c r="P348" s="562"/>
      <c r="Q348" s="562"/>
      <c r="R348" s="562"/>
      <c r="S348" s="562"/>
      <c r="T348" s="562"/>
      <c r="U348" s="562"/>
      <c r="V348" s="562"/>
      <c r="W348" s="562"/>
      <c r="X348" s="562"/>
      <c r="Y348" s="562"/>
      <c r="Z348" s="562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9">
        <v>1208</v>
      </c>
      <c r="Y349" s="550">
        <f t="shared" ref="Y349:Y355" si="36">IFERROR(IF(X349="",0,CEILING((X349/$H349),1)*$H349),"")</f>
        <v>1215</v>
      </c>
      <c r="Z349" s="36">
        <f>IFERROR(IF(Y349=0,"",ROUNDUP(Y349/H349,0)*0.02175),"")</f>
        <v>1.7617499999999999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1245.8506666666667</v>
      </c>
      <c r="BN349" s="64">
        <f t="shared" ref="BN349:BN355" si="38">IFERROR(Y349*I349/H349,"0")</f>
        <v>1253.07</v>
      </c>
      <c r="BO349" s="64">
        <f t="shared" ref="BO349:BO355" si="39">IFERROR(1/J349*(X349/H349),"0")</f>
        <v>1.6777777777777776</v>
      </c>
      <c r="BP349" s="64">
        <f t="shared" ref="BP349:BP355" si="40">IFERROR(1/J349*(Y349/H349),"0")</f>
        <v>1.6875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9">
        <v>548</v>
      </c>
      <c r="Y350" s="550">
        <f t="shared" si="36"/>
        <v>555</v>
      </c>
      <c r="Z350" s="36">
        <f>IFERROR(IF(Y350=0,"",ROUNDUP(Y350/H350,0)*0.02175),"")</f>
        <v>0.80474999999999997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565.17066666666665</v>
      </c>
      <c r="BN350" s="64">
        <f t="shared" si="38"/>
        <v>572.39</v>
      </c>
      <c r="BO350" s="64">
        <f t="shared" si="39"/>
        <v>0.76111111111111107</v>
      </c>
      <c r="BP350" s="64">
        <f t="shared" si="40"/>
        <v>0.77083333333333326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4"/>
      <c r="R351" s="554"/>
      <c r="S351" s="554"/>
      <c r="T351" s="555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6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4"/>
      <c r="R352" s="554"/>
      <c r="S352" s="554"/>
      <c r="T352" s="555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5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1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67" t="s">
        <v>75</v>
      </c>
      <c r="Q356" s="568"/>
      <c r="R356" s="568"/>
      <c r="S356" s="568"/>
      <c r="T356" s="568"/>
      <c r="U356" s="568"/>
      <c r="V356" s="569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117.06666666666666</v>
      </c>
      <c r="Y356" s="551">
        <f>IFERROR(Y349/H349,"0")+IFERROR(Y350/H350,"0")+IFERROR(Y351/H351,"0")+IFERROR(Y352/H352,"0")+IFERROR(Y353/H353,"0")+IFERROR(Y354/H354,"0")+IFERROR(Y355/H355,"0")</f>
        <v>118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2.5665</v>
      </c>
      <c r="AA356" s="552"/>
      <c r="AB356" s="552"/>
      <c r="AC356" s="552"/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67" t="s">
        <v>75</v>
      </c>
      <c r="Q357" s="568"/>
      <c r="R357" s="568"/>
      <c r="S357" s="568"/>
      <c r="T357" s="568"/>
      <c r="U357" s="568"/>
      <c r="V357" s="569"/>
      <c r="W357" s="37" t="s">
        <v>69</v>
      </c>
      <c r="X357" s="551">
        <f>IFERROR(SUM(X349:X355),"0")</f>
        <v>1756</v>
      </c>
      <c r="Y357" s="551">
        <f>IFERROR(SUM(Y349:Y355),"0")</f>
        <v>1770</v>
      </c>
      <c r="Z357" s="37"/>
      <c r="AA357" s="552"/>
      <c r="AB357" s="552"/>
      <c r="AC357" s="552"/>
    </row>
    <row r="358" spans="1:68" ht="14.25" customHeight="1" x14ac:dyDescent="0.25">
      <c r="A358" s="564" t="s">
        <v>135</v>
      </c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2"/>
      <c r="P358" s="562"/>
      <c r="Q358" s="562"/>
      <c r="R358" s="562"/>
      <c r="S358" s="562"/>
      <c r="T358" s="562"/>
      <c r="U358" s="562"/>
      <c r="V358" s="562"/>
      <c r="W358" s="562"/>
      <c r="X358" s="562"/>
      <c r="Y358" s="562"/>
      <c r="Z358" s="562"/>
      <c r="AA358" s="545"/>
      <c r="AB358" s="545"/>
      <c r="AC358" s="545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9">
        <v>1511</v>
      </c>
      <c r="Y359" s="550">
        <f>IFERROR(IF(X359="",0,CEILING((X359/$H359),1)*$H359),"")</f>
        <v>1515</v>
      </c>
      <c r="Z359" s="36">
        <f>IFERROR(IF(Y359=0,"",ROUNDUP(Y359/H359,0)*0.02175),"")</f>
        <v>2.1967499999999998</v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1558.3446666666669</v>
      </c>
      <c r="BN359" s="64">
        <f>IFERROR(Y359*I359/H359,"0")</f>
        <v>1562.47</v>
      </c>
      <c r="BO359" s="64">
        <f>IFERROR(1/J359*(X359/H359),"0")</f>
        <v>2.098611111111111</v>
      </c>
      <c r="BP359" s="64">
        <f>IFERROR(1/J359*(Y359/H359),"0")</f>
        <v>2.1041666666666665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8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1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67" t="s">
        <v>75</v>
      </c>
      <c r="Q361" s="568"/>
      <c r="R361" s="568"/>
      <c r="S361" s="568"/>
      <c r="T361" s="568"/>
      <c r="U361" s="568"/>
      <c r="V361" s="569"/>
      <c r="W361" s="37" t="s">
        <v>76</v>
      </c>
      <c r="X361" s="551">
        <f>IFERROR(X359/H359,"0")+IFERROR(X360/H360,"0")</f>
        <v>100.73333333333333</v>
      </c>
      <c r="Y361" s="551">
        <f>IFERROR(Y359/H359,"0")+IFERROR(Y360/H360,"0")</f>
        <v>101</v>
      </c>
      <c r="Z361" s="551">
        <f>IFERROR(IF(Z359="",0,Z359),"0")+IFERROR(IF(Z360="",0,Z360),"0")</f>
        <v>2.1967499999999998</v>
      </c>
      <c r="AA361" s="552"/>
      <c r="AB361" s="552"/>
      <c r="AC361" s="552"/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67" t="s">
        <v>75</v>
      </c>
      <c r="Q362" s="568"/>
      <c r="R362" s="568"/>
      <c r="S362" s="568"/>
      <c r="T362" s="568"/>
      <c r="U362" s="568"/>
      <c r="V362" s="569"/>
      <c r="W362" s="37" t="s">
        <v>69</v>
      </c>
      <c r="X362" s="551">
        <f>IFERROR(SUM(X359:X360),"0")</f>
        <v>1511</v>
      </c>
      <c r="Y362" s="551">
        <f>IFERROR(SUM(Y359:Y360),"0")</f>
        <v>1515</v>
      </c>
      <c r="Z362" s="37"/>
      <c r="AA362" s="552"/>
      <c r="AB362" s="552"/>
      <c r="AC362" s="552"/>
    </row>
    <row r="363" spans="1:68" ht="14.25" customHeight="1" x14ac:dyDescent="0.25">
      <c r="A363" s="564" t="s">
        <v>77</v>
      </c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2"/>
      <c r="P363" s="562"/>
      <c r="Q363" s="562"/>
      <c r="R363" s="562"/>
      <c r="S363" s="562"/>
      <c r="T363" s="562"/>
      <c r="U363" s="562"/>
      <c r="V363" s="562"/>
      <c r="W363" s="562"/>
      <c r="X363" s="562"/>
      <c r="Y363" s="562"/>
      <c r="Z363" s="562"/>
      <c r="AA363" s="545"/>
      <c r="AB363" s="545"/>
      <c r="AC363" s="545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8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1"/>
      <c r="B366" s="562"/>
      <c r="C366" s="562"/>
      <c r="D366" s="562"/>
      <c r="E366" s="562"/>
      <c r="F366" s="562"/>
      <c r="G366" s="562"/>
      <c r="H366" s="562"/>
      <c r="I366" s="562"/>
      <c r="J366" s="562"/>
      <c r="K366" s="562"/>
      <c r="L366" s="562"/>
      <c r="M366" s="562"/>
      <c r="N366" s="562"/>
      <c r="O366" s="563"/>
      <c r="P366" s="567" t="s">
        <v>75</v>
      </c>
      <c r="Q366" s="568"/>
      <c r="R366" s="568"/>
      <c r="S366" s="568"/>
      <c r="T366" s="568"/>
      <c r="U366" s="568"/>
      <c r="V366" s="569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67" t="s">
        <v>75</v>
      </c>
      <c r="Q367" s="568"/>
      <c r="R367" s="568"/>
      <c r="S367" s="568"/>
      <c r="T367" s="568"/>
      <c r="U367" s="568"/>
      <c r="V367" s="569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64" t="s">
        <v>160</v>
      </c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2"/>
      <c r="P368" s="562"/>
      <c r="Q368" s="562"/>
      <c r="R368" s="562"/>
      <c r="S368" s="562"/>
      <c r="T368" s="562"/>
      <c r="U368" s="562"/>
      <c r="V368" s="562"/>
      <c r="W368" s="562"/>
      <c r="X368" s="562"/>
      <c r="Y368" s="562"/>
      <c r="Z368" s="562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9">
        <v>45</v>
      </c>
      <c r="Y369" s="550">
        <f>IFERROR(IF(X369="",0,CEILING((X369/$H369),1)*$H369),"")</f>
        <v>45</v>
      </c>
      <c r="Z369" s="36">
        <f>IFERROR(IF(Y369=0,"",ROUNDUP(Y369/H369,0)*0.01898),"")</f>
        <v>9.4899999999999998E-2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47.47</v>
      </c>
      <c r="BN369" s="64">
        <f>IFERROR(Y369*I369/H369,"0")</f>
        <v>47.47</v>
      </c>
      <c r="BO369" s="64">
        <f>IFERROR(1/J369*(X369/H369),"0")</f>
        <v>7.8125E-2</v>
      </c>
      <c r="BP369" s="64">
        <f>IFERROR(1/J369*(Y369/H369),"0")</f>
        <v>7.8125E-2</v>
      </c>
    </row>
    <row r="370" spans="1:68" x14ac:dyDescent="0.2">
      <c r="A370" s="561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67" t="s">
        <v>75</v>
      </c>
      <c r="Q370" s="568"/>
      <c r="R370" s="568"/>
      <c r="S370" s="568"/>
      <c r="T370" s="568"/>
      <c r="U370" s="568"/>
      <c r="V370" s="569"/>
      <c r="W370" s="37" t="s">
        <v>76</v>
      </c>
      <c r="X370" s="551">
        <f>IFERROR(X369/H369,"0")</f>
        <v>5</v>
      </c>
      <c r="Y370" s="551">
        <f>IFERROR(Y369/H369,"0")</f>
        <v>5</v>
      </c>
      <c r="Z370" s="551">
        <f>IFERROR(IF(Z369="",0,Z369),"0")</f>
        <v>9.4899999999999998E-2</v>
      </c>
      <c r="AA370" s="552"/>
      <c r="AB370" s="552"/>
      <c r="AC370" s="552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67" t="s">
        <v>75</v>
      </c>
      <c r="Q371" s="568"/>
      <c r="R371" s="568"/>
      <c r="S371" s="568"/>
      <c r="T371" s="568"/>
      <c r="U371" s="568"/>
      <c r="V371" s="569"/>
      <c r="W371" s="37" t="s">
        <v>69</v>
      </c>
      <c r="X371" s="551">
        <f>IFERROR(SUM(X369:X369),"0")</f>
        <v>45</v>
      </c>
      <c r="Y371" s="551">
        <f>IFERROR(SUM(Y369:Y369),"0")</f>
        <v>45</v>
      </c>
      <c r="Z371" s="37"/>
      <c r="AA371" s="552"/>
      <c r="AB371" s="552"/>
      <c r="AC371" s="552"/>
    </row>
    <row r="372" spans="1:68" ht="16.5" customHeight="1" x14ac:dyDescent="0.25">
      <c r="A372" s="570" t="s">
        <v>589</v>
      </c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2"/>
      <c r="P372" s="562"/>
      <c r="Q372" s="562"/>
      <c r="R372" s="562"/>
      <c r="S372" s="562"/>
      <c r="T372" s="562"/>
      <c r="U372" s="562"/>
      <c r="V372" s="562"/>
      <c r="W372" s="562"/>
      <c r="X372" s="562"/>
      <c r="Y372" s="562"/>
      <c r="Z372" s="562"/>
      <c r="AA372" s="544"/>
      <c r="AB372" s="544"/>
      <c r="AC372" s="544"/>
    </row>
    <row r="373" spans="1:68" ht="14.25" customHeight="1" x14ac:dyDescent="0.25">
      <c r="A373" s="564" t="s">
        <v>99</v>
      </c>
      <c r="B373" s="562"/>
      <c r="C373" s="562"/>
      <c r="D373" s="562"/>
      <c r="E373" s="562"/>
      <c r="F373" s="562"/>
      <c r="G373" s="562"/>
      <c r="H373" s="562"/>
      <c r="I373" s="562"/>
      <c r="J373" s="562"/>
      <c r="K373" s="562"/>
      <c r="L373" s="562"/>
      <c r="M373" s="562"/>
      <c r="N373" s="562"/>
      <c r="O373" s="562"/>
      <c r="P373" s="562"/>
      <c r="Q373" s="562"/>
      <c r="R373" s="562"/>
      <c r="S373" s="562"/>
      <c r="T373" s="562"/>
      <c r="U373" s="562"/>
      <c r="V373" s="562"/>
      <c r="W373" s="562"/>
      <c r="X373" s="562"/>
      <c r="Y373" s="562"/>
      <c r="Z373" s="562"/>
      <c r="AA373" s="545"/>
      <c r="AB373" s="545"/>
      <c r="AC373" s="545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1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67" t="s">
        <v>75</v>
      </c>
      <c r="Q376" s="568"/>
      <c r="R376" s="568"/>
      <c r="S376" s="568"/>
      <c r="T376" s="568"/>
      <c r="U376" s="568"/>
      <c r="V376" s="569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67" t="s">
        <v>75</v>
      </c>
      <c r="Q377" s="568"/>
      <c r="R377" s="568"/>
      <c r="S377" s="568"/>
      <c r="T377" s="568"/>
      <c r="U377" s="568"/>
      <c r="V377" s="569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64" t="s">
        <v>64</v>
      </c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2"/>
      <c r="P378" s="562"/>
      <c r="Q378" s="562"/>
      <c r="R378" s="562"/>
      <c r="S378" s="562"/>
      <c r="T378" s="562"/>
      <c r="U378" s="562"/>
      <c r="V378" s="562"/>
      <c r="W378" s="562"/>
      <c r="X378" s="562"/>
      <c r="Y378" s="562"/>
      <c r="Z378" s="562"/>
      <c r="AA378" s="545"/>
      <c r="AB378" s="545"/>
      <c r="AC378" s="545"/>
    </row>
    <row r="379" spans="1:68" ht="27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4"/>
      <c r="R380" s="554"/>
      <c r="S380" s="554"/>
      <c r="T380" s="555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1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67" t="s">
        <v>75</v>
      </c>
      <c r="Q381" s="568"/>
      <c r="R381" s="568"/>
      <c r="S381" s="568"/>
      <c r="T381" s="568"/>
      <c r="U381" s="568"/>
      <c r="V381" s="569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67" t="s">
        <v>75</v>
      </c>
      <c r="Q382" s="568"/>
      <c r="R382" s="568"/>
      <c r="S382" s="568"/>
      <c r="T382" s="568"/>
      <c r="U382" s="568"/>
      <c r="V382" s="569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64" t="s">
        <v>77</v>
      </c>
      <c r="B383" s="562"/>
      <c r="C383" s="562"/>
      <c r="D383" s="562"/>
      <c r="E383" s="562"/>
      <c r="F383" s="562"/>
      <c r="G383" s="562"/>
      <c r="H383" s="562"/>
      <c r="I383" s="562"/>
      <c r="J383" s="562"/>
      <c r="K383" s="562"/>
      <c r="L383" s="562"/>
      <c r="M383" s="562"/>
      <c r="N383" s="562"/>
      <c r="O383" s="562"/>
      <c r="P383" s="562"/>
      <c r="Q383" s="562"/>
      <c r="R383" s="562"/>
      <c r="S383" s="562"/>
      <c r="T383" s="562"/>
      <c r="U383" s="562"/>
      <c r="V383" s="562"/>
      <c r="W383" s="562"/>
      <c r="X383" s="562"/>
      <c r="Y383" s="562"/>
      <c r="Z383" s="562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9">
        <v>257</v>
      </c>
      <c r="Y384" s="550">
        <f>IFERROR(IF(X384="",0,CEILING((X384/$H384),1)*$H384),"")</f>
        <v>261</v>
      </c>
      <c r="Z384" s="36">
        <f>IFERROR(IF(Y384=0,"",ROUNDUP(Y384/H384,0)*0.01898),"")</f>
        <v>0.55042000000000002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271.10644444444443</v>
      </c>
      <c r="BN384" s="64">
        <f>IFERROR(Y384*I384/H384,"0")</f>
        <v>275.32599999999996</v>
      </c>
      <c r="BO384" s="64">
        <f>IFERROR(1/J384*(X384/H384),"0")</f>
        <v>0.44618055555555558</v>
      </c>
      <c r="BP384" s="64">
        <f>IFERROR(1/J384*(Y384/H384),"0")</f>
        <v>0.453125</v>
      </c>
    </row>
    <row r="385" spans="1:68" ht="27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 t="s">
        <v>213</v>
      </c>
      <c r="M386" s="33" t="s">
        <v>80</v>
      </c>
      <c r="N386" s="33"/>
      <c r="O386" s="32">
        <v>40</v>
      </c>
      <c r="P386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602</v>
      </c>
      <c r="AG386" s="64"/>
      <c r="AJ386" s="68" t="s">
        <v>106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1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67" t="s">
        <v>75</v>
      </c>
      <c r="Q387" s="568"/>
      <c r="R387" s="568"/>
      <c r="S387" s="568"/>
      <c r="T387" s="568"/>
      <c r="U387" s="568"/>
      <c r="V387" s="569"/>
      <c r="W387" s="37" t="s">
        <v>76</v>
      </c>
      <c r="X387" s="551">
        <f>IFERROR(X384/H384,"0")+IFERROR(X385/H385,"0")+IFERROR(X386/H386,"0")</f>
        <v>28.555555555555557</v>
      </c>
      <c r="Y387" s="551">
        <f>IFERROR(Y384/H384,"0")+IFERROR(Y385/H385,"0")+IFERROR(Y386/H386,"0")</f>
        <v>29</v>
      </c>
      <c r="Z387" s="551">
        <f>IFERROR(IF(Z384="",0,Z384),"0")+IFERROR(IF(Z385="",0,Z385),"0")+IFERROR(IF(Z386="",0,Z386),"0")</f>
        <v>0.55042000000000002</v>
      </c>
      <c r="AA387" s="552"/>
      <c r="AB387" s="552"/>
      <c r="AC387" s="552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67" t="s">
        <v>75</v>
      </c>
      <c r="Q388" s="568"/>
      <c r="R388" s="568"/>
      <c r="S388" s="568"/>
      <c r="T388" s="568"/>
      <c r="U388" s="568"/>
      <c r="V388" s="569"/>
      <c r="W388" s="37" t="s">
        <v>69</v>
      </c>
      <c r="X388" s="551">
        <f>IFERROR(SUM(X384:X386),"0")</f>
        <v>257</v>
      </c>
      <c r="Y388" s="551">
        <f>IFERROR(SUM(Y384:Y386),"0")</f>
        <v>261</v>
      </c>
      <c r="Z388" s="37"/>
      <c r="AA388" s="552"/>
      <c r="AB388" s="552"/>
      <c r="AC388" s="552"/>
    </row>
    <row r="389" spans="1:68" ht="27.75" customHeight="1" x14ac:dyDescent="0.2">
      <c r="A389" s="668" t="s">
        <v>607</v>
      </c>
      <c r="B389" s="669"/>
      <c r="C389" s="669"/>
      <c r="D389" s="669"/>
      <c r="E389" s="669"/>
      <c r="F389" s="669"/>
      <c r="G389" s="669"/>
      <c r="H389" s="669"/>
      <c r="I389" s="669"/>
      <c r="J389" s="669"/>
      <c r="K389" s="669"/>
      <c r="L389" s="669"/>
      <c r="M389" s="669"/>
      <c r="N389" s="669"/>
      <c r="O389" s="669"/>
      <c r="P389" s="669"/>
      <c r="Q389" s="669"/>
      <c r="R389" s="669"/>
      <c r="S389" s="669"/>
      <c r="T389" s="669"/>
      <c r="U389" s="669"/>
      <c r="V389" s="669"/>
      <c r="W389" s="669"/>
      <c r="X389" s="669"/>
      <c r="Y389" s="669"/>
      <c r="Z389" s="669"/>
      <c r="AA389" s="48"/>
      <c r="AB389" s="48"/>
      <c r="AC389" s="48"/>
    </row>
    <row r="390" spans="1:68" ht="16.5" customHeight="1" x14ac:dyDescent="0.25">
      <c r="A390" s="570" t="s">
        <v>608</v>
      </c>
      <c r="B390" s="562"/>
      <c r="C390" s="562"/>
      <c r="D390" s="562"/>
      <c r="E390" s="562"/>
      <c r="F390" s="562"/>
      <c r="G390" s="562"/>
      <c r="H390" s="562"/>
      <c r="I390" s="562"/>
      <c r="J390" s="562"/>
      <c r="K390" s="562"/>
      <c r="L390" s="562"/>
      <c r="M390" s="562"/>
      <c r="N390" s="562"/>
      <c r="O390" s="562"/>
      <c r="P390" s="562"/>
      <c r="Q390" s="562"/>
      <c r="R390" s="562"/>
      <c r="S390" s="562"/>
      <c r="T390" s="562"/>
      <c r="U390" s="562"/>
      <c r="V390" s="562"/>
      <c r="W390" s="562"/>
      <c r="X390" s="562"/>
      <c r="Y390" s="562"/>
      <c r="Z390" s="562"/>
      <c r="AA390" s="544"/>
      <c r="AB390" s="544"/>
      <c r="AC390" s="544"/>
    </row>
    <row r="391" spans="1:68" ht="14.25" customHeight="1" x14ac:dyDescent="0.25">
      <c r="A391" s="564" t="s">
        <v>64</v>
      </c>
      <c r="B391" s="562"/>
      <c r="C391" s="562"/>
      <c r="D391" s="562"/>
      <c r="E391" s="562"/>
      <c r="F391" s="562"/>
      <c r="G391" s="562"/>
      <c r="H391" s="562"/>
      <c r="I391" s="562"/>
      <c r="J391" s="562"/>
      <c r="K391" s="562"/>
      <c r="L391" s="562"/>
      <c r="M391" s="562"/>
      <c r="N391" s="562"/>
      <c r="O391" s="562"/>
      <c r="P391" s="562"/>
      <c r="Q391" s="562"/>
      <c r="R391" s="562"/>
      <c r="S391" s="562"/>
      <c r="T391" s="562"/>
      <c r="U391" s="562"/>
      <c r="V391" s="562"/>
      <c r="W391" s="562"/>
      <c r="X391" s="562"/>
      <c r="Y391" s="562"/>
      <c r="Z391" s="562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5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1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67" t="s">
        <v>75</v>
      </c>
      <c r="Q401" s="568"/>
      <c r="R401" s="568"/>
      <c r="S401" s="568"/>
      <c r="T401" s="568"/>
      <c r="U401" s="568"/>
      <c r="V401" s="569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67" t="s">
        <v>75</v>
      </c>
      <c r="Q402" s="568"/>
      <c r="R402" s="568"/>
      <c r="S402" s="568"/>
      <c r="T402" s="568"/>
      <c r="U402" s="568"/>
      <c r="V402" s="569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64" t="s">
        <v>77</v>
      </c>
      <c r="B403" s="562"/>
      <c r="C403" s="562"/>
      <c r="D403" s="562"/>
      <c r="E403" s="562"/>
      <c r="F403" s="562"/>
      <c r="G403" s="562"/>
      <c r="H403" s="562"/>
      <c r="I403" s="562"/>
      <c r="J403" s="562"/>
      <c r="K403" s="562"/>
      <c r="L403" s="562"/>
      <c r="M403" s="562"/>
      <c r="N403" s="562"/>
      <c r="O403" s="562"/>
      <c r="P403" s="562"/>
      <c r="Q403" s="562"/>
      <c r="R403" s="562"/>
      <c r="S403" s="562"/>
      <c r="T403" s="562"/>
      <c r="U403" s="562"/>
      <c r="V403" s="562"/>
      <c r="W403" s="562"/>
      <c r="X403" s="562"/>
      <c r="Y403" s="562"/>
      <c r="Z403" s="562"/>
      <c r="AA403" s="545"/>
      <c r="AB403" s="545"/>
      <c r="AC403" s="545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5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1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67" t="s">
        <v>75</v>
      </c>
      <c r="Q406" s="568"/>
      <c r="R406" s="568"/>
      <c r="S406" s="568"/>
      <c r="T406" s="568"/>
      <c r="U406" s="568"/>
      <c r="V406" s="569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67" t="s">
        <v>75</v>
      </c>
      <c r="Q407" s="568"/>
      <c r="R407" s="568"/>
      <c r="S407" s="568"/>
      <c r="T407" s="568"/>
      <c r="U407" s="568"/>
      <c r="V407" s="569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0" t="s">
        <v>639</v>
      </c>
      <c r="B408" s="562"/>
      <c r="C408" s="562"/>
      <c r="D408" s="562"/>
      <c r="E408" s="562"/>
      <c r="F408" s="562"/>
      <c r="G408" s="562"/>
      <c r="H408" s="562"/>
      <c r="I408" s="562"/>
      <c r="J408" s="562"/>
      <c r="K408" s="562"/>
      <c r="L408" s="562"/>
      <c r="M408" s="562"/>
      <c r="N408" s="562"/>
      <c r="O408" s="562"/>
      <c r="P408" s="562"/>
      <c r="Q408" s="562"/>
      <c r="R408" s="562"/>
      <c r="S408" s="562"/>
      <c r="T408" s="562"/>
      <c r="U408" s="562"/>
      <c r="V408" s="562"/>
      <c r="W408" s="562"/>
      <c r="X408" s="562"/>
      <c r="Y408" s="562"/>
      <c r="Z408" s="562"/>
      <c r="AA408" s="544"/>
      <c r="AB408" s="544"/>
      <c r="AC408" s="544"/>
    </row>
    <row r="409" spans="1:68" ht="14.25" customHeight="1" x14ac:dyDescent="0.25">
      <c r="A409" s="564" t="s">
        <v>135</v>
      </c>
      <c r="B409" s="562"/>
      <c r="C409" s="562"/>
      <c r="D409" s="562"/>
      <c r="E409" s="562"/>
      <c r="F409" s="562"/>
      <c r="G409" s="562"/>
      <c r="H409" s="562"/>
      <c r="I409" s="562"/>
      <c r="J409" s="562"/>
      <c r="K409" s="562"/>
      <c r="L409" s="562"/>
      <c r="M409" s="562"/>
      <c r="N409" s="562"/>
      <c r="O409" s="562"/>
      <c r="P409" s="562"/>
      <c r="Q409" s="562"/>
      <c r="R409" s="562"/>
      <c r="S409" s="562"/>
      <c r="T409" s="562"/>
      <c r="U409" s="562"/>
      <c r="V409" s="562"/>
      <c r="W409" s="562"/>
      <c r="X409" s="562"/>
      <c r="Y409" s="562"/>
      <c r="Z409" s="562"/>
      <c r="AA409" s="545"/>
      <c r="AB409" s="545"/>
      <c r="AC409" s="545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1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67" t="s">
        <v>75</v>
      </c>
      <c r="Q411" s="568"/>
      <c r="R411" s="568"/>
      <c r="S411" s="568"/>
      <c r="T411" s="568"/>
      <c r="U411" s="568"/>
      <c r="V411" s="569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67" t="s">
        <v>75</v>
      </c>
      <c r="Q412" s="568"/>
      <c r="R412" s="568"/>
      <c r="S412" s="568"/>
      <c r="T412" s="568"/>
      <c r="U412" s="568"/>
      <c r="V412" s="569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64" t="s">
        <v>64</v>
      </c>
      <c r="B413" s="562"/>
      <c r="C413" s="562"/>
      <c r="D413" s="562"/>
      <c r="E413" s="562"/>
      <c r="F413" s="562"/>
      <c r="G413" s="562"/>
      <c r="H413" s="562"/>
      <c r="I413" s="562"/>
      <c r="J413" s="562"/>
      <c r="K413" s="562"/>
      <c r="L413" s="562"/>
      <c r="M413" s="562"/>
      <c r="N413" s="562"/>
      <c r="O413" s="562"/>
      <c r="P413" s="562"/>
      <c r="Q413" s="562"/>
      <c r="R413" s="562"/>
      <c r="S413" s="562"/>
      <c r="T413" s="562"/>
      <c r="U413" s="562"/>
      <c r="V413" s="562"/>
      <c r="W413" s="562"/>
      <c r="X413" s="562"/>
      <c r="Y413" s="562"/>
      <c r="Z413" s="562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/>
      <c r="M414" s="33" t="s">
        <v>104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1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67" t="s">
        <v>75</v>
      </c>
      <c r="Q418" s="568"/>
      <c r="R418" s="568"/>
      <c r="S418" s="568"/>
      <c r="T418" s="568"/>
      <c r="U418" s="568"/>
      <c r="V418" s="569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2"/>
      <c r="B419" s="562"/>
      <c r="C419" s="562"/>
      <c r="D419" s="562"/>
      <c r="E419" s="562"/>
      <c r="F419" s="562"/>
      <c r="G419" s="562"/>
      <c r="H419" s="562"/>
      <c r="I419" s="562"/>
      <c r="J419" s="562"/>
      <c r="K419" s="562"/>
      <c r="L419" s="562"/>
      <c r="M419" s="562"/>
      <c r="N419" s="562"/>
      <c r="O419" s="563"/>
      <c r="P419" s="567" t="s">
        <v>75</v>
      </c>
      <c r="Q419" s="568"/>
      <c r="R419" s="568"/>
      <c r="S419" s="568"/>
      <c r="T419" s="568"/>
      <c r="U419" s="568"/>
      <c r="V419" s="569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0" t="s">
        <v>654</v>
      </c>
      <c r="B420" s="562"/>
      <c r="C420" s="562"/>
      <c r="D420" s="562"/>
      <c r="E420" s="562"/>
      <c r="F420" s="562"/>
      <c r="G420" s="562"/>
      <c r="H420" s="562"/>
      <c r="I420" s="562"/>
      <c r="J420" s="562"/>
      <c r="K420" s="562"/>
      <c r="L420" s="562"/>
      <c r="M420" s="562"/>
      <c r="N420" s="562"/>
      <c r="O420" s="562"/>
      <c r="P420" s="562"/>
      <c r="Q420" s="562"/>
      <c r="R420" s="562"/>
      <c r="S420" s="562"/>
      <c r="T420" s="562"/>
      <c r="U420" s="562"/>
      <c r="V420" s="562"/>
      <c r="W420" s="562"/>
      <c r="X420" s="562"/>
      <c r="Y420" s="562"/>
      <c r="Z420" s="562"/>
      <c r="AA420" s="544"/>
      <c r="AB420" s="544"/>
      <c r="AC420" s="544"/>
    </row>
    <row r="421" spans="1:68" ht="14.25" customHeight="1" x14ac:dyDescent="0.25">
      <c r="A421" s="564" t="s">
        <v>64</v>
      </c>
      <c r="B421" s="562"/>
      <c r="C421" s="562"/>
      <c r="D421" s="562"/>
      <c r="E421" s="562"/>
      <c r="F421" s="562"/>
      <c r="G421" s="562"/>
      <c r="H421" s="562"/>
      <c r="I421" s="562"/>
      <c r="J421" s="562"/>
      <c r="K421" s="562"/>
      <c r="L421" s="562"/>
      <c r="M421" s="562"/>
      <c r="N421" s="562"/>
      <c r="O421" s="562"/>
      <c r="P421" s="562"/>
      <c r="Q421" s="562"/>
      <c r="R421" s="562"/>
      <c r="S421" s="562"/>
      <c r="T421" s="562"/>
      <c r="U421" s="562"/>
      <c r="V421" s="562"/>
      <c r="W421" s="562"/>
      <c r="X421" s="562"/>
      <c r="Y421" s="562"/>
      <c r="Z421" s="562"/>
      <c r="AA421" s="545"/>
      <c r="AB421" s="545"/>
      <c r="AC421" s="545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1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67" t="s">
        <v>75</v>
      </c>
      <c r="Q423" s="568"/>
      <c r="R423" s="568"/>
      <c r="S423" s="568"/>
      <c r="T423" s="568"/>
      <c r="U423" s="568"/>
      <c r="V423" s="569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2"/>
      <c r="B424" s="562"/>
      <c r="C424" s="562"/>
      <c r="D424" s="562"/>
      <c r="E424" s="562"/>
      <c r="F424" s="562"/>
      <c r="G424" s="562"/>
      <c r="H424" s="562"/>
      <c r="I424" s="562"/>
      <c r="J424" s="562"/>
      <c r="K424" s="562"/>
      <c r="L424" s="562"/>
      <c r="M424" s="562"/>
      <c r="N424" s="562"/>
      <c r="O424" s="563"/>
      <c r="P424" s="567" t="s">
        <v>75</v>
      </c>
      <c r="Q424" s="568"/>
      <c r="R424" s="568"/>
      <c r="S424" s="568"/>
      <c r="T424" s="568"/>
      <c r="U424" s="568"/>
      <c r="V424" s="569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668" t="s">
        <v>658</v>
      </c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69"/>
      <c r="P425" s="669"/>
      <c r="Q425" s="669"/>
      <c r="R425" s="669"/>
      <c r="S425" s="669"/>
      <c r="T425" s="669"/>
      <c r="U425" s="669"/>
      <c r="V425" s="669"/>
      <c r="W425" s="669"/>
      <c r="X425" s="669"/>
      <c r="Y425" s="669"/>
      <c r="Z425" s="669"/>
      <c r="AA425" s="48"/>
      <c r="AB425" s="48"/>
      <c r="AC425" s="48"/>
    </row>
    <row r="426" spans="1:68" ht="16.5" customHeight="1" x14ac:dyDescent="0.25">
      <c r="A426" s="570" t="s">
        <v>658</v>
      </c>
      <c r="B426" s="562"/>
      <c r="C426" s="562"/>
      <c r="D426" s="562"/>
      <c r="E426" s="562"/>
      <c r="F426" s="562"/>
      <c r="G426" s="562"/>
      <c r="H426" s="562"/>
      <c r="I426" s="562"/>
      <c r="J426" s="562"/>
      <c r="K426" s="562"/>
      <c r="L426" s="562"/>
      <c r="M426" s="562"/>
      <c r="N426" s="562"/>
      <c r="O426" s="562"/>
      <c r="P426" s="562"/>
      <c r="Q426" s="562"/>
      <c r="R426" s="562"/>
      <c r="S426" s="562"/>
      <c r="T426" s="562"/>
      <c r="U426" s="562"/>
      <c r="V426" s="562"/>
      <c r="W426" s="562"/>
      <c r="X426" s="562"/>
      <c r="Y426" s="562"/>
      <c r="Z426" s="562"/>
      <c r="AA426" s="544"/>
      <c r="AB426" s="544"/>
      <c r="AC426" s="544"/>
    </row>
    <row r="427" spans="1:68" ht="14.25" customHeight="1" x14ac:dyDescent="0.25">
      <c r="A427" s="564" t="s">
        <v>99</v>
      </c>
      <c r="B427" s="562"/>
      <c r="C427" s="562"/>
      <c r="D427" s="562"/>
      <c r="E427" s="562"/>
      <c r="F427" s="562"/>
      <c r="G427" s="562"/>
      <c r="H427" s="562"/>
      <c r="I427" s="562"/>
      <c r="J427" s="562"/>
      <c r="K427" s="562"/>
      <c r="L427" s="562"/>
      <c r="M427" s="562"/>
      <c r="N427" s="562"/>
      <c r="O427" s="562"/>
      <c r="P427" s="562"/>
      <c r="Q427" s="562"/>
      <c r="R427" s="562"/>
      <c r="S427" s="562"/>
      <c r="T427" s="562"/>
      <c r="U427" s="562"/>
      <c r="V427" s="562"/>
      <c r="W427" s="562"/>
      <c r="X427" s="562"/>
      <c r="Y427" s="562"/>
      <c r="Z427" s="562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6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9">
        <v>52</v>
      </c>
      <c r="Y428" s="550">
        <f t="shared" ref="Y428:Y439" si="47">IFERROR(IF(X428="",0,CEILING((X428/$H428),1)*$H428),"")</f>
        <v>52.800000000000004</v>
      </c>
      <c r="Z428" s="36">
        <f t="shared" ref="Z428:Z434" si="48">IFERROR(IF(Y428=0,"",ROUNDUP(Y428/H428,0)*0.01196),"")</f>
        <v>0.1196</v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55.446969696969695</v>
      </c>
      <c r="BN428" s="64">
        <f t="shared" ref="BN428:BN439" si="50">IFERROR(Y428*I428/H428,"0")</f>
        <v>56.3</v>
      </c>
      <c r="BO428" s="64">
        <f t="shared" ref="BO428:BO439" si="51">IFERROR(1/J428*(X428/H428),"0")</f>
        <v>9.4696969696969696E-2</v>
      </c>
      <c r="BP428" s="64">
        <f t="shared" ref="BP428:BP439" si="52">IFERROR(1/J428*(Y428/H428),"0")</f>
        <v>9.6153846153846159E-2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81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9">
        <v>29</v>
      </c>
      <c r="Y431" s="550">
        <f t="shared" si="47"/>
        <v>31.68</v>
      </c>
      <c r="Z431" s="36">
        <f t="shared" si="48"/>
        <v>7.1760000000000004E-2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30.922348484848484</v>
      </c>
      <c r="BN431" s="64">
        <f t="shared" si="50"/>
        <v>33.779999999999994</v>
      </c>
      <c r="BO431" s="64">
        <f t="shared" si="51"/>
        <v>5.281177156177156E-2</v>
      </c>
      <c r="BP431" s="64">
        <f t="shared" si="52"/>
        <v>5.7692307692307696E-2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8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9">
        <v>0</v>
      </c>
      <c r="Y434" s="550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86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9">
        <v>14</v>
      </c>
      <c r="Y436" s="550">
        <f t="shared" si="47"/>
        <v>14.399999999999999</v>
      </c>
      <c r="Z436" s="36">
        <f>IFERROR(IF(Y436=0,"",ROUNDUP(Y436/H436,0)*0.00902),"")</f>
        <v>2.7060000000000001E-2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20.154166666666669</v>
      </c>
      <c r="BN436" s="64">
        <f t="shared" si="50"/>
        <v>20.73</v>
      </c>
      <c r="BO436" s="64">
        <f t="shared" si="51"/>
        <v>2.2095959595959599E-2</v>
      </c>
      <c r="BP436" s="64">
        <f t="shared" si="52"/>
        <v>2.2727272727272728E-2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55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2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84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9">
        <v>0</v>
      </c>
      <c r="Y439" s="550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1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67" t="s">
        <v>75</v>
      </c>
      <c r="Q440" s="568"/>
      <c r="R440" s="568"/>
      <c r="S440" s="568"/>
      <c r="T440" s="568"/>
      <c r="U440" s="568"/>
      <c r="V440" s="569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18.257575757575758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19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0.21842</v>
      </c>
      <c r="AA440" s="552"/>
      <c r="AB440" s="552"/>
      <c r="AC440" s="552"/>
    </row>
    <row r="441" spans="1:68" x14ac:dyDescent="0.2">
      <c r="A441" s="562"/>
      <c r="B441" s="562"/>
      <c r="C441" s="562"/>
      <c r="D441" s="562"/>
      <c r="E441" s="562"/>
      <c r="F441" s="562"/>
      <c r="G441" s="562"/>
      <c r="H441" s="562"/>
      <c r="I441" s="562"/>
      <c r="J441" s="562"/>
      <c r="K441" s="562"/>
      <c r="L441" s="562"/>
      <c r="M441" s="562"/>
      <c r="N441" s="562"/>
      <c r="O441" s="563"/>
      <c r="P441" s="567" t="s">
        <v>75</v>
      </c>
      <c r="Q441" s="568"/>
      <c r="R441" s="568"/>
      <c r="S441" s="568"/>
      <c r="T441" s="568"/>
      <c r="U441" s="568"/>
      <c r="V441" s="569"/>
      <c r="W441" s="37" t="s">
        <v>69</v>
      </c>
      <c r="X441" s="551">
        <f>IFERROR(SUM(X428:X439),"0")</f>
        <v>95</v>
      </c>
      <c r="Y441" s="551">
        <f>IFERROR(SUM(Y428:Y439),"0")</f>
        <v>98.88</v>
      </c>
      <c r="Z441" s="37"/>
      <c r="AA441" s="552"/>
      <c r="AB441" s="552"/>
      <c r="AC441" s="552"/>
    </row>
    <row r="442" spans="1:68" ht="14.25" customHeight="1" x14ac:dyDescent="0.25">
      <c r="A442" s="564" t="s">
        <v>135</v>
      </c>
      <c r="B442" s="562"/>
      <c r="C442" s="562"/>
      <c r="D442" s="562"/>
      <c r="E442" s="562"/>
      <c r="F442" s="562"/>
      <c r="G442" s="562"/>
      <c r="H442" s="562"/>
      <c r="I442" s="562"/>
      <c r="J442" s="562"/>
      <c r="K442" s="562"/>
      <c r="L442" s="562"/>
      <c r="M442" s="562"/>
      <c r="N442" s="562"/>
      <c r="O442" s="562"/>
      <c r="P442" s="562"/>
      <c r="Q442" s="562"/>
      <c r="R442" s="562"/>
      <c r="S442" s="562"/>
      <c r="T442" s="562"/>
      <c r="U442" s="562"/>
      <c r="V442" s="562"/>
      <c r="W442" s="562"/>
      <c r="X442" s="562"/>
      <c r="Y442" s="562"/>
      <c r="Z442" s="562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9">
        <v>389</v>
      </c>
      <c r="Y443" s="550">
        <f>IFERROR(IF(X443="",0,CEILING((X443/$H443),1)*$H443),"")</f>
        <v>390.72</v>
      </c>
      <c r="Z443" s="36">
        <f>IFERROR(IF(Y443=0,"",ROUNDUP(Y443/H443,0)*0.01196),"")</f>
        <v>0.88504000000000005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414.78598484848487</v>
      </c>
      <c r="BN443" s="64">
        <f>IFERROR(Y443*I443/H443,"0")</f>
        <v>416.62</v>
      </c>
      <c r="BO443" s="64">
        <f>IFERROR(1/J443*(X443/H443),"0")</f>
        <v>0.70840617715617715</v>
      </c>
      <c r="BP443" s="64">
        <f>IFERROR(1/J443*(Y443/H443),"0")</f>
        <v>0.71153846153846156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112</v>
      </c>
      <c r="M445" s="33" t="s">
        <v>104</v>
      </c>
      <c r="N445" s="33"/>
      <c r="O445" s="32">
        <v>70</v>
      </c>
      <c r="P445" s="6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9">
        <v>36</v>
      </c>
      <c r="Y445" s="550">
        <f>IFERROR(IF(X445="",0,CEILING((X445/$H445),1)*$H445),"")</f>
        <v>38.4</v>
      </c>
      <c r="Z445" s="36">
        <f>IFERROR(IF(Y445=0,"",ROUNDUP(Y445/H445,0)*0.00902),"")</f>
        <v>7.2160000000000002E-2</v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51.825000000000003</v>
      </c>
      <c r="BN445" s="64">
        <f>IFERROR(Y445*I445/H445,"0")</f>
        <v>55.28</v>
      </c>
      <c r="BO445" s="64">
        <f>IFERROR(1/J445*(X445/H445),"0")</f>
        <v>5.6818181818181823E-2</v>
      </c>
      <c r="BP445" s="64">
        <f>IFERROR(1/J445*(Y445/H445),"0")</f>
        <v>6.0606060606060608E-2</v>
      </c>
    </row>
    <row r="446" spans="1:68" x14ac:dyDescent="0.2">
      <c r="A446" s="561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67" t="s">
        <v>75</v>
      </c>
      <c r="Q446" s="568"/>
      <c r="R446" s="568"/>
      <c r="S446" s="568"/>
      <c r="T446" s="568"/>
      <c r="U446" s="568"/>
      <c r="V446" s="569"/>
      <c r="W446" s="37" t="s">
        <v>76</v>
      </c>
      <c r="X446" s="551">
        <f>IFERROR(X443/H443,"0")+IFERROR(X444/H444,"0")+IFERROR(X445/H445,"0")</f>
        <v>81.174242424242422</v>
      </c>
      <c r="Y446" s="551">
        <f>IFERROR(Y443/H443,"0")+IFERROR(Y444/H444,"0")+IFERROR(Y445/H445,"0")</f>
        <v>82</v>
      </c>
      <c r="Z446" s="551">
        <f>IFERROR(IF(Z443="",0,Z443),"0")+IFERROR(IF(Z444="",0,Z444),"0")+IFERROR(IF(Z445="",0,Z445),"0")</f>
        <v>0.95720000000000005</v>
      </c>
      <c r="AA446" s="552"/>
      <c r="AB446" s="552"/>
      <c r="AC446" s="552"/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67" t="s">
        <v>75</v>
      </c>
      <c r="Q447" s="568"/>
      <c r="R447" s="568"/>
      <c r="S447" s="568"/>
      <c r="T447" s="568"/>
      <c r="U447" s="568"/>
      <c r="V447" s="569"/>
      <c r="W447" s="37" t="s">
        <v>69</v>
      </c>
      <c r="X447" s="551">
        <f>IFERROR(SUM(X443:X445),"0")</f>
        <v>425</v>
      </c>
      <c r="Y447" s="551">
        <f>IFERROR(SUM(Y443:Y445),"0")</f>
        <v>429.12</v>
      </c>
      <c r="Z447" s="37"/>
      <c r="AA447" s="552"/>
      <c r="AB447" s="552"/>
      <c r="AC447" s="552"/>
    </row>
    <row r="448" spans="1:68" ht="14.25" customHeight="1" x14ac:dyDescent="0.25">
      <c r="A448" s="564" t="s">
        <v>64</v>
      </c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2"/>
      <c r="P448" s="562"/>
      <c r="Q448" s="562"/>
      <c r="R448" s="562"/>
      <c r="S448" s="562"/>
      <c r="T448" s="562"/>
      <c r="U448" s="562"/>
      <c r="V448" s="562"/>
      <c r="W448" s="562"/>
      <c r="X448" s="562"/>
      <c r="Y448" s="562"/>
      <c r="Z448" s="562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87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9">
        <v>35</v>
      </c>
      <c r="Y449" s="550">
        <f t="shared" ref="Y449:Y454" si="53">IFERROR(IF(X449="",0,CEILING((X449/$H449),1)*$H449),"")</f>
        <v>36.96</v>
      </c>
      <c r="Z449" s="36">
        <f>IFERROR(IF(Y449=0,"",ROUNDUP(Y449/H449,0)*0.01196),"")</f>
        <v>8.3720000000000003E-2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37.320075757575751</v>
      </c>
      <c r="BN449" s="64">
        <f t="shared" ref="BN449:BN454" si="55">IFERROR(Y449*I449/H449,"0")</f>
        <v>39.409999999999997</v>
      </c>
      <c r="BO449" s="64">
        <f t="shared" ref="BO449:BO454" si="56">IFERROR(1/J449*(X449/H449),"0")</f>
        <v>6.3738344988344992E-2</v>
      </c>
      <c r="BP449" s="64">
        <f t="shared" ref="BP449:BP454" si="57">IFERROR(1/J449*(Y449/H449),"0")</f>
        <v>6.7307692307692318E-2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9">
        <v>68</v>
      </c>
      <c r="Y450" s="550">
        <f t="shared" si="53"/>
        <v>68.64</v>
      </c>
      <c r="Z450" s="36">
        <f>IFERROR(IF(Y450=0,"",ROUNDUP(Y450/H450,0)*0.01196),"")</f>
        <v>0.15548000000000001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72.507575757575751</v>
      </c>
      <c r="BN450" s="64">
        <f t="shared" si="55"/>
        <v>73.19</v>
      </c>
      <c r="BO450" s="64">
        <f t="shared" si="56"/>
        <v>0.12383449883449885</v>
      </c>
      <c r="BP450" s="64">
        <f t="shared" si="57"/>
        <v>0.125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9">
        <v>364</v>
      </c>
      <c r="Y451" s="550">
        <f t="shared" si="53"/>
        <v>364.32</v>
      </c>
      <c r="Z451" s="36">
        <f>IFERROR(IF(Y451=0,"",ROUNDUP(Y451/H451,0)*0.01196),"")</f>
        <v>0.82523999999999997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388.12878787878788</v>
      </c>
      <c r="BN451" s="64">
        <f t="shared" si="55"/>
        <v>388.46999999999997</v>
      </c>
      <c r="BO451" s="64">
        <f t="shared" si="56"/>
        <v>0.66287878787878785</v>
      </c>
      <c r="BP451" s="64">
        <f t="shared" si="57"/>
        <v>0.66346153846153855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5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1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67" t="s">
        <v>75</v>
      </c>
      <c r="Q455" s="568"/>
      <c r="R455" s="568"/>
      <c r="S455" s="568"/>
      <c r="T455" s="568"/>
      <c r="U455" s="568"/>
      <c r="V455" s="569"/>
      <c r="W455" s="37" t="s">
        <v>76</v>
      </c>
      <c r="X455" s="551">
        <f>IFERROR(X449/H449,"0")+IFERROR(X450/H450,"0")+IFERROR(X451/H451,"0")+IFERROR(X452/H452,"0")+IFERROR(X453/H453,"0")+IFERROR(X454/H454,"0")</f>
        <v>88.446969696969688</v>
      </c>
      <c r="Y455" s="551">
        <f>IFERROR(Y449/H449,"0")+IFERROR(Y450/H450,"0")+IFERROR(Y451/H451,"0")+IFERROR(Y452/H452,"0")+IFERROR(Y453/H453,"0")+IFERROR(Y454/H454,"0")</f>
        <v>89</v>
      </c>
      <c r="Z455" s="551">
        <f>IFERROR(IF(Z449="",0,Z449),"0")+IFERROR(IF(Z450="",0,Z450),"0")+IFERROR(IF(Z451="",0,Z451),"0")+IFERROR(IF(Z452="",0,Z452),"0")+IFERROR(IF(Z453="",0,Z453),"0")+IFERROR(IF(Z454="",0,Z454),"0")</f>
        <v>1.0644400000000001</v>
      </c>
      <c r="AA455" s="552"/>
      <c r="AB455" s="552"/>
      <c r="AC455" s="552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67" t="s">
        <v>75</v>
      </c>
      <c r="Q456" s="568"/>
      <c r="R456" s="568"/>
      <c r="S456" s="568"/>
      <c r="T456" s="568"/>
      <c r="U456" s="568"/>
      <c r="V456" s="569"/>
      <c r="W456" s="37" t="s">
        <v>69</v>
      </c>
      <c r="X456" s="551">
        <f>IFERROR(SUM(X449:X454),"0")</f>
        <v>467</v>
      </c>
      <c r="Y456" s="551">
        <f>IFERROR(SUM(Y449:Y454),"0")</f>
        <v>469.91999999999996</v>
      </c>
      <c r="Z456" s="37"/>
      <c r="AA456" s="552"/>
      <c r="AB456" s="552"/>
      <c r="AC456" s="552"/>
    </row>
    <row r="457" spans="1:68" ht="14.25" customHeight="1" x14ac:dyDescent="0.25">
      <c r="A457" s="564" t="s">
        <v>77</v>
      </c>
      <c r="B457" s="562"/>
      <c r="C457" s="562"/>
      <c r="D457" s="562"/>
      <c r="E457" s="562"/>
      <c r="F457" s="562"/>
      <c r="G457" s="562"/>
      <c r="H457" s="562"/>
      <c r="I457" s="562"/>
      <c r="J457" s="562"/>
      <c r="K457" s="562"/>
      <c r="L457" s="562"/>
      <c r="M457" s="562"/>
      <c r="N457" s="562"/>
      <c r="O457" s="562"/>
      <c r="P457" s="562"/>
      <c r="Q457" s="562"/>
      <c r="R457" s="562"/>
      <c r="S457" s="562"/>
      <c r="T457" s="562"/>
      <c r="U457" s="562"/>
      <c r="V457" s="562"/>
      <c r="W457" s="562"/>
      <c r="X457" s="562"/>
      <c r="Y457" s="562"/>
      <c r="Z457" s="562"/>
      <c r="AA457" s="545"/>
      <c r="AB457" s="545"/>
      <c r="AC457" s="545"/>
    </row>
    <row r="458" spans="1:68" ht="27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2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4"/>
      <c r="R458" s="554"/>
      <c r="S458" s="554"/>
      <c r="T458" s="555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61"/>
      <c r="B459" s="562"/>
      <c r="C459" s="562"/>
      <c r="D459" s="562"/>
      <c r="E459" s="562"/>
      <c r="F459" s="562"/>
      <c r="G459" s="562"/>
      <c r="H459" s="562"/>
      <c r="I459" s="562"/>
      <c r="J459" s="562"/>
      <c r="K459" s="562"/>
      <c r="L459" s="562"/>
      <c r="M459" s="562"/>
      <c r="N459" s="562"/>
      <c r="O459" s="563"/>
      <c r="P459" s="567" t="s">
        <v>75</v>
      </c>
      <c r="Q459" s="568"/>
      <c r="R459" s="568"/>
      <c r="S459" s="568"/>
      <c r="T459" s="568"/>
      <c r="U459" s="568"/>
      <c r="V459" s="569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2"/>
      <c r="B460" s="562"/>
      <c r="C460" s="562"/>
      <c r="D460" s="562"/>
      <c r="E460" s="562"/>
      <c r="F460" s="562"/>
      <c r="G460" s="562"/>
      <c r="H460" s="562"/>
      <c r="I460" s="562"/>
      <c r="J460" s="562"/>
      <c r="K460" s="562"/>
      <c r="L460" s="562"/>
      <c r="M460" s="562"/>
      <c r="N460" s="562"/>
      <c r="O460" s="563"/>
      <c r="P460" s="567" t="s">
        <v>75</v>
      </c>
      <c r="Q460" s="568"/>
      <c r="R460" s="568"/>
      <c r="S460" s="568"/>
      <c r="T460" s="568"/>
      <c r="U460" s="568"/>
      <c r="V460" s="569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668" t="s">
        <v>713</v>
      </c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69"/>
      <c r="P461" s="669"/>
      <c r="Q461" s="669"/>
      <c r="R461" s="669"/>
      <c r="S461" s="669"/>
      <c r="T461" s="669"/>
      <c r="U461" s="669"/>
      <c r="V461" s="669"/>
      <c r="W461" s="669"/>
      <c r="X461" s="669"/>
      <c r="Y461" s="669"/>
      <c r="Z461" s="669"/>
      <c r="AA461" s="48"/>
      <c r="AB461" s="48"/>
      <c r="AC461" s="48"/>
    </row>
    <row r="462" spans="1:68" ht="16.5" customHeight="1" x14ac:dyDescent="0.25">
      <c r="A462" s="570" t="s">
        <v>713</v>
      </c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2"/>
      <c r="P462" s="562"/>
      <c r="Q462" s="562"/>
      <c r="R462" s="562"/>
      <c r="S462" s="562"/>
      <c r="T462" s="562"/>
      <c r="U462" s="562"/>
      <c r="V462" s="562"/>
      <c r="W462" s="562"/>
      <c r="X462" s="562"/>
      <c r="Y462" s="562"/>
      <c r="Z462" s="562"/>
      <c r="AA462" s="544"/>
      <c r="AB462" s="544"/>
      <c r="AC462" s="544"/>
    </row>
    <row r="463" spans="1:68" ht="14.25" customHeight="1" x14ac:dyDescent="0.25">
      <c r="A463" s="564" t="s">
        <v>99</v>
      </c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2"/>
      <c r="P463" s="562"/>
      <c r="Q463" s="562"/>
      <c r="R463" s="562"/>
      <c r="S463" s="562"/>
      <c r="T463" s="562"/>
      <c r="U463" s="562"/>
      <c r="V463" s="562"/>
      <c r="W463" s="562"/>
      <c r="X463" s="562"/>
      <c r="Y463" s="562"/>
      <c r="Z463" s="562"/>
      <c r="AA463" s="545"/>
      <c r="AB463" s="545"/>
      <c r="AC463" s="545"/>
    </row>
    <row r="464" spans="1:68" ht="27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64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4"/>
      <c r="R464" s="554"/>
      <c r="S464" s="554"/>
      <c r="T464" s="555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4"/>
      <c r="R465" s="554"/>
      <c r="S465" s="554"/>
      <c r="T465" s="555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4"/>
      <c r="R466" s="554"/>
      <c r="S466" s="554"/>
      <c r="T466" s="555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68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1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64" t="s">
        <v>135</v>
      </c>
      <c r="B470" s="562"/>
      <c r="C470" s="562"/>
      <c r="D470" s="562"/>
      <c r="E470" s="562"/>
      <c r="F470" s="562"/>
      <c r="G470" s="562"/>
      <c r="H470" s="562"/>
      <c r="I470" s="562"/>
      <c r="J470" s="562"/>
      <c r="K470" s="562"/>
      <c r="L470" s="562"/>
      <c r="M470" s="562"/>
      <c r="N470" s="562"/>
      <c r="O470" s="562"/>
      <c r="P470" s="562"/>
      <c r="Q470" s="562"/>
      <c r="R470" s="562"/>
      <c r="S470" s="562"/>
      <c r="T470" s="562"/>
      <c r="U470" s="562"/>
      <c r="V470" s="562"/>
      <c r="W470" s="562"/>
      <c r="X470" s="562"/>
      <c r="Y470" s="562"/>
      <c r="Z470" s="562"/>
      <c r="AA470" s="545"/>
      <c r="AB470" s="545"/>
      <c r="AC470" s="545"/>
    </row>
    <row r="471" spans="1:68" ht="27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4"/>
      <c r="R471" s="554"/>
      <c r="S471" s="554"/>
      <c r="T471" s="555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76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4"/>
      <c r="R472" s="554"/>
      <c r="S472" s="554"/>
      <c r="T472" s="555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1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67" t="s">
        <v>75</v>
      </c>
      <c r="Q473" s="568"/>
      <c r="R473" s="568"/>
      <c r="S473" s="568"/>
      <c r="T473" s="568"/>
      <c r="U473" s="568"/>
      <c r="V473" s="569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67" t="s">
        <v>75</v>
      </c>
      <c r="Q474" s="568"/>
      <c r="R474" s="568"/>
      <c r="S474" s="568"/>
      <c r="T474" s="568"/>
      <c r="U474" s="568"/>
      <c r="V474" s="569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64" t="s">
        <v>64</v>
      </c>
      <c r="B475" s="562"/>
      <c r="C475" s="562"/>
      <c r="D475" s="562"/>
      <c r="E475" s="562"/>
      <c r="F475" s="562"/>
      <c r="G475" s="562"/>
      <c r="H475" s="562"/>
      <c r="I475" s="562"/>
      <c r="J475" s="562"/>
      <c r="K475" s="562"/>
      <c r="L475" s="562"/>
      <c r="M475" s="562"/>
      <c r="N475" s="562"/>
      <c r="O475" s="562"/>
      <c r="P475" s="562"/>
      <c r="Q475" s="562"/>
      <c r="R475" s="562"/>
      <c r="S475" s="562"/>
      <c r="T475" s="562"/>
      <c r="U475" s="562"/>
      <c r="V475" s="562"/>
      <c r="W475" s="562"/>
      <c r="X475" s="562"/>
      <c r="Y475" s="562"/>
      <c r="Z475" s="562"/>
      <c r="AA475" s="545"/>
      <c r="AB475" s="545"/>
      <c r="AC475" s="545"/>
    </row>
    <row r="476" spans="1:68" ht="27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62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1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67" t="s">
        <v>75</v>
      </c>
      <c r="Q477" s="568"/>
      <c r="R477" s="568"/>
      <c r="S477" s="568"/>
      <c r="T477" s="568"/>
      <c r="U477" s="568"/>
      <c r="V477" s="569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67" t="s">
        <v>75</v>
      </c>
      <c r="Q478" s="568"/>
      <c r="R478" s="568"/>
      <c r="S478" s="568"/>
      <c r="T478" s="568"/>
      <c r="U478" s="568"/>
      <c r="V478" s="569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64" t="s">
        <v>77</v>
      </c>
      <c r="B479" s="562"/>
      <c r="C479" s="562"/>
      <c r="D479" s="562"/>
      <c r="E479" s="562"/>
      <c r="F479" s="562"/>
      <c r="G479" s="562"/>
      <c r="H479" s="562"/>
      <c r="I479" s="562"/>
      <c r="J479" s="562"/>
      <c r="K479" s="562"/>
      <c r="L479" s="562"/>
      <c r="M479" s="562"/>
      <c r="N479" s="562"/>
      <c r="O479" s="562"/>
      <c r="P479" s="562"/>
      <c r="Q479" s="562"/>
      <c r="R479" s="562"/>
      <c r="S479" s="562"/>
      <c r="T479" s="562"/>
      <c r="U479" s="562"/>
      <c r="V479" s="562"/>
      <c r="W479" s="562"/>
      <c r="X479" s="562"/>
      <c r="Y479" s="562"/>
      <c r="Z479" s="562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/>
      <c r="M480" s="33" t="s">
        <v>86</v>
      </c>
      <c r="N480" s="33"/>
      <c r="O480" s="32">
        <v>45</v>
      </c>
      <c r="P480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1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64" t="s">
        <v>160</v>
      </c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2"/>
      <c r="P483" s="562"/>
      <c r="Q483" s="562"/>
      <c r="R483" s="562"/>
      <c r="S483" s="562"/>
      <c r="T483" s="562"/>
      <c r="U483" s="562"/>
      <c r="V483" s="562"/>
      <c r="W483" s="562"/>
      <c r="X483" s="562"/>
      <c r="Y483" s="562"/>
      <c r="Z483" s="562"/>
      <c r="AA483" s="545"/>
      <c r="AB483" s="545"/>
      <c r="AC483" s="545"/>
    </row>
    <row r="484" spans="1:68" ht="27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85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4"/>
      <c r="R484" s="554"/>
      <c r="S484" s="554"/>
      <c r="T484" s="555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7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4"/>
      <c r="R485" s="554"/>
      <c r="S485" s="554"/>
      <c r="T485" s="555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1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0" t="s">
        <v>743</v>
      </c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2"/>
      <c r="P488" s="562"/>
      <c r="Q488" s="562"/>
      <c r="R488" s="562"/>
      <c r="S488" s="562"/>
      <c r="T488" s="562"/>
      <c r="U488" s="562"/>
      <c r="V488" s="562"/>
      <c r="W488" s="562"/>
      <c r="X488" s="562"/>
      <c r="Y488" s="562"/>
      <c r="Z488" s="562"/>
      <c r="AA488" s="544"/>
      <c r="AB488" s="544"/>
      <c r="AC488" s="544"/>
    </row>
    <row r="489" spans="1:68" ht="14.25" customHeight="1" x14ac:dyDescent="0.25">
      <c r="A489" s="564" t="s">
        <v>135</v>
      </c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2"/>
      <c r="P489" s="562"/>
      <c r="Q489" s="562"/>
      <c r="R489" s="562"/>
      <c r="S489" s="562"/>
      <c r="T489" s="562"/>
      <c r="U489" s="562"/>
      <c r="V489" s="562"/>
      <c r="W489" s="562"/>
      <c r="X489" s="562"/>
      <c r="Y489" s="562"/>
      <c r="Z489" s="562"/>
      <c r="AA489" s="545"/>
      <c r="AB489" s="545"/>
      <c r="AC489" s="545"/>
    </row>
    <row r="490" spans="1:68" ht="27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8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4"/>
      <c r="R490" s="554"/>
      <c r="S490" s="554"/>
      <c r="T490" s="555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61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3"/>
      <c r="P491" s="567" t="s">
        <v>75</v>
      </c>
      <c r="Q491" s="568"/>
      <c r="R491" s="568"/>
      <c r="S491" s="568"/>
      <c r="T491" s="568"/>
      <c r="U491" s="568"/>
      <c r="V491" s="569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3"/>
      <c r="P492" s="567" t="s">
        <v>75</v>
      </c>
      <c r="Q492" s="568"/>
      <c r="R492" s="568"/>
      <c r="S492" s="568"/>
      <c r="T492" s="568"/>
      <c r="U492" s="568"/>
      <c r="V492" s="569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4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719"/>
      <c r="P493" s="713" t="s">
        <v>747</v>
      </c>
      <c r="Q493" s="675"/>
      <c r="R493" s="675"/>
      <c r="S493" s="675"/>
      <c r="T493" s="675"/>
      <c r="U493" s="675"/>
      <c r="V493" s="676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10930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11037.220000000001</v>
      </c>
      <c r="Z493" s="37"/>
      <c r="AA493" s="552"/>
      <c r="AB493" s="552"/>
      <c r="AC493" s="552"/>
    </row>
    <row r="494" spans="1:68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719"/>
      <c r="P494" s="713" t="s">
        <v>748</v>
      </c>
      <c r="Q494" s="675"/>
      <c r="R494" s="675"/>
      <c r="S494" s="675"/>
      <c r="T494" s="675"/>
      <c r="U494" s="675"/>
      <c r="V494" s="676"/>
      <c r="W494" s="37" t="s">
        <v>69</v>
      </c>
      <c r="X494" s="551">
        <f>IFERROR(SUM(BM22:BM490),"0")</f>
        <v>11566.868684399878</v>
      </c>
      <c r="Y494" s="551">
        <f>IFERROR(SUM(BN22:BN490),"0")</f>
        <v>11681.202999999998</v>
      </c>
      <c r="Z494" s="37"/>
      <c r="AA494" s="552"/>
      <c r="AB494" s="552"/>
      <c r="AC494" s="552"/>
    </row>
    <row r="495" spans="1:68" x14ac:dyDescent="0.2">
      <c r="A495" s="562"/>
      <c r="B495" s="562"/>
      <c r="C495" s="562"/>
      <c r="D495" s="562"/>
      <c r="E495" s="562"/>
      <c r="F495" s="562"/>
      <c r="G495" s="562"/>
      <c r="H495" s="562"/>
      <c r="I495" s="562"/>
      <c r="J495" s="562"/>
      <c r="K495" s="562"/>
      <c r="L495" s="562"/>
      <c r="M495" s="562"/>
      <c r="N495" s="562"/>
      <c r="O495" s="719"/>
      <c r="P495" s="713" t="s">
        <v>749</v>
      </c>
      <c r="Q495" s="675"/>
      <c r="R495" s="675"/>
      <c r="S495" s="675"/>
      <c r="T495" s="675"/>
      <c r="U495" s="675"/>
      <c r="V495" s="676"/>
      <c r="W495" s="37" t="s">
        <v>750</v>
      </c>
      <c r="X495" s="38">
        <f>ROUNDUP(SUM(BO22:BO490),0)</f>
        <v>20</v>
      </c>
      <c r="Y495" s="38">
        <f>ROUNDUP(SUM(BP22:BP490),0)</f>
        <v>20</v>
      </c>
      <c r="Z495" s="37"/>
      <c r="AA495" s="552"/>
      <c r="AB495" s="552"/>
      <c r="AC495" s="552"/>
    </row>
    <row r="496" spans="1:68" x14ac:dyDescent="0.2">
      <c r="A496" s="562"/>
      <c r="B496" s="562"/>
      <c r="C496" s="562"/>
      <c r="D496" s="562"/>
      <c r="E496" s="562"/>
      <c r="F496" s="562"/>
      <c r="G496" s="562"/>
      <c r="H496" s="562"/>
      <c r="I496" s="562"/>
      <c r="J496" s="562"/>
      <c r="K496" s="562"/>
      <c r="L496" s="562"/>
      <c r="M496" s="562"/>
      <c r="N496" s="562"/>
      <c r="O496" s="719"/>
      <c r="P496" s="713" t="s">
        <v>751</v>
      </c>
      <c r="Q496" s="675"/>
      <c r="R496" s="675"/>
      <c r="S496" s="675"/>
      <c r="T496" s="675"/>
      <c r="U496" s="675"/>
      <c r="V496" s="676"/>
      <c r="W496" s="37" t="s">
        <v>69</v>
      </c>
      <c r="X496" s="551">
        <f>GrossWeightTotal+PalletQtyTotal*25</f>
        <v>12066.868684399878</v>
      </c>
      <c r="Y496" s="551">
        <f>GrossWeightTotalR+PalletQtyTotalR*25</f>
        <v>12181.202999999998</v>
      </c>
      <c r="Z496" s="37"/>
      <c r="AA496" s="552"/>
      <c r="AB496" s="552"/>
      <c r="AC496" s="552"/>
    </row>
    <row r="497" spans="1:32" x14ac:dyDescent="0.2">
      <c r="A497" s="562"/>
      <c r="B497" s="562"/>
      <c r="C497" s="562"/>
      <c r="D497" s="562"/>
      <c r="E497" s="562"/>
      <c r="F497" s="562"/>
      <c r="G497" s="562"/>
      <c r="H497" s="562"/>
      <c r="I497" s="562"/>
      <c r="J497" s="562"/>
      <c r="K497" s="562"/>
      <c r="L497" s="562"/>
      <c r="M497" s="562"/>
      <c r="N497" s="562"/>
      <c r="O497" s="719"/>
      <c r="P497" s="713" t="s">
        <v>752</v>
      </c>
      <c r="Q497" s="675"/>
      <c r="R497" s="675"/>
      <c r="S497" s="675"/>
      <c r="T497" s="675"/>
      <c r="U497" s="675"/>
      <c r="V497" s="676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2300.990971478328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2322</v>
      </c>
      <c r="Z497" s="37"/>
      <c r="AA497" s="552"/>
      <c r="AB497" s="552"/>
      <c r="AC497" s="552"/>
    </row>
    <row r="498" spans="1:32" ht="14.25" customHeight="1" x14ac:dyDescent="0.2">
      <c r="A498" s="562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62"/>
      <c r="O498" s="719"/>
      <c r="P498" s="713" t="s">
        <v>753</v>
      </c>
      <c r="Q498" s="675"/>
      <c r="R498" s="675"/>
      <c r="S498" s="675"/>
      <c r="T498" s="675"/>
      <c r="U498" s="675"/>
      <c r="V498" s="676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22.429229999999997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89" t="s">
        <v>97</v>
      </c>
      <c r="D500" s="741"/>
      <c r="E500" s="741"/>
      <c r="F500" s="741"/>
      <c r="G500" s="741"/>
      <c r="H500" s="742"/>
      <c r="I500" s="589" t="s">
        <v>266</v>
      </c>
      <c r="J500" s="741"/>
      <c r="K500" s="741"/>
      <c r="L500" s="741"/>
      <c r="M500" s="741"/>
      <c r="N500" s="741"/>
      <c r="O500" s="741"/>
      <c r="P500" s="741"/>
      <c r="Q500" s="741"/>
      <c r="R500" s="742"/>
      <c r="S500" s="589" t="s">
        <v>553</v>
      </c>
      <c r="T500" s="742"/>
      <c r="U500" s="589" t="s">
        <v>607</v>
      </c>
      <c r="V500" s="741"/>
      <c r="W500" s="742"/>
      <c r="X500" s="546" t="s">
        <v>658</v>
      </c>
      <c r="Y500" s="589" t="s">
        <v>713</v>
      </c>
      <c r="Z500" s="742"/>
      <c r="AB500" s="52"/>
      <c r="AC500" s="52"/>
      <c r="AF500" s="547"/>
    </row>
    <row r="501" spans="1:32" ht="14.25" customHeight="1" thickTop="1" x14ac:dyDescent="0.2">
      <c r="A501" s="794" t="s">
        <v>756</v>
      </c>
      <c r="B501" s="589" t="s">
        <v>63</v>
      </c>
      <c r="C501" s="589" t="s">
        <v>98</v>
      </c>
      <c r="D501" s="589" t="s">
        <v>116</v>
      </c>
      <c r="E501" s="589" t="s">
        <v>167</v>
      </c>
      <c r="F501" s="589" t="s">
        <v>189</v>
      </c>
      <c r="G501" s="589" t="s">
        <v>227</v>
      </c>
      <c r="H501" s="589" t="s">
        <v>97</v>
      </c>
      <c r="I501" s="589" t="s">
        <v>267</v>
      </c>
      <c r="J501" s="589" t="s">
        <v>322</v>
      </c>
      <c r="K501" s="589" t="s">
        <v>382</v>
      </c>
      <c r="L501" s="589" t="s">
        <v>423</v>
      </c>
      <c r="M501" s="589" t="s">
        <v>439</v>
      </c>
      <c r="N501" s="547"/>
      <c r="O501" s="589" t="s">
        <v>450</v>
      </c>
      <c r="P501" s="589" t="s">
        <v>459</v>
      </c>
      <c r="Q501" s="589" t="s">
        <v>472</v>
      </c>
      <c r="R501" s="589" t="s">
        <v>543</v>
      </c>
      <c r="S501" s="589" t="s">
        <v>554</v>
      </c>
      <c r="T501" s="589" t="s">
        <v>589</v>
      </c>
      <c r="U501" s="589" t="s">
        <v>608</v>
      </c>
      <c r="V501" s="589" t="s">
        <v>639</v>
      </c>
      <c r="W501" s="589" t="s">
        <v>654</v>
      </c>
      <c r="X501" s="589" t="s">
        <v>658</v>
      </c>
      <c r="Y501" s="589" t="s">
        <v>713</v>
      </c>
      <c r="Z501" s="589" t="s">
        <v>743</v>
      </c>
      <c r="AB501" s="52"/>
      <c r="AC501" s="52"/>
      <c r="AF501" s="547"/>
    </row>
    <row r="502" spans="1:32" ht="13.5" customHeight="1" thickBot="1" x14ac:dyDescent="0.25">
      <c r="A502" s="795"/>
      <c r="B502" s="590"/>
      <c r="C502" s="590"/>
      <c r="D502" s="590"/>
      <c r="E502" s="590"/>
      <c r="F502" s="590"/>
      <c r="G502" s="590"/>
      <c r="H502" s="590"/>
      <c r="I502" s="590"/>
      <c r="J502" s="590"/>
      <c r="K502" s="590"/>
      <c r="L502" s="590"/>
      <c r="M502" s="590"/>
      <c r="N502" s="547"/>
      <c r="O502" s="590"/>
      <c r="P502" s="590"/>
      <c r="Q502" s="590"/>
      <c r="R502" s="590"/>
      <c r="S502" s="590"/>
      <c r="T502" s="590"/>
      <c r="U502" s="590"/>
      <c r="V502" s="590"/>
      <c r="W502" s="590"/>
      <c r="X502" s="590"/>
      <c r="Y502" s="590"/>
      <c r="Z502" s="590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466.20000000000005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7.1999999999999993</v>
      </c>
      <c r="E503" s="46">
        <f>IFERROR(Y84*1,"0")+IFERROR(Y85*1,"0")+IFERROR(Y86*1,"0")+IFERROR(Y87*1,"0")+IFERROR(Y91*1,"0")+IFERROR(Y92*1,"0")+IFERROR(Y93*1,"0")+IFERROR(Y94*1,"0")</f>
        <v>726.30000000000007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807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462.90000000000003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2736.2999999999993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663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153.6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425.80000000000007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3330</v>
      </c>
      <c r="T503" s="46">
        <f>IFERROR(Y374*1,"0")+IFERROR(Y375*1,"0")+IFERROR(Y379*1,"0")+IFERROR(Y380*1,"0")+IFERROR(Y384*1,"0")+IFERROR(Y385*1,"0")+IFERROR(Y386*1,"0")</f>
        <v>261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997.92000000000007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492:V492"/>
    <mergeCell ref="P63:V63"/>
    <mergeCell ref="P415:T415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449:E449"/>
    <mergeCell ref="D321:E321"/>
    <mergeCell ref="D150:E150"/>
    <mergeCell ref="P129:V129"/>
    <mergeCell ref="P107:T107"/>
    <mergeCell ref="A128:O12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P474:V474"/>
    <mergeCell ref="A155:Z15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D149:E149"/>
    <mergeCell ref="Y500:Z500"/>
    <mergeCell ref="D385:E385"/>
    <mergeCell ref="P301:T301"/>
    <mergeCell ref="P178:T178"/>
    <mergeCell ref="D257:E257"/>
    <mergeCell ref="D86:E86"/>
    <mergeCell ref="D384:E384"/>
    <mergeCell ref="P341:T341"/>
    <mergeCell ref="A457:Z457"/>
    <mergeCell ref="A387:O388"/>
    <mergeCell ref="D151:E151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6:W9"/>
    <mergeCell ref="D199:E199"/>
    <mergeCell ref="D364:E364"/>
    <mergeCell ref="P109:T109"/>
    <mergeCell ref="D435:E435"/>
    <mergeCell ref="P274:T274"/>
    <mergeCell ref="A59:Z59"/>
    <mergeCell ref="D217:E217"/>
    <mergeCell ref="D484:E484"/>
    <mergeCell ref="P84:T84"/>
    <mergeCell ref="P222:T222"/>
    <mergeCell ref="P22:T22"/>
    <mergeCell ref="P314:T314"/>
    <mergeCell ref="D428:E428"/>
    <mergeCell ref="P40:T40"/>
    <mergeCell ref="D415:E415"/>
    <mergeCell ref="A455:O456"/>
    <mergeCell ref="P257:T257"/>
    <mergeCell ref="A346:Z346"/>
    <mergeCell ref="D194:E194"/>
    <mergeCell ref="Z17:Z18"/>
    <mergeCell ref="A90:Z90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D314:E314"/>
    <mergeCell ref="G17:G18"/>
    <mergeCell ref="P242:V242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D204:E204"/>
    <mergeCell ref="P217:T217"/>
    <mergeCell ref="D465:E465"/>
    <mergeCell ref="P275:V275"/>
    <mergeCell ref="A252:Z252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P156:T156"/>
    <mergeCell ref="A80:O81"/>
    <mergeCell ref="P105:V105"/>
    <mergeCell ref="P366:V366"/>
    <mergeCell ref="C500:H500"/>
    <mergeCell ref="D56:E56"/>
    <mergeCell ref="P206:T206"/>
    <mergeCell ref="D127:E127"/>
    <mergeCell ref="P233:T233"/>
    <mergeCell ref="D176:E176"/>
    <mergeCell ref="D114:E114"/>
    <mergeCell ref="P143:T143"/>
    <mergeCell ref="D51:E51"/>
    <mergeCell ref="P235:T235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A82:Z82"/>
    <mergeCell ref="M501:M502"/>
    <mergeCell ref="O501:O502"/>
    <mergeCell ref="P202:V202"/>
    <mergeCell ref="P380:T380"/>
    <mergeCell ref="Q501:Q50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D62:E62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86:O487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P447:V447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A275:O276"/>
    <mergeCell ref="P219:T219"/>
    <mergeCell ref="D162:E162"/>
    <mergeCell ref="P501:P502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A418:O419"/>
    <mergeCell ref="P186:V186"/>
    <mergeCell ref="A356:O357"/>
    <mergeCell ref="D169:E169"/>
    <mergeCell ref="P491:V491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464:E464"/>
    <mergeCell ref="D9:E9"/>
    <mergeCell ref="F9:G9"/>
    <mergeCell ref="P353:T353"/>
    <mergeCell ref="P440:V440"/>
    <mergeCell ref="P132:T132"/>
    <mergeCell ref="P367:V367"/>
    <mergeCell ref="A122:O123"/>
    <mergeCell ref="D52:E52"/>
    <mergeCell ref="D27:E27"/>
    <mergeCell ref="P15:T16"/>
    <mergeCell ref="P23:T23"/>
    <mergeCell ref="P272:T272"/>
    <mergeCell ref="D327:E327"/>
    <mergeCell ref="P480:T480"/>
    <mergeCell ref="P280:T280"/>
    <mergeCell ref="Q12:R12"/>
    <mergeCell ref="P169:T169"/>
    <mergeCell ref="P467:T467"/>
    <mergeCell ref="A68:O69"/>
    <mergeCell ref="P196:V196"/>
    <mergeCell ref="A43:O44"/>
    <mergeCell ref="P133:V133"/>
    <mergeCell ref="P210:T210"/>
    <mergeCell ref="D398:E398"/>
    <mergeCell ref="D454:E454"/>
    <mergeCell ref="A267:O268"/>
    <mergeCell ref="P308:T308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A6:C6"/>
    <mergeCell ref="D309:E309"/>
    <mergeCell ref="P416:T416"/>
    <mergeCell ref="P167:T167"/>
    <mergeCell ref="P142:T142"/>
    <mergeCell ref="A161:Z161"/>
    <mergeCell ref="D148:E148"/>
    <mergeCell ref="P117:T117"/>
    <mergeCell ref="A324:O325"/>
    <mergeCell ref="D115:E115"/>
    <mergeCell ref="P55:T55"/>
    <mergeCell ref="P80:V80"/>
    <mergeCell ref="D74:E74"/>
    <mergeCell ref="P87:T87"/>
    <mergeCell ref="D335:E335"/>
    <mergeCell ref="A203:Z203"/>
    <mergeCell ref="P245:T245"/>
    <mergeCell ref="P322:T322"/>
    <mergeCell ref="P211:T211"/>
    <mergeCell ref="D399:E399"/>
    <mergeCell ref="D132:E132"/>
    <mergeCell ref="P309:T309"/>
    <mergeCell ref="D178:E178"/>
    <mergeCell ref="P225:V225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J9:M9"/>
    <mergeCell ref="P429:T429"/>
    <mergeCell ref="A111:O112"/>
    <mergeCell ref="D369:E369"/>
    <mergeCell ref="P223:T223"/>
    <mergeCell ref="P52:T52"/>
    <mergeCell ref="P350:T350"/>
    <mergeCell ref="P201:V201"/>
    <mergeCell ref="P139:V139"/>
    <mergeCell ref="I17:I18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A38:Z38"/>
    <mergeCell ref="P46:T46"/>
    <mergeCell ref="P466:T466"/>
    <mergeCell ref="D1:F1"/>
    <mergeCell ref="A313:Z313"/>
    <mergeCell ref="P282:V282"/>
    <mergeCell ref="P111:V111"/>
    <mergeCell ref="J17:J18"/>
    <mergeCell ref="L17:L18"/>
    <mergeCell ref="D240:E240"/>
    <mergeCell ref="A244:Z244"/>
    <mergeCell ref="P255:T255"/>
    <mergeCell ref="P48:V48"/>
    <mergeCell ref="A165:Z165"/>
    <mergeCell ref="D334:E334"/>
    <mergeCell ref="A293:O294"/>
    <mergeCell ref="P112:V112"/>
    <mergeCell ref="P428:T428"/>
    <mergeCell ref="D100:E100"/>
    <mergeCell ref="P17:T18"/>
    <mergeCell ref="A77:Z77"/>
    <mergeCell ref="P194:T194"/>
    <mergeCell ref="A180:O181"/>
    <mergeCell ref="D329:E329"/>
    <mergeCell ref="P286:T286"/>
    <mergeCell ref="D400:E400"/>
    <mergeCell ref="D301:E301"/>
    <mergeCell ref="D245:E245"/>
    <mergeCell ref="A423:O424"/>
    <mergeCell ref="P116:T116"/>
    <mergeCell ref="P103:T103"/>
    <mergeCell ref="A26:Z26"/>
    <mergeCell ref="D211:E211"/>
    <mergeCell ref="P168:T168"/>
    <mergeCell ref="P190:V190"/>
    <mergeCell ref="P131:T131"/>
    <mergeCell ref="D108:E108"/>
    <mergeCell ref="D375:E375"/>
    <mergeCell ref="P34:T34"/>
    <mergeCell ref="P101:T101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P273:T273"/>
    <mergeCell ref="D443:E443"/>
    <mergeCell ref="P487:V487"/>
    <mergeCell ref="P266:T266"/>
    <mergeCell ref="A212:O213"/>
    <mergeCell ref="H1:Q1"/>
    <mergeCell ref="P345:V345"/>
    <mergeCell ref="P246:V246"/>
    <mergeCell ref="D28:E28"/>
    <mergeCell ref="P405:T405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236:T236"/>
    <mergeCell ref="D79:E79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A226:Z226"/>
    <mergeCell ref="P329:T329"/>
    <mergeCell ref="P180:V180"/>
    <mergeCell ref="P251:V251"/>
    <mergeCell ref="A473:O474"/>
    <mergeCell ref="P209:T209"/>
    <mergeCell ref="P147:T147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458:T458"/>
    <mergeCell ref="A459:O460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A63:O64"/>
    <mergeCell ref="B17:B18"/>
    <mergeCell ref="P441:V441"/>
    <mergeCell ref="D131:E131"/>
    <mergeCell ref="A260:Z260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229:V229"/>
    <mergeCell ref="A282:O283"/>
    <mergeCell ref="P152:T152"/>
    <mergeCell ref="D73:E73"/>
    <mergeCell ref="P30:T30"/>
    <mergeCell ref="V10:W1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P86:T86"/>
    <mergeCell ref="P328:T328"/>
    <mergeCell ref="P384:T384"/>
    <mergeCell ref="D78:E78"/>
    <mergeCell ref="A378:Z378"/>
    <mergeCell ref="D205:E205"/>
    <mergeCell ref="P79:T79"/>
    <mergeCell ref="D60:E60"/>
    <mergeCell ref="P73:T73"/>
    <mergeCell ref="P437:T437"/>
    <mergeCell ref="P315:T315"/>
    <mergeCell ref="A361:O362"/>
    <mergeCell ref="A190:O191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P443:T443"/>
    <mergeCell ref="P166:T166"/>
    <mergeCell ref="P464:T464"/>
    <mergeCell ref="D147:E147"/>
    <mergeCell ref="D445:E445"/>
    <mergeCell ref="D274:E27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6 X168 X170 X175 X177 X200 X204:X205 X207:X209 X211 X217:X218 X220:X223 X228 X233 X280:X281 X321:X323 X330 X341 X349:X350 X352 X359 X384 X386 X428 X431:X432 X434 X443 X445 X449:X45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2026-01-21T09:55:50Z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