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145E993-B72D-47C3-9B07-6E102AF98C7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P198" i="1"/>
  <c r="BO198" i="1"/>
  <c r="BN198" i="1"/>
  <c r="BM198" i="1"/>
  <c r="Z198" i="1"/>
  <c r="Y198" i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F9" i="1"/>
  <c r="J9" i="1"/>
  <c r="Y25" i="1"/>
  <c r="Y31" i="1"/>
  <c r="Y43" i="1"/>
  <c r="BP54" i="1"/>
  <c r="BN54" i="1"/>
  <c r="Z54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Z111" i="1" s="1"/>
  <c r="BP116" i="1"/>
  <c r="BN116" i="1"/>
  <c r="Z116" i="1"/>
  <c r="BP137" i="1"/>
  <c r="BN137" i="1"/>
  <c r="Z137" i="1"/>
  <c r="Z138" i="1" s="1"/>
  <c r="Y139" i="1"/>
  <c r="H498" i="1"/>
  <c r="Y145" i="1"/>
  <c r="BP142" i="1"/>
  <c r="BN142" i="1"/>
  <c r="Z142" i="1"/>
  <c r="Z144" i="1" s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498" i="1"/>
  <c r="Y196" i="1"/>
  <c r="BP193" i="1"/>
  <c r="BN193" i="1"/>
  <c r="Z193" i="1"/>
  <c r="Z195" i="1" s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B498" i="1"/>
  <c r="X489" i="1"/>
  <c r="X491" i="1" s="1"/>
  <c r="X490" i="1"/>
  <c r="Z23" i="1"/>
  <c r="Z24" i="1" s="1"/>
  <c r="BN23" i="1"/>
  <c r="Y489" i="1" s="1"/>
  <c r="Y491" i="1" s="1"/>
  <c r="Y24" i="1"/>
  <c r="X488" i="1"/>
  <c r="Z27" i="1"/>
  <c r="BN27" i="1"/>
  <c r="BP27" i="1"/>
  <c r="Y490" i="1" s="1"/>
  <c r="Z29" i="1"/>
  <c r="BN29" i="1"/>
  <c r="C498" i="1"/>
  <c r="Y44" i="1"/>
  <c r="Z41" i="1"/>
  <c r="Z43" i="1" s="1"/>
  <c r="BN41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Y68" i="1"/>
  <c r="BP72" i="1"/>
  <c r="BN72" i="1"/>
  <c r="Z72" i="1"/>
  <c r="Z75" i="1" s="1"/>
  <c r="Y80" i="1"/>
  <c r="BP85" i="1"/>
  <c r="BN85" i="1"/>
  <c r="Z85" i="1"/>
  <c r="Z88" i="1" s="1"/>
  <c r="BP93" i="1"/>
  <c r="BN93" i="1"/>
  <c r="Z93" i="1"/>
  <c r="BP102" i="1"/>
  <c r="BN102" i="1"/>
  <c r="Z102" i="1"/>
  <c r="Z104" i="1" s="1"/>
  <c r="Y111" i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Y144" i="1"/>
  <c r="BP148" i="1"/>
  <c r="BN148" i="1"/>
  <c r="Z148" i="1"/>
  <c r="Z152" i="1" s="1"/>
  <c r="Y152" i="1"/>
  <c r="BP166" i="1"/>
  <c r="BN166" i="1"/>
  <c r="Z166" i="1"/>
  <c r="Z179" i="1" s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Y195" i="1"/>
  <c r="BP199" i="1"/>
  <c r="BN199" i="1"/>
  <c r="Z199" i="1"/>
  <c r="Z200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Y344" i="1"/>
  <c r="S498" i="1"/>
  <c r="Y355" i="1"/>
  <c r="BP348" i="1"/>
  <c r="BN348" i="1"/>
  <c r="Z348" i="1"/>
  <c r="Y356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Y375" i="1"/>
  <c r="D498" i="1"/>
  <c r="Y57" i="1"/>
  <c r="E498" i="1"/>
  <c r="Y88" i="1"/>
  <c r="F498" i="1"/>
  <c r="Y105" i="1"/>
  <c r="G498" i="1"/>
  <c r="Y128" i="1"/>
  <c r="I498" i="1"/>
  <c r="Y163" i="1"/>
  <c r="Y200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3" i="1"/>
  <c r="BP340" i="1"/>
  <c r="BN340" i="1"/>
  <c r="Z340" i="1"/>
  <c r="Z343" i="1" s="1"/>
  <c r="BP385" i="1"/>
  <c r="BN385" i="1"/>
  <c r="Z385" i="1"/>
  <c r="Y387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Y405" i="1"/>
  <c r="O498" i="1"/>
  <c r="Y282" i="1"/>
  <c r="P498" i="1"/>
  <c r="Y287" i="1"/>
  <c r="Q498" i="1"/>
  <c r="Y302" i="1"/>
  <c r="BP350" i="1"/>
  <c r="BN350" i="1"/>
  <c r="Z350" i="1"/>
  <c r="BP354" i="1"/>
  <c r="BN354" i="1"/>
  <c r="Z354" i="1"/>
  <c r="Y361" i="1"/>
  <c r="BP358" i="1"/>
  <c r="BN358" i="1"/>
  <c r="Z358" i="1"/>
  <c r="Z360" i="1" s="1"/>
  <c r="Y365" i="1"/>
  <c r="BP379" i="1"/>
  <c r="BN379" i="1"/>
  <c r="Z379" i="1"/>
  <c r="Z380" i="1" s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BP414" i="1"/>
  <c r="BN414" i="1"/>
  <c r="Z414" i="1"/>
  <c r="Z417" i="1" s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BP460" i="1"/>
  <c r="BN460" i="1"/>
  <c r="Z460" i="1"/>
  <c r="Y464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BP452" i="1"/>
  <c r="BN452" i="1"/>
  <c r="Z452" i="1"/>
  <c r="Y463" i="1"/>
  <c r="BP462" i="1"/>
  <c r="BN462" i="1"/>
  <c r="Z462" i="1"/>
  <c r="Z463" i="1" s="1"/>
  <c r="Y469" i="1"/>
  <c r="BP466" i="1"/>
  <c r="BN466" i="1"/>
  <c r="Z466" i="1"/>
  <c r="Z468" i="1" s="1"/>
  <c r="Y482" i="1"/>
  <c r="Y487" i="1"/>
  <c r="W498" i="1"/>
  <c r="Y498" i="1"/>
  <c r="Y439" i="1"/>
  <c r="Z480" i="1"/>
  <c r="Z481" i="1" s="1"/>
  <c r="BN480" i="1"/>
  <c r="Z485" i="1"/>
  <c r="Z486" i="1" s="1"/>
  <c r="BN485" i="1"/>
  <c r="BP485" i="1"/>
  <c r="Y486" i="1"/>
  <c r="Z454" i="1" l="1"/>
  <c r="Z400" i="1"/>
  <c r="Z274" i="1"/>
  <c r="Z257" i="1"/>
  <c r="Z211" i="1"/>
  <c r="Z31" i="1"/>
  <c r="Z493" i="1" s="1"/>
  <c r="Y492" i="1"/>
  <c r="Z317" i="1"/>
  <c r="Y488" i="1"/>
  <c r="Z439" i="1"/>
  <c r="Z445" i="1"/>
  <c r="Z355" i="1"/>
  <c r="Z336" i="1"/>
  <c r="Z266" i="1"/>
  <c r="Z241" i="1"/>
  <c r="Z95" i="1"/>
</calcChain>
</file>

<file path=xl/sharedStrings.xml><?xml version="1.0" encoding="utf-8"?>
<sst xmlns="http://schemas.openxmlformats.org/spreadsheetml/2006/main" count="2255" uniqueCount="767">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</sst>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7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86.4</v>
      </c>
      <c r="Y52" s="546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89.68</v>
      </c>
      <c r="BN52" s="64">
        <f t="shared" si="2"/>
        <v>89.68</v>
      </c>
      <c r="BO52" s="64">
        <f t="shared" si="3"/>
        <v>0.125</v>
      </c>
      <c r="BP52" s="64">
        <f t="shared" si="4"/>
        <v>0.125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8</v>
      </c>
      <c r="Y57" s="547">
        <f>IFERROR(Y51/H51,"0")+IFERROR(Y52/H52,"0")+IFERROR(Y53/H53,"0")+IFERROR(Y54/H54,"0")+IFERROR(Y55/H55,"0")+IFERROR(Y56/H56,"0")</f>
        <v>8</v>
      </c>
      <c r="Z57" s="547">
        <f>IFERROR(IF(Z51="",0,Z51),"0")+IFERROR(IF(Z52="",0,Z52),"0")+IFERROR(IF(Z53="",0,Z53),"0")+IFERROR(IF(Z54="",0,Z54),"0")+IFERROR(IF(Z55="",0,Z55),"0")+IFERROR(IF(Z56="",0,Z56),"0")</f>
        <v>0.15184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86.4</v>
      </c>
      <c r="Y58" s="547">
        <f>IFERROR(SUM(Y51:Y56),"0")</f>
        <v>86.4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64.8</v>
      </c>
      <c r="Y91" s="546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68.751999999999995</v>
      </c>
      <c r="BN91" s="64">
        <f>IFERROR(Y91*I91/H91,"0")</f>
        <v>68.751999999999995</v>
      </c>
      <c r="BO91" s="64">
        <f>IFERROR(1/J91*(X91/H91),"0")</f>
        <v>0.125</v>
      </c>
      <c r="BP91" s="64">
        <f>IFERROR(1/J91*(Y91/H91),"0")</f>
        <v>0.125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8</v>
      </c>
      <c r="Y95" s="547">
        <f>IFERROR(Y91/H91,"0")+IFERROR(Y92/H92,"0")+IFERROR(Y93/H93,"0")+IFERROR(Y94/H94,"0")</f>
        <v>8</v>
      </c>
      <c r="Z95" s="547">
        <f>IFERROR(IF(Z91="",0,Z91),"0")+IFERROR(IF(Z92="",0,Z92),"0")+IFERROR(IF(Z93="",0,Z93),"0")+IFERROR(IF(Z94="",0,Z94),"0")</f>
        <v>0.15184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64.8</v>
      </c>
      <c r="Y96" s="547">
        <f>IFERROR(SUM(Y91:Y94),"0")</f>
        <v>64.8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86.4</v>
      </c>
      <c r="Y99" s="546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89.68</v>
      </c>
      <c r="BN99" s="64">
        <f>IFERROR(Y99*I99/H99,"0")</f>
        <v>89.68</v>
      </c>
      <c r="BO99" s="64">
        <f>IFERROR(1/J99*(X99/H99),"0")</f>
        <v>0.125</v>
      </c>
      <c r="BP99" s="64">
        <f>IFERROR(1/J99*(Y99/H99),"0")</f>
        <v>0.125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8</v>
      </c>
      <c r="Y104" s="547">
        <f>IFERROR(Y99/H99,"0")+IFERROR(Y100/H100,"0")+IFERROR(Y101/H101,"0")+IFERROR(Y102/H102,"0")+IFERROR(Y103/H103,"0")</f>
        <v>8</v>
      </c>
      <c r="Z104" s="547">
        <f>IFERROR(IF(Z99="",0,Z99),"0")+IFERROR(IF(Z100="",0,Z100),"0")+IFERROR(IF(Z101="",0,Z101),"0")+IFERROR(IF(Z102="",0,Z102),"0")+IFERROR(IF(Z103="",0,Z103),"0")</f>
        <v>0.15184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86.4</v>
      </c>
      <c r="Y105" s="547">
        <f>IFERROR(SUM(Y99:Y103),"0")</f>
        <v>86.4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64.8</v>
      </c>
      <c r="Y114" s="546">
        <f>IFERROR(IF(X114="",0,CEILING((X114/$H114),1)*$H114),"")</f>
        <v>64.8</v>
      </c>
      <c r="Z114" s="36">
        <f>IFERROR(IF(Y114=0,"",ROUNDUP(Y114/H114,0)*0.01898),"")</f>
        <v>0.15184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68.703999999999994</v>
      </c>
      <c r="BN114" s="64">
        <f>IFERROR(Y114*I114/H114,"0")</f>
        <v>68.703999999999994</v>
      </c>
      <c r="BO114" s="64">
        <f>IFERROR(1/J114*(X114/H114),"0")</f>
        <v>0.125</v>
      </c>
      <c r="BP114" s="64">
        <f>IFERROR(1/J114*(Y114/H114),"0")</f>
        <v>0.125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8</v>
      </c>
      <c r="Y118" s="547">
        <f>IFERROR(Y114/H114,"0")+IFERROR(Y115/H115,"0")+IFERROR(Y116/H116,"0")+IFERROR(Y117/H117,"0")</f>
        <v>8</v>
      </c>
      <c r="Z118" s="547">
        <f>IFERROR(IF(Z114="",0,Z114),"0")+IFERROR(IF(Z115="",0,Z115),"0")+IFERROR(IF(Z116="",0,Z116),"0")+IFERROR(IF(Z117="",0,Z117),"0")</f>
        <v>0.15184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64.8</v>
      </c>
      <c r="Y119" s="547">
        <f>IFERROR(SUM(Y114:Y117),"0")</f>
        <v>64.8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0</v>
      </c>
      <c r="Y223" s="547">
        <f>IFERROR(Y214/H214,"0")+IFERROR(Y215/H215,"0")+IFERROR(Y216/H216,"0")+IFERROR(Y217/H217,"0")+IFERROR(Y218/H218,"0")+IFERROR(Y219/H219,"0")+IFERROR(Y220/H220,"0")+IFERROR(Y221/H221,"0")+IFERROR(Y222/H222,"0")</f>
        <v>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0</v>
      </c>
      <c r="Y224" s="547">
        <f>IFERROR(SUM(Y214:Y222),"0")</f>
        <v>0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67.2</v>
      </c>
      <c r="Y320" s="546">
        <f>IFERROR(IF(X320="",0,CEILING((X320/$H320),1)*$H320),"")</f>
        <v>67.2</v>
      </c>
      <c r="Z320" s="36">
        <f>IFERROR(IF(Y320=0,"",ROUNDUP(Y320/H320,0)*0.01898),"")</f>
        <v>0.15184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71.152000000000001</v>
      </c>
      <c r="BN320" s="64">
        <f>IFERROR(Y320*I320/H320,"0")</f>
        <v>71.152000000000001</v>
      </c>
      <c r="BO320" s="64">
        <f>IFERROR(1/J320*(X320/H320),"0")</f>
        <v>0.125</v>
      </c>
      <c r="BP320" s="64">
        <f>IFERROR(1/J320*(Y320/H320),"0")</f>
        <v>0.125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124.8</v>
      </c>
      <c r="Y321" s="546">
        <f>IFERROR(IF(X321="",0,CEILING((X321/$H321),1)*$H321),"")</f>
        <v>124.8</v>
      </c>
      <c r="Z321" s="36">
        <f>IFERROR(IF(Y321=0,"",ROUNDUP(Y321/H321,0)*0.01898),"")</f>
        <v>0.30368000000000001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132.70400000000001</v>
      </c>
      <c r="BN321" s="64">
        <f>IFERROR(Y321*I321/H321,"0")</f>
        <v>132.70400000000001</v>
      </c>
      <c r="BO321" s="64">
        <f>IFERROR(1/J321*(X321/H321),"0")</f>
        <v>0.25</v>
      </c>
      <c r="BP321" s="64">
        <f>IFERROR(1/J321*(Y321/H321),"0")</f>
        <v>0.25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24</v>
      </c>
      <c r="Y323" s="547">
        <f>IFERROR(Y320/H320,"0")+IFERROR(Y321/H321,"0")+IFERROR(Y322/H322,"0")</f>
        <v>24</v>
      </c>
      <c r="Z323" s="547">
        <f>IFERROR(IF(Z320="",0,Z320),"0")+IFERROR(IF(Z321="",0,Z321),"0")+IFERROR(IF(Z322="",0,Z322),"0")</f>
        <v>0.45552000000000004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192</v>
      </c>
      <c r="Y324" s="547">
        <f>IFERROR(SUM(Y320:Y322),"0")</f>
        <v>192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120</v>
      </c>
      <c r="Y348" s="546">
        <f t="shared" ref="Y348:Y354" si="31">IFERROR(IF(X348="",0,CEILING((X348/$H348),1)*$H348),"")</f>
        <v>120</v>
      </c>
      <c r="Z348" s="36">
        <f>IFERROR(IF(Y348=0,"",ROUNDUP(Y348/H348,0)*0.02175),"")</f>
        <v>0.17399999999999999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123.76</v>
      </c>
      <c r="BN348" s="64">
        <f t="shared" ref="BN348:BN354" si="33">IFERROR(Y348*I348/H348,"0")</f>
        <v>123.76</v>
      </c>
      <c r="BO348" s="64">
        <f t="shared" ref="BO348:BO354" si="34">IFERROR(1/J348*(X348/H348),"0")</f>
        <v>0.16666666666666666</v>
      </c>
      <c r="BP348" s="64">
        <f t="shared" ref="BP348:BP354" si="35">IFERROR(1/J348*(Y348/H348),"0")</f>
        <v>0.16666666666666666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120</v>
      </c>
      <c r="Y350" s="546">
        <f t="shared" si="31"/>
        <v>120</v>
      </c>
      <c r="Z350" s="36">
        <f>IFERROR(IF(Y350=0,"",ROUNDUP(Y350/H350,0)*0.02175),"")</f>
        <v>0.17399999999999999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123.76</v>
      </c>
      <c r="BN350" s="64">
        <f t="shared" si="33"/>
        <v>123.76</v>
      </c>
      <c r="BO350" s="64">
        <f t="shared" si="34"/>
        <v>0.16666666666666666</v>
      </c>
      <c r="BP350" s="64">
        <f t="shared" si="35"/>
        <v>0.16666666666666666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16</v>
      </c>
      <c r="Y355" s="547">
        <f>IFERROR(Y348/H348,"0")+IFERROR(Y349/H349,"0")+IFERROR(Y350/H350,"0")+IFERROR(Y351/H351,"0")+IFERROR(Y352/H352,"0")+IFERROR(Y353/H353,"0")+IFERROR(Y354/H354,"0")</f>
        <v>16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0.34799999999999998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240</v>
      </c>
      <c r="Y356" s="547">
        <f>IFERROR(SUM(Y348:Y354),"0")</f>
        <v>240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120</v>
      </c>
      <c r="Y358" s="546">
        <f>IFERROR(IF(X358="",0,CEILING((X358/$H358),1)*$H358),"")</f>
        <v>120</v>
      </c>
      <c r="Z358" s="36">
        <f>IFERROR(IF(Y358=0,"",ROUNDUP(Y358/H358,0)*0.02175),"")</f>
        <v>0.17399999999999999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123.76</v>
      </c>
      <c r="BN358" s="64">
        <f>IFERROR(Y358*I358/H358,"0")</f>
        <v>123.76</v>
      </c>
      <c r="BO358" s="64">
        <f>IFERROR(1/J358*(X358/H358),"0")</f>
        <v>0.16666666666666666</v>
      </c>
      <c r="BP358" s="64">
        <f>IFERROR(1/J358*(Y358/H358),"0")</f>
        <v>0.16666666666666666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8</v>
      </c>
      <c r="Y360" s="547">
        <f>IFERROR(Y358/H358,"0")+IFERROR(Y359/H359,"0")</f>
        <v>8</v>
      </c>
      <c r="Z360" s="547">
        <f>IFERROR(IF(Z358="",0,Z358),"0")+IFERROR(IF(Z359="",0,Z359),"0")</f>
        <v>0.17399999999999999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120</v>
      </c>
      <c r="Y361" s="547">
        <f>IFERROR(SUM(Y358:Y359),"0")</f>
        <v>120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72</v>
      </c>
      <c r="Y368" s="546">
        <f>IFERROR(IF(X368="",0,CEILING((X368/$H368),1)*$H368),"")</f>
        <v>72</v>
      </c>
      <c r="Z368" s="36">
        <f>IFERROR(IF(Y368=0,"",ROUNDUP(Y368/H368,0)*0.01898),"")</f>
        <v>0.15184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75.951999999999998</v>
      </c>
      <c r="BN368" s="64">
        <f>IFERROR(Y368*I368/H368,"0")</f>
        <v>75.951999999999998</v>
      </c>
      <c r="BO368" s="64">
        <f>IFERROR(1/J368*(X368/H368),"0")</f>
        <v>0.125</v>
      </c>
      <c r="BP368" s="64">
        <f>IFERROR(1/J368*(Y368/H368),"0")</f>
        <v>0.125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8</v>
      </c>
      <c r="Y369" s="547">
        <f>IFERROR(Y368/H368,"0")</f>
        <v>8</v>
      </c>
      <c r="Z369" s="547">
        <f>IFERROR(IF(Z368="",0,Z368),"0")</f>
        <v>0.15184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72</v>
      </c>
      <c r="Y370" s="547">
        <f>IFERROR(SUM(Y368:Y368),"0")</f>
        <v>72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96</v>
      </c>
      <c r="Y373" s="546">
        <f>IFERROR(IF(X373="",0,CEILING((X373/$H373),1)*$H373),"")</f>
        <v>96</v>
      </c>
      <c r="Z373" s="36">
        <f>IFERROR(IF(Y373=0,"",ROUNDUP(Y373/H373,0)*0.01898),"")</f>
        <v>0.15184</v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99.280000000000015</v>
      </c>
      <c r="BN373" s="64">
        <f>IFERROR(Y373*I373/H373,"0")</f>
        <v>99.280000000000015</v>
      </c>
      <c r="BO373" s="64">
        <f>IFERROR(1/J373*(X373/H373),"0")</f>
        <v>0.125</v>
      </c>
      <c r="BP373" s="64">
        <f>IFERROR(1/J373*(Y373/H373),"0")</f>
        <v>0.125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8</v>
      </c>
      <c r="Y375" s="547">
        <f>IFERROR(Y373/H373,"0")+IFERROR(Y374/H374,"0")</f>
        <v>8</v>
      </c>
      <c r="Z375" s="547">
        <f>IFERROR(IF(Z373="",0,Z373),"0")+IFERROR(IF(Z374="",0,Z374),"0")</f>
        <v>0.15184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96</v>
      </c>
      <c r="Y376" s="547">
        <f>IFERROR(SUM(Y373:Y374),"0")</f>
        <v>96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144</v>
      </c>
      <c r="Y383" s="546">
        <f>IFERROR(IF(X383="",0,CEILING((X383/$H383),1)*$H383),"")</f>
        <v>144</v>
      </c>
      <c r="Z383" s="36">
        <f>IFERROR(IF(Y383=0,"",ROUNDUP(Y383/H383,0)*0.01898),"")</f>
        <v>0.30368000000000001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151.904</v>
      </c>
      <c r="BN383" s="64">
        <f>IFERROR(Y383*I383/H383,"0")</f>
        <v>151.904</v>
      </c>
      <c r="BO383" s="64">
        <f>IFERROR(1/J383*(X383/H383),"0")</f>
        <v>0.25</v>
      </c>
      <c r="BP383" s="64">
        <f>IFERROR(1/J383*(Y383/H383),"0")</f>
        <v>0.25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100.8</v>
      </c>
      <c r="Y384" s="546">
        <f>IFERROR(IF(X384="",0,CEILING((X384/$H384),1)*$H384),"")</f>
        <v>100.8</v>
      </c>
      <c r="Z384" s="36">
        <f>IFERROR(IF(Y384=0,"",ROUNDUP(Y384/H384,0)*0.00651),"")</f>
        <v>0.27342</v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111.88800000000001</v>
      </c>
      <c r="BN384" s="64">
        <f>IFERROR(Y384*I384/H384,"0")</f>
        <v>111.88800000000001</v>
      </c>
      <c r="BO384" s="64">
        <f>IFERROR(1/J384*(X384/H384),"0")</f>
        <v>0.23076923076923078</v>
      </c>
      <c r="BP384" s="64">
        <f>IFERROR(1/J384*(Y384/H384),"0")</f>
        <v>0.23076923076923078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58</v>
      </c>
      <c r="Y386" s="547">
        <f>IFERROR(Y383/H383,"0")+IFERROR(Y384/H384,"0")+IFERROR(Y385/H385,"0")</f>
        <v>58</v>
      </c>
      <c r="Z386" s="547">
        <f>IFERROR(IF(Z383="",0,Z383),"0")+IFERROR(IF(Z384="",0,Z384),"0")+IFERROR(IF(Z385="",0,Z385),"0")</f>
        <v>0.57709999999999995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244.8</v>
      </c>
      <c r="Y387" s="547">
        <f>IFERROR(SUM(Y383:Y385),"0")</f>
        <v>244.8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84.48</v>
      </c>
      <c r="Y431" s="546">
        <f t="shared" si="42"/>
        <v>84.48</v>
      </c>
      <c r="Z431" s="36">
        <f t="shared" si="43"/>
        <v>0.19136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90.08</v>
      </c>
      <c r="BN431" s="64">
        <f t="shared" si="45"/>
        <v>90.08</v>
      </c>
      <c r="BO431" s="64">
        <f t="shared" si="46"/>
        <v>0.15384615384615385</v>
      </c>
      <c r="BP431" s="64">
        <f t="shared" si="47"/>
        <v>0.15384615384615385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126.72</v>
      </c>
      <c r="Y433" s="546">
        <f t="shared" si="42"/>
        <v>126.72</v>
      </c>
      <c r="Z433" s="36">
        <f t="shared" si="43"/>
        <v>0.28704000000000002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135.11999999999998</v>
      </c>
      <c r="BN433" s="64">
        <f t="shared" si="45"/>
        <v>135.11999999999998</v>
      </c>
      <c r="BO433" s="64">
        <f t="shared" si="46"/>
        <v>0.23076923076923078</v>
      </c>
      <c r="BP433" s="64">
        <f t="shared" si="47"/>
        <v>0.23076923076923078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211.2</v>
      </c>
      <c r="Y440" s="547">
        <f>IFERROR(SUM(Y427:Y438),"0")</f>
        <v>211.2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42.24</v>
      </c>
      <c r="Y449" s="546">
        <f t="shared" si="48"/>
        <v>42.24</v>
      </c>
      <c r="Z449" s="36">
        <f>IFERROR(IF(Y449=0,"",ROUNDUP(Y449/H449,0)*0.01196),"")</f>
        <v>9.5680000000000001E-2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45.04</v>
      </c>
      <c r="BN449" s="64">
        <f t="shared" si="50"/>
        <v>45.04</v>
      </c>
      <c r="BO449" s="64">
        <f t="shared" si="51"/>
        <v>7.6923076923076927E-2</v>
      </c>
      <c r="BP449" s="64">
        <f t="shared" si="52"/>
        <v>7.6923076923076927E-2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8</v>
      </c>
      <c r="Y454" s="547">
        <f>IFERROR(Y448/H448,"0")+IFERROR(Y449/H449,"0")+IFERROR(Y450/H450,"0")+IFERROR(Y451/H451,"0")+IFERROR(Y452/H452,"0")+IFERROR(Y453/H453,"0")</f>
        <v>8</v>
      </c>
      <c r="Z454" s="547">
        <f>IFERROR(IF(Z448="",0,Z448),"0")+IFERROR(IF(Z449="",0,Z449),"0")+IFERROR(IF(Z450="",0,Z450),"0")+IFERROR(IF(Z451="",0,Z451),"0")+IFERROR(IF(Z452="",0,Z452),"0")+IFERROR(IF(Z453="",0,Z453),"0")</f>
        <v>9.5680000000000001E-2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42.24</v>
      </c>
      <c r="Y455" s="547">
        <f>IFERROR(SUM(Y448:Y453),"0")</f>
        <v>42.24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1520.64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1520.64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1601.2159999999997</v>
      </c>
      <c r="Y489" s="547">
        <f>IFERROR(SUM(BN22:BN485),"0")</f>
        <v>1601.2159999999997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3</v>
      </c>
      <c r="Y490" s="38">
        <f>ROUNDUP(SUM(BP22:BP485),0)</f>
        <v>3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1676.2159999999997</v>
      </c>
      <c r="Y491" s="547">
        <f>GrossWeightTotalR+PalletQtyTotalR*25</f>
        <v>1676.2159999999997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202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202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3.0397400000000001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86.4</v>
      </c>
      <c r="E498" s="46">
        <f>IFERROR(Y84*1,"0")+IFERROR(Y85*1,"0")+IFERROR(Y86*1,"0")+IFERROR(Y87*1,"0")+IFERROR(Y91*1,"0")+IFERROR(Y92*1,"0")+IFERROR(Y93*1,"0")+IFERROR(Y94*1,"0")</f>
        <v>64.8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151.19999999999999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192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432</v>
      </c>
      <c r="T498" s="46">
        <f>IFERROR(Y373*1,"0")+IFERROR(Y374*1,"0")+IFERROR(Y378*1,"0")+IFERROR(Y379*1,"0")+IFERROR(Y383*1,"0")+IFERROR(Y384*1,"0")+IFERROR(Y385*1,"0")</f>
        <v>340.8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253.44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2026-01-28T06:37:52Z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