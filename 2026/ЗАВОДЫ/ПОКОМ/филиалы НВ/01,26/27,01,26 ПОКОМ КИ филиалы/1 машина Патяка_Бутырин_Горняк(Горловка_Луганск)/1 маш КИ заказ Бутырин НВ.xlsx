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48293326-CBF7-4A6F-88EA-31B0CCB6059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Y343" i="1"/>
  <c r="X343" i="1"/>
  <c r="BP342" i="1"/>
  <c r="BO342" i="1"/>
  <c r="BN342" i="1"/>
  <c r="BM342" i="1"/>
  <c r="Z342" i="1"/>
  <c r="Y342" i="1"/>
  <c r="P342" i="1"/>
  <c r="BO341" i="1"/>
  <c r="BN341" i="1"/>
  <c r="BM341" i="1"/>
  <c r="Z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201" i="1"/>
  <c r="X200" i="1"/>
  <c r="BO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Y185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39" i="1"/>
  <c r="Y138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X64" i="1"/>
  <c r="Y63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2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1" i="1"/>
  <c r="Y43" i="1"/>
  <c r="BP55" i="1"/>
  <c r="BN55" i="1"/>
  <c r="Z55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Y88" i="1"/>
  <c r="BP92" i="1"/>
  <c r="BN92" i="1"/>
  <c r="Z92" i="1"/>
  <c r="Z95" i="1" s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498" i="1"/>
  <c r="Y129" i="1"/>
  <c r="BP126" i="1"/>
  <c r="BN126" i="1"/>
  <c r="Z126" i="1"/>
  <c r="Z128" i="1" s="1"/>
  <c r="BP143" i="1"/>
  <c r="BN143" i="1"/>
  <c r="Z143" i="1"/>
  <c r="Z144" i="1" s="1"/>
  <c r="Y145" i="1"/>
  <c r="Y152" i="1"/>
  <c r="BP147" i="1"/>
  <c r="BN147" i="1"/>
  <c r="Z147" i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0" i="1"/>
  <c r="BP198" i="1"/>
  <c r="BN198" i="1"/>
  <c r="Z198" i="1"/>
  <c r="Z200" i="1" s="1"/>
  <c r="BP297" i="1"/>
  <c r="BN297" i="1"/>
  <c r="Z297" i="1"/>
  <c r="Z301" i="1" s="1"/>
  <c r="Q498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Y323" i="1"/>
  <c r="H498" i="1"/>
  <c r="H9" i="1"/>
  <c r="B498" i="1"/>
  <c r="X489" i="1"/>
  <c r="X490" i="1"/>
  <c r="Z23" i="1"/>
  <c r="Z24" i="1" s="1"/>
  <c r="BN23" i="1"/>
  <c r="Y489" i="1" s="1"/>
  <c r="Y24" i="1"/>
  <c r="X488" i="1"/>
  <c r="Z27" i="1"/>
  <c r="BN27" i="1"/>
  <c r="BP27" i="1"/>
  <c r="Y490" i="1" s="1"/>
  <c r="Z29" i="1"/>
  <c r="BN29" i="1"/>
  <c r="C498" i="1"/>
  <c r="Z41" i="1"/>
  <c r="Z43" i="1" s="1"/>
  <c r="BN41" i="1"/>
  <c r="Y44" i="1"/>
  <c r="D498" i="1"/>
  <c r="Y58" i="1"/>
  <c r="BP51" i="1"/>
  <c r="BN51" i="1"/>
  <c r="BP53" i="1"/>
  <c r="BN53" i="1"/>
  <c r="Z53" i="1"/>
  <c r="Z57" i="1" s="1"/>
  <c r="Y57" i="1"/>
  <c r="Z63" i="1"/>
  <c r="BP61" i="1"/>
  <c r="BN61" i="1"/>
  <c r="Z61" i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498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Y128" i="1"/>
  <c r="BP132" i="1"/>
  <c r="BN132" i="1"/>
  <c r="Z132" i="1"/>
  <c r="Z133" i="1" s="1"/>
  <c r="Y134" i="1"/>
  <c r="Y139" i="1"/>
  <c r="BP136" i="1"/>
  <c r="BN136" i="1"/>
  <c r="Z136" i="1"/>
  <c r="Z138" i="1" s="1"/>
  <c r="Y144" i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Z185" i="1" s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Z281" i="1" s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Y355" i="1"/>
  <c r="BP353" i="1"/>
  <c r="BN353" i="1"/>
  <c r="Z353" i="1"/>
  <c r="BP392" i="1"/>
  <c r="BN392" i="1"/>
  <c r="Z392" i="1"/>
  <c r="Z400" i="1" s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Z439" i="1" s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Z223" i="1" s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498" i="1"/>
  <c r="Y344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O498" i="1"/>
  <c r="Y282" i="1"/>
  <c r="P498" i="1"/>
  <c r="Y287" i="1"/>
  <c r="S498" i="1"/>
  <c r="BP351" i="1"/>
  <c r="BN351" i="1"/>
  <c r="Z351" i="1"/>
  <c r="Z355" i="1" s="1"/>
  <c r="BP359" i="1"/>
  <c r="BN359" i="1"/>
  <c r="Z359" i="1"/>
  <c r="Z360" i="1" s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Z463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Y491" i="1" l="1"/>
  <c r="Z336" i="1"/>
  <c r="Z266" i="1"/>
  <c r="Z241" i="1"/>
  <c r="Z317" i="1"/>
  <c r="Z179" i="1"/>
  <c r="Z454" i="1"/>
  <c r="Z417" i="1"/>
  <c r="Z274" i="1"/>
  <c r="Z257" i="1"/>
  <c r="Z211" i="1"/>
  <c r="Z104" i="1"/>
  <c r="Z31" i="1"/>
  <c r="Z493" i="1" s="1"/>
  <c r="Y492" i="1"/>
  <c r="X491" i="1"/>
  <c r="Z152" i="1"/>
  <c r="Z88" i="1"/>
  <c r="Z75" i="1"/>
  <c r="Y488" i="1"/>
</calcChain>
</file>

<file path=xl/sharedStrings.xml><?xml version="1.0" encoding="utf-8"?>
<sst xmlns="http://schemas.openxmlformats.org/spreadsheetml/2006/main" count="2283" uniqueCount="767">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</sst>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1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0</v>
      </c>
      <c r="Y43" s="547">
        <f>IFERROR(Y40/H40,"0")+IFERROR(Y41/H41,"0")+IFERROR(Y42/H42,"0")</f>
        <v>0</v>
      </c>
      <c r="Z43" s="547">
        <f>IFERROR(IF(Z40="",0,Z40),"0")+IFERROR(IF(Z41="",0,Z41),"0")+IFERROR(IF(Z42="",0,Z42),"0")</f>
        <v>0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0</v>
      </c>
      <c r="Y44" s="547">
        <f>IFERROR(SUM(Y40:Y42),"0")</f>
        <v>0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0</v>
      </c>
      <c r="Y57" s="547">
        <f>IFERROR(Y51/H51,"0")+IFERROR(Y52/H52,"0")+IFERROR(Y53/H53,"0")+IFERROR(Y54/H54,"0")+IFERROR(Y55/H55,"0")+IFERROR(Y56/H56,"0")</f>
        <v>0</v>
      </c>
      <c r="Z57" s="547">
        <f>IFERROR(IF(Z51="",0,Z51),"0")+IFERROR(IF(Z52="",0,Z52),"0")+IFERROR(IF(Z53="",0,Z53),"0")+IFERROR(IF(Z54="",0,Z54),"0")+IFERROR(IF(Z55="",0,Z55),"0")+IFERROR(IF(Z56="",0,Z56),"0")</f>
        <v>0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0</v>
      </c>
      <c r="Y58" s="547">
        <f>IFERROR(SUM(Y51:Y56),"0")</f>
        <v>0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0</v>
      </c>
      <c r="Y84" s="54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0</v>
      </c>
      <c r="Y88" s="547">
        <f>IFERROR(Y84/H84,"0")+IFERROR(Y85/H85,"0")+IFERROR(Y86/H86,"0")+IFERROR(Y87/H87,"0")</f>
        <v>0</v>
      </c>
      <c r="Z88" s="547">
        <f>IFERROR(IF(Z84="",0,Z84),"0")+IFERROR(IF(Z85="",0,Z85),"0")+IFERROR(IF(Z86="",0,Z86),"0")+IFERROR(IF(Z87="",0,Z87),"0")</f>
        <v>0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0</v>
      </c>
      <c r="Y89" s="547">
        <f>IFERROR(SUM(Y84:Y87),"0")</f>
        <v>0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0</v>
      </c>
      <c r="Y91" s="546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0</v>
      </c>
      <c r="Y95" s="547">
        <f>IFERROR(Y91/H91,"0")+IFERROR(Y92/H92,"0")+IFERROR(Y93/H93,"0")+IFERROR(Y94/H94,"0")</f>
        <v>0</v>
      </c>
      <c r="Z95" s="547">
        <f>IFERROR(IF(Z91="",0,Z91),"0")+IFERROR(IF(Z92="",0,Z92),"0")+IFERROR(IF(Z93="",0,Z93),"0")+IFERROR(IF(Z94="",0,Z94),"0")</f>
        <v>0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0</v>
      </c>
      <c r="Y96" s="547">
        <f>IFERROR(SUM(Y91:Y94),"0")</f>
        <v>0</v>
      </c>
      <c r="Z96" s="37"/>
      <c r="AA96" s="548"/>
      <c r="AB96" s="548"/>
      <c r="AC96" s="548"/>
    </row>
    <row r="97" spans="1:68" ht="16.5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0</v>
      </c>
      <c r="Y104" s="547">
        <f>IFERROR(Y99/H99,"0")+IFERROR(Y100/H100,"0")+IFERROR(Y101/H101,"0")+IFERROR(Y102/H102,"0")+IFERROR(Y103/H103,"0")</f>
        <v>0</v>
      </c>
      <c r="Z104" s="547">
        <f>IFERROR(IF(Z99="",0,Z99),"0")+IFERROR(IF(Z100="",0,Z100),"0")+IFERROR(IF(Z101="",0,Z101),"0")+IFERROR(IF(Z102="",0,Z102),"0")+IFERROR(IF(Z103="",0,Z103),"0")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0</v>
      </c>
      <c r="Y105" s="547">
        <f>IFERROR(SUM(Y99:Y103),"0")</f>
        <v>0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143</v>
      </c>
      <c r="Y114" s="546">
        <f>IFERROR(IF(X114="",0,CEILING((X114/$H114),1)*$H114),"")</f>
        <v>145.79999999999998</v>
      </c>
      <c r="Z114" s="36">
        <f>IFERROR(IF(Y114=0,"",ROUNDUP(Y114/H114,0)*0.01898),"")</f>
        <v>0.34164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151.6153086419753</v>
      </c>
      <c r="BN114" s="64">
        <f>IFERROR(Y114*I114/H114,"0")</f>
        <v>154.58399999999997</v>
      </c>
      <c r="BO114" s="64">
        <f>IFERROR(1/J114*(X114/H114),"0")</f>
        <v>0.2758487654320988</v>
      </c>
      <c r="BP114" s="64">
        <f>IFERROR(1/J114*(Y114/H114),"0")</f>
        <v>0.28125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17.654320987654323</v>
      </c>
      <c r="Y118" s="547">
        <f>IFERROR(Y114/H114,"0")+IFERROR(Y115/H115,"0")+IFERROR(Y116/H116,"0")+IFERROR(Y117/H117,"0")</f>
        <v>18</v>
      </c>
      <c r="Z118" s="547">
        <f>IFERROR(IF(Z114="",0,Z114),"0")+IFERROR(IF(Z115="",0,Z115),"0")+IFERROR(IF(Z116="",0,Z116),"0")+IFERROR(IF(Z117="",0,Z117),"0")</f>
        <v>0.34164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143</v>
      </c>
      <c r="Y119" s="547">
        <f>IFERROR(SUM(Y114:Y117),"0")</f>
        <v>145.79999999999998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/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0</v>
      </c>
      <c r="Y180" s="547">
        <f>IFERROR(SUM(Y165:Y178),"0")</f>
        <v>0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 t="s">
        <v>186</v>
      </c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106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0</v>
      </c>
      <c r="Y211" s="547">
        <f>IFERROR(Y203/H203,"0")+IFERROR(Y204/H204,"0")+IFERROR(Y205/H205,"0")+IFERROR(Y206/H206,"0")+IFERROR(Y207/H207,"0")+IFERROR(Y208/H208,"0")+IFERROR(Y209/H209,"0")+IFERROR(Y210/H210,"0")</f>
        <v>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0</v>
      </c>
      <c r="Y212" s="547">
        <f>IFERROR(SUM(Y203:Y210),"0")</f>
        <v>0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121</v>
      </c>
      <c r="Y219" s="546">
        <f t="shared" si="15"/>
        <v>122.39999999999999</v>
      </c>
      <c r="Z219" s="36">
        <f t="shared" si="20"/>
        <v>0.33201000000000003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133.70500000000001</v>
      </c>
      <c r="BN219" s="64">
        <f t="shared" si="17"/>
        <v>135.25200000000001</v>
      </c>
      <c r="BO219" s="64">
        <f t="shared" si="18"/>
        <v>0.27701465201465209</v>
      </c>
      <c r="BP219" s="64">
        <f t="shared" si="19"/>
        <v>0.28021978021978022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112</v>
      </c>
      <c r="Y220" s="546">
        <f t="shared" si="15"/>
        <v>112.8</v>
      </c>
      <c r="Z220" s="36">
        <f t="shared" si="20"/>
        <v>0.30597000000000002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123.76</v>
      </c>
      <c r="BN220" s="64">
        <f t="shared" si="17"/>
        <v>124.64400000000001</v>
      </c>
      <c r="BO220" s="64">
        <f t="shared" si="18"/>
        <v>0.25641025641025644</v>
      </c>
      <c r="BP220" s="64">
        <f t="shared" si="19"/>
        <v>0.25824175824175827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97.083333333333343</v>
      </c>
      <c r="Y223" s="547">
        <f>IFERROR(Y214/H214,"0")+IFERROR(Y215/H215,"0")+IFERROR(Y216/H216,"0")+IFERROR(Y217/H217,"0")+IFERROR(Y218/H218,"0")+IFERROR(Y219/H219,"0")+IFERROR(Y220/H220,"0")+IFERROR(Y221/H221,"0")+IFERROR(Y222/H222,"0")</f>
        <v>98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0.63797999999999999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233</v>
      </c>
      <c r="Y224" s="547">
        <f>IFERROR(SUM(Y214:Y222),"0")</f>
        <v>235.2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 t="s">
        <v>103</v>
      </c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106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44</v>
      </c>
      <c r="Y279" s="546">
        <f>IFERROR(IF(X279="",0,CEILING((X279/$H279),1)*$H279),"")</f>
        <v>45.6</v>
      </c>
      <c r="Z279" s="36">
        <f>IFERROR(IF(Y279=0,"",ROUNDUP(Y279/H279,0)*0.00651),"")</f>
        <v>0.12369000000000001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48.620000000000005</v>
      </c>
      <c r="BN279" s="64">
        <f>IFERROR(Y279*I279/H279,"0")</f>
        <v>50.388000000000005</v>
      </c>
      <c r="BO279" s="64">
        <f>IFERROR(1/J279*(X279/H279),"0")</f>
        <v>0.10073260073260075</v>
      </c>
      <c r="BP279" s="64">
        <f>IFERROR(1/J279*(Y279/H279),"0")</f>
        <v>0.1043956043956044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18.333333333333336</v>
      </c>
      <c r="Y281" s="547">
        <f>IFERROR(Y278/H278,"0")+IFERROR(Y279/H279,"0")+IFERROR(Y280/H280,"0")</f>
        <v>19</v>
      </c>
      <c r="Z281" s="547">
        <f>IFERROR(IF(Z278="",0,Z278),"0")+IFERROR(IF(Z279="",0,Z279),"0")+IFERROR(IF(Z280="",0,Z280),"0")</f>
        <v>0.12369000000000001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44</v>
      </c>
      <c r="Y282" s="547">
        <f>IFERROR(SUM(Y278:Y280),"0")</f>
        <v>45.6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/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/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0</v>
      </c>
      <c r="Y323" s="547">
        <f>IFERROR(Y320/H320,"0")+IFERROR(Y321/H321,"0")+IFERROR(Y322/H322,"0")</f>
        <v>0</v>
      </c>
      <c r="Z323" s="547">
        <f>IFERROR(IF(Z320="",0,Z320),"0")+IFERROR(IF(Z321="",0,Z321),"0")+IFERROR(IF(Z322="",0,Z322),"0")</f>
        <v>0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0</v>
      </c>
      <c r="Y324" s="547">
        <f>IFERROR(SUM(Y320:Y322),"0")</f>
        <v>0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167</v>
      </c>
      <c r="Y348" s="546">
        <f t="shared" ref="Y348:Y354" si="31">IFERROR(IF(X348="",0,CEILING((X348/$H348),1)*$H348),"")</f>
        <v>180</v>
      </c>
      <c r="Z348" s="36">
        <f>IFERROR(IF(Y348=0,"",ROUNDUP(Y348/H348,0)*0.02175),"")</f>
        <v>0.26100000000000001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172.23266666666669</v>
      </c>
      <c r="BN348" s="64">
        <f t="shared" ref="BN348:BN354" si="33">IFERROR(Y348*I348/H348,"0")</f>
        <v>185.64</v>
      </c>
      <c r="BO348" s="64">
        <f t="shared" ref="BO348:BO354" si="34">IFERROR(1/J348*(X348/H348),"0")</f>
        <v>0.23194444444444443</v>
      </c>
      <c r="BP348" s="64">
        <f t="shared" ref="BP348:BP354" si="35">IFERROR(1/J348*(Y348/H348),"0")</f>
        <v>0.25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11.133333333333333</v>
      </c>
      <c r="Y355" s="547">
        <f>IFERROR(Y348/H348,"0")+IFERROR(Y349/H349,"0")+IFERROR(Y350/H350,"0")+IFERROR(Y351/H351,"0")+IFERROR(Y352/H352,"0")+IFERROR(Y353/H353,"0")+IFERROR(Y354/H354,"0")</f>
        <v>12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0.26100000000000001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167</v>
      </c>
      <c r="Y356" s="547">
        <f>IFERROR(SUM(Y348:Y354),"0")</f>
        <v>180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175</v>
      </c>
      <c r="Y358" s="546">
        <f>IFERROR(IF(X358="",0,CEILING((X358/$H358),1)*$H358),"")</f>
        <v>180</v>
      </c>
      <c r="Z358" s="36">
        <f>IFERROR(IF(Y358=0,"",ROUNDUP(Y358/H358,0)*0.02175),"")</f>
        <v>0.26100000000000001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180.48333333333332</v>
      </c>
      <c r="BN358" s="64">
        <f>IFERROR(Y358*I358/H358,"0")</f>
        <v>185.64</v>
      </c>
      <c r="BO358" s="64">
        <f>IFERROR(1/J358*(X358/H358),"0")</f>
        <v>0.24305555555555552</v>
      </c>
      <c r="BP358" s="64">
        <f>IFERROR(1/J358*(Y358/H358),"0")</f>
        <v>0.25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11.666666666666666</v>
      </c>
      <c r="Y360" s="547">
        <f>IFERROR(Y358/H358,"0")+IFERROR(Y359/H359,"0")</f>
        <v>12</v>
      </c>
      <c r="Z360" s="547">
        <f>IFERROR(IF(Z358="",0,Z358),"0")+IFERROR(IF(Z359="",0,Z359),"0")</f>
        <v>0.26100000000000001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175</v>
      </c>
      <c r="Y361" s="547">
        <f>IFERROR(SUM(Y358:Y359),"0")</f>
        <v>180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 t="s">
        <v>110</v>
      </c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 t="s">
        <v>106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0</v>
      </c>
      <c r="Y386" s="547">
        <f>IFERROR(Y383/H383,"0")+IFERROR(Y384/H384,"0")+IFERROR(Y385/H385,"0")</f>
        <v>0</v>
      </c>
      <c r="Z386" s="547">
        <f>IFERROR(IF(Z383="",0,Z383),"0")+IFERROR(IF(Z384="",0,Z384),"0")+IFERROR(IF(Z385="",0,Z385),"0")</f>
        <v>0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0</v>
      </c>
      <c r="Y387" s="547">
        <f>IFERROR(SUM(Y383:Y385),"0")</f>
        <v>0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363</v>
      </c>
      <c r="Y433" s="546">
        <f t="shared" si="42"/>
        <v>364.32</v>
      </c>
      <c r="Z433" s="36">
        <f t="shared" si="43"/>
        <v>0.82523999999999997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387.0625</v>
      </c>
      <c r="BN433" s="64">
        <f t="shared" si="45"/>
        <v>388.46999999999997</v>
      </c>
      <c r="BO433" s="64">
        <f t="shared" si="46"/>
        <v>0.66105769230769229</v>
      </c>
      <c r="BP433" s="64">
        <f t="shared" si="47"/>
        <v>0.66346153846153855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68.75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69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0.82523999999999997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363</v>
      </c>
      <c r="Y440" s="547">
        <f>IFERROR(SUM(Y427:Y438),"0")</f>
        <v>364.32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132</v>
      </c>
      <c r="Y442" s="546">
        <f>IFERROR(IF(X442="",0,CEILING((X442/$H442),1)*$H442),"")</f>
        <v>132</v>
      </c>
      <c r="Z442" s="36">
        <f>IFERROR(IF(Y442=0,"",ROUNDUP(Y442/H442,0)*0.01196),"")</f>
        <v>0.29899999999999999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140.75</v>
      </c>
      <c r="BN442" s="64">
        <f>IFERROR(Y442*I442/H442,"0")</f>
        <v>140.75</v>
      </c>
      <c r="BO442" s="64">
        <f>IFERROR(1/J442*(X442/H442),"0")</f>
        <v>0.24038461538461539</v>
      </c>
      <c r="BP442" s="64">
        <f>IFERROR(1/J442*(Y442/H442),"0")</f>
        <v>0.24038461538461539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25</v>
      </c>
      <c r="Y445" s="547">
        <f>IFERROR(Y442/H442,"0")+IFERROR(Y443/H443,"0")+IFERROR(Y444/H444,"0")</f>
        <v>25</v>
      </c>
      <c r="Z445" s="547">
        <f>IFERROR(IF(Z442="",0,Z442),"0")+IFERROR(IF(Z443="",0,Z443),"0")+IFERROR(IF(Z444="",0,Z444),"0")</f>
        <v>0.29899999999999999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132</v>
      </c>
      <c r="Y446" s="547">
        <f>IFERROR(SUM(Y442:Y444),"0")</f>
        <v>132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0</v>
      </c>
      <c r="Y454" s="547">
        <f>IFERROR(Y448/H448,"0")+IFERROR(Y449/H449,"0")+IFERROR(Y450/H450,"0")+IFERROR(Y451/H451,"0")+IFERROR(Y452/H452,"0")+IFERROR(Y453/H453,"0")</f>
        <v>0</v>
      </c>
      <c r="Z454" s="547">
        <f>IFERROR(IF(Z448="",0,Z448),"0")+IFERROR(IF(Z449="",0,Z449),"0")+IFERROR(IF(Z450="",0,Z450),"0")+IFERROR(IF(Z451="",0,Z451),"0")+IFERROR(IF(Z452="",0,Z452),"0")+IFERROR(IF(Z453="",0,Z453),"0")</f>
        <v>0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0</v>
      </c>
      <c r="Y455" s="547">
        <f>IFERROR(SUM(Y448:Y453),"0")</f>
        <v>0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1257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1282.92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1338.2288086419753</v>
      </c>
      <c r="Y489" s="547">
        <f>IFERROR(SUM(BN22:BN485),"0")</f>
        <v>1365.3679999999999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3</v>
      </c>
      <c r="Y490" s="38">
        <f>ROUNDUP(SUM(BP22:BP485),0)</f>
        <v>3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1413.2288086419753</v>
      </c>
      <c r="Y491" s="547">
        <f>GrossWeightTotalR+PalletQtyTotalR*25</f>
        <v>1440.3679999999999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249.620987654321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253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2.7495500000000002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190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8" s="46">
        <f>IFERROR(Y84*1,"0")+IFERROR(Y85*1,"0")+IFERROR(Y86*1,"0")+IFERROR(Y87*1,"0")+IFERROR(Y91*1,"0")+IFERROR(Y92*1,"0")+IFERROR(Y93*1,"0")+IFERROR(Y94*1,"0")</f>
        <v>0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145.79999999999998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235.2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45.6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360</v>
      </c>
      <c r="T498" s="46">
        <f>IFERROR(Y373*1,"0")+IFERROR(Y374*1,"0")+IFERROR(Y378*1,"0")+IFERROR(Y379*1,"0")+IFERROR(Y383*1,"0")+IFERROR(Y384*1,"0")+IFERROR(Y385*1,"0")</f>
        <v>0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496.32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fnz0DG5DRnjJHhCnQRq2YTTa9uvGcHaAiAay2SESnKKo4UuJQRxCkWI9o2YNV+q3J90/sJ4nTcs8+MmCxx0OYw==" saltValue="c1Vg350yDZ4Cj/oCuRd2x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1 X167 X169 X176 X194 X203:X208 X210 X214:X217 X219:X222 X239 X261 X263 X279:X280 X305 X313 X321 X328:X329 X341:X342 X348:X350 X358 X373 X378 X383:X384 X393 X427 X430:X431 X433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nRcQEMPvMMmv2SF8IJ/JgXk+B1RH85izkwPFln9byq4yteWfcc6RwY+XBRJyrm2yQPtRJm/89Z1REextb5Prdg==" saltValue="PKk/GTZvaZqeR9LB7x0hE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2026-01-28T06:42:27Z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