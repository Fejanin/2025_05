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2026\ЗАВОДЫ\ПОКОМ\филиалы НВ\01,26\27,01,26 ПОКОМ КИ филиалы\"/>
    </mc:Choice>
  </mc:AlternateContent>
  <xr:revisionPtr revIDLastSave="0" documentId="13_ncr:1_{B2DD8D0E-D46B-4908-AFF6-2367AD6079D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Sheet!$A$3:$AJ$100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77" i="1" l="1"/>
  <c r="AJ77" i="1" s="1"/>
  <c r="U16" i="1"/>
  <c r="AJ16" i="1" s="1"/>
  <c r="U9" i="1"/>
  <c r="AJ9" i="1" s="1"/>
  <c r="U12" i="1"/>
  <c r="AJ12" i="1" s="1"/>
  <c r="U17" i="1"/>
  <c r="AJ17" i="1" s="1"/>
  <c r="U19" i="1"/>
  <c r="AJ19" i="1" s="1"/>
  <c r="U21" i="1"/>
  <c r="AJ21" i="1" s="1"/>
  <c r="U22" i="1"/>
  <c r="AJ22" i="1" s="1"/>
  <c r="U23" i="1"/>
  <c r="AJ23" i="1" s="1"/>
  <c r="U26" i="1"/>
  <c r="AJ26" i="1" s="1"/>
  <c r="U29" i="1"/>
  <c r="AJ29" i="1" s="1"/>
  <c r="U31" i="1"/>
  <c r="AJ31" i="1" s="1"/>
  <c r="U33" i="1"/>
  <c r="AJ33" i="1" s="1"/>
  <c r="U37" i="1"/>
  <c r="AJ37" i="1" s="1"/>
  <c r="U38" i="1"/>
  <c r="AJ38" i="1" s="1"/>
  <c r="U39" i="1"/>
  <c r="AJ39" i="1" s="1"/>
  <c r="U42" i="1"/>
  <c r="AJ42" i="1" s="1"/>
  <c r="U44" i="1"/>
  <c r="AJ44" i="1" s="1"/>
  <c r="U47" i="1"/>
  <c r="AJ47" i="1" s="1"/>
  <c r="U51" i="1"/>
  <c r="U54" i="1"/>
  <c r="AJ54" i="1" s="1"/>
  <c r="U55" i="1"/>
  <c r="AJ55" i="1" s="1"/>
  <c r="U56" i="1"/>
  <c r="AJ56" i="1" s="1"/>
  <c r="U60" i="1"/>
  <c r="AJ60" i="1" s="1"/>
  <c r="U68" i="1"/>
  <c r="AJ68" i="1" s="1"/>
  <c r="U70" i="1"/>
  <c r="AJ70" i="1" s="1"/>
  <c r="U71" i="1"/>
  <c r="AJ71" i="1" s="1"/>
  <c r="U72" i="1"/>
  <c r="AJ72" i="1" s="1"/>
  <c r="U73" i="1"/>
  <c r="AJ73" i="1" s="1"/>
  <c r="U80" i="1"/>
  <c r="AJ80" i="1" s="1"/>
  <c r="U81" i="1"/>
  <c r="AJ81" i="1" s="1"/>
  <c r="U82" i="1"/>
  <c r="AJ82" i="1" s="1"/>
  <c r="U84" i="1"/>
  <c r="AJ84" i="1" s="1"/>
  <c r="U85" i="1"/>
  <c r="AJ85" i="1" s="1"/>
  <c r="U86" i="1"/>
  <c r="AJ86" i="1" s="1"/>
  <c r="U87" i="1"/>
  <c r="AJ87" i="1" s="1"/>
  <c r="U89" i="1"/>
  <c r="U91" i="1"/>
  <c r="AJ91" i="1" s="1"/>
  <c r="U95" i="1"/>
  <c r="AJ95" i="1" s="1"/>
  <c r="U96" i="1"/>
  <c r="AJ96" i="1" s="1"/>
  <c r="U6" i="1"/>
  <c r="AJ6" i="1" s="1"/>
  <c r="R97" i="1"/>
  <c r="Z97" i="1" s="1"/>
  <c r="R98" i="1"/>
  <c r="Z98" i="1" s="1"/>
  <c r="R99" i="1"/>
  <c r="Z99" i="1" s="1"/>
  <c r="R100" i="1"/>
  <c r="Z100" i="1" s="1"/>
  <c r="U100" i="1"/>
  <c r="AJ100" i="1" s="1"/>
  <c r="U99" i="1"/>
  <c r="AJ99" i="1" s="1"/>
  <c r="U98" i="1"/>
  <c r="AJ98" i="1" s="1"/>
  <c r="U97" i="1"/>
  <c r="AJ97" i="1" s="1"/>
  <c r="AJ51" i="1"/>
  <c r="AJ89" i="1"/>
  <c r="Y99" i="1" l="1"/>
  <c r="Y97" i="1"/>
  <c r="Y98" i="1"/>
  <c r="Y100" i="1"/>
  <c r="R7" i="1"/>
  <c r="S7" i="1" s="1"/>
  <c r="R8" i="1"/>
  <c r="S8" i="1" s="1"/>
  <c r="R9" i="1"/>
  <c r="Y9" i="1" s="1"/>
  <c r="R10" i="1"/>
  <c r="R11" i="1"/>
  <c r="R12" i="1"/>
  <c r="Y12" i="1" s="1"/>
  <c r="R13" i="1"/>
  <c r="R14" i="1"/>
  <c r="S14" i="1" s="1"/>
  <c r="U14" i="1" s="1"/>
  <c r="R15" i="1"/>
  <c r="S15" i="1" s="1"/>
  <c r="R16" i="1"/>
  <c r="Y16" i="1" s="1"/>
  <c r="R17" i="1"/>
  <c r="Y17" i="1" s="1"/>
  <c r="R18" i="1"/>
  <c r="T18" i="1" s="1"/>
  <c r="R19" i="1"/>
  <c r="Y19" i="1" s="1"/>
  <c r="R20" i="1"/>
  <c r="S20" i="1" s="1"/>
  <c r="U20" i="1" s="1"/>
  <c r="R21" i="1"/>
  <c r="Y21" i="1" s="1"/>
  <c r="R22" i="1"/>
  <c r="Y22" i="1" s="1"/>
  <c r="R23" i="1"/>
  <c r="Y23" i="1" s="1"/>
  <c r="R24" i="1"/>
  <c r="R25" i="1"/>
  <c r="R26" i="1"/>
  <c r="Y26" i="1" s="1"/>
  <c r="R27" i="1"/>
  <c r="S27" i="1" s="1"/>
  <c r="U27" i="1" s="1"/>
  <c r="R28" i="1"/>
  <c r="R29" i="1"/>
  <c r="Y29" i="1" s="1"/>
  <c r="R30" i="1"/>
  <c r="R31" i="1"/>
  <c r="Y31" i="1" s="1"/>
  <c r="R32" i="1"/>
  <c r="R33" i="1"/>
  <c r="Y33" i="1" s="1"/>
  <c r="R34" i="1"/>
  <c r="S34" i="1" s="1"/>
  <c r="R35" i="1"/>
  <c r="R36" i="1"/>
  <c r="T36" i="1" s="1"/>
  <c r="R37" i="1"/>
  <c r="Y37" i="1" s="1"/>
  <c r="R38" i="1"/>
  <c r="Y38" i="1" s="1"/>
  <c r="R39" i="1"/>
  <c r="Y39" i="1" s="1"/>
  <c r="R40" i="1"/>
  <c r="S40" i="1" s="1"/>
  <c r="U40" i="1" s="1"/>
  <c r="R41" i="1"/>
  <c r="S41" i="1" s="1"/>
  <c r="U41" i="1" s="1"/>
  <c r="R42" i="1"/>
  <c r="Y42" i="1" s="1"/>
  <c r="R43" i="1"/>
  <c r="R44" i="1"/>
  <c r="Y44" i="1" s="1"/>
  <c r="R45" i="1"/>
  <c r="R46" i="1"/>
  <c r="S46" i="1" s="1"/>
  <c r="U46" i="1" s="1"/>
  <c r="R47" i="1"/>
  <c r="Y47" i="1" s="1"/>
  <c r="R48" i="1"/>
  <c r="S48" i="1" s="1"/>
  <c r="U48" i="1" s="1"/>
  <c r="R49" i="1"/>
  <c r="S49" i="1" s="1"/>
  <c r="U49" i="1" s="1"/>
  <c r="R50" i="1"/>
  <c r="R51" i="1"/>
  <c r="Y51" i="1" s="1"/>
  <c r="R52" i="1"/>
  <c r="R53" i="1"/>
  <c r="R54" i="1"/>
  <c r="Y54" i="1" s="1"/>
  <c r="R55" i="1"/>
  <c r="Y55" i="1" s="1"/>
  <c r="R56" i="1"/>
  <c r="Y56" i="1" s="1"/>
  <c r="R57" i="1"/>
  <c r="R58" i="1"/>
  <c r="R59" i="1"/>
  <c r="R60" i="1"/>
  <c r="Y60" i="1" s="1"/>
  <c r="R61" i="1"/>
  <c r="R62" i="1"/>
  <c r="R63" i="1"/>
  <c r="R64" i="1"/>
  <c r="R65" i="1"/>
  <c r="R66" i="1"/>
  <c r="R67" i="1"/>
  <c r="R68" i="1"/>
  <c r="Y68" i="1" s="1"/>
  <c r="R69" i="1"/>
  <c r="S69" i="1" s="1"/>
  <c r="U69" i="1" s="1"/>
  <c r="R70" i="1"/>
  <c r="Y70" i="1" s="1"/>
  <c r="R71" i="1"/>
  <c r="Y71" i="1" s="1"/>
  <c r="R72" i="1"/>
  <c r="Y72" i="1" s="1"/>
  <c r="R73" i="1"/>
  <c r="Y73" i="1" s="1"/>
  <c r="R74" i="1"/>
  <c r="R75" i="1"/>
  <c r="R76" i="1"/>
  <c r="R77" i="1"/>
  <c r="Y77" i="1" s="1"/>
  <c r="R78" i="1"/>
  <c r="S78" i="1" s="1"/>
  <c r="R79" i="1"/>
  <c r="S79" i="1" s="1"/>
  <c r="R80" i="1"/>
  <c r="Y80" i="1" s="1"/>
  <c r="R81" i="1"/>
  <c r="Y81" i="1" s="1"/>
  <c r="R82" i="1"/>
  <c r="Y82" i="1" s="1"/>
  <c r="R83" i="1"/>
  <c r="S83" i="1" s="1"/>
  <c r="U83" i="1" s="1"/>
  <c r="R84" i="1"/>
  <c r="Y84" i="1" s="1"/>
  <c r="R85" i="1"/>
  <c r="Y85" i="1" s="1"/>
  <c r="R86" i="1"/>
  <c r="Y86" i="1" s="1"/>
  <c r="R87" i="1"/>
  <c r="Y87" i="1" s="1"/>
  <c r="R88" i="1"/>
  <c r="S88" i="1" s="1"/>
  <c r="U88" i="1" s="1"/>
  <c r="R89" i="1"/>
  <c r="Y89" i="1" s="1"/>
  <c r="R90" i="1"/>
  <c r="R91" i="1"/>
  <c r="Z91" i="1" s="1"/>
  <c r="R92" i="1"/>
  <c r="R93" i="1"/>
  <c r="Z93" i="1" s="1"/>
  <c r="R94" i="1"/>
  <c r="S94" i="1" s="1"/>
  <c r="U94" i="1" s="1"/>
  <c r="R95" i="1"/>
  <c r="Z95" i="1" s="1"/>
  <c r="R96" i="1"/>
  <c r="Y96" i="1" s="1"/>
  <c r="R6" i="1"/>
  <c r="Y6" i="1" s="1"/>
  <c r="X5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H5" i="1"/>
  <c r="AG5" i="1"/>
  <c r="AF5" i="1"/>
  <c r="AE5" i="1"/>
  <c r="AD5" i="1"/>
  <c r="AC5" i="1"/>
  <c r="AB5" i="1"/>
  <c r="AA5" i="1"/>
  <c r="V5" i="1"/>
  <c r="Q5" i="1"/>
  <c r="P5" i="1"/>
  <c r="O5" i="1"/>
  <c r="N5" i="1"/>
  <c r="M5" i="1"/>
  <c r="K5" i="1"/>
  <c r="F5" i="1"/>
  <c r="E5" i="1"/>
  <c r="S10" i="1" l="1"/>
  <c r="T10" i="1"/>
  <c r="T43" i="1"/>
  <c r="U43" i="1" s="1"/>
  <c r="AJ43" i="1" s="1"/>
  <c r="T35" i="1"/>
  <c r="U35" i="1" s="1"/>
  <c r="AJ35" i="1" s="1"/>
  <c r="S11" i="1"/>
  <c r="T11" i="1"/>
  <c r="T50" i="1"/>
  <c r="U50" i="1" s="1"/>
  <c r="AJ50" i="1" s="1"/>
  <c r="S53" i="1"/>
  <c r="U53" i="1" s="1"/>
  <c r="Z90" i="1"/>
  <c r="S90" i="1"/>
  <c r="U90" i="1" s="1"/>
  <c r="S45" i="1"/>
  <c r="U45" i="1" s="1"/>
  <c r="S25" i="1"/>
  <c r="U25" i="1" s="1"/>
  <c r="AJ25" i="1" s="1"/>
  <c r="S28" i="1"/>
  <c r="U28" i="1" s="1"/>
  <c r="AJ28" i="1" s="1"/>
  <c r="Y83" i="1"/>
  <c r="AJ83" i="1"/>
  <c r="AJ69" i="1"/>
  <c r="Y69" i="1"/>
  <c r="AJ48" i="1"/>
  <c r="Y48" i="1"/>
  <c r="AJ46" i="1"/>
  <c r="Y46" i="1"/>
  <c r="AJ40" i="1"/>
  <c r="Y40" i="1"/>
  <c r="Y20" i="1"/>
  <c r="AJ20" i="1"/>
  <c r="AJ14" i="1"/>
  <c r="Y14" i="1"/>
  <c r="Y91" i="1"/>
  <c r="Y95" i="1"/>
  <c r="AJ94" i="1"/>
  <c r="Y94" i="1"/>
  <c r="AJ88" i="1"/>
  <c r="Y88" i="1"/>
  <c r="AJ49" i="1"/>
  <c r="Y49" i="1"/>
  <c r="AJ41" i="1"/>
  <c r="Y41" i="1"/>
  <c r="AJ27" i="1"/>
  <c r="Y27" i="1"/>
  <c r="S24" i="1"/>
  <c r="U24" i="1" s="1"/>
  <c r="S52" i="1"/>
  <c r="U52" i="1" s="1"/>
  <c r="S93" i="1"/>
  <c r="U93" i="1" s="1"/>
  <c r="Z96" i="1"/>
  <c r="Z94" i="1"/>
  <c r="Z92" i="1"/>
  <c r="S92" i="1"/>
  <c r="U92" i="1" s="1"/>
  <c r="U15" i="1"/>
  <c r="S64" i="1"/>
  <c r="U64" i="1" s="1"/>
  <c r="S76" i="1"/>
  <c r="U76" i="1" s="1"/>
  <c r="U7" i="1"/>
  <c r="S13" i="1"/>
  <c r="U13" i="1" s="1"/>
  <c r="S58" i="1"/>
  <c r="U58" i="1" s="1"/>
  <c r="S62" i="1"/>
  <c r="U62" i="1" s="1"/>
  <c r="S66" i="1"/>
  <c r="U66" i="1" s="1"/>
  <c r="S74" i="1"/>
  <c r="U74" i="1" s="1"/>
  <c r="U78" i="1"/>
  <c r="U8" i="1"/>
  <c r="S18" i="1"/>
  <c r="U18" i="1" s="1"/>
  <c r="S30" i="1"/>
  <c r="U30" i="1" s="1"/>
  <c r="S32" i="1"/>
  <c r="U32" i="1" s="1"/>
  <c r="U34" i="1"/>
  <c r="S36" i="1"/>
  <c r="U36" i="1" s="1"/>
  <c r="S57" i="1"/>
  <c r="U57" i="1" s="1"/>
  <c r="S59" i="1"/>
  <c r="U59" i="1" s="1"/>
  <c r="S61" i="1"/>
  <c r="U61" i="1" s="1"/>
  <c r="S63" i="1"/>
  <c r="U63" i="1" s="1"/>
  <c r="S65" i="1"/>
  <c r="U65" i="1" s="1"/>
  <c r="S67" i="1"/>
  <c r="U67" i="1" s="1"/>
  <c r="S75" i="1"/>
  <c r="U75" i="1" s="1"/>
  <c r="U79" i="1"/>
  <c r="Z88" i="1"/>
  <c r="Z84" i="1"/>
  <c r="Z80" i="1"/>
  <c r="Z76" i="1"/>
  <c r="Z72" i="1"/>
  <c r="Z68" i="1"/>
  <c r="Z64" i="1"/>
  <c r="Z60" i="1"/>
  <c r="Z56" i="1"/>
  <c r="Z52" i="1"/>
  <c r="Z49" i="1"/>
  <c r="Z45" i="1"/>
  <c r="Z41" i="1"/>
  <c r="Z37" i="1"/>
  <c r="Z34" i="1"/>
  <c r="Z30" i="1"/>
  <c r="Z26" i="1"/>
  <c r="Z22" i="1"/>
  <c r="Z18" i="1"/>
  <c r="Z14" i="1"/>
  <c r="Z10" i="1"/>
  <c r="Z86" i="1"/>
  <c r="Z82" i="1"/>
  <c r="Z78" i="1"/>
  <c r="Z74" i="1"/>
  <c r="Z70" i="1"/>
  <c r="Z66" i="1"/>
  <c r="Z62" i="1"/>
  <c r="Z58" i="1"/>
  <c r="Z54" i="1"/>
  <c r="Z50" i="1"/>
  <c r="Z47" i="1"/>
  <c r="Z43" i="1"/>
  <c r="Z39" i="1"/>
  <c r="Z36" i="1"/>
  <c r="Z32" i="1"/>
  <c r="Z28" i="1"/>
  <c r="Z24" i="1"/>
  <c r="Z20" i="1"/>
  <c r="Z16" i="1"/>
  <c r="Z12" i="1"/>
  <c r="Z8" i="1"/>
  <c r="Z6" i="1"/>
  <c r="L5" i="1"/>
  <c r="Z89" i="1"/>
  <c r="Z87" i="1"/>
  <c r="Z85" i="1"/>
  <c r="Z83" i="1"/>
  <c r="Z81" i="1"/>
  <c r="Z79" i="1"/>
  <c r="Z77" i="1"/>
  <c r="Z75" i="1"/>
  <c r="Z73" i="1"/>
  <c r="Z71" i="1"/>
  <c r="Z69" i="1"/>
  <c r="Z67" i="1"/>
  <c r="Z65" i="1"/>
  <c r="Z63" i="1"/>
  <c r="Z61" i="1"/>
  <c r="Z59" i="1"/>
  <c r="Z57" i="1"/>
  <c r="Z55" i="1"/>
  <c r="Z53" i="1"/>
  <c r="Z51" i="1"/>
  <c r="Z48" i="1"/>
  <c r="Z46" i="1"/>
  <c r="Z44" i="1"/>
  <c r="Z42" i="1"/>
  <c r="Z40" i="1"/>
  <c r="Z38" i="1"/>
  <c r="Z35" i="1"/>
  <c r="Z33" i="1"/>
  <c r="Z31" i="1"/>
  <c r="Z29" i="1"/>
  <c r="Z27" i="1"/>
  <c r="Z25" i="1"/>
  <c r="Z23" i="1"/>
  <c r="Z21" i="1"/>
  <c r="Z19" i="1"/>
  <c r="Z17" i="1"/>
  <c r="Z15" i="1"/>
  <c r="Z13" i="1"/>
  <c r="Z11" i="1"/>
  <c r="Z9" i="1"/>
  <c r="Z7" i="1"/>
  <c r="R5" i="1"/>
  <c r="U11" i="1" l="1"/>
  <c r="Y35" i="1"/>
  <c r="Y43" i="1"/>
  <c r="U10" i="1"/>
  <c r="AJ10" i="1" s="1"/>
  <c r="T5" i="1"/>
  <c r="Y50" i="1"/>
  <c r="Y53" i="1"/>
  <c r="AJ53" i="1"/>
  <c r="AJ45" i="1"/>
  <c r="Y45" i="1"/>
  <c r="Y28" i="1"/>
  <c r="Y25" i="1"/>
  <c r="Y79" i="1"/>
  <c r="AJ79" i="1"/>
  <c r="AJ67" i="1"/>
  <c r="Y67" i="1"/>
  <c r="AJ63" i="1"/>
  <c r="Y63" i="1"/>
  <c r="Y59" i="1"/>
  <c r="AJ59" i="1"/>
  <c r="AJ36" i="1"/>
  <c r="Y36" i="1"/>
  <c r="AJ32" i="1"/>
  <c r="Y32" i="1"/>
  <c r="AJ18" i="1"/>
  <c r="Y18" i="1"/>
  <c r="AJ78" i="1"/>
  <c r="Y78" i="1"/>
  <c r="AJ66" i="1"/>
  <c r="Y66" i="1"/>
  <c r="AJ58" i="1"/>
  <c r="Y58" i="1"/>
  <c r="AJ7" i="1"/>
  <c r="Y7" i="1"/>
  <c r="AJ76" i="1"/>
  <c r="Y76" i="1"/>
  <c r="AJ15" i="1"/>
  <c r="Y15" i="1"/>
  <c r="AJ52" i="1"/>
  <c r="Y52" i="1"/>
  <c r="Y75" i="1"/>
  <c r="AJ75" i="1"/>
  <c r="AJ65" i="1"/>
  <c r="Y65" i="1"/>
  <c r="AJ61" i="1"/>
  <c r="Y61" i="1"/>
  <c r="AJ57" i="1"/>
  <c r="Y57" i="1"/>
  <c r="AJ34" i="1"/>
  <c r="Y34" i="1"/>
  <c r="AJ30" i="1"/>
  <c r="Y30" i="1"/>
  <c r="AJ8" i="1"/>
  <c r="Y8" i="1"/>
  <c r="AJ74" i="1"/>
  <c r="Y74" i="1"/>
  <c r="AJ62" i="1"/>
  <c r="Y62" i="1"/>
  <c r="AJ13" i="1"/>
  <c r="Y13" i="1"/>
  <c r="AJ90" i="1"/>
  <c r="Y90" i="1"/>
  <c r="AJ64" i="1"/>
  <c r="Y64" i="1"/>
  <c r="AJ92" i="1"/>
  <c r="Y92" i="1"/>
  <c r="AJ93" i="1"/>
  <c r="Y93" i="1"/>
  <c r="Y24" i="1"/>
  <c r="AJ24" i="1"/>
  <c r="S5" i="1"/>
  <c r="U5" i="1" l="1"/>
  <c r="Y10" i="1"/>
  <c r="AJ11" i="1"/>
  <c r="Y11" i="1"/>
  <c r="AJ5" i="1"/>
</calcChain>
</file>

<file path=xl/sharedStrings.xml><?xml version="1.0" encoding="utf-8"?>
<sst xmlns="http://schemas.openxmlformats.org/spreadsheetml/2006/main" count="379" uniqueCount="156">
  <si>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</si>
  <si>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</si>
  <si>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</si>
  <si>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</si>
  <si>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</si>
  <si>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</si>
  <si>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</si>
  <si>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</si>
  <si>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</si>
  <si>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</si>
  <si>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</si>
  <si>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</si>
  <si>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</si>
  <si>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</si>
  <si>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</si>
  <si>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</si>
  <si>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</si>
  <si>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</si>
  <si>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</si>
  <si>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</si>
  <si>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</si>
  <si>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</si>
  <si>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</si>
  <si>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</si>
  <si>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24,01,</t>
  </si>
  <si>
    <t>26,01,(1)</t>
  </si>
  <si>
    <t>26,01,(2)</t>
  </si>
  <si>
    <t>27,01,</t>
  </si>
  <si>
    <t>22,01,</t>
  </si>
  <si>
    <t>20,01,</t>
  </si>
  <si>
    <t>15,01,</t>
  </si>
  <si>
    <t>13,01,</t>
  </si>
  <si>
    <t>08,01,</t>
  </si>
  <si>
    <t>06,01,</t>
  </si>
  <si>
    <t>25,12,</t>
  </si>
  <si>
    <t>18,12,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</si>
  <si>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</si>
  <si>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</si>
  <si>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</si>
  <si>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</si>
  <si>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</si>
  <si>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</si>
  <si>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</si>
  <si>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</si>
  <si>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 в матрице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</si>
  <si>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</si>
  <si>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</si>
  <si>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</si>
  <si>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</si>
  <si>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</si>
  <si>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>нужно увеличить продажи!!!</t>
  </si>
  <si>
    <t xml:space="preserve"> 083  Колбаса Швейцарская 0,17 кг., ШТ., сырокопченая   ПОКОМ</t>
  </si>
  <si>
    <t>нужно увеличить продажи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</si>
  <si>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</si>
  <si>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</si>
  <si>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>ТМА декабрь_январь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</si>
  <si>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</si>
  <si>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</si>
  <si>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</si>
  <si>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</si>
  <si>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</si>
  <si>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</si>
  <si>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</si>
  <si>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</si>
  <si>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</si>
  <si>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</si>
  <si>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</si>
  <si>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</si>
  <si>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</si>
  <si>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</si>
  <si>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</si>
  <si>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</si>
  <si>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</si>
  <si>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</si>
  <si>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</si>
  <si>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</si>
  <si>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</si>
  <si>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>Новороссийск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</si>
  <si>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</si>
  <si>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</si>
  <si>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</si>
  <si>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</si>
  <si>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</si>
  <si>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</si>
  <si>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</si>
  <si>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</si>
  <si>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</si>
  <si>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</si>
  <si>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</si>
  <si>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</si>
  <si>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</si>
  <si>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</si>
  <si>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</si>
  <si>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</si>
  <si>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</si>
  <si>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</si>
  <si>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</si>
  <si>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</si>
  <si>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</si>
  <si>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</si>
  <si>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</si>
  <si>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</si>
  <si>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</si>
  <si>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</si>
  <si>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</si>
  <si>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</si>
  <si>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</si>
  <si>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</si>
  <si>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</si>
  <si>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</si>
  <si>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</si>
  <si>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</si>
  <si>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</si>
  <si>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</si>
  <si>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</si>
  <si>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</si>
  <si>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</si>
  <si>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</si>
  <si>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</si>
  <si>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</si>
  <si>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</si>
  <si>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</si>
  <si>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</si>
  <si>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</si>
  <si>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</si>
  <si>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</si>
  <si>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</si>
  <si>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</si>
  <si>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</si>
  <si>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</si>
  <si>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</si>
  <si>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</si>
  <si>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560  Сосиски Вязанка Молочные ТМ Вязанка в оболочке амицел в мод. газовой среде 0,37 кг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</si>
  <si>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</si>
  <si>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</si>
  <si>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</si>
  <si>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</si>
  <si>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</si>
  <si>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23,01,25 в уценку 70шт.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</si>
  <si>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</si>
  <si>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</si>
  <si>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</si>
  <si>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Химич</t>
  </si>
  <si>
    <t>помощь заводу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</si>
  <si>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Новороссийск</t>
    </r>
  </si>
  <si>
    <t xml:space="preserve"> 346  Колбаса Сочинка зернистая с сочной грудинкой ТМ Стародворье.ВЕС ПОКОМ</t>
  </si>
  <si>
    <t xml:space="preserve"> 412  Сосиски Баварские ТМ Стародворье 0,35 кг ПОКОМ</t>
  </si>
  <si>
    <t xml:space="preserve"> 410  Сосиски Баварские с сыром ТМ Стародворье 0,35 кг. ПОКОМ</t>
  </si>
  <si>
    <t>до машины</t>
  </si>
  <si>
    <t>новинка / ТМА февраль</t>
  </si>
  <si>
    <t>ТМА февраль</t>
  </si>
  <si>
    <t>ТМА февраль / Мера</t>
  </si>
  <si>
    <t>ТМА январь_февраль</t>
  </si>
  <si>
    <t>ТМА январь_февраль / Мера</t>
  </si>
  <si>
    <t>заказ</t>
  </si>
  <si>
    <t>31,01,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</si>
</sst>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32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5" fillId="6" borderId="1" xfId="1" applyNumberFormat="1" applyFont="1" applyFill="1"/>
    <xf numFmtId="164" fontId="5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5" borderId="2" xfId="1" applyNumberFormat="1" applyFill="1" applyBorder="1"/>
    <xf numFmtId="164" fontId="6" fillId="7" borderId="1" xfId="1" applyNumberFormat="1" applyFont="1" applyFill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164" fontId="1" fillId="10" borderId="1" xfId="1" applyNumberFormat="1" applyFill="1"/>
    <xf numFmtId="2" fontId="1" fillId="10" borderId="1" xfId="1" applyNumberFormat="1" applyFill="1"/>
    <xf numFmtId="164" fontId="1" fillId="10" borderId="2" xfId="1" applyNumberFormat="1" applyFill="1" applyBorder="1"/>
    <xf numFmtId="164" fontId="1" fillId="11" borderId="1" xfId="1" applyNumberFormat="1" applyFill="1"/>
    <xf numFmtId="2" fontId="1" fillId="11" borderId="1" xfId="1" applyNumberFormat="1" applyFill="1"/>
    <xf numFmtId="164" fontId="1" fillId="11" borderId="2" xfId="1" applyNumberFormat="1" applyFill="1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6" sqref="W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2" width="7" customWidth="1"/>
    <col min="23" max="23" width="14.28515625" customWidth="1"/>
    <col min="24" max="24" width="7" customWidth="1"/>
    <col min="25" max="26" width="5" customWidth="1"/>
    <col min="27" max="34" width="6" customWidth="1"/>
    <col min="35" max="35" width="26" customWidth="1"/>
    <col min="36" max="36" width="7" customWidth="1"/>
    <col min="37" max="53" width="8" customWidth="1"/>
  </cols>
  <sheetData>
    <row r="1" spans="1:53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1">
        <v>2.1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3" t="s">
        <v>148</v>
      </c>
      <c r="U3" s="3" t="s">
        <v>154</v>
      </c>
      <c r="V3" s="7" t="s">
        <v>17</v>
      </c>
      <c r="W3" s="7" t="s">
        <v>18</v>
      </c>
      <c r="X3" s="10" t="s">
        <v>142</v>
      </c>
      <c r="Y3" s="2" t="s">
        <v>19</v>
      </c>
      <c r="Z3" s="2" t="s">
        <v>20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22</v>
      </c>
      <c r="AJ3" s="2" t="s">
        <v>23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/>
      <c r="T4" s="1"/>
      <c r="U4" s="1" t="s">
        <v>155</v>
      </c>
      <c r="V4" s="1"/>
      <c r="W4" s="1"/>
      <c r="X4" s="1"/>
      <c r="Y4" s="1"/>
      <c r="Z4" s="1"/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SUM(E6:E498)</f>
        <v>10540.763000000001</v>
      </c>
      <c r="F5" s="4">
        <f>SUM(F6:F498)</f>
        <v>8641.6870000000017</v>
      </c>
      <c r="G5" s="8"/>
      <c r="H5" s="1"/>
      <c r="I5" s="1"/>
      <c r="J5" s="1"/>
      <c r="K5" s="4">
        <f>SUM(K6:K498)</f>
        <v>11113.04</v>
      </c>
      <c r="L5" s="4">
        <f>SUM(L6:L498)</f>
        <v>-576.27699999999982</v>
      </c>
      <c r="M5" s="4">
        <f>SUM(M6:M498)</f>
        <v>0</v>
      </c>
      <c r="N5" s="4">
        <f>SUM(N6:N498)</f>
        <v>0</v>
      </c>
      <c r="O5" s="4">
        <f>SUM(O6:O498)</f>
        <v>14203.343260000003</v>
      </c>
      <c r="P5" s="4">
        <f>SUM(P6:P498)</f>
        <v>3858.8914</v>
      </c>
      <c r="Q5" s="4">
        <f>SUM(Q6:Q498)</f>
        <v>2320</v>
      </c>
      <c r="R5" s="4">
        <f>SUM(R6:R498)</f>
        <v>2108.1526000000008</v>
      </c>
      <c r="S5" s="4">
        <f>SUM(S6:S498)</f>
        <v>6772.4838600000003</v>
      </c>
      <c r="T5" s="4">
        <f>SUM(T6:T498)</f>
        <v>683.5920000000001</v>
      </c>
      <c r="U5" s="4">
        <f>SUM(U6:U498)</f>
        <v>7456.075859999999</v>
      </c>
      <c r="V5" s="4">
        <f>SUM(V6:V498)</f>
        <v>0</v>
      </c>
      <c r="W5" s="1"/>
      <c r="X5" s="4">
        <f>SUM(X6:X498)</f>
        <v>0</v>
      </c>
      <c r="Y5" s="1"/>
      <c r="Z5" s="1"/>
      <c r="AA5" s="4">
        <f>SUM(AA6:AA498)</f>
        <v>1951.2049999999999</v>
      </c>
      <c r="AB5" s="4">
        <f>SUM(AB6:AB498)</f>
        <v>2428.5225999999998</v>
      </c>
      <c r="AC5" s="4">
        <f>SUM(AC6:AC498)</f>
        <v>1949.6973999999998</v>
      </c>
      <c r="AD5" s="4">
        <f>SUM(AD6:AD498)</f>
        <v>2130.8774000000003</v>
      </c>
      <c r="AE5" s="4">
        <f>SUM(AE6:AE498)</f>
        <v>2010.0035000000005</v>
      </c>
      <c r="AF5" s="4">
        <f>SUM(AF6:AF498)</f>
        <v>2063.2885000000001</v>
      </c>
      <c r="AG5" s="4">
        <f>SUM(AG6:AG498)</f>
        <v>2477.1244000000002</v>
      </c>
      <c r="AH5" s="4">
        <f>SUM(AH6:AH498)</f>
        <v>2375.0041999999999</v>
      </c>
      <c r="AI5" s="1"/>
      <c r="AJ5" s="4">
        <f>SUM(AJ6:AJ498)</f>
        <v>5105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25" t="s">
        <v>36</v>
      </c>
      <c r="B6" s="25" t="s">
        <v>37</v>
      </c>
      <c r="C6" s="25">
        <v>28.507999999999999</v>
      </c>
      <c r="D6" s="25">
        <v>183.36699999999999</v>
      </c>
      <c r="E6" s="25">
        <v>54.744999999999997</v>
      </c>
      <c r="F6" s="25">
        <v>155.79599999999999</v>
      </c>
      <c r="G6" s="26">
        <v>1</v>
      </c>
      <c r="H6" s="25">
        <v>50</v>
      </c>
      <c r="I6" s="25" t="s">
        <v>38</v>
      </c>
      <c r="J6" s="25"/>
      <c r="K6" s="25">
        <v>68.55</v>
      </c>
      <c r="L6" s="25">
        <f t="shared" ref="L6:L36" si="0">E6-K6</f>
        <v>-13.805</v>
      </c>
      <c r="M6" s="25"/>
      <c r="N6" s="25"/>
      <c r="O6" s="25">
        <v>39.599799999999952</v>
      </c>
      <c r="P6" s="25">
        <v>0</v>
      </c>
      <c r="Q6" s="25"/>
      <c r="R6" s="25">
        <f>E6/5</f>
        <v>10.949</v>
      </c>
      <c r="S6" s="27"/>
      <c r="T6" s="27"/>
      <c r="U6" s="27">
        <f>T6+S6</f>
        <v>0</v>
      </c>
      <c r="V6" s="27"/>
      <c r="W6" s="25"/>
      <c r="X6" s="25"/>
      <c r="Y6" s="25">
        <f>(F6+O6+P6+Q6+U6)/R6</f>
        <v>17.84599506804274</v>
      </c>
      <c r="Z6" s="25">
        <f>(F6+O6+P6+Q6)/R6</f>
        <v>17.84599506804274</v>
      </c>
      <c r="AA6" s="25">
        <v>14.271800000000001</v>
      </c>
      <c r="AB6" s="25">
        <v>22.263999999999999</v>
      </c>
      <c r="AC6" s="25">
        <v>21.381599999999999</v>
      </c>
      <c r="AD6" s="25">
        <v>16.891400000000001</v>
      </c>
      <c r="AE6" s="25">
        <v>15.00633333333333</v>
      </c>
      <c r="AF6" s="25">
        <v>14.765499999999999</v>
      </c>
      <c r="AG6" s="25">
        <v>17.429400000000001</v>
      </c>
      <c r="AH6" s="25">
        <v>15.400600000000001</v>
      </c>
      <c r="AI6" s="25" t="s">
        <v>150</v>
      </c>
      <c r="AJ6" s="25">
        <f>ROUND(G6*U6,0)</f>
        <v>0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25" t="s">
        <v>39</v>
      </c>
      <c r="B7" s="25" t="s">
        <v>37</v>
      </c>
      <c r="C7" s="25">
        <v>12.981999999999999</v>
      </c>
      <c r="D7" s="25">
        <v>478.61399999999998</v>
      </c>
      <c r="E7" s="25">
        <v>155.87200000000001</v>
      </c>
      <c r="F7" s="25">
        <v>291.42599999999999</v>
      </c>
      <c r="G7" s="26">
        <v>1</v>
      </c>
      <c r="H7" s="25">
        <v>45</v>
      </c>
      <c r="I7" s="25" t="s">
        <v>38</v>
      </c>
      <c r="J7" s="25"/>
      <c r="K7" s="25">
        <v>177.5</v>
      </c>
      <c r="L7" s="25">
        <f t="shared" si="0"/>
        <v>-21.627999999999986</v>
      </c>
      <c r="M7" s="25"/>
      <c r="N7" s="25"/>
      <c r="O7" s="25">
        <v>0</v>
      </c>
      <c r="P7" s="25">
        <v>0</v>
      </c>
      <c r="Q7" s="25"/>
      <c r="R7" s="25">
        <f t="shared" ref="R7:R68" si="1">E7/5</f>
        <v>31.174400000000002</v>
      </c>
      <c r="S7" s="27">
        <f>11*R7*1.5-Q7-P7-O7-F7</f>
        <v>222.95160000000004</v>
      </c>
      <c r="T7" s="27"/>
      <c r="U7" s="27">
        <f t="shared" ref="U7:U69" si="2">T7+S7</f>
        <v>222.95160000000004</v>
      </c>
      <c r="V7" s="27"/>
      <c r="W7" s="25"/>
      <c r="X7" s="25"/>
      <c r="Y7" s="25">
        <f t="shared" ref="Y7:Y69" si="3">(F7+O7+P7+Q7+U7)/R7</f>
        <v>16.5</v>
      </c>
      <c r="Z7" s="25">
        <f t="shared" ref="Z7:Z68" si="4">(F7+O7+P7+Q7)/R7</f>
        <v>9.3482472798193381</v>
      </c>
      <c r="AA7" s="25">
        <v>14.522</v>
      </c>
      <c r="AB7" s="25">
        <v>29.619800000000001</v>
      </c>
      <c r="AC7" s="25">
        <v>42.581800000000001</v>
      </c>
      <c r="AD7" s="25">
        <v>41.947400000000002</v>
      </c>
      <c r="AE7" s="25">
        <v>22.562666666666669</v>
      </c>
      <c r="AF7" s="25">
        <v>17.19016666666667</v>
      </c>
      <c r="AG7" s="25">
        <v>26.805199999999999</v>
      </c>
      <c r="AH7" s="25">
        <v>32.135000000000012</v>
      </c>
      <c r="AI7" s="25" t="s">
        <v>151</v>
      </c>
      <c r="AJ7" s="25">
        <f t="shared" ref="AJ7:AJ69" si="5">ROUND(G7*U7,0)</f>
        <v>223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25" t="s">
        <v>41</v>
      </c>
      <c r="B8" s="25" t="s">
        <v>37</v>
      </c>
      <c r="C8" s="25">
        <v>50.673000000000002</v>
      </c>
      <c r="D8" s="25">
        <v>200.32</v>
      </c>
      <c r="E8" s="25">
        <v>156.71100000000001</v>
      </c>
      <c r="F8" s="25">
        <v>93.024000000000001</v>
      </c>
      <c r="G8" s="26">
        <v>1</v>
      </c>
      <c r="H8" s="25">
        <v>45</v>
      </c>
      <c r="I8" s="25" t="s">
        <v>38</v>
      </c>
      <c r="J8" s="25"/>
      <c r="K8" s="25">
        <v>164.6</v>
      </c>
      <c r="L8" s="25">
        <f t="shared" si="0"/>
        <v>-7.8889999999999816</v>
      </c>
      <c r="M8" s="25"/>
      <c r="N8" s="25"/>
      <c r="O8" s="25">
        <v>110.12139999999999</v>
      </c>
      <c r="P8" s="25">
        <v>39.211599999999997</v>
      </c>
      <c r="Q8" s="25"/>
      <c r="R8" s="25">
        <f t="shared" si="1"/>
        <v>31.342200000000002</v>
      </c>
      <c r="S8" s="27">
        <f>11*R8*1.5-Q8-P8-O8-F8</f>
        <v>274.78930000000003</v>
      </c>
      <c r="T8" s="27"/>
      <c r="U8" s="27">
        <f t="shared" si="2"/>
        <v>274.78930000000003</v>
      </c>
      <c r="V8" s="27"/>
      <c r="W8" s="25"/>
      <c r="X8" s="25"/>
      <c r="Y8" s="25">
        <f t="shared" si="3"/>
        <v>16.5</v>
      </c>
      <c r="Z8" s="25">
        <f t="shared" si="4"/>
        <v>7.7326097083165823</v>
      </c>
      <c r="AA8" s="25">
        <v>27.199200000000001</v>
      </c>
      <c r="AB8" s="25">
        <v>31.720800000000001</v>
      </c>
      <c r="AC8" s="25">
        <v>26.450199999999999</v>
      </c>
      <c r="AD8" s="25">
        <v>24.9558</v>
      </c>
      <c r="AE8" s="25">
        <v>23.362666666666669</v>
      </c>
      <c r="AF8" s="25">
        <v>21.104166666666671</v>
      </c>
      <c r="AG8" s="25">
        <v>25.3932</v>
      </c>
      <c r="AH8" s="25">
        <v>19.1204</v>
      </c>
      <c r="AI8" s="25" t="s">
        <v>150</v>
      </c>
      <c r="AJ8" s="25">
        <f t="shared" si="5"/>
        <v>275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2" t="s">
        <v>42</v>
      </c>
      <c r="B9" s="12" t="s">
        <v>43</v>
      </c>
      <c r="C9" s="12">
        <v>39</v>
      </c>
      <c r="D9" s="12"/>
      <c r="E9" s="12">
        <v>4</v>
      </c>
      <c r="F9" s="12">
        <v>35</v>
      </c>
      <c r="G9" s="13">
        <v>0</v>
      </c>
      <c r="H9" s="12" t="e">
        <v>#N/A</v>
      </c>
      <c r="I9" s="12" t="s">
        <v>44</v>
      </c>
      <c r="J9" s="12"/>
      <c r="K9" s="12">
        <v>26</v>
      </c>
      <c r="L9" s="12">
        <f t="shared" si="0"/>
        <v>-22</v>
      </c>
      <c r="M9" s="12"/>
      <c r="N9" s="12"/>
      <c r="O9" s="12">
        <v>0</v>
      </c>
      <c r="P9" s="12">
        <v>0</v>
      </c>
      <c r="Q9" s="12"/>
      <c r="R9" s="12">
        <f t="shared" si="1"/>
        <v>0.8</v>
      </c>
      <c r="S9" s="14"/>
      <c r="T9" s="14"/>
      <c r="U9" s="5">
        <f t="shared" si="2"/>
        <v>0</v>
      </c>
      <c r="V9" s="14"/>
      <c r="W9" s="1"/>
      <c r="X9" s="12"/>
      <c r="Y9" s="1">
        <f t="shared" si="3"/>
        <v>43.75</v>
      </c>
      <c r="Z9" s="12">
        <f t="shared" si="4"/>
        <v>43.75</v>
      </c>
      <c r="AA9" s="12">
        <v>0</v>
      </c>
      <c r="AB9" s="12">
        <v>0.8</v>
      </c>
      <c r="AC9" s="12">
        <v>1.4</v>
      </c>
      <c r="AD9" s="12">
        <v>1.4</v>
      </c>
      <c r="AE9" s="12">
        <v>0.66666666666666663</v>
      </c>
      <c r="AF9" s="12">
        <v>0</v>
      </c>
      <c r="AG9" s="12">
        <v>0</v>
      </c>
      <c r="AH9" s="12">
        <v>0</v>
      </c>
      <c r="AI9" s="16" t="s">
        <v>144</v>
      </c>
      <c r="AJ9" s="1">
        <f t="shared" si="5"/>
        <v>0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" t="s">
        <v>45</v>
      </c>
      <c r="B10" s="1" t="s">
        <v>43</v>
      </c>
      <c r="C10" s="1">
        <v>263</v>
      </c>
      <c r="D10" s="1">
        <v>12</v>
      </c>
      <c r="E10" s="1">
        <v>148</v>
      </c>
      <c r="F10" s="1">
        <v>127</v>
      </c>
      <c r="G10" s="8">
        <v>0.45</v>
      </c>
      <c r="H10" s="1">
        <v>45</v>
      </c>
      <c r="I10" s="1" t="s">
        <v>38</v>
      </c>
      <c r="J10" s="1"/>
      <c r="K10" s="1">
        <v>203</v>
      </c>
      <c r="L10" s="1">
        <f t="shared" si="0"/>
        <v>-55</v>
      </c>
      <c r="M10" s="1"/>
      <c r="N10" s="1"/>
      <c r="O10" s="1">
        <v>189.8000000000001</v>
      </c>
      <c r="P10" s="1">
        <v>0</v>
      </c>
      <c r="Q10" s="1"/>
      <c r="R10" s="1">
        <f t="shared" si="1"/>
        <v>29.6</v>
      </c>
      <c r="S10" s="5">
        <f t="shared" ref="S10:S11" si="6">11*R10-Q10-P10-O10-F10</f>
        <v>8.7999999999999261</v>
      </c>
      <c r="T10" s="5">
        <f t="shared" ref="T10:T11" si="7">$T$1*R10</f>
        <v>62.160000000000004</v>
      </c>
      <c r="U10" s="5">
        <f t="shared" si="2"/>
        <v>70.959999999999923</v>
      </c>
      <c r="V10" s="5"/>
      <c r="W10" s="1"/>
      <c r="X10" s="1"/>
      <c r="Y10" s="1">
        <f t="shared" si="3"/>
        <v>13.1</v>
      </c>
      <c r="Z10" s="1">
        <f t="shared" si="4"/>
        <v>10.702702702702705</v>
      </c>
      <c r="AA10" s="1">
        <v>31.4</v>
      </c>
      <c r="AB10" s="1">
        <v>42.2</v>
      </c>
      <c r="AC10" s="1">
        <v>27.4</v>
      </c>
      <c r="AD10" s="1">
        <v>43.4</v>
      </c>
      <c r="AE10" s="1">
        <v>46</v>
      </c>
      <c r="AF10" s="1">
        <v>50.166666666666657</v>
      </c>
      <c r="AG10" s="1">
        <v>41.6</v>
      </c>
      <c r="AH10" s="1">
        <v>50</v>
      </c>
      <c r="AI10" s="1" t="s">
        <v>40</v>
      </c>
      <c r="AJ10" s="1">
        <f t="shared" si="5"/>
        <v>32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" t="s">
        <v>46</v>
      </c>
      <c r="B11" s="1" t="s">
        <v>43</v>
      </c>
      <c r="C11" s="1">
        <v>135</v>
      </c>
      <c r="D11" s="1">
        <v>138</v>
      </c>
      <c r="E11" s="1">
        <v>195</v>
      </c>
      <c r="F11" s="1">
        <v>77</v>
      </c>
      <c r="G11" s="8">
        <v>0.45</v>
      </c>
      <c r="H11" s="1">
        <v>45</v>
      </c>
      <c r="I11" s="1" t="s">
        <v>38</v>
      </c>
      <c r="J11" s="1"/>
      <c r="K11" s="1">
        <v>213</v>
      </c>
      <c r="L11" s="1">
        <f t="shared" si="0"/>
        <v>-18</v>
      </c>
      <c r="M11" s="1"/>
      <c r="N11" s="1"/>
      <c r="O11" s="1">
        <v>279.39999999999998</v>
      </c>
      <c r="P11" s="1">
        <v>0</v>
      </c>
      <c r="Q11" s="1"/>
      <c r="R11" s="1">
        <f t="shared" si="1"/>
        <v>39</v>
      </c>
      <c r="S11" s="5">
        <f t="shared" si="6"/>
        <v>72.600000000000023</v>
      </c>
      <c r="T11" s="5">
        <f t="shared" si="7"/>
        <v>81.900000000000006</v>
      </c>
      <c r="U11" s="5">
        <f t="shared" si="2"/>
        <v>154.50000000000003</v>
      </c>
      <c r="V11" s="5"/>
      <c r="W11" s="1"/>
      <c r="X11" s="1"/>
      <c r="Y11" s="1">
        <f t="shared" si="3"/>
        <v>13.1</v>
      </c>
      <c r="Z11" s="1">
        <f t="shared" si="4"/>
        <v>9.138461538461538</v>
      </c>
      <c r="AA11" s="1">
        <v>37.799999999999997</v>
      </c>
      <c r="AB11" s="1">
        <v>50.2</v>
      </c>
      <c r="AC11" s="1">
        <v>30.2</v>
      </c>
      <c r="AD11" s="1">
        <v>47.8</v>
      </c>
      <c r="AE11" s="1">
        <v>40.333333333333343</v>
      </c>
      <c r="AF11" s="1">
        <v>41.5</v>
      </c>
      <c r="AG11" s="1">
        <v>38</v>
      </c>
      <c r="AH11" s="1">
        <v>50.8</v>
      </c>
      <c r="AI11" s="1"/>
      <c r="AJ11" s="1">
        <f t="shared" si="5"/>
        <v>70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7" t="s">
        <v>47</v>
      </c>
      <c r="B12" s="17" t="s">
        <v>43</v>
      </c>
      <c r="C12" s="17"/>
      <c r="D12" s="17"/>
      <c r="E12" s="17"/>
      <c r="F12" s="17"/>
      <c r="G12" s="18">
        <v>0</v>
      </c>
      <c r="H12" s="17">
        <v>180</v>
      </c>
      <c r="I12" s="17" t="s">
        <v>38</v>
      </c>
      <c r="J12" s="17"/>
      <c r="K12" s="17"/>
      <c r="L12" s="17">
        <f t="shared" si="0"/>
        <v>0</v>
      </c>
      <c r="M12" s="17"/>
      <c r="N12" s="17"/>
      <c r="O12" s="17">
        <v>0</v>
      </c>
      <c r="P12" s="17">
        <v>0</v>
      </c>
      <c r="Q12" s="17"/>
      <c r="R12" s="17">
        <f t="shared" si="1"/>
        <v>0</v>
      </c>
      <c r="S12" s="19"/>
      <c r="T12" s="19"/>
      <c r="U12" s="5">
        <f t="shared" si="2"/>
        <v>0</v>
      </c>
      <c r="V12" s="19"/>
      <c r="W12" s="1"/>
      <c r="X12" s="17"/>
      <c r="Y12" s="1" t="e">
        <f t="shared" si="3"/>
        <v>#DIV/0!</v>
      </c>
      <c r="Z12" s="17" t="e">
        <f t="shared" si="4"/>
        <v>#DIV/0!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 t="s">
        <v>48</v>
      </c>
      <c r="AJ12" s="1">
        <f t="shared" si="5"/>
        <v>0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49</v>
      </c>
      <c r="B13" s="1" t="s">
        <v>43</v>
      </c>
      <c r="C13" s="1">
        <v>78</v>
      </c>
      <c r="D13" s="1"/>
      <c r="E13" s="1">
        <v>30</v>
      </c>
      <c r="F13" s="1">
        <v>47</v>
      </c>
      <c r="G13" s="8">
        <v>0.3</v>
      </c>
      <c r="H13" s="1">
        <v>40</v>
      </c>
      <c r="I13" s="1" t="s">
        <v>38</v>
      </c>
      <c r="J13" s="1"/>
      <c r="K13" s="1">
        <v>29</v>
      </c>
      <c r="L13" s="1">
        <f t="shared" si="0"/>
        <v>1</v>
      </c>
      <c r="M13" s="1"/>
      <c r="N13" s="1"/>
      <c r="O13" s="1">
        <v>0</v>
      </c>
      <c r="P13" s="1">
        <v>0</v>
      </c>
      <c r="Q13" s="1"/>
      <c r="R13" s="1">
        <f t="shared" si="1"/>
        <v>6</v>
      </c>
      <c r="S13" s="5">
        <f t="shared" ref="S13:S18" si="8">11*R13-Q13-P13-O13-F13</f>
        <v>19</v>
      </c>
      <c r="T13" s="5"/>
      <c r="U13" s="5">
        <f t="shared" si="2"/>
        <v>19</v>
      </c>
      <c r="V13" s="5"/>
      <c r="W13" s="1"/>
      <c r="X13" s="1"/>
      <c r="Y13" s="1">
        <f t="shared" si="3"/>
        <v>11</v>
      </c>
      <c r="Z13" s="1">
        <f t="shared" si="4"/>
        <v>7.833333333333333</v>
      </c>
      <c r="AA13" s="1">
        <v>2.2000000000000002</v>
      </c>
      <c r="AB13" s="1">
        <v>3.2</v>
      </c>
      <c r="AC13" s="1">
        <v>1</v>
      </c>
      <c r="AD13" s="1">
        <v>5</v>
      </c>
      <c r="AE13" s="1">
        <v>4.5</v>
      </c>
      <c r="AF13" s="1">
        <v>6.333333333333333</v>
      </c>
      <c r="AG13" s="1">
        <v>10.8</v>
      </c>
      <c r="AH13" s="1">
        <v>4.4000000000000004</v>
      </c>
      <c r="AI13" s="1"/>
      <c r="AJ13" s="1">
        <f t="shared" si="5"/>
        <v>6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" t="s">
        <v>51</v>
      </c>
      <c r="B14" s="1" t="s">
        <v>43</v>
      </c>
      <c r="C14" s="1">
        <v>44</v>
      </c>
      <c r="D14" s="1">
        <v>46</v>
      </c>
      <c r="E14" s="1">
        <v>65</v>
      </c>
      <c r="F14" s="1">
        <v>24</v>
      </c>
      <c r="G14" s="8">
        <v>0.17</v>
      </c>
      <c r="H14" s="1">
        <v>180</v>
      </c>
      <c r="I14" s="1" t="s">
        <v>38</v>
      </c>
      <c r="J14" s="1"/>
      <c r="K14" s="1">
        <v>61</v>
      </c>
      <c r="L14" s="1">
        <f t="shared" si="0"/>
        <v>4</v>
      </c>
      <c r="M14" s="1"/>
      <c r="N14" s="1"/>
      <c r="O14" s="1">
        <v>0</v>
      </c>
      <c r="P14" s="1">
        <v>0</v>
      </c>
      <c r="Q14" s="1"/>
      <c r="R14" s="1">
        <f t="shared" si="1"/>
        <v>13</v>
      </c>
      <c r="S14" s="5">
        <f>8*R14-Q14-P14-O14-F14</f>
        <v>80</v>
      </c>
      <c r="T14" s="5"/>
      <c r="U14" s="5">
        <f t="shared" si="2"/>
        <v>80</v>
      </c>
      <c r="V14" s="5"/>
      <c r="W14" s="1"/>
      <c r="X14" s="1"/>
      <c r="Y14" s="1">
        <f t="shared" si="3"/>
        <v>8</v>
      </c>
      <c r="Z14" s="1">
        <f t="shared" si="4"/>
        <v>1.8461538461538463</v>
      </c>
      <c r="AA14" s="1">
        <v>5</v>
      </c>
      <c r="AB14" s="1">
        <v>3</v>
      </c>
      <c r="AC14" s="1">
        <v>6.2</v>
      </c>
      <c r="AD14" s="1">
        <v>6</v>
      </c>
      <c r="AE14" s="1">
        <v>5.666666666666667</v>
      </c>
      <c r="AF14" s="1">
        <v>6.5</v>
      </c>
      <c r="AG14" s="1">
        <v>9.4</v>
      </c>
      <c r="AH14" s="1">
        <v>8.4</v>
      </c>
      <c r="AI14" s="1"/>
      <c r="AJ14" s="1">
        <f t="shared" si="5"/>
        <v>14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25" t="s">
        <v>53</v>
      </c>
      <c r="B15" s="25" t="s">
        <v>37</v>
      </c>
      <c r="C15" s="25">
        <v>231.316</v>
      </c>
      <c r="D15" s="25">
        <v>26.463999999999999</v>
      </c>
      <c r="E15" s="25">
        <v>149.82599999999999</v>
      </c>
      <c r="F15" s="25">
        <v>107.95399999999999</v>
      </c>
      <c r="G15" s="26">
        <v>1</v>
      </c>
      <c r="H15" s="25">
        <v>55</v>
      </c>
      <c r="I15" s="25" t="s">
        <v>38</v>
      </c>
      <c r="J15" s="25"/>
      <c r="K15" s="25">
        <v>145.5</v>
      </c>
      <c r="L15" s="25">
        <f t="shared" si="0"/>
        <v>4.3259999999999934</v>
      </c>
      <c r="M15" s="25"/>
      <c r="N15" s="25"/>
      <c r="O15" s="25">
        <v>202.65907999999999</v>
      </c>
      <c r="P15" s="25">
        <v>0</v>
      </c>
      <c r="Q15" s="25"/>
      <c r="R15" s="25">
        <f t="shared" si="1"/>
        <v>29.965199999999999</v>
      </c>
      <c r="S15" s="27">
        <f t="shared" ref="S15" si="9">11*R15*1.5-Q15-P15-O15-F15</f>
        <v>183.81271999999996</v>
      </c>
      <c r="T15" s="27"/>
      <c r="U15" s="27">
        <f t="shared" si="2"/>
        <v>183.81271999999996</v>
      </c>
      <c r="V15" s="27"/>
      <c r="W15" s="25"/>
      <c r="X15" s="25"/>
      <c r="Y15" s="25">
        <f t="shared" si="3"/>
        <v>16.499999999999996</v>
      </c>
      <c r="Z15" s="25">
        <f t="shared" si="4"/>
        <v>10.36579365397194</v>
      </c>
      <c r="AA15" s="25">
        <v>29.224</v>
      </c>
      <c r="AB15" s="25">
        <v>36.149799999999999</v>
      </c>
      <c r="AC15" s="25">
        <v>31.144200000000001</v>
      </c>
      <c r="AD15" s="25">
        <v>33.941000000000003</v>
      </c>
      <c r="AE15" s="25">
        <v>28.186</v>
      </c>
      <c r="AF15" s="25">
        <v>30.52933333333333</v>
      </c>
      <c r="AG15" s="25">
        <v>44.335599999999999</v>
      </c>
      <c r="AH15" s="25">
        <v>37.791200000000003</v>
      </c>
      <c r="AI15" s="25" t="s">
        <v>153</v>
      </c>
      <c r="AJ15" s="25">
        <f t="shared" si="5"/>
        <v>184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25" t="s">
        <v>54</v>
      </c>
      <c r="B16" s="25" t="s">
        <v>37</v>
      </c>
      <c r="C16" s="25">
        <v>1229.2</v>
      </c>
      <c r="D16" s="25">
        <v>2.5009999999999999</v>
      </c>
      <c r="E16" s="25">
        <v>746.03099999999995</v>
      </c>
      <c r="F16" s="25">
        <v>469.6</v>
      </c>
      <c r="G16" s="26">
        <v>1</v>
      </c>
      <c r="H16" s="25">
        <v>50</v>
      </c>
      <c r="I16" s="25" t="s">
        <v>38</v>
      </c>
      <c r="J16" s="25"/>
      <c r="K16" s="25">
        <v>748.86</v>
      </c>
      <c r="L16" s="25">
        <f t="shared" si="0"/>
        <v>-2.8290000000000646</v>
      </c>
      <c r="M16" s="25"/>
      <c r="N16" s="25"/>
      <c r="O16" s="25">
        <v>2856.7271999999998</v>
      </c>
      <c r="P16" s="25">
        <v>1300</v>
      </c>
      <c r="Q16" s="25">
        <v>1200</v>
      </c>
      <c r="R16" s="25">
        <f t="shared" si="1"/>
        <v>149.2062</v>
      </c>
      <c r="S16" s="27"/>
      <c r="T16" s="27"/>
      <c r="U16" s="27">
        <f t="shared" si="2"/>
        <v>0</v>
      </c>
      <c r="V16" s="27"/>
      <c r="W16" s="25"/>
      <c r="X16" s="25"/>
      <c r="Y16" s="25">
        <f t="shared" si="3"/>
        <v>39.048827729678791</v>
      </c>
      <c r="Z16" s="25">
        <f t="shared" si="4"/>
        <v>39.048827729678791</v>
      </c>
      <c r="AA16" s="25">
        <v>115.3302</v>
      </c>
      <c r="AB16" s="25">
        <v>144.17519999999999</v>
      </c>
      <c r="AC16" s="25">
        <v>136.4682</v>
      </c>
      <c r="AD16" s="25">
        <v>118.21339999999999</v>
      </c>
      <c r="AE16" s="25">
        <v>87.065166666666656</v>
      </c>
      <c r="AF16" s="25">
        <v>83.144999999999996</v>
      </c>
      <c r="AG16" s="25">
        <v>190.5986</v>
      </c>
      <c r="AH16" s="25">
        <v>151.20959999999999</v>
      </c>
      <c r="AI16" s="25" t="s">
        <v>152</v>
      </c>
      <c r="AJ16" s="25">
        <f t="shared" si="5"/>
        <v>0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56</v>
      </c>
      <c r="B17" s="1" t="s">
        <v>37</v>
      </c>
      <c r="C17" s="1">
        <v>401.43299999999999</v>
      </c>
      <c r="D17" s="1"/>
      <c r="E17" s="1">
        <v>84.858999999999995</v>
      </c>
      <c r="F17" s="1">
        <v>316.57400000000001</v>
      </c>
      <c r="G17" s="8">
        <v>1</v>
      </c>
      <c r="H17" s="1">
        <v>60</v>
      </c>
      <c r="I17" s="1" t="s">
        <v>38</v>
      </c>
      <c r="J17" s="1"/>
      <c r="K17" s="1">
        <v>81.52</v>
      </c>
      <c r="L17" s="1">
        <f t="shared" si="0"/>
        <v>3.3389999999999986</v>
      </c>
      <c r="M17" s="1"/>
      <c r="N17" s="1"/>
      <c r="O17" s="1">
        <v>0</v>
      </c>
      <c r="P17" s="1">
        <v>0</v>
      </c>
      <c r="Q17" s="1"/>
      <c r="R17" s="1">
        <f t="shared" si="1"/>
        <v>16.971799999999998</v>
      </c>
      <c r="S17" s="5"/>
      <c r="T17" s="5"/>
      <c r="U17" s="5">
        <f t="shared" si="2"/>
        <v>0</v>
      </c>
      <c r="V17" s="5"/>
      <c r="W17" s="1"/>
      <c r="X17" s="1"/>
      <c r="Y17" s="1">
        <f t="shared" si="3"/>
        <v>18.652941938981137</v>
      </c>
      <c r="Z17" s="1">
        <f t="shared" si="4"/>
        <v>18.652941938981137</v>
      </c>
      <c r="AA17" s="1">
        <v>15.343999999999999</v>
      </c>
      <c r="AB17" s="1">
        <v>25.678799999999999</v>
      </c>
      <c r="AC17" s="1">
        <v>24.450600000000001</v>
      </c>
      <c r="AD17" s="1">
        <v>25.885400000000001</v>
      </c>
      <c r="AE17" s="1">
        <v>45.470166666666671</v>
      </c>
      <c r="AF17" s="1">
        <v>48.130499999999998</v>
      </c>
      <c r="AG17" s="1">
        <v>31.964400000000001</v>
      </c>
      <c r="AH17" s="1">
        <v>28.0944</v>
      </c>
      <c r="AI17" s="21" t="s">
        <v>50</v>
      </c>
      <c r="AJ17" s="1">
        <f t="shared" si="5"/>
        <v>0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" t="s">
        <v>57</v>
      </c>
      <c r="B18" s="1" t="s">
        <v>37</v>
      </c>
      <c r="C18" s="1">
        <v>1089.8119999999999</v>
      </c>
      <c r="D18" s="1">
        <v>2.512</v>
      </c>
      <c r="E18" s="1">
        <v>358.6</v>
      </c>
      <c r="F18" s="1">
        <v>733.26199999999994</v>
      </c>
      <c r="G18" s="8">
        <v>1</v>
      </c>
      <c r="H18" s="1">
        <v>60</v>
      </c>
      <c r="I18" s="1" t="s">
        <v>38</v>
      </c>
      <c r="J18" s="1"/>
      <c r="K18" s="1">
        <v>358.8</v>
      </c>
      <c r="L18" s="1">
        <f t="shared" si="0"/>
        <v>-0.19999999999998863</v>
      </c>
      <c r="M18" s="1"/>
      <c r="N18" s="1"/>
      <c r="O18" s="1">
        <v>0</v>
      </c>
      <c r="P18" s="1">
        <v>0</v>
      </c>
      <c r="Q18" s="1"/>
      <c r="R18" s="1">
        <f t="shared" si="1"/>
        <v>71.72</v>
      </c>
      <c r="S18" s="5">
        <f t="shared" si="8"/>
        <v>55.658000000000015</v>
      </c>
      <c r="T18" s="5">
        <f>$T$1*R18</f>
        <v>150.61199999999999</v>
      </c>
      <c r="U18" s="5">
        <f t="shared" si="2"/>
        <v>206.27</v>
      </c>
      <c r="V18" s="5"/>
      <c r="W18" s="1"/>
      <c r="X18" s="1"/>
      <c r="Y18" s="1">
        <f t="shared" si="3"/>
        <v>13.1</v>
      </c>
      <c r="Z18" s="1">
        <f t="shared" si="4"/>
        <v>10.223954266592303</v>
      </c>
      <c r="AA18" s="1">
        <v>73.262599999999992</v>
      </c>
      <c r="AB18" s="1">
        <v>100.3716</v>
      </c>
      <c r="AC18" s="1">
        <v>90.343600000000009</v>
      </c>
      <c r="AD18" s="1">
        <v>89.194000000000003</v>
      </c>
      <c r="AE18" s="1">
        <v>114.96016666666669</v>
      </c>
      <c r="AF18" s="1">
        <v>130.4443333333333</v>
      </c>
      <c r="AG18" s="1">
        <v>165.8682</v>
      </c>
      <c r="AH18" s="1">
        <v>135.5498</v>
      </c>
      <c r="AI18" s="1"/>
      <c r="AJ18" s="1">
        <f t="shared" si="5"/>
        <v>206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7" t="s">
        <v>58</v>
      </c>
      <c r="B19" s="17" t="s">
        <v>37</v>
      </c>
      <c r="C19" s="17"/>
      <c r="D19" s="17"/>
      <c r="E19" s="17"/>
      <c r="F19" s="17"/>
      <c r="G19" s="18">
        <v>0</v>
      </c>
      <c r="H19" s="17">
        <v>60</v>
      </c>
      <c r="I19" s="17" t="s">
        <v>38</v>
      </c>
      <c r="J19" s="17"/>
      <c r="K19" s="17"/>
      <c r="L19" s="17">
        <f t="shared" si="0"/>
        <v>0</v>
      </c>
      <c r="M19" s="17"/>
      <c r="N19" s="17"/>
      <c r="O19" s="17">
        <v>0</v>
      </c>
      <c r="P19" s="17">
        <v>0</v>
      </c>
      <c r="Q19" s="17"/>
      <c r="R19" s="17">
        <f t="shared" si="1"/>
        <v>0</v>
      </c>
      <c r="S19" s="19"/>
      <c r="T19" s="19"/>
      <c r="U19" s="5">
        <f t="shared" si="2"/>
        <v>0</v>
      </c>
      <c r="V19" s="19"/>
      <c r="W19" s="1"/>
      <c r="X19" s="17"/>
      <c r="Y19" s="1" t="e">
        <f t="shared" si="3"/>
        <v>#DIV/0!</v>
      </c>
      <c r="Z19" s="17" t="e">
        <f t="shared" si="4"/>
        <v>#DIV/0!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 t="s">
        <v>48</v>
      </c>
      <c r="AJ19" s="1">
        <f t="shared" si="5"/>
        <v>0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" t="s">
        <v>59</v>
      </c>
      <c r="B20" s="1" t="s">
        <v>37</v>
      </c>
      <c r="C20" s="1">
        <v>8.6010000000000009</v>
      </c>
      <c r="D20" s="1">
        <v>6.0570000000000004</v>
      </c>
      <c r="E20" s="1">
        <v>9.5060000000000002</v>
      </c>
      <c r="F20" s="1">
        <v>4.782</v>
      </c>
      <c r="G20" s="8">
        <v>1</v>
      </c>
      <c r="H20" s="1">
        <v>180</v>
      </c>
      <c r="I20" s="1" t="s">
        <v>38</v>
      </c>
      <c r="J20" s="1"/>
      <c r="K20" s="1">
        <v>6.7</v>
      </c>
      <c r="L20" s="1">
        <f t="shared" si="0"/>
        <v>2.806</v>
      </c>
      <c r="M20" s="1"/>
      <c r="N20" s="1"/>
      <c r="O20" s="1">
        <v>0</v>
      </c>
      <c r="P20" s="1">
        <v>0</v>
      </c>
      <c r="Q20" s="1"/>
      <c r="R20" s="1">
        <f t="shared" si="1"/>
        <v>1.9012</v>
      </c>
      <c r="S20" s="5">
        <f>9*R20-Q20-P20-O20-F20</f>
        <v>12.328800000000001</v>
      </c>
      <c r="T20" s="5"/>
      <c r="U20" s="5">
        <f t="shared" si="2"/>
        <v>12.328800000000001</v>
      </c>
      <c r="V20" s="5"/>
      <c r="W20" s="1"/>
      <c r="X20" s="1"/>
      <c r="Y20" s="1">
        <f t="shared" si="3"/>
        <v>9</v>
      </c>
      <c r="Z20" s="1">
        <f t="shared" si="4"/>
        <v>2.5152535240900482</v>
      </c>
      <c r="AA20" s="1">
        <v>7.2800000000000004E-2</v>
      </c>
      <c r="AB20" s="1">
        <v>7.2800000000000004E-2</v>
      </c>
      <c r="AC20" s="1">
        <v>0</v>
      </c>
      <c r="AD20" s="1">
        <v>0</v>
      </c>
      <c r="AE20" s="1">
        <v>0.54766666666666663</v>
      </c>
      <c r="AF20" s="1">
        <v>1.2909999999999999</v>
      </c>
      <c r="AG20" s="1">
        <v>2.1907999999999999</v>
      </c>
      <c r="AH20" s="1">
        <v>0.51079999999999992</v>
      </c>
      <c r="AI20" s="1"/>
      <c r="AJ20" s="1">
        <f t="shared" si="5"/>
        <v>12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28" t="s">
        <v>60</v>
      </c>
      <c r="B21" s="28" t="s">
        <v>37</v>
      </c>
      <c r="C21" s="28">
        <v>423.48700000000002</v>
      </c>
      <c r="D21" s="28">
        <v>95.12</v>
      </c>
      <c r="E21" s="28">
        <v>242.62899999999999</v>
      </c>
      <c r="F21" s="28">
        <v>275.97800000000001</v>
      </c>
      <c r="G21" s="29">
        <v>1</v>
      </c>
      <c r="H21" s="28">
        <v>60</v>
      </c>
      <c r="I21" s="28" t="s">
        <v>38</v>
      </c>
      <c r="J21" s="28"/>
      <c r="K21" s="28">
        <v>239.83</v>
      </c>
      <c r="L21" s="28">
        <f t="shared" si="0"/>
        <v>2.7989999999999782</v>
      </c>
      <c r="M21" s="28"/>
      <c r="N21" s="28"/>
      <c r="O21" s="28">
        <v>303.58676000000003</v>
      </c>
      <c r="P21" s="28">
        <v>0</v>
      </c>
      <c r="Q21" s="28"/>
      <c r="R21" s="28">
        <f t="shared" si="1"/>
        <v>48.525799999999997</v>
      </c>
      <c r="S21" s="30"/>
      <c r="T21" s="30"/>
      <c r="U21" s="30">
        <f t="shared" si="2"/>
        <v>0</v>
      </c>
      <c r="V21" s="30"/>
      <c r="W21" s="28"/>
      <c r="X21" s="28"/>
      <c r="Y21" s="28">
        <f t="shared" si="3"/>
        <v>11.943435450832341</v>
      </c>
      <c r="Z21" s="28">
        <f t="shared" si="4"/>
        <v>11.943435450832341</v>
      </c>
      <c r="AA21" s="28">
        <v>50.768000000000001</v>
      </c>
      <c r="AB21" s="28">
        <v>64.817599999999999</v>
      </c>
      <c r="AC21" s="28">
        <v>57.837000000000003</v>
      </c>
      <c r="AD21" s="28">
        <v>61.571599999999997</v>
      </c>
      <c r="AE21" s="28">
        <v>69.805833333333325</v>
      </c>
      <c r="AF21" s="28">
        <v>78.643000000000001</v>
      </c>
      <c r="AG21" s="28">
        <v>82.499800000000008</v>
      </c>
      <c r="AH21" s="28">
        <v>60.498600000000003</v>
      </c>
      <c r="AI21" s="28" t="s">
        <v>55</v>
      </c>
      <c r="AJ21" s="28">
        <f t="shared" si="5"/>
        <v>0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61</v>
      </c>
      <c r="B22" s="1" t="s">
        <v>37</v>
      </c>
      <c r="C22" s="1">
        <v>145.524</v>
      </c>
      <c r="D22" s="1"/>
      <c r="E22" s="1">
        <v>56.533000000000001</v>
      </c>
      <c r="F22" s="1">
        <v>83.710999999999999</v>
      </c>
      <c r="G22" s="8">
        <v>1</v>
      </c>
      <c r="H22" s="1">
        <v>60</v>
      </c>
      <c r="I22" s="1" t="s">
        <v>38</v>
      </c>
      <c r="J22" s="1"/>
      <c r="K22" s="1">
        <v>60.8</v>
      </c>
      <c r="L22" s="1">
        <f t="shared" si="0"/>
        <v>-4.2669999999999959</v>
      </c>
      <c r="M22" s="1"/>
      <c r="N22" s="1"/>
      <c r="O22" s="1">
        <v>29.5718</v>
      </c>
      <c r="P22" s="1">
        <v>12.677199999999999</v>
      </c>
      <c r="Q22" s="1"/>
      <c r="R22" s="1">
        <f t="shared" si="1"/>
        <v>11.3066</v>
      </c>
      <c r="S22" s="5"/>
      <c r="T22" s="5"/>
      <c r="U22" s="5">
        <f t="shared" si="2"/>
        <v>0</v>
      </c>
      <c r="V22" s="5"/>
      <c r="W22" s="1"/>
      <c r="X22" s="1"/>
      <c r="Y22" s="1">
        <f t="shared" si="3"/>
        <v>11.140395874975678</v>
      </c>
      <c r="Z22" s="1">
        <f t="shared" si="4"/>
        <v>11.140395874975678</v>
      </c>
      <c r="AA22" s="1">
        <v>12.677199999999999</v>
      </c>
      <c r="AB22" s="1">
        <v>15.9178</v>
      </c>
      <c r="AC22" s="1">
        <v>12.666</v>
      </c>
      <c r="AD22" s="1">
        <v>18.053999999999998</v>
      </c>
      <c r="AE22" s="1">
        <v>20.484333333333339</v>
      </c>
      <c r="AF22" s="1">
        <v>19.677666666666671</v>
      </c>
      <c r="AG22" s="1">
        <v>21.834800000000001</v>
      </c>
      <c r="AH22" s="1">
        <v>22.864799999999999</v>
      </c>
      <c r="AI22" s="1"/>
      <c r="AJ22" s="1">
        <f t="shared" si="5"/>
        <v>0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25" t="s">
        <v>62</v>
      </c>
      <c r="B23" s="25" t="s">
        <v>37</v>
      </c>
      <c r="C23" s="25">
        <v>97.775000000000006</v>
      </c>
      <c r="D23" s="25"/>
      <c r="E23" s="25">
        <v>43.972000000000001</v>
      </c>
      <c r="F23" s="25">
        <v>52.927999999999997</v>
      </c>
      <c r="G23" s="26">
        <v>1</v>
      </c>
      <c r="H23" s="25">
        <v>60</v>
      </c>
      <c r="I23" s="25" t="s">
        <v>38</v>
      </c>
      <c r="J23" s="25"/>
      <c r="K23" s="25">
        <v>44.65</v>
      </c>
      <c r="L23" s="25">
        <f t="shared" si="0"/>
        <v>-0.67799999999999727</v>
      </c>
      <c r="M23" s="25"/>
      <c r="N23" s="25"/>
      <c r="O23" s="25">
        <v>101.53619999999999</v>
      </c>
      <c r="P23" s="25">
        <v>14.6014</v>
      </c>
      <c r="Q23" s="25"/>
      <c r="R23" s="25">
        <f t="shared" si="1"/>
        <v>8.7943999999999996</v>
      </c>
      <c r="S23" s="27"/>
      <c r="T23" s="27"/>
      <c r="U23" s="27">
        <f t="shared" si="2"/>
        <v>0</v>
      </c>
      <c r="V23" s="27"/>
      <c r="W23" s="25"/>
      <c r="X23" s="25"/>
      <c r="Y23" s="25">
        <f t="shared" si="3"/>
        <v>19.224233603202041</v>
      </c>
      <c r="Z23" s="25">
        <f t="shared" si="4"/>
        <v>19.224233603202041</v>
      </c>
      <c r="AA23" s="25">
        <v>14.6014</v>
      </c>
      <c r="AB23" s="25">
        <v>18.119199999999999</v>
      </c>
      <c r="AC23" s="25">
        <v>11.2608</v>
      </c>
      <c r="AD23" s="25">
        <v>11.59</v>
      </c>
      <c r="AE23" s="25">
        <v>7.325333333333333</v>
      </c>
      <c r="AF23" s="25">
        <v>7.4840000000000009</v>
      </c>
      <c r="AG23" s="25">
        <v>19.0444</v>
      </c>
      <c r="AH23" s="25">
        <v>15.317399999999999</v>
      </c>
      <c r="AI23" s="25" t="s">
        <v>150</v>
      </c>
      <c r="AJ23" s="25">
        <f t="shared" si="5"/>
        <v>0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1" t="s">
        <v>63</v>
      </c>
      <c r="B24" s="1" t="s">
        <v>37</v>
      </c>
      <c r="C24" s="1">
        <v>21.12</v>
      </c>
      <c r="D24" s="1"/>
      <c r="E24" s="1">
        <v>16.408999999999999</v>
      </c>
      <c r="F24" s="1">
        <v>4.351</v>
      </c>
      <c r="G24" s="8">
        <v>1</v>
      </c>
      <c r="H24" s="1">
        <v>180</v>
      </c>
      <c r="I24" s="1" t="s">
        <v>38</v>
      </c>
      <c r="J24" s="1"/>
      <c r="K24" s="1">
        <v>14.7</v>
      </c>
      <c r="L24" s="1">
        <f t="shared" si="0"/>
        <v>1.7089999999999996</v>
      </c>
      <c r="M24" s="1"/>
      <c r="N24" s="1"/>
      <c r="O24" s="1">
        <v>0</v>
      </c>
      <c r="P24" s="1">
        <v>4</v>
      </c>
      <c r="Q24" s="1"/>
      <c r="R24" s="1">
        <f t="shared" si="1"/>
        <v>3.2817999999999996</v>
      </c>
      <c r="S24" s="5">
        <f>9*R24-Q24-P24-O24-F24</f>
        <v>21.185199999999998</v>
      </c>
      <c r="T24" s="5"/>
      <c r="U24" s="5">
        <f t="shared" si="2"/>
        <v>21.185199999999998</v>
      </c>
      <c r="V24" s="5"/>
      <c r="W24" s="1"/>
      <c r="X24" s="1"/>
      <c r="Y24" s="1">
        <f t="shared" si="3"/>
        <v>9</v>
      </c>
      <c r="Z24" s="1">
        <f t="shared" si="4"/>
        <v>2.5446401365104516</v>
      </c>
      <c r="AA24" s="1">
        <v>1.2496</v>
      </c>
      <c r="AB24" s="1">
        <v>0.29339999999999999</v>
      </c>
      <c r="AC24" s="1">
        <v>0.44319999999999998</v>
      </c>
      <c r="AD24" s="1">
        <v>1.0998000000000001</v>
      </c>
      <c r="AE24" s="1">
        <v>2.0441666666666669</v>
      </c>
      <c r="AF24" s="1">
        <v>2.0674999999999999</v>
      </c>
      <c r="AG24" s="1">
        <v>1.6062000000000001</v>
      </c>
      <c r="AH24" s="1">
        <v>0.90579999999999994</v>
      </c>
      <c r="AI24" s="1"/>
      <c r="AJ24" s="1">
        <f t="shared" si="5"/>
        <v>21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25" t="s">
        <v>64</v>
      </c>
      <c r="B25" s="25" t="s">
        <v>37</v>
      </c>
      <c r="C25" s="25">
        <v>162.92400000000001</v>
      </c>
      <c r="D25" s="25"/>
      <c r="E25" s="25">
        <v>87.63</v>
      </c>
      <c r="F25" s="25">
        <v>69.914000000000001</v>
      </c>
      <c r="G25" s="26">
        <v>1</v>
      </c>
      <c r="H25" s="25">
        <v>60</v>
      </c>
      <c r="I25" s="25" t="s">
        <v>38</v>
      </c>
      <c r="J25" s="25"/>
      <c r="K25" s="25">
        <v>88.63</v>
      </c>
      <c r="L25" s="25">
        <f t="shared" si="0"/>
        <v>-1</v>
      </c>
      <c r="M25" s="25"/>
      <c r="N25" s="25"/>
      <c r="O25" s="25">
        <v>126.4552</v>
      </c>
      <c r="P25" s="25">
        <v>21.927</v>
      </c>
      <c r="Q25" s="25"/>
      <c r="R25" s="25">
        <f t="shared" si="1"/>
        <v>17.526</v>
      </c>
      <c r="S25" s="27">
        <f>11*R25*1.5-Q25-P25-O25-F25</f>
        <v>70.882799999999961</v>
      </c>
      <c r="T25" s="27"/>
      <c r="U25" s="27">
        <f t="shared" si="2"/>
        <v>70.882799999999961</v>
      </c>
      <c r="V25" s="27"/>
      <c r="W25" s="25"/>
      <c r="X25" s="25"/>
      <c r="Y25" s="25">
        <f t="shared" si="3"/>
        <v>16.5</v>
      </c>
      <c r="Z25" s="25">
        <f t="shared" si="4"/>
        <v>12.455563163300241</v>
      </c>
      <c r="AA25" s="25">
        <v>21.927</v>
      </c>
      <c r="AB25" s="25">
        <v>26.307200000000002</v>
      </c>
      <c r="AC25" s="25">
        <v>19.453399999999998</v>
      </c>
      <c r="AD25" s="25">
        <v>18.2332</v>
      </c>
      <c r="AE25" s="25">
        <v>19.212833333333329</v>
      </c>
      <c r="AF25" s="25">
        <v>22.660166666666669</v>
      </c>
      <c r="AG25" s="25">
        <v>33.264000000000003</v>
      </c>
      <c r="AH25" s="25">
        <v>23.146599999999999</v>
      </c>
      <c r="AI25" s="25" t="s">
        <v>152</v>
      </c>
      <c r="AJ25" s="25">
        <f t="shared" si="5"/>
        <v>71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" t="s">
        <v>65</v>
      </c>
      <c r="B26" s="1" t="s">
        <v>37</v>
      </c>
      <c r="C26" s="1">
        <v>0.154</v>
      </c>
      <c r="D26" s="1">
        <v>136.57</v>
      </c>
      <c r="E26" s="1">
        <v>27.513000000000002</v>
      </c>
      <c r="F26" s="1">
        <v>105.89</v>
      </c>
      <c r="G26" s="8">
        <v>1</v>
      </c>
      <c r="H26" s="1">
        <v>30</v>
      </c>
      <c r="I26" s="1" t="s">
        <v>38</v>
      </c>
      <c r="J26" s="1"/>
      <c r="K26" s="1">
        <v>36.6</v>
      </c>
      <c r="L26" s="1">
        <f t="shared" si="0"/>
        <v>-9.0869999999999997</v>
      </c>
      <c r="M26" s="1"/>
      <c r="N26" s="1"/>
      <c r="O26" s="1">
        <v>0</v>
      </c>
      <c r="P26" s="1">
        <v>0</v>
      </c>
      <c r="Q26" s="1"/>
      <c r="R26" s="1">
        <f t="shared" si="1"/>
        <v>5.5026000000000002</v>
      </c>
      <c r="S26" s="5"/>
      <c r="T26" s="5"/>
      <c r="U26" s="5">
        <f t="shared" si="2"/>
        <v>0</v>
      </c>
      <c r="V26" s="5"/>
      <c r="W26" s="1"/>
      <c r="X26" s="1"/>
      <c r="Y26" s="1">
        <f t="shared" si="3"/>
        <v>19.243630283865809</v>
      </c>
      <c r="Z26" s="1">
        <f t="shared" si="4"/>
        <v>19.243630283865809</v>
      </c>
      <c r="AA26" s="1">
        <v>3.4449999999999998</v>
      </c>
      <c r="AB26" s="1">
        <v>9.6722000000000001</v>
      </c>
      <c r="AC26" s="1">
        <v>11.096</v>
      </c>
      <c r="AD26" s="1">
        <v>9.3003999999999998</v>
      </c>
      <c r="AE26" s="1">
        <v>7.3301666666666669</v>
      </c>
      <c r="AF26" s="1">
        <v>5.9853333333333332</v>
      </c>
      <c r="AG26" s="1">
        <v>6.7058000000000009</v>
      </c>
      <c r="AH26" s="1">
        <v>6.5873999999999997</v>
      </c>
      <c r="AI26" s="1"/>
      <c r="AJ26" s="1">
        <f t="shared" si="5"/>
        <v>0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" t="s">
        <v>66</v>
      </c>
      <c r="B27" s="1" t="s">
        <v>37</v>
      </c>
      <c r="C27" s="1">
        <v>42.350999999999999</v>
      </c>
      <c r="D27" s="1">
        <v>166.304</v>
      </c>
      <c r="E27" s="1">
        <v>150.98400000000001</v>
      </c>
      <c r="F27" s="1">
        <v>52.835999999999999</v>
      </c>
      <c r="G27" s="8">
        <v>1</v>
      </c>
      <c r="H27" s="1">
        <v>30</v>
      </c>
      <c r="I27" s="1" t="s">
        <v>38</v>
      </c>
      <c r="J27" s="1"/>
      <c r="K27" s="1">
        <v>147.30000000000001</v>
      </c>
      <c r="L27" s="1">
        <f t="shared" si="0"/>
        <v>3.6839999999999975</v>
      </c>
      <c r="M27" s="1"/>
      <c r="N27" s="1"/>
      <c r="O27" s="1">
        <v>95.643393333333336</v>
      </c>
      <c r="P27" s="1">
        <v>16.093800000000041</v>
      </c>
      <c r="Q27" s="1"/>
      <c r="R27" s="1">
        <f t="shared" si="1"/>
        <v>30.196800000000003</v>
      </c>
      <c r="S27" s="5">
        <f t="shared" ref="S27" si="10">11*R27-Q27-P27-O27-F27</f>
        <v>167.59160666666662</v>
      </c>
      <c r="T27" s="5"/>
      <c r="U27" s="5">
        <f t="shared" si="2"/>
        <v>167.59160666666662</v>
      </c>
      <c r="V27" s="5"/>
      <c r="W27" s="1"/>
      <c r="X27" s="1"/>
      <c r="Y27" s="1">
        <f t="shared" si="3"/>
        <v>11</v>
      </c>
      <c r="Z27" s="1">
        <f t="shared" si="4"/>
        <v>5.45002097352479</v>
      </c>
      <c r="AA27" s="1">
        <v>23.6342</v>
      </c>
      <c r="AB27" s="1">
        <v>27.0762</v>
      </c>
      <c r="AC27" s="1">
        <v>24.4468</v>
      </c>
      <c r="AD27" s="1">
        <v>27.483599999999999</v>
      </c>
      <c r="AE27" s="1">
        <v>22.382000000000001</v>
      </c>
      <c r="AF27" s="1">
        <v>16.56516666666667</v>
      </c>
      <c r="AG27" s="1">
        <v>16.7834</v>
      </c>
      <c r="AH27" s="1">
        <v>16.783200000000001</v>
      </c>
      <c r="AI27" s="1"/>
      <c r="AJ27" s="1">
        <f t="shared" si="5"/>
        <v>168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25" t="s">
        <v>67</v>
      </c>
      <c r="B28" s="25" t="s">
        <v>37</v>
      </c>
      <c r="C28" s="25">
        <v>38.043999999999997</v>
      </c>
      <c r="D28" s="25">
        <v>167.63900000000001</v>
      </c>
      <c r="E28" s="25">
        <v>80.628</v>
      </c>
      <c r="F28" s="25">
        <v>122.17</v>
      </c>
      <c r="G28" s="26">
        <v>1</v>
      </c>
      <c r="H28" s="25">
        <v>30</v>
      </c>
      <c r="I28" s="25" t="s">
        <v>38</v>
      </c>
      <c r="J28" s="25"/>
      <c r="K28" s="25">
        <v>126.2</v>
      </c>
      <c r="L28" s="25">
        <f t="shared" si="0"/>
        <v>-45.572000000000003</v>
      </c>
      <c r="M28" s="25"/>
      <c r="N28" s="25"/>
      <c r="O28" s="25">
        <v>80.632366666666613</v>
      </c>
      <c r="P28" s="25">
        <v>0</v>
      </c>
      <c r="Q28" s="25"/>
      <c r="R28" s="25">
        <f t="shared" si="1"/>
        <v>16.125599999999999</v>
      </c>
      <c r="S28" s="27">
        <f>11*R28*1.2-Q28-P28-O28-F28</f>
        <v>10.055553333333378</v>
      </c>
      <c r="T28" s="27"/>
      <c r="U28" s="27">
        <f t="shared" si="2"/>
        <v>10.055553333333378</v>
      </c>
      <c r="V28" s="27"/>
      <c r="W28" s="25"/>
      <c r="X28" s="25"/>
      <c r="Y28" s="25">
        <f t="shared" si="3"/>
        <v>13.2</v>
      </c>
      <c r="Z28" s="25">
        <f t="shared" si="4"/>
        <v>12.576422996146912</v>
      </c>
      <c r="AA28" s="25">
        <v>19.5444</v>
      </c>
      <c r="AB28" s="25">
        <v>24.6494</v>
      </c>
      <c r="AC28" s="25">
        <v>19.831600000000002</v>
      </c>
      <c r="AD28" s="25">
        <v>16.118400000000001</v>
      </c>
      <c r="AE28" s="25">
        <v>18.931000000000001</v>
      </c>
      <c r="AF28" s="25">
        <v>18.378833333333329</v>
      </c>
      <c r="AG28" s="25">
        <v>15.5036</v>
      </c>
      <c r="AH28" s="25">
        <v>16.7544</v>
      </c>
      <c r="AI28" s="25" t="s">
        <v>152</v>
      </c>
      <c r="AJ28" s="25">
        <f t="shared" si="5"/>
        <v>10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7" t="s">
        <v>68</v>
      </c>
      <c r="B29" s="17" t="s">
        <v>37</v>
      </c>
      <c r="C29" s="17"/>
      <c r="D29" s="17"/>
      <c r="E29" s="17"/>
      <c r="F29" s="17"/>
      <c r="G29" s="18">
        <v>0</v>
      </c>
      <c r="H29" s="17">
        <v>45</v>
      </c>
      <c r="I29" s="17" t="s">
        <v>38</v>
      </c>
      <c r="J29" s="17"/>
      <c r="K29" s="17"/>
      <c r="L29" s="17">
        <f t="shared" si="0"/>
        <v>0</v>
      </c>
      <c r="M29" s="17"/>
      <c r="N29" s="17"/>
      <c r="O29" s="17">
        <v>0</v>
      </c>
      <c r="P29" s="17">
        <v>0</v>
      </c>
      <c r="Q29" s="17"/>
      <c r="R29" s="17">
        <f t="shared" si="1"/>
        <v>0</v>
      </c>
      <c r="S29" s="19"/>
      <c r="T29" s="19"/>
      <c r="U29" s="5">
        <f t="shared" si="2"/>
        <v>0</v>
      </c>
      <c r="V29" s="19"/>
      <c r="W29" s="1"/>
      <c r="X29" s="17"/>
      <c r="Y29" s="1" t="e">
        <f t="shared" si="3"/>
        <v>#DIV/0!</v>
      </c>
      <c r="Z29" s="17" t="e">
        <f t="shared" si="4"/>
        <v>#DIV/0!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  <c r="AG29" s="17">
        <v>0</v>
      </c>
      <c r="AH29" s="17">
        <v>0</v>
      </c>
      <c r="AI29" s="17" t="s">
        <v>48</v>
      </c>
      <c r="AJ29" s="1">
        <f t="shared" si="5"/>
        <v>0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" t="s">
        <v>69</v>
      </c>
      <c r="B30" s="1" t="s">
        <v>37</v>
      </c>
      <c r="C30" s="1">
        <v>61.994999999999997</v>
      </c>
      <c r="D30" s="1">
        <v>79.974000000000004</v>
      </c>
      <c r="E30" s="1">
        <v>75.811000000000007</v>
      </c>
      <c r="F30" s="1">
        <v>65.754000000000005</v>
      </c>
      <c r="G30" s="8">
        <v>1</v>
      </c>
      <c r="H30" s="1">
        <v>40</v>
      </c>
      <c r="I30" s="1" t="s">
        <v>38</v>
      </c>
      <c r="J30" s="1"/>
      <c r="K30" s="1">
        <v>69.5</v>
      </c>
      <c r="L30" s="1">
        <f t="shared" si="0"/>
        <v>6.311000000000007</v>
      </c>
      <c r="M30" s="1"/>
      <c r="N30" s="1"/>
      <c r="O30" s="1">
        <v>40.788200000000018</v>
      </c>
      <c r="P30" s="1">
        <v>0</v>
      </c>
      <c r="Q30" s="1"/>
      <c r="R30" s="1">
        <f t="shared" si="1"/>
        <v>15.162200000000002</v>
      </c>
      <c r="S30" s="5">
        <f t="shared" ref="S30:S36" si="11">11*R30-Q30-P30-O30-F30</f>
        <v>60.242000000000004</v>
      </c>
      <c r="T30" s="5"/>
      <c r="U30" s="5">
        <f t="shared" si="2"/>
        <v>60.242000000000004</v>
      </c>
      <c r="V30" s="5"/>
      <c r="W30" s="1"/>
      <c r="X30" s="1"/>
      <c r="Y30" s="1">
        <f t="shared" si="3"/>
        <v>11</v>
      </c>
      <c r="Z30" s="1">
        <f t="shared" si="4"/>
        <v>7.0268298795689281</v>
      </c>
      <c r="AA30" s="1">
        <v>12.7752</v>
      </c>
      <c r="AB30" s="1">
        <v>16.751200000000001</v>
      </c>
      <c r="AC30" s="1">
        <v>14.725</v>
      </c>
      <c r="AD30" s="1">
        <v>8.0410000000000004</v>
      </c>
      <c r="AE30" s="1">
        <v>5.0105000000000004</v>
      </c>
      <c r="AF30" s="1">
        <v>6.8230000000000004</v>
      </c>
      <c r="AG30" s="1">
        <v>23.580400000000001</v>
      </c>
      <c r="AH30" s="1">
        <v>9.5122</v>
      </c>
      <c r="AI30" s="1"/>
      <c r="AJ30" s="1">
        <f t="shared" si="5"/>
        <v>60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" t="s">
        <v>70</v>
      </c>
      <c r="B31" s="1" t="s">
        <v>37</v>
      </c>
      <c r="C31" s="1">
        <v>1.21</v>
      </c>
      <c r="D31" s="1">
        <v>54.61</v>
      </c>
      <c r="E31" s="1">
        <v>6.923</v>
      </c>
      <c r="F31" s="1">
        <v>47.058</v>
      </c>
      <c r="G31" s="8">
        <v>1</v>
      </c>
      <c r="H31" s="1">
        <v>30</v>
      </c>
      <c r="I31" s="1" t="s">
        <v>38</v>
      </c>
      <c r="J31" s="1"/>
      <c r="K31" s="1">
        <v>15.7</v>
      </c>
      <c r="L31" s="1">
        <f t="shared" si="0"/>
        <v>-8.7769999999999992</v>
      </c>
      <c r="M31" s="1"/>
      <c r="N31" s="1"/>
      <c r="O31" s="1">
        <v>33.880800000000001</v>
      </c>
      <c r="P31" s="1">
        <v>0</v>
      </c>
      <c r="Q31" s="1"/>
      <c r="R31" s="1">
        <f t="shared" si="1"/>
        <v>1.3846000000000001</v>
      </c>
      <c r="S31" s="5"/>
      <c r="T31" s="5"/>
      <c r="U31" s="5">
        <f t="shared" si="2"/>
        <v>0</v>
      </c>
      <c r="V31" s="5"/>
      <c r="W31" s="1"/>
      <c r="X31" s="1"/>
      <c r="Y31" s="1">
        <f t="shared" si="3"/>
        <v>58.456449516105735</v>
      </c>
      <c r="Z31" s="1">
        <f t="shared" si="4"/>
        <v>58.456449516105735</v>
      </c>
      <c r="AA31" s="1">
        <v>3.8828</v>
      </c>
      <c r="AB31" s="1">
        <v>6.8308000000000009</v>
      </c>
      <c r="AC31" s="1">
        <v>5.056</v>
      </c>
      <c r="AD31" s="1">
        <v>3.5028000000000001</v>
      </c>
      <c r="AE31" s="1">
        <v>2.714666666666667</v>
      </c>
      <c r="AF31" s="1">
        <v>1.5523333333333329</v>
      </c>
      <c r="AG31" s="1">
        <v>0</v>
      </c>
      <c r="AH31" s="1">
        <v>4.1215999999999999</v>
      </c>
      <c r="AI31" s="1"/>
      <c r="AJ31" s="1">
        <f t="shared" si="5"/>
        <v>0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" t="s">
        <v>71</v>
      </c>
      <c r="B32" s="1" t="s">
        <v>37</v>
      </c>
      <c r="C32" s="1">
        <v>83.16</v>
      </c>
      <c r="D32" s="1">
        <v>43.796999999999997</v>
      </c>
      <c r="E32" s="1">
        <v>70.046999999999997</v>
      </c>
      <c r="F32" s="1">
        <v>48.222000000000001</v>
      </c>
      <c r="G32" s="8">
        <v>1</v>
      </c>
      <c r="H32" s="1">
        <v>50</v>
      </c>
      <c r="I32" s="1" t="s">
        <v>38</v>
      </c>
      <c r="J32" s="1"/>
      <c r="K32" s="1">
        <v>67.7</v>
      </c>
      <c r="L32" s="1">
        <f t="shared" si="0"/>
        <v>2.3469999999999942</v>
      </c>
      <c r="M32" s="1"/>
      <c r="N32" s="1"/>
      <c r="O32" s="1">
        <v>80.817999999999984</v>
      </c>
      <c r="P32" s="1">
        <v>13.8504</v>
      </c>
      <c r="Q32" s="1"/>
      <c r="R32" s="1">
        <f t="shared" si="1"/>
        <v>14.009399999999999</v>
      </c>
      <c r="S32" s="5">
        <f t="shared" si="11"/>
        <v>11.213000000000001</v>
      </c>
      <c r="T32" s="5"/>
      <c r="U32" s="5">
        <f t="shared" si="2"/>
        <v>11.213000000000001</v>
      </c>
      <c r="V32" s="5"/>
      <c r="W32" s="1"/>
      <c r="X32" s="1"/>
      <c r="Y32" s="1">
        <f t="shared" si="3"/>
        <v>11</v>
      </c>
      <c r="Z32" s="1">
        <f t="shared" si="4"/>
        <v>10.199608834068554</v>
      </c>
      <c r="AA32" s="1">
        <v>13.8504</v>
      </c>
      <c r="AB32" s="1">
        <v>18.419</v>
      </c>
      <c r="AC32" s="1">
        <v>15.161</v>
      </c>
      <c r="AD32" s="1">
        <v>12.484400000000001</v>
      </c>
      <c r="AE32" s="1">
        <v>13.486333333333331</v>
      </c>
      <c r="AF32" s="1">
        <v>10.241</v>
      </c>
      <c r="AG32" s="1">
        <v>4.9218000000000002</v>
      </c>
      <c r="AH32" s="1">
        <v>23.067599999999999</v>
      </c>
      <c r="AI32" s="1"/>
      <c r="AJ32" s="1">
        <f t="shared" si="5"/>
        <v>11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" t="s">
        <v>72</v>
      </c>
      <c r="B33" s="1" t="s">
        <v>37</v>
      </c>
      <c r="C33" s="1">
        <v>37.598999999999997</v>
      </c>
      <c r="D33" s="1">
        <v>42.6</v>
      </c>
      <c r="E33" s="1">
        <v>44.548999999999999</v>
      </c>
      <c r="F33" s="1">
        <v>32.064999999999998</v>
      </c>
      <c r="G33" s="8">
        <v>1</v>
      </c>
      <c r="H33" s="1">
        <v>50</v>
      </c>
      <c r="I33" s="1" t="s">
        <v>38</v>
      </c>
      <c r="J33" s="1"/>
      <c r="K33" s="1">
        <v>45.3</v>
      </c>
      <c r="L33" s="1">
        <f t="shared" si="0"/>
        <v>-0.75099999999999767</v>
      </c>
      <c r="M33" s="1"/>
      <c r="N33" s="1"/>
      <c r="O33" s="1">
        <v>71.889200000000017</v>
      </c>
      <c r="P33" s="1">
        <v>10.127800000000001</v>
      </c>
      <c r="Q33" s="1"/>
      <c r="R33" s="1">
        <f t="shared" si="1"/>
        <v>8.9098000000000006</v>
      </c>
      <c r="S33" s="5"/>
      <c r="T33" s="5"/>
      <c r="U33" s="5">
        <f t="shared" si="2"/>
        <v>0</v>
      </c>
      <c r="V33" s="5"/>
      <c r="W33" s="1"/>
      <c r="X33" s="1"/>
      <c r="Y33" s="1">
        <f t="shared" si="3"/>
        <v>12.804103346876476</v>
      </c>
      <c r="Z33" s="1">
        <f t="shared" si="4"/>
        <v>12.804103346876476</v>
      </c>
      <c r="AA33" s="1">
        <v>10.127800000000001</v>
      </c>
      <c r="AB33" s="1">
        <v>13.480399999999999</v>
      </c>
      <c r="AC33" s="1">
        <v>9.4016000000000002</v>
      </c>
      <c r="AD33" s="1">
        <v>9.0903999999999989</v>
      </c>
      <c r="AE33" s="1">
        <v>10.60083333333333</v>
      </c>
      <c r="AF33" s="1">
        <v>9.8345000000000002</v>
      </c>
      <c r="AG33" s="1">
        <v>9.8483999999999998</v>
      </c>
      <c r="AH33" s="1">
        <v>13.716799999999999</v>
      </c>
      <c r="AI33" s="1"/>
      <c r="AJ33" s="1">
        <f t="shared" si="5"/>
        <v>0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25" t="s">
        <v>73</v>
      </c>
      <c r="B34" s="25" t="s">
        <v>43</v>
      </c>
      <c r="C34" s="25">
        <v>197</v>
      </c>
      <c r="D34" s="25">
        <v>271</v>
      </c>
      <c r="E34" s="25">
        <v>372</v>
      </c>
      <c r="F34" s="25">
        <v>88</v>
      </c>
      <c r="G34" s="26">
        <v>0.4</v>
      </c>
      <c r="H34" s="25">
        <v>45</v>
      </c>
      <c r="I34" s="25" t="s">
        <v>38</v>
      </c>
      <c r="J34" s="25"/>
      <c r="K34" s="25">
        <v>403</v>
      </c>
      <c r="L34" s="25">
        <f t="shared" si="0"/>
        <v>-31</v>
      </c>
      <c r="M34" s="25"/>
      <c r="N34" s="25"/>
      <c r="O34" s="25">
        <v>479.40000000000009</v>
      </c>
      <c r="P34" s="25">
        <v>70.2</v>
      </c>
      <c r="Q34" s="25"/>
      <c r="R34" s="25">
        <f t="shared" si="1"/>
        <v>74.400000000000006</v>
      </c>
      <c r="S34" s="27">
        <f>11*R34*1.5-Q34-P34-O34-F34</f>
        <v>590</v>
      </c>
      <c r="T34" s="27"/>
      <c r="U34" s="27">
        <f t="shared" si="2"/>
        <v>590</v>
      </c>
      <c r="V34" s="27"/>
      <c r="W34" s="25"/>
      <c r="X34" s="25"/>
      <c r="Y34" s="25">
        <f t="shared" si="3"/>
        <v>16.5</v>
      </c>
      <c r="Z34" s="25">
        <f t="shared" si="4"/>
        <v>8.56989247311828</v>
      </c>
      <c r="AA34" s="25">
        <v>70.2</v>
      </c>
      <c r="AB34" s="25">
        <v>85.2</v>
      </c>
      <c r="AC34" s="25">
        <v>61.4</v>
      </c>
      <c r="AD34" s="25">
        <v>68</v>
      </c>
      <c r="AE34" s="25">
        <v>65.166666666666671</v>
      </c>
      <c r="AF34" s="25">
        <v>73.833333333333329</v>
      </c>
      <c r="AG34" s="25">
        <v>75.400000000000006</v>
      </c>
      <c r="AH34" s="25">
        <v>81.2</v>
      </c>
      <c r="AI34" s="25" t="s">
        <v>153</v>
      </c>
      <c r="AJ34" s="25">
        <f t="shared" si="5"/>
        <v>236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74</v>
      </c>
      <c r="B35" s="1" t="s">
        <v>43</v>
      </c>
      <c r="C35" s="1">
        <v>148</v>
      </c>
      <c r="D35" s="1">
        <v>161</v>
      </c>
      <c r="E35" s="1">
        <v>232</v>
      </c>
      <c r="F35" s="1">
        <v>76</v>
      </c>
      <c r="G35" s="8">
        <v>0.45</v>
      </c>
      <c r="H35" s="1">
        <v>50</v>
      </c>
      <c r="I35" s="11" t="s">
        <v>75</v>
      </c>
      <c r="J35" s="1"/>
      <c r="K35" s="1">
        <v>243</v>
      </c>
      <c r="L35" s="1">
        <f t="shared" si="0"/>
        <v>-11</v>
      </c>
      <c r="M35" s="1"/>
      <c r="N35" s="1"/>
      <c r="O35" s="1">
        <v>409.80000000000013</v>
      </c>
      <c r="P35" s="1">
        <v>67.599999999999781</v>
      </c>
      <c r="Q35" s="1"/>
      <c r="R35" s="1">
        <f t="shared" si="1"/>
        <v>46.4</v>
      </c>
      <c r="S35" s="5"/>
      <c r="T35" s="5">
        <f t="shared" ref="T35:T36" si="12">$T$1*R35</f>
        <v>97.44</v>
      </c>
      <c r="U35" s="5">
        <f t="shared" si="2"/>
        <v>97.44</v>
      </c>
      <c r="V35" s="5"/>
      <c r="W35" s="1"/>
      <c r="X35" s="1"/>
      <c r="Y35" s="1">
        <f t="shared" si="3"/>
        <v>14.026724137931033</v>
      </c>
      <c r="Z35" s="1">
        <f t="shared" si="4"/>
        <v>11.926724137931032</v>
      </c>
      <c r="AA35" s="1">
        <v>58.8</v>
      </c>
      <c r="AB35" s="1">
        <v>64.400000000000006</v>
      </c>
      <c r="AC35" s="1">
        <v>30.8</v>
      </c>
      <c r="AD35" s="1">
        <v>55.6</v>
      </c>
      <c r="AE35" s="1">
        <v>47.666666666666657</v>
      </c>
      <c r="AF35" s="1">
        <v>39</v>
      </c>
      <c r="AG35" s="1">
        <v>42.2</v>
      </c>
      <c r="AH35" s="1">
        <v>65.400000000000006</v>
      </c>
      <c r="AI35" s="1" t="s">
        <v>40</v>
      </c>
      <c r="AJ35" s="1">
        <f t="shared" si="5"/>
        <v>44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" t="s">
        <v>76</v>
      </c>
      <c r="B36" s="1" t="s">
        <v>43</v>
      </c>
      <c r="C36" s="1">
        <v>186</v>
      </c>
      <c r="D36" s="1">
        <v>204</v>
      </c>
      <c r="E36" s="1">
        <v>337</v>
      </c>
      <c r="F36" s="1">
        <v>49</v>
      </c>
      <c r="G36" s="8">
        <v>0.4</v>
      </c>
      <c r="H36" s="1">
        <v>45</v>
      </c>
      <c r="I36" s="1" t="s">
        <v>38</v>
      </c>
      <c r="J36" s="1"/>
      <c r="K36" s="1">
        <v>352</v>
      </c>
      <c r="L36" s="1">
        <f t="shared" si="0"/>
        <v>-15</v>
      </c>
      <c r="M36" s="1"/>
      <c r="N36" s="1"/>
      <c r="O36" s="1">
        <v>324</v>
      </c>
      <c r="P36" s="1">
        <v>0</v>
      </c>
      <c r="Q36" s="1"/>
      <c r="R36" s="1">
        <f t="shared" si="1"/>
        <v>67.400000000000006</v>
      </c>
      <c r="S36" s="5">
        <f t="shared" si="11"/>
        <v>368.40000000000009</v>
      </c>
      <c r="T36" s="5">
        <f t="shared" si="12"/>
        <v>141.54000000000002</v>
      </c>
      <c r="U36" s="5">
        <f t="shared" si="2"/>
        <v>509.94000000000011</v>
      </c>
      <c r="V36" s="5"/>
      <c r="W36" s="1"/>
      <c r="X36" s="1"/>
      <c r="Y36" s="1">
        <f t="shared" si="3"/>
        <v>13.1</v>
      </c>
      <c r="Z36" s="1">
        <f t="shared" si="4"/>
        <v>5.534124629080118</v>
      </c>
      <c r="AA36" s="1">
        <v>51.6</v>
      </c>
      <c r="AB36" s="1">
        <v>64.599999999999994</v>
      </c>
      <c r="AC36" s="1">
        <v>48.8</v>
      </c>
      <c r="AD36" s="1">
        <v>53.6</v>
      </c>
      <c r="AE36" s="1">
        <v>46</v>
      </c>
      <c r="AF36" s="1">
        <v>53.833333333333343</v>
      </c>
      <c r="AG36" s="1">
        <v>59.2</v>
      </c>
      <c r="AH36" s="1">
        <v>70.400000000000006</v>
      </c>
      <c r="AI36" s="1"/>
      <c r="AJ36" s="1">
        <f t="shared" si="5"/>
        <v>204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" t="s">
        <v>78</v>
      </c>
      <c r="B37" s="1" t="s">
        <v>43</v>
      </c>
      <c r="C37" s="1">
        <v>3</v>
      </c>
      <c r="D37" s="1">
        <v>12</v>
      </c>
      <c r="E37" s="1">
        <v>5</v>
      </c>
      <c r="F37" s="1">
        <v>10</v>
      </c>
      <c r="G37" s="8">
        <v>0.4</v>
      </c>
      <c r="H37" s="1">
        <v>40</v>
      </c>
      <c r="I37" s="1" t="s">
        <v>38</v>
      </c>
      <c r="J37" s="1"/>
      <c r="K37" s="1">
        <v>5</v>
      </c>
      <c r="L37" s="1">
        <f t="shared" ref="L37:L67" si="13">E37-K37</f>
        <v>0</v>
      </c>
      <c r="M37" s="1"/>
      <c r="N37" s="1"/>
      <c r="O37" s="1">
        <v>0</v>
      </c>
      <c r="P37" s="1">
        <v>14.400000000000009</v>
      </c>
      <c r="Q37" s="1"/>
      <c r="R37" s="1">
        <f t="shared" si="1"/>
        <v>1</v>
      </c>
      <c r="S37" s="5"/>
      <c r="T37" s="5"/>
      <c r="U37" s="5">
        <f t="shared" si="2"/>
        <v>0</v>
      </c>
      <c r="V37" s="5"/>
      <c r="W37" s="1"/>
      <c r="X37" s="1"/>
      <c r="Y37" s="1">
        <f t="shared" si="3"/>
        <v>24.400000000000009</v>
      </c>
      <c r="Z37" s="1">
        <f t="shared" si="4"/>
        <v>24.400000000000009</v>
      </c>
      <c r="AA37" s="1">
        <v>2.2000000000000002</v>
      </c>
      <c r="AB37" s="1">
        <v>2.8</v>
      </c>
      <c r="AC37" s="1">
        <v>4.8</v>
      </c>
      <c r="AD37" s="1">
        <v>6.4</v>
      </c>
      <c r="AE37" s="1">
        <v>2.666666666666667</v>
      </c>
      <c r="AF37" s="1">
        <v>0.33333333333333331</v>
      </c>
      <c r="AG37" s="1">
        <v>-1</v>
      </c>
      <c r="AH37" s="1">
        <v>11</v>
      </c>
      <c r="AI37" s="1"/>
      <c r="AJ37" s="1">
        <f t="shared" si="5"/>
        <v>0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7" t="s">
        <v>79</v>
      </c>
      <c r="B38" s="17" t="s">
        <v>37</v>
      </c>
      <c r="C38" s="17"/>
      <c r="D38" s="17"/>
      <c r="E38" s="17"/>
      <c r="F38" s="17"/>
      <c r="G38" s="18">
        <v>0</v>
      </c>
      <c r="H38" s="17">
        <v>45</v>
      </c>
      <c r="I38" s="17" t="s">
        <v>38</v>
      </c>
      <c r="J38" s="17"/>
      <c r="K38" s="17"/>
      <c r="L38" s="17">
        <f t="shared" si="13"/>
        <v>0</v>
      </c>
      <c r="M38" s="17"/>
      <c r="N38" s="17"/>
      <c r="O38" s="17">
        <v>0</v>
      </c>
      <c r="P38" s="17">
        <v>0</v>
      </c>
      <c r="Q38" s="17"/>
      <c r="R38" s="17">
        <f t="shared" si="1"/>
        <v>0</v>
      </c>
      <c r="S38" s="19"/>
      <c r="T38" s="19"/>
      <c r="U38" s="5">
        <f t="shared" si="2"/>
        <v>0</v>
      </c>
      <c r="V38" s="19"/>
      <c r="W38" s="1"/>
      <c r="X38" s="17"/>
      <c r="Y38" s="1" t="e">
        <f t="shared" si="3"/>
        <v>#DIV/0!</v>
      </c>
      <c r="Z38" s="17" t="e">
        <f t="shared" si="4"/>
        <v>#DIV/0!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 t="s">
        <v>48</v>
      </c>
      <c r="AJ38" s="1">
        <f t="shared" si="5"/>
        <v>0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" t="s">
        <v>80</v>
      </c>
      <c r="B39" s="1" t="s">
        <v>43</v>
      </c>
      <c r="C39" s="1">
        <v>29</v>
      </c>
      <c r="D39" s="1">
        <v>40</v>
      </c>
      <c r="E39" s="1">
        <v>32</v>
      </c>
      <c r="F39" s="1">
        <v>37</v>
      </c>
      <c r="G39" s="8">
        <v>0.1</v>
      </c>
      <c r="H39" s="1">
        <v>730</v>
      </c>
      <c r="I39" s="1" t="s">
        <v>38</v>
      </c>
      <c r="J39" s="1"/>
      <c r="K39" s="1">
        <v>52</v>
      </c>
      <c r="L39" s="1">
        <f t="shared" si="13"/>
        <v>-20</v>
      </c>
      <c r="M39" s="1"/>
      <c r="N39" s="1"/>
      <c r="O39" s="1">
        <v>52.399999999999977</v>
      </c>
      <c r="P39" s="1">
        <v>0</v>
      </c>
      <c r="Q39" s="1"/>
      <c r="R39" s="1">
        <f t="shared" si="1"/>
        <v>6.4</v>
      </c>
      <c r="S39" s="5"/>
      <c r="T39" s="5"/>
      <c r="U39" s="5">
        <f t="shared" si="2"/>
        <v>0</v>
      </c>
      <c r="V39" s="5"/>
      <c r="W39" s="1"/>
      <c r="X39" s="1"/>
      <c r="Y39" s="1">
        <f t="shared" si="3"/>
        <v>13.968749999999996</v>
      </c>
      <c r="Z39" s="1">
        <f t="shared" si="4"/>
        <v>13.968749999999996</v>
      </c>
      <c r="AA39" s="1">
        <v>7.2</v>
      </c>
      <c r="AB39" s="1">
        <v>11.2</v>
      </c>
      <c r="AC39" s="1">
        <v>7.4</v>
      </c>
      <c r="AD39" s="1">
        <v>3.6</v>
      </c>
      <c r="AE39" s="1">
        <v>1.666666666666667</v>
      </c>
      <c r="AF39" s="1">
        <v>1.5</v>
      </c>
      <c r="AG39" s="1">
        <v>5.8</v>
      </c>
      <c r="AH39" s="1">
        <v>5</v>
      </c>
      <c r="AI39" s="1"/>
      <c r="AJ39" s="1">
        <f t="shared" si="5"/>
        <v>0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 t="s">
        <v>81</v>
      </c>
      <c r="B40" s="1" t="s">
        <v>43</v>
      </c>
      <c r="C40" s="1">
        <v>79</v>
      </c>
      <c r="D40" s="1">
        <v>2</v>
      </c>
      <c r="E40" s="1">
        <v>57</v>
      </c>
      <c r="F40" s="1">
        <v>15</v>
      </c>
      <c r="G40" s="8">
        <v>0.35</v>
      </c>
      <c r="H40" s="1">
        <v>40</v>
      </c>
      <c r="I40" s="1" t="s">
        <v>38</v>
      </c>
      <c r="J40" s="1"/>
      <c r="K40" s="1">
        <v>66</v>
      </c>
      <c r="L40" s="1">
        <f t="shared" si="13"/>
        <v>-9</v>
      </c>
      <c r="M40" s="1"/>
      <c r="N40" s="1"/>
      <c r="O40" s="1">
        <v>59.599999999999987</v>
      </c>
      <c r="P40" s="1">
        <v>21.200000000000021</v>
      </c>
      <c r="Q40" s="1"/>
      <c r="R40" s="1">
        <f t="shared" si="1"/>
        <v>11.4</v>
      </c>
      <c r="S40" s="5">
        <f t="shared" ref="S40:S49" si="14">11*R40-Q40-P40-O40-F40</f>
        <v>29.6</v>
      </c>
      <c r="T40" s="5"/>
      <c r="U40" s="5">
        <f t="shared" si="2"/>
        <v>29.6</v>
      </c>
      <c r="V40" s="5"/>
      <c r="W40" s="1"/>
      <c r="X40" s="1"/>
      <c r="Y40" s="1">
        <f t="shared" si="3"/>
        <v>11</v>
      </c>
      <c r="Z40" s="1">
        <f t="shared" si="4"/>
        <v>8.4035087719298254</v>
      </c>
      <c r="AA40" s="1">
        <v>11.4</v>
      </c>
      <c r="AB40" s="1">
        <v>12.6</v>
      </c>
      <c r="AC40" s="1">
        <v>9.1999999999999993</v>
      </c>
      <c r="AD40" s="1">
        <v>10</v>
      </c>
      <c r="AE40" s="1">
        <v>17.333333333333329</v>
      </c>
      <c r="AF40" s="1">
        <v>21.666666666666671</v>
      </c>
      <c r="AG40" s="1">
        <v>20.2</v>
      </c>
      <c r="AH40" s="1">
        <v>17.399999999999999</v>
      </c>
      <c r="AI40" s="1" t="s">
        <v>40</v>
      </c>
      <c r="AJ40" s="1">
        <f t="shared" si="5"/>
        <v>10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82</v>
      </c>
      <c r="B41" s="1" t="s">
        <v>37</v>
      </c>
      <c r="C41" s="1">
        <v>60.521000000000001</v>
      </c>
      <c r="D41" s="1">
        <v>147.357</v>
      </c>
      <c r="E41" s="1">
        <v>81.510999999999996</v>
      </c>
      <c r="F41" s="1">
        <v>119.828</v>
      </c>
      <c r="G41" s="8">
        <v>1</v>
      </c>
      <c r="H41" s="1">
        <v>40</v>
      </c>
      <c r="I41" s="1" t="s">
        <v>38</v>
      </c>
      <c r="J41" s="1"/>
      <c r="K41" s="1">
        <v>88.8</v>
      </c>
      <c r="L41" s="1">
        <f t="shared" si="13"/>
        <v>-7.2890000000000015</v>
      </c>
      <c r="M41" s="1"/>
      <c r="N41" s="1"/>
      <c r="O41" s="1">
        <v>0</v>
      </c>
      <c r="P41" s="1">
        <v>0</v>
      </c>
      <c r="Q41" s="1"/>
      <c r="R41" s="1">
        <f t="shared" si="1"/>
        <v>16.302199999999999</v>
      </c>
      <c r="S41" s="5">
        <f t="shared" si="14"/>
        <v>59.496199999999988</v>
      </c>
      <c r="T41" s="5"/>
      <c r="U41" s="5">
        <f t="shared" si="2"/>
        <v>59.496199999999988</v>
      </c>
      <c r="V41" s="5"/>
      <c r="W41" s="1"/>
      <c r="X41" s="1"/>
      <c r="Y41" s="1">
        <f t="shared" si="3"/>
        <v>11</v>
      </c>
      <c r="Z41" s="1">
        <f t="shared" si="4"/>
        <v>7.3504189618579092</v>
      </c>
      <c r="AA41" s="1">
        <v>12.037599999999999</v>
      </c>
      <c r="AB41" s="1">
        <v>15.8156</v>
      </c>
      <c r="AC41" s="1">
        <v>19.380800000000001</v>
      </c>
      <c r="AD41" s="1">
        <v>19.979399999999998</v>
      </c>
      <c r="AE41" s="1">
        <v>15.932499999999999</v>
      </c>
      <c r="AF41" s="1">
        <v>13.7525</v>
      </c>
      <c r="AG41" s="1">
        <v>14.0908</v>
      </c>
      <c r="AH41" s="1">
        <v>19.176200000000001</v>
      </c>
      <c r="AI41" s="1"/>
      <c r="AJ41" s="1">
        <f t="shared" si="5"/>
        <v>59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83</v>
      </c>
      <c r="B42" s="1" t="s">
        <v>43</v>
      </c>
      <c r="C42" s="1">
        <v>138</v>
      </c>
      <c r="D42" s="1"/>
      <c r="E42" s="1">
        <v>98</v>
      </c>
      <c r="F42" s="1">
        <v>40</v>
      </c>
      <c r="G42" s="8">
        <v>0.4</v>
      </c>
      <c r="H42" s="1">
        <v>40</v>
      </c>
      <c r="I42" s="1" t="s">
        <v>38</v>
      </c>
      <c r="J42" s="1"/>
      <c r="K42" s="1">
        <v>158</v>
      </c>
      <c r="L42" s="1">
        <f t="shared" si="13"/>
        <v>-60</v>
      </c>
      <c r="M42" s="1"/>
      <c r="N42" s="1"/>
      <c r="O42" s="1">
        <v>132.6</v>
      </c>
      <c r="P42" s="1">
        <v>40.19999999999996</v>
      </c>
      <c r="Q42" s="1"/>
      <c r="R42" s="1">
        <f t="shared" si="1"/>
        <v>19.600000000000001</v>
      </c>
      <c r="S42" s="5">
        <v>10</v>
      </c>
      <c r="T42" s="5"/>
      <c r="U42" s="5">
        <f t="shared" si="2"/>
        <v>10</v>
      </c>
      <c r="V42" s="5"/>
      <c r="W42" s="1"/>
      <c r="X42" s="1"/>
      <c r="Y42" s="1">
        <f t="shared" si="3"/>
        <v>11.367346938775507</v>
      </c>
      <c r="Z42" s="1">
        <f t="shared" si="4"/>
        <v>10.857142857142854</v>
      </c>
      <c r="AA42" s="1">
        <v>24.4</v>
      </c>
      <c r="AB42" s="1">
        <v>24.6</v>
      </c>
      <c r="AC42" s="1">
        <v>7.2</v>
      </c>
      <c r="AD42" s="1">
        <v>22.6</v>
      </c>
      <c r="AE42" s="1">
        <v>20</v>
      </c>
      <c r="AF42" s="1">
        <v>4.166666666666667</v>
      </c>
      <c r="AG42" s="1">
        <v>6.8</v>
      </c>
      <c r="AH42" s="1">
        <v>35.200000000000003</v>
      </c>
      <c r="AI42" s="1"/>
      <c r="AJ42" s="1">
        <f t="shared" si="5"/>
        <v>4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" t="s">
        <v>84</v>
      </c>
      <c r="B43" s="1" t="s">
        <v>43</v>
      </c>
      <c r="C43" s="1">
        <v>224</v>
      </c>
      <c r="D43" s="1">
        <v>1</v>
      </c>
      <c r="E43" s="1">
        <v>197</v>
      </c>
      <c r="F43" s="1">
        <v>21</v>
      </c>
      <c r="G43" s="8">
        <v>0.4</v>
      </c>
      <c r="H43" s="1">
        <v>45</v>
      </c>
      <c r="I43" s="1" t="s">
        <v>38</v>
      </c>
      <c r="J43" s="1"/>
      <c r="K43" s="1">
        <v>240</v>
      </c>
      <c r="L43" s="1">
        <f t="shared" si="13"/>
        <v>-43</v>
      </c>
      <c r="M43" s="1"/>
      <c r="N43" s="1"/>
      <c r="O43" s="1">
        <v>284</v>
      </c>
      <c r="P43" s="1">
        <v>154.80000000000001</v>
      </c>
      <c r="Q43" s="1"/>
      <c r="R43" s="1">
        <f t="shared" si="1"/>
        <v>39.4</v>
      </c>
      <c r="S43" s="5"/>
      <c r="T43" s="5">
        <f>$T$1*R43</f>
        <v>82.74</v>
      </c>
      <c r="U43" s="5">
        <f t="shared" si="2"/>
        <v>82.74</v>
      </c>
      <c r="V43" s="5"/>
      <c r="W43" s="1"/>
      <c r="X43" s="1"/>
      <c r="Y43" s="1">
        <f t="shared" si="3"/>
        <v>13.77005076142132</v>
      </c>
      <c r="Z43" s="1">
        <f t="shared" si="4"/>
        <v>11.67005076142132</v>
      </c>
      <c r="AA43" s="1">
        <v>49.6</v>
      </c>
      <c r="AB43" s="1">
        <v>50.8</v>
      </c>
      <c r="AC43" s="1">
        <v>18.2</v>
      </c>
      <c r="AD43" s="1">
        <v>42.8</v>
      </c>
      <c r="AE43" s="1">
        <v>45.166666666666657</v>
      </c>
      <c r="AF43" s="1">
        <v>40</v>
      </c>
      <c r="AG43" s="1">
        <v>34</v>
      </c>
      <c r="AH43" s="1">
        <v>54</v>
      </c>
      <c r="AI43" s="1"/>
      <c r="AJ43" s="1">
        <f t="shared" si="5"/>
        <v>33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 t="s">
        <v>85</v>
      </c>
      <c r="B44" s="1" t="s">
        <v>37</v>
      </c>
      <c r="C44" s="1">
        <v>20.992999999999999</v>
      </c>
      <c r="D44" s="1">
        <v>161.52000000000001</v>
      </c>
      <c r="E44" s="1">
        <v>55.164000000000001</v>
      </c>
      <c r="F44" s="1">
        <v>126.619</v>
      </c>
      <c r="G44" s="8">
        <v>1</v>
      </c>
      <c r="H44" s="1">
        <v>40</v>
      </c>
      <c r="I44" s="1" t="s">
        <v>38</v>
      </c>
      <c r="J44" s="1"/>
      <c r="K44" s="1">
        <v>64.3</v>
      </c>
      <c r="L44" s="1">
        <f t="shared" si="13"/>
        <v>-9.1359999999999957</v>
      </c>
      <c r="M44" s="1"/>
      <c r="N44" s="1"/>
      <c r="O44" s="1">
        <v>15.41039999999999</v>
      </c>
      <c r="P44" s="1">
        <v>0</v>
      </c>
      <c r="Q44" s="1"/>
      <c r="R44" s="1">
        <f t="shared" si="1"/>
        <v>11.0328</v>
      </c>
      <c r="S44" s="5"/>
      <c r="T44" s="5"/>
      <c r="U44" s="5">
        <f t="shared" si="2"/>
        <v>0</v>
      </c>
      <c r="V44" s="5"/>
      <c r="W44" s="1"/>
      <c r="X44" s="1"/>
      <c r="Y44" s="1">
        <f t="shared" si="3"/>
        <v>12.873377565078673</v>
      </c>
      <c r="Z44" s="1">
        <f t="shared" si="4"/>
        <v>12.873377565078673</v>
      </c>
      <c r="AA44" s="1">
        <v>12.9032</v>
      </c>
      <c r="AB44" s="1">
        <v>16.8994</v>
      </c>
      <c r="AC44" s="1">
        <v>17.527999999999999</v>
      </c>
      <c r="AD44" s="1">
        <v>18.144400000000001</v>
      </c>
      <c r="AE44" s="1">
        <v>13.016999999999999</v>
      </c>
      <c r="AF44" s="1">
        <v>10.044499999999999</v>
      </c>
      <c r="AG44" s="1">
        <v>16.438800000000001</v>
      </c>
      <c r="AH44" s="1">
        <v>18.190200000000001</v>
      </c>
      <c r="AI44" s="1"/>
      <c r="AJ44" s="1">
        <f t="shared" si="5"/>
        <v>0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25" t="s">
        <v>86</v>
      </c>
      <c r="B45" s="25" t="s">
        <v>43</v>
      </c>
      <c r="C45" s="25">
        <v>58</v>
      </c>
      <c r="D45" s="25">
        <v>170</v>
      </c>
      <c r="E45" s="25">
        <v>158</v>
      </c>
      <c r="F45" s="25">
        <v>69</v>
      </c>
      <c r="G45" s="26">
        <v>0.35</v>
      </c>
      <c r="H45" s="25">
        <v>40</v>
      </c>
      <c r="I45" s="25" t="s">
        <v>38</v>
      </c>
      <c r="J45" s="25"/>
      <c r="K45" s="25">
        <v>165</v>
      </c>
      <c r="L45" s="25">
        <f t="shared" si="13"/>
        <v>-7</v>
      </c>
      <c r="M45" s="25"/>
      <c r="N45" s="25"/>
      <c r="O45" s="25">
        <v>95.400000000000063</v>
      </c>
      <c r="P45" s="25">
        <v>38.800000000000011</v>
      </c>
      <c r="Q45" s="25"/>
      <c r="R45" s="25">
        <f t="shared" si="1"/>
        <v>31.6</v>
      </c>
      <c r="S45" s="27">
        <f>11*R45*1.5-Q45-P45-O45-F45</f>
        <v>318.20000000000005</v>
      </c>
      <c r="T45" s="27"/>
      <c r="U45" s="27">
        <f t="shared" si="2"/>
        <v>318.20000000000005</v>
      </c>
      <c r="V45" s="27"/>
      <c r="W45" s="25"/>
      <c r="X45" s="25"/>
      <c r="Y45" s="25">
        <f t="shared" si="3"/>
        <v>16.500000000000004</v>
      </c>
      <c r="Z45" s="25">
        <f t="shared" si="4"/>
        <v>6.4303797468354453</v>
      </c>
      <c r="AA45" s="25">
        <v>26.6</v>
      </c>
      <c r="AB45" s="25">
        <v>28.8</v>
      </c>
      <c r="AC45" s="25">
        <v>26.2</v>
      </c>
      <c r="AD45" s="25">
        <v>43.4</v>
      </c>
      <c r="AE45" s="25">
        <v>34.166666666666657</v>
      </c>
      <c r="AF45" s="25">
        <v>42.5</v>
      </c>
      <c r="AG45" s="25">
        <v>54.2</v>
      </c>
      <c r="AH45" s="25">
        <v>43.4</v>
      </c>
      <c r="AI45" s="25" t="s">
        <v>152</v>
      </c>
      <c r="AJ45" s="25">
        <f t="shared" si="5"/>
        <v>111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 t="s">
        <v>87</v>
      </c>
      <c r="B46" s="1" t="s">
        <v>43</v>
      </c>
      <c r="C46" s="1">
        <v>183</v>
      </c>
      <c r="D46" s="1">
        <v>289</v>
      </c>
      <c r="E46" s="1">
        <v>373</v>
      </c>
      <c r="F46" s="1">
        <v>92</v>
      </c>
      <c r="G46" s="8">
        <v>0.4</v>
      </c>
      <c r="H46" s="1">
        <v>40</v>
      </c>
      <c r="I46" s="1" t="s">
        <v>38</v>
      </c>
      <c r="J46" s="1"/>
      <c r="K46" s="1">
        <v>396</v>
      </c>
      <c r="L46" s="1">
        <f t="shared" si="13"/>
        <v>-23</v>
      </c>
      <c r="M46" s="1"/>
      <c r="N46" s="1"/>
      <c r="O46" s="1">
        <v>379.20000000000027</v>
      </c>
      <c r="P46" s="1">
        <v>0</v>
      </c>
      <c r="Q46" s="1"/>
      <c r="R46" s="1">
        <f t="shared" si="1"/>
        <v>74.599999999999994</v>
      </c>
      <c r="S46" s="5">
        <f t="shared" si="14"/>
        <v>349.39999999999964</v>
      </c>
      <c r="T46" s="5"/>
      <c r="U46" s="5">
        <f t="shared" si="2"/>
        <v>349.39999999999964</v>
      </c>
      <c r="V46" s="5"/>
      <c r="W46" s="1"/>
      <c r="X46" s="1"/>
      <c r="Y46" s="1">
        <f t="shared" si="3"/>
        <v>11</v>
      </c>
      <c r="Z46" s="1">
        <f t="shared" si="4"/>
        <v>6.316353887399468</v>
      </c>
      <c r="AA46" s="1">
        <v>62.2</v>
      </c>
      <c r="AB46" s="1">
        <v>76.8</v>
      </c>
      <c r="AC46" s="1">
        <v>60.4</v>
      </c>
      <c r="AD46" s="1">
        <v>71.599999999999994</v>
      </c>
      <c r="AE46" s="1">
        <v>64</v>
      </c>
      <c r="AF46" s="1">
        <v>55</v>
      </c>
      <c r="AG46" s="1">
        <v>52.8</v>
      </c>
      <c r="AH46" s="1">
        <v>86</v>
      </c>
      <c r="AI46" s="1" t="s">
        <v>40</v>
      </c>
      <c r="AJ46" s="1">
        <f t="shared" si="5"/>
        <v>140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 t="s">
        <v>88</v>
      </c>
      <c r="B47" s="1" t="s">
        <v>37</v>
      </c>
      <c r="C47" s="1">
        <v>13.614000000000001</v>
      </c>
      <c r="D47" s="1">
        <v>66.245999999999995</v>
      </c>
      <c r="E47" s="1">
        <v>17.561</v>
      </c>
      <c r="F47" s="1">
        <v>60.939</v>
      </c>
      <c r="G47" s="8">
        <v>1</v>
      </c>
      <c r="H47" s="1">
        <v>50</v>
      </c>
      <c r="I47" s="1" t="s">
        <v>38</v>
      </c>
      <c r="J47" s="1"/>
      <c r="K47" s="1">
        <v>31.55</v>
      </c>
      <c r="L47" s="1">
        <f t="shared" si="13"/>
        <v>-13.989000000000001</v>
      </c>
      <c r="M47" s="1"/>
      <c r="N47" s="1"/>
      <c r="O47" s="1">
        <v>17.276599999999998</v>
      </c>
      <c r="P47" s="1">
        <v>0</v>
      </c>
      <c r="Q47" s="1"/>
      <c r="R47" s="1">
        <f t="shared" si="1"/>
        <v>3.5122</v>
      </c>
      <c r="S47" s="5"/>
      <c r="T47" s="5"/>
      <c r="U47" s="5">
        <f t="shared" si="2"/>
        <v>0</v>
      </c>
      <c r="V47" s="5"/>
      <c r="W47" s="1"/>
      <c r="X47" s="1"/>
      <c r="Y47" s="1">
        <f t="shared" si="3"/>
        <v>22.269688514321505</v>
      </c>
      <c r="Z47" s="1">
        <f t="shared" si="4"/>
        <v>22.269688514321505</v>
      </c>
      <c r="AA47" s="1">
        <v>4.8630000000000004</v>
      </c>
      <c r="AB47" s="1">
        <v>7.5688000000000004</v>
      </c>
      <c r="AC47" s="1">
        <v>7.3006000000000002</v>
      </c>
      <c r="AD47" s="1">
        <v>6.2210000000000001</v>
      </c>
      <c r="AE47" s="1">
        <v>2.4801666666666669</v>
      </c>
      <c r="AF47" s="1">
        <v>2.6353333333333331</v>
      </c>
      <c r="AG47" s="1">
        <v>7.4829999999999997</v>
      </c>
      <c r="AH47" s="1">
        <v>5.6665999999999999</v>
      </c>
      <c r="AI47" s="1"/>
      <c r="AJ47" s="1">
        <f t="shared" si="5"/>
        <v>0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 t="s">
        <v>89</v>
      </c>
      <c r="B48" s="1" t="s">
        <v>37</v>
      </c>
      <c r="C48" s="1">
        <v>50.069000000000003</v>
      </c>
      <c r="D48" s="1">
        <v>184.91399999999999</v>
      </c>
      <c r="E48" s="1">
        <v>99.703999999999994</v>
      </c>
      <c r="F48" s="1">
        <v>134.93899999999999</v>
      </c>
      <c r="G48" s="8">
        <v>1</v>
      </c>
      <c r="H48" s="1">
        <v>50</v>
      </c>
      <c r="I48" s="1" t="s">
        <v>38</v>
      </c>
      <c r="J48" s="1"/>
      <c r="K48" s="1">
        <v>96.75</v>
      </c>
      <c r="L48" s="1">
        <f t="shared" si="13"/>
        <v>2.9539999999999935</v>
      </c>
      <c r="M48" s="1"/>
      <c r="N48" s="1"/>
      <c r="O48" s="1">
        <v>49.784000000000013</v>
      </c>
      <c r="P48" s="1">
        <v>0</v>
      </c>
      <c r="Q48" s="1"/>
      <c r="R48" s="1">
        <f t="shared" si="1"/>
        <v>19.940799999999999</v>
      </c>
      <c r="S48" s="5">
        <f t="shared" si="14"/>
        <v>34.62579999999997</v>
      </c>
      <c r="T48" s="5"/>
      <c r="U48" s="5">
        <f t="shared" si="2"/>
        <v>34.62579999999997</v>
      </c>
      <c r="V48" s="5"/>
      <c r="W48" s="1"/>
      <c r="X48" s="1"/>
      <c r="Y48" s="1">
        <f t="shared" si="3"/>
        <v>11</v>
      </c>
      <c r="Z48" s="1">
        <f t="shared" si="4"/>
        <v>9.2635701676963826</v>
      </c>
      <c r="AA48" s="1">
        <v>17.225200000000001</v>
      </c>
      <c r="AB48" s="1">
        <v>25.126000000000001</v>
      </c>
      <c r="AC48" s="1">
        <v>24.050999999999998</v>
      </c>
      <c r="AD48" s="1">
        <v>20.925999999999998</v>
      </c>
      <c r="AE48" s="1">
        <v>18.566166666666671</v>
      </c>
      <c r="AF48" s="1">
        <v>16.356333333333339</v>
      </c>
      <c r="AG48" s="1">
        <v>22.979800000000001</v>
      </c>
      <c r="AH48" s="1">
        <v>15.784000000000001</v>
      </c>
      <c r="AI48" s="1"/>
      <c r="AJ48" s="1">
        <f t="shared" si="5"/>
        <v>35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" t="s">
        <v>90</v>
      </c>
      <c r="B49" s="1" t="s">
        <v>37</v>
      </c>
      <c r="C49" s="1">
        <v>135.40600000000001</v>
      </c>
      <c r="D49" s="1">
        <v>218.72800000000001</v>
      </c>
      <c r="E49" s="1">
        <v>116.511</v>
      </c>
      <c r="F49" s="1">
        <v>236.06899999999999</v>
      </c>
      <c r="G49" s="8">
        <v>1</v>
      </c>
      <c r="H49" s="1">
        <v>40</v>
      </c>
      <c r="I49" s="1" t="s">
        <v>38</v>
      </c>
      <c r="J49" s="1"/>
      <c r="K49" s="1">
        <v>104</v>
      </c>
      <c r="L49" s="1">
        <f t="shared" si="13"/>
        <v>12.510999999999996</v>
      </c>
      <c r="M49" s="1"/>
      <c r="N49" s="1"/>
      <c r="O49" s="1">
        <v>0</v>
      </c>
      <c r="P49" s="1">
        <v>0</v>
      </c>
      <c r="Q49" s="1"/>
      <c r="R49" s="1">
        <f t="shared" si="1"/>
        <v>23.302199999999999</v>
      </c>
      <c r="S49" s="5">
        <f t="shared" si="14"/>
        <v>20.255200000000031</v>
      </c>
      <c r="T49" s="5"/>
      <c r="U49" s="5">
        <f t="shared" si="2"/>
        <v>20.255200000000031</v>
      </c>
      <c r="V49" s="5"/>
      <c r="W49" s="1"/>
      <c r="X49" s="1"/>
      <c r="Y49" s="1">
        <f t="shared" si="3"/>
        <v>11.000000000000002</v>
      </c>
      <c r="Z49" s="1">
        <f t="shared" si="4"/>
        <v>10.130760185733536</v>
      </c>
      <c r="AA49" s="1">
        <v>16.026399999999999</v>
      </c>
      <c r="AB49" s="1">
        <v>29.304200000000002</v>
      </c>
      <c r="AC49" s="1">
        <v>34.048200000000001</v>
      </c>
      <c r="AD49" s="1">
        <v>28.140999999999998</v>
      </c>
      <c r="AE49" s="1">
        <v>30.733166666666669</v>
      </c>
      <c r="AF49" s="1">
        <v>28.462499999999999</v>
      </c>
      <c r="AG49" s="1">
        <v>24.233599999999999</v>
      </c>
      <c r="AH49" s="1">
        <v>24.036999999999999</v>
      </c>
      <c r="AI49" s="1"/>
      <c r="AJ49" s="1">
        <f t="shared" si="5"/>
        <v>20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" t="s">
        <v>92</v>
      </c>
      <c r="B50" s="1" t="s">
        <v>43</v>
      </c>
      <c r="C50" s="1">
        <v>381</v>
      </c>
      <c r="D50" s="1">
        <v>1</v>
      </c>
      <c r="E50" s="1">
        <v>160</v>
      </c>
      <c r="F50" s="1">
        <v>221</v>
      </c>
      <c r="G50" s="8">
        <v>0.45</v>
      </c>
      <c r="H50" s="1">
        <v>50</v>
      </c>
      <c r="I50" s="1" t="s">
        <v>38</v>
      </c>
      <c r="J50" s="1"/>
      <c r="K50" s="1">
        <v>181</v>
      </c>
      <c r="L50" s="1">
        <f t="shared" si="13"/>
        <v>-21</v>
      </c>
      <c r="M50" s="1"/>
      <c r="N50" s="1"/>
      <c r="O50" s="1">
        <v>123</v>
      </c>
      <c r="P50" s="1">
        <v>39.200000000000003</v>
      </c>
      <c r="Q50" s="1"/>
      <c r="R50" s="1">
        <f t="shared" si="1"/>
        <v>32</v>
      </c>
      <c r="S50" s="5"/>
      <c r="T50" s="5">
        <f>$T$1*R50</f>
        <v>67.2</v>
      </c>
      <c r="U50" s="5">
        <f t="shared" si="2"/>
        <v>67.2</v>
      </c>
      <c r="V50" s="5"/>
      <c r="W50" s="1"/>
      <c r="X50" s="1"/>
      <c r="Y50" s="1">
        <f t="shared" si="3"/>
        <v>14.074999999999999</v>
      </c>
      <c r="Z50" s="1">
        <f t="shared" si="4"/>
        <v>11.975</v>
      </c>
      <c r="AA50" s="1">
        <v>39.200000000000003</v>
      </c>
      <c r="AB50" s="1">
        <v>40</v>
      </c>
      <c r="AC50" s="1">
        <v>20.2</v>
      </c>
      <c r="AD50" s="1">
        <v>37.6</v>
      </c>
      <c r="AE50" s="1">
        <v>35.333333333333343</v>
      </c>
      <c r="AF50" s="1">
        <v>49.166666666666657</v>
      </c>
      <c r="AG50" s="1">
        <v>49.8</v>
      </c>
      <c r="AH50" s="1">
        <v>49.8</v>
      </c>
      <c r="AI50" s="1"/>
      <c r="AJ50" s="1">
        <f t="shared" si="5"/>
        <v>30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2" t="s">
        <v>93</v>
      </c>
      <c r="B51" s="12" t="s">
        <v>43</v>
      </c>
      <c r="C51" s="12">
        <v>18</v>
      </c>
      <c r="D51" s="12"/>
      <c r="E51" s="12">
        <v>15</v>
      </c>
      <c r="F51" s="12">
        <v>3</v>
      </c>
      <c r="G51" s="13">
        <v>0</v>
      </c>
      <c r="H51" s="12" t="e">
        <v>#N/A</v>
      </c>
      <c r="I51" s="12" t="s">
        <v>44</v>
      </c>
      <c r="J51" s="12"/>
      <c r="K51" s="12">
        <v>18</v>
      </c>
      <c r="L51" s="12">
        <f t="shared" si="13"/>
        <v>-3</v>
      </c>
      <c r="M51" s="12"/>
      <c r="N51" s="12"/>
      <c r="O51" s="12">
        <v>0</v>
      </c>
      <c r="P51" s="12">
        <v>0</v>
      </c>
      <c r="Q51" s="12"/>
      <c r="R51" s="12">
        <f t="shared" si="1"/>
        <v>3</v>
      </c>
      <c r="S51" s="14"/>
      <c r="T51" s="14"/>
      <c r="U51" s="5">
        <f t="shared" si="2"/>
        <v>0</v>
      </c>
      <c r="V51" s="14"/>
      <c r="W51" s="1"/>
      <c r="X51" s="12"/>
      <c r="Y51" s="1">
        <f t="shared" si="3"/>
        <v>1</v>
      </c>
      <c r="Z51" s="12">
        <f t="shared" si="4"/>
        <v>1</v>
      </c>
      <c r="AA51" s="12">
        <v>4.2</v>
      </c>
      <c r="AB51" s="12">
        <v>3.6</v>
      </c>
      <c r="AC51" s="12">
        <v>3.6</v>
      </c>
      <c r="AD51" s="12">
        <v>3.2</v>
      </c>
      <c r="AE51" s="12">
        <v>0.66666666666666663</v>
      </c>
      <c r="AF51" s="12">
        <v>0</v>
      </c>
      <c r="AG51" s="12">
        <v>0</v>
      </c>
      <c r="AH51" s="12">
        <v>0</v>
      </c>
      <c r="AI51" s="12" t="s">
        <v>77</v>
      </c>
      <c r="AJ51" s="1">
        <f t="shared" si="5"/>
        <v>0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" t="s">
        <v>94</v>
      </c>
      <c r="B52" s="1" t="s">
        <v>43</v>
      </c>
      <c r="C52" s="1">
        <v>66</v>
      </c>
      <c r="D52" s="1">
        <v>85</v>
      </c>
      <c r="E52" s="1">
        <v>115</v>
      </c>
      <c r="F52" s="1">
        <v>35</v>
      </c>
      <c r="G52" s="8">
        <v>0.4</v>
      </c>
      <c r="H52" s="1">
        <v>40</v>
      </c>
      <c r="I52" s="1" t="s">
        <v>38</v>
      </c>
      <c r="J52" s="1"/>
      <c r="K52" s="1">
        <v>132</v>
      </c>
      <c r="L52" s="1">
        <f t="shared" si="13"/>
        <v>-17</v>
      </c>
      <c r="M52" s="1"/>
      <c r="N52" s="1"/>
      <c r="O52" s="1">
        <v>29.599999999999969</v>
      </c>
      <c r="P52" s="1">
        <v>0</v>
      </c>
      <c r="Q52" s="1"/>
      <c r="R52" s="1">
        <f t="shared" si="1"/>
        <v>23</v>
      </c>
      <c r="S52" s="5">
        <f>9*R52-Q52-P52-O52-F52</f>
        <v>142.40000000000003</v>
      </c>
      <c r="T52" s="5"/>
      <c r="U52" s="5">
        <f t="shared" si="2"/>
        <v>142.40000000000003</v>
      </c>
      <c r="V52" s="5"/>
      <c r="W52" s="1"/>
      <c r="X52" s="1"/>
      <c r="Y52" s="1">
        <f t="shared" si="3"/>
        <v>9</v>
      </c>
      <c r="Z52" s="1">
        <f t="shared" si="4"/>
        <v>2.8086956521739115</v>
      </c>
      <c r="AA52" s="1">
        <v>12.2</v>
      </c>
      <c r="AB52" s="1">
        <v>16.2</v>
      </c>
      <c r="AC52" s="1">
        <v>10.199999999999999</v>
      </c>
      <c r="AD52" s="1">
        <v>22.6</v>
      </c>
      <c r="AE52" s="1">
        <v>17.5</v>
      </c>
      <c r="AF52" s="1">
        <v>12.33333333333333</v>
      </c>
      <c r="AG52" s="1">
        <v>15.4</v>
      </c>
      <c r="AH52" s="1">
        <v>24.4</v>
      </c>
      <c r="AI52" s="1"/>
      <c r="AJ52" s="1">
        <f t="shared" si="5"/>
        <v>57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28" t="s">
        <v>95</v>
      </c>
      <c r="B53" s="28" t="s">
        <v>43</v>
      </c>
      <c r="C53" s="28">
        <v>14</v>
      </c>
      <c r="D53" s="28">
        <v>133</v>
      </c>
      <c r="E53" s="28">
        <v>112</v>
      </c>
      <c r="F53" s="28">
        <v>33</v>
      </c>
      <c r="G53" s="29">
        <v>0.4</v>
      </c>
      <c r="H53" s="28">
        <v>40</v>
      </c>
      <c r="I53" s="28" t="s">
        <v>38</v>
      </c>
      <c r="J53" s="28"/>
      <c r="K53" s="28">
        <v>140</v>
      </c>
      <c r="L53" s="28">
        <f t="shared" si="13"/>
        <v>-28</v>
      </c>
      <c r="M53" s="28"/>
      <c r="N53" s="28"/>
      <c r="O53" s="28">
        <v>129</v>
      </c>
      <c r="P53" s="28">
        <v>0</v>
      </c>
      <c r="Q53" s="28"/>
      <c r="R53" s="28">
        <f t="shared" si="1"/>
        <v>22.4</v>
      </c>
      <c r="S53" s="30">
        <f>10*R53-Q53-P53-O53-F53</f>
        <v>62</v>
      </c>
      <c r="T53" s="30"/>
      <c r="U53" s="30">
        <f t="shared" si="2"/>
        <v>62</v>
      </c>
      <c r="V53" s="30"/>
      <c r="W53" s="28"/>
      <c r="X53" s="28"/>
      <c r="Y53" s="28">
        <f t="shared" si="3"/>
        <v>10</v>
      </c>
      <c r="Z53" s="28">
        <f t="shared" si="4"/>
        <v>7.2321428571428577</v>
      </c>
      <c r="AA53" s="28">
        <v>19.399999999999999</v>
      </c>
      <c r="AB53" s="28">
        <v>24.8</v>
      </c>
      <c r="AC53" s="28">
        <v>15.6</v>
      </c>
      <c r="AD53" s="28">
        <v>25.8</v>
      </c>
      <c r="AE53" s="28">
        <v>17.666666666666671</v>
      </c>
      <c r="AF53" s="28">
        <v>16.5</v>
      </c>
      <c r="AG53" s="28">
        <v>20.6</v>
      </c>
      <c r="AH53" s="28">
        <v>29.4</v>
      </c>
      <c r="AI53" s="28" t="s">
        <v>55</v>
      </c>
      <c r="AJ53" s="28">
        <f t="shared" si="5"/>
        <v>25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7" t="s">
        <v>96</v>
      </c>
      <c r="B54" s="17" t="s">
        <v>37</v>
      </c>
      <c r="C54" s="17"/>
      <c r="D54" s="17"/>
      <c r="E54" s="17"/>
      <c r="F54" s="17"/>
      <c r="G54" s="18">
        <v>0</v>
      </c>
      <c r="H54" s="17">
        <v>50</v>
      </c>
      <c r="I54" s="17" t="s">
        <v>38</v>
      </c>
      <c r="J54" s="17"/>
      <c r="K54" s="17"/>
      <c r="L54" s="17">
        <f t="shared" si="13"/>
        <v>0</v>
      </c>
      <c r="M54" s="17"/>
      <c r="N54" s="17"/>
      <c r="O54" s="17">
        <v>0</v>
      </c>
      <c r="P54" s="17">
        <v>0</v>
      </c>
      <c r="Q54" s="17"/>
      <c r="R54" s="17">
        <f t="shared" si="1"/>
        <v>0</v>
      </c>
      <c r="S54" s="19"/>
      <c r="T54" s="19"/>
      <c r="U54" s="5">
        <f t="shared" si="2"/>
        <v>0</v>
      </c>
      <c r="V54" s="19"/>
      <c r="W54" s="1"/>
      <c r="X54" s="17"/>
      <c r="Y54" s="1" t="e">
        <f t="shared" si="3"/>
        <v>#DIV/0!</v>
      </c>
      <c r="Z54" s="17" t="e">
        <f t="shared" si="4"/>
        <v>#DIV/0!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 t="s">
        <v>48</v>
      </c>
      <c r="AJ54" s="1">
        <f t="shared" si="5"/>
        <v>0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 t="s">
        <v>97</v>
      </c>
      <c r="B55" s="1" t="s">
        <v>43</v>
      </c>
      <c r="C55" s="1">
        <v>36</v>
      </c>
      <c r="D55" s="1">
        <v>40</v>
      </c>
      <c r="E55" s="1">
        <v>39</v>
      </c>
      <c r="F55" s="1">
        <v>37</v>
      </c>
      <c r="G55" s="8">
        <v>0.1</v>
      </c>
      <c r="H55" s="1">
        <v>730</v>
      </c>
      <c r="I55" s="1" t="s">
        <v>38</v>
      </c>
      <c r="J55" s="1"/>
      <c r="K55" s="1">
        <v>40</v>
      </c>
      <c r="L55" s="1">
        <f t="shared" si="13"/>
        <v>-1</v>
      </c>
      <c r="M55" s="1"/>
      <c r="N55" s="1"/>
      <c r="O55" s="1">
        <v>47.800000000000011</v>
      </c>
      <c r="P55" s="1">
        <v>0</v>
      </c>
      <c r="Q55" s="1"/>
      <c r="R55" s="1">
        <f t="shared" si="1"/>
        <v>7.8</v>
      </c>
      <c r="S55" s="5">
        <v>10</v>
      </c>
      <c r="T55" s="5"/>
      <c r="U55" s="5">
        <f t="shared" si="2"/>
        <v>10</v>
      </c>
      <c r="V55" s="5"/>
      <c r="W55" s="1"/>
      <c r="X55" s="1"/>
      <c r="Y55" s="1">
        <f t="shared" si="3"/>
        <v>12.153846153846155</v>
      </c>
      <c r="Z55" s="1">
        <f t="shared" si="4"/>
        <v>10.871794871794874</v>
      </c>
      <c r="AA55" s="1">
        <v>6.4</v>
      </c>
      <c r="AB55" s="1">
        <v>10.8</v>
      </c>
      <c r="AC55" s="1">
        <v>7</v>
      </c>
      <c r="AD55" s="1">
        <v>3</v>
      </c>
      <c r="AE55" s="1">
        <v>1.166666666666667</v>
      </c>
      <c r="AF55" s="1">
        <v>1</v>
      </c>
      <c r="AG55" s="1">
        <v>6.2</v>
      </c>
      <c r="AH55" s="1">
        <v>6.6</v>
      </c>
      <c r="AI55" s="1"/>
      <c r="AJ55" s="1">
        <f t="shared" si="5"/>
        <v>1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 t="s">
        <v>98</v>
      </c>
      <c r="B56" s="1" t="s">
        <v>37</v>
      </c>
      <c r="C56" s="1">
        <v>67.825000000000003</v>
      </c>
      <c r="D56" s="1">
        <v>86.935000000000002</v>
      </c>
      <c r="E56" s="1">
        <v>71.58</v>
      </c>
      <c r="F56" s="1">
        <v>81.831999999999994</v>
      </c>
      <c r="G56" s="8">
        <v>1</v>
      </c>
      <c r="H56" s="1">
        <v>50</v>
      </c>
      <c r="I56" s="1" t="s">
        <v>38</v>
      </c>
      <c r="J56" s="1"/>
      <c r="K56" s="1">
        <v>71.75</v>
      </c>
      <c r="L56" s="1">
        <f t="shared" si="13"/>
        <v>-0.17000000000000171</v>
      </c>
      <c r="M56" s="1"/>
      <c r="N56" s="1"/>
      <c r="O56" s="1">
        <v>83.544099999999887</v>
      </c>
      <c r="P56" s="1">
        <v>16.448799999999999</v>
      </c>
      <c r="Q56" s="1"/>
      <c r="R56" s="1">
        <f t="shared" si="1"/>
        <v>14.315999999999999</v>
      </c>
      <c r="S56" s="5"/>
      <c r="T56" s="5"/>
      <c r="U56" s="5">
        <f t="shared" si="2"/>
        <v>0</v>
      </c>
      <c r="V56" s="5"/>
      <c r="W56" s="1"/>
      <c r="X56" s="1"/>
      <c r="Y56" s="1">
        <f t="shared" si="3"/>
        <v>12.70081726739312</v>
      </c>
      <c r="Z56" s="1">
        <f t="shared" si="4"/>
        <v>12.70081726739312</v>
      </c>
      <c r="AA56" s="1">
        <v>16.448799999999999</v>
      </c>
      <c r="AB56" s="1">
        <v>21.588999999999999</v>
      </c>
      <c r="AC56" s="1">
        <v>16.772200000000002</v>
      </c>
      <c r="AD56" s="1">
        <v>13.1088</v>
      </c>
      <c r="AE56" s="1">
        <v>15.593500000000001</v>
      </c>
      <c r="AF56" s="1">
        <v>19.488499999999998</v>
      </c>
      <c r="AG56" s="1">
        <v>21.813600000000001</v>
      </c>
      <c r="AH56" s="1">
        <v>13.634399999999999</v>
      </c>
      <c r="AI56" s="1"/>
      <c r="AJ56" s="1">
        <f t="shared" si="5"/>
        <v>0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 t="s">
        <v>99</v>
      </c>
      <c r="B57" s="1" t="s">
        <v>37</v>
      </c>
      <c r="C57" s="1">
        <v>47.540999999999997</v>
      </c>
      <c r="D57" s="1">
        <v>32.795999999999999</v>
      </c>
      <c r="E57" s="1">
        <v>41.866999999999997</v>
      </c>
      <c r="F57" s="1">
        <v>38.47</v>
      </c>
      <c r="G57" s="8">
        <v>1</v>
      </c>
      <c r="H57" s="1">
        <v>50</v>
      </c>
      <c r="I57" s="1" t="s">
        <v>38</v>
      </c>
      <c r="J57" s="1"/>
      <c r="K57" s="1">
        <v>41.9</v>
      </c>
      <c r="L57" s="1">
        <f t="shared" si="13"/>
        <v>-3.3000000000001251E-2</v>
      </c>
      <c r="M57" s="1"/>
      <c r="N57" s="1"/>
      <c r="O57" s="1">
        <v>0</v>
      </c>
      <c r="P57" s="1">
        <v>0</v>
      </c>
      <c r="Q57" s="1"/>
      <c r="R57" s="1">
        <f t="shared" si="1"/>
        <v>8.3734000000000002</v>
      </c>
      <c r="S57" s="5">
        <f t="shared" ref="S57:S67" si="15">11*R57-Q57-P57-O57-F57</f>
        <v>53.6374</v>
      </c>
      <c r="T57" s="5"/>
      <c r="U57" s="5">
        <f t="shared" si="2"/>
        <v>53.6374</v>
      </c>
      <c r="V57" s="5"/>
      <c r="W57" s="1"/>
      <c r="X57" s="1"/>
      <c r="Y57" s="1">
        <f t="shared" si="3"/>
        <v>11</v>
      </c>
      <c r="Z57" s="1">
        <f t="shared" si="4"/>
        <v>4.59431055485227</v>
      </c>
      <c r="AA57" s="1">
        <v>3.5013999999999998</v>
      </c>
      <c r="AB57" s="1">
        <v>4.3162000000000003</v>
      </c>
      <c r="AC57" s="1">
        <v>5.4074</v>
      </c>
      <c r="AD57" s="1">
        <v>7.5715999999999992</v>
      </c>
      <c r="AE57" s="1">
        <v>6.5365000000000002</v>
      </c>
      <c r="AF57" s="1">
        <v>5.1783333333333337</v>
      </c>
      <c r="AG57" s="1">
        <v>4.3322000000000003</v>
      </c>
      <c r="AH57" s="1">
        <v>5.694</v>
      </c>
      <c r="AI57" s="1"/>
      <c r="AJ57" s="1">
        <f t="shared" si="5"/>
        <v>54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 t="s">
        <v>100</v>
      </c>
      <c r="B58" s="1" t="s">
        <v>43</v>
      </c>
      <c r="C58" s="1">
        <v>37</v>
      </c>
      <c r="D58" s="1">
        <v>20</v>
      </c>
      <c r="E58" s="1">
        <v>40</v>
      </c>
      <c r="F58" s="1">
        <v>17</v>
      </c>
      <c r="G58" s="8">
        <v>0.1</v>
      </c>
      <c r="H58" s="1">
        <v>730</v>
      </c>
      <c r="I58" s="1" t="s">
        <v>38</v>
      </c>
      <c r="J58" s="1"/>
      <c r="K58" s="1">
        <v>40</v>
      </c>
      <c r="L58" s="1">
        <f t="shared" si="13"/>
        <v>0</v>
      </c>
      <c r="M58" s="1"/>
      <c r="N58" s="1"/>
      <c r="O58" s="1">
        <v>49.200000000000017</v>
      </c>
      <c r="P58" s="1">
        <v>0</v>
      </c>
      <c r="Q58" s="1"/>
      <c r="R58" s="1">
        <f t="shared" si="1"/>
        <v>8</v>
      </c>
      <c r="S58" s="5">
        <f t="shared" si="15"/>
        <v>21.799999999999983</v>
      </c>
      <c r="T58" s="5"/>
      <c r="U58" s="5">
        <f t="shared" si="2"/>
        <v>21.799999999999983</v>
      </c>
      <c r="V58" s="5"/>
      <c r="W58" s="1"/>
      <c r="X58" s="1"/>
      <c r="Y58" s="1">
        <f t="shared" si="3"/>
        <v>11</v>
      </c>
      <c r="Z58" s="1">
        <f t="shared" si="4"/>
        <v>8.2750000000000021</v>
      </c>
      <c r="AA58" s="1">
        <v>6.4</v>
      </c>
      <c r="AB58" s="1">
        <v>9.4</v>
      </c>
      <c r="AC58" s="1">
        <v>5.6</v>
      </c>
      <c r="AD58" s="1">
        <v>2</v>
      </c>
      <c r="AE58" s="1">
        <v>1.166666666666667</v>
      </c>
      <c r="AF58" s="1">
        <v>1.333333333333333</v>
      </c>
      <c r="AG58" s="1">
        <v>6.6</v>
      </c>
      <c r="AH58" s="1">
        <v>6.6</v>
      </c>
      <c r="AI58" s="1"/>
      <c r="AJ58" s="1">
        <f t="shared" si="5"/>
        <v>2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 t="s">
        <v>101</v>
      </c>
      <c r="B59" s="1" t="s">
        <v>43</v>
      </c>
      <c r="C59" s="1">
        <v>240</v>
      </c>
      <c r="D59" s="1">
        <v>11</v>
      </c>
      <c r="E59" s="1">
        <v>112</v>
      </c>
      <c r="F59" s="1">
        <v>138</v>
      </c>
      <c r="G59" s="8">
        <v>0.4</v>
      </c>
      <c r="H59" s="1">
        <v>50</v>
      </c>
      <c r="I59" s="1" t="s">
        <v>38</v>
      </c>
      <c r="J59" s="1"/>
      <c r="K59" s="1">
        <v>120</v>
      </c>
      <c r="L59" s="1">
        <f t="shared" si="13"/>
        <v>-8</v>
      </c>
      <c r="M59" s="1"/>
      <c r="N59" s="1"/>
      <c r="O59" s="1">
        <v>0</v>
      </c>
      <c r="P59" s="1">
        <v>18.600000000000001</v>
      </c>
      <c r="Q59" s="1"/>
      <c r="R59" s="1">
        <f t="shared" si="1"/>
        <v>22.4</v>
      </c>
      <c r="S59" s="5">
        <f t="shared" si="15"/>
        <v>89.799999999999983</v>
      </c>
      <c r="T59" s="5"/>
      <c r="U59" s="5">
        <f t="shared" si="2"/>
        <v>89.799999999999983</v>
      </c>
      <c r="V59" s="5"/>
      <c r="W59" s="1"/>
      <c r="X59" s="1"/>
      <c r="Y59" s="1">
        <f t="shared" si="3"/>
        <v>11</v>
      </c>
      <c r="Z59" s="1">
        <f t="shared" si="4"/>
        <v>6.9910714285714288</v>
      </c>
      <c r="AA59" s="1">
        <v>18.600000000000001</v>
      </c>
      <c r="AB59" s="1">
        <v>18.2</v>
      </c>
      <c r="AC59" s="1">
        <v>7</v>
      </c>
      <c r="AD59" s="1">
        <v>31.6</v>
      </c>
      <c r="AE59" s="1">
        <v>28.5</v>
      </c>
      <c r="AF59" s="1">
        <v>5</v>
      </c>
      <c r="AG59" s="1">
        <v>2.6</v>
      </c>
      <c r="AH59" s="1">
        <v>30</v>
      </c>
      <c r="AI59" s="1"/>
      <c r="AJ59" s="1">
        <f t="shared" si="5"/>
        <v>36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 t="s">
        <v>102</v>
      </c>
      <c r="B60" s="1" t="s">
        <v>37</v>
      </c>
      <c r="C60" s="1">
        <v>7.9130000000000003</v>
      </c>
      <c r="D60" s="1">
        <v>31.55</v>
      </c>
      <c r="E60" s="1">
        <v>8.016</v>
      </c>
      <c r="F60" s="1">
        <v>31.446999999999999</v>
      </c>
      <c r="G60" s="8">
        <v>1</v>
      </c>
      <c r="H60" s="1">
        <v>40</v>
      </c>
      <c r="I60" s="1" t="s">
        <v>38</v>
      </c>
      <c r="J60" s="1"/>
      <c r="K60" s="1">
        <v>12.6</v>
      </c>
      <c r="L60" s="1">
        <f t="shared" si="13"/>
        <v>-4.5839999999999996</v>
      </c>
      <c r="M60" s="1"/>
      <c r="N60" s="1"/>
      <c r="O60" s="1">
        <v>14.69700000000002</v>
      </c>
      <c r="P60" s="1">
        <v>0</v>
      </c>
      <c r="Q60" s="1"/>
      <c r="R60" s="1">
        <f t="shared" si="1"/>
        <v>1.6032</v>
      </c>
      <c r="S60" s="5"/>
      <c r="T60" s="5"/>
      <c r="U60" s="5">
        <f t="shared" si="2"/>
        <v>0</v>
      </c>
      <c r="V60" s="5"/>
      <c r="W60" s="1"/>
      <c r="X60" s="1"/>
      <c r="Y60" s="1">
        <f t="shared" si="3"/>
        <v>28.782435129740531</v>
      </c>
      <c r="Z60" s="1">
        <f t="shared" si="4"/>
        <v>28.782435129740531</v>
      </c>
      <c r="AA60" s="1">
        <v>3.0922000000000001</v>
      </c>
      <c r="AB60" s="1">
        <v>4.3907999999999996</v>
      </c>
      <c r="AC60" s="1">
        <v>3.6964000000000001</v>
      </c>
      <c r="AD60" s="1">
        <v>2.6718000000000002</v>
      </c>
      <c r="AE60" s="1">
        <v>2.019166666666667</v>
      </c>
      <c r="AF60" s="1">
        <v>2.0093333333333332</v>
      </c>
      <c r="AG60" s="1">
        <v>1.0698000000000001</v>
      </c>
      <c r="AH60" s="1">
        <v>1.6020000000000001</v>
      </c>
      <c r="AI60" s="1"/>
      <c r="AJ60" s="1">
        <f t="shared" si="5"/>
        <v>0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 t="s">
        <v>103</v>
      </c>
      <c r="B61" s="1" t="s">
        <v>37</v>
      </c>
      <c r="C61" s="1">
        <v>14.606</v>
      </c>
      <c r="D61" s="1">
        <v>16.356000000000002</v>
      </c>
      <c r="E61" s="1">
        <v>11.736000000000001</v>
      </c>
      <c r="F61" s="1">
        <v>19.225999999999999</v>
      </c>
      <c r="G61" s="8">
        <v>1</v>
      </c>
      <c r="H61" s="1">
        <v>40</v>
      </c>
      <c r="I61" s="1" t="s">
        <v>38</v>
      </c>
      <c r="J61" s="1"/>
      <c r="K61" s="1">
        <v>11.8</v>
      </c>
      <c r="L61" s="1">
        <f t="shared" si="13"/>
        <v>-6.4000000000000057E-2</v>
      </c>
      <c r="M61" s="1"/>
      <c r="N61" s="1"/>
      <c r="O61" s="1">
        <v>0</v>
      </c>
      <c r="P61" s="1">
        <v>0</v>
      </c>
      <c r="Q61" s="1"/>
      <c r="R61" s="1">
        <f t="shared" si="1"/>
        <v>2.3472</v>
      </c>
      <c r="S61" s="5">
        <f t="shared" si="15"/>
        <v>6.5931999999999995</v>
      </c>
      <c r="T61" s="5"/>
      <c r="U61" s="5">
        <f t="shared" si="2"/>
        <v>6.5931999999999995</v>
      </c>
      <c r="V61" s="5"/>
      <c r="W61" s="1"/>
      <c r="X61" s="1"/>
      <c r="Y61" s="1">
        <f t="shared" si="3"/>
        <v>11</v>
      </c>
      <c r="Z61" s="1">
        <f t="shared" si="4"/>
        <v>8.1910361281526924</v>
      </c>
      <c r="AA61" s="1">
        <v>0.52580000000000005</v>
      </c>
      <c r="AB61" s="1">
        <v>1.3211999999999999</v>
      </c>
      <c r="AC61" s="1">
        <v>2.6217999999999999</v>
      </c>
      <c r="AD61" s="1">
        <v>1.7645999999999999</v>
      </c>
      <c r="AE61" s="1">
        <v>0.82016666666666671</v>
      </c>
      <c r="AF61" s="1">
        <v>1.0906666666666669</v>
      </c>
      <c r="AG61" s="1">
        <v>1.3555999999999999</v>
      </c>
      <c r="AH61" s="1">
        <v>2.5045999999999999</v>
      </c>
      <c r="AI61" s="1"/>
      <c r="AJ61" s="1">
        <f t="shared" si="5"/>
        <v>7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 t="s">
        <v>104</v>
      </c>
      <c r="B62" s="1" t="s">
        <v>43</v>
      </c>
      <c r="C62" s="1">
        <v>177</v>
      </c>
      <c r="D62" s="1">
        <v>451</v>
      </c>
      <c r="E62" s="1">
        <v>423</v>
      </c>
      <c r="F62" s="1">
        <v>203</v>
      </c>
      <c r="G62" s="8">
        <v>0.4</v>
      </c>
      <c r="H62" s="1">
        <v>40</v>
      </c>
      <c r="I62" s="1" t="s">
        <v>38</v>
      </c>
      <c r="J62" s="1"/>
      <c r="K62" s="1">
        <v>454</v>
      </c>
      <c r="L62" s="1">
        <f t="shared" si="13"/>
        <v>-31</v>
      </c>
      <c r="M62" s="1"/>
      <c r="N62" s="1"/>
      <c r="O62" s="1">
        <v>450.20000000000022</v>
      </c>
      <c r="P62" s="1">
        <v>0</v>
      </c>
      <c r="Q62" s="1"/>
      <c r="R62" s="1">
        <f t="shared" si="1"/>
        <v>84.6</v>
      </c>
      <c r="S62" s="5">
        <f t="shared" si="15"/>
        <v>277.39999999999969</v>
      </c>
      <c r="T62" s="5"/>
      <c r="U62" s="5">
        <f t="shared" si="2"/>
        <v>277.39999999999969</v>
      </c>
      <c r="V62" s="5"/>
      <c r="W62" s="1"/>
      <c r="X62" s="1"/>
      <c r="Y62" s="1">
        <f t="shared" si="3"/>
        <v>11</v>
      </c>
      <c r="Z62" s="1">
        <f t="shared" si="4"/>
        <v>7.7210401891252989</v>
      </c>
      <c r="AA62" s="1">
        <v>77.599999999999994</v>
      </c>
      <c r="AB62" s="1">
        <v>97.4</v>
      </c>
      <c r="AC62" s="1">
        <v>76.599999999999994</v>
      </c>
      <c r="AD62" s="1">
        <v>78.400000000000006</v>
      </c>
      <c r="AE62" s="1">
        <v>54.5</v>
      </c>
      <c r="AF62" s="1">
        <v>63.833333333333343</v>
      </c>
      <c r="AG62" s="1">
        <v>85.8</v>
      </c>
      <c r="AH62" s="1">
        <v>93.6</v>
      </c>
      <c r="AI62" s="1"/>
      <c r="AJ62" s="1">
        <f t="shared" si="5"/>
        <v>111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 t="s">
        <v>105</v>
      </c>
      <c r="B63" s="1" t="s">
        <v>43</v>
      </c>
      <c r="C63" s="1">
        <v>118</v>
      </c>
      <c r="D63" s="1">
        <v>307</v>
      </c>
      <c r="E63" s="1">
        <v>360</v>
      </c>
      <c r="F63" s="1">
        <v>59</v>
      </c>
      <c r="G63" s="8">
        <v>0.4</v>
      </c>
      <c r="H63" s="1">
        <v>40</v>
      </c>
      <c r="I63" s="1" t="s">
        <v>38</v>
      </c>
      <c r="J63" s="1"/>
      <c r="K63" s="1">
        <v>395</v>
      </c>
      <c r="L63" s="1">
        <f t="shared" si="13"/>
        <v>-35</v>
      </c>
      <c r="M63" s="1"/>
      <c r="N63" s="1"/>
      <c r="O63" s="1">
        <v>606.19999999999982</v>
      </c>
      <c r="P63" s="1">
        <v>0</v>
      </c>
      <c r="Q63" s="1"/>
      <c r="R63" s="1">
        <f t="shared" si="1"/>
        <v>72</v>
      </c>
      <c r="S63" s="5">
        <f t="shared" si="15"/>
        <v>126.80000000000018</v>
      </c>
      <c r="T63" s="5"/>
      <c r="U63" s="5">
        <f t="shared" si="2"/>
        <v>126.80000000000018</v>
      </c>
      <c r="V63" s="5"/>
      <c r="W63" s="1"/>
      <c r="X63" s="1"/>
      <c r="Y63" s="1">
        <f t="shared" si="3"/>
        <v>11</v>
      </c>
      <c r="Z63" s="1">
        <f t="shared" si="4"/>
        <v>9.2388888888888872</v>
      </c>
      <c r="AA63" s="1">
        <v>80.2</v>
      </c>
      <c r="AB63" s="1">
        <v>93.6</v>
      </c>
      <c r="AC63" s="1">
        <v>61.2</v>
      </c>
      <c r="AD63" s="1">
        <v>80.400000000000006</v>
      </c>
      <c r="AE63" s="1">
        <v>65</v>
      </c>
      <c r="AF63" s="1">
        <v>49.5</v>
      </c>
      <c r="AG63" s="1">
        <v>55.2</v>
      </c>
      <c r="AH63" s="1">
        <v>95.8</v>
      </c>
      <c r="AI63" s="1" t="s">
        <v>40</v>
      </c>
      <c r="AJ63" s="1">
        <f t="shared" si="5"/>
        <v>51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 t="s">
        <v>106</v>
      </c>
      <c r="B64" s="1" t="s">
        <v>37</v>
      </c>
      <c r="C64" s="1">
        <v>362.42399999999998</v>
      </c>
      <c r="D64" s="1">
        <v>0.90100000000000002</v>
      </c>
      <c r="E64" s="1">
        <v>248.69499999999999</v>
      </c>
      <c r="F64" s="1">
        <v>113.729</v>
      </c>
      <c r="G64" s="8">
        <v>1</v>
      </c>
      <c r="H64" s="1">
        <v>40</v>
      </c>
      <c r="I64" s="1" t="s">
        <v>38</v>
      </c>
      <c r="J64" s="1"/>
      <c r="K64" s="1">
        <v>227.9</v>
      </c>
      <c r="L64" s="1">
        <f t="shared" si="13"/>
        <v>20.794999999999987</v>
      </c>
      <c r="M64" s="1"/>
      <c r="N64" s="1"/>
      <c r="O64" s="1">
        <v>110.57380000000001</v>
      </c>
      <c r="P64" s="1">
        <v>198.51899999999989</v>
      </c>
      <c r="Q64" s="1"/>
      <c r="R64" s="1">
        <f t="shared" si="1"/>
        <v>49.738999999999997</v>
      </c>
      <c r="S64" s="5">
        <f t="shared" si="15"/>
        <v>124.30720000000012</v>
      </c>
      <c r="T64" s="5"/>
      <c r="U64" s="5">
        <f t="shared" si="2"/>
        <v>124.30720000000012</v>
      </c>
      <c r="V64" s="5"/>
      <c r="W64" s="1"/>
      <c r="X64" s="1"/>
      <c r="Y64" s="1">
        <f t="shared" si="3"/>
        <v>11.000000000000002</v>
      </c>
      <c r="Z64" s="1">
        <f t="shared" si="4"/>
        <v>8.5008102293974535</v>
      </c>
      <c r="AA64" s="1">
        <v>48.492400000000004</v>
      </c>
      <c r="AB64" s="1">
        <v>42.9998</v>
      </c>
      <c r="AC64" s="1">
        <v>34.415799999999997</v>
      </c>
      <c r="AD64" s="1">
        <v>31.364599999999999</v>
      </c>
      <c r="AE64" s="1">
        <v>16.673333333333339</v>
      </c>
      <c r="AF64" s="1">
        <v>40.398000000000003</v>
      </c>
      <c r="AG64" s="1">
        <v>60.168999999999997</v>
      </c>
      <c r="AH64" s="1">
        <v>46.936999999999998</v>
      </c>
      <c r="AI64" s="1"/>
      <c r="AJ64" s="1">
        <f t="shared" si="5"/>
        <v>124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" t="s">
        <v>107</v>
      </c>
      <c r="B65" s="1" t="s">
        <v>37</v>
      </c>
      <c r="C65" s="1">
        <v>223.21299999999999</v>
      </c>
      <c r="D65" s="1">
        <v>17.175999999999998</v>
      </c>
      <c r="E65" s="1">
        <v>210.49600000000001</v>
      </c>
      <c r="F65" s="1">
        <v>18.021999999999998</v>
      </c>
      <c r="G65" s="8">
        <v>1</v>
      </c>
      <c r="H65" s="1">
        <v>40</v>
      </c>
      <c r="I65" s="1" t="s">
        <v>38</v>
      </c>
      <c r="J65" s="1"/>
      <c r="K65" s="1">
        <v>205.3</v>
      </c>
      <c r="L65" s="1">
        <f t="shared" si="13"/>
        <v>5.195999999999998</v>
      </c>
      <c r="M65" s="1"/>
      <c r="N65" s="1"/>
      <c r="O65" s="1">
        <v>237.56139999999999</v>
      </c>
      <c r="P65" s="1">
        <v>158.84379999999999</v>
      </c>
      <c r="Q65" s="1"/>
      <c r="R65" s="1">
        <f t="shared" si="1"/>
        <v>42.099200000000003</v>
      </c>
      <c r="S65" s="5">
        <f t="shared" si="15"/>
        <v>48.664000000000037</v>
      </c>
      <c r="T65" s="5"/>
      <c r="U65" s="5">
        <f t="shared" si="2"/>
        <v>48.664000000000037</v>
      </c>
      <c r="V65" s="5"/>
      <c r="W65" s="1"/>
      <c r="X65" s="1"/>
      <c r="Y65" s="1">
        <f t="shared" si="3"/>
        <v>11</v>
      </c>
      <c r="Z65" s="1">
        <f t="shared" si="4"/>
        <v>9.844063545150501</v>
      </c>
      <c r="AA65" s="1">
        <v>46.2044</v>
      </c>
      <c r="AB65" s="1">
        <v>43.107999999999997</v>
      </c>
      <c r="AC65" s="1">
        <v>31.898800000000001</v>
      </c>
      <c r="AD65" s="1">
        <v>31.0032</v>
      </c>
      <c r="AE65" s="1">
        <v>15.765499999999999</v>
      </c>
      <c r="AF65" s="1">
        <v>38.824666666666673</v>
      </c>
      <c r="AG65" s="1">
        <v>70.222799999999992</v>
      </c>
      <c r="AH65" s="1">
        <v>28.621600000000001</v>
      </c>
      <c r="AI65" s="1"/>
      <c r="AJ65" s="1">
        <f t="shared" si="5"/>
        <v>49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" t="s">
        <v>108</v>
      </c>
      <c r="B66" s="1" t="s">
        <v>37</v>
      </c>
      <c r="C66" s="1">
        <v>137.965</v>
      </c>
      <c r="D66" s="1">
        <v>152.36199999999999</v>
      </c>
      <c r="E66" s="1">
        <v>166.75399999999999</v>
      </c>
      <c r="F66" s="1">
        <v>120.855</v>
      </c>
      <c r="G66" s="8">
        <v>1</v>
      </c>
      <c r="H66" s="1">
        <v>40</v>
      </c>
      <c r="I66" s="1" t="s">
        <v>38</v>
      </c>
      <c r="J66" s="1"/>
      <c r="K66" s="1">
        <v>157.1</v>
      </c>
      <c r="L66" s="1">
        <f t="shared" si="13"/>
        <v>9.6539999999999964</v>
      </c>
      <c r="M66" s="1"/>
      <c r="N66" s="1"/>
      <c r="O66" s="1">
        <v>46.972399999999944</v>
      </c>
      <c r="P66" s="1">
        <v>62.688399999999973</v>
      </c>
      <c r="Q66" s="1"/>
      <c r="R66" s="1">
        <f t="shared" si="1"/>
        <v>33.3508</v>
      </c>
      <c r="S66" s="5">
        <f t="shared" si="15"/>
        <v>136.34300000000002</v>
      </c>
      <c r="T66" s="5"/>
      <c r="U66" s="5">
        <f t="shared" si="2"/>
        <v>136.34300000000002</v>
      </c>
      <c r="V66" s="5"/>
      <c r="W66" s="1"/>
      <c r="X66" s="1"/>
      <c r="Y66" s="1">
        <f t="shared" si="3"/>
        <v>11</v>
      </c>
      <c r="Z66" s="1">
        <f t="shared" si="4"/>
        <v>6.9118521894527243</v>
      </c>
      <c r="AA66" s="1">
        <v>28.821200000000001</v>
      </c>
      <c r="AB66" s="1">
        <v>29.971</v>
      </c>
      <c r="AC66" s="1">
        <v>30.3108</v>
      </c>
      <c r="AD66" s="1">
        <v>34.094000000000001</v>
      </c>
      <c r="AE66" s="1">
        <v>32.265999999999998</v>
      </c>
      <c r="AF66" s="1">
        <v>24.18483333333333</v>
      </c>
      <c r="AG66" s="1">
        <v>32.285800000000002</v>
      </c>
      <c r="AH66" s="1">
        <v>42.161799999999999</v>
      </c>
      <c r="AI66" s="1"/>
      <c r="AJ66" s="1">
        <f t="shared" si="5"/>
        <v>136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 t="s">
        <v>109</v>
      </c>
      <c r="B67" s="1" t="s">
        <v>37</v>
      </c>
      <c r="C67" s="1">
        <v>-0.47399999999999998</v>
      </c>
      <c r="D67" s="1">
        <v>127.10599999999999</v>
      </c>
      <c r="E67" s="1">
        <v>46.052</v>
      </c>
      <c r="F67" s="1">
        <v>79.262</v>
      </c>
      <c r="G67" s="8">
        <v>1</v>
      </c>
      <c r="H67" s="1">
        <v>30</v>
      </c>
      <c r="I67" s="1" t="s">
        <v>38</v>
      </c>
      <c r="J67" s="1"/>
      <c r="K67" s="1">
        <v>45.8</v>
      </c>
      <c r="L67" s="1">
        <f t="shared" si="13"/>
        <v>0.25200000000000244</v>
      </c>
      <c r="M67" s="1"/>
      <c r="N67" s="1"/>
      <c r="O67" s="1">
        <v>0</v>
      </c>
      <c r="P67" s="1">
        <v>0</v>
      </c>
      <c r="Q67" s="1"/>
      <c r="R67" s="1">
        <f t="shared" si="1"/>
        <v>9.2103999999999999</v>
      </c>
      <c r="S67" s="5">
        <f t="shared" si="15"/>
        <v>22.052400000000006</v>
      </c>
      <c r="T67" s="5"/>
      <c r="U67" s="5">
        <f t="shared" si="2"/>
        <v>22.052400000000006</v>
      </c>
      <c r="V67" s="5"/>
      <c r="W67" s="1"/>
      <c r="X67" s="1"/>
      <c r="Y67" s="1">
        <f t="shared" si="3"/>
        <v>11</v>
      </c>
      <c r="Z67" s="1">
        <f t="shared" si="4"/>
        <v>8.6057065925475555</v>
      </c>
      <c r="AA67" s="1">
        <v>2.0110000000000001</v>
      </c>
      <c r="AB67" s="1">
        <v>8.6913999999999998</v>
      </c>
      <c r="AC67" s="1">
        <v>12.778600000000001</v>
      </c>
      <c r="AD67" s="1">
        <v>6.3802000000000003</v>
      </c>
      <c r="AE67" s="1">
        <v>3.464666666666667</v>
      </c>
      <c r="AF67" s="1">
        <v>4.7973333333333326</v>
      </c>
      <c r="AG67" s="1">
        <v>8.5617999999999999</v>
      </c>
      <c r="AH67" s="1">
        <v>5.1890000000000001</v>
      </c>
      <c r="AI67" s="1"/>
      <c r="AJ67" s="1">
        <f t="shared" si="5"/>
        <v>22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7" t="s">
        <v>110</v>
      </c>
      <c r="B68" s="17" t="s">
        <v>43</v>
      </c>
      <c r="C68" s="17"/>
      <c r="D68" s="17"/>
      <c r="E68" s="17"/>
      <c r="F68" s="17"/>
      <c r="G68" s="18">
        <v>0</v>
      </c>
      <c r="H68" s="17">
        <v>60</v>
      </c>
      <c r="I68" s="17" t="s">
        <v>38</v>
      </c>
      <c r="J68" s="17"/>
      <c r="K68" s="17"/>
      <c r="L68" s="17">
        <f t="shared" ref="L68:L96" si="16">E68-K68</f>
        <v>0</v>
      </c>
      <c r="M68" s="17"/>
      <c r="N68" s="17"/>
      <c r="O68" s="17">
        <v>0</v>
      </c>
      <c r="P68" s="17">
        <v>0</v>
      </c>
      <c r="Q68" s="17"/>
      <c r="R68" s="17">
        <f t="shared" si="1"/>
        <v>0</v>
      </c>
      <c r="S68" s="19"/>
      <c r="T68" s="19"/>
      <c r="U68" s="5">
        <f t="shared" si="2"/>
        <v>0</v>
      </c>
      <c r="V68" s="19"/>
      <c r="W68" s="1"/>
      <c r="X68" s="17"/>
      <c r="Y68" s="1" t="e">
        <f t="shared" si="3"/>
        <v>#DIV/0!</v>
      </c>
      <c r="Z68" s="17" t="e">
        <f t="shared" si="4"/>
        <v>#DIV/0!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 t="s">
        <v>48</v>
      </c>
      <c r="AJ68" s="1">
        <f t="shared" si="5"/>
        <v>0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" t="s">
        <v>111</v>
      </c>
      <c r="B69" s="1" t="s">
        <v>43</v>
      </c>
      <c r="C69" s="1">
        <v>37</v>
      </c>
      <c r="D69" s="1">
        <v>16</v>
      </c>
      <c r="E69" s="1">
        <v>23</v>
      </c>
      <c r="F69" s="1">
        <v>30</v>
      </c>
      <c r="G69" s="8">
        <v>0.6</v>
      </c>
      <c r="H69" s="1">
        <v>60</v>
      </c>
      <c r="I69" s="1" t="s">
        <v>38</v>
      </c>
      <c r="J69" s="1"/>
      <c r="K69" s="1">
        <v>25</v>
      </c>
      <c r="L69" s="1">
        <f t="shared" si="16"/>
        <v>-2</v>
      </c>
      <c r="M69" s="1"/>
      <c r="N69" s="1"/>
      <c r="O69" s="1">
        <v>0</v>
      </c>
      <c r="P69" s="1">
        <v>0</v>
      </c>
      <c r="Q69" s="1"/>
      <c r="R69" s="1">
        <f t="shared" ref="R69:R100" si="17">E69/5</f>
        <v>4.5999999999999996</v>
      </c>
      <c r="S69" s="5">
        <f t="shared" ref="S69" si="18">11*R69-Q69-P69-O69-F69</f>
        <v>20.599999999999994</v>
      </c>
      <c r="T69" s="5"/>
      <c r="U69" s="5">
        <f t="shared" si="2"/>
        <v>20.599999999999994</v>
      </c>
      <c r="V69" s="5"/>
      <c r="W69" s="1"/>
      <c r="X69" s="1"/>
      <c r="Y69" s="1">
        <f t="shared" si="3"/>
        <v>11</v>
      </c>
      <c r="Z69" s="1">
        <f t="shared" ref="Z69:Z96" si="19">(F69+O69+P69+Q69)/R69</f>
        <v>6.5217391304347831</v>
      </c>
      <c r="AA69" s="1">
        <v>1.6</v>
      </c>
      <c r="AB69" s="1">
        <v>2.8</v>
      </c>
      <c r="AC69" s="1">
        <v>3.6</v>
      </c>
      <c r="AD69" s="1">
        <v>2.6</v>
      </c>
      <c r="AE69" s="1">
        <v>1</v>
      </c>
      <c r="AF69" s="1">
        <v>3.5</v>
      </c>
      <c r="AG69" s="1">
        <v>4.4000000000000004</v>
      </c>
      <c r="AH69" s="1">
        <v>0</v>
      </c>
      <c r="AI69" s="1"/>
      <c r="AJ69" s="1">
        <f t="shared" si="5"/>
        <v>12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" t="s">
        <v>112</v>
      </c>
      <c r="B70" s="1" t="s">
        <v>43</v>
      </c>
      <c r="C70" s="1">
        <v>312</v>
      </c>
      <c r="D70" s="1">
        <v>1</v>
      </c>
      <c r="E70" s="1">
        <v>141</v>
      </c>
      <c r="F70" s="1">
        <v>171</v>
      </c>
      <c r="G70" s="8">
        <v>0.37</v>
      </c>
      <c r="H70" s="1">
        <v>50</v>
      </c>
      <c r="I70" s="11" t="s">
        <v>75</v>
      </c>
      <c r="J70" s="1"/>
      <c r="K70" s="1">
        <v>162</v>
      </c>
      <c r="L70" s="1">
        <f t="shared" si="16"/>
        <v>-21</v>
      </c>
      <c r="M70" s="1"/>
      <c r="N70" s="1"/>
      <c r="O70" s="1">
        <v>189.6</v>
      </c>
      <c r="P70" s="1">
        <v>110.2</v>
      </c>
      <c r="Q70" s="1"/>
      <c r="R70" s="1">
        <f t="shared" si="17"/>
        <v>28.2</v>
      </c>
      <c r="S70" s="5"/>
      <c r="T70" s="5"/>
      <c r="U70" s="5">
        <f t="shared" ref="U70:U96" si="20">T70+S70</f>
        <v>0</v>
      </c>
      <c r="V70" s="5"/>
      <c r="W70" s="1"/>
      <c r="X70" s="1"/>
      <c r="Y70" s="1">
        <f t="shared" ref="Y70:Y96" si="21">(F70+O70+P70+Q70+U70)/R70</f>
        <v>16.695035460992909</v>
      </c>
      <c r="Z70" s="1">
        <f t="shared" si="19"/>
        <v>16.695035460992909</v>
      </c>
      <c r="AA70" s="1">
        <v>45.6</v>
      </c>
      <c r="AB70" s="1">
        <v>45.6</v>
      </c>
      <c r="AC70" s="1">
        <v>21.2</v>
      </c>
      <c r="AD70" s="1">
        <v>45.6</v>
      </c>
      <c r="AE70" s="1">
        <v>51.5</v>
      </c>
      <c r="AF70" s="1">
        <v>64.333333333333329</v>
      </c>
      <c r="AG70" s="1">
        <v>54</v>
      </c>
      <c r="AH70" s="1">
        <v>32.799999999999997</v>
      </c>
      <c r="AI70" s="1" t="s">
        <v>40</v>
      </c>
      <c r="AJ70" s="1">
        <f t="shared" ref="AJ70:AJ100" si="22">ROUND(G70*U70,0)</f>
        <v>0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7" t="s">
        <v>113</v>
      </c>
      <c r="B71" s="17" t="s">
        <v>43</v>
      </c>
      <c r="C71" s="17"/>
      <c r="D71" s="17"/>
      <c r="E71" s="17"/>
      <c r="F71" s="17"/>
      <c r="G71" s="18">
        <v>0</v>
      </c>
      <c r="H71" s="17">
        <v>30</v>
      </c>
      <c r="I71" s="17" t="s">
        <v>38</v>
      </c>
      <c r="J71" s="17"/>
      <c r="K71" s="17"/>
      <c r="L71" s="17">
        <f t="shared" si="16"/>
        <v>0</v>
      </c>
      <c r="M71" s="17"/>
      <c r="N71" s="17"/>
      <c r="O71" s="17">
        <v>0</v>
      </c>
      <c r="P71" s="17">
        <v>0</v>
      </c>
      <c r="Q71" s="17"/>
      <c r="R71" s="17">
        <f t="shared" si="17"/>
        <v>0</v>
      </c>
      <c r="S71" s="19"/>
      <c r="T71" s="19"/>
      <c r="U71" s="5">
        <f t="shared" si="20"/>
        <v>0</v>
      </c>
      <c r="V71" s="19"/>
      <c r="W71" s="1"/>
      <c r="X71" s="17"/>
      <c r="Y71" s="1" t="e">
        <f t="shared" si="21"/>
        <v>#DIV/0!</v>
      </c>
      <c r="Z71" s="17" t="e">
        <f t="shared" si="19"/>
        <v>#DIV/0!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 t="s">
        <v>48</v>
      </c>
      <c r="AJ71" s="1">
        <f t="shared" si="22"/>
        <v>0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7" t="s">
        <v>114</v>
      </c>
      <c r="B72" s="17" t="s">
        <v>43</v>
      </c>
      <c r="C72" s="17"/>
      <c r="D72" s="17"/>
      <c r="E72" s="17"/>
      <c r="F72" s="17"/>
      <c r="G72" s="18">
        <v>0</v>
      </c>
      <c r="H72" s="17">
        <v>55</v>
      </c>
      <c r="I72" s="17" t="s">
        <v>38</v>
      </c>
      <c r="J72" s="17"/>
      <c r="K72" s="17"/>
      <c r="L72" s="17">
        <f t="shared" si="16"/>
        <v>0</v>
      </c>
      <c r="M72" s="17"/>
      <c r="N72" s="17"/>
      <c r="O72" s="17">
        <v>0</v>
      </c>
      <c r="P72" s="17">
        <v>0</v>
      </c>
      <c r="Q72" s="17"/>
      <c r="R72" s="17">
        <f t="shared" si="17"/>
        <v>0</v>
      </c>
      <c r="S72" s="19"/>
      <c r="T72" s="19"/>
      <c r="U72" s="5">
        <f t="shared" si="20"/>
        <v>0</v>
      </c>
      <c r="V72" s="19"/>
      <c r="W72" s="1"/>
      <c r="X72" s="17"/>
      <c r="Y72" s="1" t="e">
        <f t="shared" si="21"/>
        <v>#DIV/0!</v>
      </c>
      <c r="Z72" s="17" t="e">
        <f t="shared" si="19"/>
        <v>#DIV/0!</v>
      </c>
      <c r="AA72" s="17">
        <v>0</v>
      </c>
      <c r="AB72" s="17">
        <v>0</v>
      </c>
      <c r="AC72" s="17">
        <v>0</v>
      </c>
      <c r="AD72" s="17">
        <v>0</v>
      </c>
      <c r="AE72" s="17">
        <v>0</v>
      </c>
      <c r="AF72" s="17">
        <v>0</v>
      </c>
      <c r="AG72" s="17">
        <v>0</v>
      </c>
      <c r="AH72" s="17">
        <v>0</v>
      </c>
      <c r="AI72" s="17" t="s">
        <v>48</v>
      </c>
      <c r="AJ72" s="1">
        <f t="shared" si="22"/>
        <v>0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7" t="s">
        <v>115</v>
      </c>
      <c r="B73" s="17" t="s">
        <v>43</v>
      </c>
      <c r="C73" s="17"/>
      <c r="D73" s="17"/>
      <c r="E73" s="17"/>
      <c r="F73" s="17"/>
      <c r="G73" s="18">
        <v>0</v>
      </c>
      <c r="H73" s="17">
        <v>40</v>
      </c>
      <c r="I73" s="17" t="s">
        <v>38</v>
      </c>
      <c r="J73" s="17"/>
      <c r="K73" s="17"/>
      <c r="L73" s="17">
        <f t="shared" si="16"/>
        <v>0</v>
      </c>
      <c r="M73" s="17"/>
      <c r="N73" s="17"/>
      <c r="O73" s="17">
        <v>0</v>
      </c>
      <c r="P73" s="17">
        <v>0</v>
      </c>
      <c r="Q73" s="17"/>
      <c r="R73" s="17">
        <f t="shared" si="17"/>
        <v>0</v>
      </c>
      <c r="S73" s="19"/>
      <c r="T73" s="19"/>
      <c r="U73" s="5">
        <f t="shared" si="20"/>
        <v>0</v>
      </c>
      <c r="V73" s="19"/>
      <c r="W73" s="1"/>
      <c r="X73" s="17"/>
      <c r="Y73" s="1" t="e">
        <f t="shared" si="21"/>
        <v>#DIV/0!</v>
      </c>
      <c r="Z73" s="17" t="e">
        <f t="shared" si="19"/>
        <v>#DIV/0!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 t="s">
        <v>116</v>
      </c>
      <c r="AJ73" s="1">
        <f t="shared" si="22"/>
        <v>0</v>
      </c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" t="s">
        <v>117</v>
      </c>
      <c r="B74" s="1" t="s">
        <v>43</v>
      </c>
      <c r="C74" s="1">
        <v>81</v>
      </c>
      <c r="D74" s="1">
        <v>174</v>
      </c>
      <c r="E74" s="1">
        <v>111</v>
      </c>
      <c r="F74" s="1">
        <v>144</v>
      </c>
      <c r="G74" s="8">
        <v>0.4</v>
      </c>
      <c r="H74" s="1">
        <v>50</v>
      </c>
      <c r="I74" s="1" t="s">
        <v>38</v>
      </c>
      <c r="J74" s="1"/>
      <c r="K74" s="1">
        <v>109</v>
      </c>
      <c r="L74" s="1">
        <f t="shared" si="16"/>
        <v>2</v>
      </c>
      <c r="M74" s="1"/>
      <c r="N74" s="1"/>
      <c r="O74" s="1">
        <v>0</v>
      </c>
      <c r="P74" s="1">
        <v>0</v>
      </c>
      <c r="Q74" s="1"/>
      <c r="R74" s="1">
        <f t="shared" si="17"/>
        <v>22.2</v>
      </c>
      <c r="S74" s="5">
        <f t="shared" ref="S74:S76" si="23">11*R74-Q74-P74-O74-F74</f>
        <v>100.19999999999999</v>
      </c>
      <c r="T74" s="5"/>
      <c r="U74" s="5">
        <f t="shared" si="20"/>
        <v>100.19999999999999</v>
      </c>
      <c r="V74" s="5"/>
      <c r="W74" s="1"/>
      <c r="X74" s="1"/>
      <c r="Y74" s="1">
        <f t="shared" si="21"/>
        <v>11</v>
      </c>
      <c r="Z74" s="1">
        <f t="shared" si="19"/>
        <v>6.4864864864864868</v>
      </c>
      <c r="AA74" s="1">
        <v>16.2</v>
      </c>
      <c r="AB74" s="1">
        <v>17.8</v>
      </c>
      <c r="AC74" s="1">
        <v>16.8</v>
      </c>
      <c r="AD74" s="1">
        <v>30</v>
      </c>
      <c r="AE74" s="1">
        <v>19.666666666666671</v>
      </c>
      <c r="AF74" s="1">
        <v>7.333333333333333</v>
      </c>
      <c r="AG74" s="1">
        <v>0</v>
      </c>
      <c r="AH74" s="1">
        <v>24.8</v>
      </c>
      <c r="AI74" s="1"/>
      <c r="AJ74" s="1">
        <f t="shared" si="22"/>
        <v>40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 t="s">
        <v>118</v>
      </c>
      <c r="B75" s="1" t="s">
        <v>43</v>
      </c>
      <c r="C75" s="1">
        <v>83</v>
      </c>
      <c r="D75" s="1"/>
      <c r="E75" s="1">
        <v>28</v>
      </c>
      <c r="F75" s="1">
        <v>53</v>
      </c>
      <c r="G75" s="8">
        <v>0.4</v>
      </c>
      <c r="H75" s="1">
        <v>55</v>
      </c>
      <c r="I75" s="1" t="s">
        <v>38</v>
      </c>
      <c r="J75" s="1"/>
      <c r="K75" s="1">
        <v>30</v>
      </c>
      <c r="L75" s="1">
        <f t="shared" si="16"/>
        <v>-2</v>
      </c>
      <c r="M75" s="1"/>
      <c r="N75" s="1"/>
      <c r="O75" s="1">
        <v>0</v>
      </c>
      <c r="P75" s="1">
        <v>0</v>
      </c>
      <c r="Q75" s="1"/>
      <c r="R75" s="1">
        <f t="shared" si="17"/>
        <v>5.6</v>
      </c>
      <c r="S75" s="5">
        <f t="shared" si="23"/>
        <v>8.5999999999999943</v>
      </c>
      <c r="T75" s="5"/>
      <c r="U75" s="5">
        <f t="shared" si="20"/>
        <v>8.5999999999999943</v>
      </c>
      <c r="V75" s="5"/>
      <c r="W75" s="1"/>
      <c r="X75" s="1"/>
      <c r="Y75" s="1">
        <f t="shared" si="21"/>
        <v>11</v>
      </c>
      <c r="Z75" s="1">
        <f t="shared" si="19"/>
        <v>9.4642857142857153</v>
      </c>
      <c r="AA75" s="1">
        <v>3.6</v>
      </c>
      <c r="AB75" s="1">
        <v>3.2</v>
      </c>
      <c r="AC75" s="1">
        <v>2.2000000000000002</v>
      </c>
      <c r="AD75" s="1">
        <v>0.8</v>
      </c>
      <c r="AE75" s="1">
        <v>1.5</v>
      </c>
      <c r="AF75" s="1">
        <v>2</v>
      </c>
      <c r="AG75" s="1">
        <v>2.2000000000000002</v>
      </c>
      <c r="AH75" s="1">
        <v>2.2000000000000002</v>
      </c>
      <c r="AI75" s="1"/>
      <c r="AJ75" s="1">
        <f t="shared" si="22"/>
        <v>3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" t="s">
        <v>119</v>
      </c>
      <c r="B76" s="1" t="s">
        <v>37</v>
      </c>
      <c r="C76" s="1">
        <v>40.408999999999999</v>
      </c>
      <c r="D76" s="1">
        <v>13.01</v>
      </c>
      <c r="E76" s="1">
        <v>21.652000000000001</v>
      </c>
      <c r="F76" s="1">
        <v>30.309000000000001</v>
      </c>
      <c r="G76" s="8">
        <v>1</v>
      </c>
      <c r="H76" s="1">
        <v>55</v>
      </c>
      <c r="I76" s="1" t="s">
        <v>38</v>
      </c>
      <c r="J76" s="1"/>
      <c r="K76" s="1">
        <v>22.6</v>
      </c>
      <c r="L76" s="1">
        <f t="shared" si="16"/>
        <v>-0.9480000000000004</v>
      </c>
      <c r="M76" s="1"/>
      <c r="N76" s="1"/>
      <c r="O76" s="1">
        <v>0</v>
      </c>
      <c r="P76" s="1">
        <v>0</v>
      </c>
      <c r="Q76" s="1"/>
      <c r="R76" s="1">
        <f t="shared" si="17"/>
        <v>4.3304</v>
      </c>
      <c r="S76" s="5">
        <f t="shared" si="23"/>
        <v>17.325399999999998</v>
      </c>
      <c r="T76" s="5"/>
      <c r="U76" s="5">
        <f t="shared" si="20"/>
        <v>17.325399999999998</v>
      </c>
      <c r="V76" s="5"/>
      <c r="W76" s="1"/>
      <c r="X76" s="1"/>
      <c r="Y76" s="1">
        <f t="shared" si="21"/>
        <v>11</v>
      </c>
      <c r="Z76" s="1">
        <f t="shared" si="19"/>
        <v>6.9991224829115097</v>
      </c>
      <c r="AA76" s="1">
        <v>2.3073999999999999</v>
      </c>
      <c r="AB76" s="1">
        <v>3.1667999999999998</v>
      </c>
      <c r="AC76" s="1">
        <v>3.7637999999999998</v>
      </c>
      <c r="AD76" s="1">
        <v>3.4872000000000001</v>
      </c>
      <c r="AE76" s="1">
        <v>4.3301666666666669</v>
      </c>
      <c r="AF76" s="1">
        <v>4.8131666666666666</v>
      </c>
      <c r="AG76" s="1">
        <v>2.8963999999999999</v>
      </c>
      <c r="AH76" s="1">
        <v>2.028</v>
      </c>
      <c r="AI76" s="1"/>
      <c r="AJ76" s="1">
        <f t="shared" si="22"/>
        <v>17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25" t="s">
        <v>120</v>
      </c>
      <c r="B77" s="25" t="s">
        <v>37</v>
      </c>
      <c r="C77" s="25">
        <v>92.421000000000006</v>
      </c>
      <c r="D77" s="25">
        <v>143.05000000000001</v>
      </c>
      <c r="E77" s="25">
        <v>92.950999999999993</v>
      </c>
      <c r="F77" s="25">
        <v>141.68</v>
      </c>
      <c r="G77" s="26">
        <v>1</v>
      </c>
      <c r="H77" s="25">
        <v>60</v>
      </c>
      <c r="I77" s="25" t="s">
        <v>38</v>
      </c>
      <c r="J77" s="25"/>
      <c r="K77" s="25">
        <v>92.9</v>
      </c>
      <c r="L77" s="25">
        <f t="shared" si="16"/>
        <v>5.0999999999987722E-2</v>
      </c>
      <c r="M77" s="25"/>
      <c r="N77" s="25"/>
      <c r="O77" s="25">
        <v>169.40043999999989</v>
      </c>
      <c r="P77" s="25">
        <v>0</v>
      </c>
      <c r="Q77" s="25"/>
      <c r="R77" s="25">
        <f t="shared" si="17"/>
        <v>18.590199999999999</v>
      </c>
      <c r="S77" s="27"/>
      <c r="T77" s="27"/>
      <c r="U77" s="27">
        <f t="shared" si="20"/>
        <v>0</v>
      </c>
      <c r="V77" s="27"/>
      <c r="W77" s="25"/>
      <c r="X77" s="25"/>
      <c r="Y77" s="25">
        <f t="shared" si="21"/>
        <v>16.733571451625046</v>
      </c>
      <c r="Z77" s="25">
        <f t="shared" si="19"/>
        <v>16.733571451625046</v>
      </c>
      <c r="AA77" s="25">
        <v>25.5382</v>
      </c>
      <c r="AB77" s="25">
        <v>31.5274</v>
      </c>
      <c r="AC77" s="25">
        <v>26.349399999999999</v>
      </c>
      <c r="AD77" s="25">
        <v>24.598199999999999</v>
      </c>
      <c r="AE77" s="25">
        <v>24.18333333333333</v>
      </c>
      <c r="AF77" s="25">
        <v>27.132000000000001</v>
      </c>
      <c r="AG77" s="25">
        <v>29.917200000000001</v>
      </c>
      <c r="AH77" s="25">
        <v>21.681999999999999</v>
      </c>
      <c r="AI77" s="25" t="s">
        <v>152</v>
      </c>
      <c r="AJ77" s="25">
        <f t="shared" si="22"/>
        <v>0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25" t="s">
        <v>121</v>
      </c>
      <c r="B78" s="25" t="s">
        <v>37</v>
      </c>
      <c r="C78" s="25">
        <v>623.84100000000001</v>
      </c>
      <c r="D78" s="25">
        <v>2.5099999999999998</v>
      </c>
      <c r="E78" s="25">
        <v>366.65499999999997</v>
      </c>
      <c r="F78" s="25">
        <v>259.69600000000003</v>
      </c>
      <c r="G78" s="26">
        <v>1</v>
      </c>
      <c r="H78" s="25">
        <v>60</v>
      </c>
      <c r="I78" s="25" t="s">
        <v>38</v>
      </c>
      <c r="J78" s="25"/>
      <c r="K78" s="25">
        <v>365</v>
      </c>
      <c r="L78" s="25">
        <f t="shared" si="16"/>
        <v>1.6549999999999727</v>
      </c>
      <c r="M78" s="25"/>
      <c r="N78" s="25"/>
      <c r="O78" s="25">
        <v>509.57688000000002</v>
      </c>
      <c r="P78" s="25">
        <v>0</v>
      </c>
      <c r="Q78" s="25"/>
      <c r="R78" s="25">
        <f t="shared" si="17"/>
        <v>73.330999999999989</v>
      </c>
      <c r="S78" s="27">
        <f t="shared" ref="S78:S79" si="24">11*R78*1.5-Q78-P78-O78-F78</f>
        <v>440.68861999999979</v>
      </c>
      <c r="T78" s="27"/>
      <c r="U78" s="27">
        <f t="shared" si="20"/>
        <v>440.68861999999979</v>
      </c>
      <c r="V78" s="27"/>
      <c r="W78" s="25"/>
      <c r="X78" s="25"/>
      <c r="Y78" s="25">
        <f t="shared" si="21"/>
        <v>16.5</v>
      </c>
      <c r="Z78" s="25">
        <f t="shared" si="19"/>
        <v>10.490418513316333</v>
      </c>
      <c r="AA78" s="25">
        <v>67.008600000000001</v>
      </c>
      <c r="AB78" s="25">
        <v>89.953800000000001</v>
      </c>
      <c r="AC78" s="25">
        <v>57.154400000000003</v>
      </c>
      <c r="AD78" s="25">
        <v>47.539000000000001</v>
      </c>
      <c r="AE78" s="25">
        <v>80.834500000000006</v>
      </c>
      <c r="AF78" s="25">
        <v>98.829333333333338</v>
      </c>
      <c r="AG78" s="25">
        <v>102.3514</v>
      </c>
      <c r="AH78" s="25">
        <v>80.802800000000005</v>
      </c>
      <c r="AI78" s="25" t="s">
        <v>150</v>
      </c>
      <c r="AJ78" s="25">
        <f t="shared" si="22"/>
        <v>441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25" t="s">
        <v>122</v>
      </c>
      <c r="B79" s="25" t="s">
        <v>37</v>
      </c>
      <c r="C79" s="25">
        <v>473.76799999999997</v>
      </c>
      <c r="D79" s="25">
        <v>448.7</v>
      </c>
      <c r="E79" s="25">
        <v>537.43100000000004</v>
      </c>
      <c r="F79" s="25">
        <v>370.03699999999998</v>
      </c>
      <c r="G79" s="26">
        <v>1</v>
      </c>
      <c r="H79" s="25">
        <v>60</v>
      </c>
      <c r="I79" s="25" t="s">
        <v>38</v>
      </c>
      <c r="J79" s="25"/>
      <c r="K79" s="25">
        <v>532.5</v>
      </c>
      <c r="L79" s="25">
        <f t="shared" si="16"/>
        <v>4.93100000000004</v>
      </c>
      <c r="M79" s="25"/>
      <c r="N79" s="25"/>
      <c r="O79" s="25">
        <v>681.61810666666679</v>
      </c>
      <c r="P79" s="25">
        <v>0</v>
      </c>
      <c r="Q79" s="25"/>
      <c r="R79" s="25">
        <f t="shared" si="17"/>
        <v>107.48620000000001</v>
      </c>
      <c r="S79" s="27">
        <f t="shared" si="24"/>
        <v>721.86719333333326</v>
      </c>
      <c r="T79" s="27"/>
      <c r="U79" s="27">
        <f t="shared" si="20"/>
        <v>721.86719333333326</v>
      </c>
      <c r="V79" s="27"/>
      <c r="W79" s="25"/>
      <c r="X79" s="25"/>
      <c r="Y79" s="25">
        <f t="shared" si="21"/>
        <v>16.5</v>
      </c>
      <c r="Z79" s="25">
        <f t="shared" si="19"/>
        <v>9.7840942062019742</v>
      </c>
      <c r="AA79" s="25">
        <v>101.2838</v>
      </c>
      <c r="AB79" s="25">
        <v>127.2444</v>
      </c>
      <c r="AC79" s="25">
        <v>107.367</v>
      </c>
      <c r="AD79" s="25">
        <v>92.657399999999996</v>
      </c>
      <c r="AE79" s="25">
        <v>105.47199999999999</v>
      </c>
      <c r="AF79" s="25">
        <v>78.396666666666661</v>
      </c>
      <c r="AG79" s="25">
        <v>101.4876</v>
      </c>
      <c r="AH79" s="25">
        <v>87.493600000000001</v>
      </c>
      <c r="AI79" s="25" t="s">
        <v>152</v>
      </c>
      <c r="AJ79" s="25">
        <f t="shared" si="22"/>
        <v>722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25" t="s">
        <v>123</v>
      </c>
      <c r="B80" s="25" t="s">
        <v>37</v>
      </c>
      <c r="C80" s="25">
        <v>1243.5550000000001</v>
      </c>
      <c r="D80" s="25">
        <v>138.39099999999999</v>
      </c>
      <c r="E80" s="25">
        <v>953.83500000000004</v>
      </c>
      <c r="F80" s="25">
        <v>412.32299999999998</v>
      </c>
      <c r="G80" s="26">
        <v>1</v>
      </c>
      <c r="H80" s="25">
        <v>60</v>
      </c>
      <c r="I80" s="25" t="s">
        <v>38</v>
      </c>
      <c r="J80" s="25"/>
      <c r="K80" s="25">
        <v>956.4</v>
      </c>
      <c r="L80" s="25">
        <f t="shared" si="16"/>
        <v>-2.5649999999999409</v>
      </c>
      <c r="M80" s="25"/>
      <c r="N80" s="25"/>
      <c r="O80" s="25">
        <v>3245.6064000000001</v>
      </c>
      <c r="P80" s="25">
        <v>1380</v>
      </c>
      <c r="Q80" s="25">
        <v>1120</v>
      </c>
      <c r="R80" s="25">
        <f t="shared" si="17"/>
        <v>190.767</v>
      </c>
      <c r="S80" s="27"/>
      <c r="T80" s="27"/>
      <c r="U80" s="27">
        <f t="shared" si="20"/>
        <v>0</v>
      </c>
      <c r="V80" s="27"/>
      <c r="W80" s="25"/>
      <c r="X80" s="25"/>
      <c r="Y80" s="25">
        <f t="shared" si="21"/>
        <v>32.279846094974495</v>
      </c>
      <c r="Z80" s="25">
        <f t="shared" si="19"/>
        <v>32.279846094974495</v>
      </c>
      <c r="AA80" s="25">
        <v>151.94839999999999</v>
      </c>
      <c r="AB80" s="25">
        <v>192.86799999999999</v>
      </c>
      <c r="AC80" s="25">
        <v>163.7928</v>
      </c>
      <c r="AD80" s="25">
        <v>153.61359999999999</v>
      </c>
      <c r="AE80" s="25">
        <v>174.66249999999999</v>
      </c>
      <c r="AF80" s="25">
        <v>216.143</v>
      </c>
      <c r="AG80" s="25">
        <v>248.3784</v>
      </c>
      <c r="AH80" s="25">
        <v>171.5676</v>
      </c>
      <c r="AI80" s="25" t="s">
        <v>152</v>
      </c>
      <c r="AJ80" s="25">
        <f t="shared" si="22"/>
        <v>0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7" t="s">
        <v>124</v>
      </c>
      <c r="B81" s="17" t="s">
        <v>37</v>
      </c>
      <c r="C81" s="17"/>
      <c r="D81" s="17"/>
      <c r="E81" s="17"/>
      <c r="F81" s="17"/>
      <c r="G81" s="18">
        <v>0</v>
      </c>
      <c r="H81" s="17">
        <v>60</v>
      </c>
      <c r="I81" s="17" t="s">
        <v>38</v>
      </c>
      <c r="J81" s="17"/>
      <c r="K81" s="17"/>
      <c r="L81" s="17">
        <f t="shared" si="16"/>
        <v>0</v>
      </c>
      <c r="M81" s="17"/>
      <c r="N81" s="17"/>
      <c r="O81" s="17">
        <v>0</v>
      </c>
      <c r="P81" s="17">
        <v>0</v>
      </c>
      <c r="Q81" s="17"/>
      <c r="R81" s="17">
        <f t="shared" si="17"/>
        <v>0</v>
      </c>
      <c r="S81" s="19"/>
      <c r="T81" s="19"/>
      <c r="U81" s="5">
        <f t="shared" si="20"/>
        <v>0</v>
      </c>
      <c r="V81" s="19"/>
      <c r="W81" s="1"/>
      <c r="X81" s="17"/>
      <c r="Y81" s="1" t="e">
        <f t="shared" si="21"/>
        <v>#DIV/0!</v>
      </c>
      <c r="Z81" s="17" t="e">
        <f t="shared" si="19"/>
        <v>#DIV/0!</v>
      </c>
      <c r="AA81" s="17">
        <v>0</v>
      </c>
      <c r="AB81" s="17">
        <v>0</v>
      </c>
      <c r="AC81" s="17">
        <v>0</v>
      </c>
      <c r="AD81" s="17">
        <v>0</v>
      </c>
      <c r="AE81" s="17">
        <v>0</v>
      </c>
      <c r="AF81" s="17">
        <v>0</v>
      </c>
      <c r="AG81" s="17">
        <v>0</v>
      </c>
      <c r="AH81" s="17">
        <v>0</v>
      </c>
      <c r="AI81" s="17" t="s">
        <v>48</v>
      </c>
      <c r="AJ81" s="1">
        <f t="shared" si="22"/>
        <v>0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25" t="s">
        <v>125</v>
      </c>
      <c r="B82" s="25" t="s">
        <v>43</v>
      </c>
      <c r="C82" s="25">
        <v>-2</v>
      </c>
      <c r="D82" s="25">
        <v>181</v>
      </c>
      <c r="E82" s="25">
        <v>27</v>
      </c>
      <c r="F82" s="25">
        <v>146</v>
      </c>
      <c r="G82" s="26">
        <v>0.3</v>
      </c>
      <c r="H82" s="25">
        <v>40</v>
      </c>
      <c r="I82" s="25" t="s">
        <v>38</v>
      </c>
      <c r="J82" s="25"/>
      <c r="K82" s="25">
        <v>33</v>
      </c>
      <c r="L82" s="25">
        <f t="shared" si="16"/>
        <v>-6</v>
      </c>
      <c r="M82" s="25"/>
      <c r="N82" s="25"/>
      <c r="O82" s="25">
        <v>6.8000000000000256</v>
      </c>
      <c r="P82" s="25">
        <v>0</v>
      </c>
      <c r="Q82" s="25"/>
      <c r="R82" s="25">
        <f t="shared" si="17"/>
        <v>5.4</v>
      </c>
      <c r="S82" s="27"/>
      <c r="T82" s="27"/>
      <c r="U82" s="27">
        <f t="shared" si="20"/>
        <v>0</v>
      </c>
      <c r="V82" s="27"/>
      <c r="W82" s="25"/>
      <c r="X82" s="25"/>
      <c r="Y82" s="25">
        <f t="shared" si="21"/>
        <v>28.296296296296298</v>
      </c>
      <c r="Z82" s="25">
        <f t="shared" si="19"/>
        <v>28.296296296296298</v>
      </c>
      <c r="AA82" s="25">
        <v>11.4</v>
      </c>
      <c r="AB82" s="25">
        <v>16.600000000000001</v>
      </c>
      <c r="AC82" s="25">
        <v>19.399999999999999</v>
      </c>
      <c r="AD82" s="25">
        <v>22.2</v>
      </c>
      <c r="AE82" s="25">
        <v>11.5</v>
      </c>
      <c r="AF82" s="25">
        <v>15.83333333333333</v>
      </c>
      <c r="AG82" s="25">
        <v>20.2</v>
      </c>
      <c r="AH82" s="25">
        <v>13.4</v>
      </c>
      <c r="AI82" s="25" t="s">
        <v>150</v>
      </c>
      <c r="AJ82" s="25">
        <f t="shared" si="22"/>
        <v>0</v>
      </c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 t="s">
        <v>126</v>
      </c>
      <c r="B83" s="1" t="s">
        <v>43</v>
      </c>
      <c r="C83" s="1">
        <v>69</v>
      </c>
      <c r="D83" s="1">
        <v>19</v>
      </c>
      <c r="E83" s="1">
        <v>34</v>
      </c>
      <c r="F83" s="1">
        <v>53</v>
      </c>
      <c r="G83" s="8">
        <v>7.0000000000000007E-2</v>
      </c>
      <c r="H83" s="1">
        <v>90</v>
      </c>
      <c r="I83" s="1" t="s">
        <v>38</v>
      </c>
      <c r="J83" s="1"/>
      <c r="K83" s="1">
        <v>35</v>
      </c>
      <c r="L83" s="1">
        <f t="shared" si="16"/>
        <v>-1</v>
      </c>
      <c r="M83" s="1"/>
      <c r="N83" s="1"/>
      <c r="O83" s="1">
        <v>0</v>
      </c>
      <c r="P83" s="1">
        <v>0</v>
      </c>
      <c r="Q83" s="1"/>
      <c r="R83" s="1">
        <f t="shared" si="17"/>
        <v>6.8</v>
      </c>
      <c r="S83" s="5">
        <f t="shared" ref="S83:S88" si="25">11*R83-Q83-P83-O83-F83</f>
        <v>21.799999999999997</v>
      </c>
      <c r="T83" s="5"/>
      <c r="U83" s="5">
        <f t="shared" si="20"/>
        <v>21.799999999999997</v>
      </c>
      <c r="V83" s="5"/>
      <c r="W83" s="1"/>
      <c r="X83" s="1"/>
      <c r="Y83" s="1">
        <f t="shared" si="21"/>
        <v>11</v>
      </c>
      <c r="Z83" s="1">
        <f t="shared" si="19"/>
        <v>7.7941176470588234</v>
      </c>
      <c r="AA83" s="1">
        <v>3</v>
      </c>
      <c r="AB83" s="1">
        <v>7</v>
      </c>
      <c r="AC83" s="1">
        <v>7.4</v>
      </c>
      <c r="AD83" s="1">
        <v>4</v>
      </c>
      <c r="AE83" s="1">
        <v>2.666666666666667</v>
      </c>
      <c r="AF83" s="1">
        <v>4.666666666666667</v>
      </c>
      <c r="AG83" s="1">
        <v>9.1999999999999993</v>
      </c>
      <c r="AH83" s="1">
        <v>3</v>
      </c>
      <c r="AI83" s="1"/>
      <c r="AJ83" s="1">
        <f t="shared" si="22"/>
        <v>2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 t="s">
        <v>127</v>
      </c>
      <c r="B84" s="1" t="s">
        <v>43</v>
      </c>
      <c r="C84" s="1">
        <v>97</v>
      </c>
      <c r="D84" s="1">
        <v>1</v>
      </c>
      <c r="E84" s="1">
        <v>31</v>
      </c>
      <c r="F84" s="1">
        <v>66</v>
      </c>
      <c r="G84" s="8">
        <v>7.0000000000000007E-2</v>
      </c>
      <c r="H84" s="1">
        <v>90</v>
      </c>
      <c r="I84" s="1" t="s">
        <v>38</v>
      </c>
      <c r="J84" s="1"/>
      <c r="K84" s="1">
        <v>32</v>
      </c>
      <c r="L84" s="1">
        <f t="shared" si="16"/>
        <v>-1</v>
      </c>
      <c r="M84" s="1"/>
      <c r="N84" s="1"/>
      <c r="O84" s="1">
        <v>0</v>
      </c>
      <c r="P84" s="1">
        <v>0</v>
      </c>
      <c r="Q84" s="1"/>
      <c r="R84" s="1">
        <f t="shared" si="17"/>
        <v>6.2</v>
      </c>
      <c r="S84" s="5"/>
      <c r="T84" s="5"/>
      <c r="U84" s="5">
        <f t="shared" si="20"/>
        <v>0</v>
      </c>
      <c r="V84" s="5"/>
      <c r="W84" s="1"/>
      <c r="X84" s="1"/>
      <c r="Y84" s="1">
        <f t="shared" si="21"/>
        <v>10.64516129032258</v>
      </c>
      <c r="Z84" s="1">
        <f t="shared" si="19"/>
        <v>10.64516129032258</v>
      </c>
      <c r="AA84" s="1">
        <v>2.8</v>
      </c>
      <c r="AB84" s="1">
        <v>6.4</v>
      </c>
      <c r="AC84" s="1">
        <v>4.2</v>
      </c>
      <c r="AD84" s="1">
        <v>1.8</v>
      </c>
      <c r="AE84" s="1">
        <v>2</v>
      </c>
      <c r="AF84" s="1">
        <v>2.166666666666667</v>
      </c>
      <c r="AG84" s="1">
        <v>7</v>
      </c>
      <c r="AH84" s="1">
        <v>5.8</v>
      </c>
      <c r="AI84" s="16" t="s">
        <v>52</v>
      </c>
      <c r="AJ84" s="1">
        <f t="shared" si="22"/>
        <v>0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 t="s">
        <v>128</v>
      </c>
      <c r="B85" s="1" t="s">
        <v>43</v>
      </c>
      <c r="C85" s="1">
        <v>20</v>
      </c>
      <c r="D85" s="1">
        <v>54</v>
      </c>
      <c r="E85" s="1">
        <v>22</v>
      </c>
      <c r="F85" s="1">
        <v>52</v>
      </c>
      <c r="G85" s="8">
        <v>7.0000000000000007E-2</v>
      </c>
      <c r="H85" s="1">
        <v>90</v>
      </c>
      <c r="I85" s="1" t="s">
        <v>38</v>
      </c>
      <c r="J85" s="1"/>
      <c r="K85" s="1">
        <v>29</v>
      </c>
      <c r="L85" s="1">
        <f t="shared" si="16"/>
        <v>-7</v>
      </c>
      <c r="M85" s="1"/>
      <c r="N85" s="1"/>
      <c r="O85" s="1">
        <v>10.399999999999981</v>
      </c>
      <c r="P85" s="1">
        <v>0</v>
      </c>
      <c r="Q85" s="1"/>
      <c r="R85" s="1">
        <f t="shared" si="17"/>
        <v>4.4000000000000004</v>
      </c>
      <c r="S85" s="5"/>
      <c r="T85" s="5"/>
      <c r="U85" s="5">
        <f t="shared" si="20"/>
        <v>0</v>
      </c>
      <c r="V85" s="5"/>
      <c r="W85" s="1"/>
      <c r="X85" s="1"/>
      <c r="Y85" s="1">
        <f t="shared" si="21"/>
        <v>14.181818181818176</v>
      </c>
      <c r="Z85" s="1">
        <f t="shared" si="19"/>
        <v>14.181818181818176</v>
      </c>
      <c r="AA85" s="1">
        <v>2.6</v>
      </c>
      <c r="AB85" s="1">
        <v>6.8</v>
      </c>
      <c r="AC85" s="1">
        <v>6.2</v>
      </c>
      <c r="AD85" s="1">
        <v>4.4000000000000004</v>
      </c>
      <c r="AE85" s="1">
        <v>4</v>
      </c>
      <c r="AF85" s="1">
        <v>2.333333333333333</v>
      </c>
      <c r="AG85" s="1">
        <v>5</v>
      </c>
      <c r="AH85" s="1">
        <v>4.4000000000000004</v>
      </c>
      <c r="AI85" s="1"/>
      <c r="AJ85" s="1">
        <f t="shared" si="22"/>
        <v>0</v>
      </c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" t="s">
        <v>129</v>
      </c>
      <c r="B86" s="1" t="s">
        <v>43</v>
      </c>
      <c r="C86" s="1">
        <v>46</v>
      </c>
      <c r="D86" s="1">
        <v>91</v>
      </c>
      <c r="E86" s="1">
        <v>41</v>
      </c>
      <c r="F86" s="1">
        <v>95</v>
      </c>
      <c r="G86" s="8">
        <v>0.05</v>
      </c>
      <c r="H86" s="1">
        <v>90</v>
      </c>
      <c r="I86" s="1" t="s">
        <v>38</v>
      </c>
      <c r="J86" s="1"/>
      <c r="K86" s="1">
        <v>42</v>
      </c>
      <c r="L86" s="1">
        <f t="shared" si="16"/>
        <v>-1</v>
      </c>
      <c r="M86" s="1"/>
      <c r="N86" s="1"/>
      <c r="O86" s="1">
        <v>0</v>
      </c>
      <c r="P86" s="1">
        <v>0</v>
      </c>
      <c r="Q86" s="1"/>
      <c r="R86" s="1">
        <f t="shared" si="17"/>
        <v>8.1999999999999993</v>
      </c>
      <c r="S86" s="5"/>
      <c r="T86" s="5"/>
      <c r="U86" s="5">
        <f t="shared" si="20"/>
        <v>0</v>
      </c>
      <c r="V86" s="5"/>
      <c r="W86" s="1"/>
      <c r="X86" s="1"/>
      <c r="Y86" s="1">
        <f t="shared" si="21"/>
        <v>11.585365853658537</v>
      </c>
      <c r="Z86" s="1">
        <f t="shared" si="19"/>
        <v>11.585365853658537</v>
      </c>
      <c r="AA86" s="1">
        <v>1.6</v>
      </c>
      <c r="AB86" s="1">
        <v>7.2</v>
      </c>
      <c r="AC86" s="1">
        <v>10.199999999999999</v>
      </c>
      <c r="AD86" s="1">
        <v>6.2</v>
      </c>
      <c r="AE86" s="1">
        <v>8.5</v>
      </c>
      <c r="AF86" s="1">
        <v>7.333333333333333</v>
      </c>
      <c r="AG86" s="1">
        <v>5</v>
      </c>
      <c r="AH86" s="1">
        <v>4.5999999999999996</v>
      </c>
      <c r="AI86" s="1"/>
      <c r="AJ86" s="1">
        <f t="shared" si="22"/>
        <v>0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" t="s">
        <v>130</v>
      </c>
      <c r="B87" s="1" t="s">
        <v>43</v>
      </c>
      <c r="C87" s="1">
        <v>41</v>
      </c>
      <c r="D87" s="1">
        <v>90</v>
      </c>
      <c r="E87" s="1">
        <v>40</v>
      </c>
      <c r="F87" s="1">
        <v>91</v>
      </c>
      <c r="G87" s="8">
        <v>0.05</v>
      </c>
      <c r="H87" s="1">
        <v>90</v>
      </c>
      <c r="I87" s="1" t="s">
        <v>38</v>
      </c>
      <c r="J87" s="1"/>
      <c r="K87" s="1">
        <v>40</v>
      </c>
      <c r="L87" s="1">
        <f t="shared" si="16"/>
        <v>0</v>
      </c>
      <c r="M87" s="1"/>
      <c r="N87" s="1"/>
      <c r="O87" s="1">
        <v>0</v>
      </c>
      <c r="P87" s="1">
        <v>0</v>
      </c>
      <c r="Q87" s="1"/>
      <c r="R87" s="1">
        <f t="shared" si="17"/>
        <v>8</v>
      </c>
      <c r="S87" s="5"/>
      <c r="T87" s="5"/>
      <c r="U87" s="5">
        <f t="shared" si="20"/>
        <v>0</v>
      </c>
      <c r="V87" s="5"/>
      <c r="W87" s="1"/>
      <c r="X87" s="1"/>
      <c r="Y87" s="1">
        <f t="shared" si="21"/>
        <v>11.375</v>
      </c>
      <c r="Z87" s="1">
        <f t="shared" si="19"/>
        <v>11.375</v>
      </c>
      <c r="AA87" s="1">
        <v>3.6</v>
      </c>
      <c r="AB87" s="1">
        <v>6.8</v>
      </c>
      <c r="AC87" s="1">
        <v>9.6</v>
      </c>
      <c r="AD87" s="1">
        <v>8.8000000000000007</v>
      </c>
      <c r="AE87" s="1">
        <v>6</v>
      </c>
      <c r="AF87" s="1">
        <v>4.166666666666667</v>
      </c>
      <c r="AG87" s="1">
        <v>6</v>
      </c>
      <c r="AH87" s="1">
        <v>8</v>
      </c>
      <c r="AI87" s="1"/>
      <c r="AJ87" s="1">
        <f t="shared" si="22"/>
        <v>0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" t="s">
        <v>131</v>
      </c>
      <c r="B88" s="1" t="s">
        <v>43</v>
      </c>
      <c r="C88" s="1">
        <v>116</v>
      </c>
      <c r="D88" s="1">
        <v>1</v>
      </c>
      <c r="E88" s="1">
        <v>46</v>
      </c>
      <c r="F88" s="1">
        <v>70</v>
      </c>
      <c r="G88" s="8">
        <v>5.5E-2</v>
      </c>
      <c r="H88" s="1">
        <v>90</v>
      </c>
      <c r="I88" s="1" t="s">
        <v>38</v>
      </c>
      <c r="J88" s="1"/>
      <c r="K88" s="1">
        <v>50</v>
      </c>
      <c r="L88" s="1">
        <f t="shared" si="16"/>
        <v>-4</v>
      </c>
      <c r="M88" s="1"/>
      <c r="N88" s="1"/>
      <c r="O88" s="1">
        <v>0</v>
      </c>
      <c r="P88" s="1">
        <v>0</v>
      </c>
      <c r="Q88" s="1"/>
      <c r="R88" s="1">
        <f t="shared" si="17"/>
        <v>9.1999999999999993</v>
      </c>
      <c r="S88" s="5">
        <f t="shared" si="25"/>
        <v>31.199999999999989</v>
      </c>
      <c r="T88" s="5"/>
      <c r="U88" s="5">
        <f t="shared" si="20"/>
        <v>31.199999999999989</v>
      </c>
      <c r="V88" s="5"/>
      <c r="W88" s="1"/>
      <c r="X88" s="1"/>
      <c r="Y88" s="1">
        <f t="shared" si="21"/>
        <v>11</v>
      </c>
      <c r="Z88" s="1">
        <f t="shared" si="19"/>
        <v>7.608695652173914</v>
      </c>
      <c r="AA88" s="1">
        <v>4.4000000000000004</v>
      </c>
      <c r="AB88" s="1">
        <v>6.6</v>
      </c>
      <c r="AC88" s="1">
        <v>8.4</v>
      </c>
      <c r="AD88" s="1">
        <v>7.4</v>
      </c>
      <c r="AE88" s="1">
        <v>6.166666666666667</v>
      </c>
      <c r="AF88" s="1">
        <v>8.8333333333333339</v>
      </c>
      <c r="AG88" s="1">
        <v>12.2</v>
      </c>
      <c r="AH88" s="1">
        <v>6.2</v>
      </c>
      <c r="AI88" s="1"/>
      <c r="AJ88" s="1">
        <f t="shared" si="22"/>
        <v>2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2" t="s">
        <v>132</v>
      </c>
      <c r="B89" s="12" t="s">
        <v>43</v>
      </c>
      <c r="C89" s="12"/>
      <c r="D89" s="12">
        <v>79</v>
      </c>
      <c r="E89" s="12">
        <v>3</v>
      </c>
      <c r="F89" s="12">
        <v>75</v>
      </c>
      <c r="G89" s="13">
        <v>0</v>
      </c>
      <c r="H89" s="12" t="e">
        <v>#N/A</v>
      </c>
      <c r="I89" s="12" t="s">
        <v>44</v>
      </c>
      <c r="J89" s="12"/>
      <c r="K89" s="12">
        <v>4</v>
      </c>
      <c r="L89" s="12">
        <f t="shared" si="16"/>
        <v>-1</v>
      </c>
      <c r="M89" s="12"/>
      <c r="N89" s="12"/>
      <c r="O89" s="12"/>
      <c r="P89" s="12"/>
      <c r="Q89" s="12"/>
      <c r="R89" s="12">
        <f t="shared" si="17"/>
        <v>0.6</v>
      </c>
      <c r="S89" s="14"/>
      <c r="T89" s="14"/>
      <c r="U89" s="5">
        <f t="shared" si="20"/>
        <v>0</v>
      </c>
      <c r="V89" s="14"/>
      <c r="W89" s="1"/>
      <c r="X89" s="12"/>
      <c r="Y89" s="1">
        <f t="shared" si="21"/>
        <v>125</v>
      </c>
      <c r="Z89" s="12">
        <f t="shared" si="19"/>
        <v>125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G89" s="12">
        <v>0</v>
      </c>
      <c r="AH89" s="12">
        <v>0</v>
      </c>
      <c r="AI89" s="15" t="s">
        <v>143</v>
      </c>
      <c r="AJ89" s="1">
        <f t="shared" si="22"/>
        <v>0</v>
      </c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25" t="s">
        <v>133</v>
      </c>
      <c r="B90" s="25" t="s">
        <v>37</v>
      </c>
      <c r="C90" s="25">
        <v>210.49600000000001</v>
      </c>
      <c r="D90" s="25">
        <v>432.66</v>
      </c>
      <c r="E90" s="25">
        <v>364.49400000000003</v>
      </c>
      <c r="F90" s="25">
        <v>271.745</v>
      </c>
      <c r="G90" s="26">
        <v>1</v>
      </c>
      <c r="H90" s="25">
        <v>40</v>
      </c>
      <c r="I90" s="25" t="s">
        <v>38</v>
      </c>
      <c r="J90" s="25"/>
      <c r="K90" s="25">
        <v>338.3</v>
      </c>
      <c r="L90" s="25">
        <f t="shared" si="16"/>
        <v>26.194000000000017</v>
      </c>
      <c r="M90" s="25"/>
      <c r="N90" s="25"/>
      <c r="O90" s="25">
        <v>394.37900000000008</v>
      </c>
      <c r="P90" s="25">
        <v>21.30219999999991</v>
      </c>
      <c r="Q90" s="25"/>
      <c r="R90" s="25">
        <f t="shared" si="17"/>
        <v>72.898800000000008</v>
      </c>
      <c r="S90" s="27">
        <f>11*R90*1.5-Q90-P90-O90-F90</f>
        <v>515.40400000000011</v>
      </c>
      <c r="T90" s="27"/>
      <c r="U90" s="27">
        <f t="shared" si="20"/>
        <v>515.40400000000011</v>
      </c>
      <c r="V90" s="27"/>
      <c r="W90" s="25"/>
      <c r="X90" s="25"/>
      <c r="Y90" s="25">
        <f t="shared" si="21"/>
        <v>16.499999999999996</v>
      </c>
      <c r="Z90" s="25">
        <f t="shared" si="19"/>
        <v>9.4298699018365166</v>
      </c>
      <c r="AA90" s="25">
        <v>80.378</v>
      </c>
      <c r="AB90" s="25">
        <v>93.078800000000001</v>
      </c>
      <c r="AC90" s="25">
        <v>78.245399999999989</v>
      </c>
      <c r="AD90" s="25">
        <v>84.59</v>
      </c>
      <c r="AE90" s="25">
        <v>77.0535</v>
      </c>
      <c r="AF90" s="25">
        <v>72.843333333333334</v>
      </c>
      <c r="AG90" s="25">
        <v>89.893200000000007</v>
      </c>
      <c r="AH90" s="25">
        <v>73.190799999999996</v>
      </c>
      <c r="AI90" s="25" t="s">
        <v>152</v>
      </c>
      <c r="AJ90" s="25">
        <f t="shared" si="22"/>
        <v>515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1" t="s">
        <v>134</v>
      </c>
      <c r="B91" s="1" t="s">
        <v>37</v>
      </c>
      <c r="C91" s="1"/>
      <c r="D91" s="1"/>
      <c r="E91" s="1"/>
      <c r="F91" s="1"/>
      <c r="G91" s="8">
        <v>1</v>
      </c>
      <c r="H91" s="1">
        <v>60</v>
      </c>
      <c r="I91" s="1" t="s">
        <v>38</v>
      </c>
      <c r="J91" s="1"/>
      <c r="K91" s="1"/>
      <c r="L91" s="1">
        <f t="shared" si="16"/>
        <v>0</v>
      </c>
      <c r="M91" s="1"/>
      <c r="N91" s="1"/>
      <c r="O91" s="1"/>
      <c r="P91" s="11"/>
      <c r="Q91" s="1"/>
      <c r="R91" s="1">
        <f t="shared" si="17"/>
        <v>0</v>
      </c>
      <c r="S91" s="20">
        <v>4</v>
      </c>
      <c r="T91" s="20"/>
      <c r="U91" s="5">
        <f t="shared" si="20"/>
        <v>4</v>
      </c>
      <c r="V91" s="5"/>
      <c r="W91" s="1"/>
      <c r="X91" s="1"/>
      <c r="Y91" s="1" t="e">
        <f t="shared" si="21"/>
        <v>#DIV/0!</v>
      </c>
      <c r="Z91" s="1" t="e">
        <f t="shared" si="19"/>
        <v>#DIV/0!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-1.274</v>
      </c>
      <c r="AH91" s="1">
        <v>0</v>
      </c>
      <c r="AI91" s="11" t="s">
        <v>135</v>
      </c>
      <c r="AJ91" s="1">
        <f t="shared" si="22"/>
        <v>4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" t="s">
        <v>136</v>
      </c>
      <c r="B92" s="1" t="s">
        <v>43</v>
      </c>
      <c r="C92" s="1"/>
      <c r="D92" s="1">
        <v>174</v>
      </c>
      <c r="E92" s="1">
        <v>75</v>
      </c>
      <c r="F92" s="1">
        <v>99</v>
      </c>
      <c r="G92" s="8">
        <v>0.3</v>
      </c>
      <c r="H92" s="1">
        <v>40</v>
      </c>
      <c r="I92" s="1" t="s">
        <v>38</v>
      </c>
      <c r="J92" s="1"/>
      <c r="K92" s="1">
        <v>87</v>
      </c>
      <c r="L92" s="1">
        <f t="shared" si="16"/>
        <v>-12</v>
      </c>
      <c r="M92" s="1"/>
      <c r="N92" s="1"/>
      <c r="O92" s="1">
        <v>35.033333333333388</v>
      </c>
      <c r="P92" s="1">
        <v>0</v>
      </c>
      <c r="Q92" s="1"/>
      <c r="R92" s="1">
        <f t="shared" si="17"/>
        <v>15</v>
      </c>
      <c r="S92" s="5">
        <f t="shared" ref="S92:S93" si="26">11*R92-Q92-P92-O92-F92</f>
        <v>30.966666666666612</v>
      </c>
      <c r="T92" s="5"/>
      <c r="U92" s="5">
        <f t="shared" si="20"/>
        <v>30.966666666666612</v>
      </c>
      <c r="V92" s="5"/>
      <c r="W92" s="1"/>
      <c r="X92" s="1"/>
      <c r="Y92" s="1">
        <f t="shared" si="21"/>
        <v>11</v>
      </c>
      <c r="Z92" s="1">
        <f t="shared" si="19"/>
        <v>8.9355555555555597</v>
      </c>
      <c r="AA92" s="1">
        <v>12.4</v>
      </c>
      <c r="AB92" s="1">
        <v>18</v>
      </c>
      <c r="AC92" s="1">
        <v>18.600000000000001</v>
      </c>
      <c r="AD92" s="1">
        <v>32.4</v>
      </c>
      <c r="AE92" s="1">
        <v>28.166666666666671</v>
      </c>
      <c r="AF92" s="1">
        <v>24.166666666666671</v>
      </c>
      <c r="AG92" s="1">
        <v>23.8</v>
      </c>
      <c r="AH92" s="1">
        <v>29</v>
      </c>
      <c r="AI92" s="1"/>
      <c r="AJ92" s="1">
        <f t="shared" si="22"/>
        <v>9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" t="s">
        <v>137</v>
      </c>
      <c r="B93" s="1" t="s">
        <v>43</v>
      </c>
      <c r="C93" s="1">
        <v>103</v>
      </c>
      <c r="D93" s="1">
        <v>2</v>
      </c>
      <c r="E93" s="1">
        <v>60</v>
      </c>
      <c r="F93" s="1">
        <v>36</v>
      </c>
      <c r="G93" s="8">
        <v>0.3</v>
      </c>
      <c r="H93" s="1">
        <v>40</v>
      </c>
      <c r="I93" s="1" t="s">
        <v>38</v>
      </c>
      <c r="J93" s="1"/>
      <c r="K93" s="1">
        <v>68</v>
      </c>
      <c r="L93" s="1">
        <f t="shared" si="16"/>
        <v>-8</v>
      </c>
      <c r="M93" s="1"/>
      <c r="N93" s="1"/>
      <c r="O93" s="1">
        <v>24.599999999999991</v>
      </c>
      <c r="P93" s="1">
        <v>13.400000000000009</v>
      </c>
      <c r="Q93" s="1"/>
      <c r="R93" s="1">
        <f t="shared" si="17"/>
        <v>12</v>
      </c>
      <c r="S93" s="5">
        <f t="shared" si="26"/>
        <v>58</v>
      </c>
      <c r="T93" s="5"/>
      <c r="U93" s="5">
        <f t="shared" si="20"/>
        <v>58</v>
      </c>
      <c r="V93" s="5"/>
      <c r="W93" s="1"/>
      <c r="X93" s="1"/>
      <c r="Y93" s="1">
        <f t="shared" si="21"/>
        <v>11</v>
      </c>
      <c r="Z93" s="1">
        <f t="shared" si="19"/>
        <v>6.166666666666667</v>
      </c>
      <c r="AA93" s="1">
        <v>10</v>
      </c>
      <c r="AB93" s="1">
        <v>11.6</v>
      </c>
      <c r="AC93" s="1">
        <v>9.6</v>
      </c>
      <c r="AD93" s="1">
        <v>10</v>
      </c>
      <c r="AE93" s="1">
        <v>14.5</v>
      </c>
      <c r="AF93" s="1">
        <v>19.666666666666671</v>
      </c>
      <c r="AG93" s="1">
        <v>17.399999999999999</v>
      </c>
      <c r="AH93" s="1">
        <v>8.1999999999999993</v>
      </c>
      <c r="AI93" s="1" t="s">
        <v>138</v>
      </c>
      <c r="AJ93" s="1">
        <f t="shared" si="22"/>
        <v>17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 t="s">
        <v>139</v>
      </c>
      <c r="B94" s="1" t="s">
        <v>37</v>
      </c>
      <c r="C94" s="1">
        <v>31.684999999999999</v>
      </c>
      <c r="D94" s="1">
        <v>1.4039999999999999</v>
      </c>
      <c r="E94" s="1">
        <v>23.32</v>
      </c>
      <c r="F94" s="1">
        <v>8.3650000000000002</v>
      </c>
      <c r="G94" s="8">
        <v>1</v>
      </c>
      <c r="H94" s="1">
        <v>50</v>
      </c>
      <c r="I94" s="1" t="s">
        <v>38</v>
      </c>
      <c r="J94" s="1"/>
      <c r="K94" s="1">
        <v>22.85</v>
      </c>
      <c r="L94" s="1">
        <f t="shared" si="16"/>
        <v>0.46999999999999886</v>
      </c>
      <c r="M94" s="1"/>
      <c r="N94" s="1"/>
      <c r="O94" s="1">
        <v>0</v>
      </c>
      <c r="P94" s="1">
        <v>0</v>
      </c>
      <c r="Q94" s="1"/>
      <c r="R94" s="1">
        <f t="shared" si="17"/>
        <v>4.6639999999999997</v>
      </c>
      <c r="S94" s="5">
        <f>8*R94-Q94-P94-O94-F94</f>
        <v>28.946999999999996</v>
      </c>
      <c r="T94" s="5"/>
      <c r="U94" s="5">
        <f t="shared" si="20"/>
        <v>28.946999999999996</v>
      </c>
      <c r="V94" s="5"/>
      <c r="W94" s="1"/>
      <c r="X94" s="1"/>
      <c r="Y94" s="1">
        <f t="shared" si="21"/>
        <v>8</v>
      </c>
      <c r="Z94" s="1">
        <f t="shared" si="19"/>
        <v>1.7935248713550602</v>
      </c>
      <c r="AA94" s="1">
        <v>1.0784</v>
      </c>
      <c r="AB94" s="1">
        <v>1.5948</v>
      </c>
      <c r="AC94" s="1">
        <v>2.4156</v>
      </c>
      <c r="AD94" s="1">
        <v>2.4234</v>
      </c>
      <c r="AE94" s="1">
        <v>1.1108333333333329</v>
      </c>
      <c r="AF94" s="1">
        <v>0.89566666666666661</v>
      </c>
      <c r="AG94" s="1">
        <v>4.6595999999999993</v>
      </c>
      <c r="AH94" s="1">
        <v>1.3528</v>
      </c>
      <c r="AI94" s="1"/>
      <c r="AJ94" s="1">
        <f t="shared" si="22"/>
        <v>29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" t="s">
        <v>140</v>
      </c>
      <c r="B95" s="1" t="s">
        <v>43</v>
      </c>
      <c r="C95" s="1">
        <v>11</v>
      </c>
      <c r="D95" s="1">
        <v>37</v>
      </c>
      <c r="E95" s="1">
        <v>13</v>
      </c>
      <c r="F95" s="1">
        <v>35</v>
      </c>
      <c r="G95" s="8">
        <v>0.3</v>
      </c>
      <c r="H95" s="1">
        <v>40</v>
      </c>
      <c r="I95" s="1" t="s">
        <v>38</v>
      </c>
      <c r="J95" s="1"/>
      <c r="K95" s="1">
        <v>27</v>
      </c>
      <c r="L95" s="1">
        <f t="shared" si="16"/>
        <v>-14</v>
      </c>
      <c r="M95" s="1"/>
      <c r="N95" s="1"/>
      <c r="O95" s="1">
        <v>58</v>
      </c>
      <c r="P95" s="1">
        <v>0</v>
      </c>
      <c r="Q95" s="1"/>
      <c r="R95" s="1">
        <f t="shared" si="17"/>
        <v>2.6</v>
      </c>
      <c r="S95" s="5"/>
      <c r="T95" s="5"/>
      <c r="U95" s="5">
        <f t="shared" si="20"/>
        <v>0</v>
      </c>
      <c r="V95" s="5"/>
      <c r="W95" s="1"/>
      <c r="X95" s="1"/>
      <c r="Y95" s="1">
        <f t="shared" si="21"/>
        <v>35.769230769230766</v>
      </c>
      <c r="Z95" s="1">
        <f t="shared" si="19"/>
        <v>35.769230769230766</v>
      </c>
      <c r="AA95" s="1">
        <v>6</v>
      </c>
      <c r="AB95" s="1">
        <v>9.1999999999999993</v>
      </c>
      <c r="AC95" s="1">
        <v>5.6</v>
      </c>
      <c r="AD95" s="1">
        <v>5.8</v>
      </c>
      <c r="AE95" s="1">
        <v>8.6666666666666661</v>
      </c>
      <c r="AF95" s="1">
        <v>7.333333333333333</v>
      </c>
      <c r="AG95" s="1">
        <v>8.8000000000000007</v>
      </c>
      <c r="AH95" s="1">
        <v>9.6</v>
      </c>
      <c r="AI95" s="1"/>
      <c r="AJ95" s="1">
        <f t="shared" si="22"/>
        <v>0</v>
      </c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" t="s">
        <v>141</v>
      </c>
      <c r="B96" s="1" t="s">
        <v>43</v>
      </c>
      <c r="C96" s="1"/>
      <c r="D96" s="1">
        <v>61</v>
      </c>
      <c r="E96" s="1">
        <v>7</v>
      </c>
      <c r="F96" s="1">
        <v>52</v>
      </c>
      <c r="G96" s="8">
        <v>0.12</v>
      </c>
      <c r="H96" s="1">
        <v>45</v>
      </c>
      <c r="I96" s="1" t="s">
        <v>38</v>
      </c>
      <c r="J96" s="1"/>
      <c r="K96" s="1">
        <v>9</v>
      </c>
      <c r="L96" s="1">
        <f t="shared" si="16"/>
        <v>-2</v>
      </c>
      <c r="M96" s="1"/>
      <c r="N96" s="1"/>
      <c r="O96" s="1">
        <v>8</v>
      </c>
      <c r="P96" s="1">
        <v>0</v>
      </c>
      <c r="Q96" s="1"/>
      <c r="R96" s="1">
        <f t="shared" si="17"/>
        <v>1.4</v>
      </c>
      <c r="S96" s="5"/>
      <c r="T96" s="5"/>
      <c r="U96" s="5">
        <f t="shared" si="20"/>
        <v>0</v>
      </c>
      <c r="V96" s="5"/>
      <c r="W96" s="1"/>
      <c r="X96" s="1"/>
      <c r="Y96" s="1">
        <f t="shared" si="21"/>
        <v>42.857142857142861</v>
      </c>
      <c r="Z96" s="1">
        <f t="shared" si="19"/>
        <v>42.857142857142861</v>
      </c>
      <c r="AA96" s="1">
        <v>2.2000000000000002</v>
      </c>
      <c r="AB96" s="1">
        <v>4.8</v>
      </c>
      <c r="AC96" s="1">
        <v>5.6</v>
      </c>
      <c r="AD96" s="1">
        <v>5.2</v>
      </c>
      <c r="AE96" s="1">
        <v>3.666666666666667</v>
      </c>
      <c r="AF96" s="1">
        <v>1.833333333333333</v>
      </c>
      <c r="AG96" s="1">
        <v>6.8</v>
      </c>
      <c r="AH96" s="1">
        <v>3.8</v>
      </c>
      <c r="AI96" s="1"/>
      <c r="AJ96" s="1">
        <f t="shared" si="22"/>
        <v>0</v>
      </c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22" t="s">
        <v>91</v>
      </c>
      <c r="B97" s="22" t="s">
        <v>43</v>
      </c>
      <c r="C97" s="22">
        <v>16</v>
      </c>
      <c r="D97" s="22"/>
      <c r="E97" s="22">
        <v>4</v>
      </c>
      <c r="F97" s="22">
        <v>12</v>
      </c>
      <c r="G97" s="23">
        <v>0.45</v>
      </c>
      <c r="H97" s="22"/>
      <c r="I97" s="22" t="s">
        <v>38</v>
      </c>
      <c r="J97" s="22"/>
      <c r="K97" s="22"/>
      <c r="L97" s="22"/>
      <c r="M97" s="22"/>
      <c r="N97" s="22"/>
      <c r="O97" s="22"/>
      <c r="P97" s="22"/>
      <c r="Q97" s="22"/>
      <c r="R97" s="22">
        <f t="shared" si="17"/>
        <v>0.8</v>
      </c>
      <c r="S97" s="24">
        <v>200</v>
      </c>
      <c r="T97" s="24"/>
      <c r="U97" s="24">
        <f t="shared" ref="U97:U100" si="27">T97+S97</f>
        <v>200</v>
      </c>
      <c r="V97" s="24"/>
      <c r="W97" s="22"/>
      <c r="X97" s="22"/>
      <c r="Y97" s="22">
        <f t="shared" ref="Y97:Y100" si="28">(F97+O97+P97+Q97+U97)/R97</f>
        <v>265</v>
      </c>
      <c r="Z97" s="22">
        <f t="shared" ref="Z97:Z100" si="29">(F97+O97+P97+Q97)/R97</f>
        <v>15</v>
      </c>
      <c r="AA97" s="22">
        <v>0</v>
      </c>
      <c r="AB97" s="22">
        <v>0</v>
      </c>
      <c r="AC97" s="22">
        <v>0</v>
      </c>
      <c r="AD97" s="22">
        <v>0</v>
      </c>
      <c r="AE97" s="22">
        <v>0</v>
      </c>
      <c r="AF97" s="22">
        <v>0</v>
      </c>
      <c r="AG97" s="22">
        <v>0</v>
      </c>
      <c r="AH97" s="22">
        <v>0</v>
      </c>
      <c r="AI97" s="22" t="s">
        <v>149</v>
      </c>
      <c r="AJ97" s="22">
        <f t="shared" si="22"/>
        <v>90</v>
      </c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22" t="s">
        <v>145</v>
      </c>
      <c r="B98" s="22" t="s">
        <v>37</v>
      </c>
      <c r="C98" s="22"/>
      <c r="D98" s="22"/>
      <c r="E98" s="22"/>
      <c r="F98" s="22"/>
      <c r="G98" s="23">
        <v>1</v>
      </c>
      <c r="H98" s="22"/>
      <c r="I98" s="22" t="s">
        <v>38</v>
      </c>
      <c r="J98" s="22"/>
      <c r="K98" s="22"/>
      <c r="L98" s="22"/>
      <c r="M98" s="22"/>
      <c r="N98" s="22"/>
      <c r="O98" s="22"/>
      <c r="P98" s="22"/>
      <c r="Q98" s="22"/>
      <c r="R98" s="22">
        <f t="shared" si="17"/>
        <v>0</v>
      </c>
      <c r="S98" s="24">
        <v>150</v>
      </c>
      <c r="T98" s="24"/>
      <c r="U98" s="24">
        <f t="shared" si="27"/>
        <v>150</v>
      </c>
      <c r="V98" s="24"/>
      <c r="W98" s="22"/>
      <c r="X98" s="22"/>
      <c r="Y98" s="22" t="e">
        <f t="shared" si="28"/>
        <v>#DIV/0!</v>
      </c>
      <c r="Z98" s="22" t="e">
        <f t="shared" si="29"/>
        <v>#DIV/0!</v>
      </c>
      <c r="AA98" s="22">
        <v>0</v>
      </c>
      <c r="AB98" s="22">
        <v>0</v>
      </c>
      <c r="AC98" s="22">
        <v>0</v>
      </c>
      <c r="AD98" s="22">
        <v>0</v>
      </c>
      <c r="AE98" s="22">
        <v>0</v>
      </c>
      <c r="AF98" s="22">
        <v>0</v>
      </c>
      <c r="AG98" s="22">
        <v>0</v>
      </c>
      <c r="AH98" s="22">
        <v>0</v>
      </c>
      <c r="AI98" s="22" t="s">
        <v>149</v>
      </c>
      <c r="AJ98" s="22">
        <f t="shared" si="22"/>
        <v>150</v>
      </c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22" t="s">
        <v>146</v>
      </c>
      <c r="B99" s="22" t="s">
        <v>43</v>
      </c>
      <c r="C99" s="22"/>
      <c r="D99" s="22"/>
      <c r="E99" s="22"/>
      <c r="F99" s="22"/>
      <c r="G99" s="23">
        <v>0.35</v>
      </c>
      <c r="H99" s="22"/>
      <c r="I99" s="22" t="s">
        <v>38</v>
      </c>
      <c r="J99" s="22"/>
      <c r="K99" s="22"/>
      <c r="L99" s="22"/>
      <c r="M99" s="22"/>
      <c r="N99" s="22"/>
      <c r="O99" s="22"/>
      <c r="P99" s="22"/>
      <c r="Q99" s="22"/>
      <c r="R99" s="22">
        <f t="shared" si="17"/>
        <v>0</v>
      </c>
      <c r="S99" s="24">
        <v>150</v>
      </c>
      <c r="T99" s="24"/>
      <c r="U99" s="24">
        <f t="shared" si="27"/>
        <v>150</v>
      </c>
      <c r="V99" s="24"/>
      <c r="W99" s="22"/>
      <c r="X99" s="22"/>
      <c r="Y99" s="22" t="e">
        <f t="shared" si="28"/>
        <v>#DIV/0!</v>
      </c>
      <c r="Z99" s="22" t="e">
        <f t="shared" si="29"/>
        <v>#DIV/0!</v>
      </c>
      <c r="AA99" s="22">
        <v>0</v>
      </c>
      <c r="AB99" s="22">
        <v>0</v>
      </c>
      <c r="AC99" s="22">
        <v>0</v>
      </c>
      <c r="AD99" s="22">
        <v>0</v>
      </c>
      <c r="AE99" s="22">
        <v>0</v>
      </c>
      <c r="AF99" s="22">
        <v>0</v>
      </c>
      <c r="AG99" s="22">
        <v>0</v>
      </c>
      <c r="AH99" s="22">
        <v>0</v>
      </c>
      <c r="AI99" s="22" t="s">
        <v>149</v>
      </c>
      <c r="AJ99" s="22">
        <f t="shared" si="22"/>
        <v>53</v>
      </c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22" t="s">
        <v>147</v>
      </c>
      <c r="B100" s="22" t="s">
        <v>43</v>
      </c>
      <c r="C100" s="22"/>
      <c r="D100" s="22"/>
      <c r="E100" s="22"/>
      <c r="F100" s="22"/>
      <c r="G100" s="23">
        <v>0.35</v>
      </c>
      <c r="H100" s="22"/>
      <c r="I100" s="22" t="s">
        <v>38</v>
      </c>
      <c r="J100" s="22"/>
      <c r="K100" s="22"/>
      <c r="L100" s="22"/>
      <c r="M100" s="22"/>
      <c r="N100" s="22"/>
      <c r="O100" s="22"/>
      <c r="P100" s="22"/>
      <c r="Q100" s="22"/>
      <c r="R100" s="22">
        <f t="shared" si="17"/>
        <v>0</v>
      </c>
      <c r="S100" s="24">
        <v>100</v>
      </c>
      <c r="T100" s="24"/>
      <c r="U100" s="24">
        <f t="shared" si="27"/>
        <v>100</v>
      </c>
      <c r="V100" s="24"/>
      <c r="W100" s="22"/>
      <c r="X100" s="22"/>
      <c r="Y100" s="22" t="e">
        <f t="shared" si="28"/>
        <v>#DIV/0!</v>
      </c>
      <c r="Z100" s="22" t="e">
        <f t="shared" si="29"/>
        <v>#DIV/0!</v>
      </c>
      <c r="AA100" s="22">
        <v>0</v>
      </c>
      <c r="AB100" s="22">
        <v>0</v>
      </c>
      <c r="AC100" s="22">
        <v>0</v>
      </c>
      <c r="AD100" s="22">
        <v>0</v>
      </c>
      <c r="AE100" s="22">
        <v>0</v>
      </c>
      <c r="AF100" s="22">
        <v>0</v>
      </c>
      <c r="AG100" s="22">
        <v>0</v>
      </c>
      <c r="AH100" s="22">
        <v>0</v>
      </c>
      <c r="AI100" s="22" t="s">
        <v>149</v>
      </c>
      <c r="AJ100" s="22">
        <f t="shared" si="22"/>
        <v>35</v>
      </c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</sheetData>
  <autoFilter ref="A3:AJ100" xr:uid="{2004E89E-0DC3-4885-BCAF-AE22BB2D461C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2026-01-27T09:00:40Z</dcterms:created>
  <dcterms:modified xsi:type="dcterms:W3CDTF">2026-01-28T10:22:31Z</dcterms:modified>
</cp:coreProperties>
</file>