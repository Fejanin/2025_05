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7,01,26 ПОКОМ КИ филиалы\"/>
    </mc:Choice>
  </mc:AlternateContent>
  <xr:revisionPtr revIDLastSave="0" documentId="13_ncr:1_{3B841EDF-BCE0-4DF5-8D14-8DEC517A26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4" i="1" l="1"/>
  <c r="R5" i="1"/>
  <c r="R6" i="1"/>
  <c r="R7" i="1"/>
  <c r="R8" i="1"/>
  <c r="R9" i="1"/>
  <c r="R10" i="1"/>
  <c r="R3" i="1"/>
  <c r="Q11" i="1"/>
  <c r="Q13" i="1" s="1"/>
  <c r="P11" i="1"/>
  <c r="O11" i="1"/>
  <c r="O13" i="1" s="1"/>
  <c r="C11" i="1" l="1"/>
  <c r="N11" i="1" l="1"/>
  <c r="M11" i="1"/>
  <c r="L11" i="1"/>
  <c r="D11" i="1" l="1"/>
  <c r="E11" i="1"/>
  <c r="F11" i="1"/>
  <c r="G11" i="1"/>
  <c r="H11" i="1"/>
  <c r="I11" i="1"/>
  <c r="J11" i="1"/>
  <c r="K11" i="1"/>
  <c r="B11" i="1" l="1"/>
  <c r="R11" i="1" l="1"/>
</calcChain>
</file>

<file path=xl/sharedStrings.xml><?xml version="1.0" encoding="utf-8"?>
<sst xmlns="http://schemas.openxmlformats.org/spreadsheetml/2006/main" count="33" uniqueCount="21">
  <si>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</si>
  <si>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</si>
  <si>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</si>
  <si>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</si>
  <si>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</si>
  <si>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</si>
  <si>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</si>
  <si>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</si>
  <si>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</si>
  <si>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</si>
  <si>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</si>
  <si>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</si>
  <si>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</si>
  <si>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</si>
  <si>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</si>
  <si>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</si>
  <si>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4 машина</t>
  </si>
  <si>
    <t>Горняк(Горловка)</t>
  </si>
  <si>
    <t>Горняк(Луганск)</t>
  </si>
  <si>
    <t>Владстандарт</t>
  </si>
  <si>
    <t>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</si>
</sst>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zoomScale="115" zoomScaleNormal="115" workbookViewId="0">
      <selection activeCell="O17" sqref="O17"/>
    </sheetView>
  </sheetViews>
  <sheetFormatPr defaultRowHeight="15" x14ac:dyDescent="0.25"/>
  <cols>
    <col min="1" max="1" width="17.42578125" customWidth="1"/>
    <col min="2" max="2" width="13.7109375" bestFit="1" customWidth="1"/>
    <col min="3" max="17" width="7.7109375" customWidth="1"/>
    <col min="18" max="18" width="8.140625" bestFit="1" customWidth="1"/>
  </cols>
  <sheetData>
    <row r="1" spans="1:18" x14ac:dyDescent="0.25">
      <c r="A1" s="30" t="s">
        <v>4</v>
      </c>
      <c r="B1" s="32" t="s">
        <v>5</v>
      </c>
      <c r="C1" s="30" t="s">
        <v>6</v>
      </c>
      <c r="D1" s="34"/>
      <c r="E1" s="35"/>
      <c r="F1" s="30" t="s">
        <v>7</v>
      </c>
      <c r="G1" s="34"/>
      <c r="H1" s="35"/>
      <c r="I1" s="30" t="s">
        <v>8</v>
      </c>
      <c r="J1" s="34"/>
      <c r="K1" s="35"/>
      <c r="L1" s="30" t="s">
        <v>16</v>
      </c>
      <c r="M1" s="34"/>
      <c r="N1" s="35"/>
      <c r="O1" s="30" t="s">
        <v>20</v>
      </c>
      <c r="P1" s="34"/>
      <c r="Q1" s="35"/>
      <c r="R1" s="28" t="s">
        <v>9</v>
      </c>
    </row>
    <row r="2" spans="1:18" ht="15.75" thickBot="1" x14ac:dyDescent="0.3">
      <c r="A2" s="31"/>
      <c r="B2" s="33"/>
      <c r="C2" s="11" t="s">
        <v>13</v>
      </c>
      <c r="D2" s="8" t="s">
        <v>14</v>
      </c>
      <c r="E2" s="12" t="s">
        <v>15</v>
      </c>
      <c r="F2" s="11" t="s">
        <v>13</v>
      </c>
      <c r="G2" s="8" t="s">
        <v>14</v>
      </c>
      <c r="H2" s="12" t="s">
        <v>15</v>
      </c>
      <c r="I2" s="11" t="s">
        <v>13</v>
      </c>
      <c r="J2" s="8" t="s">
        <v>14</v>
      </c>
      <c r="K2" s="12" t="s">
        <v>15</v>
      </c>
      <c r="L2" s="11" t="s">
        <v>13</v>
      </c>
      <c r="M2" s="8" t="s">
        <v>14</v>
      </c>
      <c r="N2" s="12" t="s">
        <v>15</v>
      </c>
      <c r="O2" s="11" t="s">
        <v>13</v>
      </c>
      <c r="P2" s="8" t="s">
        <v>14</v>
      </c>
      <c r="Q2" s="12" t="s">
        <v>15</v>
      </c>
      <c r="R2" s="29"/>
    </row>
    <row r="3" spans="1:18" x14ac:dyDescent="0.25">
      <c r="A3" s="6" t="s">
        <v>0</v>
      </c>
      <c r="B3" s="9">
        <v>11090</v>
      </c>
      <c r="C3" s="6"/>
      <c r="D3" s="3"/>
      <c r="E3" s="7"/>
      <c r="F3" s="6">
        <v>11090</v>
      </c>
      <c r="G3" s="3">
        <v>12184</v>
      </c>
      <c r="H3" s="7">
        <v>18</v>
      </c>
      <c r="I3" s="6"/>
      <c r="J3" s="3"/>
      <c r="K3" s="7"/>
      <c r="L3" s="6"/>
      <c r="M3" s="3"/>
      <c r="N3" s="7"/>
      <c r="O3" s="6"/>
      <c r="P3" s="3"/>
      <c r="Q3" s="7"/>
      <c r="R3" s="13">
        <f>B3-C3-F3-I3-L3-O3</f>
        <v>0</v>
      </c>
    </row>
    <row r="4" spans="1:18" x14ac:dyDescent="0.25">
      <c r="A4" s="4" t="s">
        <v>1</v>
      </c>
      <c r="B4" s="10">
        <v>27870</v>
      </c>
      <c r="C4" s="4"/>
      <c r="D4" s="2"/>
      <c r="E4" s="5"/>
      <c r="F4" s="4"/>
      <c r="G4" s="2"/>
      <c r="H4" s="5"/>
      <c r="I4" s="4">
        <v>12500</v>
      </c>
      <c r="J4" s="2">
        <v>13931</v>
      </c>
      <c r="K4" s="5">
        <v>23</v>
      </c>
      <c r="L4" s="4">
        <v>8000</v>
      </c>
      <c r="M4" s="2">
        <v>8868</v>
      </c>
      <c r="N4" s="5">
        <v>15</v>
      </c>
      <c r="O4" s="4">
        <v>7370</v>
      </c>
      <c r="P4" s="2">
        <v>8169</v>
      </c>
      <c r="Q4" s="5">
        <v>14</v>
      </c>
      <c r="R4" s="13">
        <f t="shared" ref="R4:R10" si="0">B4-C4-F4-I4-L4-O4</f>
        <v>0</v>
      </c>
    </row>
    <row r="5" spans="1:18" x14ac:dyDescent="0.25">
      <c r="A5" s="4" t="s">
        <v>2</v>
      </c>
      <c r="B5" s="10">
        <v>23710</v>
      </c>
      <c r="C5" s="4"/>
      <c r="D5" s="2"/>
      <c r="E5" s="5"/>
      <c r="F5" s="4">
        <v>6500</v>
      </c>
      <c r="G5" s="2">
        <v>7265</v>
      </c>
      <c r="H5" s="5">
        <v>12</v>
      </c>
      <c r="I5" s="4"/>
      <c r="J5" s="2"/>
      <c r="K5" s="5"/>
      <c r="L5" s="4">
        <v>9500</v>
      </c>
      <c r="M5" s="2">
        <v>10721</v>
      </c>
      <c r="N5" s="5">
        <v>18</v>
      </c>
      <c r="O5" s="4">
        <v>7710</v>
      </c>
      <c r="P5" s="2">
        <v>8662</v>
      </c>
      <c r="Q5" s="5">
        <v>14</v>
      </c>
      <c r="R5" s="13">
        <f t="shared" si="0"/>
        <v>0</v>
      </c>
    </row>
    <row r="6" spans="1:18" x14ac:dyDescent="0.25">
      <c r="A6" s="4" t="s">
        <v>3</v>
      </c>
      <c r="B6" s="10">
        <v>5100</v>
      </c>
      <c r="C6" s="4"/>
      <c r="D6" s="2"/>
      <c r="E6" s="5"/>
      <c r="F6" s="4"/>
      <c r="G6" s="2"/>
      <c r="H6" s="5"/>
      <c r="I6" s="4">
        <v>5100</v>
      </c>
      <c r="J6" s="2">
        <v>5787</v>
      </c>
      <c r="K6" s="5">
        <v>10</v>
      </c>
      <c r="L6" s="4"/>
      <c r="M6" s="2"/>
      <c r="N6" s="5"/>
      <c r="O6" s="4"/>
      <c r="P6" s="2"/>
      <c r="Q6" s="5"/>
      <c r="R6" s="13">
        <f t="shared" si="0"/>
        <v>0</v>
      </c>
    </row>
    <row r="7" spans="1:18" x14ac:dyDescent="0.25">
      <c r="A7" s="4" t="s">
        <v>11</v>
      </c>
      <c r="B7" s="10">
        <v>6156</v>
      </c>
      <c r="C7" s="4">
        <v>6156</v>
      </c>
      <c r="D7" s="2">
        <v>6979</v>
      </c>
      <c r="E7" s="5">
        <v>12</v>
      </c>
      <c r="F7" s="4"/>
      <c r="G7" s="2"/>
      <c r="H7" s="5"/>
      <c r="I7" s="4"/>
      <c r="J7" s="2"/>
      <c r="K7" s="5"/>
      <c r="L7" s="4"/>
      <c r="M7" s="2"/>
      <c r="N7" s="5"/>
      <c r="O7" s="4"/>
      <c r="P7" s="2"/>
      <c r="Q7" s="5"/>
      <c r="R7" s="13">
        <f t="shared" si="0"/>
        <v>0</v>
      </c>
    </row>
    <row r="8" spans="1:18" x14ac:dyDescent="0.25">
      <c r="A8" s="14" t="s">
        <v>12</v>
      </c>
      <c r="B8" s="10">
        <v>1257</v>
      </c>
      <c r="C8" s="4">
        <v>1257</v>
      </c>
      <c r="D8" s="2">
        <v>1440</v>
      </c>
      <c r="E8" s="5">
        <v>3</v>
      </c>
      <c r="F8" s="4"/>
      <c r="G8" s="2"/>
      <c r="H8" s="5"/>
      <c r="I8" s="4"/>
      <c r="J8" s="2"/>
      <c r="K8" s="5"/>
      <c r="L8" s="4"/>
      <c r="M8" s="2"/>
      <c r="N8" s="5"/>
      <c r="O8" s="4"/>
      <c r="P8" s="2"/>
      <c r="Q8" s="5"/>
      <c r="R8" s="13">
        <f t="shared" si="0"/>
        <v>0</v>
      </c>
    </row>
    <row r="9" spans="1:18" x14ac:dyDescent="0.25">
      <c r="A9" s="4" t="s">
        <v>17</v>
      </c>
      <c r="B9" s="10">
        <v>1520</v>
      </c>
      <c r="C9" s="4">
        <v>1520</v>
      </c>
      <c r="D9" s="2">
        <v>1676</v>
      </c>
      <c r="E9" s="5">
        <v>3</v>
      </c>
      <c r="F9" s="4"/>
      <c r="G9" s="2"/>
      <c r="H9" s="5"/>
      <c r="I9" s="4"/>
      <c r="J9" s="2"/>
      <c r="K9" s="5"/>
      <c r="L9" s="4"/>
      <c r="M9" s="2"/>
      <c r="N9" s="5"/>
      <c r="O9" s="4"/>
      <c r="P9" s="2"/>
      <c r="Q9" s="5"/>
      <c r="R9" s="13">
        <f t="shared" si="0"/>
        <v>0</v>
      </c>
    </row>
    <row r="10" spans="1:18" ht="15.75" thickBot="1" x14ac:dyDescent="0.3">
      <c r="A10" s="4" t="s">
        <v>18</v>
      </c>
      <c r="B10" s="15">
        <v>8143</v>
      </c>
      <c r="C10" s="14">
        <v>8143</v>
      </c>
      <c r="D10" s="16">
        <v>8962</v>
      </c>
      <c r="E10" s="17">
        <v>15</v>
      </c>
      <c r="F10" s="14"/>
      <c r="G10" s="16"/>
      <c r="H10" s="17"/>
      <c r="I10" s="14"/>
      <c r="J10" s="16"/>
      <c r="K10" s="17"/>
      <c r="L10" s="14"/>
      <c r="M10" s="16"/>
      <c r="N10" s="17"/>
      <c r="O10" s="14"/>
      <c r="P10" s="16"/>
      <c r="Q10" s="17"/>
      <c r="R10" s="13">
        <f t="shared" si="0"/>
        <v>0</v>
      </c>
    </row>
    <row r="11" spans="1:18" s="1" customFormat="1" ht="15.75" thickBot="1" x14ac:dyDescent="0.3">
      <c r="A11" s="18" t="s">
        <v>10</v>
      </c>
      <c r="B11" s="19">
        <f t="shared" ref="B11:R11" si="1">SUM(B3:B10)</f>
        <v>84846</v>
      </c>
      <c r="C11" s="18">
        <f t="shared" si="1"/>
        <v>17076</v>
      </c>
      <c r="D11" s="20">
        <f t="shared" si="1"/>
        <v>19057</v>
      </c>
      <c r="E11" s="21">
        <f t="shared" si="1"/>
        <v>33</v>
      </c>
      <c r="F11" s="18">
        <f t="shared" si="1"/>
        <v>17590</v>
      </c>
      <c r="G11" s="20">
        <f t="shared" si="1"/>
        <v>19449</v>
      </c>
      <c r="H11" s="21">
        <f t="shared" si="1"/>
        <v>30</v>
      </c>
      <c r="I11" s="18">
        <f t="shared" si="1"/>
        <v>17600</v>
      </c>
      <c r="J11" s="20">
        <f t="shared" si="1"/>
        <v>19718</v>
      </c>
      <c r="K11" s="21">
        <f t="shared" si="1"/>
        <v>33</v>
      </c>
      <c r="L11" s="18">
        <f t="shared" si="1"/>
        <v>17500</v>
      </c>
      <c r="M11" s="20">
        <f t="shared" si="1"/>
        <v>19589</v>
      </c>
      <c r="N11" s="21">
        <f t="shared" si="1"/>
        <v>33</v>
      </c>
      <c r="O11" s="18">
        <f t="shared" ref="O11:Q11" si="2">SUM(O3:O10)</f>
        <v>15080</v>
      </c>
      <c r="P11" s="20">
        <f t="shared" si="2"/>
        <v>16831</v>
      </c>
      <c r="Q11" s="21">
        <f t="shared" si="2"/>
        <v>28</v>
      </c>
      <c r="R11" s="22">
        <f t="shared" si="1"/>
        <v>0</v>
      </c>
    </row>
    <row r="12" spans="1:18" ht="15.75" thickBot="1" x14ac:dyDescent="0.3">
      <c r="A12" s="23" t="s">
        <v>19</v>
      </c>
      <c r="B12" s="24">
        <v>520</v>
      </c>
      <c r="C12" s="23"/>
      <c r="D12" s="25"/>
      <c r="E12" s="26"/>
      <c r="F12" s="23"/>
      <c r="G12" s="25"/>
      <c r="H12" s="26"/>
      <c r="I12" s="23"/>
      <c r="J12" s="25"/>
      <c r="K12" s="26"/>
      <c r="L12" s="23"/>
      <c r="M12" s="25"/>
      <c r="N12" s="26"/>
      <c r="O12" s="23">
        <v>520</v>
      </c>
      <c r="P12" s="25"/>
      <c r="Q12" s="26">
        <v>2</v>
      </c>
      <c r="R12" s="27">
        <f t="shared" ref="R12" si="3">B12-C12-F12-I12-L12-O12</f>
        <v>0</v>
      </c>
    </row>
    <row r="13" spans="1:18" x14ac:dyDescent="0.25">
      <c r="O13">
        <f>O12+O11</f>
        <v>15600</v>
      </c>
      <c r="Q13">
        <f>Q12+Q11</f>
        <v>30</v>
      </c>
    </row>
    <row r="15" spans="1:18" x14ac:dyDescent="0.25">
      <c r="O15">
        <v>15000</v>
      </c>
    </row>
  </sheetData>
  <mergeCells count="8">
    <mergeCell ref="R1:R2"/>
    <mergeCell ref="A1:A2"/>
    <mergeCell ref="B1:B2"/>
    <mergeCell ref="C1:E1"/>
    <mergeCell ref="F1:H1"/>
    <mergeCell ref="I1:K1"/>
    <mergeCell ref="L1:N1"/>
    <mergeCell ref="O1:Q1"/>
  </mergeCells>
  <phoneticPr fontId="2" type="noConversion"/>
  <pageMargins left="0.25" right="0.25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2026-01-28T08:33:53Z</cp:lastPrinted>
  <dcterms:created xsi:type="dcterms:W3CDTF">2015-06-05T18:19:34Z</dcterms:created>
  <dcterms:modified xsi:type="dcterms:W3CDTF">2026-01-28T11:44:43Z</dcterms:modified>
</cp:coreProperties>
</file>