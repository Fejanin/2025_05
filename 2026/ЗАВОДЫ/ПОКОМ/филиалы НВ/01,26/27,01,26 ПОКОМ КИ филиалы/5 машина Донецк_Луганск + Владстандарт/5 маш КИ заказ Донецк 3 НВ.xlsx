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67BF9BD1-B25B-4C71-9560-BB9AD5CE52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Y468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X498" i="1" s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X411" i="1"/>
  <c r="Y410" i="1"/>
  <c r="X410" i="1"/>
  <c r="BP409" i="1"/>
  <c r="BO409" i="1"/>
  <c r="BN409" i="1"/>
  <c r="BM409" i="1"/>
  <c r="Z409" i="1"/>
  <c r="Z410" i="1" s="1"/>
  <c r="Y409" i="1"/>
  <c r="P409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7" i="1" s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498" i="1" s="1"/>
  <c r="P232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2" i="1" s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Y196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F498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Y43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2" i="1" s="1"/>
  <c r="BO23" i="1"/>
  <c r="BM23" i="1"/>
  <c r="Y23" i="1"/>
  <c r="P23" i="1"/>
  <c r="BP22" i="1"/>
  <c r="BO22" i="1"/>
  <c r="BN22" i="1"/>
  <c r="BM22" i="1"/>
  <c r="Z22" i="1"/>
  <c r="Y22" i="1"/>
  <c r="Y24" i="1" s="1"/>
  <c r="P22" i="1"/>
  <c r="H10" i="1"/>
  <c r="F10" i="1"/>
  <c r="J9" i="1"/>
  <c r="F9" i="1"/>
  <c r="A9" i="1"/>
  <c r="A10" i="1" s="1"/>
  <c r="D7" i="1"/>
  <c r="Q6" i="1"/>
  <c r="P2" i="1"/>
  <c r="BP29" i="1" l="1"/>
  <c r="BN29" i="1"/>
  <c r="Z29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23" i="1"/>
  <c r="Y490" i="1" s="1"/>
  <c r="BN23" i="1"/>
  <c r="Y489" i="1" s="1"/>
  <c r="Z23" i="1"/>
  <c r="Z24" i="1" s="1"/>
  <c r="B498" i="1"/>
  <c r="Y25" i="1"/>
  <c r="Y32" i="1"/>
  <c r="BP27" i="1"/>
  <c r="BN27" i="1"/>
  <c r="Z27" i="1"/>
  <c r="Z31" i="1" s="1"/>
  <c r="Y31" i="1"/>
  <c r="Y492" i="1" s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Z104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H498" i="1"/>
  <c r="Y145" i="1"/>
  <c r="BP142" i="1"/>
  <c r="BN142" i="1"/>
  <c r="Z142" i="1"/>
  <c r="Z144" i="1" s="1"/>
  <c r="Y144" i="1"/>
  <c r="Y152" i="1"/>
  <c r="Y180" i="1"/>
  <c r="Y186" i="1"/>
  <c r="Y190" i="1"/>
  <c r="Y195" i="1"/>
  <c r="Y201" i="1"/>
  <c r="Y211" i="1"/>
  <c r="Y223" i="1"/>
  <c r="Y229" i="1"/>
  <c r="Y242" i="1"/>
  <c r="Y246" i="1"/>
  <c r="Y250" i="1"/>
  <c r="Y258" i="1"/>
  <c r="L498" i="1"/>
  <c r="Y266" i="1"/>
  <c r="BP263" i="1"/>
  <c r="BN263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BP297" i="1"/>
  <c r="BN297" i="1"/>
  <c r="Z297" i="1"/>
  <c r="Z301" i="1" s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Z323" i="1"/>
  <c r="BP321" i="1"/>
  <c r="BN321" i="1"/>
  <c r="Z321" i="1"/>
  <c r="BP329" i="1"/>
  <c r="BN329" i="1"/>
  <c r="Z329" i="1"/>
  <c r="Y331" i="1"/>
  <c r="Y336" i="1"/>
  <c r="BP333" i="1"/>
  <c r="BN333" i="1"/>
  <c r="Z333" i="1"/>
  <c r="BP342" i="1"/>
  <c r="BN342" i="1"/>
  <c r="Z342" i="1"/>
  <c r="Y344" i="1"/>
  <c r="Y355" i="1"/>
  <c r="BP348" i="1"/>
  <c r="BN348" i="1"/>
  <c r="Z348" i="1"/>
  <c r="BP352" i="1"/>
  <c r="BN352" i="1"/>
  <c r="Z352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Z375" i="1" s="1"/>
  <c r="BP385" i="1"/>
  <c r="BN385" i="1"/>
  <c r="Z385" i="1"/>
  <c r="Y387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J498" i="1"/>
  <c r="S498" i="1"/>
  <c r="H9" i="1"/>
  <c r="X489" i="1"/>
  <c r="X491" i="1" s="1"/>
  <c r="X490" i="1"/>
  <c r="X488" i="1"/>
  <c r="C498" i="1"/>
  <c r="Y44" i="1"/>
  <c r="D498" i="1"/>
  <c r="Y57" i="1"/>
  <c r="E498" i="1"/>
  <c r="Y88" i="1"/>
  <c r="Y105" i="1"/>
  <c r="G498" i="1"/>
  <c r="Y128" i="1"/>
  <c r="Z148" i="1"/>
  <c r="Z152" i="1" s="1"/>
  <c r="BN148" i="1"/>
  <c r="Z150" i="1"/>
  <c r="BN150" i="1"/>
  <c r="I498" i="1"/>
  <c r="Y163" i="1"/>
  <c r="Z166" i="1"/>
  <c r="Z179" i="1" s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Z185" i="1" s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Z199" i="1"/>
  <c r="Z200" i="1" s="1"/>
  <c r="BN199" i="1"/>
  <c r="Z203" i="1"/>
  <c r="BN203" i="1"/>
  <c r="BP203" i="1"/>
  <c r="Z205" i="1"/>
  <c r="BN205" i="1"/>
  <c r="Z207" i="1"/>
  <c r="BN207" i="1"/>
  <c r="Z209" i="1"/>
  <c r="BN209" i="1"/>
  <c r="Z215" i="1"/>
  <c r="Z223" i="1" s="1"/>
  <c r="BN215" i="1"/>
  <c r="Z217" i="1"/>
  <c r="BN217" i="1"/>
  <c r="Z219" i="1"/>
  <c r="BN219" i="1"/>
  <c r="Z221" i="1"/>
  <c r="BN221" i="1"/>
  <c r="Z227" i="1"/>
  <c r="Z228" i="1" s="1"/>
  <c r="BN227" i="1"/>
  <c r="Z232" i="1"/>
  <c r="Z241" i="1" s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Z257" i="1" s="1"/>
  <c r="BN252" i="1"/>
  <c r="BP252" i="1"/>
  <c r="Z254" i="1"/>
  <c r="BN254" i="1"/>
  <c r="Z256" i="1"/>
  <c r="BN256" i="1"/>
  <c r="Z261" i="1"/>
  <c r="BN261" i="1"/>
  <c r="BP261" i="1"/>
  <c r="Z263" i="1"/>
  <c r="BP272" i="1"/>
  <c r="BN272" i="1"/>
  <c r="Z272" i="1"/>
  <c r="Y282" i="1"/>
  <c r="Y281" i="1"/>
  <c r="BP286" i="1"/>
  <c r="BN286" i="1"/>
  <c r="Z286" i="1"/>
  <c r="Z287" i="1" s="1"/>
  <c r="Y288" i="1"/>
  <c r="Y293" i="1"/>
  <c r="BP290" i="1"/>
  <c r="BN290" i="1"/>
  <c r="Z290" i="1"/>
  <c r="Z292" i="1" s="1"/>
  <c r="Q498" i="1"/>
  <c r="BP299" i="1"/>
  <c r="BN299" i="1"/>
  <c r="Z299" i="1"/>
  <c r="Y310" i="1"/>
  <c r="BP307" i="1"/>
  <c r="BN307" i="1"/>
  <c r="Z307" i="1"/>
  <c r="BP315" i="1"/>
  <c r="BN315" i="1"/>
  <c r="Z315" i="1"/>
  <c r="Y324" i="1"/>
  <c r="Y323" i="1"/>
  <c r="BP327" i="1"/>
  <c r="BN327" i="1"/>
  <c r="Z327" i="1"/>
  <c r="Z330" i="1" s="1"/>
  <c r="BP335" i="1"/>
  <c r="BN335" i="1"/>
  <c r="Z335" i="1"/>
  <c r="Y337" i="1"/>
  <c r="R498" i="1"/>
  <c r="Y343" i="1"/>
  <c r="BP340" i="1"/>
  <c r="BN340" i="1"/>
  <c r="Z340" i="1"/>
  <c r="Z343" i="1" s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Y365" i="1"/>
  <c r="Y375" i="1"/>
  <c r="BP379" i="1"/>
  <c r="BN379" i="1"/>
  <c r="Z379" i="1"/>
  <c r="Z380" i="1" s="1"/>
  <c r="Y381" i="1"/>
  <c r="Y386" i="1"/>
  <c r="BP383" i="1"/>
  <c r="BN383" i="1"/>
  <c r="Z383" i="1"/>
  <c r="Z386" i="1" s="1"/>
  <c r="BP393" i="1"/>
  <c r="BN393" i="1"/>
  <c r="Z393" i="1"/>
  <c r="BP397" i="1"/>
  <c r="BN397" i="1"/>
  <c r="Z397" i="1"/>
  <c r="Y405" i="1"/>
  <c r="BP414" i="1"/>
  <c r="BN414" i="1"/>
  <c r="Z414" i="1"/>
  <c r="Z417" i="1" s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Z445" i="1" s="1"/>
  <c r="Y446" i="1"/>
  <c r="BP450" i="1"/>
  <c r="BN450" i="1"/>
  <c r="Z450" i="1"/>
  <c r="Y454" i="1"/>
  <c r="BP460" i="1"/>
  <c r="BN460" i="1"/>
  <c r="Z460" i="1"/>
  <c r="Y498" i="1"/>
  <c r="Y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Z439" i="1" s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BP452" i="1"/>
  <c r="BN452" i="1"/>
  <c r="Z452" i="1"/>
  <c r="Y463" i="1"/>
  <c r="BP462" i="1"/>
  <c r="BN462" i="1"/>
  <c r="Z462" i="1"/>
  <c r="Z463" i="1" s="1"/>
  <c r="Y469" i="1"/>
  <c r="BP466" i="1"/>
  <c r="BN466" i="1"/>
  <c r="Z466" i="1"/>
  <c r="Z468" i="1" s="1"/>
  <c r="Y481" i="1"/>
  <c r="Y439" i="1"/>
  <c r="Y491" i="1" l="1"/>
  <c r="Z317" i="1"/>
  <c r="Y488" i="1"/>
  <c r="Z454" i="1"/>
  <c r="Z266" i="1"/>
  <c r="Z211" i="1"/>
  <c r="Z400" i="1"/>
  <c r="Z355" i="1"/>
  <c r="Z336" i="1"/>
  <c r="Z274" i="1"/>
  <c r="Z118" i="1"/>
  <c r="Z63" i="1"/>
  <c r="Z493" i="1" s="1"/>
</calcChain>
</file>

<file path=xl/sharedStrings.xml><?xml version="1.0" encoding="utf-8"?>
<sst xmlns="http://schemas.openxmlformats.org/spreadsheetml/2006/main" count="2283" uniqueCount="767">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</sst>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45</v>
      </c>
      <c r="Y87" s="546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10</v>
      </c>
      <c r="Y88" s="547">
        <f>IFERROR(Y84/H84,"0")+IFERROR(Y85/H85,"0")+IFERROR(Y86/H86,"0")+IFERROR(Y87/H87,"0")</f>
        <v>10</v>
      </c>
      <c r="Z88" s="547">
        <f>IFERROR(IF(Z84="",0,Z84),"0")+IFERROR(IF(Z85="",0,Z85),"0")+IFERROR(IF(Z86="",0,Z86),"0")+IFERROR(IF(Z87="",0,Z87),"0")</f>
        <v>9.0200000000000002E-2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45</v>
      </c>
      <c r="Y89" s="547">
        <f>IFERROR(SUM(Y84:Y87),"0")</f>
        <v>45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200</v>
      </c>
      <c r="Y91" s="546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135</v>
      </c>
      <c r="Y93" s="546">
        <f>IFERROR(IF(X93="",0,CEILING((X93/$H93),1)*$H93),"")</f>
        <v>135</v>
      </c>
      <c r="Z93" s="36">
        <f>IFERROR(IF(Y93=0,"",ROUNDUP(Y93/H93,0)*0.00651),"")</f>
        <v>0.32550000000000001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147.6</v>
      </c>
      <c r="BN93" s="64">
        <f>IFERROR(Y93*I93/H93,"0")</f>
        <v>147.6</v>
      </c>
      <c r="BO93" s="64">
        <f>IFERROR(1/J93*(X93/H93),"0")</f>
        <v>0.27472527472527475</v>
      </c>
      <c r="BP93" s="64">
        <f>IFERROR(1/J93*(Y93/H93),"0")</f>
        <v>0.27472527472527475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74.691358024691354</v>
      </c>
      <c r="Y95" s="547">
        <f>IFERROR(Y91/H91,"0")+IFERROR(Y92/H92,"0")+IFERROR(Y93/H93,"0")+IFERROR(Y94/H94,"0")</f>
        <v>75</v>
      </c>
      <c r="Z95" s="547">
        <f>IFERROR(IF(Z91="",0,Z91),"0")+IFERROR(IF(Z92="",0,Z92),"0")+IFERROR(IF(Z93="",0,Z93),"0")+IFERROR(IF(Z94="",0,Z94),"0")</f>
        <v>0.8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335</v>
      </c>
      <c r="Y96" s="547">
        <f>IFERROR(SUM(Y91:Y94),"0")</f>
        <v>337.5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400</v>
      </c>
      <c r="Y114" s="546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180</v>
      </c>
      <c r="Y116" s="546">
        <f>IFERROR(IF(X116="",0,CEILING((X116/$H116),1)*$H116),"")</f>
        <v>180.9</v>
      </c>
      <c r="Z116" s="36">
        <f>IFERROR(IF(Y116=0,"",ROUNDUP(Y116/H116,0)*0.00651),"")</f>
        <v>0.43617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196.79999999999998</v>
      </c>
      <c r="BN116" s="64">
        <f>IFERROR(Y116*I116/H116,"0")</f>
        <v>197.78399999999999</v>
      </c>
      <c r="BO116" s="64">
        <f>IFERROR(1/J116*(X116/H116),"0")</f>
        <v>0.36630036630036628</v>
      </c>
      <c r="BP116" s="64">
        <f>IFERROR(1/J116*(Y116/H116),"0")</f>
        <v>0.36813186813186816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116.04938271604937</v>
      </c>
      <c r="Y118" s="547">
        <f>IFERROR(Y114/H114,"0")+IFERROR(Y115/H115,"0")+IFERROR(Y116/H116,"0")+IFERROR(Y117/H117,"0")</f>
        <v>117</v>
      </c>
      <c r="Z118" s="547">
        <f>IFERROR(IF(Z114="",0,Z114),"0")+IFERROR(IF(Z115="",0,Z115),"0")+IFERROR(IF(Z116="",0,Z116),"0")+IFERROR(IF(Z117="",0,Z117),"0")</f>
        <v>1.38517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580</v>
      </c>
      <c r="Y119" s="547">
        <f>IFERROR(SUM(Y114:Y117),"0")</f>
        <v>585.9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231</v>
      </c>
      <c r="Y176" s="546">
        <f t="shared" si="5"/>
        <v>231</v>
      </c>
      <c r="Z176" s="36">
        <f>IFERROR(IF(Y176=0,"",ROUNDUP(Y176/H176,0)*0.00502),"")</f>
        <v>0.55220000000000002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242</v>
      </c>
      <c r="BN176" s="64">
        <f t="shared" si="7"/>
        <v>242</v>
      </c>
      <c r="BO176" s="64">
        <f t="shared" si="8"/>
        <v>0.47008547008547014</v>
      </c>
      <c r="BP176" s="64">
        <f t="shared" si="9"/>
        <v>0.47008547008547014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110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110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0.55220000000000002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231</v>
      </c>
      <c r="Y180" s="547">
        <f>IFERROR(SUM(Y165:Y178),"0")</f>
        <v>231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280</v>
      </c>
      <c r="Y219" s="546">
        <f t="shared" si="15"/>
        <v>280.8</v>
      </c>
      <c r="Z219" s="36">
        <f t="shared" si="20"/>
        <v>0.76167000000000007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309.40000000000003</v>
      </c>
      <c r="BN219" s="64">
        <f t="shared" si="17"/>
        <v>310.28400000000005</v>
      </c>
      <c r="BO219" s="64">
        <f t="shared" si="18"/>
        <v>0.64102564102564108</v>
      </c>
      <c r="BP219" s="64">
        <f t="shared" si="19"/>
        <v>0.64285714285714302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160</v>
      </c>
      <c r="Y220" s="546">
        <f t="shared" si="15"/>
        <v>160.79999999999998</v>
      </c>
      <c r="Z220" s="36">
        <f t="shared" si="20"/>
        <v>0.43617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176.80000000000004</v>
      </c>
      <c r="BN220" s="64">
        <f t="shared" si="17"/>
        <v>177.684</v>
      </c>
      <c r="BO220" s="64">
        <f t="shared" si="18"/>
        <v>0.36630036630036633</v>
      </c>
      <c r="BP220" s="64">
        <f t="shared" si="19"/>
        <v>0.36813186813186816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183.33333333333334</v>
      </c>
      <c r="Y223" s="547">
        <f>IFERROR(Y214/H214,"0")+IFERROR(Y215/H215,"0")+IFERROR(Y216/H216,"0")+IFERROR(Y217/H217,"0")+IFERROR(Y218/H218,"0")+IFERROR(Y219/H219,"0")+IFERROR(Y220/H220,"0")+IFERROR(Y221/H221,"0")+IFERROR(Y222/H222,"0")</f>
        <v>184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1.19784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440</v>
      </c>
      <c r="Y224" s="547">
        <f>IFERROR(SUM(Y214:Y222),"0")</f>
        <v>441.6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40</v>
      </c>
      <c r="Y280" s="546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16.666666666666668</v>
      </c>
      <c r="Y281" s="547">
        <f>IFERROR(Y278/H278,"0")+IFERROR(Y279/H279,"0")+IFERROR(Y280/H280,"0")</f>
        <v>17</v>
      </c>
      <c r="Z281" s="547">
        <f>IFERROR(IF(Z278="",0,Z278),"0")+IFERROR(IF(Z279="",0,Z279),"0")+IFERROR(IF(Z280="",0,Z280),"0")</f>
        <v>0.11067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40</v>
      </c>
      <c r="Y282" s="547">
        <f>IFERROR(SUM(Y278:Y280),"0")</f>
        <v>40.799999999999997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400</v>
      </c>
      <c r="Y321" s="546">
        <f>IFERROR(IF(X321="",0,CEILING((X321/$H321),1)*$H321),"")</f>
        <v>405.59999999999997</v>
      </c>
      <c r="Z321" s="36">
        <f>IFERROR(IF(Y321=0,"",ROUNDUP(Y321/H321,0)*0.01898),"")</f>
        <v>0.98696000000000006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425.33333333333337</v>
      </c>
      <c r="BN321" s="64">
        <f>IFERROR(Y321*I321/H321,"0")</f>
        <v>431.28799999999995</v>
      </c>
      <c r="BO321" s="64">
        <f>IFERROR(1/J321*(X321/H321),"0")</f>
        <v>0.80128205128205132</v>
      </c>
      <c r="BP321" s="64">
        <f>IFERROR(1/J321*(Y321/H321),"0")</f>
        <v>0.8125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51.282051282051285</v>
      </c>
      <c r="Y323" s="547">
        <f>IFERROR(Y320/H320,"0")+IFERROR(Y321/H321,"0")+IFERROR(Y322/H322,"0")</f>
        <v>52</v>
      </c>
      <c r="Z323" s="547">
        <f>IFERROR(IF(Z320="",0,Z320),"0")+IFERROR(IF(Z321="",0,Z321),"0")+IFERROR(IF(Z322="",0,Z322),"0")</f>
        <v>0.98696000000000006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400</v>
      </c>
      <c r="Y324" s="547">
        <f>IFERROR(SUM(Y320:Y322),"0")</f>
        <v>405.59999999999997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600</v>
      </c>
      <c r="Y348" s="546">
        <f t="shared" ref="Y348:Y354" si="31">IFERROR(IF(X348="",0,CEILING((X348/$H348),1)*$H348),"")</f>
        <v>600</v>
      </c>
      <c r="Z348" s="36">
        <f>IFERROR(IF(Y348=0,"",ROUNDUP(Y348/H348,0)*0.02175),"")</f>
        <v>0.86999999999999988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618.79999999999995</v>
      </c>
      <c r="BN348" s="64">
        <f t="shared" ref="BN348:BN354" si="33">IFERROR(Y348*I348/H348,"0")</f>
        <v>618.79999999999995</v>
      </c>
      <c r="BO348" s="64">
        <f t="shared" ref="BO348:BO354" si="34">IFERROR(1/J348*(X348/H348),"0")</f>
        <v>0.83333333333333326</v>
      </c>
      <c r="BP348" s="64">
        <f t="shared" ref="BP348:BP354" si="35">IFERROR(1/J348*(Y348/H348),"0")</f>
        <v>0.83333333333333326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300</v>
      </c>
      <c r="Y351" s="546">
        <f t="shared" si="31"/>
        <v>300</v>
      </c>
      <c r="Z351" s="36">
        <f>IFERROR(IF(Y351=0,"",ROUNDUP(Y351/H351,0)*0.02175),"")</f>
        <v>0.43499999999999994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309.39999999999998</v>
      </c>
      <c r="BN351" s="64">
        <f t="shared" si="33"/>
        <v>309.39999999999998</v>
      </c>
      <c r="BO351" s="64">
        <f t="shared" si="34"/>
        <v>0.41666666666666663</v>
      </c>
      <c r="BP351" s="64">
        <f t="shared" si="35"/>
        <v>0.41666666666666663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60</v>
      </c>
      <c r="Y355" s="547">
        <f>IFERROR(Y348/H348,"0")+IFERROR(Y349/H349,"0")+IFERROR(Y350/H350,"0")+IFERROR(Y351/H351,"0")+IFERROR(Y352/H352,"0")+IFERROR(Y353/H353,"0")+IFERROR(Y354/H354,"0")</f>
        <v>60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1.3049999999999997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900</v>
      </c>
      <c r="Y356" s="547">
        <f>IFERROR(SUM(Y348:Y354),"0")</f>
        <v>900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900</v>
      </c>
      <c r="Y358" s="546">
        <f>IFERROR(IF(X358="",0,CEILING((X358/$H358),1)*$H358),"")</f>
        <v>900</v>
      </c>
      <c r="Z358" s="36">
        <f>IFERROR(IF(Y358=0,"",ROUNDUP(Y358/H358,0)*0.02175),"")</f>
        <v>1.3049999999999999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928.2</v>
      </c>
      <c r="BN358" s="64">
        <f>IFERROR(Y358*I358/H358,"0")</f>
        <v>928.2</v>
      </c>
      <c r="BO358" s="64">
        <f>IFERROR(1/J358*(X358/H358),"0")</f>
        <v>1.25</v>
      </c>
      <c r="BP358" s="64">
        <f>IFERROR(1/J358*(Y358/H358),"0")</f>
        <v>1.25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60</v>
      </c>
      <c r="Y360" s="547">
        <f>IFERROR(Y358/H358,"0")+IFERROR(Y359/H359,"0")</f>
        <v>60</v>
      </c>
      <c r="Z360" s="547">
        <f>IFERROR(IF(Z358="",0,Z358),"0")+IFERROR(IF(Z359="",0,Z359),"0")</f>
        <v>1.3049999999999999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900</v>
      </c>
      <c r="Y361" s="547">
        <f>IFERROR(SUM(Y358:Y359),"0")</f>
        <v>900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2000</v>
      </c>
      <c r="Y383" s="546">
        <f>IFERROR(IF(X383="",0,CEILING((X383/$H383),1)*$H383),"")</f>
        <v>2007</v>
      </c>
      <c r="Z383" s="36">
        <f>IFERROR(IF(Y383=0,"",ROUNDUP(Y383/H383,0)*0.01898),"")</f>
        <v>4.2325400000000002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2109.7777777777778</v>
      </c>
      <c r="BN383" s="64">
        <f>IFERROR(Y383*I383/H383,"0")</f>
        <v>2117.1619999999998</v>
      </c>
      <c r="BO383" s="64">
        <f>IFERROR(1/J383*(X383/H383),"0")</f>
        <v>3.4722222222222223</v>
      </c>
      <c r="BP383" s="64">
        <f>IFERROR(1/J383*(Y383/H383),"0")</f>
        <v>3.484375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222.22222222222223</v>
      </c>
      <c r="Y386" s="547">
        <f>IFERROR(Y383/H383,"0")+IFERROR(Y384/H384,"0")+IFERROR(Y385/H385,"0")</f>
        <v>223</v>
      </c>
      <c r="Z386" s="547">
        <f>IFERROR(IF(Z383="",0,Z383),"0")+IFERROR(IF(Z384="",0,Z384),"0")+IFERROR(IF(Z385="",0,Z385),"0")</f>
        <v>4.2325400000000002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2000</v>
      </c>
      <c r="Y387" s="547">
        <f>IFERROR(SUM(Y383:Y385),"0")</f>
        <v>2007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400</v>
      </c>
      <c r="Y431" s="546">
        <f t="shared" si="42"/>
        <v>401.28000000000003</v>
      </c>
      <c r="Z431" s="36">
        <f t="shared" si="43"/>
        <v>0.90895999999999999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426.5151515151515</v>
      </c>
      <c r="BN431" s="64">
        <f t="shared" si="45"/>
        <v>427.88</v>
      </c>
      <c r="BO431" s="64">
        <f t="shared" si="46"/>
        <v>0.72843822843822836</v>
      </c>
      <c r="BP431" s="64">
        <f t="shared" si="47"/>
        <v>0.73076923076923084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75.757575757575751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0.90895999999999999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400</v>
      </c>
      <c r="Y440" s="547">
        <f>IFERROR(SUM(Y427:Y438),"0")</f>
        <v>401.28000000000003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500</v>
      </c>
      <c r="Y442" s="546">
        <f>IFERROR(IF(X442="",0,CEILING((X442/$H442),1)*$H442),"")</f>
        <v>501.6</v>
      </c>
      <c r="Z442" s="36">
        <f>IFERROR(IF(Y442=0,"",ROUNDUP(Y442/H442,0)*0.01196),"")</f>
        <v>1.1362000000000001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533.14393939393938</v>
      </c>
      <c r="BN442" s="64">
        <f>IFERROR(Y442*I442/H442,"0")</f>
        <v>534.85</v>
      </c>
      <c r="BO442" s="64">
        <f>IFERROR(1/J442*(X442/H442),"0")</f>
        <v>0.91054778554778548</v>
      </c>
      <c r="BP442" s="64">
        <f>IFERROR(1/J442*(Y442/H442),"0")</f>
        <v>0.91346153846153855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94.696969696969688</v>
      </c>
      <c r="Y445" s="547">
        <f>IFERROR(Y442/H442,"0")+IFERROR(Y443/H443,"0")+IFERROR(Y444/H444,"0")</f>
        <v>95</v>
      </c>
      <c r="Z445" s="547">
        <f>IFERROR(IF(Z442="",0,Z442),"0")+IFERROR(IF(Z443="",0,Z443),"0")+IFERROR(IF(Z444="",0,Z444),"0")</f>
        <v>1.1362000000000001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500</v>
      </c>
      <c r="Y446" s="547">
        <f>IFERROR(SUM(Y442:Y444),"0")</f>
        <v>501.6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ref="Y448:Y453" si="48">IFERROR(IF(X448="",0,CEILING((X448/$H448),1)*$H448),"")</f>
        <v>100.32000000000001</v>
      </c>
      <c r="Z448" s="36">
        <f>IFERROR(IF(Y448=0,"",ROUNDUP(Y448/H448,0)*0.01196),"")</f>
        <v>0.22724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106.62878787878788</v>
      </c>
      <c r="BN448" s="64">
        <f t="shared" ref="BN448:BN453" si="50">IFERROR(Y448*I448/H448,"0")</f>
        <v>106.97</v>
      </c>
      <c r="BO448" s="64">
        <f t="shared" ref="BO448:BO453" si="51">IFERROR(1/J448*(X448/H448),"0")</f>
        <v>0.18210955710955709</v>
      </c>
      <c r="BP448" s="64">
        <f t="shared" ref="BP448:BP453" si="52">IFERROR(1/J448*(Y448/H448),"0")</f>
        <v>0.18269230769230771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100</v>
      </c>
      <c r="Y449" s="546">
        <f t="shared" si="48"/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106.62878787878788</v>
      </c>
      <c r="BN449" s="64">
        <f t="shared" si="50"/>
        <v>106.97</v>
      </c>
      <c r="BO449" s="64">
        <f t="shared" si="51"/>
        <v>0.18210955710955709</v>
      </c>
      <c r="BP449" s="64">
        <f t="shared" si="52"/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400</v>
      </c>
      <c r="Y450" s="546">
        <f t="shared" si="48"/>
        <v>401.28000000000003</v>
      </c>
      <c r="Z450" s="36">
        <f>IFERROR(IF(Y450=0,"",ROUNDUP(Y450/H450,0)*0.01196),"")</f>
        <v>0.90895999999999999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426.5151515151515</v>
      </c>
      <c r="BN450" s="64">
        <f t="shared" si="50"/>
        <v>427.88</v>
      </c>
      <c r="BO450" s="64">
        <f t="shared" si="51"/>
        <v>0.72843822843822836</v>
      </c>
      <c r="BP450" s="64">
        <f t="shared" si="52"/>
        <v>0.73076923076923084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113.63636363636363</v>
      </c>
      <c r="Y454" s="547">
        <f>IFERROR(Y448/H448,"0")+IFERROR(Y449/H449,"0")+IFERROR(Y450/H450,"0")+IFERROR(Y451/H451,"0")+IFERROR(Y452/H452,"0")+IFERROR(Y453/H453,"0")</f>
        <v>114</v>
      </c>
      <c r="Z454" s="547">
        <f>IFERROR(IF(Z448="",0,Z448),"0")+IFERROR(IF(Z449="",0,Z449),"0")+IFERROR(IF(Z450="",0,Z450),"0")+IFERROR(IF(Z451="",0,Z451),"0")+IFERROR(IF(Z452="",0,Z452),"0")+IFERROR(IF(Z453="",0,Z453),"0")</f>
        <v>1.36344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600</v>
      </c>
      <c r="Y455" s="547">
        <f>IFERROR(SUM(Y448:Y453),"0")</f>
        <v>601.92000000000007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7371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7399.2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7789.7392255892264</v>
      </c>
      <c r="Y489" s="547">
        <f>IFERROR(SUM(BN22:BN485),"0")</f>
        <v>7819.7620000000006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13</v>
      </c>
      <c r="Y490" s="38">
        <f>ROUNDUP(SUM(BP22:BP485),0)</f>
        <v>14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8114.7392255892264</v>
      </c>
      <c r="Y491" s="547">
        <f>GrossWeightTotalR+PalletQtyTotalR*25</f>
        <v>8169.7620000000006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1188.3359233359233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1193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15.374180000000001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382.5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585.9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231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441.6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40.799999999999997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405.59999999999997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1800</v>
      </c>
      <c r="T498" s="46">
        <f>IFERROR(Y373*1,"0")+IFERROR(Y374*1,"0")+IFERROR(Y378*1,"0")+IFERROR(Y379*1,"0")+IFERROR(Y383*1,"0")+IFERROR(Y384*1,"0")+IFERROR(Y385*1,"0")</f>
        <v>2007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1504.8000000000002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2026-01-28T09:14:31Z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