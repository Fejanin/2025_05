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502C7B55-D811-4CA9-B09C-12237224FD7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95" i="1" l="1"/>
  <c r="Z228" i="1"/>
  <c r="Y25" i="1"/>
  <c r="Y31" i="1"/>
  <c r="Y43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Z95" i="1" s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BP143" i="1"/>
  <c r="BN143" i="1"/>
  <c r="Z143" i="1"/>
  <c r="Z144" i="1" s="1"/>
  <c r="Y145" i="1"/>
  <c r="Y152" i="1"/>
  <c r="BP147" i="1"/>
  <c r="BN147" i="1"/>
  <c r="Z147" i="1"/>
  <c r="Z152" i="1" s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Y196" i="1"/>
  <c r="Y200" i="1"/>
  <c r="BP198" i="1"/>
  <c r="BN198" i="1"/>
  <c r="Z198" i="1"/>
  <c r="Z200" i="1" s="1"/>
  <c r="BP297" i="1"/>
  <c r="BN297" i="1"/>
  <c r="Z297" i="1"/>
  <c r="Z301" i="1" s="1"/>
  <c r="Q498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Z375" i="1"/>
  <c r="H498" i="1"/>
  <c r="H9" i="1"/>
  <c r="B498" i="1"/>
  <c r="X489" i="1"/>
  <c r="X491" i="1" s="1"/>
  <c r="X490" i="1"/>
  <c r="Z23" i="1"/>
  <c r="Z24" i="1" s="1"/>
  <c r="BN23" i="1"/>
  <c r="Y24" i="1"/>
  <c r="X488" i="1"/>
  <c r="Z27" i="1"/>
  <c r="Z31" i="1" s="1"/>
  <c r="BN27" i="1"/>
  <c r="BP27" i="1"/>
  <c r="Y490" i="1" s="1"/>
  <c r="Z29" i="1"/>
  <c r="BN29" i="1"/>
  <c r="Y489" i="1" s="1"/>
  <c r="Y491" i="1" s="1"/>
  <c r="C498" i="1"/>
  <c r="Z41" i="1"/>
  <c r="Z43" i="1" s="1"/>
  <c r="BN41" i="1"/>
  <c r="Y44" i="1"/>
  <c r="D498" i="1"/>
  <c r="Y58" i="1"/>
  <c r="BP51" i="1"/>
  <c r="BN51" i="1"/>
  <c r="BP53" i="1"/>
  <c r="BN53" i="1"/>
  <c r="Z53" i="1"/>
  <c r="Z57" i="1" s="1"/>
  <c r="Y57" i="1"/>
  <c r="BP61" i="1"/>
  <c r="BN61" i="1"/>
  <c r="Z61" i="1"/>
  <c r="Z63" i="1" s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Z104" i="1" s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Z185" i="1"/>
  <c r="BP183" i="1"/>
  <c r="BN183" i="1"/>
  <c r="Z183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Z223" i="1" s="1"/>
  <c r="BP219" i="1"/>
  <c r="BN219" i="1"/>
  <c r="Z219" i="1"/>
  <c r="Y223" i="1"/>
  <c r="BP227" i="1"/>
  <c r="BN227" i="1"/>
  <c r="Z227" i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Z257" i="1" s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Z274" i="1" s="1"/>
  <c r="Y274" i="1"/>
  <c r="Z281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Z355" i="1" s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Y401" i="1"/>
  <c r="BP394" i="1"/>
  <c r="BN394" i="1"/>
  <c r="Z394" i="1"/>
  <c r="BP398" i="1"/>
  <c r="BN398" i="1"/>
  <c r="Z398" i="1"/>
  <c r="Z400" i="1" s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Z481" i="1"/>
  <c r="Y498" i="1"/>
  <c r="Y356" i="1"/>
  <c r="T498" i="1"/>
  <c r="Y375" i="1"/>
  <c r="X498" i="1"/>
  <c r="BP430" i="1"/>
  <c r="BN430" i="1"/>
  <c r="Z430" i="1"/>
  <c r="Z439" i="1" s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Y482" i="1"/>
  <c r="Z498" i="1"/>
  <c r="Y486" i="1"/>
  <c r="BP485" i="1"/>
  <c r="BN485" i="1"/>
  <c r="Z485" i="1"/>
  <c r="Z486" i="1" s="1"/>
  <c r="Y487" i="1"/>
  <c r="Y439" i="1"/>
  <c r="Z454" i="1" l="1"/>
  <c r="Z417" i="1"/>
  <c r="Z211" i="1"/>
  <c r="Y492" i="1"/>
  <c r="Z88" i="1"/>
  <c r="Z75" i="1"/>
  <c r="Z493" i="1" s="1"/>
  <c r="Y488" i="1"/>
  <c r="Z336" i="1"/>
  <c r="Z266" i="1"/>
  <c r="Z241" i="1"/>
  <c r="Z317" i="1"/>
  <c r="Z179" i="1"/>
</calcChain>
</file>

<file path=xl/sharedStrings.xml><?xml version="1.0" encoding="utf-8"?>
<sst xmlns="http://schemas.openxmlformats.org/spreadsheetml/2006/main" count="2255" uniqueCount="767">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</sst>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6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220</v>
      </c>
      <c r="Y40" s="546">
        <f>IFERROR(IF(X40="",0,CEILING((X40/$H40),1)*$H40),"")</f>
        <v>226.8</v>
      </c>
      <c r="Z40" s="36">
        <f>IFERROR(IF(Y40=0,"",ROUNDUP(Y40/H40,0)*0.01898),"")</f>
        <v>0.39857999999999999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228.35185185185188</v>
      </c>
      <c r="BN40" s="64">
        <f>IFERROR(Y40*I40/H40,"0")</f>
        <v>235.41000000000003</v>
      </c>
      <c r="BO40" s="64">
        <f>IFERROR(1/J40*(X40/H40),"0")</f>
        <v>0.31828703703703703</v>
      </c>
      <c r="BP40" s="64">
        <f>IFERROR(1/J40*(Y40/H40),"0")</f>
        <v>0.328125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20.37037037037037</v>
      </c>
      <c r="Y43" s="547">
        <f>IFERROR(Y40/H40,"0")+IFERROR(Y41/H41,"0")+IFERROR(Y42/H42,"0")</f>
        <v>21</v>
      </c>
      <c r="Z43" s="547">
        <f>IFERROR(IF(Z40="",0,Z40),"0")+IFERROR(IF(Z41="",0,Z41),"0")+IFERROR(IF(Z42="",0,Z42),"0")</f>
        <v>0.39857999999999999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220</v>
      </c>
      <c r="Y44" s="547">
        <f>IFERROR(SUM(Y40:Y42),"0")</f>
        <v>226.8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50</v>
      </c>
      <c r="Y51" s="546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51.830357142857146</v>
      </c>
      <c r="BN51" s="64">
        <f t="shared" ref="BN51:BN56" si="2">IFERROR(Y51*I51/H51,"0")</f>
        <v>58.050000000000004</v>
      </c>
      <c r="BO51" s="64">
        <f t="shared" ref="BO51:BO56" si="3">IFERROR(1/J51*(X51/H51),"0")</f>
        <v>6.9754464285714288E-2</v>
      </c>
      <c r="BP51" s="64">
        <f t="shared" ref="BP51:BP56" si="4">IFERROR(1/J51*(Y51/H51),"0")</f>
        <v>7.8125E-2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80</v>
      </c>
      <c r="Y52" s="546">
        <f t="shared" si="0"/>
        <v>86.4</v>
      </c>
      <c r="Z52" s="36">
        <f>IFERROR(IF(Y52=0,"",ROUNDUP(Y52/H52,0)*0.01898),"")</f>
        <v>0.15184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83.037037037037038</v>
      </c>
      <c r="BN52" s="64">
        <f t="shared" si="2"/>
        <v>89.68</v>
      </c>
      <c r="BO52" s="64">
        <f t="shared" si="3"/>
        <v>0.11574074074074073</v>
      </c>
      <c r="BP52" s="64">
        <f t="shared" si="4"/>
        <v>0.125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40</v>
      </c>
      <c r="Y54" s="546">
        <f t="shared" si="0"/>
        <v>40</v>
      </c>
      <c r="Z54" s="36">
        <f>IFERROR(IF(Y54=0,"",ROUNDUP(Y54/H54,0)*0.00902),"")</f>
        <v>9.0200000000000002E-2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41.900000000000006</v>
      </c>
      <c r="BN54" s="64">
        <f t="shared" si="2"/>
        <v>41.900000000000006</v>
      </c>
      <c r="BO54" s="64">
        <f t="shared" si="3"/>
        <v>7.575757575757576E-2</v>
      </c>
      <c r="BP54" s="64">
        <f t="shared" si="4"/>
        <v>7.575757575757576E-2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68</v>
      </c>
      <c r="Y56" s="546">
        <f t="shared" si="0"/>
        <v>72</v>
      </c>
      <c r="Z56" s="36">
        <f>IFERROR(IF(Y56=0,"",ROUNDUP(Y56/H56,0)*0.00902),"")</f>
        <v>0.14432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70.871111111111119</v>
      </c>
      <c r="BN56" s="64">
        <f t="shared" si="2"/>
        <v>75.040000000000006</v>
      </c>
      <c r="BO56" s="64">
        <f t="shared" si="3"/>
        <v>0.11447811447811448</v>
      </c>
      <c r="BP56" s="64">
        <f t="shared" si="4"/>
        <v>0.12121212121212122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36.982804232804227</v>
      </c>
      <c r="Y57" s="547">
        <f>IFERROR(Y51/H51,"0")+IFERROR(Y52/H52,"0")+IFERROR(Y53/H53,"0")+IFERROR(Y54/H54,"0")+IFERROR(Y55/H55,"0")+IFERROR(Y56/H56,"0")</f>
        <v>39</v>
      </c>
      <c r="Z57" s="547">
        <f>IFERROR(IF(Z51="",0,Z51),"0")+IFERROR(IF(Z52="",0,Z52),"0")+IFERROR(IF(Z53="",0,Z53),"0")+IFERROR(IF(Z54="",0,Z54),"0")+IFERROR(IF(Z55="",0,Z55),"0")+IFERROR(IF(Z56="",0,Z56),"0")</f>
        <v>0.48126000000000002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238</v>
      </c>
      <c r="Y58" s="547">
        <f>IFERROR(SUM(Y51:Y56),"0")</f>
        <v>254.4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80</v>
      </c>
      <c r="Y84" s="546">
        <f>IFERROR(IF(X84="",0,CEILING((X84/$H84),1)*$H84),"")</f>
        <v>86.4</v>
      </c>
      <c r="Z84" s="36">
        <f>IFERROR(IF(Y84=0,"",ROUNDUP(Y84/H84,0)*0.01898),"")</f>
        <v>0.15184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83.037037037037038</v>
      </c>
      <c r="BN84" s="64">
        <f>IFERROR(Y84*I84/H84,"0")</f>
        <v>89.68</v>
      </c>
      <c r="BO84" s="64">
        <f>IFERROR(1/J84*(X84/H84),"0")</f>
        <v>0.11574074074074073</v>
      </c>
      <c r="BP84" s="64">
        <f>IFERROR(1/J84*(Y84/H84),"0")</f>
        <v>0.125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7.4074074074074066</v>
      </c>
      <c r="Y88" s="547">
        <f>IFERROR(Y84/H84,"0")+IFERROR(Y85/H85,"0")+IFERROR(Y86/H86,"0")+IFERROR(Y87/H87,"0")</f>
        <v>8</v>
      </c>
      <c r="Z88" s="547">
        <f>IFERROR(IF(Z84="",0,Z84),"0")+IFERROR(IF(Z85="",0,Z85),"0")+IFERROR(IF(Z86="",0,Z86),"0")+IFERROR(IF(Z87="",0,Z87),"0")</f>
        <v>0.15184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80</v>
      </c>
      <c r="Y89" s="547">
        <f>IFERROR(SUM(Y84:Y87),"0")</f>
        <v>86.4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320</v>
      </c>
      <c r="Y91" s="546">
        <f>IFERROR(IF(X91="",0,CEILING((X91/$H91),1)*$H91),"")</f>
        <v>324</v>
      </c>
      <c r="Z91" s="36">
        <f>IFERROR(IF(Y91=0,"",ROUNDUP(Y91/H91,0)*0.01898),"")</f>
        <v>0.75919999999999999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339.51604938271606</v>
      </c>
      <c r="BN91" s="64">
        <f>IFERROR(Y91*I91/H91,"0")</f>
        <v>343.76</v>
      </c>
      <c r="BO91" s="64">
        <f>IFERROR(1/J91*(X91/H91),"0")</f>
        <v>0.61728395061728403</v>
      </c>
      <c r="BP91" s="64">
        <f>IFERROR(1/J91*(Y91/H91),"0")</f>
        <v>0.625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63</v>
      </c>
      <c r="Y93" s="546">
        <f>IFERROR(IF(X93="",0,CEILING((X93/$H93),1)*$H93),"")</f>
        <v>64.800000000000011</v>
      </c>
      <c r="Z93" s="36">
        <f>IFERROR(IF(Y93=0,"",ROUNDUP(Y93/H93,0)*0.00651),"")</f>
        <v>0.15623999999999999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68.88</v>
      </c>
      <c r="BN93" s="64">
        <f>IFERROR(Y93*I93/H93,"0")</f>
        <v>70.848000000000013</v>
      </c>
      <c r="BO93" s="64">
        <f>IFERROR(1/J93*(X93/H93),"0")</f>
        <v>0.12820512820512822</v>
      </c>
      <c r="BP93" s="64">
        <f>IFERROR(1/J93*(Y93/H93),"0")</f>
        <v>0.1318681318681319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62.839506172839506</v>
      </c>
      <c r="Y95" s="547">
        <f>IFERROR(Y91/H91,"0")+IFERROR(Y92/H92,"0")+IFERROR(Y93/H93,"0")+IFERROR(Y94/H94,"0")</f>
        <v>64</v>
      </c>
      <c r="Z95" s="547">
        <f>IFERROR(IF(Z91="",0,Z91),"0")+IFERROR(IF(Z92="",0,Z92),"0")+IFERROR(IF(Z93="",0,Z93),"0")+IFERROR(IF(Z94="",0,Z94),"0")</f>
        <v>0.91544000000000003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383</v>
      </c>
      <c r="Y96" s="547">
        <f>IFERROR(SUM(Y91:Y94),"0")</f>
        <v>388.8</v>
      </c>
      <c r="Z96" s="37"/>
      <c r="AA96" s="548"/>
      <c r="AB96" s="548"/>
      <c r="AC96" s="548"/>
    </row>
    <row r="97" spans="1:68" ht="16.5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100</v>
      </c>
      <c r="Y99" s="546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103.79629629629629</v>
      </c>
      <c r="BN99" s="64">
        <f>IFERROR(Y99*I99/H99,"0")</f>
        <v>112.1</v>
      </c>
      <c r="BO99" s="64">
        <f>IFERROR(1/J99*(X99/H99),"0")</f>
        <v>0.14467592592592593</v>
      </c>
      <c r="BP99" s="64">
        <f>IFERROR(1/J99*(Y99/H99),"0")</f>
        <v>0.15625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9.2592592592592595</v>
      </c>
      <c r="Y104" s="547">
        <f>IFERROR(Y99/H99,"0")+IFERROR(Y100/H100,"0")+IFERROR(Y101/H101,"0")+IFERROR(Y102/H102,"0")+IFERROR(Y103/H103,"0")</f>
        <v>10</v>
      </c>
      <c r="Z104" s="547">
        <f>IFERROR(IF(Z99="",0,Z99),"0")+IFERROR(IF(Z100="",0,Z100),"0")+IFERROR(IF(Z101="",0,Z101),"0")+IFERROR(IF(Z102="",0,Z102),"0")+IFERROR(IF(Z103="",0,Z103),"0")</f>
        <v>0.1898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100</v>
      </c>
      <c r="Y105" s="547">
        <f>IFERROR(SUM(Y99:Y103),"0")</f>
        <v>108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220</v>
      </c>
      <c r="Y114" s="546">
        <f>IFERROR(IF(X114="",0,CEILING((X114/$H114),1)*$H114),"")</f>
        <v>226.79999999999998</v>
      </c>
      <c r="Z114" s="36">
        <f>IFERROR(IF(Y114=0,"",ROUNDUP(Y114/H114,0)*0.01898),"")</f>
        <v>0.53144000000000002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233.25432098765432</v>
      </c>
      <c r="BN114" s="64">
        <f>IFERROR(Y114*I114/H114,"0")</f>
        <v>240.46399999999997</v>
      </c>
      <c r="BO114" s="64">
        <f>IFERROR(1/J114*(X114/H114),"0")</f>
        <v>0.42438271604938271</v>
      </c>
      <c r="BP114" s="64">
        <f>IFERROR(1/J114*(Y114/H114),"0")</f>
        <v>0.4375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135</v>
      </c>
      <c r="Y116" s="546">
        <f>IFERROR(IF(X116="",0,CEILING((X116/$H116),1)*$H116),"")</f>
        <v>135</v>
      </c>
      <c r="Z116" s="36">
        <f>IFERROR(IF(Y116=0,"",ROUNDUP(Y116/H116,0)*0.00651),"")</f>
        <v>0.32550000000000001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147.6</v>
      </c>
      <c r="BN116" s="64">
        <f>IFERROR(Y116*I116/H116,"0")</f>
        <v>147.6</v>
      </c>
      <c r="BO116" s="64">
        <f>IFERROR(1/J116*(X116/H116),"0")</f>
        <v>0.27472527472527475</v>
      </c>
      <c r="BP116" s="64">
        <f>IFERROR(1/J116*(Y116/H116),"0")</f>
        <v>0.27472527472527475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77.160493827160494</v>
      </c>
      <c r="Y118" s="547">
        <f>IFERROR(Y114/H114,"0")+IFERROR(Y115/H115,"0")+IFERROR(Y116/H116,"0")+IFERROR(Y117/H117,"0")</f>
        <v>78</v>
      </c>
      <c r="Z118" s="547">
        <f>IFERROR(IF(Z114="",0,Z114),"0")+IFERROR(IF(Z115="",0,Z115),"0")+IFERROR(IF(Z116="",0,Z116),"0")+IFERROR(IF(Z117="",0,Z117),"0")</f>
        <v>0.85694000000000004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355</v>
      </c>
      <c r="Y119" s="547">
        <f>IFERROR(SUM(Y114:Y117),"0")</f>
        <v>361.79999999999995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50</v>
      </c>
      <c r="Y165" s="546">
        <f t="shared" ref="Y165:Y178" si="5">IFERROR(IF(X165="",0,CEILING((X165/$H165),1)*$H165),"")</f>
        <v>50.400000000000006</v>
      </c>
      <c r="Z165" s="36">
        <f>IFERROR(IF(Y165=0,"",ROUNDUP(Y165/H165,0)*0.00902),"")</f>
        <v>0.10824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52.976190476190474</v>
      </c>
      <c r="BN165" s="64">
        <f t="shared" ref="BN165:BN178" si="7">IFERROR(Y165*I165/H165,"0")</f>
        <v>53.400000000000006</v>
      </c>
      <c r="BO165" s="64">
        <f t="shared" ref="BO165:BO178" si="8">IFERROR(1/J165*(X165/H165),"0")</f>
        <v>9.0187590187590191E-2</v>
      </c>
      <c r="BP165" s="64">
        <f t="shared" ref="BP165:BP178" si="9">IFERROR(1/J165*(Y165/H165),"0")</f>
        <v>9.0909090909090912E-2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50</v>
      </c>
      <c r="Y167" s="546">
        <f t="shared" si="5"/>
        <v>50.400000000000006</v>
      </c>
      <c r="Z167" s="36">
        <f>IFERROR(IF(Y167=0,"",ROUNDUP(Y167/H167,0)*0.00902),"")</f>
        <v>0.10824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52.261904761904752</v>
      </c>
      <c r="BN167" s="64">
        <f t="shared" si="7"/>
        <v>52.68</v>
      </c>
      <c r="BO167" s="64">
        <f t="shared" si="8"/>
        <v>9.0187590187590191E-2</v>
      </c>
      <c r="BP167" s="64">
        <f t="shared" si="9"/>
        <v>9.0909090909090912E-2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18</v>
      </c>
      <c r="Y169" s="546">
        <f t="shared" si="5"/>
        <v>18.900000000000002</v>
      </c>
      <c r="Z169" s="36">
        <f>IFERROR(IF(Y169=0,"",ROUNDUP(Y169/H169,0)*0.00502),"")</f>
        <v>4.5179999999999998E-2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19.114285714285714</v>
      </c>
      <c r="BN169" s="64">
        <f t="shared" si="7"/>
        <v>20.07</v>
      </c>
      <c r="BO169" s="64">
        <f t="shared" si="8"/>
        <v>3.6630036630036632E-2</v>
      </c>
      <c r="BP169" s="64">
        <f t="shared" si="9"/>
        <v>3.8461538461538464E-2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350</v>
      </c>
      <c r="Y176" s="546">
        <f t="shared" si="5"/>
        <v>350.7</v>
      </c>
      <c r="Z176" s="36">
        <f>IFERROR(IF(Y176=0,"",ROUNDUP(Y176/H176,0)*0.00502),"")</f>
        <v>0.83833999999999997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366.66666666666669</v>
      </c>
      <c r="BN176" s="64">
        <f t="shared" si="7"/>
        <v>367.40000000000003</v>
      </c>
      <c r="BO176" s="64">
        <f t="shared" si="8"/>
        <v>0.71225071225071224</v>
      </c>
      <c r="BP176" s="64">
        <f t="shared" si="9"/>
        <v>0.71367521367521369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199.04761904761904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200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1.1000000000000001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468</v>
      </c>
      <c r="Y180" s="547">
        <f>IFERROR(SUM(Y165:Y178),"0")</f>
        <v>470.4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100</v>
      </c>
      <c r="Y203" s="546">
        <f t="shared" ref="Y203:Y210" si="10">IFERROR(IF(X203="",0,CEILING((X203/$H203),1)*$H203),"")</f>
        <v>102.60000000000001</v>
      </c>
      <c r="Z203" s="36">
        <f>IFERROR(IF(Y203=0,"",ROUNDUP(Y203/H203,0)*0.00902),"")</f>
        <v>0.17138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103.5185185185185</v>
      </c>
      <c r="BN203" s="64">
        <f t="shared" ref="BN203:BN210" si="12">IFERROR(Y203*I203/H203,"0")</f>
        <v>106.21</v>
      </c>
      <c r="BO203" s="64">
        <f t="shared" ref="BO203:BO210" si="13">IFERROR(1/J203*(X203/H203),"0")</f>
        <v>0.14029180695847362</v>
      </c>
      <c r="BP203" s="64">
        <f t="shared" ref="BP203:BP210" si="14">IFERROR(1/J203*(Y203/H203),"0")</f>
        <v>0.14393939393939395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100</v>
      </c>
      <c r="Y204" s="546">
        <f t="shared" si="10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103.5185185185185</v>
      </c>
      <c r="BN204" s="64">
        <f t="shared" si="12"/>
        <v>106.21</v>
      </c>
      <c r="BO204" s="64">
        <f t="shared" si="13"/>
        <v>0.14029180695847362</v>
      </c>
      <c r="BP204" s="64">
        <f t="shared" si="14"/>
        <v>0.14393939393939395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150</v>
      </c>
      <c r="Y205" s="546">
        <f t="shared" si="10"/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155.27777777777777</v>
      </c>
      <c r="BN205" s="64">
        <f t="shared" si="12"/>
        <v>156.52000000000001</v>
      </c>
      <c r="BO205" s="64">
        <f t="shared" si="13"/>
        <v>0.21043771043771042</v>
      </c>
      <c r="BP205" s="64">
        <f t="shared" si="14"/>
        <v>0.21212121212121213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100</v>
      </c>
      <c r="Y206" s="546">
        <f t="shared" si="10"/>
        <v>102.60000000000001</v>
      </c>
      <c r="Z206" s="36">
        <f>IFERROR(IF(Y206=0,"",ROUNDUP(Y206/H206,0)*0.00902),"")</f>
        <v>0.17138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103.5185185185185</v>
      </c>
      <c r="BN206" s="64">
        <f t="shared" si="12"/>
        <v>106.21</v>
      </c>
      <c r="BO206" s="64">
        <f t="shared" si="13"/>
        <v>0.14029180695847362</v>
      </c>
      <c r="BP206" s="64">
        <f t="shared" si="14"/>
        <v>0.14393939393939395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15</v>
      </c>
      <c r="Y207" s="546">
        <f t="shared" si="10"/>
        <v>16.2</v>
      </c>
      <c r="Z207" s="36">
        <f>IFERROR(IF(Y207=0,"",ROUNDUP(Y207/H207,0)*0.00502),"")</f>
        <v>4.5179999999999998E-2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16.083333333333332</v>
      </c>
      <c r="BN207" s="64">
        <f t="shared" si="12"/>
        <v>17.369999999999997</v>
      </c>
      <c r="BO207" s="64">
        <f t="shared" si="13"/>
        <v>3.561253561253562E-2</v>
      </c>
      <c r="BP207" s="64">
        <f t="shared" si="14"/>
        <v>3.8461538461538464E-2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15</v>
      </c>
      <c r="Y208" s="546">
        <f t="shared" si="10"/>
        <v>16.2</v>
      </c>
      <c r="Z208" s="36">
        <f>IFERROR(IF(Y208=0,"",ROUNDUP(Y208/H208,0)*0.00502),"")</f>
        <v>4.5179999999999998E-2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15.833333333333332</v>
      </c>
      <c r="BN208" s="64">
        <f t="shared" si="12"/>
        <v>17.099999999999998</v>
      </c>
      <c r="BO208" s="64">
        <f t="shared" si="13"/>
        <v>3.561253561253562E-2</v>
      </c>
      <c r="BP208" s="64">
        <f t="shared" si="14"/>
        <v>3.8461538461538464E-2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30</v>
      </c>
      <c r="Y210" s="546">
        <f t="shared" si="10"/>
        <v>30.6</v>
      </c>
      <c r="Z210" s="36">
        <f>IFERROR(IF(Y210=0,"",ROUNDUP(Y210/H210,0)*0.00502),"")</f>
        <v>8.5339999999999999E-2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31.666666666666664</v>
      </c>
      <c r="BN210" s="64">
        <f t="shared" si="12"/>
        <v>32.299999999999997</v>
      </c>
      <c r="BO210" s="64">
        <f t="shared" si="13"/>
        <v>7.122507122507124E-2</v>
      </c>
      <c r="BP210" s="64">
        <f t="shared" si="14"/>
        <v>7.2649572649572655E-2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116.66666666666666</v>
      </c>
      <c r="Y211" s="547">
        <f>IFERROR(Y203/H203,"0")+IFERROR(Y204/H204,"0")+IFERROR(Y205/H205,"0")+IFERROR(Y206/H206,"0")+IFERROR(Y207/H207,"0")+IFERROR(Y208/H208,"0")+IFERROR(Y209/H209,"0")+IFERROR(Y210/H210,"0")</f>
        <v>120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0.94240000000000002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510</v>
      </c>
      <c r="Y212" s="547">
        <f>IFERROR(SUM(Y203:Y210),"0")</f>
        <v>522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150</v>
      </c>
      <c r="Y216" s="546">
        <f t="shared" si="15"/>
        <v>156.6</v>
      </c>
      <c r="Z216" s="36">
        <f>IFERROR(IF(Y216=0,"",ROUNDUP(Y216/H216,0)*0.01898),"")</f>
        <v>0.34164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158.51724137931038</v>
      </c>
      <c r="BN216" s="64">
        <f t="shared" si="17"/>
        <v>165.49200000000002</v>
      </c>
      <c r="BO216" s="64">
        <f t="shared" si="18"/>
        <v>0.26939655172413796</v>
      </c>
      <c r="BP216" s="64">
        <f t="shared" si="19"/>
        <v>0.28125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40</v>
      </c>
      <c r="Y217" s="546">
        <f t="shared" si="15"/>
        <v>40.799999999999997</v>
      </c>
      <c r="Z217" s="36">
        <f t="shared" ref="Z217:Z222" si="20">IFERROR(IF(Y217=0,"",ROUNDUP(Y217/H217,0)*0.00651),"")</f>
        <v>0.11067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44.5</v>
      </c>
      <c r="BN217" s="64">
        <f t="shared" si="17"/>
        <v>45.39</v>
      </c>
      <c r="BO217" s="64">
        <f t="shared" si="18"/>
        <v>9.1575091575091583E-2</v>
      </c>
      <c r="BP217" s="64">
        <f t="shared" si="19"/>
        <v>9.3406593406593408E-2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600</v>
      </c>
      <c r="Y219" s="546">
        <f t="shared" si="15"/>
        <v>600</v>
      </c>
      <c r="Z219" s="36">
        <f t="shared" si="20"/>
        <v>1.6274999999999999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663</v>
      </c>
      <c r="BN219" s="64">
        <f t="shared" si="17"/>
        <v>663</v>
      </c>
      <c r="BO219" s="64">
        <f t="shared" si="18"/>
        <v>1.3736263736263736</v>
      </c>
      <c r="BP219" s="64">
        <f t="shared" si="19"/>
        <v>1.3736263736263736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220</v>
      </c>
      <c r="Y220" s="546">
        <f t="shared" si="15"/>
        <v>220.79999999999998</v>
      </c>
      <c r="Z220" s="36">
        <f t="shared" si="20"/>
        <v>0.59892000000000001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243.10000000000002</v>
      </c>
      <c r="BN220" s="64">
        <f t="shared" si="17"/>
        <v>243.98400000000001</v>
      </c>
      <c r="BO220" s="64">
        <f t="shared" si="18"/>
        <v>0.50366300366300376</v>
      </c>
      <c r="BP220" s="64">
        <f t="shared" si="19"/>
        <v>0.50549450549450559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40</v>
      </c>
      <c r="Y221" s="546">
        <f t="shared" si="15"/>
        <v>40.799999999999997</v>
      </c>
      <c r="Z221" s="36">
        <f t="shared" si="20"/>
        <v>0.11067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44.20000000000001</v>
      </c>
      <c r="BN221" s="64">
        <f t="shared" si="17"/>
        <v>45.084000000000003</v>
      </c>
      <c r="BO221" s="64">
        <f t="shared" si="18"/>
        <v>9.1575091575091583E-2</v>
      </c>
      <c r="BP221" s="64">
        <f t="shared" si="19"/>
        <v>9.3406593406593408E-2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392.24137931034488</v>
      </c>
      <c r="Y223" s="547">
        <f>IFERROR(Y214/H214,"0")+IFERROR(Y215/H215,"0")+IFERROR(Y216/H216,"0")+IFERROR(Y217/H217,"0")+IFERROR(Y218/H218,"0")+IFERROR(Y219/H219,"0")+IFERROR(Y220/H220,"0")+IFERROR(Y221/H221,"0")+IFERROR(Y222/H222,"0")</f>
        <v>394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2.7894000000000001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1050</v>
      </c>
      <c r="Y224" s="547">
        <f>IFERROR(SUM(Y214:Y222),"0")</f>
        <v>1059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20</v>
      </c>
      <c r="Y279" s="546">
        <f>IFERROR(IF(X279="",0,CEILING((X279/$H279),1)*$H279),"")</f>
        <v>21.599999999999998</v>
      </c>
      <c r="Z279" s="36">
        <f>IFERROR(IF(Y279=0,"",ROUNDUP(Y279/H279,0)*0.00651),"")</f>
        <v>5.8590000000000003E-2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22.100000000000005</v>
      </c>
      <c r="BN279" s="64">
        <f>IFERROR(Y279*I279/H279,"0")</f>
        <v>23.868000000000002</v>
      </c>
      <c r="BO279" s="64">
        <f>IFERROR(1/J279*(X279/H279),"0")</f>
        <v>4.5787545787545791E-2</v>
      </c>
      <c r="BP279" s="64">
        <f>IFERROR(1/J279*(Y279/H279),"0")</f>
        <v>4.9450549450549455E-2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40</v>
      </c>
      <c r="Y280" s="546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43</v>
      </c>
      <c r="BN280" s="64">
        <f>IFERROR(Y280*I280/H280,"0")</f>
        <v>43.86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25</v>
      </c>
      <c r="Y281" s="547">
        <f>IFERROR(Y278/H278,"0")+IFERROR(Y279/H279,"0")+IFERROR(Y280/H280,"0")</f>
        <v>26</v>
      </c>
      <c r="Z281" s="547">
        <f>IFERROR(IF(Z278="",0,Z278),"0")+IFERROR(IF(Z279="",0,Z279),"0")+IFERROR(IF(Z280="",0,Z280),"0")</f>
        <v>0.16926000000000002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60</v>
      </c>
      <c r="Y282" s="547">
        <f>IFERROR(SUM(Y278:Y280),"0")</f>
        <v>62.399999999999991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350</v>
      </c>
      <c r="Y321" s="546">
        <f>IFERROR(IF(X321="",0,CEILING((X321/$H321),1)*$H321),"")</f>
        <v>351</v>
      </c>
      <c r="Z321" s="36">
        <f>IFERROR(IF(Y321=0,"",ROUNDUP(Y321/H321,0)*0.01898),"")</f>
        <v>0.85409999999999997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372.16666666666669</v>
      </c>
      <c r="BN321" s="64">
        <f>IFERROR(Y321*I321/H321,"0")</f>
        <v>373.23</v>
      </c>
      <c r="BO321" s="64">
        <f>IFERROR(1/J321*(X321/H321),"0")</f>
        <v>0.70112179487179493</v>
      </c>
      <c r="BP321" s="64">
        <f>IFERROR(1/J321*(Y321/H321),"0")</f>
        <v>0.703125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44.871794871794876</v>
      </c>
      <c r="Y323" s="547">
        <f>IFERROR(Y320/H320,"0")+IFERROR(Y321/H321,"0")+IFERROR(Y322/H322,"0")</f>
        <v>45</v>
      </c>
      <c r="Z323" s="547">
        <f>IFERROR(IF(Z320="",0,Z320),"0")+IFERROR(IF(Z321="",0,Z321),"0")+IFERROR(IF(Z322="",0,Z322),"0")</f>
        <v>0.85409999999999997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350</v>
      </c>
      <c r="Y324" s="547">
        <f>IFERROR(SUM(Y320:Y322),"0")</f>
        <v>351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53</v>
      </c>
      <c r="Y341" s="546">
        <f>IFERROR(IF(X341="",0,CEILING((X341/$H341),1)*$H341),"")</f>
        <v>54.6</v>
      </c>
      <c r="Z341" s="36">
        <f>IFERROR(IF(Y341=0,"",ROUNDUP(Y341/H341,0)*0.00651),"")</f>
        <v>0.16925999999999999</v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59.359999999999992</v>
      </c>
      <c r="BN341" s="64">
        <f>IFERROR(Y341*I341/H341,"0")</f>
        <v>61.151999999999994</v>
      </c>
      <c r="BO341" s="64">
        <f>IFERROR(1/J341*(X341/H341),"0")</f>
        <v>0.13867085295656725</v>
      </c>
      <c r="BP341" s="64">
        <f>IFERROR(1/J341*(Y341/H341),"0")</f>
        <v>0.14285714285714288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35</v>
      </c>
      <c r="Y342" s="546">
        <f>IFERROR(IF(X342="",0,CEILING((X342/$H342),1)*$H342),"")</f>
        <v>35.700000000000003</v>
      </c>
      <c r="Z342" s="36">
        <f>IFERROR(IF(Y342=0,"",ROUNDUP(Y342/H342,0)*0.00651),"")</f>
        <v>0.11067</v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38.999999999999993</v>
      </c>
      <c r="BN342" s="64">
        <f>IFERROR(Y342*I342/H342,"0")</f>
        <v>39.779999999999994</v>
      </c>
      <c r="BO342" s="64">
        <f>IFERROR(1/J342*(X342/H342),"0")</f>
        <v>9.1575091575091569E-2</v>
      </c>
      <c r="BP342" s="64">
        <f>IFERROR(1/J342*(Y342/H342),"0")</f>
        <v>9.3406593406593408E-2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41.904761904761898</v>
      </c>
      <c r="Y343" s="547">
        <f>IFERROR(Y340/H340,"0")+IFERROR(Y341/H341,"0")+IFERROR(Y342/H342,"0")</f>
        <v>43</v>
      </c>
      <c r="Z343" s="547">
        <f>IFERROR(IF(Z340="",0,Z340),"0")+IFERROR(IF(Z341="",0,Z341),"0")+IFERROR(IF(Z342="",0,Z342),"0")</f>
        <v>0.27993000000000001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88</v>
      </c>
      <c r="Y344" s="547">
        <f>IFERROR(SUM(Y340:Y342),"0")</f>
        <v>90.300000000000011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350</v>
      </c>
      <c r="Y348" s="546">
        <f t="shared" ref="Y348:Y354" si="31">IFERROR(IF(X348="",0,CEILING((X348/$H348),1)*$H348),"")</f>
        <v>360</v>
      </c>
      <c r="Z348" s="36">
        <f>IFERROR(IF(Y348=0,"",ROUNDUP(Y348/H348,0)*0.02175),"")</f>
        <v>0.52200000000000002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360.96666666666664</v>
      </c>
      <c r="BN348" s="64">
        <f t="shared" ref="BN348:BN354" si="33">IFERROR(Y348*I348/H348,"0")</f>
        <v>371.28</v>
      </c>
      <c r="BO348" s="64">
        <f t="shared" ref="BO348:BO354" si="34">IFERROR(1/J348*(X348/H348),"0")</f>
        <v>0.48611111111111105</v>
      </c>
      <c r="BP348" s="64">
        <f t="shared" ref="BP348:BP354" si="35">IFERROR(1/J348*(Y348/H348),"0")</f>
        <v>0.5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350</v>
      </c>
      <c r="Y349" s="546">
        <f t="shared" si="31"/>
        <v>360</v>
      </c>
      <c r="Z349" s="36">
        <f>IFERROR(IF(Y349=0,"",ROUNDUP(Y349/H349,0)*0.02175),"")</f>
        <v>0.52200000000000002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360.96666666666664</v>
      </c>
      <c r="BN349" s="64">
        <f t="shared" si="33"/>
        <v>371.28</v>
      </c>
      <c r="BO349" s="64">
        <f t="shared" si="34"/>
        <v>0.48611111111111105</v>
      </c>
      <c r="BP349" s="64">
        <f t="shared" si="35"/>
        <v>0.5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100</v>
      </c>
      <c r="Y350" s="546">
        <f t="shared" si="31"/>
        <v>105</v>
      </c>
      <c r="Z350" s="36">
        <f>IFERROR(IF(Y350=0,"",ROUNDUP(Y350/H350,0)*0.02175),"")</f>
        <v>0.15225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103.13333333333334</v>
      </c>
      <c r="BN350" s="64">
        <f t="shared" si="33"/>
        <v>108.29</v>
      </c>
      <c r="BO350" s="64">
        <f t="shared" si="34"/>
        <v>0.1388888888888889</v>
      </c>
      <c r="BP350" s="64">
        <f t="shared" si="35"/>
        <v>0.14583333333333331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53.333333333333329</v>
      </c>
      <c r="Y355" s="547">
        <f>IFERROR(Y348/H348,"0")+IFERROR(Y349/H349,"0")+IFERROR(Y350/H350,"0")+IFERROR(Y351/H351,"0")+IFERROR(Y352/H352,"0")+IFERROR(Y353/H353,"0")+IFERROR(Y354/H354,"0")</f>
        <v>55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1.19625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800</v>
      </c>
      <c r="Y356" s="547">
        <f>IFERROR(SUM(Y348:Y354),"0")</f>
        <v>825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710</v>
      </c>
      <c r="Y358" s="546">
        <f>IFERROR(IF(X358="",0,CEILING((X358/$H358),1)*$H358),"")</f>
        <v>720</v>
      </c>
      <c r="Z358" s="36">
        <f>IFERROR(IF(Y358=0,"",ROUNDUP(Y358/H358,0)*0.02175),"")</f>
        <v>1.044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732.24666666666667</v>
      </c>
      <c r="BN358" s="64">
        <f>IFERROR(Y358*I358/H358,"0")</f>
        <v>742.56</v>
      </c>
      <c r="BO358" s="64">
        <f>IFERROR(1/J358*(X358/H358),"0")</f>
        <v>0.98611111111111116</v>
      </c>
      <c r="BP358" s="64">
        <f>IFERROR(1/J358*(Y358/H358),"0")</f>
        <v>1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47.333333333333336</v>
      </c>
      <c r="Y360" s="547">
        <f>IFERROR(Y358/H358,"0")+IFERROR(Y359/H359,"0")</f>
        <v>48</v>
      </c>
      <c r="Z360" s="547">
        <f>IFERROR(IF(Z358="",0,Z358),"0")+IFERROR(IF(Z359="",0,Z359),"0")</f>
        <v>1.044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710</v>
      </c>
      <c r="Y361" s="547">
        <f>IFERROR(SUM(Y358:Y359),"0")</f>
        <v>720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50</v>
      </c>
      <c r="Y368" s="546">
        <f>IFERROR(IF(X368="",0,CEILING((X368/$H368),1)*$H368),"")</f>
        <v>54</v>
      </c>
      <c r="Z368" s="36">
        <f>IFERROR(IF(Y368=0,"",ROUNDUP(Y368/H368,0)*0.01898),"")</f>
        <v>0.11388000000000001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52.74444444444444</v>
      </c>
      <c r="BN368" s="64">
        <f>IFERROR(Y368*I368/H368,"0")</f>
        <v>56.963999999999992</v>
      </c>
      <c r="BO368" s="64">
        <f>IFERROR(1/J368*(X368/H368),"0")</f>
        <v>8.6805555555555552E-2</v>
      </c>
      <c r="BP368" s="64">
        <f>IFERROR(1/J368*(Y368/H368),"0")</f>
        <v>9.375E-2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5.5555555555555554</v>
      </c>
      <c r="Y369" s="547">
        <f>IFERROR(Y368/H368,"0")</f>
        <v>6</v>
      </c>
      <c r="Z369" s="547">
        <f>IFERROR(IF(Z368="",0,Z368),"0")</f>
        <v>0.11388000000000001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50</v>
      </c>
      <c r="Y370" s="547">
        <f>IFERROR(SUM(Y368:Y368),"0")</f>
        <v>54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1400</v>
      </c>
      <c r="Y383" s="546">
        <f>IFERROR(IF(X383="",0,CEILING((X383/$H383),1)*$H383),"")</f>
        <v>1404</v>
      </c>
      <c r="Z383" s="36">
        <f>IFERROR(IF(Y383=0,"",ROUNDUP(Y383/H383,0)*0.01898),"")</f>
        <v>2.96088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1476.8444444444444</v>
      </c>
      <c r="BN383" s="64">
        <f>IFERROR(Y383*I383/H383,"0")</f>
        <v>1481.0639999999999</v>
      </c>
      <c r="BO383" s="64">
        <f>IFERROR(1/J383*(X383/H383),"0")</f>
        <v>2.4305555555555554</v>
      </c>
      <c r="BP383" s="64">
        <f>IFERROR(1/J383*(Y383/H383),"0")</f>
        <v>2.4375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155.55555555555554</v>
      </c>
      <c r="Y386" s="547">
        <f>IFERROR(Y383/H383,"0")+IFERROR(Y384/H384,"0")+IFERROR(Y385/H385,"0")</f>
        <v>156</v>
      </c>
      <c r="Z386" s="547">
        <f>IFERROR(IF(Z383="",0,Z383),"0")+IFERROR(IF(Z384="",0,Z384),"0")+IFERROR(IF(Z385="",0,Z385),"0")</f>
        <v>2.96088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1400</v>
      </c>
      <c r="Y387" s="547">
        <f>IFERROR(SUM(Y383:Y385),"0")</f>
        <v>1404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150</v>
      </c>
      <c r="Y431" s="546">
        <f t="shared" si="42"/>
        <v>153.12</v>
      </c>
      <c r="Z431" s="36">
        <f t="shared" si="43"/>
        <v>0.34683999999999998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159.94318181818181</v>
      </c>
      <c r="BN431" s="64">
        <f t="shared" si="45"/>
        <v>163.26999999999998</v>
      </c>
      <c r="BO431" s="64">
        <f t="shared" si="46"/>
        <v>0.27316433566433568</v>
      </c>
      <c r="BP431" s="64">
        <f t="shared" si="47"/>
        <v>0.27884615384615385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28.409090909090907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29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0.34683999999999998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150</v>
      </c>
      <c r="Y440" s="547">
        <f>IFERROR(SUM(Y427:Y438),"0")</f>
        <v>153.12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350</v>
      </c>
      <c r="Y442" s="546">
        <f>IFERROR(IF(X442="",0,CEILING((X442/$H442),1)*$H442),"")</f>
        <v>353.76</v>
      </c>
      <c r="Z442" s="36">
        <f>IFERROR(IF(Y442=0,"",ROUNDUP(Y442/H442,0)*0.01196),"")</f>
        <v>0.80132000000000003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373.20075757575756</v>
      </c>
      <c r="BN442" s="64">
        <f>IFERROR(Y442*I442/H442,"0")</f>
        <v>377.21</v>
      </c>
      <c r="BO442" s="64">
        <f>IFERROR(1/J442*(X442/H442),"0")</f>
        <v>0.63738344988344986</v>
      </c>
      <c r="BP442" s="64">
        <f>IFERROR(1/J442*(Y442/H442),"0")</f>
        <v>0.64423076923076927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48</v>
      </c>
      <c r="Y444" s="546">
        <f>IFERROR(IF(X444="",0,CEILING((X444/$H444),1)*$H444),"")</f>
        <v>48</v>
      </c>
      <c r="Z444" s="36">
        <f>IFERROR(IF(Y444=0,"",ROUNDUP(Y444/H444,0)*0.00902),"")</f>
        <v>9.0200000000000002E-2</v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69.100000000000009</v>
      </c>
      <c r="BN444" s="64">
        <f>IFERROR(Y444*I444/H444,"0")</f>
        <v>69.100000000000009</v>
      </c>
      <c r="BO444" s="64">
        <f>IFERROR(1/J444*(X444/H444),"0")</f>
        <v>7.575757575757576E-2</v>
      </c>
      <c r="BP444" s="64">
        <f>IFERROR(1/J444*(Y444/H444),"0")</f>
        <v>7.575757575757576E-2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76.287878787878782</v>
      </c>
      <c r="Y445" s="547">
        <f>IFERROR(Y442/H442,"0")+IFERROR(Y443/H443,"0")+IFERROR(Y444/H444,"0")</f>
        <v>77</v>
      </c>
      <c r="Z445" s="547">
        <f>IFERROR(IF(Z442="",0,Z442),"0")+IFERROR(IF(Z443="",0,Z443),"0")+IFERROR(IF(Z444="",0,Z444),"0")</f>
        <v>0.89152000000000009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398</v>
      </c>
      <c r="Y446" s="547">
        <f>IFERROR(SUM(Y442:Y444),"0")</f>
        <v>401.76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50</v>
      </c>
      <c r="Y448" s="546">
        <f t="shared" ref="Y448:Y453" si="48">IFERROR(IF(X448="",0,CEILING((X448/$H448),1)*$H448),"")</f>
        <v>52.800000000000004</v>
      </c>
      <c r="Z448" s="36">
        <f>IFERROR(IF(Y448=0,"",ROUNDUP(Y448/H448,0)*0.01196),"")</f>
        <v>0.1196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53.314393939393938</v>
      </c>
      <c r="BN448" s="64">
        <f t="shared" ref="BN448:BN453" si="50">IFERROR(Y448*I448/H448,"0")</f>
        <v>56.3</v>
      </c>
      <c r="BO448" s="64">
        <f t="shared" ref="BO448:BO453" si="51">IFERROR(1/J448*(X448/H448),"0")</f>
        <v>9.1054778554778545E-2</v>
      </c>
      <c r="BP448" s="64">
        <f t="shared" ref="BP448:BP453" si="52">IFERROR(1/J448*(Y448/H448),"0")</f>
        <v>9.6153846153846159E-2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50</v>
      </c>
      <c r="Y449" s="546">
        <f t="shared" si="48"/>
        <v>52.800000000000004</v>
      </c>
      <c r="Z449" s="36">
        <f>IFERROR(IF(Y449=0,"",ROUNDUP(Y449/H449,0)*0.01196),"")</f>
        <v>0.1196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53.314393939393938</v>
      </c>
      <c r="BN449" s="64">
        <f t="shared" si="50"/>
        <v>56.3</v>
      </c>
      <c r="BO449" s="64">
        <f t="shared" si="51"/>
        <v>9.1054778554778545E-2</v>
      </c>
      <c r="BP449" s="64">
        <f t="shared" si="52"/>
        <v>9.6153846153846159E-2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200</v>
      </c>
      <c r="Y450" s="546">
        <f t="shared" si="48"/>
        <v>200.64000000000001</v>
      </c>
      <c r="Z450" s="36">
        <f>IFERROR(IF(Y450=0,"",ROUNDUP(Y450/H450,0)*0.01196),"")</f>
        <v>0.45448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213.25757575757575</v>
      </c>
      <c r="BN450" s="64">
        <f t="shared" si="50"/>
        <v>213.94</v>
      </c>
      <c r="BO450" s="64">
        <f t="shared" si="51"/>
        <v>0.36421911421911418</v>
      </c>
      <c r="BP450" s="64">
        <f t="shared" si="52"/>
        <v>0.36538461538461542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56.818181818181813</v>
      </c>
      <c r="Y454" s="547">
        <f>IFERROR(Y448/H448,"0")+IFERROR(Y449/H449,"0")+IFERROR(Y450/H450,"0")+IFERROR(Y451/H451,"0")+IFERROR(Y452/H452,"0")+IFERROR(Y453/H453,"0")</f>
        <v>58</v>
      </c>
      <c r="Z454" s="547">
        <f>IFERROR(IF(Z448="",0,Z448),"0")+IFERROR(IF(Z449="",0,Z449),"0")+IFERROR(IF(Z450="",0,Z450),"0")+IFERROR(IF(Z451="",0,Z451),"0")+IFERROR(IF(Z452="",0,Z452),"0")+IFERROR(IF(Z453="",0,Z453),"0")</f>
        <v>0.69367999999999996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300</v>
      </c>
      <c r="Y455" s="547">
        <f>IFERROR(SUM(Y448:Y453),"0")</f>
        <v>306.24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7710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7845.42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8170.486208430777</v>
      </c>
      <c r="Y489" s="547">
        <f>IFERROR(SUM(BN22:BN485),"0")</f>
        <v>8312.4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14</v>
      </c>
      <c r="Y490" s="38">
        <f>ROUNDUP(SUM(BP22:BP485),0)</f>
        <v>14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8520.486208430777</v>
      </c>
      <c r="Y491" s="547">
        <f>GrossWeightTotalR+PalletQtyTotalR*25</f>
        <v>8662.4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1457.044992363958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1477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16.375999999999998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189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226.8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254.4</v>
      </c>
      <c r="E498" s="46">
        <f>IFERROR(Y84*1,"0")+IFERROR(Y85*1,"0")+IFERROR(Y86*1,"0")+IFERROR(Y87*1,"0")+IFERROR(Y91*1,"0")+IFERROR(Y92*1,"0")+IFERROR(Y93*1,"0")+IFERROR(Y94*1,"0")</f>
        <v>475.2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469.79999999999995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470.4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1581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62.399999999999991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351</v>
      </c>
      <c r="R498" s="46">
        <f>IFERROR(Y340*1,"0")+IFERROR(Y341*1,"0")+IFERROR(Y342*1,"0")</f>
        <v>90.300000000000011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1599</v>
      </c>
      <c r="T498" s="46">
        <f>IFERROR(Y373*1,"0")+IFERROR(Y374*1,"0")+IFERROR(Y378*1,"0")+IFERROR(Y379*1,"0")+IFERROR(Y383*1,"0")+IFERROR(Y384*1,"0")+IFERROR(Y385*1,"0")</f>
        <v>1404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861.11999999999989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2026-01-28T09:24:07Z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