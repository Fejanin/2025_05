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597969D-58A6-46BA-83FC-89599A70A2E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7" i="1" s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498" i="1" s="1"/>
  <c r="P232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Y196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8" i="1" s="1"/>
  <c r="P142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F498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Y24" i="1" s="1"/>
  <c r="P22" i="1"/>
  <c r="H10" i="1"/>
  <c r="A9" i="1"/>
  <c r="H9" i="1" s="1"/>
  <c r="D7" i="1"/>
  <c r="Q6" i="1"/>
  <c r="P2" i="1"/>
  <c r="F10" i="1" l="1"/>
  <c r="J9" i="1"/>
  <c r="F9" i="1"/>
  <c r="A10" i="1"/>
  <c r="Y25" i="1"/>
  <c r="Y31" i="1"/>
  <c r="Y492" i="1" s="1"/>
  <c r="Y43" i="1"/>
  <c r="Y58" i="1"/>
  <c r="Y64" i="1"/>
  <c r="Y68" i="1"/>
  <c r="Y76" i="1"/>
  <c r="Y80" i="1"/>
  <c r="Y89" i="1"/>
  <c r="Y95" i="1"/>
  <c r="Y104" i="1"/>
  <c r="Y112" i="1"/>
  <c r="Y118" i="1"/>
  <c r="Y129" i="1"/>
  <c r="Y133" i="1"/>
  <c r="Y139" i="1"/>
  <c r="Y144" i="1"/>
  <c r="Y152" i="1"/>
  <c r="Y180" i="1"/>
  <c r="Y186" i="1"/>
  <c r="Y190" i="1"/>
  <c r="Y195" i="1"/>
  <c r="Y201" i="1"/>
  <c r="Y211" i="1"/>
  <c r="Y223" i="1"/>
  <c r="Y229" i="1"/>
  <c r="Y242" i="1"/>
  <c r="Y246" i="1"/>
  <c r="Y250" i="1"/>
  <c r="Y258" i="1"/>
  <c r="L498" i="1"/>
  <c r="Y266" i="1"/>
  <c r="BP263" i="1"/>
  <c r="BN263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BP342" i="1"/>
  <c r="BN342" i="1"/>
  <c r="Z342" i="1"/>
  <c r="Y344" i="1"/>
  <c r="Y355" i="1"/>
  <c r="BP348" i="1"/>
  <c r="BN348" i="1"/>
  <c r="Z348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BP385" i="1"/>
  <c r="BN385" i="1"/>
  <c r="Z385" i="1"/>
  <c r="Y387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B498" i="1"/>
  <c r="J498" i="1"/>
  <c r="S498" i="1"/>
  <c r="X489" i="1"/>
  <c r="X490" i="1"/>
  <c r="Z23" i="1"/>
  <c r="Z24" i="1" s="1"/>
  <c r="BN23" i="1"/>
  <c r="Y489" i="1" s="1"/>
  <c r="X488" i="1"/>
  <c r="Z27" i="1"/>
  <c r="BN27" i="1"/>
  <c r="BP27" i="1"/>
  <c r="Y490" i="1" s="1"/>
  <c r="Z29" i="1"/>
  <c r="BN29" i="1"/>
  <c r="C498" i="1"/>
  <c r="Z41" i="1"/>
  <c r="Z43" i="1" s="1"/>
  <c r="BN41" i="1"/>
  <c r="Y44" i="1"/>
  <c r="D498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8" i="1" s="1"/>
  <c r="BN66" i="1"/>
  <c r="BP66" i="1"/>
  <c r="Z72" i="1"/>
  <c r="Z75" i="1" s="1"/>
  <c r="BN72" i="1"/>
  <c r="Z74" i="1"/>
  <c r="BN74" i="1"/>
  <c r="Z78" i="1"/>
  <c r="Z80" i="1" s="1"/>
  <c r="BN78" i="1"/>
  <c r="BP78" i="1"/>
  <c r="E498" i="1"/>
  <c r="Z85" i="1"/>
  <c r="Z88" i="1" s="1"/>
  <c r="BN85" i="1"/>
  <c r="Z87" i="1"/>
  <c r="BN87" i="1"/>
  <c r="Y88" i="1"/>
  <c r="Z91" i="1"/>
  <c r="BN91" i="1"/>
  <c r="BP91" i="1"/>
  <c r="Z93" i="1"/>
  <c r="BN93" i="1"/>
  <c r="Z100" i="1"/>
  <c r="Z104" i="1" s="1"/>
  <c r="BN100" i="1"/>
  <c r="Z102" i="1"/>
  <c r="BN102" i="1"/>
  <c r="Y105" i="1"/>
  <c r="Z108" i="1"/>
  <c r="Z111" i="1" s="1"/>
  <c r="BN108" i="1"/>
  <c r="Z110" i="1"/>
  <c r="BN110" i="1"/>
  <c r="Z114" i="1"/>
  <c r="BN114" i="1"/>
  <c r="BP114" i="1"/>
  <c r="Z116" i="1"/>
  <c r="BN116" i="1"/>
  <c r="G498" i="1"/>
  <c r="Z127" i="1"/>
  <c r="Z128" i="1" s="1"/>
  <c r="BN127" i="1"/>
  <c r="Y128" i="1"/>
  <c r="Z131" i="1"/>
  <c r="Z133" i="1" s="1"/>
  <c r="BN131" i="1"/>
  <c r="BP131" i="1"/>
  <c r="Z137" i="1"/>
  <c r="Z138" i="1" s="1"/>
  <c r="BN137" i="1"/>
  <c r="Z142" i="1"/>
  <c r="Z144" i="1" s="1"/>
  <c r="BN142" i="1"/>
  <c r="BP142" i="1"/>
  <c r="Y145" i="1"/>
  <c r="Z148" i="1"/>
  <c r="Z152" i="1" s="1"/>
  <c r="BN148" i="1"/>
  <c r="Z150" i="1"/>
  <c r="BN150" i="1"/>
  <c r="I498" i="1"/>
  <c r="Y163" i="1"/>
  <c r="Z166" i="1"/>
  <c r="Z179" i="1" s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Z199" i="1"/>
  <c r="Z200" i="1" s="1"/>
  <c r="BN199" i="1"/>
  <c r="Z203" i="1"/>
  <c r="Z211" i="1" s="1"/>
  <c r="BN203" i="1"/>
  <c r="BP203" i="1"/>
  <c r="Z205" i="1"/>
  <c r="BN205" i="1"/>
  <c r="Z207" i="1"/>
  <c r="BN207" i="1"/>
  <c r="Z209" i="1"/>
  <c r="BN209" i="1"/>
  <c r="Z215" i="1"/>
  <c r="Z223" i="1" s="1"/>
  <c r="BN215" i="1"/>
  <c r="Z217" i="1"/>
  <c r="BN217" i="1"/>
  <c r="Z219" i="1"/>
  <c r="BN219" i="1"/>
  <c r="Z221" i="1"/>
  <c r="BN221" i="1"/>
  <c r="Z227" i="1"/>
  <c r="Z228" i="1" s="1"/>
  <c r="BN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BN252" i="1"/>
  <c r="BP252" i="1"/>
  <c r="Z254" i="1"/>
  <c r="BN254" i="1"/>
  <c r="Z256" i="1"/>
  <c r="BN256" i="1"/>
  <c r="Z261" i="1"/>
  <c r="Z266" i="1" s="1"/>
  <c r="BN261" i="1"/>
  <c r="BP261" i="1"/>
  <c r="Z263" i="1"/>
  <c r="BP272" i="1"/>
  <c r="BN272" i="1"/>
  <c r="Z272" i="1"/>
  <c r="Y282" i="1"/>
  <c r="Y281" i="1"/>
  <c r="BP286" i="1"/>
  <c r="BN286" i="1"/>
  <c r="Z286" i="1"/>
  <c r="Z287" i="1" s="1"/>
  <c r="Y288" i="1"/>
  <c r="Y293" i="1"/>
  <c r="BP290" i="1"/>
  <c r="BN290" i="1"/>
  <c r="Z290" i="1"/>
  <c r="Z292" i="1" s="1"/>
  <c r="Q498" i="1"/>
  <c r="BP299" i="1"/>
  <c r="BN299" i="1"/>
  <c r="Z299" i="1"/>
  <c r="Y310" i="1"/>
  <c r="BP307" i="1"/>
  <c r="BN307" i="1"/>
  <c r="Z307" i="1"/>
  <c r="BP315" i="1"/>
  <c r="BN315" i="1"/>
  <c r="Z315" i="1"/>
  <c r="Y324" i="1"/>
  <c r="Y323" i="1"/>
  <c r="BP327" i="1"/>
  <c r="BN327" i="1"/>
  <c r="Z327" i="1"/>
  <c r="Z330" i="1" s="1"/>
  <c r="BP335" i="1"/>
  <c r="BN335" i="1"/>
  <c r="Z335" i="1"/>
  <c r="Y337" i="1"/>
  <c r="R498" i="1"/>
  <c r="Y343" i="1"/>
  <c r="BP340" i="1"/>
  <c r="BN340" i="1"/>
  <c r="Z340" i="1"/>
  <c r="Z343" i="1" s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Y365" i="1"/>
  <c r="Y375" i="1"/>
  <c r="BP379" i="1"/>
  <c r="BN379" i="1"/>
  <c r="Z379" i="1"/>
  <c r="Z380" i="1" s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Y405" i="1"/>
  <c r="Z417" i="1"/>
  <c r="BP414" i="1"/>
  <c r="BN414" i="1"/>
  <c r="Z414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BP460" i="1"/>
  <c r="BN460" i="1"/>
  <c r="Z460" i="1"/>
  <c r="Z463" i="1" s="1"/>
  <c r="Y498" i="1"/>
  <c r="Y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Z454" i="1" s="1"/>
  <c r="BP452" i="1"/>
  <c r="BN452" i="1"/>
  <c r="Z452" i="1"/>
  <c r="Y463" i="1"/>
  <c r="BP462" i="1"/>
  <c r="BN462" i="1"/>
  <c r="Z462" i="1"/>
  <c r="Y469" i="1"/>
  <c r="BP466" i="1"/>
  <c r="BN466" i="1"/>
  <c r="Z466" i="1"/>
  <c r="Z468" i="1" s="1"/>
  <c r="Y481" i="1"/>
  <c r="Y439" i="1"/>
  <c r="Y491" i="1" l="1"/>
  <c r="X491" i="1"/>
  <c r="Z317" i="1"/>
  <c r="Z439" i="1"/>
  <c r="Z445" i="1"/>
  <c r="Z257" i="1"/>
  <c r="Z241" i="1"/>
  <c r="Z185" i="1"/>
  <c r="Z118" i="1"/>
  <c r="Z95" i="1"/>
  <c r="Z31" i="1"/>
  <c r="Z493" i="1" s="1"/>
  <c r="Z400" i="1"/>
  <c r="Z355" i="1"/>
  <c r="Z336" i="1"/>
  <c r="Z274" i="1"/>
  <c r="Y488" i="1"/>
</calcChain>
</file>

<file path=xl/sharedStrings.xml><?xml version="1.0" encoding="utf-8"?>
<sst xmlns="http://schemas.openxmlformats.org/spreadsheetml/2006/main" count="2283" uniqueCount="767">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</sst>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73</v>
      </c>
      <c r="Y40" s="546">
        <f>IFERROR(IF(X40="",0,CEILING((X40/$H40),1)*$H40),"")</f>
        <v>75.600000000000009</v>
      </c>
      <c r="Z40" s="36">
        <f>IFERROR(IF(Y40=0,"",ROUNDUP(Y40/H40,0)*0.01898),"")</f>
        <v>0.13286000000000001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75.771296296296299</v>
      </c>
      <c r="BN40" s="64">
        <f>IFERROR(Y40*I40/H40,"0")</f>
        <v>78.47</v>
      </c>
      <c r="BO40" s="64">
        <f>IFERROR(1/J40*(X40/H40),"0")</f>
        <v>0.10561342592592592</v>
      </c>
      <c r="BP40" s="64">
        <f>IFERROR(1/J40*(Y40/H40),"0")</f>
        <v>0.109375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6.7592592592592586</v>
      </c>
      <c r="Y43" s="547">
        <f>IFERROR(Y40/H40,"0")+IFERROR(Y41/H41,"0")+IFERROR(Y42/H42,"0")</f>
        <v>7</v>
      </c>
      <c r="Z43" s="547">
        <f>IFERROR(IF(Z40="",0,Z40),"0")+IFERROR(IF(Z41="",0,Z41),"0")+IFERROR(IF(Z42="",0,Z42),"0")</f>
        <v>0.13286000000000001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73</v>
      </c>
      <c r="Y44" s="547">
        <f>IFERROR(SUM(Y40:Y42),"0")</f>
        <v>75.600000000000009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135</v>
      </c>
      <c r="Y56" s="546">
        <f t="shared" si="0"/>
        <v>135</v>
      </c>
      <c r="Z56" s="36">
        <f>IFERROR(IF(Y56=0,"",ROUNDUP(Y56/H56,0)*0.00902),"")</f>
        <v>0.27060000000000001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140.70000000000002</v>
      </c>
      <c r="BN56" s="64">
        <f t="shared" si="2"/>
        <v>140.70000000000002</v>
      </c>
      <c r="BO56" s="64">
        <f t="shared" si="3"/>
        <v>0.22727272727272729</v>
      </c>
      <c r="BP56" s="64">
        <f t="shared" si="4"/>
        <v>0.22727272727272729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30</v>
      </c>
      <c r="Y57" s="547">
        <f>IFERROR(Y51/H51,"0")+IFERROR(Y52/H52,"0")+IFERROR(Y53/H53,"0")+IFERROR(Y54/H54,"0")+IFERROR(Y55/H55,"0")+IFERROR(Y56/H56,"0")</f>
        <v>30</v>
      </c>
      <c r="Z57" s="547">
        <f>IFERROR(IF(Z51="",0,Z51),"0")+IFERROR(IF(Z52="",0,Z52),"0")+IFERROR(IF(Z53="",0,Z53),"0")+IFERROR(IF(Z54="",0,Z54),"0")+IFERROR(IF(Z55="",0,Z55),"0")+IFERROR(IF(Z56="",0,Z56),"0")</f>
        <v>0.27060000000000001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135</v>
      </c>
      <c r="Y58" s="547">
        <f>IFERROR(SUM(Y51:Y56),"0")</f>
        <v>135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34</v>
      </c>
      <c r="Y60" s="546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35.290740740740745</v>
      </c>
      <c r="BN60" s="64">
        <f>IFERROR(Y60*I60/H60,"0")</f>
        <v>44.84</v>
      </c>
      <c r="BO60" s="64">
        <f>IFERROR(1/J60*(X60/H60),"0")</f>
        <v>4.9189814814814811E-2</v>
      </c>
      <c r="BP60" s="64">
        <f>IFERROR(1/J60*(Y60/H60),"0")</f>
        <v>6.25E-2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3.1481481481481479</v>
      </c>
      <c r="Y63" s="547">
        <f>IFERROR(Y60/H60,"0")+IFERROR(Y61/H61,"0")+IFERROR(Y62/H62,"0")</f>
        <v>4</v>
      </c>
      <c r="Z63" s="547">
        <f>IFERROR(IF(Z60="",0,Z60),"0")+IFERROR(IF(Z61="",0,Z61),"0")+IFERROR(IF(Z62="",0,Z62),"0")</f>
        <v>7.5920000000000001E-2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34</v>
      </c>
      <c r="Y64" s="547">
        <f>IFERROR(SUM(Y60:Y62),"0")</f>
        <v>43.2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118</v>
      </c>
      <c r="Y84" s="546">
        <f>IFERROR(IF(X84="",0,CEILING((X84/$H84),1)*$H84),"")</f>
        <v>118.80000000000001</v>
      </c>
      <c r="Z84" s="36">
        <f>IFERROR(IF(Y84=0,"",ROUNDUP(Y84/H84,0)*0.01898),"")</f>
        <v>0.20877999999999999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122.47962962962964</v>
      </c>
      <c r="BN84" s="64">
        <f>IFERROR(Y84*I84/H84,"0")</f>
        <v>123.31000000000002</v>
      </c>
      <c r="BO84" s="64">
        <f>IFERROR(1/J84*(X84/H84),"0")</f>
        <v>0.17071759259259259</v>
      </c>
      <c r="BP84" s="64">
        <f>IFERROR(1/J84*(Y84/H84),"0")</f>
        <v>0.171875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96</v>
      </c>
      <c r="Y87" s="546">
        <f>IFERROR(IF(X87="",0,CEILING((X87/$H87),1)*$H87),"")</f>
        <v>99</v>
      </c>
      <c r="Z87" s="36">
        <f>IFERROR(IF(Y87=0,"",ROUNDUP(Y87/H87,0)*0.00902),"")</f>
        <v>0.19844000000000001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100.05333333333334</v>
      </c>
      <c r="BN87" s="64">
        <f>IFERROR(Y87*I87/H87,"0")</f>
        <v>103.18</v>
      </c>
      <c r="BO87" s="64">
        <f>IFERROR(1/J87*(X87/H87),"0")</f>
        <v>0.1616161616161616</v>
      </c>
      <c r="BP87" s="64">
        <f>IFERROR(1/J87*(Y87/H87),"0")</f>
        <v>0.16666666666666669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32.25925925925926</v>
      </c>
      <c r="Y88" s="547">
        <f>IFERROR(Y84/H84,"0")+IFERROR(Y85/H85,"0")+IFERROR(Y86/H86,"0")+IFERROR(Y87/H87,"0")</f>
        <v>33</v>
      </c>
      <c r="Z88" s="547">
        <f>IFERROR(IF(Z84="",0,Z84),"0")+IFERROR(IF(Z85="",0,Z85),"0")+IFERROR(IF(Z86="",0,Z86),"0")+IFERROR(IF(Z87="",0,Z87),"0")</f>
        <v>0.40722000000000003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214</v>
      </c>
      <c r="Y89" s="547">
        <f>IFERROR(SUM(Y84:Y87),"0")</f>
        <v>217.8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271</v>
      </c>
      <c r="Y91" s="546">
        <f>IFERROR(IF(X91="",0,CEILING((X91/$H91),1)*$H91),"")</f>
        <v>275.39999999999998</v>
      </c>
      <c r="Z91" s="36">
        <f>IFERROR(IF(Y91=0,"",ROUNDUP(Y91/H91,0)*0.01898),"")</f>
        <v>0.64532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287.52765432098761</v>
      </c>
      <c r="BN91" s="64">
        <f>IFERROR(Y91*I91/H91,"0")</f>
        <v>292.19599999999997</v>
      </c>
      <c r="BO91" s="64">
        <f>IFERROR(1/J91*(X91/H91),"0")</f>
        <v>0.52276234567901236</v>
      </c>
      <c r="BP91" s="64">
        <f>IFERROR(1/J91*(Y91/H91),"0")</f>
        <v>0.53125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157</v>
      </c>
      <c r="Y93" s="546">
        <f>IFERROR(IF(X93="",0,CEILING((X93/$H93),1)*$H93),"")</f>
        <v>159.30000000000001</v>
      </c>
      <c r="Z93" s="36">
        <f>IFERROR(IF(Y93=0,"",ROUNDUP(Y93/H93,0)*0.00651),"")</f>
        <v>0.38408999999999999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171.65333333333331</v>
      </c>
      <c r="BN93" s="64">
        <f>IFERROR(Y93*I93/H93,"0")</f>
        <v>174.16799999999998</v>
      </c>
      <c r="BO93" s="64">
        <f>IFERROR(1/J93*(X93/H93),"0")</f>
        <v>0.31949531949531951</v>
      </c>
      <c r="BP93" s="64">
        <f>IFERROR(1/J93*(Y93/H93),"0")</f>
        <v>0.32417582417582419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91.604938271604937</v>
      </c>
      <c r="Y95" s="547">
        <f>IFERROR(Y91/H91,"0")+IFERROR(Y92/H92,"0")+IFERROR(Y93/H93,"0")+IFERROR(Y94/H94,"0")</f>
        <v>93</v>
      </c>
      <c r="Z95" s="547">
        <f>IFERROR(IF(Z91="",0,Z91),"0")+IFERROR(IF(Z92="",0,Z92),"0")+IFERROR(IF(Z93="",0,Z93),"0")+IFERROR(IF(Z94="",0,Z94),"0")</f>
        <v>1.0294099999999999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428</v>
      </c>
      <c r="Y96" s="547">
        <f>IFERROR(SUM(Y91:Y94),"0")</f>
        <v>434.7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16</v>
      </c>
      <c r="Y110" s="546">
        <f>IFERROR(IF(X110="",0,CEILING((X110/$H110),1)*$H110),"")</f>
        <v>16.8</v>
      </c>
      <c r="Z110" s="36">
        <f>IFERROR(IF(Y110=0,"",ROUNDUP(Y110/H110,0)*0.00651),"")</f>
        <v>4.5569999999999999E-2</v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17.200000000000003</v>
      </c>
      <c r="BN110" s="64">
        <f>IFERROR(Y110*I110/H110,"0")</f>
        <v>18.060000000000002</v>
      </c>
      <c r="BO110" s="64">
        <f>IFERROR(1/J110*(X110/H110),"0")</f>
        <v>3.6630036630036632E-2</v>
      </c>
      <c r="BP110" s="64">
        <f>IFERROR(1/J110*(Y110/H110),"0")</f>
        <v>3.8461538461538471E-2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6.666666666666667</v>
      </c>
      <c r="Y111" s="547">
        <f>IFERROR(Y107/H107,"0")+IFERROR(Y108/H108,"0")+IFERROR(Y109/H109,"0")+IFERROR(Y110/H110,"0")</f>
        <v>7.0000000000000009</v>
      </c>
      <c r="Z111" s="547">
        <f>IFERROR(IF(Z107="",0,Z107),"0")+IFERROR(IF(Z108="",0,Z108),"0")+IFERROR(IF(Z109="",0,Z109),"0")+IFERROR(IF(Z110="",0,Z110),"0")</f>
        <v>4.5569999999999999E-2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16</v>
      </c>
      <c r="Y112" s="547">
        <f>IFERROR(SUM(Y107:Y110),"0")</f>
        <v>16.8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555</v>
      </c>
      <c r="Y114" s="546">
        <f>IFERROR(IF(X114="",0,CEILING((X114/$H114),1)*$H114),"")</f>
        <v>558.9</v>
      </c>
      <c r="Z114" s="36">
        <f>IFERROR(IF(Y114=0,"",ROUNDUP(Y114/H114,0)*0.01898),"")</f>
        <v>1.30962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588.43703703703693</v>
      </c>
      <c r="BN114" s="64">
        <f>IFERROR(Y114*I114/H114,"0")</f>
        <v>592.57199999999989</v>
      </c>
      <c r="BO114" s="64">
        <f>IFERROR(1/J114*(X114/H114),"0")</f>
        <v>1.0706018518518519</v>
      </c>
      <c r="BP114" s="64">
        <f>IFERROR(1/J114*(Y114/H114),"0")</f>
        <v>1.078125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239</v>
      </c>
      <c r="Y116" s="546">
        <f>IFERROR(IF(X116="",0,CEILING((X116/$H116),1)*$H116),"")</f>
        <v>240.3</v>
      </c>
      <c r="Z116" s="36">
        <f>IFERROR(IF(Y116=0,"",ROUNDUP(Y116/H116,0)*0.00651),"")</f>
        <v>0.57938999999999996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261.30666666666667</v>
      </c>
      <c r="BN116" s="64">
        <f>IFERROR(Y116*I116/H116,"0")</f>
        <v>262.72799999999995</v>
      </c>
      <c r="BO116" s="64">
        <f>IFERROR(1/J116*(X116/H116),"0")</f>
        <v>0.48636548636548643</v>
      </c>
      <c r="BP116" s="64">
        <f>IFERROR(1/J116*(Y116/H116),"0")</f>
        <v>0.48901098901098905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157.03703703703704</v>
      </c>
      <c r="Y118" s="547">
        <f>IFERROR(Y114/H114,"0")+IFERROR(Y115/H115,"0")+IFERROR(Y116/H116,"0")+IFERROR(Y117/H117,"0")</f>
        <v>158</v>
      </c>
      <c r="Z118" s="547">
        <f>IFERROR(IF(Z114="",0,Z114),"0")+IFERROR(IF(Z115="",0,Z115),"0")+IFERROR(IF(Z116="",0,Z116),"0")+IFERROR(IF(Z117="",0,Z117),"0")</f>
        <v>1.8890099999999999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794</v>
      </c>
      <c r="Y119" s="547">
        <f>IFERROR(SUM(Y114:Y117),"0")</f>
        <v>799.2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19</v>
      </c>
      <c r="Y165" s="546">
        <f t="shared" ref="Y165:Y178" si="5">IFERROR(IF(X165="",0,CEILING((X165/$H165),1)*$H165),"")</f>
        <v>21</v>
      </c>
      <c r="Z165" s="36">
        <f>IFERROR(IF(Y165=0,"",ROUNDUP(Y165/H165,0)*0.00902),"")</f>
        <v>4.5100000000000001E-2</v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20.13095238095238</v>
      </c>
      <c r="BN165" s="64">
        <f t="shared" ref="BN165:BN178" si="7">IFERROR(Y165*I165/H165,"0")</f>
        <v>22.25</v>
      </c>
      <c r="BO165" s="64">
        <f t="shared" ref="BO165:BO178" si="8">IFERROR(1/J165*(X165/H165),"0")</f>
        <v>3.4271284271284272E-2</v>
      </c>
      <c r="BP165" s="64">
        <f t="shared" ref="BP165:BP178" si="9">IFERROR(1/J165*(Y165/H165),"0")</f>
        <v>3.787878787878788E-2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39</v>
      </c>
      <c r="Y169" s="546">
        <f t="shared" si="5"/>
        <v>39.9</v>
      </c>
      <c r="Z169" s="36">
        <f>IFERROR(IF(Y169=0,"",ROUNDUP(Y169/H169,0)*0.00502),"")</f>
        <v>9.5380000000000006E-2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41.414285714285711</v>
      </c>
      <c r="BN169" s="64">
        <f t="shared" si="7"/>
        <v>42.36999999999999</v>
      </c>
      <c r="BO169" s="64">
        <f t="shared" si="8"/>
        <v>7.9365079365079361E-2</v>
      </c>
      <c r="BP169" s="64">
        <f t="shared" si="9"/>
        <v>8.11965811965812E-2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418</v>
      </c>
      <c r="Y176" s="546">
        <f t="shared" si="5"/>
        <v>420</v>
      </c>
      <c r="Z176" s="36">
        <f>IFERROR(IF(Y176=0,"",ROUNDUP(Y176/H176,0)*0.00502),"")</f>
        <v>1.004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437.90476190476187</v>
      </c>
      <c r="BN176" s="64">
        <f t="shared" si="7"/>
        <v>440.00000000000006</v>
      </c>
      <c r="BO176" s="64">
        <f t="shared" si="8"/>
        <v>0.85063085063085064</v>
      </c>
      <c r="BP176" s="64">
        <f t="shared" si="9"/>
        <v>0.85470085470085477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222.14285714285714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224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1.1444799999999999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476</v>
      </c>
      <c r="Y180" s="547">
        <f>IFERROR(SUM(Y165:Y178),"0")</f>
        <v>480.9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6</v>
      </c>
      <c r="Y183" s="546">
        <f>IFERROR(IF(X183="",0,CEILING((X183/$H183),1)*$H183),"")</f>
        <v>6.3</v>
      </c>
      <c r="Z183" s="36">
        <f>IFERROR(IF(Y183=0,"",ROUNDUP(Y183/H183,0)*0.0059),"")</f>
        <v>2.9499999999999998E-2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6.9047619047619042</v>
      </c>
      <c r="BN183" s="64">
        <f>IFERROR(Y183*I183/H183,"0")</f>
        <v>7.25</v>
      </c>
      <c r="BO183" s="64">
        <f>IFERROR(1/J183*(X183/H183),"0")</f>
        <v>2.2045855379188711E-2</v>
      </c>
      <c r="BP183" s="64">
        <f>IFERROR(1/J183*(Y183/H183),"0")</f>
        <v>2.3148148148148147E-2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13</v>
      </c>
      <c r="Y184" s="546">
        <f>IFERROR(IF(X184="",0,CEILING((X184/$H184),1)*$H184),"")</f>
        <v>13.86</v>
      </c>
      <c r="Z184" s="36">
        <f>IFERROR(IF(Y184=0,"",ROUNDUP(Y184/H184,0)*0.0059),"")</f>
        <v>6.4899999999999999E-2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14.960317460317459</v>
      </c>
      <c r="BN184" s="64">
        <f>IFERROR(Y184*I184/H184,"0")</f>
        <v>15.949999999999998</v>
      </c>
      <c r="BO184" s="64">
        <f>IFERROR(1/J184*(X184/H184),"0")</f>
        <v>4.776601998824221E-2</v>
      </c>
      <c r="BP184" s="64">
        <f>IFERROR(1/J184*(Y184/H184),"0")</f>
        <v>5.0925925925925923E-2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15.079365079365079</v>
      </c>
      <c r="Y185" s="547">
        <f>IFERROR(Y182/H182,"0")+IFERROR(Y183/H183,"0")+IFERROR(Y184/H184,"0")</f>
        <v>16</v>
      </c>
      <c r="Z185" s="547">
        <f>IFERROR(IF(Z182="",0,Z182),"0")+IFERROR(IF(Z183="",0,Z183),"0")+IFERROR(IF(Z184="",0,Z184),"0")</f>
        <v>9.4399999999999998E-2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19</v>
      </c>
      <c r="Y186" s="547">
        <f>IFERROR(SUM(Y182:Y184),"0")</f>
        <v>20.16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5</v>
      </c>
      <c r="Y188" s="546">
        <f>IFERROR(IF(X188="",0,CEILING((X188/$H188),1)*$H188),"")</f>
        <v>5.04</v>
      </c>
      <c r="Z188" s="36">
        <f>IFERROR(IF(Y188=0,"",ROUNDUP(Y188/H188,0)*0.0059),"")</f>
        <v>2.3599999999999999E-2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5.753968253968254</v>
      </c>
      <c r="BN188" s="64">
        <f>IFERROR(Y188*I188/H188,"0")</f>
        <v>5.8</v>
      </c>
      <c r="BO188" s="64">
        <f>IFERROR(1/J188*(X188/H188),"0")</f>
        <v>1.8371546149323927E-2</v>
      </c>
      <c r="BP188" s="64">
        <f>IFERROR(1/J188*(Y188/H188),"0")</f>
        <v>1.8518518518518517E-2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3.9682539682539684</v>
      </c>
      <c r="Y189" s="547">
        <f>IFERROR(Y188/H188,"0")</f>
        <v>4</v>
      </c>
      <c r="Z189" s="547">
        <f>IFERROR(IF(Z188="",0,Z188),"0")</f>
        <v>2.3599999999999999E-2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5</v>
      </c>
      <c r="Y190" s="547">
        <f>IFERROR(SUM(Y188:Y188),"0")</f>
        <v>5.04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62</v>
      </c>
      <c r="Y204" s="546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64.18148148148147</v>
      </c>
      <c r="BN204" s="64">
        <f t="shared" si="12"/>
        <v>67.08</v>
      </c>
      <c r="BO204" s="64">
        <f t="shared" si="13"/>
        <v>8.698092031425364E-2</v>
      </c>
      <c r="BP204" s="64">
        <f t="shared" si="14"/>
        <v>9.0909090909090925E-2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200</v>
      </c>
      <c r="Y205" s="546">
        <f t="shared" si="10"/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207.03703703703701</v>
      </c>
      <c r="BN205" s="64">
        <f t="shared" si="12"/>
        <v>212.42</v>
      </c>
      <c r="BO205" s="64">
        <f t="shared" si="13"/>
        <v>0.28058361391694725</v>
      </c>
      <c r="BP205" s="64">
        <f t="shared" si="14"/>
        <v>0.2878787878787879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21</v>
      </c>
      <c r="Y207" s="546">
        <f t="shared" si="10"/>
        <v>21.6</v>
      </c>
      <c r="Z207" s="36">
        <f>IFERROR(IF(Y207=0,"",ROUNDUP(Y207/H207,0)*0.00502),"")</f>
        <v>6.0240000000000002E-2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22.516666666666666</v>
      </c>
      <c r="BN207" s="64">
        <f t="shared" si="12"/>
        <v>23.16</v>
      </c>
      <c r="BO207" s="64">
        <f t="shared" si="13"/>
        <v>4.9857549857549859E-2</v>
      </c>
      <c r="BP207" s="64">
        <f t="shared" si="14"/>
        <v>5.1282051282051287E-2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8</v>
      </c>
      <c r="Y208" s="546">
        <f t="shared" si="10"/>
        <v>9</v>
      </c>
      <c r="Z208" s="36">
        <f>IFERROR(IF(Y208=0,"",ROUNDUP(Y208/H208,0)*0.00502),"")</f>
        <v>2.5100000000000001E-2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8.4444444444444446</v>
      </c>
      <c r="BN208" s="64">
        <f t="shared" si="12"/>
        <v>9.4999999999999982</v>
      </c>
      <c r="BO208" s="64">
        <f t="shared" si="13"/>
        <v>1.8993352326685663E-2</v>
      </c>
      <c r="BP208" s="64">
        <f t="shared" si="14"/>
        <v>2.1367521367521368E-2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32</v>
      </c>
      <c r="Y210" s="546">
        <f t="shared" si="10"/>
        <v>32.4</v>
      </c>
      <c r="Z210" s="36">
        <f>IFERROR(IF(Y210=0,"",ROUNDUP(Y210/H210,0)*0.00502),"")</f>
        <v>9.0359999999999996E-2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33.777777777777779</v>
      </c>
      <c r="BN210" s="64">
        <f t="shared" si="12"/>
        <v>34.199999999999996</v>
      </c>
      <c r="BO210" s="64">
        <f t="shared" si="13"/>
        <v>7.5973409306742651E-2</v>
      </c>
      <c r="BP210" s="64">
        <f t="shared" si="14"/>
        <v>7.6923076923076927E-2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82.407407407407419</v>
      </c>
      <c r="Y211" s="547">
        <f>IFERROR(Y203/H203,"0")+IFERROR(Y204/H204,"0")+IFERROR(Y205/H205,"0")+IFERROR(Y206/H206,"0")+IFERROR(Y207/H207,"0")+IFERROR(Y208/H208,"0")+IFERROR(Y209/H209,"0")+IFERROR(Y210/H210,"0")</f>
        <v>85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0.62670000000000003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323</v>
      </c>
      <c r="Y212" s="547">
        <f>IFERROR(SUM(Y203:Y210),"0")</f>
        <v>333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150</v>
      </c>
      <c r="Y216" s="546">
        <f t="shared" si="15"/>
        <v>156.6</v>
      </c>
      <c r="Z216" s="36">
        <f>IFERROR(IF(Y216=0,"",ROUNDUP(Y216/H216,0)*0.01898),"")</f>
        <v>0.34164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158.51724137931038</v>
      </c>
      <c r="BN216" s="64">
        <f t="shared" si="17"/>
        <v>165.49200000000002</v>
      </c>
      <c r="BO216" s="64">
        <f t="shared" si="18"/>
        <v>0.26939655172413796</v>
      </c>
      <c r="BP216" s="64">
        <f t="shared" si="19"/>
        <v>0.28125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40</v>
      </c>
      <c r="Y217" s="546">
        <f t="shared" si="15"/>
        <v>40.799999999999997</v>
      </c>
      <c r="Z217" s="36">
        <f t="shared" ref="Z217:Z222" si="20">IFERROR(IF(Y217=0,"",ROUNDUP(Y217/H217,0)*0.00651),"")</f>
        <v>0.11067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44.5</v>
      </c>
      <c r="BN217" s="64">
        <f t="shared" si="17"/>
        <v>45.39</v>
      </c>
      <c r="BO217" s="64">
        <f t="shared" si="18"/>
        <v>9.1575091575091583E-2</v>
      </c>
      <c r="BP217" s="64">
        <f t="shared" si="19"/>
        <v>9.3406593406593408E-2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390</v>
      </c>
      <c r="Y219" s="546">
        <f t="shared" si="15"/>
        <v>391.2</v>
      </c>
      <c r="Z219" s="36">
        <f t="shared" si="20"/>
        <v>1.0611300000000001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430.95</v>
      </c>
      <c r="BN219" s="64">
        <f t="shared" si="17"/>
        <v>432.27600000000007</v>
      </c>
      <c r="BO219" s="64">
        <f t="shared" si="18"/>
        <v>0.8928571428571429</v>
      </c>
      <c r="BP219" s="64">
        <f t="shared" si="19"/>
        <v>0.89560439560439564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303</v>
      </c>
      <c r="Y220" s="546">
        <f t="shared" si="15"/>
        <v>304.8</v>
      </c>
      <c r="Z220" s="36">
        <f t="shared" si="20"/>
        <v>0.82677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334.81500000000005</v>
      </c>
      <c r="BN220" s="64">
        <f t="shared" si="17"/>
        <v>336.80400000000003</v>
      </c>
      <c r="BO220" s="64">
        <f t="shared" si="18"/>
        <v>0.69368131868131877</v>
      </c>
      <c r="BP220" s="64">
        <f t="shared" si="19"/>
        <v>0.69780219780219799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30</v>
      </c>
      <c r="Y221" s="546">
        <f t="shared" si="15"/>
        <v>31.2</v>
      </c>
      <c r="Z221" s="36">
        <f t="shared" si="20"/>
        <v>8.4629999999999997E-2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33.150000000000006</v>
      </c>
      <c r="BN221" s="64">
        <f t="shared" si="17"/>
        <v>34.476000000000006</v>
      </c>
      <c r="BO221" s="64">
        <f t="shared" si="18"/>
        <v>6.8681318681318687E-2</v>
      </c>
      <c r="BP221" s="64">
        <f t="shared" si="19"/>
        <v>7.1428571428571438E-2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64</v>
      </c>
      <c r="Y222" s="546">
        <f t="shared" si="15"/>
        <v>64.8</v>
      </c>
      <c r="Z222" s="36">
        <f t="shared" si="20"/>
        <v>0.17577000000000001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70.88</v>
      </c>
      <c r="BN222" s="64">
        <f t="shared" si="17"/>
        <v>71.765999999999991</v>
      </c>
      <c r="BO222" s="64">
        <f t="shared" si="18"/>
        <v>0.14652014652014653</v>
      </c>
      <c r="BP222" s="64">
        <f t="shared" si="19"/>
        <v>0.14835164835164835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361.8247126436782</v>
      </c>
      <c r="Y223" s="547">
        <f>IFERROR(Y214/H214,"0")+IFERROR(Y215/H215,"0")+IFERROR(Y216/H216,"0")+IFERROR(Y217/H217,"0")+IFERROR(Y218/H218,"0")+IFERROR(Y219/H219,"0")+IFERROR(Y220/H220,"0")+IFERROR(Y221/H221,"0")+IFERROR(Y222/H222,"0")</f>
        <v>365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2.6006100000000001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977</v>
      </c>
      <c r="Y224" s="547">
        <f>IFERROR(SUM(Y214:Y222),"0")</f>
        <v>989.39999999999986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5</v>
      </c>
      <c r="Y254" s="546">
        <f>IFERROR(IF(X254="",0,CEILING((X254/$H254),1)*$H254),"")</f>
        <v>5.4</v>
      </c>
      <c r="Z254" s="36">
        <f>IFERROR(IF(Y254=0,"",ROUNDUP(Y254/H254,0)*0.0059),"")</f>
        <v>3.5400000000000001E-2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6.0555555555555554</v>
      </c>
      <c r="BN254" s="64">
        <f>IFERROR(Y254*I254/H254,"0")</f>
        <v>6.5400000000000009</v>
      </c>
      <c r="BO254" s="64">
        <f>IFERROR(1/J254*(X254/H254),"0")</f>
        <v>2.5720164609053495E-2</v>
      </c>
      <c r="BP254" s="64">
        <f>IFERROR(1/J254*(Y254/H254),"0")</f>
        <v>2.7777777777777776E-2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2</v>
      </c>
      <c r="Y255" s="546">
        <f>IFERROR(IF(X255="",0,CEILING((X255/$H255),1)*$H255),"")</f>
        <v>2.9699999999999998</v>
      </c>
      <c r="Z255" s="36">
        <f>IFERROR(IF(Y255=0,"",ROUNDUP(Y255/H255,0)*0.0059),"")</f>
        <v>1.77E-2</v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2.3838383838383836</v>
      </c>
      <c r="BN255" s="64">
        <f>IFERROR(Y255*I255/H255,"0")</f>
        <v>3.5399999999999996</v>
      </c>
      <c r="BO255" s="64">
        <f>IFERROR(1/J255*(X255/H255),"0")</f>
        <v>9.3527871305649091E-3</v>
      </c>
      <c r="BP255" s="64">
        <f>IFERROR(1/J255*(Y255/H255),"0")</f>
        <v>1.3888888888888886E-2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1</v>
      </c>
      <c r="Y256" s="546">
        <f>IFERROR(IF(X256="",0,CEILING((X256/$H256),1)*$H256),"")</f>
        <v>1.98</v>
      </c>
      <c r="Z256" s="36">
        <f>IFERROR(IF(Y256=0,"",ROUNDUP(Y256/H256,0)*0.0059),"")</f>
        <v>1.18E-2</v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1.1919191919191918</v>
      </c>
      <c r="BN256" s="64">
        <f>IFERROR(Y256*I256/H256,"0")</f>
        <v>2.36</v>
      </c>
      <c r="BO256" s="64">
        <f>IFERROR(1/J256*(X256/H256),"0")</f>
        <v>4.6763935652824546E-3</v>
      </c>
      <c r="BP256" s="64">
        <f>IFERROR(1/J256*(Y256/H256),"0")</f>
        <v>9.2592592592592587E-3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8.5858585858585865</v>
      </c>
      <c r="Y257" s="547">
        <f>IFERROR(Y252/H252,"0")+IFERROR(Y253/H253,"0")+IFERROR(Y254/H254,"0")+IFERROR(Y255/H255,"0")+IFERROR(Y256/H256,"0")</f>
        <v>11</v>
      </c>
      <c r="Z257" s="547">
        <f>IFERROR(IF(Z252="",0,Z252),"0")+IFERROR(IF(Z253="",0,Z253),"0")+IFERROR(IF(Z254="",0,Z254),"0")+IFERROR(IF(Z255="",0,Z255),"0")+IFERROR(IF(Z256="",0,Z256),"0")</f>
        <v>6.4899999999999999E-2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8</v>
      </c>
      <c r="Y258" s="547">
        <f>IFERROR(SUM(Y252:Y256),"0")</f>
        <v>10.350000000000001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23</v>
      </c>
      <c r="Y279" s="546">
        <f>IFERROR(IF(X279="",0,CEILING((X279/$H279),1)*$H279),"")</f>
        <v>24</v>
      </c>
      <c r="Z279" s="36">
        <f>IFERROR(IF(Y279=0,"",ROUNDUP(Y279/H279,0)*0.00651),"")</f>
        <v>6.5100000000000005E-2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25.415000000000003</v>
      </c>
      <c r="BN279" s="64">
        <f>IFERROR(Y279*I279/H279,"0")</f>
        <v>26.520000000000003</v>
      </c>
      <c r="BO279" s="64">
        <f>IFERROR(1/J279*(X279/H279),"0")</f>
        <v>5.2655677655677663E-2</v>
      </c>
      <c r="BP279" s="64">
        <f>IFERROR(1/J279*(Y279/H279),"0")</f>
        <v>5.4945054945054951E-2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47</v>
      </c>
      <c r="Y280" s="546">
        <f>IFERROR(IF(X280="",0,CEILING((X280/$H280),1)*$H280),"")</f>
        <v>48</v>
      </c>
      <c r="Z280" s="36">
        <f>IFERROR(IF(Y280=0,"",ROUNDUP(Y280/H280,0)*0.00651),"")</f>
        <v>0.13020000000000001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50.525000000000006</v>
      </c>
      <c r="BN280" s="64">
        <f>IFERROR(Y280*I280/H280,"0")</f>
        <v>51.6</v>
      </c>
      <c r="BO280" s="64">
        <f>IFERROR(1/J280*(X280/H280),"0")</f>
        <v>0.10760073260073262</v>
      </c>
      <c r="BP280" s="64">
        <f>IFERROR(1/J280*(Y280/H280),"0")</f>
        <v>0.1098901098901099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29.166666666666671</v>
      </c>
      <c r="Y281" s="547">
        <f>IFERROR(Y278/H278,"0")+IFERROR(Y279/H279,"0")+IFERROR(Y280/H280,"0")</f>
        <v>30</v>
      </c>
      <c r="Z281" s="547">
        <f>IFERROR(IF(Z278="",0,Z278),"0")+IFERROR(IF(Z279="",0,Z279),"0")+IFERROR(IF(Z280="",0,Z280),"0")</f>
        <v>0.19530000000000003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70</v>
      </c>
      <c r="Y282" s="547">
        <f>IFERROR(SUM(Y278:Y280),"0")</f>
        <v>72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5</v>
      </c>
      <c r="Y309" s="546">
        <f t="shared" si="26"/>
        <v>5.4</v>
      </c>
      <c r="Z309" s="36">
        <f>IFERROR(IF(Y309=0,"",ROUNDUP(Y309/H309,0)*0.00651),"")</f>
        <v>1.9529999999999999E-2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5.6333333333333337</v>
      </c>
      <c r="BN309" s="64">
        <f t="shared" si="28"/>
        <v>6.0839999999999996</v>
      </c>
      <c r="BO309" s="64">
        <f t="shared" si="29"/>
        <v>1.5262515262515264E-2</v>
      </c>
      <c r="BP309" s="64">
        <f t="shared" si="30"/>
        <v>1.6483516483516484E-2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2.7777777777777777</v>
      </c>
      <c r="Y310" s="547">
        <f>IFERROR(Y304/H304,"0")+IFERROR(Y305/H305,"0")+IFERROR(Y306/H306,"0")+IFERROR(Y307/H307,"0")+IFERROR(Y308/H308,"0")+IFERROR(Y309/H309,"0")</f>
        <v>3</v>
      </c>
      <c r="Z310" s="547">
        <f>IFERROR(IF(Z304="",0,Z304),"0")+IFERROR(IF(Z305="",0,Z305),"0")+IFERROR(IF(Z306="",0,Z306),"0")+IFERROR(IF(Z307="",0,Z307),"0")+IFERROR(IF(Z308="",0,Z308),"0")+IFERROR(IF(Z309="",0,Z309),"0")</f>
        <v>1.9529999999999999E-2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5</v>
      </c>
      <c r="Y311" s="547">
        <f>IFERROR(SUM(Y304:Y309),"0")</f>
        <v>5.4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605</v>
      </c>
      <c r="Y321" s="546">
        <f>IFERROR(IF(X321="",0,CEILING((X321/$H321),1)*$H321),"")</f>
        <v>608.4</v>
      </c>
      <c r="Z321" s="36">
        <f>IFERROR(IF(Y321=0,"",ROUNDUP(Y321/H321,0)*0.01898),"")</f>
        <v>1.48044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643.31666666666672</v>
      </c>
      <c r="BN321" s="64">
        <f>IFERROR(Y321*I321/H321,"0")</f>
        <v>646.93200000000002</v>
      </c>
      <c r="BO321" s="64">
        <f>IFERROR(1/J321*(X321/H321),"0")</f>
        <v>1.2119391025641026</v>
      </c>
      <c r="BP321" s="64">
        <f>IFERROR(1/J321*(Y321/H321),"0")</f>
        <v>1.21875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77.564102564102569</v>
      </c>
      <c r="Y323" s="547">
        <f>IFERROR(Y320/H320,"0")+IFERROR(Y321/H321,"0")+IFERROR(Y322/H322,"0")</f>
        <v>78</v>
      </c>
      <c r="Z323" s="547">
        <f>IFERROR(IF(Z320="",0,Z320),"0")+IFERROR(IF(Z321="",0,Z321),"0")+IFERROR(IF(Z322="",0,Z322),"0")</f>
        <v>1.48044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605</v>
      </c>
      <c r="Y324" s="547">
        <f>IFERROR(SUM(Y320:Y322),"0")</f>
        <v>608.4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2</v>
      </c>
      <c r="Y328" s="546">
        <f>IFERROR(IF(X328="",0,CEILING((X328/$H328),1)*$H328),"")</f>
        <v>2.5499999999999998</v>
      </c>
      <c r="Z328" s="36">
        <f>IFERROR(IF(Y328=0,"",ROUNDUP(Y328/H328,0)*0.00651),"")</f>
        <v>6.5100000000000002E-3</v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2.3176470588235296</v>
      </c>
      <c r="BN328" s="64">
        <f>IFERROR(Y328*I328/H328,"0")</f>
        <v>2.9550000000000001</v>
      </c>
      <c r="BO328" s="64">
        <f>IFERROR(1/J328*(X328/H328),"0")</f>
        <v>4.3094160741219576E-3</v>
      </c>
      <c r="BP328" s="64">
        <f>IFERROR(1/J328*(Y328/H328),"0")</f>
        <v>5.4945054945054949E-3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0.78431372549019618</v>
      </c>
      <c r="Y330" s="547">
        <f>IFERROR(Y326/H326,"0")+IFERROR(Y327/H327,"0")+IFERROR(Y328/H328,"0")+IFERROR(Y329/H329,"0")</f>
        <v>1</v>
      </c>
      <c r="Z330" s="547">
        <f>IFERROR(IF(Z326="",0,Z326),"0")+IFERROR(IF(Z327="",0,Z327),"0")+IFERROR(IF(Z328="",0,Z328),"0")+IFERROR(IF(Z329="",0,Z329),"0")</f>
        <v>6.5100000000000002E-3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2</v>
      </c>
      <c r="Y331" s="547">
        <f>IFERROR(SUM(Y326:Y329),"0")</f>
        <v>2.5499999999999998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8</v>
      </c>
      <c r="Y333" s="546">
        <f>IFERROR(IF(X333="",0,CEILING((X333/$H333),1)*$H333),"")</f>
        <v>8</v>
      </c>
      <c r="Z333" s="36">
        <f>IFERROR(IF(Y333=0,"",ROUNDUP(Y333/H333,0)*0.00474),"")</f>
        <v>1.8960000000000001E-2</v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8.9600000000000009</v>
      </c>
      <c r="BN333" s="64">
        <f>IFERROR(Y333*I333/H333,"0")</f>
        <v>8.9600000000000009</v>
      </c>
      <c r="BO333" s="64">
        <f>IFERROR(1/J333*(X333/H333),"0")</f>
        <v>1.680672268907563E-2</v>
      </c>
      <c r="BP333" s="64">
        <f>IFERROR(1/J333*(Y333/H333),"0")</f>
        <v>1.680672268907563E-2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10</v>
      </c>
      <c r="Y334" s="546">
        <f>IFERROR(IF(X334="",0,CEILING((X334/$H334),1)*$H334),"")</f>
        <v>10</v>
      </c>
      <c r="Z334" s="36">
        <f>IFERROR(IF(Y334=0,"",ROUNDUP(Y334/H334,0)*0.00474),"")</f>
        <v>2.3700000000000002E-2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11.200000000000001</v>
      </c>
      <c r="BN334" s="64">
        <f>IFERROR(Y334*I334/H334,"0")</f>
        <v>11.200000000000001</v>
      </c>
      <c r="BO334" s="64">
        <f>IFERROR(1/J334*(X334/H334),"0")</f>
        <v>2.1008403361344536E-2</v>
      </c>
      <c r="BP334" s="64">
        <f>IFERROR(1/J334*(Y334/H334),"0")</f>
        <v>2.1008403361344536E-2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9</v>
      </c>
      <c r="Y336" s="547">
        <f>IFERROR(Y333/H333,"0")+IFERROR(Y334/H334,"0")+IFERROR(Y335/H335,"0")</f>
        <v>9</v>
      </c>
      <c r="Z336" s="547">
        <f>IFERROR(IF(Z333="",0,Z333),"0")+IFERROR(IF(Z334="",0,Z334),"0")+IFERROR(IF(Z335="",0,Z335),"0")</f>
        <v>4.2660000000000003E-2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18</v>
      </c>
      <c r="Y337" s="547">
        <f>IFERROR(SUM(Y333:Y335),"0")</f>
        <v>18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70</v>
      </c>
      <c r="Y341" s="546">
        <f>IFERROR(IF(X341="",0,CEILING((X341/$H341),1)*$H341),"")</f>
        <v>71.400000000000006</v>
      </c>
      <c r="Z341" s="36">
        <f>IFERROR(IF(Y341=0,"",ROUNDUP(Y341/H341,0)*0.00651),"")</f>
        <v>0.22134000000000001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78.399999999999991</v>
      </c>
      <c r="BN341" s="64">
        <f>IFERROR(Y341*I341/H341,"0")</f>
        <v>79.968000000000004</v>
      </c>
      <c r="BO341" s="64">
        <f>IFERROR(1/J341*(X341/H341),"0")</f>
        <v>0.18315018315018314</v>
      </c>
      <c r="BP341" s="64">
        <f>IFERROR(1/J341*(Y341/H341),"0")</f>
        <v>0.18681318681318682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70</v>
      </c>
      <c r="Y342" s="546">
        <f>IFERROR(IF(X342="",0,CEILING((X342/$H342),1)*$H342),"")</f>
        <v>71.400000000000006</v>
      </c>
      <c r="Z342" s="36">
        <f>IFERROR(IF(Y342=0,"",ROUNDUP(Y342/H342,0)*0.00651),"")</f>
        <v>0.22134000000000001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77.999999999999986</v>
      </c>
      <c r="BN342" s="64">
        <f>IFERROR(Y342*I342/H342,"0")</f>
        <v>79.559999999999988</v>
      </c>
      <c r="BO342" s="64">
        <f>IFERROR(1/J342*(X342/H342),"0")</f>
        <v>0.18315018315018314</v>
      </c>
      <c r="BP342" s="64">
        <f>IFERROR(1/J342*(Y342/H342),"0")</f>
        <v>0.18681318681318682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66.666666666666657</v>
      </c>
      <c r="Y343" s="547">
        <f>IFERROR(Y340/H340,"0")+IFERROR(Y341/H341,"0")+IFERROR(Y342/H342,"0")</f>
        <v>68</v>
      </c>
      <c r="Z343" s="547">
        <f>IFERROR(IF(Z340="",0,Z340),"0")+IFERROR(IF(Z341="",0,Z341),"0")+IFERROR(IF(Z342="",0,Z342),"0")</f>
        <v>0.44268000000000002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140</v>
      </c>
      <c r="Y344" s="547">
        <f>IFERROR(SUM(Y340:Y342),"0")</f>
        <v>142.80000000000001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947</v>
      </c>
      <c r="Y348" s="546">
        <f t="shared" ref="Y348:Y354" si="31">IFERROR(IF(X348="",0,CEILING((X348/$H348),1)*$H348),"")</f>
        <v>960</v>
      </c>
      <c r="Z348" s="36">
        <f>IFERROR(IF(Y348=0,"",ROUNDUP(Y348/H348,0)*0.02175),"")</f>
        <v>1.3919999999999999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976.67266666666671</v>
      </c>
      <c r="BN348" s="64">
        <f t="shared" ref="BN348:BN354" si="33">IFERROR(Y348*I348/H348,"0")</f>
        <v>990.08</v>
      </c>
      <c r="BO348" s="64">
        <f t="shared" ref="BO348:BO354" si="34">IFERROR(1/J348*(X348/H348),"0")</f>
        <v>1.3152777777777778</v>
      </c>
      <c r="BP348" s="64">
        <f t="shared" ref="BP348:BP354" si="35">IFERROR(1/J348*(Y348/H348),"0")</f>
        <v>1.3333333333333333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341</v>
      </c>
      <c r="Y349" s="546">
        <f t="shared" si="31"/>
        <v>345</v>
      </c>
      <c r="Z349" s="36">
        <f>IFERROR(IF(Y349=0,"",ROUNDUP(Y349/H349,0)*0.02175),"")</f>
        <v>0.50024999999999997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351.68466666666671</v>
      </c>
      <c r="BN349" s="64">
        <f t="shared" si="33"/>
        <v>355.81000000000006</v>
      </c>
      <c r="BO349" s="64">
        <f t="shared" si="34"/>
        <v>0.47361111111111109</v>
      </c>
      <c r="BP349" s="64">
        <f t="shared" si="35"/>
        <v>0.47916666666666663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566</v>
      </c>
      <c r="Y350" s="546">
        <f t="shared" si="31"/>
        <v>570</v>
      </c>
      <c r="Z350" s="36">
        <f>IFERROR(IF(Y350=0,"",ROUNDUP(Y350/H350,0)*0.02175),"")</f>
        <v>0.8264999999999999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583.73466666666673</v>
      </c>
      <c r="BN350" s="64">
        <f t="shared" si="33"/>
        <v>587.86</v>
      </c>
      <c r="BO350" s="64">
        <f t="shared" si="34"/>
        <v>0.78611111111111109</v>
      </c>
      <c r="BP350" s="64">
        <f t="shared" si="35"/>
        <v>0.79166666666666663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463</v>
      </c>
      <c r="Y351" s="546">
        <f t="shared" si="31"/>
        <v>465</v>
      </c>
      <c r="Z351" s="36">
        <f>IFERROR(IF(Y351=0,"",ROUNDUP(Y351/H351,0)*0.02175),"")</f>
        <v>0.6742499999999999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477.50733333333335</v>
      </c>
      <c r="BN351" s="64">
        <f t="shared" si="33"/>
        <v>479.57</v>
      </c>
      <c r="BO351" s="64">
        <f t="shared" si="34"/>
        <v>0.64305555555555549</v>
      </c>
      <c r="BP351" s="64">
        <f t="shared" si="35"/>
        <v>0.64583333333333326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154.46666666666667</v>
      </c>
      <c r="Y355" s="547">
        <f>IFERROR(Y348/H348,"0")+IFERROR(Y349/H349,"0")+IFERROR(Y350/H350,"0")+IFERROR(Y351/H351,"0")+IFERROR(Y352/H352,"0")+IFERROR(Y353/H353,"0")+IFERROR(Y354/H354,"0")</f>
        <v>156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3.3929999999999993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2317</v>
      </c>
      <c r="Y356" s="547">
        <f>IFERROR(SUM(Y348:Y354),"0")</f>
        <v>2340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1100</v>
      </c>
      <c r="Y358" s="546">
        <f>IFERROR(IF(X358="",0,CEILING((X358/$H358),1)*$H358),"")</f>
        <v>1110</v>
      </c>
      <c r="Z358" s="36">
        <f>IFERROR(IF(Y358=0,"",ROUNDUP(Y358/H358,0)*0.02175),"")</f>
        <v>1.6094999999999999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1134.4666666666667</v>
      </c>
      <c r="BN358" s="64">
        <f>IFERROR(Y358*I358/H358,"0")</f>
        <v>1144.78</v>
      </c>
      <c r="BO358" s="64">
        <f>IFERROR(1/J358*(X358/H358),"0")</f>
        <v>1.5277777777777777</v>
      </c>
      <c r="BP358" s="64">
        <f>IFERROR(1/J358*(Y358/H358),"0")</f>
        <v>1.5416666666666665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73.333333333333329</v>
      </c>
      <c r="Y360" s="547">
        <f>IFERROR(Y358/H358,"0")+IFERROR(Y359/H359,"0")</f>
        <v>74</v>
      </c>
      <c r="Z360" s="547">
        <f>IFERROR(IF(Z358="",0,Z358),"0")+IFERROR(IF(Z359="",0,Z359),"0")</f>
        <v>1.6094999999999999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1100</v>
      </c>
      <c r="Y361" s="547">
        <f>IFERROR(SUM(Y358:Y359),"0")</f>
        <v>1110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2104</v>
      </c>
      <c r="Y383" s="546">
        <f>IFERROR(IF(X383="",0,CEILING((X383/$H383),1)*$H383),"")</f>
        <v>2106</v>
      </c>
      <c r="Z383" s="36">
        <f>IFERROR(IF(Y383=0,"",ROUNDUP(Y383/H383,0)*0.01898),"")</f>
        <v>4.4413200000000002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2219.4862222222223</v>
      </c>
      <c r="BN383" s="64">
        <f>IFERROR(Y383*I383/H383,"0")</f>
        <v>2221.5959999999995</v>
      </c>
      <c r="BO383" s="64">
        <f>IFERROR(1/J383*(X383/H383),"0")</f>
        <v>3.6527777777777777</v>
      </c>
      <c r="BP383" s="64">
        <f>IFERROR(1/J383*(Y383/H383),"0")</f>
        <v>3.65625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233.77777777777777</v>
      </c>
      <c r="Y386" s="547">
        <f>IFERROR(Y383/H383,"0")+IFERROR(Y384/H384,"0")+IFERROR(Y385/H385,"0")</f>
        <v>234</v>
      </c>
      <c r="Z386" s="547">
        <f>IFERROR(IF(Z383="",0,Z383),"0")+IFERROR(IF(Z384="",0,Z384),"0")+IFERROR(IF(Z385="",0,Z385),"0")</f>
        <v>4.4413200000000002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2104</v>
      </c>
      <c r="Y387" s="547">
        <f>IFERROR(SUM(Y383:Y385),"0")</f>
        <v>2106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81</v>
      </c>
      <c r="Y427" s="546">
        <f t="shared" ref="Y427:Y438" si="42">IFERROR(IF(X427="",0,CEILING((X427/$H427),1)*$H427),"")</f>
        <v>84.48</v>
      </c>
      <c r="Z427" s="36">
        <f t="shared" ref="Z427:Z433" si="43">IFERROR(IF(Y427=0,"",ROUNDUP(Y427/H427,0)*0.01196),"")</f>
        <v>0.19136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86.369318181818173</v>
      </c>
      <c r="BN427" s="64">
        <f t="shared" ref="BN427:BN438" si="45">IFERROR(Y427*I427/H427,"0")</f>
        <v>90.08</v>
      </c>
      <c r="BO427" s="64">
        <f t="shared" ref="BO427:BO438" si="46">IFERROR(1/J427*(X427/H427),"0")</f>
        <v>0.14750874125874125</v>
      </c>
      <c r="BP427" s="64">
        <f t="shared" ref="BP427:BP438" si="47">IFERROR(1/J427*(Y427/H427),"0")</f>
        <v>0.15384615384615385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774</v>
      </c>
      <c r="Y431" s="546">
        <f t="shared" si="42"/>
        <v>776.16000000000008</v>
      </c>
      <c r="Z431" s="36">
        <f t="shared" si="43"/>
        <v>1.7581200000000001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825.30681818181813</v>
      </c>
      <c r="BN431" s="64">
        <f t="shared" si="45"/>
        <v>827.61</v>
      </c>
      <c r="BO431" s="64">
        <f t="shared" si="46"/>
        <v>1.4095279720279721</v>
      </c>
      <c r="BP431" s="64">
        <f t="shared" si="47"/>
        <v>1.4134615384615385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122</v>
      </c>
      <c r="Y433" s="546">
        <f t="shared" si="42"/>
        <v>126.72</v>
      </c>
      <c r="Z433" s="36">
        <f t="shared" si="43"/>
        <v>0.28704000000000002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130.08712121212122</v>
      </c>
      <c r="BN433" s="64">
        <f t="shared" si="45"/>
        <v>135.11999999999998</v>
      </c>
      <c r="BO433" s="64">
        <f t="shared" si="46"/>
        <v>0.22217365967365968</v>
      </c>
      <c r="BP433" s="64">
        <f t="shared" si="47"/>
        <v>0.23076923076923078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185.03787878787878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187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2.2365200000000001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977</v>
      </c>
      <c r="Y440" s="547">
        <f>IFERROR(SUM(Y427:Y438),"0")</f>
        <v>987.36000000000013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786</v>
      </c>
      <c r="Y442" s="546">
        <f>IFERROR(IF(X442="",0,CEILING((X442/$H442),1)*$H442),"")</f>
        <v>786.72</v>
      </c>
      <c r="Z442" s="36">
        <f>IFERROR(IF(Y442=0,"",ROUNDUP(Y442/H442,0)*0.01196),"")</f>
        <v>1.7820400000000001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838.10227272727275</v>
      </c>
      <c r="BN442" s="64">
        <f>IFERROR(Y442*I442/H442,"0")</f>
        <v>838.87</v>
      </c>
      <c r="BO442" s="64">
        <f>IFERROR(1/J442*(X442/H442),"0")</f>
        <v>1.4313811188811187</v>
      </c>
      <c r="BP442" s="64">
        <f>IFERROR(1/J442*(Y442/H442),"0")</f>
        <v>1.4326923076923077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59</v>
      </c>
      <c r="Y444" s="546">
        <f>IFERROR(IF(X444="",0,CEILING((X444/$H444),1)*$H444),"")</f>
        <v>62.4</v>
      </c>
      <c r="Z444" s="36">
        <f>IFERROR(IF(Y444=0,"",ROUNDUP(Y444/H444,0)*0.00902),"")</f>
        <v>0.11726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84.935416666666669</v>
      </c>
      <c r="BN444" s="64">
        <f>IFERROR(Y444*I444/H444,"0")</f>
        <v>89.830000000000013</v>
      </c>
      <c r="BO444" s="64">
        <f>IFERROR(1/J444*(X444/H444),"0")</f>
        <v>9.3118686868686878E-2</v>
      </c>
      <c r="BP444" s="64">
        <f>IFERROR(1/J444*(Y444/H444),"0")</f>
        <v>9.8484848484848481E-2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161.155303030303</v>
      </c>
      <c r="Y445" s="547">
        <f>IFERROR(Y442/H442,"0")+IFERROR(Y443/H443,"0")+IFERROR(Y444/H444,"0")</f>
        <v>162</v>
      </c>
      <c r="Z445" s="547">
        <f>IFERROR(IF(Z442="",0,Z442),"0")+IFERROR(IF(Z443="",0,Z443),"0")+IFERROR(IF(Z444="",0,Z444),"0")</f>
        <v>1.8993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845</v>
      </c>
      <c r="Y446" s="547">
        <f>IFERROR(SUM(Y442:Y444),"0")</f>
        <v>849.12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133</v>
      </c>
      <c r="Y448" s="546">
        <f t="shared" ref="Y448:Y453" si="48">IFERROR(IF(X448="",0,CEILING((X448/$H448),1)*$H448),"")</f>
        <v>137.28</v>
      </c>
      <c r="Z448" s="36">
        <f>IFERROR(IF(Y448=0,"",ROUNDUP(Y448/H448,0)*0.01196),"")</f>
        <v>0.31096000000000001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141.81628787878788</v>
      </c>
      <c r="BN448" s="64">
        <f t="shared" ref="BN448:BN453" si="50">IFERROR(Y448*I448/H448,"0")</f>
        <v>146.38</v>
      </c>
      <c r="BO448" s="64">
        <f t="shared" ref="BO448:BO453" si="51">IFERROR(1/J448*(X448/H448),"0")</f>
        <v>0.24220571095571095</v>
      </c>
      <c r="BP448" s="64">
        <f t="shared" ref="BP448:BP453" si="52">IFERROR(1/J448*(Y448/H448),"0")</f>
        <v>0.25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105</v>
      </c>
      <c r="Y449" s="546">
        <f t="shared" si="48"/>
        <v>105.60000000000001</v>
      </c>
      <c r="Z449" s="36">
        <f>IFERROR(IF(Y449=0,"",ROUNDUP(Y449/H449,0)*0.01196),"")</f>
        <v>0.2392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111.96022727272727</v>
      </c>
      <c r="BN449" s="64">
        <f t="shared" si="50"/>
        <v>112.6</v>
      </c>
      <c r="BO449" s="64">
        <f t="shared" si="51"/>
        <v>0.19121503496503497</v>
      </c>
      <c r="BP449" s="64">
        <f t="shared" si="52"/>
        <v>0.19230769230769232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572</v>
      </c>
      <c r="Y450" s="546">
        <f t="shared" si="48"/>
        <v>575.52</v>
      </c>
      <c r="Z450" s="36">
        <f>IFERROR(IF(Y450=0,"",ROUNDUP(Y450/H450,0)*0.01196),"")</f>
        <v>1.3036399999999999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609.91666666666663</v>
      </c>
      <c r="BN450" s="64">
        <f t="shared" si="50"/>
        <v>613.66999999999996</v>
      </c>
      <c r="BO450" s="64">
        <f t="shared" si="51"/>
        <v>1.0416666666666667</v>
      </c>
      <c r="BP450" s="64">
        <f t="shared" si="52"/>
        <v>1.0480769230769229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153.40909090909091</v>
      </c>
      <c r="Y454" s="547">
        <f>IFERROR(Y448/H448,"0")+IFERROR(Y449/H449,"0")+IFERROR(Y450/H450,"0")+IFERROR(Y451/H451,"0")+IFERROR(Y452/H452,"0")+IFERROR(Y453/H453,"0")</f>
        <v>155</v>
      </c>
      <c r="Z454" s="547">
        <f>IFERROR(IF(Z448="",0,Z448),"0")+IFERROR(IF(Z449="",0,Z449),"0")+IFERROR(IF(Z450="",0,Z450),"0")+IFERROR(IF(Z451="",0,Z451),"0")+IFERROR(IF(Z452="",0,Z452),"0")+IFERROR(IF(Z453="",0,Z453),"0")</f>
        <v>1.8537999999999999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810</v>
      </c>
      <c r="Y455" s="547">
        <f>IFERROR(SUM(Y448:Y453),"0")</f>
        <v>818.4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12495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12621.18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13221.703698964027</v>
      </c>
      <c r="Y489" s="547">
        <f>IFERROR(SUM(BN22:BN485),"0")</f>
        <v>13356.483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22</v>
      </c>
      <c r="Y490" s="38">
        <f>ROUNDUP(SUM(BP22:BP485),0)</f>
        <v>23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13771.703698964027</v>
      </c>
      <c r="Y491" s="547">
        <f>GrossWeightTotalR+PalletQtyTotalR*25</f>
        <v>13931.483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2168.6233413751497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2194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26.025839999999995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75.600000000000009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178.2</v>
      </c>
      <c r="E498" s="46">
        <f>IFERROR(Y84*1,"0")+IFERROR(Y85*1,"0")+IFERROR(Y86*1,"0")+IFERROR(Y87*1,"0")+IFERROR(Y91*1,"0")+IFERROR(Y92*1,"0")+IFERROR(Y93*1,"0")+IFERROR(Y94*1,"0")</f>
        <v>652.5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816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506.1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1322.3999999999999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10.350000000000001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72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634.34999999999991</v>
      </c>
      <c r="R498" s="46">
        <f>IFERROR(Y340*1,"0")+IFERROR(Y341*1,"0")+IFERROR(Y342*1,"0")</f>
        <v>142.80000000000001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3450</v>
      </c>
      <c r="T498" s="46">
        <f>IFERROR(Y373*1,"0")+IFERROR(Y374*1,"0")+IFERROR(Y378*1,"0")+IFERROR(Y379*1,"0")+IFERROR(Y383*1,"0")+IFERROR(Y384*1,"0")+IFERROR(Y385*1,"0")</f>
        <v>2106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2654.88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