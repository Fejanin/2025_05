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A2B918D-22F2-4BE3-918B-B1724D8E71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Y123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Y81" i="1" s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X69" i="1"/>
  <c r="X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1" i="1" l="1"/>
  <c r="Y43" i="1"/>
  <c r="BP55" i="1"/>
  <c r="BN55" i="1"/>
  <c r="Z55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200" i="1"/>
  <c r="BP198" i="1"/>
  <c r="BN198" i="1"/>
  <c r="Z198" i="1"/>
  <c r="Z200" i="1" s="1"/>
  <c r="BP297" i="1"/>
  <c r="BN297" i="1"/>
  <c r="Z297" i="1"/>
  <c r="Z301" i="1" s="1"/>
  <c r="Q498" i="1"/>
  <c r="BP305" i="1"/>
  <c r="BN305" i="1"/>
  <c r="Z305" i="1"/>
  <c r="Z310" i="1" s="1"/>
  <c r="Y25" i="1"/>
  <c r="BP67" i="1"/>
  <c r="BN67" i="1"/>
  <c r="Z67" i="1"/>
  <c r="Z68" i="1" s="1"/>
  <c r="Y76" i="1"/>
  <c r="BP71" i="1"/>
  <c r="BN71" i="1"/>
  <c r="Z71" i="1"/>
  <c r="BP79" i="1"/>
  <c r="BN79" i="1"/>
  <c r="Z79" i="1"/>
  <c r="Z80" i="1" s="1"/>
  <c r="E498" i="1"/>
  <c r="Y89" i="1"/>
  <c r="BP84" i="1"/>
  <c r="BN84" i="1"/>
  <c r="Z84" i="1"/>
  <c r="Y88" i="1"/>
  <c r="Y119" i="1"/>
  <c r="Y122" i="1"/>
  <c r="BP121" i="1"/>
  <c r="BN121" i="1"/>
  <c r="Z121" i="1"/>
  <c r="Z122" i="1" s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301" i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H498" i="1"/>
  <c r="H9" i="1"/>
  <c r="B498" i="1"/>
  <c r="X489" i="1"/>
  <c r="X490" i="1"/>
  <c r="Z23" i="1"/>
  <c r="Z24" i="1" s="1"/>
  <c r="BN23" i="1"/>
  <c r="Y489" i="1" s="1"/>
  <c r="Y491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36" i="1" l="1"/>
  <c r="Z266" i="1"/>
  <c r="Z241" i="1"/>
  <c r="Z317" i="1"/>
  <c r="Z152" i="1"/>
  <c r="Y488" i="1"/>
  <c r="Z454" i="1"/>
  <c r="Z417" i="1"/>
  <c r="Z274" i="1"/>
  <c r="Z257" i="1"/>
  <c r="Z211" i="1"/>
  <c r="Z104" i="1"/>
  <c r="Z31" i="1"/>
  <c r="Z493" i="1" s="1"/>
  <c r="Y492" i="1"/>
  <c r="X491" i="1"/>
  <c r="Z179" i="1"/>
  <c r="Z88" i="1"/>
  <c r="Z75" i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<sst xmlns="http://schemas.openxmlformats.org/spreadsheetml/2006/main" count="2283" uniqueCount="767">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</sst>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45</v>
      </c>
      <c r="Y56" s="546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10</v>
      </c>
      <c r="Y57" s="547">
        <f>IFERROR(Y51/H51,"0")+IFERROR(Y52/H52,"0")+IFERROR(Y53/H53,"0")+IFERROR(Y54/H54,"0")+IFERROR(Y55/H55,"0")+IFERROR(Y56/H56,"0")</f>
        <v>10</v>
      </c>
      <c r="Z57" s="547">
        <f>IFERROR(IF(Z51="",0,Z51),"0")+IFERROR(IF(Z52="",0,Z52),"0")+IFERROR(IF(Z53="",0,Z53),"0")+IFERROR(IF(Z54="",0,Z54),"0")+IFERROR(IF(Z55="",0,Z55),"0")+IFERROR(IF(Z56="",0,Z56),"0")</f>
        <v>9.0200000000000002E-2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45</v>
      </c>
      <c r="Y58" s="547">
        <f>IFERROR(SUM(Y51:Y56),"0")</f>
        <v>45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19.25925925925926</v>
      </c>
      <c r="Y88" s="547">
        <f>IFERROR(Y84/H84,"0")+IFERROR(Y85/H85,"0")+IFERROR(Y86/H86,"0")+IFERROR(Y87/H87,"0")</f>
        <v>20</v>
      </c>
      <c r="Z88" s="547">
        <f>IFERROR(IF(Z84="",0,Z84),"0")+IFERROR(IF(Z85="",0,Z85),"0")+IFERROR(IF(Z86="",0,Z86),"0")+IFERROR(IF(Z87="",0,Z87),"0")</f>
        <v>0.28000000000000003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145</v>
      </c>
      <c r="Y89" s="547">
        <f>IFERROR(SUM(Y84:Y87),"0")</f>
        <v>153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135</v>
      </c>
      <c r="Y93" s="546">
        <f>IFERROR(IF(X93="",0,CEILING((X93/$H93),1)*$H93),"")</f>
        <v>135</v>
      </c>
      <c r="Z93" s="36">
        <f>IFERROR(IF(Y93=0,"",ROUNDUP(Y93/H93,0)*0.00651),"")</f>
        <v>0.32550000000000001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147.6</v>
      </c>
      <c r="BN93" s="64">
        <f>IFERROR(Y93*I93/H93,"0")</f>
        <v>147.6</v>
      </c>
      <c r="BO93" s="64">
        <f>IFERROR(1/J93*(X93/H93),"0")</f>
        <v>0.27472527472527475</v>
      </c>
      <c r="BP93" s="64">
        <f>IFERROR(1/J93*(Y93/H93),"0")</f>
        <v>0.27472527472527475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74.691358024691354</v>
      </c>
      <c r="Y95" s="547">
        <f>IFERROR(Y91/H91,"0")+IFERROR(Y92/H92,"0")+IFERROR(Y93/H93,"0")+IFERROR(Y94/H94,"0")</f>
        <v>75</v>
      </c>
      <c r="Z95" s="547">
        <f>IFERROR(IF(Z91="",0,Z91),"0")+IFERROR(IF(Z92="",0,Z92),"0")+IFERROR(IF(Z93="",0,Z93),"0")+IFERROR(IF(Z94="",0,Z94),"0")</f>
        <v>0.8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335</v>
      </c>
      <c r="Y96" s="547">
        <f>IFERROR(SUM(Y91:Y94),"0")</f>
        <v>337.5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116.04938271604937</v>
      </c>
      <c r="Y118" s="547">
        <f>IFERROR(Y114/H114,"0")+IFERROR(Y115/H115,"0")+IFERROR(Y116/H116,"0")+IFERROR(Y117/H117,"0")</f>
        <v>117</v>
      </c>
      <c r="Z118" s="547">
        <f>IFERROR(IF(Z114="",0,Z114),"0")+IFERROR(IF(Z115="",0,Z115),"0")+IFERROR(IF(Z116="",0,Z116),"0")+IFERROR(IF(Z117="",0,Z117),"0")</f>
        <v>1.38517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580</v>
      </c>
      <c r="Y119" s="547">
        <f>IFERROR(SUM(Y114:Y117),"0")</f>
        <v>585.9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420</v>
      </c>
      <c r="Y176" s="546">
        <f t="shared" si="5"/>
        <v>420</v>
      </c>
      <c r="Z176" s="36">
        <f>IFERROR(IF(Y176=0,"",ROUNDUP(Y176/H176,0)*0.00502),"")</f>
        <v>1.004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440.00000000000006</v>
      </c>
      <c r="BN176" s="64">
        <f t="shared" si="7"/>
        <v>440.00000000000006</v>
      </c>
      <c r="BO176" s="64">
        <f t="shared" si="8"/>
        <v>0.85470085470085477</v>
      </c>
      <c r="BP176" s="64">
        <f t="shared" si="9"/>
        <v>0.85470085470085477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200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1.004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420</v>
      </c>
      <c r="Y180" s="547">
        <f>IFERROR(SUM(Y165:Y178),"0")</f>
        <v>420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100</v>
      </c>
      <c r="Y205" s="546">
        <f t="shared" si="10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103.5185185185185</v>
      </c>
      <c r="BN205" s="64">
        <f t="shared" si="12"/>
        <v>106.21</v>
      </c>
      <c r="BO205" s="64">
        <f t="shared" si="13"/>
        <v>0.14029180695847362</v>
      </c>
      <c r="BP205" s="64">
        <f t="shared" si="14"/>
        <v>0.14393939393939395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18.518518518518519</v>
      </c>
      <c r="Y211" s="547">
        <f>IFERROR(Y203/H203,"0")+IFERROR(Y204/H204,"0")+IFERROR(Y205/H205,"0")+IFERROR(Y206/H206,"0")+IFERROR(Y207/H207,"0")+IFERROR(Y208/H208,"0")+IFERROR(Y209/H209,"0")+IFERROR(Y210/H210,"0")</f>
        <v>19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0.17138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100</v>
      </c>
      <c r="Y212" s="547">
        <f>IFERROR(SUM(Y203:Y210),"0")</f>
        <v>102.60000000000001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160</v>
      </c>
      <c r="Y220" s="546">
        <f t="shared" si="15"/>
        <v>160.79999999999998</v>
      </c>
      <c r="Z220" s="36">
        <f t="shared" si="20"/>
        <v>0.43617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176.80000000000004</v>
      </c>
      <c r="BN220" s="64">
        <f t="shared" si="17"/>
        <v>177.684</v>
      </c>
      <c r="BO220" s="64">
        <f t="shared" si="18"/>
        <v>0.36630036630036633</v>
      </c>
      <c r="BP220" s="64">
        <f t="shared" si="19"/>
        <v>0.36813186813186816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60</v>
      </c>
      <c r="Y222" s="546">
        <f t="shared" si="15"/>
        <v>60</v>
      </c>
      <c r="Z222" s="36">
        <f t="shared" si="20"/>
        <v>0.16275000000000001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66.45</v>
      </c>
      <c r="BN222" s="64">
        <f t="shared" si="17"/>
        <v>66.45</v>
      </c>
      <c r="BO222" s="64">
        <f t="shared" si="18"/>
        <v>0.13736263736263737</v>
      </c>
      <c r="BP222" s="64">
        <f t="shared" si="19"/>
        <v>0.13736263736263737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208.33333333333334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209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1.36059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500</v>
      </c>
      <c r="Y224" s="547">
        <f>IFERROR(SUM(Y214:Y222),"0")</f>
        <v>501.6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400</v>
      </c>
      <c r="Y321" s="546">
        <f>IFERROR(IF(X321="",0,CEILING((X321/$H321),1)*$H321),"")</f>
        <v>405.59999999999997</v>
      </c>
      <c r="Z321" s="36">
        <f>IFERROR(IF(Y321=0,"",ROUNDUP(Y321/H321,0)*0.01898),"")</f>
        <v>0.98696000000000006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425.33333333333337</v>
      </c>
      <c r="BN321" s="64">
        <f>IFERROR(Y321*I321/H321,"0")</f>
        <v>431.28799999999995</v>
      </c>
      <c r="BO321" s="64">
        <f>IFERROR(1/J321*(X321/H321),"0")</f>
        <v>0.80128205128205132</v>
      </c>
      <c r="BP321" s="64">
        <f>IFERROR(1/J321*(Y321/H321),"0")</f>
        <v>0.8125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51.282051282051285</v>
      </c>
      <c r="Y323" s="547">
        <f>IFERROR(Y320/H320,"0")+IFERROR(Y321/H321,"0")+IFERROR(Y322/H322,"0")</f>
        <v>52</v>
      </c>
      <c r="Z323" s="547">
        <f>IFERROR(IF(Z320="",0,Z320),"0")+IFERROR(IF(Z321="",0,Z321),"0")+IFERROR(IF(Z322="",0,Z322),"0")</f>
        <v>0.98696000000000006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400</v>
      </c>
      <c r="Y324" s="547">
        <f>IFERROR(SUM(Y320:Y322),"0")</f>
        <v>405.59999999999997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35</v>
      </c>
      <c r="Y341" s="546">
        <f>IFERROR(IF(X341="",0,CEILING((X341/$H341),1)*$H341),"")</f>
        <v>35.700000000000003</v>
      </c>
      <c r="Z341" s="36">
        <f>IFERROR(IF(Y341=0,"",ROUNDUP(Y341/H341,0)*0.00651),"")</f>
        <v>0.11067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39.199999999999996</v>
      </c>
      <c r="BN341" s="64">
        <f>IFERROR(Y341*I341/H341,"0")</f>
        <v>39.984000000000002</v>
      </c>
      <c r="BO341" s="64">
        <f>IFERROR(1/J341*(X341/H341),"0")</f>
        <v>9.1575091575091569E-2</v>
      </c>
      <c r="BP341" s="64">
        <f>IFERROR(1/J341*(Y341/H341),"0")</f>
        <v>9.3406593406593408E-2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16.666666666666664</v>
      </c>
      <c r="Y343" s="547">
        <f>IFERROR(Y340/H340,"0")+IFERROR(Y341/H341,"0")+IFERROR(Y342/H342,"0")</f>
        <v>17</v>
      </c>
      <c r="Z343" s="547">
        <f>IFERROR(IF(Z340="",0,Z340),"0")+IFERROR(IF(Z341="",0,Z341),"0")+IFERROR(IF(Z342="",0,Z342),"0")</f>
        <v>0.11067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35</v>
      </c>
      <c r="Y344" s="547">
        <f>IFERROR(SUM(Y340:Y342),"0")</f>
        <v>35.700000000000003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600</v>
      </c>
      <c r="Y348" s="546">
        <f t="shared" ref="Y348:Y354" si="31">IFERROR(IF(X348="",0,CEILING((X348/$H348),1)*$H348),"")</f>
        <v>600</v>
      </c>
      <c r="Z348" s="36">
        <f>IFERROR(IF(Y348=0,"",ROUNDUP(Y348/H348,0)*0.02175),"")</f>
        <v>0.86999999999999988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618.79999999999995</v>
      </c>
      <c r="BN348" s="64">
        <f t="shared" ref="BN348:BN354" si="33">IFERROR(Y348*I348/H348,"0")</f>
        <v>618.79999999999995</v>
      </c>
      <c r="BO348" s="64">
        <f t="shared" ref="BO348:BO354" si="34">IFERROR(1/J348*(X348/H348),"0")</f>
        <v>0.83333333333333326</v>
      </c>
      <c r="BP348" s="64">
        <f t="shared" ref="BP348:BP354" si="35">IFERROR(1/J348*(Y348/H348),"0")</f>
        <v>0.83333333333333326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300</v>
      </c>
      <c r="Y351" s="546">
        <f t="shared" si="3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309.39999999999998</v>
      </c>
      <c r="BN351" s="64">
        <f t="shared" si="33"/>
        <v>309.39999999999998</v>
      </c>
      <c r="BO351" s="64">
        <f t="shared" si="34"/>
        <v>0.41666666666666663</v>
      </c>
      <c r="BP351" s="64">
        <f t="shared" si="35"/>
        <v>0.41666666666666663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</v>
      </c>
      <c r="Y355" s="547">
        <f>IFERROR(Y348/H348,"0")+IFERROR(Y349/H349,"0")+IFERROR(Y350/H350,"0")+IFERROR(Y351/H351,"0")+IFERROR(Y352/H352,"0")+IFERROR(Y353/H353,"0")+IFERROR(Y354/H354,"0")</f>
        <v>60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1.3049999999999997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900</v>
      </c>
      <c r="Y356" s="547">
        <f>IFERROR(SUM(Y348:Y354),"0")</f>
        <v>900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900</v>
      </c>
      <c r="Y358" s="546">
        <f>IFERROR(IF(X358="",0,CEILING((X358/$H358),1)*$H358),"")</f>
        <v>900</v>
      </c>
      <c r="Z358" s="36">
        <f>IFERROR(IF(Y358=0,"",ROUNDUP(Y358/H358,0)*0.02175),"")</f>
        <v>1.3049999999999999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928.2</v>
      </c>
      <c r="BN358" s="64">
        <f>IFERROR(Y358*I358/H358,"0")</f>
        <v>928.2</v>
      </c>
      <c r="BO358" s="64">
        <f>IFERROR(1/J358*(X358/H358),"0")</f>
        <v>1.25</v>
      </c>
      <c r="BP358" s="64">
        <f>IFERROR(1/J358*(Y358/H358),"0")</f>
        <v>1.25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1.3049999999999999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900</v>
      </c>
      <c r="Y361" s="547">
        <f>IFERROR(SUM(Y358:Y359),"0")</f>
        <v>900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2100</v>
      </c>
      <c r="Y383" s="546">
        <f>IFERROR(IF(X383="",0,CEILING((X383/$H383),1)*$H383),"")</f>
        <v>2106</v>
      </c>
      <c r="Z383" s="36">
        <f>IFERROR(IF(Y383=0,"",ROUNDUP(Y383/H383,0)*0.01898),"")</f>
        <v>4.4413200000000002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2215.2666666666664</v>
      </c>
      <c r="BN383" s="64">
        <f>IFERROR(Y383*I383/H383,"0")</f>
        <v>2221.5959999999995</v>
      </c>
      <c r="BO383" s="64">
        <f>IFERROR(1/J383*(X383/H383),"0")</f>
        <v>3.6458333333333335</v>
      </c>
      <c r="BP383" s="64">
        <f>IFERROR(1/J383*(Y383/H383),"0")</f>
        <v>3.65625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233.33333333333334</v>
      </c>
      <c r="Y386" s="547">
        <f>IFERROR(Y383/H383,"0")+IFERROR(Y384/H384,"0")+IFERROR(Y385/H385,"0")</f>
        <v>234</v>
      </c>
      <c r="Z386" s="547">
        <f>IFERROR(IF(Z383="",0,Z383),"0")+IFERROR(IF(Z384="",0,Z384),"0")+IFERROR(IF(Z385="",0,Z385),"0")</f>
        <v>4.4413200000000002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2100</v>
      </c>
      <c r="Y387" s="547">
        <f>IFERROR(SUM(Y383:Y385),"0")</f>
        <v>2106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400</v>
      </c>
      <c r="Y440" s="547">
        <f>IFERROR(SUM(Y427:Y438),"0")</f>
        <v>401.28000000000003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500</v>
      </c>
      <c r="Y442" s="546">
        <f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533.14393939393938</v>
      </c>
      <c r="BN442" s="64">
        <f>IFERROR(Y442*I442/H442,"0")</f>
        <v>534.85</v>
      </c>
      <c r="BO442" s="64">
        <f>IFERROR(1/J442*(X442/H442),"0")</f>
        <v>0.91054778554778548</v>
      </c>
      <c r="BP442" s="64">
        <f>IFERROR(1/J442*(Y442/H442),"0")</f>
        <v>0.91346153846153855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94.696969696969688</v>
      </c>
      <c r="Y445" s="547">
        <f>IFERROR(Y442/H442,"0")+IFERROR(Y443/H443,"0")+IFERROR(Y444/H444,"0")</f>
        <v>95</v>
      </c>
      <c r="Z445" s="547">
        <f>IFERROR(IF(Z442="",0,Z442),"0")+IFERROR(IF(Z443="",0,Z443),"0")+IFERROR(IF(Z444="",0,Z444),"0")</f>
        <v>1.1362000000000001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500</v>
      </c>
      <c r="Y446" s="547">
        <f>IFERROR(SUM(Y442:Y444),"0")</f>
        <v>501.6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400</v>
      </c>
      <c r="Y450" s="546">
        <f t="shared" si="48"/>
        <v>401.28000000000003</v>
      </c>
      <c r="Z450" s="36">
        <f>IFERROR(IF(Y450=0,"",ROUNDUP(Y450/H450,0)*0.01196),"")</f>
        <v>0.90895999999999999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426.5151515151515</v>
      </c>
      <c r="BN450" s="64">
        <f t="shared" si="50"/>
        <v>427.88</v>
      </c>
      <c r="BO450" s="64">
        <f t="shared" si="51"/>
        <v>0.72843822843822836</v>
      </c>
      <c r="BP450" s="64">
        <f t="shared" si="52"/>
        <v>0.73076923076923084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113.63636363636363</v>
      </c>
      <c r="Y454" s="547">
        <f>IFERROR(Y448/H448,"0")+IFERROR(Y449/H449,"0")+IFERROR(Y450/H450,"0")+IFERROR(Y451/H451,"0")+IFERROR(Y452/H452,"0")+IFERROR(Y453/H453,"0")</f>
        <v>114</v>
      </c>
      <c r="Z454" s="547">
        <f>IFERROR(IF(Z448="",0,Z448),"0")+IFERROR(IF(Z449="",0,Z449),"0")+IFERROR(IF(Z450="",0,Z450),"0")+IFERROR(IF(Z451="",0,Z451),"0")+IFERROR(IF(Z452="",0,Z452),"0")+IFERROR(IF(Z453="",0,Z453),"0")</f>
        <v>1.36344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600</v>
      </c>
      <c r="Y455" s="547">
        <f>IFERROR(SUM(Y448:Y453),"0")</f>
        <v>601.92000000000007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8000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8038.5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8453.0929292929286</v>
      </c>
      <c r="Y489" s="547">
        <f>IFERROR(SUM(BN22:BN485),"0")</f>
        <v>8493.84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15</v>
      </c>
      <c r="Y490" s="38">
        <f>ROUNDUP(SUM(BP22:BP485),0)</f>
        <v>15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8828.0929292929286</v>
      </c>
      <c r="Y491" s="547">
        <f>GrossWeightTotalR+PalletQtyTotalR*25</f>
        <v>8868.84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1368.891478891479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1375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16.75956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45</v>
      </c>
      <c r="E498" s="46">
        <f>IFERROR(Y84*1,"0")+IFERROR(Y85*1,"0")+IFERROR(Y86*1,"0")+IFERROR(Y87*1,"0")+IFERROR(Y91*1,"0")+IFERROR(Y92*1,"0")+IFERROR(Y93*1,"0")+IFERROR(Y94*1,"0")</f>
        <v>490.5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585.9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420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604.20000000000005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405.59999999999997</v>
      </c>
      <c r="R498" s="46">
        <f>IFERROR(Y340*1,"0")+IFERROR(Y341*1,"0")+IFERROR(Y342*1,"0")</f>
        <v>35.700000000000003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1800</v>
      </c>
      <c r="T498" s="46">
        <f>IFERROR(Y373*1,"0")+IFERROR(Y374*1,"0")+IFERROR(Y378*1,"0")+IFERROR(Y379*1,"0")+IFERROR(Y383*1,"0")+IFERROR(Y384*1,"0")+IFERROR(Y385*1,"0")</f>
        <v>2106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1504.8000000000002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