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38E9E7A8-0F80-447F-8E5C-6D73DA0208E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98" i="1" l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Y472" i="1"/>
  <c r="X472" i="1"/>
  <c r="BP471" i="1"/>
  <c r="BO471" i="1"/>
  <c r="BN471" i="1"/>
  <c r="BM471" i="1"/>
  <c r="Z471" i="1"/>
  <c r="Z472" i="1" s="1"/>
  <c r="Y471" i="1"/>
  <c r="Y473" i="1" s="1"/>
  <c r="P471" i="1"/>
  <c r="X469" i="1"/>
  <c r="X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Y463" i="1" s="1"/>
  <c r="P459" i="1"/>
  <c r="X455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X423" i="1"/>
  <c r="Y422" i="1"/>
  <c r="X422" i="1"/>
  <c r="BP421" i="1"/>
  <c r="BO421" i="1"/>
  <c r="BN421" i="1"/>
  <c r="BM421" i="1"/>
  <c r="Z421" i="1"/>
  <c r="Z422" i="1" s="1"/>
  <c r="Y421" i="1"/>
  <c r="Y423" i="1" s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P403" i="1"/>
  <c r="BO403" i="1"/>
  <c r="BN403" i="1"/>
  <c r="BM403" i="1"/>
  <c r="Z403" i="1"/>
  <c r="Y403" i="1"/>
  <c r="P403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X387" i="1"/>
  <c r="Y386" i="1"/>
  <c r="X386" i="1"/>
  <c r="BP385" i="1"/>
  <c r="BO385" i="1"/>
  <c r="BN385" i="1"/>
  <c r="BM385" i="1"/>
  <c r="Z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Y387" i="1" s="1"/>
  <c r="P383" i="1"/>
  <c r="X381" i="1"/>
  <c r="X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P373" i="1"/>
  <c r="X370" i="1"/>
  <c r="Y369" i="1"/>
  <c r="X369" i="1"/>
  <c r="BP368" i="1"/>
  <c r="BO368" i="1"/>
  <c r="BN368" i="1"/>
  <c r="BM368" i="1"/>
  <c r="Z368" i="1"/>
  <c r="Z369" i="1" s="1"/>
  <c r="Y368" i="1"/>
  <c r="Y370" i="1" s="1"/>
  <c r="P368" i="1"/>
  <c r="X366" i="1"/>
  <c r="Y365" i="1"/>
  <c r="X365" i="1"/>
  <c r="BP364" i="1"/>
  <c r="BO364" i="1"/>
  <c r="BN364" i="1"/>
  <c r="BM364" i="1"/>
  <c r="Z364" i="1"/>
  <c r="Y364" i="1"/>
  <c r="P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Y360" i="1" s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X344" i="1"/>
  <c r="Y343" i="1"/>
  <c r="X343" i="1"/>
  <c r="BP342" i="1"/>
  <c r="BO342" i="1"/>
  <c r="BN342" i="1"/>
  <c r="BM342" i="1"/>
  <c r="Z342" i="1"/>
  <c r="Y342" i="1"/>
  <c r="P342" i="1"/>
  <c r="BO341" i="1"/>
  <c r="BN341" i="1"/>
  <c r="BM341" i="1"/>
  <c r="Z341" i="1"/>
  <c r="Y341" i="1"/>
  <c r="BP341" i="1" s="1"/>
  <c r="P341" i="1"/>
  <c r="BO340" i="1"/>
  <c r="BM340" i="1"/>
  <c r="Y340" i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Y330" i="1" s="1"/>
  <c r="P326" i="1"/>
  <c r="X324" i="1"/>
  <c r="X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X302" i="1"/>
  <c r="X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X293" i="1"/>
  <c r="Y292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P253" i="1"/>
  <c r="BO253" i="1"/>
  <c r="BN253" i="1"/>
  <c r="BM253" i="1"/>
  <c r="Z253" i="1"/>
  <c r="Y253" i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X229" i="1"/>
  <c r="X228" i="1"/>
  <c r="BO227" i="1"/>
  <c r="BM227" i="1"/>
  <c r="Y227" i="1"/>
  <c r="P227" i="1"/>
  <c r="BP226" i="1"/>
  <c r="BO226" i="1"/>
  <c r="BN226" i="1"/>
  <c r="BM226" i="1"/>
  <c r="Z226" i="1"/>
  <c r="Y226" i="1"/>
  <c r="P226" i="1"/>
  <c r="X224" i="1"/>
  <c r="X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X201" i="1"/>
  <c r="X200" i="1"/>
  <c r="BO199" i="1"/>
  <c r="BM199" i="1"/>
  <c r="Z199" i="1"/>
  <c r="Y199" i="1"/>
  <c r="P199" i="1"/>
  <c r="BO198" i="1"/>
  <c r="BM198" i="1"/>
  <c r="Y198" i="1"/>
  <c r="P198" i="1"/>
  <c r="X196" i="1"/>
  <c r="X195" i="1"/>
  <c r="BO194" i="1"/>
  <c r="BM194" i="1"/>
  <c r="Y194" i="1"/>
  <c r="P194" i="1"/>
  <c r="BP193" i="1"/>
  <c r="BO193" i="1"/>
  <c r="BN193" i="1"/>
  <c r="BM193" i="1"/>
  <c r="Z193" i="1"/>
  <c r="Y193" i="1"/>
  <c r="P193" i="1"/>
  <c r="X190" i="1"/>
  <c r="Y189" i="1"/>
  <c r="X189" i="1"/>
  <c r="BP188" i="1"/>
  <c r="BO188" i="1"/>
  <c r="BN188" i="1"/>
  <c r="BM188" i="1"/>
  <c r="Z188" i="1"/>
  <c r="Z189" i="1" s="1"/>
  <c r="Y188" i="1"/>
  <c r="Y190" i="1" s="1"/>
  <c r="P188" i="1"/>
  <c r="X186" i="1"/>
  <c r="Y185" i="1"/>
  <c r="X185" i="1"/>
  <c r="BP184" i="1"/>
  <c r="BO184" i="1"/>
  <c r="BN184" i="1"/>
  <c r="BM184" i="1"/>
  <c r="Z184" i="1"/>
  <c r="Y184" i="1"/>
  <c r="P184" i="1"/>
  <c r="BO183" i="1"/>
  <c r="BM183" i="1"/>
  <c r="Y183" i="1"/>
  <c r="P183" i="1"/>
  <c r="BP182" i="1"/>
  <c r="BO182" i="1"/>
  <c r="BN182" i="1"/>
  <c r="BM182" i="1"/>
  <c r="Z182" i="1"/>
  <c r="Y182" i="1"/>
  <c r="Y186" i="1" s="1"/>
  <c r="P182" i="1"/>
  <c r="X180" i="1"/>
  <c r="X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P165" i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BP148" i="1"/>
  <c r="BO148" i="1"/>
  <c r="BN148" i="1"/>
  <c r="BM148" i="1"/>
  <c r="Z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P142" i="1"/>
  <c r="X139" i="1"/>
  <c r="Y138" i="1"/>
  <c r="X138" i="1"/>
  <c r="BP137" i="1"/>
  <c r="BO137" i="1"/>
  <c r="BN137" i="1"/>
  <c r="BM137" i="1"/>
  <c r="Z137" i="1"/>
  <c r="Y137" i="1"/>
  <c r="P137" i="1"/>
  <c r="BO136" i="1"/>
  <c r="BM136" i="1"/>
  <c r="Y136" i="1"/>
  <c r="P136" i="1"/>
  <c r="X134" i="1"/>
  <c r="X133" i="1"/>
  <c r="BO132" i="1"/>
  <c r="BM132" i="1"/>
  <c r="Y132" i="1"/>
  <c r="P132" i="1"/>
  <c r="BP131" i="1"/>
  <c r="BO131" i="1"/>
  <c r="BN131" i="1"/>
  <c r="BM131" i="1"/>
  <c r="Z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BP114" i="1"/>
  <c r="BO114" i="1"/>
  <c r="BN114" i="1"/>
  <c r="BM114" i="1"/>
  <c r="Z114" i="1"/>
  <c r="Y114" i="1"/>
  <c r="Y118" i="1" s="1"/>
  <c r="P114" i="1"/>
  <c r="X112" i="1"/>
  <c r="X111" i="1"/>
  <c r="BP110" i="1"/>
  <c r="BO110" i="1"/>
  <c r="BN110" i="1"/>
  <c r="BM110" i="1"/>
  <c r="Z110" i="1"/>
  <c r="Y110" i="1"/>
  <c r="P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P91" i="1"/>
  <c r="BO91" i="1"/>
  <c r="BN91" i="1"/>
  <c r="BM91" i="1"/>
  <c r="Z91" i="1"/>
  <c r="Y91" i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BO84" i="1"/>
  <c r="BM84" i="1"/>
  <c r="Y84" i="1"/>
  <c r="P84" i="1"/>
  <c r="X81" i="1"/>
  <c r="X80" i="1"/>
  <c r="BO79" i="1"/>
  <c r="BM79" i="1"/>
  <c r="Y79" i="1"/>
  <c r="P79" i="1"/>
  <c r="BP78" i="1"/>
  <c r="BO78" i="1"/>
  <c r="BN78" i="1"/>
  <c r="BM78" i="1"/>
  <c r="Z78" i="1"/>
  <c r="Y78" i="1"/>
  <c r="P78" i="1"/>
  <c r="X76" i="1"/>
  <c r="X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P67" i="1"/>
  <c r="BP66" i="1"/>
  <c r="BO66" i="1"/>
  <c r="BN66" i="1"/>
  <c r="BM66" i="1"/>
  <c r="Z66" i="1"/>
  <c r="Y66" i="1"/>
  <c r="P66" i="1"/>
  <c r="X64" i="1"/>
  <c r="Y63" i="1"/>
  <c r="X63" i="1"/>
  <c r="BP62" i="1"/>
  <c r="BO62" i="1"/>
  <c r="BN62" i="1"/>
  <c r="BM62" i="1"/>
  <c r="Z62" i="1"/>
  <c r="Y62" i="1"/>
  <c r="P62" i="1"/>
  <c r="BO61" i="1"/>
  <c r="BM61" i="1"/>
  <c r="Y61" i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P55" i="1"/>
  <c r="BP54" i="1"/>
  <c r="BO54" i="1"/>
  <c r="BN54" i="1"/>
  <c r="BM54" i="1"/>
  <c r="Z54" i="1"/>
  <c r="Y54" i="1"/>
  <c r="P54" i="1"/>
  <c r="BO53" i="1"/>
  <c r="BM53" i="1"/>
  <c r="Y53" i="1"/>
  <c r="P53" i="1"/>
  <c r="BP52" i="1"/>
  <c r="BO52" i="1"/>
  <c r="BN52" i="1"/>
  <c r="BM52" i="1"/>
  <c r="Z52" i="1"/>
  <c r="Y52" i="1"/>
  <c r="P52" i="1"/>
  <c r="BO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2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195" i="1" l="1"/>
  <c r="Z228" i="1"/>
  <c r="Y25" i="1"/>
  <c r="Y31" i="1"/>
  <c r="Y43" i="1"/>
  <c r="BP55" i="1"/>
  <c r="BN55" i="1"/>
  <c r="Z55" i="1"/>
  <c r="BP67" i="1"/>
  <c r="BN67" i="1"/>
  <c r="Z67" i="1"/>
  <c r="Z68" i="1" s="1"/>
  <c r="Y69" i="1"/>
  <c r="Y76" i="1"/>
  <c r="BP71" i="1"/>
  <c r="BN71" i="1"/>
  <c r="Z71" i="1"/>
  <c r="Y75" i="1"/>
  <c r="BP79" i="1"/>
  <c r="BN79" i="1"/>
  <c r="Z79" i="1"/>
  <c r="Z80" i="1" s="1"/>
  <c r="Y81" i="1"/>
  <c r="E498" i="1"/>
  <c r="Y89" i="1"/>
  <c r="BP84" i="1"/>
  <c r="BN84" i="1"/>
  <c r="Z84" i="1"/>
  <c r="Y88" i="1"/>
  <c r="BP92" i="1"/>
  <c r="BN92" i="1"/>
  <c r="Z92" i="1"/>
  <c r="Z95" i="1" s="1"/>
  <c r="BP101" i="1"/>
  <c r="BN101" i="1"/>
  <c r="Z101" i="1"/>
  <c r="BP109" i="1"/>
  <c r="BN109" i="1"/>
  <c r="Z109" i="1"/>
  <c r="BP117" i="1"/>
  <c r="BN117" i="1"/>
  <c r="Z117" i="1"/>
  <c r="Y119" i="1"/>
  <c r="Y122" i="1"/>
  <c r="BP121" i="1"/>
  <c r="BN121" i="1"/>
  <c r="Z121" i="1"/>
  <c r="Z122" i="1" s="1"/>
  <c r="Y123" i="1"/>
  <c r="G498" i="1"/>
  <c r="Y129" i="1"/>
  <c r="BP126" i="1"/>
  <c r="BN126" i="1"/>
  <c r="Z126" i="1"/>
  <c r="Z128" i="1" s="1"/>
  <c r="BP143" i="1"/>
  <c r="BN143" i="1"/>
  <c r="Z143" i="1"/>
  <c r="Z144" i="1" s="1"/>
  <c r="Y145" i="1"/>
  <c r="Y152" i="1"/>
  <c r="BP147" i="1"/>
  <c r="BN147" i="1"/>
  <c r="Z147" i="1"/>
  <c r="Z152" i="1" s="1"/>
  <c r="BP151" i="1"/>
  <c r="BN151" i="1"/>
  <c r="Z151" i="1"/>
  <c r="Y153" i="1"/>
  <c r="Y156" i="1"/>
  <c r="BP155" i="1"/>
  <c r="BN155" i="1"/>
  <c r="Z155" i="1"/>
  <c r="Z156" i="1" s="1"/>
  <c r="Y157" i="1"/>
  <c r="I498" i="1"/>
  <c r="Y162" i="1"/>
  <c r="BP161" i="1"/>
  <c r="BN161" i="1"/>
  <c r="Z161" i="1"/>
  <c r="Z162" i="1" s="1"/>
  <c r="Y163" i="1"/>
  <c r="Y180" i="1"/>
  <c r="BP165" i="1"/>
  <c r="BN165" i="1"/>
  <c r="Z165" i="1"/>
  <c r="BP169" i="1"/>
  <c r="BN169" i="1"/>
  <c r="Z169" i="1"/>
  <c r="BP173" i="1"/>
  <c r="BN173" i="1"/>
  <c r="Z173" i="1"/>
  <c r="BP177" i="1"/>
  <c r="BN177" i="1"/>
  <c r="Z177" i="1"/>
  <c r="BP194" i="1"/>
  <c r="BN194" i="1"/>
  <c r="Z194" i="1"/>
  <c r="Y196" i="1"/>
  <c r="Y200" i="1"/>
  <c r="BP198" i="1"/>
  <c r="BN198" i="1"/>
  <c r="Z198" i="1"/>
  <c r="Z200" i="1" s="1"/>
  <c r="BP297" i="1"/>
  <c r="BN297" i="1"/>
  <c r="Z297" i="1"/>
  <c r="Z301" i="1" s="1"/>
  <c r="Q498" i="1"/>
  <c r="Y301" i="1"/>
  <c r="BP305" i="1"/>
  <c r="BN305" i="1"/>
  <c r="Z305" i="1"/>
  <c r="Z310" i="1" s="1"/>
  <c r="BP309" i="1"/>
  <c r="BN309" i="1"/>
  <c r="Z309" i="1"/>
  <c r="Y311" i="1"/>
  <c r="Y318" i="1"/>
  <c r="BP313" i="1"/>
  <c r="BN313" i="1"/>
  <c r="Z313" i="1"/>
  <c r="Y317" i="1"/>
  <c r="BP321" i="1"/>
  <c r="BN321" i="1"/>
  <c r="Z321" i="1"/>
  <c r="Z323" i="1" s="1"/>
  <c r="Y323" i="1"/>
  <c r="Z375" i="1"/>
  <c r="H498" i="1"/>
  <c r="H9" i="1"/>
  <c r="B498" i="1"/>
  <c r="X489" i="1"/>
  <c r="X491" i="1" s="1"/>
  <c r="X490" i="1"/>
  <c r="Z23" i="1"/>
  <c r="Z24" i="1" s="1"/>
  <c r="BN23" i="1"/>
  <c r="Y24" i="1"/>
  <c r="X488" i="1"/>
  <c r="Z27" i="1"/>
  <c r="Z31" i="1" s="1"/>
  <c r="BN27" i="1"/>
  <c r="BP27" i="1"/>
  <c r="Y490" i="1" s="1"/>
  <c r="Z29" i="1"/>
  <c r="BN29" i="1"/>
  <c r="Y489" i="1" s="1"/>
  <c r="Y491" i="1" s="1"/>
  <c r="C498" i="1"/>
  <c r="Z41" i="1"/>
  <c r="Z43" i="1" s="1"/>
  <c r="BN41" i="1"/>
  <c r="Y44" i="1"/>
  <c r="D498" i="1"/>
  <c r="Y58" i="1"/>
  <c r="BP51" i="1"/>
  <c r="BN51" i="1"/>
  <c r="BP53" i="1"/>
  <c r="BN53" i="1"/>
  <c r="Z53" i="1"/>
  <c r="Z57" i="1" s="1"/>
  <c r="Y57" i="1"/>
  <c r="BP61" i="1"/>
  <c r="BN61" i="1"/>
  <c r="Z61" i="1"/>
  <c r="Z63" i="1" s="1"/>
  <c r="Y68" i="1"/>
  <c r="BP73" i="1"/>
  <c r="BN73" i="1"/>
  <c r="Z73" i="1"/>
  <c r="Y80" i="1"/>
  <c r="BP86" i="1"/>
  <c r="BN86" i="1"/>
  <c r="Z86" i="1"/>
  <c r="Y95" i="1"/>
  <c r="BP94" i="1"/>
  <c r="BN94" i="1"/>
  <c r="Z94" i="1"/>
  <c r="Y96" i="1"/>
  <c r="F498" i="1"/>
  <c r="Y104" i="1"/>
  <c r="BP99" i="1"/>
  <c r="BN99" i="1"/>
  <c r="Z99" i="1"/>
  <c r="Z104" i="1" s="1"/>
  <c r="BP103" i="1"/>
  <c r="BN103" i="1"/>
  <c r="Z103" i="1"/>
  <c r="Y105" i="1"/>
  <c r="Y112" i="1"/>
  <c r="BP107" i="1"/>
  <c r="BN107" i="1"/>
  <c r="Z107" i="1"/>
  <c r="Z111" i="1" s="1"/>
  <c r="Y111" i="1"/>
  <c r="BP115" i="1"/>
  <c r="BN115" i="1"/>
  <c r="Z115" i="1"/>
  <c r="Z118" i="1" s="1"/>
  <c r="Y128" i="1"/>
  <c r="BP132" i="1"/>
  <c r="BN132" i="1"/>
  <c r="Z132" i="1"/>
  <c r="Z133" i="1" s="1"/>
  <c r="Y134" i="1"/>
  <c r="Y139" i="1"/>
  <c r="BP136" i="1"/>
  <c r="BN136" i="1"/>
  <c r="Z136" i="1"/>
  <c r="Z138" i="1" s="1"/>
  <c r="Y144" i="1"/>
  <c r="BP149" i="1"/>
  <c r="BN149" i="1"/>
  <c r="Z149" i="1"/>
  <c r="BP167" i="1"/>
  <c r="BN167" i="1"/>
  <c r="Z167" i="1"/>
  <c r="BP171" i="1"/>
  <c r="BN171" i="1"/>
  <c r="Z171" i="1"/>
  <c r="BP175" i="1"/>
  <c r="BN175" i="1"/>
  <c r="Z175" i="1"/>
  <c r="Y179" i="1"/>
  <c r="Z185" i="1"/>
  <c r="BP183" i="1"/>
  <c r="BN183" i="1"/>
  <c r="Z183" i="1"/>
  <c r="Y201" i="1"/>
  <c r="Y212" i="1"/>
  <c r="BP203" i="1"/>
  <c r="BN203" i="1"/>
  <c r="Z203" i="1"/>
  <c r="BP207" i="1"/>
  <c r="BN207" i="1"/>
  <c r="Z207" i="1"/>
  <c r="Y211" i="1"/>
  <c r="BP215" i="1"/>
  <c r="BN215" i="1"/>
  <c r="Z215" i="1"/>
  <c r="Z223" i="1" s="1"/>
  <c r="BP219" i="1"/>
  <c r="BN219" i="1"/>
  <c r="Z219" i="1"/>
  <c r="Y223" i="1"/>
  <c r="BP227" i="1"/>
  <c r="BN227" i="1"/>
  <c r="Z227" i="1"/>
  <c r="Y229" i="1"/>
  <c r="K498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Z257" i="1" s="1"/>
  <c r="BP256" i="1"/>
  <c r="BN256" i="1"/>
  <c r="Z256" i="1"/>
  <c r="Y258" i="1"/>
  <c r="L498" i="1"/>
  <c r="Y266" i="1"/>
  <c r="BP261" i="1"/>
  <c r="BN261" i="1"/>
  <c r="Z261" i="1"/>
  <c r="BP265" i="1"/>
  <c r="BN265" i="1"/>
  <c r="Z265" i="1"/>
  <c r="Y267" i="1"/>
  <c r="M498" i="1"/>
  <c r="Y275" i="1"/>
  <c r="BP270" i="1"/>
  <c r="BN270" i="1"/>
  <c r="Z270" i="1"/>
  <c r="Z274" i="1" s="1"/>
  <c r="Y274" i="1"/>
  <c r="Z281" i="1"/>
  <c r="BP279" i="1"/>
  <c r="BN279" i="1"/>
  <c r="Z279" i="1"/>
  <c r="Y281" i="1"/>
  <c r="BP329" i="1"/>
  <c r="BN329" i="1"/>
  <c r="Z329" i="1"/>
  <c r="Y331" i="1"/>
  <c r="Y336" i="1"/>
  <c r="BP333" i="1"/>
  <c r="BN333" i="1"/>
  <c r="Z333" i="1"/>
  <c r="Y337" i="1"/>
  <c r="BP349" i="1"/>
  <c r="BN349" i="1"/>
  <c r="Z349" i="1"/>
  <c r="Z355" i="1" s="1"/>
  <c r="Y355" i="1"/>
  <c r="BP353" i="1"/>
  <c r="BN353" i="1"/>
  <c r="Z353" i="1"/>
  <c r="BP392" i="1"/>
  <c r="BN392" i="1"/>
  <c r="Z392" i="1"/>
  <c r="U498" i="1"/>
  <c r="BP396" i="1"/>
  <c r="BN396" i="1"/>
  <c r="Z396" i="1"/>
  <c r="Y400" i="1"/>
  <c r="BP404" i="1"/>
  <c r="BN404" i="1"/>
  <c r="Z404" i="1"/>
  <c r="Z405" i="1" s="1"/>
  <c r="Y406" i="1"/>
  <c r="V498" i="1"/>
  <c r="Y410" i="1"/>
  <c r="BP409" i="1"/>
  <c r="BN409" i="1"/>
  <c r="Z409" i="1"/>
  <c r="Z410" i="1" s="1"/>
  <c r="Y411" i="1"/>
  <c r="Y418" i="1"/>
  <c r="BP413" i="1"/>
  <c r="BN413" i="1"/>
  <c r="Z413" i="1"/>
  <c r="Y417" i="1"/>
  <c r="BP428" i="1"/>
  <c r="BN428" i="1"/>
  <c r="Z428" i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Z454" i="1" s="1"/>
  <c r="Y454" i="1"/>
  <c r="BP452" i="1"/>
  <c r="BN452" i="1"/>
  <c r="Z452" i="1"/>
  <c r="J498" i="1"/>
  <c r="Y195" i="1"/>
  <c r="BP199" i="1"/>
  <c r="BN199" i="1"/>
  <c r="BP205" i="1"/>
  <c r="BN205" i="1"/>
  <c r="Z205" i="1"/>
  <c r="BP209" i="1"/>
  <c r="BN209" i="1"/>
  <c r="Z209" i="1"/>
  <c r="Y224" i="1"/>
  <c r="BP217" i="1"/>
  <c r="BN217" i="1"/>
  <c r="Z217" i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Z287" i="1" s="1"/>
  <c r="Y288" i="1"/>
  <c r="Y293" i="1"/>
  <c r="BP290" i="1"/>
  <c r="BN290" i="1"/>
  <c r="Z290" i="1"/>
  <c r="Z292" i="1" s="1"/>
  <c r="Y302" i="1"/>
  <c r="BP299" i="1"/>
  <c r="BN299" i="1"/>
  <c r="Z299" i="1"/>
  <c r="Y310" i="1"/>
  <c r="BP307" i="1"/>
  <c r="BN307" i="1"/>
  <c r="Z307" i="1"/>
  <c r="BP315" i="1"/>
  <c r="BN315" i="1"/>
  <c r="Z315" i="1"/>
  <c r="Y324" i="1"/>
  <c r="BP327" i="1"/>
  <c r="BN327" i="1"/>
  <c r="Z327" i="1"/>
  <c r="Z330" i="1" s="1"/>
  <c r="BP335" i="1"/>
  <c r="BN335" i="1"/>
  <c r="Z335" i="1"/>
  <c r="R498" i="1"/>
  <c r="Y344" i="1"/>
  <c r="BP340" i="1"/>
  <c r="BN340" i="1"/>
  <c r="Z340" i="1"/>
  <c r="Z343" i="1" s="1"/>
  <c r="BP374" i="1"/>
  <c r="BN374" i="1"/>
  <c r="Z374" i="1"/>
  <c r="Y376" i="1"/>
  <c r="Y381" i="1"/>
  <c r="BP378" i="1"/>
  <c r="BN378" i="1"/>
  <c r="Z378" i="1"/>
  <c r="Z380" i="1" s="1"/>
  <c r="Y380" i="1"/>
  <c r="O498" i="1"/>
  <c r="Y282" i="1"/>
  <c r="P498" i="1"/>
  <c r="Y287" i="1"/>
  <c r="S498" i="1"/>
  <c r="BP351" i="1"/>
  <c r="BN351" i="1"/>
  <c r="Z351" i="1"/>
  <c r="BP359" i="1"/>
  <c r="BN359" i="1"/>
  <c r="Z359" i="1"/>
  <c r="Z360" i="1" s="1"/>
  <c r="Y361" i="1"/>
  <c r="Y366" i="1"/>
  <c r="BP363" i="1"/>
  <c r="BN363" i="1"/>
  <c r="Z363" i="1"/>
  <c r="Z365" i="1" s="1"/>
  <c r="Z386" i="1"/>
  <c r="BP384" i="1"/>
  <c r="BN384" i="1"/>
  <c r="Z384" i="1"/>
  <c r="Y401" i="1"/>
  <c r="BP394" i="1"/>
  <c r="BN394" i="1"/>
  <c r="Z394" i="1"/>
  <c r="BP398" i="1"/>
  <c r="BN398" i="1"/>
  <c r="Z398" i="1"/>
  <c r="Z400" i="1" s="1"/>
  <c r="Y405" i="1"/>
  <c r="BP415" i="1"/>
  <c r="BN415" i="1"/>
  <c r="Z415" i="1"/>
  <c r="BP462" i="1"/>
  <c r="BN462" i="1"/>
  <c r="Z462" i="1"/>
  <c r="Y464" i="1"/>
  <c r="Y469" i="1"/>
  <c r="BP466" i="1"/>
  <c r="BN466" i="1"/>
  <c r="Z466" i="1"/>
  <c r="Z468" i="1" s="1"/>
  <c r="Y468" i="1"/>
  <c r="Z481" i="1"/>
  <c r="Y498" i="1"/>
  <c r="Y356" i="1"/>
  <c r="T498" i="1"/>
  <c r="Y375" i="1"/>
  <c r="X498" i="1"/>
  <c r="BP430" i="1"/>
  <c r="BN430" i="1"/>
  <c r="Z430" i="1"/>
  <c r="Z439" i="1" s="1"/>
  <c r="BP434" i="1"/>
  <c r="BN434" i="1"/>
  <c r="Z434" i="1"/>
  <c r="BP438" i="1"/>
  <c r="BN438" i="1"/>
  <c r="Z438" i="1"/>
  <c r="Y445" i="1"/>
  <c r="BP442" i="1"/>
  <c r="BN442" i="1"/>
  <c r="Z442" i="1"/>
  <c r="Z445" i="1" s="1"/>
  <c r="BP450" i="1"/>
  <c r="BN450" i="1"/>
  <c r="Z450" i="1"/>
  <c r="BP460" i="1"/>
  <c r="BN460" i="1"/>
  <c r="Z460" i="1"/>
  <c r="Z463" i="1" s="1"/>
  <c r="BP480" i="1"/>
  <c r="BN480" i="1"/>
  <c r="Z480" i="1"/>
  <c r="Y482" i="1"/>
  <c r="Z498" i="1"/>
  <c r="Y486" i="1"/>
  <c r="BP485" i="1"/>
  <c r="BN485" i="1"/>
  <c r="Z485" i="1"/>
  <c r="Z486" i="1" s="1"/>
  <c r="Y487" i="1"/>
  <c r="Y439" i="1"/>
  <c r="Z417" i="1" l="1"/>
  <c r="Z211" i="1"/>
  <c r="Y492" i="1"/>
  <c r="Z88" i="1"/>
  <c r="Z75" i="1"/>
  <c r="Z493" i="1" s="1"/>
  <c r="Y488" i="1"/>
  <c r="Z336" i="1"/>
  <c r="Z266" i="1"/>
  <c r="Z241" i="1"/>
  <c r="Z317" i="1"/>
  <c r="Z179" i="1"/>
</calcChain>
</file>

<file path=xl/sharedStrings.xml><?xml version="1.0" encoding="utf-8"?>
<sst xmlns="http://schemas.openxmlformats.org/spreadsheetml/2006/main" count="2255" uniqueCount="767">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</sst>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4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7" t="s">
        <v>0</v>
      </c>
      <c r="E1" s="576"/>
      <c r="F1" s="576"/>
      <c r="G1" s="12" t="s">
        <v>1</v>
      </c>
      <c r="H1" s="627" t="s">
        <v>2</v>
      </c>
      <c r="I1" s="576"/>
      <c r="J1" s="576"/>
      <c r="K1" s="576"/>
      <c r="L1" s="576"/>
      <c r="M1" s="576"/>
      <c r="N1" s="576"/>
      <c r="O1" s="576"/>
      <c r="P1" s="576"/>
      <c r="Q1" s="576"/>
      <c r="R1" s="575" t="s">
        <v>3</v>
      </c>
      <c r="S1" s="576"/>
      <c r="T1" s="57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1" t="s">
        <v>8</v>
      </c>
      <c r="B5" s="647"/>
      <c r="C5" s="648"/>
      <c r="D5" s="631"/>
      <c r="E5" s="632"/>
      <c r="F5" s="833" t="s">
        <v>9</v>
      </c>
      <c r="G5" s="648"/>
      <c r="H5" s="631"/>
      <c r="I5" s="779"/>
      <c r="J5" s="779"/>
      <c r="K5" s="779"/>
      <c r="L5" s="779"/>
      <c r="M5" s="632"/>
      <c r="N5" s="58"/>
      <c r="P5" s="24" t="s">
        <v>10</v>
      </c>
      <c r="Q5" s="844">
        <v>46048</v>
      </c>
      <c r="R5" s="670"/>
      <c r="T5" s="716" t="s">
        <v>11</v>
      </c>
      <c r="U5" s="717"/>
      <c r="V5" s="718" t="s">
        <v>12</v>
      </c>
      <c r="W5" s="670"/>
      <c r="AB5" s="51"/>
      <c r="AC5" s="51"/>
      <c r="AD5" s="51"/>
      <c r="AE5" s="51"/>
    </row>
    <row r="6" spans="1:32" s="539" customFormat="1" ht="24" customHeight="1" x14ac:dyDescent="0.2">
      <c r="A6" s="671" t="s">
        <v>13</v>
      </c>
      <c r="B6" s="647"/>
      <c r="C6" s="648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70"/>
      <c r="N6" s="59"/>
      <c r="P6" s="24" t="s">
        <v>15</v>
      </c>
      <c r="Q6" s="852" t="str">
        <f>IF(Q5=0," ",CHOOSE(WEEKDAY(Q5,2),"Понедельник","Вторник","Среда","Четверг","Пятница","Суббота","Воскресенье"))</f>
        <v>Понедельник</v>
      </c>
      <c r="R6" s="553"/>
      <c r="T6" s="722" t="s">
        <v>16</v>
      </c>
      <c r="U6" s="717"/>
      <c r="V6" s="764" t="s">
        <v>17</v>
      </c>
      <c r="W6" s="597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59"/>
      <c r="U7" s="717"/>
      <c r="V7" s="765"/>
      <c r="W7" s="766"/>
      <c r="AB7" s="51"/>
      <c r="AC7" s="51"/>
      <c r="AD7" s="51"/>
      <c r="AE7" s="51"/>
    </row>
    <row r="8" spans="1:32" s="539" customFormat="1" ht="25.5" customHeight="1" x14ac:dyDescent="0.2">
      <c r="A8" s="864" t="s">
        <v>18</v>
      </c>
      <c r="B8" s="562"/>
      <c r="C8" s="563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2">
        <v>0.41666666666666669</v>
      </c>
      <c r="R8" s="609"/>
      <c r="T8" s="559"/>
      <c r="U8" s="717"/>
      <c r="V8" s="765"/>
      <c r="W8" s="766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3"/>
      <c r="E9" s="565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4" t="str">
        <f>IF(AND($A$9="Тип доверенности/получателя при получении в адресе перегруза:",$D$9="Разовая доверенность"),"Введите ФИО","")</f>
        <v/>
      </c>
      <c r="I9" s="565"/>
      <c r="J9" s="5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5"/>
      <c r="L9" s="565"/>
      <c r="M9" s="565"/>
      <c r="N9" s="537"/>
      <c r="P9" s="26" t="s">
        <v>21</v>
      </c>
      <c r="Q9" s="665"/>
      <c r="R9" s="666"/>
      <c r="T9" s="559"/>
      <c r="U9" s="717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3"/>
      <c r="E10" s="565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3"/>
      <c r="R10" s="724"/>
      <c r="U10" s="24" t="s">
        <v>23</v>
      </c>
      <c r="V10" s="596" t="s">
        <v>24</v>
      </c>
      <c r="W10" s="597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9"/>
      <c r="R11" s="670"/>
      <c r="U11" s="24" t="s">
        <v>27</v>
      </c>
      <c r="V11" s="803" t="s">
        <v>28</v>
      </c>
      <c r="W11" s="666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3" t="s">
        <v>29</v>
      </c>
      <c r="B12" s="647"/>
      <c r="C12" s="647"/>
      <c r="D12" s="647"/>
      <c r="E12" s="647"/>
      <c r="F12" s="647"/>
      <c r="G12" s="647"/>
      <c r="H12" s="647"/>
      <c r="I12" s="647"/>
      <c r="J12" s="647"/>
      <c r="K12" s="647"/>
      <c r="L12" s="647"/>
      <c r="M12" s="648"/>
      <c r="N12" s="62"/>
      <c r="P12" s="24" t="s">
        <v>30</v>
      </c>
      <c r="Q12" s="682"/>
      <c r="R12" s="609"/>
      <c r="S12" s="23"/>
      <c r="U12" s="24"/>
      <c r="V12" s="576"/>
      <c r="W12" s="559"/>
      <c r="AB12" s="51"/>
      <c r="AC12" s="51"/>
      <c r="AD12" s="51"/>
      <c r="AE12" s="51"/>
    </row>
    <row r="13" spans="1:32" s="539" customFormat="1" ht="23.25" customHeight="1" x14ac:dyDescent="0.2">
      <c r="A13" s="713" t="s">
        <v>31</v>
      </c>
      <c r="B13" s="647"/>
      <c r="C13" s="647"/>
      <c r="D13" s="647"/>
      <c r="E13" s="647"/>
      <c r="F13" s="647"/>
      <c r="G13" s="647"/>
      <c r="H13" s="647"/>
      <c r="I13" s="647"/>
      <c r="J13" s="647"/>
      <c r="K13" s="647"/>
      <c r="L13" s="647"/>
      <c r="M13" s="648"/>
      <c r="N13" s="62"/>
      <c r="O13" s="26"/>
      <c r="P13" s="26" t="s">
        <v>32</v>
      </c>
      <c r="Q13" s="803"/>
      <c r="R13" s="6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3" t="s">
        <v>33</v>
      </c>
      <c r="B14" s="647"/>
      <c r="C14" s="647"/>
      <c r="D14" s="647"/>
      <c r="E14" s="647"/>
      <c r="F14" s="647"/>
      <c r="G14" s="647"/>
      <c r="H14" s="647"/>
      <c r="I14" s="647"/>
      <c r="J14" s="647"/>
      <c r="K14" s="647"/>
      <c r="L14" s="647"/>
      <c r="M14" s="64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4" t="s">
        <v>34</v>
      </c>
      <c r="B15" s="647"/>
      <c r="C15" s="647"/>
      <c r="D15" s="647"/>
      <c r="E15" s="647"/>
      <c r="F15" s="647"/>
      <c r="G15" s="647"/>
      <c r="H15" s="647"/>
      <c r="I15" s="647"/>
      <c r="J15" s="647"/>
      <c r="K15" s="647"/>
      <c r="L15" s="647"/>
      <c r="M15" s="648"/>
      <c r="N15" s="63"/>
      <c r="P15" s="704" t="s">
        <v>35</v>
      </c>
      <c r="Q15" s="576"/>
      <c r="R15" s="576"/>
      <c r="S15" s="576"/>
      <c r="T15" s="57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0" t="s">
        <v>36</v>
      </c>
      <c r="B17" s="590" t="s">
        <v>37</v>
      </c>
      <c r="C17" s="688" t="s">
        <v>38</v>
      </c>
      <c r="D17" s="590" t="s">
        <v>39</v>
      </c>
      <c r="E17" s="652"/>
      <c r="F17" s="590" t="s">
        <v>40</v>
      </c>
      <c r="G17" s="590" t="s">
        <v>41</v>
      </c>
      <c r="H17" s="590" t="s">
        <v>42</v>
      </c>
      <c r="I17" s="590" t="s">
        <v>43</v>
      </c>
      <c r="J17" s="590" t="s">
        <v>44</v>
      </c>
      <c r="K17" s="590" t="s">
        <v>45</v>
      </c>
      <c r="L17" s="590" t="s">
        <v>46</v>
      </c>
      <c r="M17" s="590" t="s">
        <v>47</v>
      </c>
      <c r="N17" s="590" t="s">
        <v>48</v>
      </c>
      <c r="O17" s="590" t="s">
        <v>49</v>
      </c>
      <c r="P17" s="590" t="s">
        <v>50</v>
      </c>
      <c r="Q17" s="651"/>
      <c r="R17" s="651"/>
      <c r="S17" s="651"/>
      <c r="T17" s="652"/>
      <c r="U17" s="860" t="s">
        <v>51</v>
      </c>
      <c r="V17" s="648"/>
      <c r="W17" s="590" t="s">
        <v>52</v>
      </c>
      <c r="X17" s="590" t="s">
        <v>53</v>
      </c>
      <c r="Y17" s="861" t="s">
        <v>54</v>
      </c>
      <c r="Z17" s="777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28"/>
      <c r="AF17" s="829"/>
      <c r="AG17" s="66"/>
      <c r="BD17" s="65" t="s">
        <v>60</v>
      </c>
    </row>
    <row r="18" spans="1:68" ht="14.25" customHeight="1" x14ac:dyDescent="0.2">
      <c r="A18" s="591"/>
      <c r="B18" s="591"/>
      <c r="C18" s="591"/>
      <c r="D18" s="653"/>
      <c r="E18" s="655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91"/>
      <c r="X18" s="591"/>
      <c r="Y18" s="862"/>
      <c r="Z18" s="778"/>
      <c r="AA18" s="757"/>
      <c r="AB18" s="757"/>
      <c r="AC18" s="757"/>
      <c r="AD18" s="830"/>
      <c r="AE18" s="831"/>
      <c r="AF18" s="832"/>
      <c r="AG18" s="66"/>
      <c r="BD18" s="65"/>
    </row>
    <row r="19" spans="1:68" ht="27.75" customHeight="1" x14ac:dyDescent="0.2">
      <c r="A19" s="639" t="s">
        <v>63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48"/>
      <c r="AB19" s="48"/>
      <c r="AC19" s="48"/>
    </row>
    <row r="20" spans="1:68" ht="16.5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70"/>
      <c r="B31" s="559"/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71"/>
      <c r="P31" s="561" t="s">
        <v>75</v>
      </c>
      <c r="Q31" s="562"/>
      <c r="R31" s="562"/>
      <c r="S31" s="562"/>
      <c r="T31" s="562"/>
      <c r="U31" s="562"/>
      <c r="V31" s="563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x14ac:dyDescent="0.2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1" t="s">
        <v>75</v>
      </c>
      <c r="Q32" s="562"/>
      <c r="R32" s="562"/>
      <c r="S32" s="562"/>
      <c r="T32" s="562"/>
      <c r="U32" s="562"/>
      <c r="V32" s="563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customHeight="1" x14ac:dyDescent="0.25">
      <c r="A33" s="558" t="s">
        <v>91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41"/>
      <c r="AB33" s="541"/>
      <c r="AC33" s="541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2">
        <v>4607091388503</v>
      </c>
      <c r="E34" s="553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70"/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71"/>
      <c r="P35" s="561" t="s">
        <v>75</v>
      </c>
      <c r="Q35" s="562"/>
      <c r="R35" s="562"/>
      <c r="S35" s="562"/>
      <c r="T35" s="562"/>
      <c r="U35" s="562"/>
      <c r="V35" s="563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x14ac:dyDescent="0.2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1" t="s">
        <v>75</v>
      </c>
      <c r="Q36" s="562"/>
      <c r="R36" s="562"/>
      <c r="S36" s="562"/>
      <c r="T36" s="562"/>
      <c r="U36" s="562"/>
      <c r="V36" s="563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customHeight="1" x14ac:dyDescent="0.2">
      <c r="A37" s="639" t="s">
        <v>97</v>
      </c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0"/>
      <c r="P37" s="640"/>
      <c r="Q37" s="640"/>
      <c r="R37" s="640"/>
      <c r="S37" s="640"/>
      <c r="T37" s="640"/>
      <c r="U37" s="640"/>
      <c r="V37" s="640"/>
      <c r="W37" s="640"/>
      <c r="X37" s="640"/>
      <c r="Y37" s="640"/>
      <c r="Z37" s="640"/>
      <c r="AA37" s="48"/>
      <c r="AB37" s="48"/>
      <c r="AC37" s="48"/>
    </row>
    <row r="38" spans="1:68" ht="16.5" customHeight="1" x14ac:dyDescent="0.25">
      <c r="A38" s="560" t="s">
        <v>98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40"/>
      <c r="AB38" s="540"/>
      <c r="AC38" s="540"/>
    </row>
    <row r="39" spans="1:68" ht="14.25" customHeight="1" x14ac:dyDescent="0.25">
      <c r="A39" s="558" t="s">
        <v>99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1"/>
      <c r="AB39" s="541"/>
      <c r="AC39" s="541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2">
        <v>4607091385670</v>
      </c>
      <c r="E40" s="553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5">
        <v>248</v>
      </c>
      <c r="Y40" s="546">
        <f>IFERROR(IF(X40="",0,CEILING((X40/$H40),1)*$H40),"")</f>
        <v>248.4</v>
      </c>
      <c r="Z40" s="36">
        <f>IFERROR(IF(Y40=0,"",ROUNDUP(Y40/H40,0)*0.01898),"")</f>
        <v>0.43653999999999998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257.41481481481486</v>
      </c>
      <c r="BN40" s="64">
        <f>IFERROR(Y40*I40/H40,"0")</f>
        <v>257.83</v>
      </c>
      <c r="BO40" s="64">
        <f>IFERROR(1/J40*(X40/H40),"0")</f>
        <v>0.35879629629629628</v>
      </c>
      <c r="BP40" s="64">
        <f>IFERROR(1/J40*(Y40/H40),"0")</f>
        <v>0.359375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2">
        <v>4607091385687</v>
      </c>
      <c r="E41" s="553"/>
      <c r="F41" s="544">
        <v>0.4</v>
      </c>
      <c r="G41" s="32">
        <v>10</v>
      </c>
      <c r="H41" s="544">
        <v>4</v>
      </c>
      <c r="I41" s="544">
        <v>4.1900000000000004</v>
      </c>
      <c r="J41" s="32">
        <v>132</v>
      </c>
      <c r="K41" s="32" t="s">
        <v>109</v>
      </c>
      <c r="L41" s="32"/>
      <c r="M41" s="33" t="s">
        <v>80</v>
      </c>
      <c r="N41" s="33"/>
      <c r="O41" s="32">
        <v>50</v>
      </c>
      <c r="P41" s="80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52">
        <v>4680115882539</v>
      </c>
      <c r="E42" s="553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109</v>
      </c>
      <c r="L42" s="32" t="s">
        <v>112</v>
      </c>
      <c r="M42" s="33" t="s">
        <v>80</v>
      </c>
      <c r="N42" s="33"/>
      <c r="O42" s="32">
        <v>50</v>
      </c>
      <c r="P42" s="6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70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71"/>
      <c r="P43" s="561" t="s">
        <v>75</v>
      </c>
      <c r="Q43" s="562"/>
      <c r="R43" s="562"/>
      <c r="S43" s="562"/>
      <c r="T43" s="562"/>
      <c r="U43" s="562"/>
      <c r="V43" s="563"/>
      <c r="W43" s="37" t="s">
        <v>76</v>
      </c>
      <c r="X43" s="547">
        <f>IFERROR(X40/H40,"0")+IFERROR(X41/H41,"0")+IFERROR(X42/H42,"0")</f>
        <v>22.962962962962962</v>
      </c>
      <c r="Y43" s="547">
        <f>IFERROR(Y40/H40,"0")+IFERROR(Y41/H41,"0")+IFERROR(Y42/H42,"0")</f>
        <v>23</v>
      </c>
      <c r="Z43" s="547">
        <f>IFERROR(IF(Z40="",0,Z40),"0")+IFERROR(IF(Z41="",0,Z41),"0")+IFERROR(IF(Z42="",0,Z42),"0")</f>
        <v>0.43653999999999998</v>
      </c>
      <c r="AA43" s="548"/>
      <c r="AB43" s="548"/>
      <c r="AC43" s="548"/>
    </row>
    <row r="44" spans="1:68" x14ac:dyDescent="0.2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1" t="s">
        <v>75</v>
      </c>
      <c r="Q44" s="562"/>
      <c r="R44" s="562"/>
      <c r="S44" s="562"/>
      <c r="T44" s="562"/>
      <c r="U44" s="562"/>
      <c r="V44" s="563"/>
      <c r="W44" s="37" t="s">
        <v>69</v>
      </c>
      <c r="X44" s="547">
        <f>IFERROR(SUM(X40:X42),"0")</f>
        <v>248</v>
      </c>
      <c r="Y44" s="547">
        <f>IFERROR(SUM(Y40:Y42),"0")</f>
        <v>248.4</v>
      </c>
      <c r="Z44" s="37"/>
      <c r="AA44" s="548"/>
      <c r="AB44" s="548"/>
      <c r="AC44" s="548"/>
    </row>
    <row r="45" spans="1:68" ht="14.25" customHeight="1" x14ac:dyDescent="0.25">
      <c r="A45" s="558" t="s">
        <v>77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41"/>
      <c r="AB45" s="541"/>
      <c r="AC45" s="541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52">
        <v>4680115884915</v>
      </c>
      <c r="E46" s="553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70"/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71"/>
      <c r="P47" s="561" t="s">
        <v>75</v>
      </c>
      <c r="Q47" s="562"/>
      <c r="R47" s="562"/>
      <c r="S47" s="562"/>
      <c r="T47" s="562"/>
      <c r="U47" s="562"/>
      <c r="V47" s="563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x14ac:dyDescent="0.2">
      <c r="A48" s="559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1" t="s">
        <v>75</v>
      </c>
      <c r="Q48" s="562"/>
      <c r="R48" s="562"/>
      <c r="S48" s="562"/>
      <c r="T48" s="562"/>
      <c r="U48" s="562"/>
      <c r="V48" s="563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customHeight="1" x14ac:dyDescent="0.25">
      <c r="A49" s="560" t="s">
        <v>116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40"/>
      <c r="AB49" s="540"/>
      <c r="AC49" s="540"/>
    </row>
    <row r="50" spans="1:68" ht="14.25" customHeight="1" x14ac:dyDescent="0.25">
      <c r="A50" s="558" t="s">
        <v>99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1"/>
      <c r="AB50" s="541"/>
      <c r="AC50" s="541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2">
        <v>4680115885882</v>
      </c>
      <c r="E51" s="553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 t="s">
        <v>103</v>
      </c>
      <c r="M51" s="33" t="s">
        <v>80</v>
      </c>
      <c r="N51" s="33"/>
      <c r="O51" s="32">
        <v>50</v>
      </c>
      <c r="P51" s="73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5">
        <v>47</v>
      </c>
      <c r="Y51" s="546">
        <f t="shared" ref="Y51:Y56" si="0">IFERROR(IF(X51="",0,CEILING((X51/$H51),1)*$H51),"")</f>
        <v>56</v>
      </c>
      <c r="Z51" s="36">
        <f>IFERROR(IF(Y51=0,"",ROUNDUP(Y51/H51,0)*0.01898),"")</f>
        <v>9.4899999999999998E-2</v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48.720535714285717</v>
      </c>
      <c r="BN51" s="64">
        <f t="shared" ref="BN51:BN56" si="2">IFERROR(Y51*I51/H51,"0")</f>
        <v>58.050000000000004</v>
      </c>
      <c r="BO51" s="64">
        <f t="shared" ref="BO51:BO56" si="3">IFERROR(1/J51*(X51/H51),"0")</f>
        <v>6.5569196428571438E-2</v>
      </c>
      <c r="BP51" s="64">
        <f t="shared" ref="BP51:BP56" si="4">IFERROR(1/J51*(Y51/H51),"0")</f>
        <v>7.8125E-2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2">
        <v>4680115881426</v>
      </c>
      <c r="E52" s="553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106</v>
      </c>
      <c r="Y52" s="546">
        <f t="shared" si="0"/>
        <v>108</v>
      </c>
      <c r="Z52" s="36">
        <f>IFERROR(IF(Y52=0,"",ROUNDUP(Y52/H52,0)*0.01898),"")</f>
        <v>0.1898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110.02407407407406</v>
      </c>
      <c r="BN52" s="64">
        <f t="shared" si="2"/>
        <v>112.1</v>
      </c>
      <c r="BO52" s="64">
        <f t="shared" si="3"/>
        <v>0.15335648148148148</v>
      </c>
      <c r="BP52" s="64">
        <f t="shared" si="4"/>
        <v>0.15625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52">
        <v>4680115880283</v>
      </c>
      <c r="E53" s="553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52">
        <v>4680115881525</v>
      </c>
      <c r="E54" s="553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8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5">
        <v>62</v>
      </c>
      <c r="Y54" s="546">
        <f t="shared" si="0"/>
        <v>64</v>
      </c>
      <c r="Z54" s="36">
        <f>IFERROR(IF(Y54=0,"",ROUNDUP(Y54/H54,0)*0.00902),"")</f>
        <v>0.14432</v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64.945000000000007</v>
      </c>
      <c r="BN54" s="64">
        <f t="shared" si="2"/>
        <v>67.040000000000006</v>
      </c>
      <c r="BO54" s="64">
        <f t="shared" si="3"/>
        <v>0.11742424242424243</v>
      </c>
      <c r="BP54" s="64">
        <f t="shared" si="4"/>
        <v>0.12121212121212122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52">
        <v>4680115885899</v>
      </c>
      <c r="E55" s="553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7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2">
        <v>4680115881419</v>
      </c>
      <c r="E56" s="553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68</v>
      </c>
      <c r="Y56" s="546">
        <f t="shared" si="0"/>
        <v>72</v>
      </c>
      <c r="Z56" s="36">
        <f>IFERROR(IF(Y56=0,"",ROUNDUP(Y56/H56,0)*0.00902),"")</f>
        <v>0.14432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70.871111111111119</v>
      </c>
      <c r="BN56" s="64">
        <f t="shared" si="2"/>
        <v>75.040000000000006</v>
      </c>
      <c r="BO56" s="64">
        <f t="shared" si="3"/>
        <v>0.11447811447811448</v>
      </c>
      <c r="BP56" s="64">
        <f t="shared" si="4"/>
        <v>0.12121212121212122</v>
      </c>
    </row>
    <row r="57" spans="1:68" x14ac:dyDescent="0.2">
      <c r="A57" s="570"/>
      <c r="B57" s="559"/>
      <c r="C57" s="559"/>
      <c r="D57" s="559"/>
      <c r="E57" s="559"/>
      <c r="F57" s="559"/>
      <c r="G57" s="559"/>
      <c r="H57" s="559"/>
      <c r="I57" s="559"/>
      <c r="J57" s="559"/>
      <c r="K57" s="559"/>
      <c r="L57" s="559"/>
      <c r="M57" s="559"/>
      <c r="N57" s="559"/>
      <c r="O57" s="571"/>
      <c r="P57" s="561" t="s">
        <v>75</v>
      </c>
      <c r="Q57" s="562"/>
      <c r="R57" s="562"/>
      <c r="S57" s="562"/>
      <c r="T57" s="562"/>
      <c r="U57" s="562"/>
      <c r="V57" s="563"/>
      <c r="W57" s="37" t="s">
        <v>76</v>
      </c>
      <c r="X57" s="547">
        <f>IFERROR(X51/H51,"0")+IFERROR(X52/H52,"0")+IFERROR(X53/H53,"0")+IFERROR(X54/H54,"0")+IFERROR(X55/H55,"0")+IFERROR(X56/H56,"0")</f>
        <v>44.622354497354493</v>
      </c>
      <c r="Y57" s="547">
        <f>IFERROR(Y51/H51,"0")+IFERROR(Y52/H52,"0")+IFERROR(Y53/H53,"0")+IFERROR(Y54/H54,"0")+IFERROR(Y55/H55,"0")+IFERROR(Y56/H56,"0")</f>
        <v>47</v>
      </c>
      <c r="Z57" s="547">
        <f>IFERROR(IF(Z51="",0,Z51),"0")+IFERROR(IF(Z52="",0,Z52),"0")+IFERROR(IF(Z53="",0,Z53),"0")+IFERROR(IF(Z54="",0,Z54),"0")+IFERROR(IF(Z55="",0,Z55),"0")+IFERROR(IF(Z56="",0,Z56),"0")</f>
        <v>0.57333999999999996</v>
      </c>
      <c r="AA57" s="548"/>
      <c r="AB57" s="548"/>
      <c r="AC57" s="548"/>
    </row>
    <row r="58" spans="1:68" x14ac:dyDescent="0.2">
      <c r="A58" s="559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1" t="s">
        <v>75</v>
      </c>
      <c r="Q58" s="562"/>
      <c r="R58" s="562"/>
      <c r="S58" s="562"/>
      <c r="T58" s="562"/>
      <c r="U58" s="562"/>
      <c r="V58" s="563"/>
      <c r="W58" s="37" t="s">
        <v>69</v>
      </c>
      <c r="X58" s="547">
        <f>IFERROR(SUM(X51:X56),"0")</f>
        <v>283</v>
      </c>
      <c r="Y58" s="547">
        <f>IFERROR(SUM(Y51:Y56),"0")</f>
        <v>300</v>
      </c>
      <c r="Z58" s="37"/>
      <c r="AA58" s="548"/>
      <c r="AB58" s="548"/>
      <c r="AC58" s="548"/>
    </row>
    <row r="59" spans="1:68" ht="14.25" customHeight="1" x14ac:dyDescent="0.25">
      <c r="A59" s="558" t="s">
        <v>135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41"/>
      <c r="AB59" s="541"/>
      <c r="AC59" s="541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2">
        <v>4680115881440</v>
      </c>
      <c r="E60" s="553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5">
        <v>0</v>
      </c>
      <c r="Y60" s="546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52">
        <v>4680115885950</v>
      </c>
      <c r="E61" s="553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2">
        <v>4680115881433</v>
      </c>
      <c r="E62" s="553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70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559"/>
      <c r="M63" s="559"/>
      <c r="N63" s="559"/>
      <c r="O63" s="571"/>
      <c r="P63" s="561" t="s">
        <v>75</v>
      </c>
      <c r="Q63" s="562"/>
      <c r="R63" s="562"/>
      <c r="S63" s="562"/>
      <c r="T63" s="562"/>
      <c r="U63" s="562"/>
      <c r="V63" s="563"/>
      <c r="W63" s="37" t="s">
        <v>76</v>
      </c>
      <c r="X63" s="547">
        <f>IFERROR(X60/H60,"0")+IFERROR(X61/H61,"0")+IFERROR(X62/H62,"0")</f>
        <v>0</v>
      </c>
      <c r="Y63" s="547">
        <f>IFERROR(Y60/H60,"0")+IFERROR(Y61/H61,"0")+IFERROR(Y62/H62,"0")</f>
        <v>0</v>
      </c>
      <c r="Z63" s="547">
        <f>IFERROR(IF(Z60="",0,Z60),"0")+IFERROR(IF(Z61="",0,Z61),"0")+IFERROR(IF(Z62="",0,Z62),"0")</f>
        <v>0</v>
      </c>
      <c r="AA63" s="548"/>
      <c r="AB63" s="548"/>
      <c r="AC63" s="548"/>
    </row>
    <row r="64" spans="1:68" x14ac:dyDescent="0.2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1" t="s">
        <v>75</v>
      </c>
      <c r="Q64" s="562"/>
      <c r="R64" s="562"/>
      <c r="S64" s="562"/>
      <c r="T64" s="562"/>
      <c r="U64" s="562"/>
      <c r="V64" s="563"/>
      <c r="W64" s="37" t="s">
        <v>69</v>
      </c>
      <c r="X64" s="547">
        <f>IFERROR(SUM(X60:X62),"0")</f>
        <v>0</v>
      </c>
      <c r="Y64" s="547">
        <f>IFERROR(SUM(Y60:Y62),"0")</f>
        <v>0</v>
      </c>
      <c r="Z64" s="37"/>
      <c r="AA64" s="548"/>
      <c r="AB64" s="548"/>
      <c r="AC64" s="548"/>
    </row>
    <row r="65" spans="1:68" ht="14.25" customHeight="1" x14ac:dyDescent="0.25">
      <c r="A65" s="558" t="s">
        <v>64</v>
      </c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41"/>
      <c r="AB65" s="541"/>
      <c r="AC65" s="541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52">
        <v>4680115885073</v>
      </c>
      <c r="E66" s="553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4301031316</v>
      </c>
      <c r="D67" s="552">
        <v>4680115885097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70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71"/>
      <c r="P68" s="561" t="s">
        <v>75</v>
      </c>
      <c r="Q68" s="562"/>
      <c r="R68" s="562"/>
      <c r="S68" s="562"/>
      <c r="T68" s="562"/>
      <c r="U68" s="562"/>
      <c r="V68" s="563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x14ac:dyDescent="0.2">
      <c r="A69" s="559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71"/>
      <c r="P69" s="561" t="s">
        <v>75</v>
      </c>
      <c r="Q69" s="562"/>
      <c r="R69" s="562"/>
      <c r="S69" s="562"/>
      <c r="T69" s="562"/>
      <c r="U69" s="562"/>
      <c r="V69" s="563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customHeight="1" x14ac:dyDescent="0.25">
      <c r="A70" s="558" t="s">
        <v>77</v>
      </c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41"/>
      <c r="AB70" s="541"/>
      <c r="AC70" s="541"/>
    </row>
    <row r="71" spans="1:68" ht="27" customHeight="1" x14ac:dyDescent="0.25">
      <c r="A71" s="54" t="s">
        <v>149</v>
      </c>
      <c r="B71" s="54" t="s">
        <v>150</v>
      </c>
      <c r="C71" s="31">
        <v>4301051846</v>
      </c>
      <c r="D71" s="552">
        <v>4680115885769</v>
      </c>
      <c r="E71" s="553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 t="s">
        <v>103</v>
      </c>
      <c r="M71" s="33" t="s">
        <v>80</v>
      </c>
      <c r="N71" s="33"/>
      <c r="O71" s="32">
        <v>45</v>
      </c>
      <c r="P71" s="87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0"/>
      <c r="R71" s="550"/>
      <c r="S71" s="550"/>
      <c r="T71" s="551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 t="s">
        <v>106</v>
      </c>
      <c r="AK71" s="68">
        <v>67.2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152</v>
      </c>
      <c r="B72" s="54" t="s">
        <v>153</v>
      </c>
      <c r="C72" s="31">
        <v>4301051837</v>
      </c>
      <c r="D72" s="552">
        <v>4680115884311</v>
      </c>
      <c r="E72" s="553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4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4301051844</v>
      </c>
      <c r="D73" s="552">
        <v>4680115885929</v>
      </c>
      <c r="E73" s="553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4301051929</v>
      </c>
      <c r="D74" s="552">
        <v>4680115884403</v>
      </c>
      <c r="E74" s="553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70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71"/>
      <c r="P75" s="561" t="s">
        <v>75</v>
      </c>
      <c r="Q75" s="562"/>
      <c r="R75" s="562"/>
      <c r="S75" s="562"/>
      <c r="T75" s="562"/>
      <c r="U75" s="562"/>
      <c r="V75" s="563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x14ac:dyDescent="0.2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71"/>
      <c r="P76" s="561" t="s">
        <v>75</v>
      </c>
      <c r="Q76" s="562"/>
      <c r="R76" s="562"/>
      <c r="S76" s="562"/>
      <c r="T76" s="562"/>
      <c r="U76" s="562"/>
      <c r="V76" s="563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customHeight="1" x14ac:dyDescent="0.25">
      <c r="A77" s="558" t="s">
        <v>160</v>
      </c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41"/>
      <c r="AB77" s="541"/>
      <c r="AC77" s="541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2">
        <v>4680115881532</v>
      </c>
      <c r="E78" s="553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0"/>
      <c r="R78" s="550"/>
      <c r="S78" s="550"/>
      <c r="T78" s="551"/>
      <c r="U78" s="34"/>
      <c r="V78" s="34"/>
      <c r="W78" s="35" t="s">
        <v>69</v>
      </c>
      <c r="X78" s="545">
        <v>9</v>
      </c>
      <c r="Y78" s="546">
        <f>IFERROR(IF(X78="",0,CEILING((X78/$H78),1)*$H78),"")</f>
        <v>15.6</v>
      </c>
      <c r="Z78" s="36">
        <f>IFERROR(IF(Y78=0,"",ROUNDUP(Y78/H78,0)*0.01898),"")</f>
        <v>3.7960000000000001E-2</v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9.4730769230769258</v>
      </c>
      <c r="BN78" s="64">
        <f>IFERROR(Y78*I78/H78,"0")</f>
        <v>16.420000000000002</v>
      </c>
      <c r="BO78" s="64">
        <f>IFERROR(1/J78*(X78/H78),"0")</f>
        <v>1.8028846153846156E-2</v>
      </c>
      <c r="BP78" s="64">
        <f>IFERROR(1/J78*(Y78/H78),"0")</f>
        <v>3.125E-2</v>
      </c>
    </row>
    <row r="79" spans="1:68" ht="27" customHeight="1" x14ac:dyDescent="0.25">
      <c r="A79" s="54" t="s">
        <v>164</v>
      </c>
      <c r="B79" s="54" t="s">
        <v>165</v>
      </c>
      <c r="C79" s="31">
        <v>4301060351</v>
      </c>
      <c r="D79" s="552">
        <v>4680115881464</v>
      </c>
      <c r="E79" s="553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5">
        <v>6</v>
      </c>
      <c r="Y79" s="546">
        <f>IFERROR(IF(X79="",0,CEILING((X79/$H79),1)*$H79),"")</f>
        <v>7.1999999999999993</v>
      </c>
      <c r="Z79" s="36">
        <f>IFERROR(IF(Y79=0,"",ROUNDUP(Y79/H79,0)*0.00902),"")</f>
        <v>2.7060000000000001E-2</v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6.4749999999999996</v>
      </c>
      <c r="BN79" s="64">
        <f>IFERROR(Y79*I79/H79,"0")</f>
        <v>7.7699999999999987</v>
      </c>
      <c r="BO79" s="64">
        <f>IFERROR(1/J79*(X79/H79),"0")</f>
        <v>1.893939393939394E-2</v>
      </c>
      <c r="BP79" s="64">
        <f>IFERROR(1/J79*(Y79/H79),"0")</f>
        <v>2.2727272727272728E-2</v>
      </c>
    </row>
    <row r="80" spans="1:68" x14ac:dyDescent="0.2">
      <c r="A80" s="570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71"/>
      <c r="P80" s="561" t="s">
        <v>75</v>
      </c>
      <c r="Q80" s="562"/>
      <c r="R80" s="562"/>
      <c r="S80" s="562"/>
      <c r="T80" s="562"/>
      <c r="U80" s="562"/>
      <c r="V80" s="563"/>
      <c r="W80" s="37" t="s">
        <v>76</v>
      </c>
      <c r="X80" s="547">
        <f>IFERROR(X78/H78,"0")+IFERROR(X79/H79,"0")</f>
        <v>3.6538461538461542</v>
      </c>
      <c r="Y80" s="547">
        <f>IFERROR(Y78/H78,"0")+IFERROR(Y79/H79,"0")</f>
        <v>5</v>
      </c>
      <c r="Z80" s="547">
        <f>IFERROR(IF(Z78="",0,Z78),"0")+IFERROR(IF(Z79="",0,Z79),"0")</f>
        <v>6.5019999999999994E-2</v>
      </c>
      <c r="AA80" s="548"/>
      <c r="AB80" s="548"/>
      <c r="AC80" s="548"/>
    </row>
    <row r="81" spans="1:68" x14ac:dyDescent="0.2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71"/>
      <c r="P81" s="561" t="s">
        <v>75</v>
      </c>
      <c r="Q81" s="562"/>
      <c r="R81" s="562"/>
      <c r="S81" s="562"/>
      <c r="T81" s="562"/>
      <c r="U81" s="562"/>
      <c r="V81" s="563"/>
      <c r="W81" s="37" t="s">
        <v>69</v>
      </c>
      <c r="X81" s="547">
        <f>IFERROR(SUM(X78:X79),"0")</f>
        <v>15</v>
      </c>
      <c r="Y81" s="547">
        <f>IFERROR(SUM(Y78:Y79),"0")</f>
        <v>22.799999999999997</v>
      </c>
      <c r="Z81" s="37"/>
      <c r="AA81" s="548"/>
      <c r="AB81" s="548"/>
      <c r="AC81" s="548"/>
    </row>
    <row r="82" spans="1:68" ht="16.5" customHeight="1" x14ac:dyDescent="0.25">
      <c r="A82" s="560" t="s">
        <v>167</v>
      </c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40"/>
      <c r="AB82" s="540"/>
      <c r="AC82" s="540"/>
    </row>
    <row r="83" spans="1:68" ht="14.25" customHeight="1" x14ac:dyDescent="0.25">
      <c r="A83" s="558" t="s">
        <v>99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1"/>
      <c r="AB83" s="541"/>
      <c r="AC83" s="541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2">
        <v>4680115881327</v>
      </c>
      <c r="E84" s="553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0"/>
      <c r="R84" s="550"/>
      <c r="S84" s="550"/>
      <c r="T84" s="551"/>
      <c r="U84" s="34"/>
      <c r="V84" s="34"/>
      <c r="W84" s="35" t="s">
        <v>69</v>
      </c>
      <c r="X84" s="545">
        <v>106</v>
      </c>
      <c r="Y84" s="546">
        <f>IFERROR(IF(X84="",0,CEILING((X84/$H84),1)*$H84),"")</f>
        <v>108</v>
      </c>
      <c r="Z84" s="36">
        <f>IFERROR(IF(Y84=0,"",ROUNDUP(Y84/H84,0)*0.01898),"")</f>
        <v>0.1898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110.02407407407406</v>
      </c>
      <c r="BN84" s="64">
        <f>IFERROR(Y84*I84/H84,"0")</f>
        <v>112.1</v>
      </c>
      <c r="BO84" s="64">
        <f>IFERROR(1/J84*(X84/H84),"0")</f>
        <v>0.15335648148148148</v>
      </c>
      <c r="BP84" s="64">
        <f>IFERROR(1/J84*(Y84/H84),"0")</f>
        <v>0.15625</v>
      </c>
    </row>
    <row r="85" spans="1:68" ht="27" customHeight="1" x14ac:dyDescent="0.25">
      <c r="A85" s="54" t="s">
        <v>171</v>
      </c>
      <c r="B85" s="54" t="s">
        <v>172</v>
      </c>
      <c r="C85" s="31">
        <v>4301011261</v>
      </c>
      <c r="D85" s="552">
        <v>4680115887732</v>
      </c>
      <c r="E85" s="553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5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0"/>
      <c r="R85" s="550"/>
      <c r="S85" s="550"/>
      <c r="T85" s="551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2">
        <v>4680115881518</v>
      </c>
      <c r="E86" s="553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2">
        <v>4680115881303</v>
      </c>
      <c r="E87" s="553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 t="s">
        <v>112</v>
      </c>
      <c r="M87" s="33" t="s">
        <v>86</v>
      </c>
      <c r="N87" s="33"/>
      <c r="O87" s="32">
        <v>50</v>
      </c>
      <c r="P87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70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71"/>
      <c r="P88" s="561" t="s">
        <v>75</v>
      </c>
      <c r="Q88" s="562"/>
      <c r="R88" s="562"/>
      <c r="S88" s="562"/>
      <c r="T88" s="562"/>
      <c r="U88" s="562"/>
      <c r="V88" s="563"/>
      <c r="W88" s="37" t="s">
        <v>76</v>
      </c>
      <c r="X88" s="547">
        <f>IFERROR(X84/H84,"0")+IFERROR(X85/H85,"0")+IFERROR(X86/H86,"0")+IFERROR(X87/H87,"0")</f>
        <v>9.8148148148148149</v>
      </c>
      <c r="Y88" s="547">
        <f>IFERROR(Y84/H84,"0")+IFERROR(Y85/H85,"0")+IFERROR(Y86/H86,"0")+IFERROR(Y87/H87,"0")</f>
        <v>10</v>
      </c>
      <c r="Z88" s="547">
        <f>IFERROR(IF(Z84="",0,Z84),"0")+IFERROR(IF(Z85="",0,Z85),"0")+IFERROR(IF(Z86="",0,Z86),"0")+IFERROR(IF(Z87="",0,Z87),"0")</f>
        <v>0.1898</v>
      </c>
      <c r="AA88" s="548"/>
      <c r="AB88" s="548"/>
      <c r="AC88" s="548"/>
    </row>
    <row r="89" spans="1:68" x14ac:dyDescent="0.2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1" t="s">
        <v>75</v>
      </c>
      <c r="Q89" s="562"/>
      <c r="R89" s="562"/>
      <c r="S89" s="562"/>
      <c r="T89" s="562"/>
      <c r="U89" s="562"/>
      <c r="V89" s="563"/>
      <c r="W89" s="37" t="s">
        <v>69</v>
      </c>
      <c r="X89" s="547">
        <f>IFERROR(SUM(X84:X87),"0")</f>
        <v>106</v>
      </c>
      <c r="Y89" s="547">
        <f>IFERROR(SUM(Y84:Y87),"0")</f>
        <v>108</v>
      </c>
      <c r="Z89" s="37"/>
      <c r="AA89" s="548"/>
      <c r="AB89" s="548"/>
      <c r="AC89" s="548"/>
    </row>
    <row r="90" spans="1:68" ht="14.25" customHeight="1" x14ac:dyDescent="0.25">
      <c r="A90" s="558" t="s">
        <v>77</v>
      </c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41"/>
      <c r="AB90" s="541"/>
      <c r="AC90" s="541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2">
        <v>4607091386967</v>
      </c>
      <c r="E91" s="553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5">
        <v>324</v>
      </c>
      <c r="Y91" s="546">
        <f>IFERROR(IF(X91="",0,CEILING((X91/$H91),1)*$H91),"")</f>
        <v>324</v>
      </c>
      <c r="Z91" s="36">
        <f>IFERROR(IF(Y91=0,"",ROUNDUP(Y91/H91,0)*0.01898),"")</f>
        <v>0.75919999999999999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343.76</v>
      </c>
      <c r="BN91" s="64">
        <f>IFERROR(Y91*I91/H91,"0")</f>
        <v>343.76</v>
      </c>
      <c r="BO91" s="64">
        <f>IFERROR(1/J91*(X91/H91),"0")</f>
        <v>0.625</v>
      </c>
      <c r="BP91" s="64">
        <f>IFERROR(1/J91*(Y91/H91),"0")</f>
        <v>0.625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2">
        <v>4680115884953</v>
      </c>
      <c r="E92" s="553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2">
        <v>4607091385731</v>
      </c>
      <c r="E93" s="553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77</v>
      </c>
      <c r="Y93" s="546">
        <f>IFERROR(IF(X93="",0,CEILING((X93/$H93),1)*$H93),"")</f>
        <v>78.300000000000011</v>
      </c>
      <c r="Z93" s="36">
        <f>IFERROR(IF(Y93=0,"",ROUNDUP(Y93/H93,0)*0.00651),"")</f>
        <v>0.18879000000000001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84.186666666666667</v>
      </c>
      <c r="BN93" s="64">
        <f>IFERROR(Y93*I93/H93,"0")</f>
        <v>85.608000000000004</v>
      </c>
      <c r="BO93" s="64">
        <f>IFERROR(1/J93*(X93/H93),"0")</f>
        <v>0.15669515669515668</v>
      </c>
      <c r="BP93" s="64">
        <f>IFERROR(1/J93*(Y93/H93),"0")</f>
        <v>0.15934065934065939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52">
        <v>4680115880894</v>
      </c>
      <c r="E94" s="553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2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70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71"/>
      <c r="P95" s="561" t="s">
        <v>75</v>
      </c>
      <c r="Q95" s="562"/>
      <c r="R95" s="562"/>
      <c r="S95" s="562"/>
      <c r="T95" s="562"/>
      <c r="U95" s="562"/>
      <c r="V95" s="563"/>
      <c r="W95" s="37" t="s">
        <v>76</v>
      </c>
      <c r="X95" s="547">
        <f>IFERROR(X91/H91,"0")+IFERROR(X92/H92,"0")+IFERROR(X93/H93,"0")+IFERROR(X94/H94,"0")</f>
        <v>68.518518518518519</v>
      </c>
      <c r="Y95" s="547">
        <f>IFERROR(Y91/H91,"0")+IFERROR(Y92/H92,"0")+IFERROR(Y93/H93,"0")+IFERROR(Y94/H94,"0")</f>
        <v>69</v>
      </c>
      <c r="Z95" s="547">
        <f>IFERROR(IF(Z91="",0,Z91),"0")+IFERROR(IF(Z92="",0,Z92),"0")+IFERROR(IF(Z93="",0,Z93),"0")+IFERROR(IF(Z94="",0,Z94),"0")</f>
        <v>0.94799</v>
      </c>
      <c r="AA95" s="548"/>
      <c r="AB95" s="548"/>
      <c r="AC95" s="548"/>
    </row>
    <row r="96" spans="1:68" x14ac:dyDescent="0.2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1" t="s">
        <v>75</v>
      </c>
      <c r="Q96" s="562"/>
      <c r="R96" s="562"/>
      <c r="S96" s="562"/>
      <c r="T96" s="562"/>
      <c r="U96" s="562"/>
      <c r="V96" s="563"/>
      <c r="W96" s="37" t="s">
        <v>69</v>
      </c>
      <c r="X96" s="547">
        <f>IFERROR(SUM(X91:X94),"0")</f>
        <v>401</v>
      </c>
      <c r="Y96" s="547">
        <f>IFERROR(SUM(Y91:Y94),"0")</f>
        <v>402.3</v>
      </c>
      <c r="Z96" s="37"/>
      <c r="AA96" s="548"/>
      <c r="AB96" s="548"/>
      <c r="AC96" s="548"/>
    </row>
    <row r="97" spans="1:68" ht="16.5" customHeight="1" x14ac:dyDescent="0.25">
      <c r="A97" s="560" t="s">
        <v>189</v>
      </c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40"/>
      <c r="AB97" s="540"/>
      <c r="AC97" s="540"/>
    </row>
    <row r="98" spans="1:68" ht="14.25" customHeight="1" x14ac:dyDescent="0.25">
      <c r="A98" s="558" t="s">
        <v>99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1"/>
      <c r="AB98" s="541"/>
      <c r="AC98" s="541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52">
        <v>4680115882133</v>
      </c>
      <c r="E99" s="553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5">
        <v>109</v>
      </c>
      <c r="Y99" s="546">
        <f>IFERROR(IF(X99="",0,CEILING((X99/$H99),1)*$H99),"")</f>
        <v>118.80000000000001</v>
      </c>
      <c r="Z99" s="36">
        <f>IFERROR(IF(Y99=0,"",ROUNDUP(Y99/H99,0)*0.01898),"")</f>
        <v>0.20877999999999999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113.13796296296296</v>
      </c>
      <c r="BN99" s="64">
        <f>IFERROR(Y99*I99/H99,"0")</f>
        <v>123.31000000000002</v>
      </c>
      <c r="BO99" s="64">
        <f>IFERROR(1/J99*(X99/H99),"0")</f>
        <v>0.15769675925925924</v>
      </c>
      <c r="BP99" s="64">
        <f>IFERROR(1/J99*(Y99/H99),"0")</f>
        <v>0.171875</v>
      </c>
    </row>
    <row r="100" spans="1:68" ht="27" customHeight="1" x14ac:dyDescent="0.25">
      <c r="A100" s="54" t="s">
        <v>193</v>
      </c>
      <c r="B100" s="54" t="s">
        <v>194</v>
      </c>
      <c r="C100" s="31">
        <v>4301012051</v>
      </c>
      <c r="D100" s="552">
        <v>4680115887718</v>
      </c>
      <c r="E100" s="553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1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195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8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112</v>
      </c>
      <c r="M102" s="33" t="s">
        <v>80</v>
      </c>
      <c r="N102" s="33"/>
      <c r="O102" s="32">
        <v>50</v>
      </c>
      <c r="P102" s="81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192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1" t="s">
        <v>75</v>
      </c>
      <c r="Q104" s="562"/>
      <c r="R104" s="562"/>
      <c r="S104" s="562"/>
      <c r="T104" s="562"/>
      <c r="U104" s="562"/>
      <c r="V104" s="563"/>
      <c r="W104" s="37" t="s">
        <v>76</v>
      </c>
      <c r="X104" s="547">
        <f>IFERROR(X99/H99,"0")+IFERROR(X100/H100,"0")+IFERROR(X101/H101,"0")+IFERROR(X102/H102,"0")+IFERROR(X103/H103,"0")</f>
        <v>10.092592592592592</v>
      </c>
      <c r="Y104" s="547">
        <f>IFERROR(Y99/H99,"0")+IFERROR(Y100/H100,"0")+IFERROR(Y101/H101,"0")+IFERROR(Y102/H102,"0")+IFERROR(Y103/H103,"0")</f>
        <v>11</v>
      </c>
      <c r="Z104" s="547">
        <f>IFERROR(IF(Z99="",0,Z99),"0")+IFERROR(IF(Z100="",0,Z100),"0")+IFERROR(IF(Z101="",0,Z101),"0")+IFERROR(IF(Z102="",0,Z102),"0")+IFERROR(IF(Z103="",0,Z103),"0")</f>
        <v>0.20877999999999999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1" t="s">
        <v>75</v>
      </c>
      <c r="Q105" s="562"/>
      <c r="R105" s="562"/>
      <c r="S105" s="562"/>
      <c r="T105" s="562"/>
      <c r="U105" s="562"/>
      <c r="V105" s="563"/>
      <c r="W105" s="37" t="s">
        <v>69</v>
      </c>
      <c r="X105" s="547">
        <f>IFERROR(SUM(X99:X103),"0")</f>
        <v>109</v>
      </c>
      <c r="Y105" s="547">
        <f>IFERROR(SUM(Y99:Y103),"0")</f>
        <v>118.80000000000001</v>
      </c>
      <c r="Z105" s="37"/>
      <c r="AA105" s="548"/>
      <c r="AB105" s="548"/>
      <c r="AC105" s="548"/>
    </row>
    <row r="106" spans="1:68" ht="14.25" customHeight="1" x14ac:dyDescent="0.25">
      <c r="A106" s="558" t="s">
        <v>135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customHeight="1" x14ac:dyDescent="0.25">
      <c r="A107" s="54" t="s">
        <v>202</v>
      </c>
      <c r="B107" s="54" t="s">
        <v>203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5">
        <v>33</v>
      </c>
      <c r="Y107" s="546">
        <f>IFERROR(IF(X107="",0,CEILING((X107/$H107),1)*$H107),"")</f>
        <v>43.2</v>
      </c>
      <c r="Z107" s="36">
        <f>IFERROR(IF(Y107=0,"",ROUNDUP(Y107/H107,0)*0.01898),"")</f>
        <v>7.5920000000000001E-2</v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34.252777777777773</v>
      </c>
      <c r="BN107" s="64">
        <f>IFERROR(Y107*I107/H107,"0")</f>
        <v>44.84</v>
      </c>
      <c r="BO107" s="64">
        <f>IFERROR(1/J107*(X107/H107),"0")</f>
        <v>4.7743055555555552E-2</v>
      </c>
      <c r="BP107" s="64">
        <f>IFERROR(1/J107*(Y107/H107),"0")</f>
        <v>6.25E-2</v>
      </c>
    </row>
    <row r="108" spans="1:68" ht="27" customHeight="1" x14ac:dyDescent="0.25">
      <c r="A108" s="54" t="s">
        <v>205</v>
      </c>
      <c r="B108" s="54" t="s">
        <v>206</v>
      </c>
      <c r="C108" s="31">
        <v>4301020186</v>
      </c>
      <c r="D108" s="552">
        <v>4680115887664</v>
      </c>
      <c r="E108" s="553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76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209</v>
      </c>
      <c r="B109" s="54" t="s">
        <v>210</v>
      </c>
      <c r="C109" s="31">
        <v>4301020346</v>
      </c>
      <c r="D109" s="552">
        <v>4680115882775</v>
      </c>
      <c r="E109" s="553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4301020344</v>
      </c>
      <c r="D110" s="552">
        <v>4680115880658</v>
      </c>
      <c r="E110" s="553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 t="s">
        <v>213</v>
      </c>
      <c r="M110" s="33" t="s">
        <v>104</v>
      </c>
      <c r="N110" s="33"/>
      <c r="O110" s="32">
        <v>55</v>
      </c>
      <c r="P110" s="84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204</v>
      </c>
      <c r="AG110" s="64"/>
      <c r="AJ110" s="68" t="s">
        <v>106</v>
      </c>
      <c r="AK110" s="68">
        <v>33.6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70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1" t="s">
        <v>75</v>
      </c>
      <c r="Q111" s="562"/>
      <c r="R111" s="562"/>
      <c r="S111" s="562"/>
      <c r="T111" s="562"/>
      <c r="U111" s="562"/>
      <c r="V111" s="563"/>
      <c r="W111" s="37" t="s">
        <v>76</v>
      </c>
      <c r="X111" s="547">
        <f>IFERROR(X107/H107,"0")+IFERROR(X108/H108,"0")+IFERROR(X109/H109,"0")+IFERROR(X110/H110,"0")</f>
        <v>3.0555555555555554</v>
      </c>
      <c r="Y111" s="547">
        <f>IFERROR(Y107/H107,"0")+IFERROR(Y108/H108,"0")+IFERROR(Y109/H109,"0")+IFERROR(Y110/H110,"0")</f>
        <v>4</v>
      </c>
      <c r="Z111" s="547">
        <f>IFERROR(IF(Z107="",0,Z107),"0")+IFERROR(IF(Z108="",0,Z108),"0")+IFERROR(IF(Z109="",0,Z109),"0")+IFERROR(IF(Z110="",0,Z110),"0")</f>
        <v>7.5920000000000001E-2</v>
      </c>
      <c r="AA111" s="548"/>
      <c r="AB111" s="548"/>
      <c r="AC111" s="548"/>
    </row>
    <row r="112" spans="1:68" x14ac:dyDescent="0.2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71"/>
      <c r="P112" s="561" t="s">
        <v>75</v>
      </c>
      <c r="Q112" s="562"/>
      <c r="R112" s="562"/>
      <c r="S112" s="562"/>
      <c r="T112" s="562"/>
      <c r="U112" s="562"/>
      <c r="V112" s="563"/>
      <c r="W112" s="37" t="s">
        <v>69</v>
      </c>
      <c r="X112" s="547">
        <f>IFERROR(SUM(X107:X110),"0")</f>
        <v>33</v>
      </c>
      <c r="Y112" s="547">
        <f>IFERROR(SUM(Y107:Y110),"0")</f>
        <v>43.2</v>
      </c>
      <c r="Z112" s="37"/>
      <c r="AA112" s="548"/>
      <c r="AB112" s="548"/>
      <c r="AC112" s="548"/>
    </row>
    <row r="113" spans="1:68" ht="14.25" customHeight="1" x14ac:dyDescent="0.25">
      <c r="A113" s="558" t="s">
        <v>77</v>
      </c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41"/>
      <c r="AB113" s="541"/>
      <c r="AC113" s="541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2">
        <v>4607091385168</v>
      </c>
      <c r="E114" s="553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0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5">
        <v>234</v>
      </c>
      <c r="Y114" s="546">
        <f>IFERROR(IF(X114="",0,CEILING((X114/$H114),1)*$H114),"")</f>
        <v>234.89999999999998</v>
      </c>
      <c r="Z114" s="36">
        <f>IFERROR(IF(Y114=0,"",ROUNDUP(Y114/H114,0)*0.01898),"")</f>
        <v>0.55042000000000002</v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248.09777777777776</v>
      </c>
      <c r="BN114" s="64">
        <f>IFERROR(Y114*I114/H114,"0")</f>
        <v>249.05199999999996</v>
      </c>
      <c r="BO114" s="64">
        <f>IFERROR(1/J114*(X114/H114),"0")</f>
        <v>0.4513888888888889</v>
      </c>
      <c r="BP114" s="64">
        <f>IFERROR(1/J114*(Y114/H114),"0")</f>
        <v>0.453125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2">
        <v>4607091383256</v>
      </c>
      <c r="E115" s="553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2">
        <v>4607091385748</v>
      </c>
      <c r="E116" s="553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213</v>
      </c>
      <c r="M116" s="33" t="s">
        <v>86</v>
      </c>
      <c r="N116" s="33"/>
      <c r="O116" s="32">
        <v>45</v>
      </c>
      <c r="P116" s="64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138</v>
      </c>
      <c r="Y116" s="546">
        <f>IFERROR(IF(X116="",0,CEILING((X116/$H116),1)*$H116),"")</f>
        <v>140.4</v>
      </c>
      <c r="Z116" s="36">
        <f>IFERROR(IF(Y116=0,"",ROUNDUP(Y116/H116,0)*0.00651),"")</f>
        <v>0.33851999999999999</v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150.88</v>
      </c>
      <c r="BN116" s="64">
        <f>IFERROR(Y116*I116/H116,"0")</f>
        <v>153.50399999999999</v>
      </c>
      <c r="BO116" s="64">
        <f>IFERROR(1/J116*(X116/H116),"0")</f>
        <v>0.28083028083028083</v>
      </c>
      <c r="BP116" s="64">
        <f>IFERROR(1/J116*(Y116/H116),"0")</f>
        <v>0.28571428571428575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2">
        <v>4680115884533</v>
      </c>
      <c r="E117" s="553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70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1" t="s">
        <v>75</v>
      </c>
      <c r="Q118" s="562"/>
      <c r="R118" s="562"/>
      <c r="S118" s="562"/>
      <c r="T118" s="562"/>
      <c r="U118" s="562"/>
      <c r="V118" s="563"/>
      <c r="W118" s="37" t="s">
        <v>76</v>
      </c>
      <c r="X118" s="547">
        <f>IFERROR(X114/H114,"0")+IFERROR(X115/H115,"0")+IFERROR(X116/H116,"0")+IFERROR(X117/H117,"0")</f>
        <v>80</v>
      </c>
      <c r="Y118" s="547">
        <f>IFERROR(Y114/H114,"0")+IFERROR(Y115/H115,"0")+IFERROR(Y116/H116,"0")+IFERROR(Y117/H117,"0")</f>
        <v>81</v>
      </c>
      <c r="Z118" s="547">
        <f>IFERROR(IF(Z114="",0,Z114),"0")+IFERROR(IF(Z115="",0,Z115),"0")+IFERROR(IF(Z116="",0,Z116),"0")+IFERROR(IF(Z117="",0,Z117),"0")</f>
        <v>0.88894000000000006</v>
      </c>
      <c r="AA118" s="548"/>
      <c r="AB118" s="548"/>
      <c r="AC118" s="548"/>
    </row>
    <row r="119" spans="1:68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71"/>
      <c r="P119" s="561" t="s">
        <v>75</v>
      </c>
      <c r="Q119" s="562"/>
      <c r="R119" s="562"/>
      <c r="S119" s="562"/>
      <c r="T119" s="562"/>
      <c r="U119" s="562"/>
      <c r="V119" s="563"/>
      <c r="W119" s="37" t="s">
        <v>69</v>
      </c>
      <c r="X119" s="547">
        <f>IFERROR(SUM(X114:X117),"0")</f>
        <v>372</v>
      </c>
      <c r="Y119" s="547">
        <f>IFERROR(SUM(Y114:Y117),"0")</f>
        <v>375.29999999999995</v>
      </c>
      <c r="Z119" s="37"/>
      <c r="AA119" s="548"/>
      <c r="AB119" s="548"/>
      <c r="AC119" s="548"/>
    </row>
    <row r="120" spans="1:68" ht="14.25" customHeight="1" x14ac:dyDescent="0.25">
      <c r="A120" s="558" t="s">
        <v>160</v>
      </c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41"/>
      <c r="AB120" s="541"/>
      <c r="AC120" s="541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2">
        <v>4680115880238</v>
      </c>
      <c r="E121" s="553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3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0"/>
      <c r="R121" s="550"/>
      <c r="S121" s="550"/>
      <c r="T121" s="551"/>
      <c r="U121" s="34"/>
      <c r="V121" s="34"/>
      <c r="W121" s="35" t="s">
        <v>69</v>
      </c>
      <c r="X121" s="545">
        <v>0</v>
      </c>
      <c r="Y121" s="54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70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1" t="s">
        <v>75</v>
      </c>
      <c r="Q122" s="562"/>
      <c r="R122" s="562"/>
      <c r="S122" s="562"/>
      <c r="T122" s="562"/>
      <c r="U122" s="562"/>
      <c r="V122" s="563"/>
      <c r="W122" s="37" t="s">
        <v>76</v>
      </c>
      <c r="X122" s="547">
        <f>IFERROR(X121/H121,"0")</f>
        <v>0</v>
      </c>
      <c r="Y122" s="547">
        <f>IFERROR(Y121/H121,"0")</f>
        <v>0</v>
      </c>
      <c r="Z122" s="547">
        <f>IFERROR(IF(Z121="",0,Z121),"0")</f>
        <v>0</v>
      </c>
      <c r="AA122" s="548"/>
      <c r="AB122" s="548"/>
      <c r="AC122" s="548"/>
    </row>
    <row r="123" spans="1:68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71"/>
      <c r="P123" s="561" t="s">
        <v>75</v>
      </c>
      <c r="Q123" s="562"/>
      <c r="R123" s="562"/>
      <c r="S123" s="562"/>
      <c r="T123" s="562"/>
      <c r="U123" s="562"/>
      <c r="V123" s="563"/>
      <c r="W123" s="37" t="s">
        <v>69</v>
      </c>
      <c r="X123" s="547">
        <f>IFERROR(SUM(X121:X121),"0")</f>
        <v>0</v>
      </c>
      <c r="Y123" s="547">
        <f>IFERROR(SUM(Y121:Y121),"0")</f>
        <v>0</v>
      </c>
      <c r="Z123" s="37"/>
      <c r="AA123" s="548"/>
      <c r="AB123" s="548"/>
      <c r="AC123" s="548"/>
    </row>
    <row r="124" spans="1:68" ht="16.5" customHeight="1" x14ac:dyDescent="0.25">
      <c r="A124" s="560" t="s">
        <v>227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0"/>
      <c r="AB124" s="540"/>
      <c r="AC124" s="540"/>
    </row>
    <row r="125" spans="1:68" ht="14.25" customHeight="1" x14ac:dyDescent="0.25">
      <c r="A125" s="558" t="s">
        <v>99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1"/>
      <c r="AB125" s="541"/>
      <c r="AC125" s="541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/>
      <c r="M126" s="33" t="s">
        <v>94</v>
      </c>
      <c r="N126" s="33"/>
      <c r="O126" s="32">
        <v>90</v>
      </c>
      <c r="P126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2">
        <v>4680115882577</v>
      </c>
      <c r="E127" s="553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/>
      <c r="M127" s="33" t="s">
        <v>94</v>
      </c>
      <c r="N127" s="33"/>
      <c r="O127" s="32">
        <v>90</v>
      </c>
      <c r="P127" s="8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0"/>
      <c r="R127" s="550"/>
      <c r="S127" s="550"/>
      <c r="T127" s="551"/>
      <c r="U127" s="34"/>
      <c r="V127" s="34"/>
      <c r="W127" s="35" t="s">
        <v>69</v>
      </c>
      <c r="X127" s="545">
        <v>0</v>
      </c>
      <c r="Y127" s="54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70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1" t="s">
        <v>75</v>
      </c>
      <c r="Q128" s="562"/>
      <c r="R128" s="562"/>
      <c r="S128" s="562"/>
      <c r="T128" s="562"/>
      <c r="U128" s="562"/>
      <c r="V128" s="563"/>
      <c r="W128" s="37" t="s">
        <v>76</v>
      </c>
      <c r="X128" s="547">
        <f>IFERROR(X126/H126,"0")+IFERROR(X127/H127,"0")</f>
        <v>0</v>
      </c>
      <c r="Y128" s="547">
        <f>IFERROR(Y126/H126,"0")+IFERROR(Y127/H127,"0")</f>
        <v>0</v>
      </c>
      <c r="Z128" s="547">
        <f>IFERROR(IF(Z126="",0,Z126),"0")+IFERROR(IF(Z127="",0,Z127),"0")</f>
        <v>0</v>
      </c>
      <c r="AA128" s="548"/>
      <c r="AB128" s="548"/>
      <c r="AC128" s="548"/>
    </row>
    <row r="129" spans="1:68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71"/>
      <c r="P129" s="561" t="s">
        <v>75</v>
      </c>
      <c r="Q129" s="562"/>
      <c r="R129" s="562"/>
      <c r="S129" s="562"/>
      <c r="T129" s="562"/>
      <c r="U129" s="562"/>
      <c r="V129" s="563"/>
      <c r="W129" s="37" t="s">
        <v>69</v>
      </c>
      <c r="X129" s="547">
        <f>IFERROR(SUM(X126:X127),"0")</f>
        <v>0</v>
      </c>
      <c r="Y129" s="547">
        <f>IFERROR(SUM(Y126:Y127),"0")</f>
        <v>0</v>
      </c>
      <c r="Z129" s="37"/>
      <c r="AA129" s="548"/>
      <c r="AB129" s="548"/>
      <c r="AC129" s="548"/>
    </row>
    <row r="130" spans="1:68" ht="14.25" customHeight="1" x14ac:dyDescent="0.25">
      <c r="A130" s="558" t="s">
        <v>64</v>
      </c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41"/>
      <c r="AB130" s="541"/>
      <c r="AC130" s="541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4301031235</v>
      </c>
      <c r="D132" s="552">
        <v>4680115883444</v>
      </c>
      <c r="E132" s="553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0"/>
      <c r="R132" s="550"/>
      <c r="S132" s="550"/>
      <c r="T132" s="551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70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1" t="s">
        <v>75</v>
      </c>
      <c r="Q133" s="562"/>
      <c r="R133" s="562"/>
      <c r="S133" s="562"/>
      <c r="T133" s="562"/>
      <c r="U133" s="562"/>
      <c r="V133" s="563"/>
      <c r="W133" s="37" t="s">
        <v>76</v>
      </c>
      <c r="X133" s="547">
        <f>IFERROR(X131/H131,"0")+IFERROR(X132/H132,"0")</f>
        <v>0</v>
      </c>
      <c r="Y133" s="547">
        <f>IFERROR(Y131/H131,"0")+IFERROR(Y132/H132,"0")</f>
        <v>0</v>
      </c>
      <c r="Z133" s="547">
        <f>IFERROR(IF(Z131="",0,Z131),"0")+IFERROR(IF(Z132="",0,Z132),"0")</f>
        <v>0</v>
      </c>
      <c r="AA133" s="548"/>
      <c r="AB133" s="548"/>
      <c r="AC133" s="548"/>
    </row>
    <row r="134" spans="1:68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71"/>
      <c r="P134" s="561" t="s">
        <v>75</v>
      </c>
      <c r="Q134" s="562"/>
      <c r="R134" s="562"/>
      <c r="S134" s="562"/>
      <c r="T134" s="562"/>
      <c r="U134" s="562"/>
      <c r="V134" s="563"/>
      <c r="W134" s="37" t="s">
        <v>69</v>
      </c>
      <c r="X134" s="547">
        <f>IFERROR(SUM(X131:X132),"0")</f>
        <v>0</v>
      </c>
      <c r="Y134" s="547">
        <f>IFERROR(SUM(Y131:Y132),"0")</f>
        <v>0</v>
      </c>
      <c r="Z134" s="37"/>
      <c r="AA134" s="548"/>
      <c r="AB134" s="548"/>
      <c r="AC134" s="548"/>
    </row>
    <row r="135" spans="1:68" ht="14.25" customHeight="1" x14ac:dyDescent="0.25">
      <c r="A135" s="558" t="s">
        <v>77</v>
      </c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41"/>
      <c r="AB135" s="541"/>
      <c r="AC135" s="541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0"/>
      <c r="R136" s="550"/>
      <c r="S136" s="550"/>
      <c r="T136" s="551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2">
        <v>4680115882584</v>
      </c>
      <c r="E137" s="553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0"/>
      <c r="R137" s="550"/>
      <c r="S137" s="550"/>
      <c r="T137" s="551"/>
      <c r="U137" s="34"/>
      <c r="V137" s="34"/>
      <c r="W137" s="35" t="s">
        <v>69</v>
      </c>
      <c r="X137" s="545">
        <v>0</v>
      </c>
      <c r="Y137" s="54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70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1" t="s">
        <v>75</v>
      </c>
      <c r="Q138" s="562"/>
      <c r="R138" s="562"/>
      <c r="S138" s="562"/>
      <c r="T138" s="562"/>
      <c r="U138" s="562"/>
      <c r="V138" s="563"/>
      <c r="W138" s="37" t="s">
        <v>76</v>
      </c>
      <c r="X138" s="547">
        <f>IFERROR(X136/H136,"0")+IFERROR(X137/H137,"0")</f>
        <v>0</v>
      </c>
      <c r="Y138" s="547">
        <f>IFERROR(Y136/H136,"0")+IFERROR(Y137/H137,"0")</f>
        <v>0</v>
      </c>
      <c r="Z138" s="547">
        <f>IFERROR(IF(Z136="",0,Z136),"0")+IFERROR(IF(Z137="",0,Z137),"0")</f>
        <v>0</v>
      </c>
      <c r="AA138" s="548"/>
      <c r="AB138" s="548"/>
      <c r="AC138" s="548"/>
    </row>
    <row r="139" spans="1:68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71"/>
      <c r="P139" s="561" t="s">
        <v>75</v>
      </c>
      <c r="Q139" s="562"/>
      <c r="R139" s="562"/>
      <c r="S139" s="562"/>
      <c r="T139" s="562"/>
      <c r="U139" s="562"/>
      <c r="V139" s="563"/>
      <c r="W139" s="37" t="s">
        <v>69</v>
      </c>
      <c r="X139" s="547">
        <f>IFERROR(SUM(X136:X137),"0")</f>
        <v>0</v>
      </c>
      <c r="Y139" s="547">
        <f>IFERROR(SUM(Y136:Y137),"0")</f>
        <v>0</v>
      </c>
      <c r="Z139" s="37"/>
      <c r="AA139" s="548"/>
      <c r="AB139" s="548"/>
      <c r="AC139" s="548"/>
    </row>
    <row r="140" spans="1:68" ht="16.5" customHeight="1" x14ac:dyDescent="0.25">
      <c r="A140" s="560" t="s">
        <v>97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0"/>
      <c r="AB140" s="540"/>
      <c r="AC140" s="540"/>
    </row>
    <row r="141" spans="1:68" ht="14.25" customHeight="1" x14ac:dyDescent="0.25">
      <c r="A141" s="558" t="s">
        <v>99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1"/>
      <c r="AB141" s="541"/>
      <c r="AC141" s="541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2">
        <v>4680115887374</v>
      </c>
      <c r="E142" s="553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2">
        <v>4607091384604</v>
      </c>
      <c r="E143" s="553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4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70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1" t="s">
        <v>75</v>
      </c>
      <c r="Q144" s="562"/>
      <c r="R144" s="562"/>
      <c r="S144" s="562"/>
      <c r="T144" s="562"/>
      <c r="U144" s="562"/>
      <c r="V144" s="563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71"/>
      <c r="P145" s="561" t="s">
        <v>75</v>
      </c>
      <c r="Q145" s="562"/>
      <c r="R145" s="562"/>
      <c r="S145" s="562"/>
      <c r="T145" s="562"/>
      <c r="U145" s="562"/>
      <c r="V145" s="563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customHeight="1" x14ac:dyDescent="0.25">
      <c r="A146" s="558" t="s">
        <v>64</v>
      </c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41"/>
      <c r="AB146" s="541"/>
      <c r="AC146" s="541"/>
    </row>
    <row r="147" spans="1:68" ht="16.5" customHeight="1" x14ac:dyDescent="0.25">
      <c r="A147" s="54" t="s">
        <v>245</v>
      </c>
      <c r="B147" s="54" t="s">
        <v>246</v>
      </c>
      <c r="C147" s="31">
        <v>4301031450</v>
      </c>
      <c r="D147" s="552">
        <v>4680115887428</v>
      </c>
      <c r="E147" s="553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0"/>
      <c r="R147" s="550"/>
      <c r="S147" s="550"/>
      <c r="T147" s="551"/>
      <c r="U147" s="34"/>
      <c r="V147" s="34"/>
      <c r="W147" s="35" t="s">
        <v>69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4301030961</v>
      </c>
      <c r="D148" s="552">
        <v>4607091387636</v>
      </c>
      <c r="E148" s="553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251</v>
      </c>
      <c r="B149" s="54" t="s">
        <v>252</v>
      </c>
      <c r="C149" s="31">
        <v>4301031453</v>
      </c>
      <c r="D149" s="552">
        <v>4680115887336</v>
      </c>
      <c r="E149" s="553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5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4301030963</v>
      </c>
      <c r="D150" s="552">
        <v>4607091382426</v>
      </c>
      <c r="E150" s="553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5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4301031456</v>
      </c>
      <c r="D151" s="552">
        <v>4680115887398</v>
      </c>
      <c r="E151" s="553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65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70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71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IFERROR(X147/H147,"0")+IFERROR(X148/H148,"0")+IFERROR(X149/H149,"0")+IFERROR(X150/H150,"0")+IFERROR(X151/H151,"0")</f>
        <v>0</v>
      </c>
      <c r="Y152" s="547">
        <f>IFERROR(Y147/H147,"0")+IFERROR(Y148/H148,"0")+IFERROR(Y149/H149,"0")+IFERROR(Y150/H150,"0")+IFERROR(Y151/H151,"0")</f>
        <v>0</v>
      </c>
      <c r="Z152" s="547">
        <f>IFERROR(IF(Z147="",0,Z147),"0")+IFERROR(IF(Z148="",0,Z148),"0")+IFERROR(IF(Z149="",0,Z149),"0")+IFERROR(IF(Z150="",0,Z150),"0")+IFERROR(IF(Z151="",0,Z151),"0")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IFERROR(SUM(X147:X151),"0")</f>
        <v>0</v>
      </c>
      <c r="Y153" s="547">
        <f>IFERROR(SUM(Y147:Y151),"0")</f>
        <v>0</v>
      </c>
      <c r="Z153" s="37"/>
      <c r="AA153" s="548"/>
      <c r="AB153" s="548"/>
      <c r="AC153" s="548"/>
    </row>
    <row r="154" spans="1:68" ht="14.25" customHeight="1" x14ac:dyDescent="0.25">
      <c r="A154" s="558" t="s">
        <v>77</v>
      </c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41"/>
      <c r="AB154" s="541"/>
      <c r="AC154" s="541"/>
    </row>
    <row r="155" spans="1:68" ht="27" customHeight="1" x14ac:dyDescent="0.25">
      <c r="A155" s="54" t="s">
        <v>260</v>
      </c>
      <c r="B155" s="54" t="s">
        <v>261</v>
      </c>
      <c r="C155" s="31">
        <v>4301052064</v>
      </c>
      <c r="D155" s="552">
        <v>4680115887459</v>
      </c>
      <c r="E155" s="553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70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71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71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639" t="s">
        <v>263</v>
      </c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48"/>
      <c r="AB158" s="48"/>
      <c r="AC158" s="48"/>
    </row>
    <row r="159" spans="1:68" ht="16.5" customHeight="1" x14ac:dyDescent="0.25">
      <c r="A159" s="560" t="s">
        <v>264</v>
      </c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40"/>
      <c r="AB159" s="540"/>
      <c r="AC159" s="540"/>
    </row>
    <row r="160" spans="1:68" ht="14.25" customHeight="1" x14ac:dyDescent="0.25">
      <c r="A160" s="558" t="s">
        <v>135</v>
      </c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41"/>
      <c r="AB160" s="541"/>
      <c r="AC160" s="541"/>
    </row>
    <row r="161" spans="1:68" ht="27" customHeight="1" x14ac:dyDescent="0.25">
      <c r="A161" s="54" t="s">
        <v>265</v>
      </c>
      <c r="B161" s="54" t="s">
        <v>266</v>
      </c>
      <c r="C161" s="31">
        <v>4301020323</v>
      </c>
      <c r="D161" s="552">
        <v>4680115886223</v>
      </c>
      <c r="E161" s="553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70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71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71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8" t="s">
        <v>64</v>
      </c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41"/>
      <c r="AB164" s="541"/>
      <c r="AC164" s="541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52">
        <v>4680115880993</v>
      </c>
      <c r="E165" s="553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 t="s">
        <v>112</v>
      </c>
      <c r="M165" s="33" t="s">
        <v>68</v>
      </c>
      <c r="N165" s="33"/>
      <c r="O165" s="32">
        <v>40</v>
      </c>
      <c r="P165" s="58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61</v>
      </c>
      <c r="Y165" s="546">
        <f t="shared" ref="Y165:Y178" si="5">IFERROR(IF(X165="",0,CEILING((X165/$H165),1)*$H165),"")</f>
        <v>63</v>
      </c>
      <c r="Z165" s="36">
        <f>IFERROR(IF(Y165=0,"",ROUNDUP(Y165/H165,0)*0.00902),"")</f>
        <v>0.1353</v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ref="BM165:BM178" si="6">IFERROR(X165*I165/H165,"0")</f>
        <v>64.63095238095238</v>
      </c>
      <c r="BN165" s="64">
        <f t="shared" ref="BN165:BN178" si="7">IFERROR(Y165*I165/H165,"0")</f>
        <v>66.75</v>
      </c>
      <c r="BO165" s="64">
        <f t="shared" ref="BO165:BO178" si="8">IFERROR(1/J165*(X165/H165),"0")</f>
        <v>0.11002886002886003</v>
      </c>
      <c r="BP165" s="64">
        <f t="shared" ref="BP165:BP178" si="9">IFERROR(1/J165*(Y165/H165),"0")</f>
        <v>0.11363636363636365</v>
      </c>
    </row>
    <row r="166" spans="1:68" ht="27" customHeight="1" x14ac:dyDescent="0.25">
      <c r="A166" s="54" t="s">
        <v>271</v>
      </c>
      <c r="B166" s="54" t="s">
        <v>272</v>
      </c>
      <c r="C166" s="31">
        <v>4301031204</v>
      </c>
      <c r="D166" s="552">
        <v>4680115881761</v>
      </c>
      <c r="E166" s="553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52">
        <v>4680115881563</v>
      </c>
      <c r="E167" s="553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112</v>
      </c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101</v>
      </c>
      <c r="Y167" s="546">
        <f t="shared" si="5"/>
        <v>105</v>
      </c>
      <c r="Z167" s="36">
        <f>IFERROR(IF(Y167=0,"",ROUNDUP(Y167/H167,0)*0.00902),"")</f>
        <v>0.22550000000000001</v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105.56904761904761</v>
      </c>
      <c r="BN167" s="64">
        <f t="shared" si="7"/>
        <v>109.74999999999999</v>
      </c>
      <c r="BO167" s="64">
        <f t="shared" si="8"/>
        <v>0.18217893217893219</v>
      </c>
      <c r="BP167" s="64">
        <f t="shared" si="9"/>
        <v>0.18939393939393939</v>
      </c>
    </row>
    <row r="168" spans="1:68" ht="37.5" customHeight="1" x14ac:dyDescent="0.25">
      <c r="A168" s="54" t="s">
        <v>277</v>
      </c>
      <c r="B168" s="54" t="s">
        <v>278</v>
      </c>
      <c r="C168" s="31">
        <v>4301031447</v>
      </c>
      <c r="D168" s="552">
        <v>4680115887565</v>
      </c>
      <c r="E168" s="553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280</v>
      </c>
      <c r="B169" s="54" t="s">
        <v>281</v>
      </c>
      <c r="C169" s="31">
        <v>4301031199</v>
      </c>
      <c r="D169" s="552">
        <v>4680115880986</v>
      </c>
      <c r="E169" s="553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18</v>
      </c>
      <c r="Y169" s="546">
        <f t="shared" si="5"/>
        <v>18.900000000000002</v>
      </c>
      <c r="Z169" s="36">
        <f>IFERROR(IF(Y169=0,"",ROUNDUP(Y169/H169,0)*0.00502),"")</f>
        <v>4.5179999999999998E-2</v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19.114285714285714</v>
      </c>
      <c r="BN169" s="64">
        <f t="shared" si="7"/>
        <v>20.07</v>
      </c>
      <c r="BO169" s="64">
        <f t="shared" si="8"/>
        <v>3.6630036630036632E-2</v>
      </c>
      <c r="BP169" s="64">
        <f t="shared" si="9"/>
        <v>3.8461538461538464E-2</v>
      </c>
    </row>
    <row r="170" spans="1:68" ht="27" customHeight="1" x14ac:dyDescent="0.25">
      <c r="A170" s="54" t="s">
        <v>283</v>
      </c>
      <c r="B170" s="54" t="s">
        <v>284</v>
      </c>
      <c r="C170" s="31">
        <v>4301031443</v>
      </c>
      <c r="D170" s="552">
        <v>4680115887213</v>
      </c>
      <c r="E170" s="553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4301031205</v>
      </c>
      <c r="D171" s="552">
        <v>4680115881785</v>
      </c>
      <c r="E171" s="553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288</v>
      </c>
      <c r="B172" s="54" t="s">
        <v>289</v>
      </c>
      <c r="C172" s="31">
        <v>4301031463</v>
      </c>
      <c r="D172" s="552">
        <v>4680115887824</v>
      </c>
      <c r="E172" s="553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7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4301031464</v>
      </c>
      <c r="D173" s="552">
        <v>4680115887701</v>
      </c>
      <c r="E173" s="553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16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customHeight="1" x14ac:dyDescent="0.25">
      <c r="A174" s="54" t="s">
        <v>294</v>
      </c>
      <c r="B174" s="54" t="s">
        <v>295</v>
      </c>
      <c r="C174" s="31">
        <v>4301031399</v>
      </c>
      <c r="D174" s="552">
        <v>4680115886537</v>
      </c>
      <c r="E174" s="553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 t="s">
        <v>282</v>
      </c>
      <c r="M174" s="33" t="s">
        <v>68</v>
      </c>
      <c r="N174" s="33"/>
      <c r="O174" s="32">
        <v>40</v>
      </c>
      <c r="P174" s="8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3</v>
      </c>
      <c r="Y174" s="546">
        <f t="shared" si="5"/>
        <v>3.6</v>
      </c>
      <c r="Z174" s="36">
        <f>IFERROR(IF(Y174=0,"",ROUNDUP(Y174/H174,0)*0.00502),"")</f>
        <v>1.004E-2</v>
      </c>
      <c r="AA174" s="56"/>
      <c r="AB174" s="57"/>
      <c r="AC174" s="217" t="s">
        <v>296</v>
      </c>
      <c r="AG174" s="64"/>
      <c r="AJ174" s="68" t="s">
        <v>106</v>
      </c>
      <c r="AK174" s="68">
        <v>32.4</v>
      </c>
      <c r="BB174" s="218" t="s">
        <v>1</v>
      </c>
      <c r="BM174" s="64">
        <f t="shared" si="6"/>
        <v>3.2166666666666668</v>
      </c>
      <c r="BN174" s="64">
        <f t="shared" si="7"/>
        <v>3.8599999999999994</v>
      </c>
      <c r="BO174" s="64">
        <f t="shared" si="8"/>
        <v>7.1225071225071226E-3</v>
      </c>
      <c r="BP174" s="64">
        <f t="shared" si="9"/>
        <v>8.5470085470085479E-3</v>
      </c>
    </row>
    <row r="175" spans="1:68" ht="27" customHeight="1" x14ac:dyDescent="0.25">
      <c r="A175" s="54" t="s">
        <v>297</v>
      </c>
      <c r="B175" s="54" t="s">
        <v>298</v>
      </c>
      <c r="C175" s="31">
        <v>4301031279</v>
      </c>
      <c r="D175" s="552">
        <v>4680115887596</v>
      </c>
      <c r="E175" s="553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173</v>
      </c>
      <c r="L175" s="32"/>
      <c r="M175" s="33" t="s">
        <v>68</v>
      </c>
      <c r="N175" s="33"/>
      <c r="O175" s="32">
        <v>45</v>
      </c>
      <c r="P175" s="78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2">
        <v>4680115881679</v>
      </c>
      <c r="E176" s="553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378</v>
      </c>
      <c r="Y176" s="546">
        <f t="shared" si="5"/>
        <v>378</v>
      </c>
      <c r="Z176" s="36">
        <f>IFERROR(IF(Y176=0,"",ROUNDUP(Y176/H176,0)*0.00502),"")</f>
        <v>0.90360000000000007</v>
      </c>
      <c r="AA176" s="56"/>
      <c r="AB176" s="57"/>
      <c r="AC176" s="221" t="s">
        <v>276</v>
      </c>
      <c r="AG176" s="64"/>
      <c r="AJ176" s="68" t="s">
        <v>106</v>
      </c>
      <c r="AK176" s="68">
        <v>37.799999999999997</v>
      </c>
      <c r="BB176" s="222" t="s">
        <v>1</v>
      </c>
      <c r="BM176" s="64">
        <f t="shared" si="6"/>
        <v>396</v>
      </c>
      <c r="BN176" s="64">
        <f t="shared" si="7"/>
        <v>396</v>
      </c>
      <c r="BO176" s="64">
        <f t="shared" si="8"/>
        <v>0.76923076923076927</v>
      </c>
      <c r="BP176" s="64">
        <f t="shared" si="9"/>
        <v>0.76923076923076927</v>
      </c>
    </row>
    <row r="177" spans="1:68" ht="27" customHeight="1" x14ac:dyDescent="0.25">
      <c r="A177" s="54" t="s">
        <v>302</v>
      </c>
      <c r="B177" s="54" t="s">
        <v>303</v>
      </c>
      <c r="C177" s="31">
        <v>4301031158</v>
      </c>
      <c r="D177" s="552">
        <v>4680115880191</v>
      </c>
      <c r="E177" s="553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0"/>
      <c r="R177" s="550"/>
      <c r="S177" s="550"/>
      <c r="T177" s="551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4301031245</v>
      </c>
      <c r="D178" s="552">
        <v>4680115883963</v>
      </c>
      <c r="E178" s="553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0"/>
      <c r="R178" s="550"/>
      <c r="S178" s="550"/>
      <c r="T178" s="551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70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1" t="s">
        <v>75</v>
      </c>
      <c r="Q179" s="562"/>
      <c r="R179" s="562"/>
      <c r="S179" s="562"/>
      <c r="T179" s="562"/>
      <c r="U179" s="562"/>
      <c r="V179" s="563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228.8095238095238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231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1.31962</v>
      </c>
      <c r="AA179" s="548"/>
      <c r="AB179" s="548"/>
      <c r="AC179" s="548"/>
    </row>
    <row r="180" spans="1:68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71"/>
      <c r="P180" s="561" t="s">
        <v>75</v>
      </c>
      <c r="Q180" s="562"/>
      <c r="R180" s="562"/>
      <c r="S180" s="562"/>
      <c r="T180" s="562"/>
      <c r="U180" s="562"/>
      <c r="V180" s="563"/>
      <c r="W180" s="37" t="s">
        <v>69</v>
      </c>
      <c r="X180" s="547">
        <f>IFERROR(SUM(X165:X178),"0")</f>
        <v>561</v>
      </c>
      <c r="Y180" s="547">
        <f>IFERROR(SUM(Y165:Y178),"0")</f>
        <v>568.5</v>
      </c>
      <c r="Z180" s="37"/>
      <c r="AA180" s="548"/>
      <c r="AB180" s="548"/>
      <c r="AC180" s="548"/>
    </row>
    <row r="181" spans="1:68" ht="14.25" customHeight="1" x14ac:dyDescent="0.25">
      <c r="A181" s="558" t="s">
        <v>91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1"/>
      <c r="AB181" s="541"/>
      <c r="AC181" s="541"/>
    </row>
    <row r="182" spans="1:68" ht="27" customHeight="1" x14ac:dyDescent="0.25">
      <c r="A182" s="54" t="s">
        <v>307</v>
      </c>
      <c r="B182" s="54" t="s">
        <v>308</v>
      </c>
      <c r="C182" s="31">
        <v>4301032053</v>
      </c>
      <c r="D182" s="552">
        <v>4680115886780</v>
      </c>
      <c r="E182" s="553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7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311</v>
      </c>
      <c r="B183" s="54" t="s">
        <v>312</v>
      </c>
      <c r="C183" s="31">
        <v>4301032051</v>
      </c>
      <c r="D183" s="552">
        <v>4680115886742</v>
      </c>
      <c r="E183" s="553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81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0"/>
      <c r="R183" s="550"/>
      <c r="S183" s="550"/>
      <c r="T183" s="551"/>
      <c r="U183" s="34"/>
      <c r="V183" s="34"/>
      <c r="W183" s="35" t="s">
        <v>69</v>
      </c>
      <c r="X183" s="545">
        <v>1</v>
      </c>
      <c r="Y183" s="546">
        <f>IFERROR(IF(X183="",0,CEILING((X183/$H183),1)*$H183),"")</f>
        <v>1.26</v>
      </c>
      <c r="Z183" s="36">
        <f>IFERROR(IF(Y183=0,"",ROUNDUP(Y183/H183,0)*0.0059),"")</f>
        <v>5.8999999999999999E-3</v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1.1507936507936507</v>
      </c>
      <c r="BN183" s="64">
        <f>IFERROR(Y183*I183/H183,"0")</f>
        <v>1.45</v>
      </c>
      <c r="BO183" s="64">
        <f>IFERROR(1/J183*(X183/H183),"0")</f>
        <v>3.6743092298647849E-3</v>
      </c>
      <c r="BP183" s="64">
        <f>IFERROR(1/J183*(Y183/H183),"0")</f>
        <v>4.6296296296296294E-3</v>
      </c>
    </row>
    <row r="184" spans="1:68" ht="27" customHeight="1" x14ac:dyDescent="0.25">
      <c r="A184" s="54" t="s">
        <v>314</v>
      </c>
      <c r="B184" s="54" t="s">
        <v>315</v>
      </c>
      <c r="C184" s="31">
        <v>4301032052</v>
      </c>
      <c r="D184" s="552">
        <v>4680115886766</v>
      </c>
      <c r="E184" s="553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2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0"/>
      <c r="R184" s="550"/>
      <c r="S184" s="550"/>
      <c r="T184" s="551"/>
      <c r="U184" s="34"/>
      <c r="V184" s="34"/>
      <c r="W184" s="35" t="s">
        <v>69</v>
      </c>
      <c r="X184" s="545">
        <v>1</v>
      </c>
      <c r="Y184" s="546">
        <f>IFERROR(IF(X184="",0,CEILING((X184/$H184),1)*$H184),"")</f>
        <v>1.26</v>
      </c>
      <c r="Z184" s="36">
        <f>IFERROR(IF(Y184=0,"",ROUNDUP(Y184/H184,0)*0.0059),"")</f>
        <v>5.8999999999999999E-3</v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1.1507936507936507</v>
      </c>
      <c r="BN184" s="64">
        <f>IFERROR(Y184*I184/H184,"0")</f>
        <v>1.45</v>
      </c>
      <c r="BO184" s="64">
        <f>IFERROR(1/J184*(X184/H184),"0")</f>
        <v>3.6743092298647849E-3</v>
      </c>
      <c r="BP184" s="64">
        <f>IFERROR(1/J184*(Y184/H184),"0")</f>
        <v>4.6296296296296294E-3</v>
      </c>
    </row>
    <row r="185" spans="1:68" x14ac:dyDescent="0.2">
      <c r="A185" s="570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71"/>
      <c r="P185" s="561" t="s">
        <v>75</v>
      </c>
      <c r="Q185" s="562"/>
      <c r="R185" s="562"/>
      <c r="S185" s="562"/>
      <c r="T185" s="562"/>
      <c r="U185" s="562"/>
      <c r="V185" s="563"/>
      <c r="W185" s="37" t="s">
        <v>76</v>
      </c>
      <c r="X185" s="547">
        <f>IFERROR(X182/H182,"0")+IFERROR(X183/H183,"0")+IFERROR(X184/H184,"0")</f>
        <v>1.5873015873015872</v>
      </c>
      <c r="Y185" s="547">
        <f>IFERROR(Y182/H182,"0")+IFERROR(Y183/H183,"0")+IFERROR(Y184/H184,"0")</f>
        <v>2</v>
      </c>
      <c r="Z185" s="547">
        <f>IFERROR(IF(Z182="",0,Z182),"0")+IFERROR(IF(Z183="",0,Z183),"0")+IFERROR(IF(Z184="",0,Z184),"0")</f>
        <v>1.18E-2</v>
      </c>
      <c r="AA185" s="548"/>
      <c r="AB185" s="548"/>
      <c r="AC185" s="548"/>
    </row>
    <row r="186" spans="1:68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71"/>
      <c r="P186" s="561" t="s">
        <v>75</v>
      </c>
      <c r="Q186" s="562"/>
      <c r="R186" s="562"/>
      <c r="S186" s="562"/>
      <c r="T186" s="562"/>
      <c r="U186" s="562"/>
      <c r="V186" s="563"/>
      <c r="W186" s="37" t="s">
        <v>69</v>
      </c>
      <c r="X186" s="547">
        <f>IFERROR(SUM(X182:X184),"0")</f>
        <v>2</v>
      </c>
      <c r="Y186" s="547">
        <f>IFERROR(SUM(Y182:Y184),"0")</f>
        <v>2.52</v>
      </c>
      <c r="Z186" s="37"/>
      <c r="AA186" s="548"/>
      <c r="AB186" s="548"/>
      <c r="AC186" s="548"/>
    </row>
    <row r="187" spans="1:68" ht="14.25" customHeight="1" x14ac:dyDescent="0.25">
      <c r="A187" s="558" t="s">
        <v>316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1"/>
      <c r="AB187" s="541"/>
      <c r="AC187" s="541"/>
    </row>
    <row r="188" spans="1:68" ht="27" customHeight="1" x14ac:dyDescent="0.25">
      <c r="A188" s="54" t="s">
        <v>317</v>
      </c>
      <c r="B188" s="54" t="s">
        <v>318</v>
      </c>
      <c r="C188" s="31">
        <v>4301170013</v>
      </c>
      <c r="D188" s="552">
        <v>4680115886797</v>
      </c>
      <c r="E188" s="553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9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0"/>
      <c r="R188" s="550"/>
      <c r="S188" s="550"/>
      <c r="T188" s="551"/>
      <c r="U188" s="34"/>
      <c r="V188" s="34"/>
      <c r="W188" s="35" t="s">
        <v>69</v>
      </c>
      <c r="X188" s="545">
        <v>0</v>
      </c>
      <c r="Y188" s="54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70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1" t="s">
        <v>75</v>
      </c>
      <c r="Q189" s="562"/>
      <c r="R189" s="562"/>
      <c r="S189" s="562"/>
      <c r="T189" s="562"/>
      <c r="U189" s="562"/>
      <c r="V189" s="563"/>
      <c r="W189" s="37" t="s">
        <v>76</v>
      </c>
      <c r="X189" s="547">
        <f>IFERROR(X188/H188,"0")</f>
        <v>0</v>
      </c>
      <c r="Y189" s="547">
        <f>IFERROR(Y188/H188,"0")</f>
        <v>0</v>
      </c>
      <c r="Z189" s="547">
        <f>IFERROR(IF(Z188="",0,Z188),"0")</f>
        <v>0</v>
      </c>
      <c r="AA189" s="548"/>
      <c r="AB189" s="548"/>
      <c r="AC189" s="548"/>
    </row>
    <row r="190" spans="1:68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71"/>
      <c r="P190" s="561" t="s">
        <v>75</v>
      </c>
      <c r="Q190" s="562"/>
      <c r="R190" s="562"/>
      <c r="S190" s="562"/>
      <c r="T190" s="562"/>
      <c r="U190" s="562"/>
      <c r="V190" s="563"/>
      <c r="W190" s="37" t="s">
        <v>69</v>
      </c>
      <c r="X190" s="547">
        <f>IFERROR(SUM(X188:X188),"0")</f>
        <v>0</v>
      </c>
      <c r="Y190" s="547">
        <f>IFERROR(SUM(Y188:Y188),"0")</f>
        <v>0</v>
      </c>
      <c r="Z190" s="37"/>
      <c r="AA190" s="548"/>
      <c r="AB190" s="548"/>
      <c r="AC190" s="548"/>
    </row>
    <row r="191" spans="1:68" ht="16.5" customHeight="1" x14ac:dyDescent="0.25">
      <c r="A191" s="560" t="s">
        <v>319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0"/>
      <c r="AB191" s="540"/>
      <c r="AC191" s="540"/>
    </row>
    <row r="192" spans="1:68" ht="14.25" customHeight="1" x14ac:dyDescent="0.25">
      <c r="A192" s="558" t="s">
        <v>99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1"/>
      <c r="AB192" s="541"/>
      <c r="AC192" s="541"/>
    </row>
    <row r="193" spans="1:68" ht="27" customHeight="1" x14ac:dyDescent="0.25">
      <c r="A193" s="54" t="s">
        <v>320</v>
      </c>
      <c r="B193" s="54" t="s">
        <v>321</v>
      </c>
      <c r="C193" s="31">
        <v>4301011450</v>
      </c>
      <c r="D193" s="552">
        <v>4680115881402</v>
      </c>
      <c r="E193" s="553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77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0"/>
      <c r="R193" s="550"/>
      <c r="S193" s="550"/>
      <c r="T193" s="551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323</v>
      </c>
      <c r="B194" s="54" t="s">
        <v>324</v>
      </c>
      <c r="C194" s="31">
        <v>4301011768</v>
      </c>
      <c r="D194" s="552">
        <v>4680115881396</v>
      </c>
      <c r="E194" s="553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/>
      <c r="M194" s="33" t="s">
        <v>104</v>
      </c>
      <c r="N194" s="33"/>
      <c r="O194" s="32">
        <v>55</v>
      </c>
      <c r="P194" s="65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0"/>
      <c r="R194" s="550"/>
      <c r="S194" s="550"/>
      <c r="T194" s="551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70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71"/>
      <c r="P195" s="561" t="s">
        <v>75</v>
      </c>
      <c r="Q195" s="562"/>
      <c r="R195" s="562"/>
      <c r="S195" s="562"/>
      <c r="T195" s="562"/>
      <c r="U195" s="562"/>
      <c r="V195" s="563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71"/>
      <c r="P196" s="561" t="s">
        <v>75</v>
      </c>
      <c r="Q196" s="562"/>
      <c r="R196" s="562"/>
      <c r="S196" s="562"/>
      <c r="T196" s="562"/>
      <c r="U196" s="562"/>
      <c r="V196" s="563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customHeight="1" x14ac:dyDescent="0.25">
      <c r="A197" s="558" t="s">
        <v>135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1"/>
      <c r="AB197" s="541"/>
      <c r="AC197" s="541"/>
    </row>
    <row r="198" spans="1:68" ht="16.5" customHeight="1" x14ac:dyDescent="0.25">
      <c r="A198" s="54" t="s">
        <v>325</v>
      </c>
      <c r="B198" s="54" t="s">
        <v>326</v>
      </c>
      <c r="C198" s="31">
        <v>4301020261</v>
      </c>
      <c r="D198" s="552">
        <v>4680115882935</v>
      </c>
      <c r="E198" s="553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82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328</v>
      </c>
      <c r="B199" s="54" t="s">
        <v>329</v>
      </c>
      <c r="C199" s="31">
        <v>4301020220</v>
      </c>
      <c r="D199" s="552">
        <v>4680115880764</v>
      </c>
      <c r="E199" s="553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 t="s">
        <v>213</v>
      </c>
      <c r="M199" s="33" t="s">
        <v>104</v>
      </c>
      <c r="N199" s="33"/>
      <c r="O199" s="32">
        <v>50</v>
      </c>
      <c r="P199" s="8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0"/>
      <c r="R199" s="550"/>
      <c r="S199" s="550"/>
      <c r="T199" s="551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 t="s">
        <v>106</v>
      </c>
      <c r="AK199" s="68">
        <v>29.4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70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71"/>
      <c r="P200" s="561" t="s">
        <v>75</v>
      </c>
      <c r="Q200" s="562"/>
      <c r="R200" s="562"/>
      <c r="S200" s="562"/>
      <c r="T200" s="562"/>
      <c r="U200" s="562"/>
      <c r="V200" s="563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71"/>
      <c r="P201" s="561" t="s">
        <v>75</v>
      </c>
      <c r="Q201" s="562"/>
      <c r="R201" s="562"/>
      <c r="S201" s="562"/>
      <c r="T201" s="562"/>
      <c r="U201" s="562"/>
      <c r="V201" s="563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1"/>
      <c r="AB202" s="541"/>
      <c r="AC202" s="541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2">
        <v>4680115882683</v>
      </c>
      <c r="E203" s="553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112</v>
      </c>
      <c r="M203" s="33" t="s">
        <v>68</v>
      </c>
      <c r="N203" s="33"/>
      <c r="O203" s="32">
        <v>40</v>
      </c>
      <c r="P203" s="7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115</v>
      </c>
      <c r="Y203" s="546">
        <f t="shared" ref="Y203:Y210" si="10">IFERROR(IF(X203="",0,CEILING((X203/$H203),1)*$H203),"")</f>
        <v>118.80000000000001</v>
      </c>
      <c r="Z203" s="36">
        <f>IFERROR(IF(Y203=0,"",ROUNDUP(Y203/H203,0)*0.00902),"")</f>
        <v>0.19844000000000001</v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119.04629629629629</v>
      </c>
      <c r="BN203" s="64">
        <f t="shared" ref="BN203:BN210" si="12">IFERROR(Y203*I203/H203,"0")</f>
        <v>122.98</v>
      </c>
      <c r="BO203" s="64">
        <f t="shared" ref="BO203:BO210" si="13">IFERROR(1/J203*(X203/H203),"0")</f>
        <v>0.16133557800224466</v>
      </c>
      <c r="BP203" s="64">
        <f t="shared" ref="BP203:BP210" si="14">IFERROR(1/J203*(Y203/H203),"0")</f>
        <v>0.16666666666666669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2">
        <v>4680115882690</v>
      </c>
      <c r="E204" s="553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112</v>
      </c>
      <c r="M204" s="33" t="s">
        <v>68</v>
      </c>
      <c r="N204" s="33"/>
      <c r="O204" s="32">
        <v>40</v>
      </c>
      <c r="P204" s="73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100</v>
      </c>
      <c r="Y204" s="546">
        <f t="shared" si="10"/>
        <v>102.60000000000001</v>
      </c>
      <c r="Z204" s="36">
        <f>IFERROR(IF(Y204=0,"",ROUNDUP(Y204/H204,0)*0.00902),"")</f>
        <v>0.17138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103.5185185185185</v>
      </c>
      <c r="BN204" s="64">
        <f t="shared" si="12"/>
        <v>106.21</v>
      </c>
      <c r="BO204" s="64">
        <f t="shared" si="13"/>
        <v>0.14029180695847362</v>
      </c>
      <c r="BP204" s="64">
        <f t="shared" si="14"/>
        <v>0.14393939393939395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2">
        <v>4680115882669</v>
      </c>
      <c r="E205" s="553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/>
      <c r="M205" s="33" t="s">
        <v>68</v>
      </c>
      <c r="N205" s="33"/>
      <c r="O205" s="32">
        <v>40</v>
      </c>
      <c r="P205" s="6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150</v>
      </c>
      <c r="Y205" s="546">
        <f t="shared" si="10"/>
        <v>151.20000000000002</v>
      </c>
      <c r="Z205" s="36">
        <f>IFERROR(IF(Y205=0,"",ROUNDUP(Y205/H205,0)*0.00902),"")</f>
        <v>0.25256000000000001</v>
      </c>
      <c r="AA205" s="56"/>
      <c r="AB205" s="57"/>
      <c r="AC205" s="247" t="s">
        <v>338</v>
      </c>
      <c r="AG205" s="64"/>
      <c r="AJ205" s="68"/>
      <c r="AK205" s="68">
        <v>0</v>
      </c>
      <c r="BB205" s="248" t="s">
        <v>1</v>
      </c>
      <c r="BM205" s="64">
        <f t="shared" si="11"/>
        <v>155.27777777777777</v>
      </c>
      <c r="BN205" s="64">
        <f t="shared" si="12"/>
        <v>156.52000000000001</v>
      </c>
      <c r="BO205" s="64">
        <f t="shared" si="13"/>
        <v>0.21043771043771042</v>
      </c>
      <c r="BP205" s="64">
        <f t="shared" si="14"/>
        <v>0.21212121212121213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2">
        <v>4680115882676</v>
      </c>
      <c r="E206" s="553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112</v>
      </c>
      <c r="M206" s="33" t="s">
        <v>68</v>
      </c>
      <c r="N206" s="33"/>
      <c r="O206" s="32">
        <v>40</v>
      </c>
      <c r="P206" s="7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120</v>
      </c>
      <c r="Y206" s="546">
        <f t="shared" si="10"/>
        <v>124.2</v>
      </c>
      <c r="Z206" s="36">
        <f>IFERROR(IF(Y206=0,"",ROUNDUP(Y206/H206,0)*0.00902),"")</f>
        <v>0.20746000000000001</v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124.2222222222222</v>
      </c>
      <c r="BN206" s="64">
        <f t="shared" si="12"/>
        <v>128.57</v>
      </c>
      <c r="BO206" s="64">
        <f t="shared" si="13"/>
        <v>0.16835016835016836</v>
      </c>
      <c r="BP206" s="64">
        <f t="shared" si="14"/>
        <v>0.17424242424242425</v>
      </c>
    </row>
    <row r="207" spans="1:68" ht="27" customHeight="1" x14ac:dyDescent="0.25">
      <c r="A207" s="54" t="s">
        <v>342</v>
      </c>
      <c r="B207" s="54" t="s">
        <v>343</v>
      </c>
      <c r="C207" s="31">
        <v>4301031223</v>
      </c>
      <c r="D207" s="552">
        <v>4680115884014</v>
      </c>
      <c r="E207" s="553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35</v>
      </c>
      <c r="Y207" s="546">
        <f t="shared" si="10"/>
        <v>36</v>
      </c>
      <c r="Z207" s="36">
        <f>IFERROR(IF(Y207=0,"",ROUNDUP(Y207/H207,0)*0.00502),"")</f>
        <v>0.1004</v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37.527777777777779</v>
      </c>
      <c r="BN207" s="64">
        <f t="shared" si="12"/>
        <v>38.6</v>
      </c>
      <c r="BO207" s="64">
        <f t="shared" si="13"/>
        <v>8.3095916429249767E-2</v>
      </c>
      <c r="BP207" s="64">
        <f t="shared" si="14"/>
        <v>8.5470085470085472E-2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52">
        <v>4680115884007</v>
      </c>
      <c r="E208" s="553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0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26</v>
      </c>
      <c r="Y208" s="546">
        <f t="shared" si="10"/>
        <v>27</v>
      </c>
      <c r="Z208" s="36">
        <f>IFERROR(IF(Y208=0,"",ROUNDUP(Y208/H208,0)*0.00502),"")</f>
        <v>7.5300000000000006E-2</v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27.444444444444443</v>
      </c>
      <c r="BN208" s="64">
        <f t="shared" si="12"/>
        <v>28.499999999999996</v>
      </c>
      <c r="BO208" s="64">
        <f t="shared" si="13"/>
        <v>6.1728395061728406E-2</v>
      </c>
      <c r="BP208" s="64">
        <f t="shared" si="14"/>
        <v>6.4102564102564111E-2</v>
      </c>
    </row>
    <row r="209" spans="1:68" ht="27" customHeight="1" x14ac:dyDescent="0.25">
      <c r="A209" s="54" t="s">
        <v>346</v>
      </c>
      <c r="B209" s="54" t="s">
        <v>347</v>
      </c>
      <c r="C209" s="31">
        <v>4301031229</v>
      </c>
      <c r="D209" s="552">
        <v>4680115884038</v>
      </c>
      <c r="E209" s="553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5">
        <v>0</v>
      </c>
      <c r="Y209" s="546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52">
        <v>4680115884021</v>
      </c>
      <c r="E210" s="553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5">
        <v>38</v>
      </c>
      <c r="Y210" s="546">
        <f t="shared" si="10"/>
        <v>39.6</v>
      </c>
      <c r="Z210" s="36">
        <f>IFERROR(IF(Y210=0,"",ROUNDUP(Y210/H210,0)*0.00502),"")</f>
        <v>0.11044000000000001</v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1"/>
        <v>40.111111111111114</v>
      </c>
      <c r="BN210" s="64">
        <f t="shared" si="12"/>
        <v>41.8</v>
      </c>
      <c r="BO210" s="64">
        <f t="shared" si="13"/>
        <v>9.0218423551756896E-2</v>
      </c>
      <c r="BP210" s="64">
        <f t="shared" si="14"/>
        <v>9.401709401709403E-2</v>
      </c>
    </row>
    <row r="211" spans="1:68" x14ac:dyDescent="0.2">
      <c r="A211" s="570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71"/>
      <c r="P211" s="561" t="s">
        <v>75</v>
      </c>
      <c r="Q211" s="562"/>
      <c r="R211" s="562"/>
      <c r="S211" s="562"/>
      <c r="T211" s="562"/>
      <c r="U211" s="562"/>
      <c r="V211" s="563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144.81481481481481</v>
      </c>
      <c r="Y211" s="547">
        <f>IFERROR(Y203/H203,"0")+IFERROR(Y204/H204,"0")+IFERROR(Y205/H205,"0")+IFERROR(Y206/H206,"0")+IFERROR(Y207/H207,"0")+IFERROR(Y208/H208,"0")+IFERROR(Y209/H209,"0")+IFERROR(Y210/H210,"0")</f>
        <v>149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1.1159800000000002</v>
      </c>
      <c r="AA211" s="548"/>
      <c r="AB211" s="548"/>
      <c r="AC211" s="548"/>
    </row>
    <row r="212" spans="1:68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71"/>
      <c r="P212" s="561" t="s">
        <v>75</v>
      </c>
      <c r="Q212" s="562"/>
      <c r="R212" s="562"/>
      <c r="S212" s="562"/>
      <c r="T212" s="562"/>
      <c r="U212" s="562"/>
      <c r="V212" s="563"/>
      <c r="W212" s="37" t="s">
        <v>69</v>
      </c>
      <c r="X212" s="547">
        <f>IFERROR(SUM(X203:X210),"0")</f>
        <v>584</v>
      </c>
      <c r="Y212" s="547">
        <f>IFERROR(SUM(Y203:Y210),"0")</f>
        <v>599.4</v>
      </c>
      <c r="Z212" s="37"/>
      <c r="AA212" s="548"/>
      <c r="AB212" s="548"/>
      <c r="AC212" s="548"/>
    </row>
    <row r="213" spans="1:68" ht="14.25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1"/>
      <c r="AB213" s="541"/>
      <c r="AC213" s="541"/>
    </row>
    <row r="214" spans="1:68" ht="27" customHeight="1" x14ac:dyDescent="0.25">
      <c r="A214" s="54" t="s">
        <v>350</v>
      </c>
      <c r="B214" s="54" t="s">
        <v>351</v>
      </c>
      <c r="C214" s="31">
        <v>4301051408</v>
      </c>
      <c r="D214" s="552">
        <v>4680115881594</v>
      </c>
      <c r="E214" s="553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/>
      <c r="M214" s="33" t="s">
        <v>80</v>
      </c>
      <c r="N214" s="33"/>
      <c r="O214" s="32">
        <v>40</v>
      </c>
      <c r="P214" s="81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70</v>
      </c>
      <c r="Y214" s="546">
        <f t="shared" ref="Y214:Y222" si="15">IFERROR(IF(X214="",0,CEILING((X214/$H214),1)*$H214),"")</f>
        <v>72.899999999999991</v>
      </c>
      <c r="Z214" s="36">
        <f>IFERROR(IF(Y214=0,"",ROUNDUP(Y214/H214,0)*0.01898),"")</f>
        <v>0.17082</v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74.269135802469137</v>
      </c>
      <c r="BN214" s="64">
        <f t="shared" ref="BN214:BN222" si="17">IFERROR(Y214*I214/H214,"0")</f>
        <v>77.345999999999989</v>
      </c>
      <c r="BO214" s="64">
        <f t="shared" ref="BO214:BO222" si="18">IFERROR(1/J214*(X214/H214),"0")</f>
        <v>0.13503086419753088</v>
      </c>
      <c r="BP214" s="64">
        <f t="shared" ref="BP214:BP222" si="19">IFERROR(1/J214*(Y214/H214),"0")</f>
        <v>0.140625</v>
      </c>
    </row>
    <row r="215" spans="1:68" ht="27" customHeight="1" x14ac:dyDescent="0.25">
      <c r="A215" s="54" t="s">
        <v>353</v>
      </c>
      <c r="B215" s="54" t="s">
        <v>354</v>
      </c>
      <c r="C215" s="31">
        <v>4301051411</v>
      </c>
      <c r="D215" s="552">
        <v>4680115881617</v>
      </c>
      <c r="E215" s="553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5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71</v>
      </c>
      <c r="Y215" s="546">
        <f t="shared" si="15"/>
        <v>72.899999999999991</v>
      </c>
      <c r="Z215" s="36">
        <f>IFERROR(IF(Y215=0,"",ROUNDUP(Y215/H215,0)*0.01898),"")</f>
        <v>0.17082</v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75.172345679012352</v>
      </c>
      <c r="BN215" s="64">
        <f t="shared" si="17"/>
        <v>77.183999999999997</v>
      </c>
      <c r="BO215" s="64">
        <f t="shared" si="18"/>
        <v>0.13695987654320987</v>
      </c>
      <c r="BP215" s="64">
        <f t="shared" si="19"/>
        <v>0.140625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52">
        <v>4680115880573</v>
      </c>
      <c r="E216" s="553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45</v>
      </c>
      <c r="P216" s="72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182</v>
      </c>
      <c r="Y216" s="546">
        <f t="shared" si="15"/>
        <v>182.7</v>
      </c>
      <c r="Z216" s="36">
        <f>IFERROR(IF(Y216=0,"",ROUNDUP(Y216/H216,0)*0.01898),"")</f>
        <v>0.39857999999999999</v>
      </c>
      <c r="AA216" s="56"/>
      <c r="AB216" s="57"/>
      <c r="AC216" s="263" t="s">
        <v>358</v>
      </c>
      <c r="AG216" s="64"/>
      <c r="AJ216" s="68" t="s">
        <v>106</v>
      </c>
      <c r="AK216" s="68">
        <v>69.599999999999994</v>
      </c>
      <c r="BB216" s="264" t="s">
        <v>1</v>
      </c>
      <c r="BM216" s="64">
        <f t="shared" si="16"/>
        <v>192.33425287356326</v>
      </c>
      <c r="BN216" s="64">
        <f t="shared" si="17"/>
        <v>193.07400000000001</v>
      </c>
      <c r="BO216" s="64">
        <f t="shared" si="18"/>
        <v>0.32686781609195403</v>
      </c>
      <c r="BP216" s="64">
        <f t="shared" si="19"/>
        <v>0.328125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2">
        <v>4680115882195</v>
      </c>
      <c r="E217" s="553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213</v>
      </c>
      <c r="M217" s="33" t="s">
        <v>80</v>
      </c>
      <c r="N217" s="33"/>
      <c r="O217" s="32">
        <v>40</v>
      </c>
      <c r="P217" s="75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72</v>
      </c>
      <c r="Y217" s="546">
        <f t="shared" si="15"/>
        <v>72</v>
      </c>
      <c r="Z217" s="36">
        <f t="shared" ref="Z217:Z222" si="20">IFERROR(IF(Y217=0,"",ROUNDUP(Y217/H217,0)*0.00651),"")</f>
        <v>0.1953</v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80.100000000000009</v>
      </c>
      <c r="BN217" s="64">
        <f t="shared" si="17"/>
        <v>80.100000000000009</v>
      </c>
      <c r="BO217" s="64">
        <f t="shared" si="18"/>
        <v>0.16483516483516486</v>
      </c>
      <c r="BP217" s="64">
        <f t="shared" si="19"/>
        <v>0.16483516483516486</v>
      </c>
    </row>
    <row r="218" spans="1:68" ht="27" customHeight="1" x14ac:dyDescent="0.25">
      <c r="A218" s="54" t="s">
        <v>362</v>
      </c>
      <c r="B218" s="54" t="s">
        <v>363</v>
      </c>
      <c r="C218" s="31">
        <v>4301051752</v>
      </c>
      <c r="D218" s="552">
        <v>4680115882607</v>
      </c>
      <c r="E218" s="553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2">
        <v>4680115880092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213</v>
      </c>
      <c r="M219" s="33" t="s">
        <v>80</v>
      </c>
      <c r="N219" s="33"/>
      <c r="O219" s="32">
        <v>45</v>
      </c>
      <c r="P219" s="7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636</v>
      </c>
      <c r="Y219" s="546">
        <f t="shared" si="15"/>
        <v>636</v>
      </c>
      <c r="Z219" s="36">
        <f t="shared" si="20"/>
        <v>1.72515</v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702.78000000000009</v>
      </c>
      <c r="BN219" s="64">
        <f t="shared" si="17"/>
        <v>702.78000000000009</v>
      </c>
      <c r="BO219" s="64">
        <f t="shared" si="18"/>
        <v>1.4560439560439562</v>
      </c>
      <c r="BP219" s="64">
        <f t="shared" si="19"/>
        <v>1.4560439560439562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2">
        <v>4680115880221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 t="s">
        <v>213</v>
      </c>
      <c r="M220" s="33" t="s">
        <v>80</v>
      </c>
      <c r="N220" s="33"/>
      <c r="O220" s="32">
        <v>45</v>
      </c>
      <c r="P220" s="56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230</v>
      </c>
      <c r="Y220" s="546">
        <f t="shared" si="15"/>
        <v>230.39999999999998</v>
      </c>
      <c r="Z220" s="36">
        <f t="shared" si="20"/>
        <v>0.62495999999999996</v>
      </c>
      <c r="AA220" s="56"/>
      <c r="AB220" s="57"/>
      <c r="AC220" s="271" t="s">
        <v>358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16"/>
        <v>254.15000000000003</v>
      </c>
      <c r="BN220" s="64">
        <f t="shared" si="17"/>
        <v>254.59200000000001</v>
      </c>
      <c r="BO220" s="64">
        <f t="shared" si="18"/>
        <v>0.52655677655677668</v>
      </c>
      <c r="BP220" s="64">
        <f t="shared" si="19"/>
        <v>0.52747252747252749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52">
        <v>4680115880504</v>
      </c>
      <c r="E221" s="553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213</v>
      </c>
      <c r="M221" s="33" t="s">
        <v>86</v>
      </c>
      <c r="N221" s="33"/>
      <c r="O221" s="32">
        <v>40</v>
      </c>
      <c r="P221" s="5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0"/>
      <c r="R221" s="550"/>
      <c r="S221" s="550"/>
      <c r="T221" s="551"/>
      <c r="U221" s="34"/>
      <c r="V221" s="34"/>
      <c r="W221" s="35" t="s">
        <v>69</v>
      </c>
      <c r="X221" s="545">
        <v>58</v>
      </c>
      <c r="Y221" s="546">
        <f t="shared" si="15"/>
        <v>60</v>
      </c>
      <c r="Z221" s="36">
        <f t="shared" si="20"/>
        <v>0.16275000000000001</v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64.09</v>
      </c>
      <c r="BN221" s="64">
        <f t="shared" si="17"/>
        <v>66.300000000000011</v>
      </c>
      <c r="BO221" s="64">
        <f t="shared" si="18"/>
        <v>0.13278388278388281</v>
      </c>
      <c r="BP221" s="64">
        <f t="shared" si="19"/>
        <v>0.13736263736263737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52">
        <v>4680115882164</v>
      </c>
      <c r="E222" s="553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213</v>
      </c>
      <c r="M222" s="33" t="s">
        <v>80</v>
      </c>
      <c r="N222" s="33"/>
      <c r="O222" s="32">
        <v>40</v>
      </c>
      <c r="P222" s="77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0"/>
      <c r="R222" s="550"/>
      <c r="S222" s="550"/>
      <c r="T222" s="551"/>
      <c r="U222" s="34"/>
      <c r="V222" s="34"/>
      <c r="W222" s="35" t="s">
        <v>69</v>
      </c>
      <c r="X222" s="545">
        <v>28</v>
      </c>
      <c r="Y222" s="546">
        <f t="shared" si="15"/>
        <v>28.799999999999997</v>
      </c>
      <c r="Z222" s="36">
        <f t="shared" si="20"/>
        <v>7.8119999999999995E-2</v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31.009999999999998</v>
      </c>
      <c r="BN222" s="64">
        <f t="shared" si="17"/>
        <v>31.896000000000001</v>
      </c>
      <c r="BO222" s="64">
        <f t="shared" si="18"/>
        <v>6.4102564102564111E-2</v>
      </c>
      <c r="BP222" s="64">
        <f t="shared" si="19"/>
        <v>6.5934065934065936E-2</v>
      </c>
    </row>
    <row r="223" spans="1:68" x14ac:dyDescent="0.2">
      <c r="A223" s="570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71"/>
      <c r="P223" s="561" t="s">
        <v>75</v>
      </c>
      <c r="Q223" s="562"/>
      <c r="R223" s="562"/>
      <c r="S223" s="562"/>
      <c r="T223" s="562"/>
      <c r="U223" s="562"/>
      <c r="V223" s="563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464.99361430395913</v>
      </c>
      <c r="Y223" s="547">
        <f>IFERROR(Y214/H214,"0")+IFERROR(Y215/H215,"0")+IFERROR(Y216/H216,"0")+IFERROR(Y217/H217,"0")+IFERROR(Y218/H218,"0")+IFERROR(Y219/H219,"0")+IFERROR(Y220/H220,"0")+IFERROR(Y221/H221,"0")+IFERROR(Y222/H222,"0")</f>
        <v>467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3.5265000000000004</v>
      </c>
      <c r="AA223" s="548"/>
      <c r="AB223" s="548"/>
      <c r="AC223" s="548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71"/>
      <c r="P224" s="561" t="s">
        <v>75</v>
      </c>
      <c r="Q224" s="562"/>
      <c r="R224" s="562"/>
      <c r="S224" s="562"/>
      <c r="T224" s="562"/>
      <c r="U224" s="562"/>
      <c r="V224" s="563"/>
      <c r="W224" s="37" t="s">
        <v>69</v>
      </c>
      <c r="X224" s="547">
        <f>IFERROR(SUM(X214:X222),"0")</f>
        <v>1347</v>
      </c>
      <c r="Y224" s="547">
        <f>IFERROR(SUM(Y214:Y222),"0")</f>
        <v>1355.7</v>
      </c>
      <c r="Z224" s="37"/>
      <c r="AA224" s="548"/>
      <c r="AB224" s="548"/>
      <c r="AC224" s="548"/>
    </row>
    <row r="225" spans="1:68" ht="14.25" customHeight="1" x14ac:dyDescent="0.25">
      <c r="A225" s="558" t="s">
        <v>160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1"/>
      <c r="AB225" s="541"/>
      <c r="AC225" s="541"/>
    </row>
    <row r="226" spans="1:68" ht="27" customHeight="1" x14ac:dyDescent="0.25">
      <c r="A226" s="54" t="s">
        <v>373</v>
      </c>
      <c r="B226" s="54" t="s">
        <v>374</v>
      </c>
      <c r="C226" s="31">
        <v>4301060463</v>
      </c>
      <c r="D226" s="552">
        <v>4680115880818</v>
      </c>
      <c r="E226" s="553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7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5">
        <v>48</v>
      </c>
      <c r="Y226" s="546">
        <f>IFERROR(IF(X226="",0,CEILING((X226/$H226),1)*$H226),"")</f>
        <v>48</v>
      </c>
      <c r="Z226" s="36">
        <f>IFERROR(IF(Y226=0,"",ROUNDUP(Y226/H226,0)*0.00651),"")</f>
        <v>0.13020000000000001</v>
      </c>
      <c r="AA226" s="56"/>
      <c r="AB226" s="57"/>
      <c r="AC226" s="277" t="s">
        <v>375</v>
      </c>
      <c r="AG226" s="64"/>
      <c r="AJ226" s="68"/>
      <c r="AK226" s="68">
        <v>0</v>
      </c>
      <c r="BB226" s="278" t="s">
        <v>1</v>
      </c>
      <c r="BM226" s="64">
        <f>IFERROR(X226*I226/H226,"0")</f>
        <v>53.040000000000006</v>
      </c>
      <c r="BN226" s="64">
        <f>IFERROR(Y226*I226/H226,"0")</f>
        <v>53.040000000000006</v>
      </c>
      <c r="BO226" s="64">
        <f>IFERROR(1/J226*(X226/H226),"0")</f>
        <v>0.1098901098901099</v>
      </c>
      <c r="BP226" s="64">
        <f>IFERROR(1/J226*(Y226/H226),"0")</f>
        <v>0.1098901098901099</v>
      </c>
    </row>
    <row r="227" spans="1:68" ht="37.5" customHeight="1" x14ac:dyDescent="0.25">
      <c r="A227" s="54" t="s">
        <v>376</v>
      </c>
      <c r="B227" s="54" t="s">
        <v>377</v>
      </c>
      <c r="C227" s="31">
        <v>4301060389</v>
      </c>
      <c r="D227" s="552">
        <v>4680115880801</v>
      </c>
      <c r="E227" s="553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 t="s">
        <v>213</v>
      </c>
      <c r="M227" s="33" t="s">
        <v>80</v>
      </c>
      <c r="N227" s="33"/>
      <c r="O227" s="32">
        <v>40</v>
      </c>
      <c r="P227" s="7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5">
        <v>20</v>
      </c>
      <c r="Y227" s="546">
        <f>IFERROR(IF(X227="",0,CEILING((X227/$H227),1)*$H227),"")</f>
        <v>21.599999999999998</v>
      </c>
      <c r="Z227" s="36">
        <f>IFERROR(IF(Y227=0,"",ROUNDUP(Y227/H227,0)*0.00651),"")</f>
        <v>5.8590000000000003E-2</v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22.100000000000005</v>
      </c>
      <c r="BN227" s="64">
        <f>IFERROR(Y227*I227/H227,"0")</f>
        <v>23.868000000000002</v>
      </c>
      <c r="BO227" s="64">
        <f>IFERROR(1/J227*(X227/H227),"0")</f>
        <v>4.5787545787545791E-2</v>
      </c>
      <c r="BP227" s="64">
        <f>IFERROR(1/J227*(Y227/H227),"0")</f>
        <v>4.9450549450549455E-2</v>
      </c>
    </row>
    <row r="228" spans="1:68" x14ac:dyDescent="0.2">
      <c r="A228" s="570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71"/>
      <c r="P228" s="561" t="s">
        <v>75</v>
      </c>
      <c r="Q228" s="562"/>
      <c r="R228" s="562"/>
      <c r="S228" s="562"/>
      <c r="T228" s="562"/>
      <c r="U228" s="562"/>
      <c r="V228" s="563"/>
      <c r="W228" s="37" t="s">
        <v>76</v>
      </c>
      <c r="X228" s="547">
        <f>IFERROR(X226/H226,"0")+IFERROR(X227/H227,"0")</f>
        <v>28.333333333333336</v>
      </c>
      <c r="Y228" s="547">
        <f>IFERROR(Y226/H226,"0")+IFERROR(Y227/H227,"0")</f>
        <v>29</v>
      </c>
      <c r="Z228" s="547">
        <f>IFERROR(IF(Z226="",0,Z226),"0")+IFERROR(IF(Z227="",0,Z227),"0")</f>
        <v>0.18879000000000001</v>
      </c>
      <c r="AA228" s="548"/>
      <c r="AB228" s="548"/>
      <c r="AC228" s="548"/>
    </row>
    <row r="229" spans="1:68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71"/>
      <c r="P229" s="561" t="s">
        <v>75</v>
      </c>
      <c r="Q229" s="562"/>
      <c r="R229" s="562"/>
      <c r="S229" s="562"/>
      <c r="T229" s="562"/>
      <c r="U229" s="562"/>
      <c r="V229" s="563"/>
      <c r="W229" s="37" t="s">
        <v>69</v>
      </c>
      <c r="X229" s="547">
        <f>IFERROR(SUM(X226:X227),"0")</f>
        <v>68</v>
      </c>
      <c r="Y229" s="547">
        <f>IFERROR(SUM(Y226:Y227),"0")</f>
        <v>69.599999999999994</v>
      </c>
      <c r="Z229" s="37"/>
      <c r="AA229" s="548"/>
      <c r="AB229" s="548"/>
      <c r="AC229" s="548"/>
    </row>
    <row r="230" spans="1:68" ht="16.5" customHeight="1" x14ac:dyDescent="0.25">
      <c r="A230" s="560" t="s">
        <v>379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0"/>
      <c r="AB230" s="540"/>
      <c r="AC230" s="540"/>
    </row>
    <row r="231" spans="1:68" ht="14.25" customHeight="1" x14ac:dyDescent="0.25">
      <c r="A231" s="558" t="s">
        <v>99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1"/>
      <c r="AB231" s="541"/>
      <c r="AC231" s="541"/>
    </row>
    <row r="232" spans="1:68" ht="27" customHeight="1" x14ac:dyDescent="0.25">
      <c r="A232" s="54" t="s">
        <v>380</v>
      </c>
      <c r="B232" s="54" t="s">
        <v>381</v>
      </c>
      <c r="C232" s="31">
        <v>4301011826</v>
      </c>
      <c r="D232" s="552">
        <v>4680115884137</v>
      </c>
      <c r="E232" s="553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 t="s">
        <v>103</v>
      </c>
      <c r="M232" s="33" t="s">
        <v>104</v>
      </c>
      <c r="N232" s="33"/>
      <c r="O232" s="32">
        <v>55</v>
      </c>
      <c r="P232" s="74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 t="s">
        <v>106</v>
      </c>
      <c r="AK232" s="68">
        <v>92.8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customHeight="1" x14ac:dyDescent="0.25">
      <c r="A233" s="54" t="s">
        <v>383</v>
      </c>
      <c r="B233" s="54" t="s">
        <v>384</v>
      </c>
      <c r="C233" s="31">
        <v>4301011724</v>
      </c>
      <c r="D233" s="552">
        <v>4680115884236</v>
      </c>
      <c r="E233" s="553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4301011721</v>
      </c>
      <c r="D234" s="552">
        <v>4680115884175</v>
      </c>
      <c r="E234" s="553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4301011824</v>
      </c>
      <c r="D235" s="552">
        <v>4680115884144</v>
      </c>
      <c r="E235" s="553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/>
      <c r="M235" s="33" t="s">
        <v>104</v>
      </c>
      <c r="N235" s="33"/>
      <c r="O235" s="32">
        <v>55</v>
      </c>
      <c r="P235" s="74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8</v>
      </c>
      <c r="Y235" s="546">
        <f t="shared" si="21"/>
        <v>8</v>
      </c>
      <c r="Z235" s="36">
        <f>IFERROR(IF(Y235=0,"",ROUNDUP(Y235/H235,0)*0.00902),"")</f>
        <v>1.804E-2</v>
      </c>
      <c r="AA235" s="56"/>
      <c r="AB235" s="57"/>
      <c r="AC235" s="287" t="s">
        <v>382</v>
      </c>
      <c r="AG235" s="64"/>
      <c r="AJ235" s="68"/>
      <c r="AK235" s="68">
        <v>0</v>
      </c>
      <c r="BB235" s="288" t="s">
        <v>1</v>
      </c>
      <c r="BM235" s="64">
        <f t="shared" si="22"/>
        <v>8.3800000000000008</v>
      </c>
      <c r="BN235" s="64">
        <f t="shared" si="23"/>
        <v>8.3800000000000008</v>
      </c>
      <c r="BO235" s="64">
        <f t="shared" si="24"/>
        <v>1.5151515151515152E-2</v>
      </c>
      <c r="BP235" s="64">
        <f t="shared" si="25"/>
        <v>1.5151515151515152E-2</v>
      </c>
    </row>
    <row r="236" spans="1:68" ht="27" customHeight="1" x14ac:dyDescent="0.25">
      <c r="A236" s="54" t="s">
        <v>389</v>
      </c>
      <c r="B236" s="54" t="s">
        <v>391</v>
      </c>
      <c r="C236" s="31">
        <v>4301012196</v>
      </c>
      <c r="D236" s="552">
        <v>4680115884144</v>
      </c>
      <c r="E236" s="553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392</v>
      </c>
      <c r="B237" s="54" t="s">
        <v>393</v>
      </c>
      <c r="C237" s="31">
        <v>4301012149</v>
      </c>
      <c r="D237" s="552">
        <v>4680115886551</v>
      </c>
      <c r="E237" s="553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4301012228</v>
      </c>
      <c r="D238" s="552">
        <v>4680115887282</v>
      </c>
      <c r="E238" s="553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4301011722</v>
      </c>
      <c r="D239" s="552">
        <v>4680115884205</v>
      </c>
      <c r="E239" s="553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/>
      <c r="M239" s="33" t="s">
        <v>104</v>
      </c>
      <c r="N239" s="33"/>
      <c r="O239" s="32">
        <v>55</v>
      </c>
      <c r="P239" s="6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0"/>
      <c r="R239" s="550"/>
      <c r="S239" s="550"/>
      <c r="T239" s="551"/>
      <c r="U239" s="34"/>
      <c r="V239" s="34"/>
      <c r="W239" s="35" t="s">
        <v>69</v>
      </c>
      <c r="X239" s="545">
        <v>0</v>
      </c>
      <c r="Y239" s="546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/>
      <c r="AK239" s="68">
        <v>0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customHeight="1" x14ac:dyDescent="0.25">
      <c r="A240" s="54" t="s">
        <v>398</v>
      </c>
      <c r="B240" s="54" t="s">
        <v>400</v>
      </c>
      <c r="C240" s="31">
        <v>4301012195</v>
      </c>
      <c r="D240" s="552">
        <v>4680115884205</v>
      </c>
      <c r="E240" s="553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0"/>
      <c r="R240" s="550"/>
      <c r="S240" s="550"/>
      <c r="T240" s="551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x14ac:dyDescent="0.2">
      <c r="A241" s="570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71"/>
      <c r="P241" s="561" t="s">
        <v>75</v>
      </c>
      <c r="Q241" s="562"/>
      <c r="R241" s="562"/>
      <c r="S241" s="562"/>
      <c r="T241" s="562"/>
      <c r="U241" s="562"/>
      <c r="V241" s="563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2</v>
      </c>
      <c r="Y241" s="547">
        <f>IFERROR(Y232/H232,"0")+IFERROR(Y233/H233,"0")+IFERROR(Y234/H234,"0")+IFERROR(Y235/H235,"0")+IFERROR(Y236/H236,"0")+IFERROR(Y237/H237,"0")+IFERROR(Y238/H238,"0")+IFERROR(Y239/H239,"0")+IFERROR(Y240/H240,"0")</f>
        <v>2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1.804E-2</v>
      </c>
      <c r="AA241" s="548"/>
      <c r="AB241" s="548"/>
      <c r="AC241" s="548"/>
    </row>
    <row r="242" spans="1:68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71"/>
      <c r="P242" s="561" t="s">
        <v>75</v>
      </c>
      <c r="Q242" s="562"/>
      <c r="R242" s="562"/>
      <c r="S242" s="562"/>
      <c r="T242" s="562"/>
      <c r="U242" s="562"/>
      <c r="V242" s="563"/>
      <c r="W242" s="37" t="s">
        <v>69</v>
      </c>
      <c r="X242" s="547">
        <f>IFERROR(SUM(X232:X240),"0")</f>
        <v>8</v>
      </c>
      <c r="Y242" s="547">
        <f>IFERROR(SUM(Y232:Y240),"0")</f>
        <v>8</v>
      </c>
      <c r="Z242" s="37"/>
      <c r="AA242" s="548"/>
      <c r="AB242" s="548"/>
      <c r="AC242" s="548"/>
    </row>
    <row r="243" spans="1:68" ht="14.25" customHeight="1" x14ac:dyDescent="0.25">
      <c r="A243" s="558" t="s">
        <v>135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1"/>
      <c r="AB243" s="541"/>
      <c r="AC243" s="541"/>
    </row>
    <row r="244" spans="1:68" ht="27" customHeight="1" x14ac:dyDescent="0.25">
      <c r="A244" s="54" t="s">
        <v>401</v>
      </c>
      <c r="B244" s="54" t="s">
        <v>402</v>
      </c>
      <c r="C244" s="31">
        <v>4301020377</v>
      </c>
      <c r="D244" s="552">
        <v>4680115885981</v>
      </c>
      <c r="E244" s="553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0"/>
      <c r="R244" s="550"/>
      <c r="S244" s="550"/>
      <c r="T244" s="551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70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71"/>
      <c r="P245" s="561" t="s">
        <v>75</v>
      </c>
      <c r="Q245" s="562"/>
      <c r="R245" s="562"/>
      <c r="S245" s="562"/>
      <c r="T245" s="562"/>
      <c r="U245" s="562"/>
      <c r="V245" s="563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71"/>
      <c r="P246" s="561" t="s">
        <v>75</v>
      </c>
      <c r="Q246" s="562"/>
      <c r="R246" s="562"/>
      <c r="S246" s="562"/>
      <c r="T246" s="562"/>
      <c r="U246" s="562"/>
      <c r="V246" s="563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customHeight="1" x14ac:dyDescent="0.25">
      <c r="A247" s="558" t="s">
        <v>404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1"/>
      <c r="AB247" s="541"/>
      <c r="AC247" s="541"/>
    </row>
    <row r="248" spans="1:68" ht="27" customHeight="1" x14ac:dyDescent="0.25">
      <c r="A248" s="54" t="s">
        <v>405</v>
      </c>
      <c r="B248" s="54" t="s">
        <v>406</v>
      </c>
      <c r="C248" s="31">
        <v>4301040362</v>
      </c>
      <c r="D248" s="552">
        <v>4680115886803</v>
      </c>
      <c r="E248" s="553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5">
        <v>1</v>
      </c>
      <c r="Y248" s="546">
        <f>IFERROR(IF(X248="",0,CEILING((X248/$H248),1)*$H248),"")</f>
        <v>1.8</v>
      </c>
      <c r="Z248" s="36">
        <f>IFERROR(IF(Y248=0,"",ROUNDUP(Y248/H248,0)*0.0059),"")</f>
        <v>5.8999999999999999E-3</v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1.0972222222222223</v>
      </c>
      <c r="BN248" s="64">
        <f>IFERROR(Y248*I248/H248,"0")</f>
        <v>1.9750000000000001</v>
      </c>
      <c r="BO248" s="64">
        <f>IFERROR(1/J248*(X248/H248),"0")</f>
        <v>2.5720164609053498E-3</v>
      </c>
      <c r="BP248" s="64">
        <f>IFERROR(1/J248*(Y248/H248),"0")</f>
        <v>4.6296296296296294E-3</v>
      </c>
    </row>
    <row r="249" spans="1:68" x14ac:dyDescent="0.2">
      <c r="A249" s="570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71"/>
      <c r="P249" s="561" t="s">
        <v>75</v>
      </c>
      <c r="Q249" s="562"/>
      <c r="R249" s="562"/>
      <c r="S249" s="562"/>
      <c r="T249" s="562"/>
      <c r="U249" s="562"/>
      <c r="V249" s="563"/>
      <c r="W249" s="37" t="s">
        <v>76</v>
      </c>
      <c r="X249" s="547">
        <f>IFERROR(X248/H248,"0")</f>
        <v>0.55555555555555558</v>
      </c>
      <c r="Y249" s="547">
        <f>IFERROR(Y248/H248,"0")</f>
        <v>1</v>
      </c>
      <c r="Z249" s="547">
        <f>IFERROR(IF(Z248="",0,Z248),"0")</f>
        <v>5.8999999999999999E-3</v>
      </c>
      <c r="AA249" s="548"/>
      <c r="AB249" s="548"/>
      <c r="AC249" s="548"/>
    </row>
    <row r="250" spans="1:68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71"/>
      <c r="P250" s="561" t="s">
        <v>75</v>
      </c>
      <c r="Q250" s="562"/>
      <c r="R250" s="562"/>
      <c r="S250" s="562"/>
      <c r="T250" s="562"/>
      <c r="U250" s="562"/>
      <c r="V250" s="563"/>
      <c r="W250" s="37" t="s">
        <v>69</v>
      </c>
      <c r="X250" s="547">
        <f>IFERROR(SUM(X248:X248),"0")</f>
        <v>1</v>
      </c>
      <c r="Y250" s="547">
        <f>IFERROR(SUM(Y248:Y248),"0")</f>
        <v>1.8</v>
      </c>
      <c r="Z250" s="37"/>
      <c r="AA250" s="548"/>
      <c r="AB250" s="548"/>
      <c r="AC250" s="548"/>
    </row>
    <row r="251" spans="1:68" ht="14.25" customHeight="1" x14ac:dyDescent="0.25">
      <c r="A251" s="558" t="s">
        <v>408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1"/>
      <c r="AB251" s="541"/>
      <c r="AC251" s="541"/>
    </row>
    <row r="252" spans="1:68" ht="27" customHeight="1" x14ac:dyDescent="0.25">
      <c r="A252" s="54" t="s">
        <v>409</v>
      </c>
      <c r="B252" s="54" t="s">
        <v>410</v>
      </c>
      <c r="C252" s="31">
        <v>4301041004</v>
      </c>
      <c r="D252" s="552">
        <v>4680115886704</v>
      </c>
      <c r="E252" s="553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59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412</v>
      </c>
      <c r="B253" s="54" t="s">
        <v>413</v>
      </c>
      <c r="C253" s="31">
        <v>4301041008</v>
      </c>
      <c r="D253" s="552">
        <v>4680115886681</v>
      </c>
      <c r="E253" s="553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414</v>
      </c>
      <c r="B254" s="54" t="s">
        <v>415</v>
      </c>
      <c r="C254" s="31">
        <v>4301041007</v>
      </c>
      <c r="D254" s="552">
        <v>4680115886735</v>
      </c>
      <c r="E254" s="553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416</v>
      </c>
      <c r="B255" s="54" t="s">
        <v>417</v>
      </c>
      <c r="C255" s="31">
        <v>4301041006</v>
      </c>
      <c r="D255" s="552">
        <v>4680115886728</v>
      </c>
      <c r="E255" s="553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4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418</v>
      </c>
      <c r="B256" s="54" t="s">
        <v>419</v>
      </c>
      <c r="C256" s="31">
        <v>4301041005</v>
      </c>
      <c r="D256" s="552">
        <v>4680115886711</v>
      </c>
      <c r="E256" s="553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70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71"/>
      <c r="P257" s="561" t="s">
        <v>75</v>
      </c>
      <c r="Q257" s="562"/>
      <c r="R257" s="562"/>
      <c r="S257" s="562"/>
      <c r="T257" s="562"/>
      <c r="U257" s="562"/>
      <c r="V257" s="563"/>
      <c r="W257" s="37" t="s">
        <v>76</v>
      </c>
      <c r="X257" s="547">
        <f>IFERROR(X252/H252,"0")+IFERROR(X253/H253,"0")+IFERROR(X254/H254,"0")+IFERROR(X255/H255,"0")+IFERROR(X256/H256,"0")</f>
        <v>0</v>
      </c>
      <c r="Y257" s="547">
        <f>IFERROR(Y252/H252,"0")+IFERROR(Y253/H253,"0")+IFERROR(Y254/H254,"0")+IFERROR(Y255/H255,"0")+IFERROR(Y256/H256,"0")</f>
        <v>0</v>
      </c>
      <c r="Z257" s="547">
        <f>IFERROR(IF(Z252="",0,Z252),"0")+IFERROR(IF(Z253="",0,Z253),"0")+IFERROR(IF(Z254="",0,Z254),"0")+IFERROR(IF(Z255="",0,Z255),"0")+IFERROR(IF(Z256="",0,Z256),"0")</f>
        <v>0</v>
      </c>
      <c r="AA257" s="548"/>
      <c r="AB257" s="548"/>
      <c r="AC257" s="548"/>
    </row>
    <row r="258" spans="1:68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71"/>
      <c r="P258" s="561" t="s">
        <v>75</v>
      </c>
      <c r="Q258" s="562"/>
      <c r="R258" s="562"/>
      <c r="S258" s="562"/>
      <c r="T258" s="562"/>
      <c r="U258" s="562"/>
      <c r="V258" s="563"/>
      <c r="W258" s="37" t="s">
        <v>69</v>
      </c>
      <c r="X258" s="547">
        <f>IFERROR(SUM(X252:X256),"0")</f>
        <v>0</v>
      </c>
      <c r="Y258" s="547">
        <f>IFERROR(SUM(Y252:Y256),"0")</f>
        <v>0</v>
      </c>
      <c r="Z258" s="37"/>
      <c r="AA258" s="548"/>
      <c r="AB258" s="548"/>
      <c r="AC258" s="548"/>
    </row>
    <row r="259" spans="1:68" ht="16.5" customHeight="1" x14ac:dyDescent="0.25">
      <c r="A259" s="560" t="s">
        <v>420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0"/>
      <c r="AB259" s="540"/>
      <c r="AC259" s="540"/>
    </row>
    <row r="260" spans="1:68" ht="14.25" customHeight="1" x14ac:dyDescent="0.25">
      <c r="A260" s="558" t="s">
        <v>99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1"/>
      <c r="AB260" s="541"/>
      <c r="AC260" s="541"/>
    </row>
    <row r="261" spans="1:68" ht="27" customHeight="1" x14ac:dyDescent="0.25">
      <c r="A261" s="54" t="s">
        <v>421</v>
      </c>
      <c r="B261" s="54" t="s">
        <v>422</v>
      </c>
      <c r="C261" s="31">
        <v>4301011855</v>
      </c>
      <c r="D261" s="552">
        <v>4680115885837</v>
      </c>
      <c r="E261" s="553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/>
      <c r="M261" s="33" t="s">
        <v>104</v>
      </c>
      <c r="N261" s="33"/>
      <c r="O261" s="32">
        <v>55</v>
      </c>
      <c r="P261" s="7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424</v>
      </c>
      <c r="B262" s="54" t="s">
        <v>425</v>
      </c>
      <c r="C262" s="31">
        <v>4301011853</v>
      </c>
      <c r="D262" s="552">
        <v>4680115885851</v>
      </c>
      <c r="E262" s="553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427</v>
      </c>
      <c r="B263" s="54" t="s">
        <v>428</v>
      </c>
      <c r="C263" s="31">
        <v>4301011850</v>
      </c>
      <c r="D263" s="552">
        <v>4680115885806</v>
      </c>
      <c r="E263" s="553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5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4301011852</v>
      </c>
      <c r="D264" s="552">
        <v>4680115885844</v>
      </c>
      <c r="E264" s="553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6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433</v>
      </c>
      <c r="B265" s="54" t="s">
        <v>434</v>
      </c>
      <c r="C265" s="31">
        <v>4301011851</v>
      </c>
      <c r="D265" s="552">
        <v>4680115885820</v>
      </c>
      <c r="E265" s="553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70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71"/>
      <c r="P266" s="561" t="s">
        <v>75</v>
      </c>
      <c r="Q266" s="562"/>
      <c r="R266" s="562"/>
      <c r="S266" s="562"/>
      <c r="T266" s="562"/>
      <c r="U266" s="562"/>
      <c r="V266" s="563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71"/>
      <c r="P267" s="561" t="s">
        <v>75</v>
      </c>
      <c r="Q267" s="562"/>
      <c r="R267" s="562"/>
      <c r="S267" s="562"/>
      <c r="T267" s="562"/>
      <c r="U267" s="562"/>
      <c r="V267" s="563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customHeight="1" x14ac:dyDescent="0.25">
      <c r="A268" s="560" t="s">
        <v>436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0"/>
      <c r="AB268" s="540"/>
      <c r="AC268" s="540"/>
    </row>
    <row r="269" spans="1:68" ht="14.25" customHeight="1" x14ac:dyDescent="0.25">
      <c r="A269" s="558" t="s">
        <v>99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1"/>
      <c r="AB269" s="541"/>
      <c r="AC269" s="541"/>
    </row>
    <row r="270" spans="1:68" ht="27" customHeight="1" x14ac:dyDescent="0.25">
      <c r="A270" s="54" t="s">
        <v>437</v>
      </c>
      <c r="B270" s="54" t="s">
        <v>438</v>
      </c>
      <c r="C270" s="31">
        <v>4301011223</v>
      </c>
      <c r="D270" s="552">
        <v>4607091383423</v>
      </c>
      <c r="E270" s="553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80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439</v>
      </c>
      <c r="B271" s="54" t="s">
        <v>440</v>
      </c>
      <c r="C271" s="31">
        <v>4301012199</v>
      </c>
      <c r="D271" s="552">
        <v>4680115886957</v>
      </c>
      <c r="E271" s="553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442</v>
      </c>
      <c r="B272" s="54" t="s">
        <v>443</v>
      </c>
      <c r="C272" s="31">
        <v>4301012098</v>
      </c>
      <c r="D272" s="552">
        <v>4680115885660</v>
      </c>
      <c r="E272" s="553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444</v>
      </c>
      <c r="B273" s="54" t="s">
        <v>445</v>
      </c>
      <c r="C273" s="31">
        <v>4301012176</v>
      </c>
      <c r="D273" s="552">
        <v>4680115886773</v>
      </c>
      <c r="E273" s="553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63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70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71"/>
      <c r="P274" s="561" t="s">
        <v>75</v>
      </c>
      <c r="Q274" s="562"/>
      <c r="R274" s="562"/>
      <c r="S274" s="562"/>
      <c r="T274" s="562"/>
      <c r="U274" s="562"/>
      <c r="V274" s="563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1" t="s">
        <v>75</v>
      </c>
      <c r="Q275" s="562"/>
      <c r="R275" s="562"/>
      <c r="S275" s="562"/>
      <c r="T275" s="562"/>
      <c r="U275" s="562"/>
      <c r="V275" s="563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customHeight="1" x14ac:dyDescent="0.25">
      <c r="A276" s="560" t="s">
        <v>447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0"/>
      <c r="AB276" s="540"/>
      <c r="AC276" s="540"/>
    </row>
    <row r="277" spans="1:68" ht="14.25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1"/>
      <c r="AB277" s="541"/>
      <c r="AC277" s="541"/>
    </row>
    <row r="278" spans="1:68" ht="27" customHeight="1" x14ac:dyDescent="0.25">
      <c r="A278" s="54" t="s">
        <v>448</v>
      </c>
      <c r="B278" s="54" t="s">
        <v>449</v>
      </c>
      <c r="C278" s="31">
        <v>4301051893</v>
      </c>
      <c r="D278" s="552">
        <v>4680115886186</v>
      </c>
      <c r="E278" s="553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52">
        <v>4680115881228</v>
      </c>
      <c r="E279" s="553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213</v>
      </c>
      <c r="M279" s="33" t="s">
        <v>86</v>
      </c>
      <c r="N279" s="33"/>
      <c r="O279" s="32">
        <v>40</v>
      </c>
      <c r="P279" s="7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5">
        <v>32</v>
      </c>
      <c r="Y279" s="546">
        <f>IFERROR(IF(X279="",0,CEILING((X279/$H279),1)*$H279),"")</f>
        <v>33.6</v>
      </c>
      <c r="Z279" s="36">
        <f>IFERROR(IF(Y279=0,"",ROUNDUP(Y279/H279,0)*0.00651),"")</f>
        <v>9.1139999999999999E-2</v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35.360000000000007</v>
      </c>
      <c r="BN279" s="64">
        <f>IFERROR(Y279*I279/H279,"0")</f>
        <v>37.128000000000007</v>
      </c>
      <c r="BO279" s="64">
        <f>IFERROR(1/J279*(X279/H279),"0")</f>
        <v>7.3260073260073263E-2</v>
      </c>
      <c r="BP279" s="64">
        <f>IFERROR(1/J279*(Y279/H279),"0")</f>
        <v>7.6923076923076941E-2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2">
        <v>4680115881211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 t="s">
        <v>213</v>
      </c>
      <c r="M280" s="33" t="s">
        <v>80</v>
      </c>
      <c r="N280" s="33"/>
      <c r="O280" s="32">
        <v>45</v>
      </c>
      <c r="P280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0"/>
      <c r="R280" s="550"/>
      <c r="S280" s="550"/>
      <c r="T280" s="551"/>
      <c r="U280" s="34"/>
      <c r="V280" s="34"/>
      <c r="W280" s="35" t="s">
        <v>69</v>
      </c>
      <c r="X280" s="545">
        <v>45</v>
      </c>
      <c r="Y280" s="546">
        <f>IFERROR(IF(X280="",0,CEILING((X280/$H280),1)*$H280),"")</f>
        <v>45.6</v>
      </c>
      <c r="Z280" s="36">
        <f>IFERROR(IF(Y280=0,"",ROUNDUP(Y280/H280,0)*0.00651),"")</f>
        <v>0.12369000000000001</v>
      </c>
      <c r="AA280" s="56"/>
      <c r="AB280" s="57"/>
      <c r="AC280" s="335" t="s">
        <v>450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48.375000000000007</v>
      </c>
      <c r="BN280" s="64">
        <f>IFERROR(Y280*I280/H280,"0")</f>
        <v>49.02</v>
      </c>
      <c r="BO280" s="64">
        <f>IFERROR(1/J280*(X280/H280),"0")</f>
        <v>0.10302197802197803</v>
      </c>
      <c r="BP280" s="64">
        <f>IFERROR(1/J280*(Y280/H280),"0")</f>
        <v>0.1043956043956044</v>
      </c>
    </row>
    <row r="281" spans="1:68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1" t="s">
        <v>75</v>
      </c>
      <c r="Q281" s="562"/>
      <c r="R281" s="562"/>
      <c r="S281" s="562"/>
      <c r="T281" s="562"/>
      <c r="U281" s="562"/>
      <c r="V281" s="563"/>
      <c r="W281" s="37" t="s">
        <v>76</v>
      </c>
      <c r="X281" s="547">
        <f>IFERROR(X278/H278,"0")+IFERROR(X279/H279,"0")+IFERROR(X280/H280,"0")</f>
        <v>32.083333333333336</v>
      </c>
      <c r="Y281" s="547">
        <f>IFERROR(Y278/H278,"0")+IFERROR(Y279/H279,"0")+IFERROR(Y280/H280,"0")</f>
        <v>33</v>
      </c>
      <c r="Z281" s="547">
        <f>IFERROR(IF(Z278="",0,Z278),"0")+IFERROR(IF(Z279="",0,Z279),"0")+IFERROR(IF(Z280="",0,Z280),"0")</f>
        <v>0.21483000000000002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1" t="s">
        <v>75</v>
      </c>
      <c r="Q282" s="562"/>
      <c r="R282" s="562"/>
      <c r="S282" s="562"/>
      <c r="T282" s="562"/>
      <c r="U282" s="562"/>
      <c r="V282" s="563"/>
      <c r="W282" s="37" t="s">
        <v>69</v>
      </c>
      <c r="X282" s="547">
        <f>IFERROR(SUM(X278:X280),"0")</f>
        <v>77</v>
      </c>
      <c r="Y282" s="547">
        <f>IFERROR(SUM(Y278:Y280),"0")</f>
        <v>79.2</v>
      </c>
      <c r="Z282" s="37"/>
      <c r="AA282" s="548"/>
      <c r="AB282" s="548"/>
      <c r="AC282" s="548"/>
    </row>
    <row r="283" spans="1:68" ht="16.5" customHeight="1" x14ac:dyDescent="0.25">
      <c r="A283" s="560" t="s">
        <v>456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0"/>
      <c r="AB283" s="540"/>
      <c r="AC283" s="540"/>
    </row>
    <row r="284" spans="1:68" ht="14.25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1"/>
      <c r="AB284" s="541"/>
      <c r="AC284" s="541"/>
    </row>
    <row r="285" spans="1:68" ht="27" customHeight="1" x14ac:dyDescent="0.25">
      <c r="A285" s="54" t="s">
        <v>457</v>
      </c>
      <c r="B285" s="54" t="s">
        <v>458</v>
      </c>
      <c r="C285" s="31">
        <v>4301031307</v>
      </c>
      <c r="D285" s="552">
        <v>4680115880344</v>
      </c>
      <c r="E285" s="553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0"/>
      <c r="R285" s="550"/>
      <c r="S285" s="550"/>
      <c r="T285" s="551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460</v>
      </c>
      <c r="B286" s="54" t="s">
        <v>461</v>
      </c>
      <c r="C286" s="31">
        <v>4301031429</v>
      </c>
      <c r="D286" s="552">
        <v>4680115886919</v>
      </c>
      <c r="E286" s="553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5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0"/>
      <c r="R286" s="550"/>
      <c r="S286" s="550"/>
      <c r="T286" s="551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70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1" t="s">
        <v>75</v>
      </c>
      <c r="Q287" s="562"/>
      <c r="R287" s="562"/>
      <c r="S287" s="562"/>
      <c r="T287" s="562"/>
      <c r="U287" s="562"/>
      <c r="V287" s="563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71"/>
      <c r="P288" s="561" t="s">
        <v>75</v>
      </c>
      <c r="Q288" s="562"/>
      <c r="R288" s="562"/>
      <c r="S288" s="562"/>
      <c r="T288" s="562"/>
      <c r="U288" s="562"/>
      <c r="V288" s="563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37.5" customHeight="1" x14ac:dyDescent="0.25">
      <c r="A290" s="54" t="s">
        <v>463</v>
      </c>
      <c r="B290" s="54" t="s">
        <v>464</v>
      </c>
      <c r="C290" s="31">
        <v>4301051782</v>
      </c>
      <c r="D290" s="552">
        <v>4680115884618</v>
      </c>
      <c r="E290" s="553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5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466</v>
      </c>
      <c r="B291" s="54" t="s">
        <v>467</v>
      </c>
      <c r="C291" s="31">
        <v>4301052057</v>
      </c>
      <c r="D291" s="552">
        <v>4680115887114</v>
      </c>
      <c r="E291" s="553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70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71"/>
      <c r="P292" s="561" t="s">
        <v>75</v>
      </c>
      <c r="Q292" s="562"/>
      <c r="R292" s="562"/>
      <c r="S292" s="562"/>
      <c r="T292" s="562"/>
      <c r="U292" s="562"/>
      <c r="V292" s="563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71"/>
      <c r="P293" s="561" t="s">
        <v>75</v>
      </c>
      <c r="Q293" s="562"/>
      <c r="R293" s="562"/>
      <c r="S293" s="562"/>
      <c r="T293" s="562"/>
      <c r="U293" s="562"/>
      <c r="V293" s="563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customHeight="1" x14ac:dyDescent="0.25">
      <c r="A294" s="560" t="s">
        <v>469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0"/>
      <c r="AB294" s="540"/>
      <c r="AC294" s="540"/>
    </row>
    <row r="295" spans="1:68" ht="14.25" customHeight="1" x14ac:dyDescent="0.25">
      <c r="A295" s="558" t="s">
        <v>99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1"/>
      <c r="AB295" s="541"/>
      <c r="AC295" s="541"/>
    </row>
    <row r="296" spans="1:68" ht="27" customHeight="1" x14ac:dyDescent="0.25">
      <c r="A296" s="54" t="s">
        <v>470</v>
      </c>
      <c r="B296" s="54" t="s">
        <v>471</v>
      </c>
      <c r="C296" s="31">
        <v>4301012024</v>
      </c>
      <c r="D296" s="552">
        <v>4680115885615</v>
      </c>
      <c r="E296" s="553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2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customHeight="1" x14ac:dyDescent="0.25">
      <c r="A297" s="54" t="s">
        <v>473</v>
      </c>
      <c r="B297" s="54" t="s">
        <v>474</v>
      </c>
      <c r="C297" s="31">
        <v>4301011858</v>
      </c>
      <c r="D297" s="552">
        <v>4680115885646</v>
      </c>
      <c r="E297" s="553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84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476</v>
      </c>
      <c r="B298" s="54" t="s">
        <v>477</v>
      </c>
      <c r="C298" s="31">
        <v>4301012016</v>
      </c>
      <c r="D298" s="552">
        <v>4680115885554</v>
      </c>
      <c r="E298" s="553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82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4301011857</v>
      </c>
      <c r="D299" s="552">
        <v>4680115885622</v>
      </c>
      <c r="E299" s="553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4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0"/>
      <c r="R299" s="550"/>
      <c r="S299" s="550"/>
      <c r="T299" s="551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481</v>
      </c>
      <c r="B300" s="54" t="s">
        <v>482</v>
      </c>
      <c r="C300" s="31">
        <v>4301011859</v>
      </c>
      <c r="D300" s="552">
        <v>4680115885608</v>
      </c>
      <c r="E300" s="553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8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0"/>
      <c r="R300" s="550"/>
      <c r="S300" s="550"/>
      <c r="T300" s="551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x14ac:dyDescent="0.2">
      <c r="A301" s="570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71"/>
      <c r="P301" s="561" t="s">
        <v>75</v>
      </c>
      <c r="Q301" s="562"/>
      <c r="R301" s="562"/>
      <c r="S301" s="562"/>
      <c r="T301" s="562"/>
      <c r="U301" s="562"/>
      <c r="V301" s="563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x14ac:dyDescent="0.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71"/>
      <c r="P302" s="561" t="s">
        <v>75</v>
      </c>
      <c r="Q302" s="562"/>
      <c r="R302" s="562"/>
      <c r="S302" s="562"/>
      <c r="T302" s="562"/>
      <c r="U302" s="562"/>
      <c r="V302" s="563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customHeight="1" x14ac:dyDescent="0.25">
      <c r="A303" s="558" t="s">
        <v>64</v>
      </c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41"/>
      <c r="AB303" s="541"/>
      <c r="AC303" s="541"/>
    </row>
    <row r="304" spans="1:68" ht="27" customHeight="1" x14ac:dyDescent="0.25">
      <c r="A304" s="54" t="s">
        <v>484</v>
      </c>
      <c r="B304" s="54" t="s">
        <v>485</v>
      </c>
      <c r="C304" s="31">
        <v>4301030878</v>
      </c>
      <c r="D304" s="552">
        <v>4607091387193</v>
      </c>
      <c r="E304" s="553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73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ref="Y304:Y309" si="26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0</v>
      </c>
      <c r="BN304" s="64">
        <f t="shared" ref="BN304:BN309" si="28">IFERROR(Y304*I304/H304,"0")</f>
        <v>0</v>
      </c>
      <c r="BO304" s="64">
        <f t="shared" ref="BO304:BO309" si="29">IFERROR(1/J304*(X304/H304),"0")</f>
        <v>0</v>
      </c>
      <c r="BP304" s="64">
        <f t="shared" ref="BP304:BP309" si="30">IFERROR(1/J304*(Y304/H304),"0")</f>
        <v>0</v>
      </c>
    </row>
    <row r="305" spans="1:68" ht="27" customHeight="1" x14ac:dyDescent="0.25">
      <c r="A305" s="54" t="s">
        <v>487</v>
      </c>
      <c r="B305" s="54" t="s">
        <v>488</v>
      </c>
      <c r="C305" s="31">
        <v>4301031153</v>
      </c>
      <c r="D305" s="552">
        <v>4607091387230</v>
      </c>
      <c r="E305" s="553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40</v>
      </c>
      <c r="P305" s="70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4301031154</v>
      </c>
      <c r="D306" s="552">
        <v>4607091387292</v>
      </c>
      <c r="E306" s="553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4301031152</v>
      </c>
      <c r="D307" s="552">
        <v>4607091387285</v>
      </c>
      <c r="E307" s="553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customHeight="1" x14ac:dyDescent="0.25">
      <c r="A308" s="54" t="s">
        <v>495</v>
      </c>
      <c r="B308" s="54" t="s">
        <v>496</v>
      </c>
      <c r="C308" s="31">
        <v>4301031305</v>
      </c>
      <c r="D308" s="552">
        <v>4607091389845</v>
      </c>
      <c r="E308" s="553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0"/>
      <c r="R308" s="550"/>
      <c r="S308" s="550"/>
      <c r="T308" s="551"/>
      <c r="U308" s="34"/>
      <c r="V308" s="34"/>
      <c r="W308" s="35" t="s">
        <v>69</v>
      </c>
      <c r="X308" s="545">
        <v>0</v>
      </c>
      <c r="Y308" s="546">
        <f t="shared" si="26"/>
        <v>0</v>
      </c>
      <c r="Z308" s="36" t="str">
        <f>IFERROR(IF(Y308=0,"",ROUNDUP(Y308/H308,0)*0.00502),"")</f>
        <v/>
      </c>
      <c r="AA308" s="56"/>
      <c r="AB308" s="57"/>
      <c r="AC308" s="363" t="s">
        <v>497</v>
      </c>
      <c r="AG308" s="64"/>
      <c r="AJ308" s="68"/>
      <c r="AK308" s="68">
        <v>0</v>
      </c>
      <c r="BB308" s="364" t="s">
        <v>1</v>
      </c>
      <c r="BM308" s="64">
        <f t="shared" si="27"/>
        <v>0</v>
      </c>
      <c r="BN308" s="64">
        <f t="shared" si="28"/>
        <v>0</v>
      </c>
      <c r="BO308" s="64">
        <f t="shared" si="29"/>
        <v>0</v>
      </c>
      <c r="BP308" s="64">
        <f t="shared" si="30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4301031066</v>
      </c>
      <c r="D309" s="552">
        <v>4607091383836</v>
      </c>
      <c r="E309" s="553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5">
        <v>17</v>
      </c>
      <c r="Y309" s="546">
        <f t="shared" si="26"/>
        <v>18</v>
      </c>
      <c r="Z309" s="36">
        <f>IFERROR(IF(Y309=0,"",ROUNDUP(Y309/H309,0)*0.00651),"")</f>
        <v>6.5100000000000005E-2</v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27"/>
        <v>19.153333333333332</v>
      </c>
      <c r="BN309" s="64">
        <f t="shared" si="28"/>
        <v>20.279999999999998</v>
      </c>
      <c r="BO309" s="64">
        <f t="shared" si="29"/>
        <v>5.1892551892551896E-2</v>
      </c>
      <c r="BP309" s="64">
        <f t="shared" si="30"/>
        <v>5.4945054945054951E-2</v>
      </c>
    </row>
    <row r="310" spans="1:68" x14ac:dyDescent="0.2">
      <c r="A310" s="570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71"/>
      <c r="P310" s="561" t="s">
        <v>75</v>
      </c>
      <c r="Q310" s="562"/>
      <c r="R310" s="562"/>
      <c r="S310" s="562"/>
      <c r="T310" s="562"/>
      <c r="U310" s="562"/>
      <c r="V310" s="563"/>
      <c r="W310" s="37" t="s">
        <v>76</v>
      </c>
      <c r="X310" s="547">
        <f>IFERROR(X304/H304,"0")+IFERROR(X305/H305,"0")+IFERROR(X306/H306,"0")+IFERROR(X307/H307,"0")+IFERROR(X308/H308,"0")+IFERROR(X309/H309,"0")</f>
        <v>9.4444444444444446</v>
      </c>
      <c r="Y310" s="547">
        <f>IFERROR(Y304/H304,"0")+IFERROR(Y305/H305,"0")+IFERROR(Y306/H306,"0")+IFERROR(Y307/H307,"0")+IFERROR(Y308/H308,"0")+IFERROR(Y309/H309,"0")</f>
        <v>10</v>
      </c>
      <c r="Z310" s="547">
        <f>IFERROR(IF(Z304="",0,Z304),"0")+IFERROR(IF(Z305="",0,Z305),"0")+IFERROR(IF(Z306="",0,Z306),"0")+IFERROR(IF(Z307="",0,Z307),"0")+IFERROR(IF(Z308="",0,Z308),"0")+IFERROR(IF(Z309="",0,Z309),"0")</f>
        <v>6.5100000000000005E-2</v>
      </c>
      <c r="AA310" s="548"/>
      <c r="AB310" s="548"/>
      <c r="AC310" s="548"/>
    </row>
    <row r="311" spans="1:68" x14ac:dyDescent="0.2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71"/>
      <c r="P311" s="561" t="s">
        <v>75</v>
      </c>
      <c r="Q311" s="562"/>
      <c r="R311" s="562"/>
      <c r="S311" s="562"/>
      <c r="T311" s="562"/>
      <c r="U311" s="562"/>
      <c r="V311" s="563"/>
      <c r="W311" s="37" t="s">
        <v>69</v>
      </c>
      <c r="X311" s="547">
        <f>IFERROR(SUM(X304:X309),"0")</f>
        <v>17</v>
      </c>
      <c r="Y311" s="547">
        <f>IFERROR(SUM(Y304:Y309),"0")</f>
        <v>18</v>
      </c>
      <c r="Z311" s="37"/>
      <c r="AA311" s="548"/>
      <c r="AB311" s="548"/>
      <c r="AC311" s="548"/>
    </row>
    <row r="312" spans="1:68" ht="14.25" customHeight="1" x14ac:dyDescent="0.25">
      <c r="A312" s="558" t="s">
        <v>77</v>
      </c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41"/>
      <c r="AB312" s="541"/>
      <c r="AC312" s="541"/>
    </row>
    <row r="313" spans="1:68" ht="27" customHeight="1" x14ac:dyDescent="0.25">
      <c r="A313" s="54" t="s">
        <v>501</v>
      </c>
      <c r="B313" s="54" t="s">
        <v>502</v>
      </c>
      <c r="C313" s="31">
        <v>4301051100</v>
      </c>
      <c r="D313" s="552">
        <v>4607091387766</v>
      </c>
      <c r="E313" s="553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/>
      <c r="M313" s="33" t="s">
        <v>80</v>
      </c>
      <c r="N313" s="33"/>
      <c r="O313" s="32">
        <v>40</v>
      </c>
      <c r="P313" s="87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504</v>
      </c>
      <c r="B314" s="54" t="s">
        <v>505</v>
      </c>
      <c r="C314" s="31">
        <v>4301051818</v>
      </c>
      <c r="D314" s="552">
        <v>4607091387957</v>
      </c>
      <c r="E314" s="553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4301051819</v>
      </c>
      <c r="D315" s="552">
        <v>4607091387964</v>
      </c>
      <c r="E315" s="553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0"/>
      <c r="R315" s="550"/>
      <c r="S315" s="550"/>
      <c r="T315" s="551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4301051734</v>
      </c>
      <c r="D316" s="552">
        <v>4680115884588</v>
      </c>
      <c r="E316" s="553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70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71"/>
      <c r="P317" s="561" t="s">
        <v>75</v>
      </c>
      <c r="Q317" s="562"/>
      <c r="R317" s="562"/>
      <c r="S317" s="562"/>
      <c r="T317" s="562"/>
      <c r="U317" s="562"/>
      <c r="V317" s="563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x14ac:dyDescent="0.2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1" t="s">
        <v>75</v>
      </c>
      <c r="Q318" s="562"/>
      <c r="R318" s="562"/>
      <c r="S318" s="562"/>
      <c r="T318" s="562"/>
      <c r="U318" s="562"/>
      <c r="V318" s="563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customHeight="1" x14ac:dyDescent="0.25">
      <c r="A319" s="558" t="s">
        <v>160</v>
      </c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41"/>
      <c r="AB319" s="541"/>
      <c r="AC319" s="541"/>
    </row>
    <row r="320" spans="1:68" ht="27" customHeight="1" x14ac:dyDescent="0.25">
      <c r="A320" s="54" t="s">
        <v>513</v>
      </c>
      <c r="B320" s="54" t="s">
        <v>514</v>
      </c>
      <c r="C320" s="31">
        <v>4301060387</v>
      </c>
      <c r="D320" s="552">
        <v>4607091380880</v>
      </c>
      <c r="E320" s="553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 t="s">
        <v>103</v>
      </c>
      <c r="M320" s="33" t="s">
        <v>80</v>
      </c>
      <c r="N320" s="33"/>
      <c r="O320" s="32">
        <v>30</v>
      </c>
      <c r="P320" s="7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79</v>
      </c>
      <c r="Y320" s="546">
        <f>IFERROR(IF(X320="",0,CEILING((X320/$H320),1)*$H320),"")</f>
        <v>84</v>
      </c>
      <c r="Z320" s="36">
        <f>IFERROR(IF(Y320=0,"",ROUNDUP(Y320/H320,0)*0.01898),"")</f>
        <v>0.1898</v>
      </c>
      <c r="AA320" s="56"/>
      <c r="AB320" s="57"/>
      <c r="AC320" s="375" t="s">
        <v>515</v>
      </c>
      <c r="AG320" s="64"/>
      <c r="AJ320" s="68" t="s">
        <v>106</v>
      </c>
      <c r="AK320" s="68">
        <v>67.2</v>
      </c>
      <c r="BB320" s="376" t="s">
        <v>1</v>
      </c>
      <c r="BM320" s="64">
        <f>IFERROR(X320*I320/H320,"0")</f>
        <v>83.64595238095238</v>
      </c>
      <c r="BN320" s="64">
        <f>IFERROR(Y320*I320/H320,"0")</f>
        <v>88.94</v>
      </c>
      <c r="BO320" s="64">
        <f>IFERROR(1/J320*(X320/H320),"0")</f>
        <v>0.14694940476190477</v>
      </c>
      <c r="BP320" s="64">
        <f>IFERROR(1/J320*(Y320/H320),"0")</f>
        <v>0.15625</v>
      </c>
    </row>
    <row r="321" spans="1:68" ht="27" customHeight="1" x14ac:dyDescent="0.25">
      <c r="A321" s="54" t="s">
        <v>516</v>
      </c>
      <c r="B321" s="54" t="s">
        <v>517</v>
      </c>
      <c r="C321" s="31">
        <v>4301060406</v>
      </c>
      <c r="D321" s="552">
        <v>4607091384482</v>
      </c>
      <c r="E321" s="553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0"/>
      <c r="R321" s="550"/>
      <c r="S321" s="550"/>
      <c r="T321" s="551"/>
      <c r="U321" s="34"/>
      <c r="V321" s="34"/>
      <c r="W321" s="35" t="s">
        <v>69</v>
      </c>
      <c r="X321" s="545">
        <v>385</v>
      </c>
      <c r="Y321" s="546">
        <f>IFERROR(IF(X321="",0,CEILING((X321/$H321),1)*$H321),"")</f>
        <v>390</v>
      </c>
      <c r="Z321" s="36">
        <f>IFERROR(IF(Y321=0,"",ROUNDUP(Y321/H321,0)*0.01898),"")</f>
        <v>0.94900000000000007</v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409.38333333333333</v>
      </c>
      <c r="BN321" s="64">
        <f>IFERROR(Y321*I321/H321,"0")</f>
        <v>414.70000000000005</v>
      </c>
      <c r="BO321" s="64">
        <f>IFERROR(1/J321*(X321/H321),"0")</f>
        <v>0.77123397435897434</v>
      </c>
      <c r="BP321" s="64">
        <f>IFERROR(1/J321*(Y321/H321),"0")</f>
        <v>0.78125</v>
      </c>
    </row>
    <row r="322" spans="1:68" ht="16.5" customHeight="1" x14ac:dyDescent="0.25">
      <c r="A322" s="54" t="s">
        <v>519</v>
      </c>
      <c r="B322" s="54" t="s">
        <v>520</v>
      </c>
      <c r="C322" s="31">
        <v>4301060484</v>
      </c>
      <c r="D322" s="552">
        <v>4607091380897</v>
      </c>
      <c r="E322" s="553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 t="s">
        <v>103</v>
      </c>
      <c r="M322" s="33" t="s">
        <v>86</v>
      </c>
      <c r="N322" s="33"/>
      <c r="O322" s="32">
        <v>30</v>
      </c>
      <c r="P322" s="72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0"/>
      <c r="R322" s="550"/>
      <c r="S322" s="550"/>
      <c r="T322" s="551"/>
      <c r="U322" s="34"/>
      <c r="V322" s="34"/>
      <c r="W322" s="35" t="s">
        <v>69</v>
      </c>
      <c r="X322" s="545">
        <v>91</v>
      </c>
      <c r="Y322" s="546">
        <f>IFERROR(IF(X322="",0,CEILING((X322/$H322),1)*$H322),"")</f>
        <v>92.4</v>
      </c>
      <c r="Z322" s="36">
        <f>IFERROR(IF(Y322=0,"",ROUNDUP(Y322/H322,0)*0.01898),"")</f>
        <v>0.20877999999999999</v>
      </c>
      <c r="AA322" s="56"/>
      <c r="AB322" s="57"/>
      <c r="AC322" s="379" t="s">
        <v>521</v>
      </c>
      <c r="AG322" s="64"/>
      <c r="AJ322" s="68" t="s">
        <v>106</v>
      </c>
      <c r="AK322" s="68">
        <v>67.2</v>
      </c>
      <c r="BB322" s="380" t="s">
        <v>1</v>
      </c>
      <c r="BM322" s="64">
        <f>IFERROR(X322*I322/H322,"0")</f>
        <v>96.351666666666674</v>
      </c>
      <c r="BN322" s="64">
        <f>IFERROR(Y322*I322/H322,"0")</f>
        <v>97.834000000000003</v>
      </c>
      <c r="BO322" s="64">
        <f>IFERROR(1/J322*(X322/H322),"0")</f>
        <v>0.16927083333333331</v>
      </c>
      <c r="BP322" s="64">
        <f>IFERROR(1/J322*(Y322/H322),"0")</f>
        <v>0.171875</v>
      </c>
    </row>
    <row r="323" spans="1:68" x14ac:dyDescent="0.2">
      <c r="A323" s="570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71"/>
      <c r="P323" s="561" t="s">
        <v>75</v>
      </c>
      <c r="Q323" s="562"/>
      <c r="R323" s="562"/>
      <c r="S323" s="562"/>
      <c r="T323" s="562"/>
      <c r="U323" s="562"/>
      <c r="V323" s="563"/>
      <c r="W323" s="37" t="s">
        <v>76</v>
      </c>
      <c r="X323" s="547">
        <f>IFERROR(X320/H320,"0")+IFERROR(X321/H321,"0")+IFERROR(X322/H322,"0")</f>
        <v>69.597069597069591</v>
      </c>
      <c r="Y323" s="547">
        <f>IFERROR(Y320/H320,"0")+IFERROR(Y321/H321,"0")+IFERROR(Y322/H322,"0")</f>
        <v>71</v>
      </c>
      <c r="Z323" s="547">
        <f>IFERROR(IF(Z320="",0,Z320),"0")+IFERROR(IF(Z321="",0,Z321),"0")+IFERROR(IF(Z322="",0,Z322),"0")</f>
        <v>1.34758</v>
      </c>
      <c r="AA323" s="548"/>
      <c r="AB323" s="548"/>
      <c r="AC323" s="548"/>
    </row>
    <row r="324" spans="1:68" x14ac:dyDescent="0.2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71"/>
      <c r="P324" s="561" t="s">
        <v>75</v>
      </c>
      <c r="Q324" s="562"/>
      <c r="R324" s="562"/>
      <c r="S324" s="562"/>
      <c r="T324" s="562"/>
      <c r="U324" s="562"/>
      <c r="V324" s="563"/>
      <c r="W324" s="37" t="s">
        <v>69</v>
      </c>
      <c r="X324" s="547">
        <f>IFERROR(SUM(X320:X322),"0")</f>
        <v>555</v>
      </c>
      <c r="Y324" s="547">
        <f>IFERROR(SUM(Y320:Y322),"0")</f>
        <v>566.4</v>
      </c>
      <c r="Z324" s="37"/>
      <c r="AA324" s="548"/>
      <c r="AB324" s="548"/>
      <c r="AC324" s="548"/>
    </row>
    <row r="325" spans="1:68" ht="14.25" customHeight="1" x14ac:dyDescent="0.25">
      <c r="A325" s="558" t="s">
        <v>91</v>
      </c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41"/>
      <c r="AB325" s="541"/>
      <c r="AC325" s="541"/>
    </row>
    <row r="326" spans="1:68" ht="27" customHeight="1" x14ac:dyDescent="0.25">
      <c r="A326" s="54" t="s">
        <v>522</v>
      </c>
      <c r="B326" s="54" t="s">
        <v>523</v>
      </c>
      <c r="C326" s="31">
        <v>4301030235</v>
      </c>
      <c r="D326" s="552">
        <v>4607091388381</v>
      </c>
      <c r="E326" s="553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57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525</v>
      </c>
      <c r="B327" s="54" t="s">
        <v>526</v>
      </c>
      <c r="C327" s="31">
        <v>4301030232</v>
      </c>
      <c r="D327" s="552">
        <v>4607091388374</v>
      </c>
      <c r="E327" s="553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527</v>
      </c>
      <c r="B328" s="54" t="s">
        <v>528</v>
      </c>
      <c r="C328" s="31">
        <v>4301032015</v>
      </c>
      <c r="D328" s="552">
        <v>4607091383102</v>
      </c>
      <c r="E328" s="553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/>
      <c r="M328" s="33" t="s">
        <v>94</v>
      </c>
      <c r="N328" s="33"/>
      <c r="O328" s="32">
        <v>180</v>
      </c>
      <c r="P328" s="57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0"/>
      <c r="R328" s="550"/>
      <c r="S328" s="550"/>
      <c r="T328" s="551"/>
      <c r="U328" s="34"/>
      <c r="V328" s="34"/>
      <c r="W328" s="35" t="s">
        <v>69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524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529</v>
      </c>
      <c r="B329" s="54" t="s">
        <v>530</v>
      </c>
      <c r="C329" s="31">
        <v>4301030233</v>
      </c>
      <c r="D329" s="552">
        <v>4607091388404</v>
      </c>
      <c r="E329" s="553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 t="s">
        <v>213</v>
      </c>
      <c r="M329" s="33" t="s">
        <v>94</v>
      </c>
      <c r="N329" s="33"/>
      <c r="O329" s="32">
        <v>180</v>
      </c>
      <c r="P329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0"/>
      <c r="R329" s="550"/>
      <c r="S329" s="550"/>
      <c r="T329" s="551"/>
      <c r="U329" s="34"/>
      <c r="V329" s="34"/>
      <c r="W329" s="35" t="s">
        <v>69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524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70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71"/>
      <c r="P330" s="561" t="s">
        <v>75</v>
      </c>
      <c r="Q330" s="562"/>
      <c r="R330" s="562"/>
      <c r="S330" s="562"/>
      <c r="T330" s="562"/>
      <c r="U330" s="562"/>
      <c r="V330" s="563"/>
      <c r="W330" s="37" t="s">
        <v>76</v>
      </c>
      <c r="X330" s="547">
        <f>IFERROR(X326/H326,"0")+IFERROR(X327/H327,"0")+IFERROR(X328/H328,"0")+IFERROR(X329/H329,"0")</f>
        <v>0</v>
      </c>
      <c r="Y330" s="547">
        <f>IFERROR(Y326/H326,"0")+IFERROR(Y327/H327,"0")+IFERROR(Y328/H328,"0")+IFERROR(Y329/H329,"0")</f>
        <v>0</v>
      </c>
      <c r="Z330" s="547">
        <f>IFERROR(IF(Z326="",0,Z326),"0")+IFERROR(IF(Z327="",0,Z327),"0")+IFERROR(IF(Z328="",0,Z328),"0")+IFERROR(IF(Z329="",0,Z329),"0")</f>
        <v>0</v>
      </c>
      <c r="AA330" s="548"/>
      <c r="AB330" s="548"/>
      <c r="AC330" s="548"/>
    </row>
    <row r="331" spans="1:68" x14ac:dyDescent="0.2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1" t="s">
        <v>75</v>
      </c>
      <c r="Q331" s="562"/>
      <c r="R331" s="562"/>
      <c r="S331" s="562"/>
      <c r="T331" s="562"/>
      <c r="U331" s="562"/>
      <c r="V331" s="563"/>
      <c r="W331" s="37" t="s">
        <v>69</v>
      </c>
      <c r="X331" s="547">
        <f>IFERROR(SUM(X326:X329),"0")</f>
        <v>0</v>
      </c>
      <c r="Y331" s="547">
        <f>IFERROR(SUM(Y326:Y329),"0")</f>
        <v>0</v>
      </c>
      <c r="Z331" s="37"/>
      <c r="AA331" s="548"/>
      <c r="AB331" s="548"/>
      <c r="AC331" s="548"/>
    </row>
    <row r="332" spans="1:68" ht="14.25" customHeight="1" x14ac:dyDescent="0.25">
      <c r="A332" s="558" t="s">
        <v>531</v>
      </c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41"/>
      <c r="AB332" s="541"/>
      <c r="AC332" s="541"/>
    </row>
    <row r="333" spans="1:68" ht="16.5" customHeight="1" x14ac:dyDescent="0.25">
      <c r="A333" s="54" t="s">
        <v>532</v>
      </c>
      <c r="B333" s="54" t="s">
        <v>533</v>
      </c>
      <c r="C333" s="31">
        <v>4301180007</v>
      </c>
      <c r="D333" s="552">
        <v>4680115881808</v>
      </c>
      <c r="E333" s="553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534</v>
      </c>
      <c r="N333" s="33"/>
      <c r="O333" s="32">
        <v>730</v>
      </c>
      <c r="P333" s="7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535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536</v>
      </c>
      <c r="B334" s="54" t="s">
        <v>537</v>
      </c>
      <c r="C334" s="31">
        <v>4301180006</v>
      </c>
      <c r="D334" s="552">
        <v>4680115881822</v>
      </c>
      <c r="E334" s="553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/>
      <c r="M334" s="33" t="s">
        <v>534</v>
      </c>
      <c r="N334" s="33"/>
      <c r="O334" s="32">
        <v>730</v>
      </c>
      <c r="P334" s="61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0"/>
      <c r="R334" s="550"/>
      <c r="S334" s="550"/>
      <c r="T334" s="551"/>
      <c r="U334" s="34"/>
      <c r="V334" s="34"/>
      <c r="W334" s="35" t="s">
        <v>69</v>
      </c>
      <c r="X334" s="545">
        <v>1</v>
      </c>
      <c r="Y334" s="546">
        <f>IFERROR(IF(X334="",0,CEILING((X334/$H334),1)*$H334),"")</f>
        <v>2</v>
      </c>
      <c r="Z334" s="36">
        <f>IFERROR(IF(Y334=0,"",ROUNDUP(Y334/H334,0)*0.00474),"")</f>
        <v>4.7400000000000003E-3</v>
      </c>
      <c r="AA334" s="56"/>
      <c r="AB334" s="57"/>
      <c r="AC334" s="391" t="s">
        <v>535</v>
      </c>
      <c r="AG334" s="64"/>
      <c r="AJ334" s="68"/>
      <c r="AK334" s="68">
        <v>0</v>
      </c>
      <c r="BB334" s="392" t="s">
        <v>1</v>
      </c>
      <c r="BM334" s="64">
        <f>IFERROR(X334*I334/H334,"0")</f>
        <v>1.1200000000000001</v>
      </c>
      <c r="BN334" s="64">
        <f>IFERROR(Y334*I334/H334,"0")</f>
        <v>2.2400000000000002</v>
      </c>
      <c r="BO334" s="64">
        <f>IFERROR(1/J334*(X334/H334),"0")</f>
        <v>2.1008403361344537E-3</v>
      </c>
      <c r="BP334" s="64">
        <f>IFERROR(1/J334*(Y334/H334),"0")</f>
        <v>4.2016806722689074E-3</v>
      </c>
    </row>
    <row r="335" spans="1:68" ht="27" customHeight="1" x14ac:dyDescent="0.25">
      <c r="A335" s="54" t="s">
        <v>538</v>
      </c>
      <c r="B335" s="54" t="s">
        <v>539</v>
      </c>
      <c r="C335" s="31">
        <v>4301180001</v>
      </c>
      <c r="D335" s="552">
        <v>4680115880016</v>
      </c>
      <c r="E335" s="553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/>
      <c r="M335" s="33" t="s">
        <v>534</v>
      </c>
      <c r="N335" s="33"/>
      <c r="O335" s="32">
        <v>730</v>
      </c>
      <c r="P335" s="79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535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570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71"/>
      <c r="P336" s="561" t="s">
        <v>75</v>
      </c>
      <c r="Q336" s="562"/>
      <c r="R336" s="562"/>
      <c r="S336" s="562"/>
      <c r="T336" s="562"/>
      <c r="U336" s="562"/>
      <c r="V336" s="563"/>
      <c r="W336" s="37" t="s">
        <v>76</v>
      </c>
      <c r="X336" s="547">
        <f>IFERROR(X333/H333,"0")+IFERROR(X334/H334,"0")+IFERROR(X335/H335,"0")</f>
        <v>0.5</v>
      </c>
      <c r="Y336" s="547">
        <f>IFERROR(Y333/H333,"0")+IFERROR(Y334/H334,"0")+IFERROR(Y335/H335,"0")</f>
        <v>1</v>
      </c>
      <c r="Z336" s="547">
        <f>IFERROR(IF(Z333="",0,Z333),"0")+IFERROR(IF(Z334="",0,Z334),"0")+IFERROR(IF(Z335="",0,Z335),"0")</f>
        <v>4.7400000000000003E-3</v>
      </c>
      <c r="AA336" s="548"/>
      <c r="AB336" s="548"/>
      <c r="AC336" s="548"/>
    </row>
    <row r="337" spans="1:68" x14ac:dyDescent="0.2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71"/>
      <c r="P337" s="561" t="s">
        <v>75</v>
      </c>
      <c r="Q337" s="562"/>
      <c r="R337" s="562"/>
      <c r="S337" s="562"/>
      <c r="T337" s="562"/>
      <c r="U337" s="562"/>
      <c r="V337" s="563"/>
      <c r="W337" s="37" t="s">
        <v>69</v>
      </c>
      <c r="X337" s="547">
        <f>IFERROR(SUM(X333:X335),"0")</f>
        <v>1</v>
      </c>
      <c r="Y337" s="547">
        <f>IFERROR(SUM(Y333:Y335),"0")</f>
        <v>2</v>
      </c>
      <c r="Z337" s="37"/>
      <c r="AA337" s="548"/>
      <c r="AB337" s="548"/>
      <c r="AC337" s="548"/>
    </row>
    <row r="338" spans="1:68" ht="16.5" customHeight="1" x14ac:dyDescent="0.25">
      <c r="A338" s="560" t="s">
        <v>540</v>
      </c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40"/>
      <c r="AB338" s="540"/>
      <c r="AC338" s="540"/>
    </row>
    <row r="339" spans="1:68" ht="14.25" customHeight="1" x14ac:dyDescent="0.25">
      <c r="A339" s="558" t="s">
        <v>77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1"/>
      <c r="AB339" s="541"/>
      <c r="AC339" s="541"/>
    </row>
    <row r="340" spans="1:68" ht="27" customHeight="1" x14ac:dyDescent="0.25">
      <c r="A340" s="54" t="s">
        <v>541</v>
      </c>
      <c r="B340" s="54" t="s">
        <v>542</v>
      </c>
      <c r="C340" s="31">
        <v>4301051489</v>
      </c>
      <c r="D340" s="552">
        <v>4607091387919</v>
      </c>
      <c r="E340" s="553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 t="s">
        <v>103</v>
      </c>
      <c r="M340" s="33" t="s">
        <v>86</v>
      </c>
      <c r="N340" s="33"/>
      <c r="O340" s="32">
        <v>45</v>
      </c>
      <c r="P340" s="6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30</v>
      </c>
      <c r="Y340" s="546">
        <f>IFERROR(IF(X340="",0,CEILING((X340/$H340),1)*$H340),"")</f>
        <v>32.4</v>
      </c>
      <c r="Z340" s="36">
        <f>IFERROR(IF(Y340=0,"",ROUNDUP(Y340/H340,0)*0.01898),"")</f>
        <v>7.5920000000000001E-2</v>
      </c>
      <c r="AA340" s="56"/>
      <c r="AB340" s="57"/>
      <c r="AC340" s="395" t="s">
        <v>543</v>
      </c>
      <c r="AG340" s="64"/>
      <c r="AJ340" s="68" t="s">
        <v>106</v>
      </c>
      <c r="AK340" s="68">
        <v>64.8</v>
      </c>
      <c r="BB340" s="396" t="s">
        <v>1</v>
      </c>
      <c r="BM340" s="64">
        <f>IFERROR(X340*I340/H340,"0")</f>
        <v>31.829629629629629</v>
      </c>
      <c r="BN340" s="64">
        <f>IFERROR(Y340*I340/H340,"0")</f>
        <v>34.375999999999998</v>
      </c>
      <c r="BO340" s="64">
        <f>IFERROR(1/J340*(X340/H340),"0")</f>
        <v>5.7870370370370371E-2</v>
      </c>
      <c r="BP340" s="64">
        <f>IFERROR(1/J340*(Y340/H340),"0")</f>
        <v>6.25E-2</v>
      </c>
    </row>
    <row r="341" spans="1:68" ht="27" customHeight="1" x14ac:dyDescent="0.25">
      <c r="A341" s="54" t="s">
        <v>544</v>
      </c>
      <c r="B341" s="54" t="s">
        <v>545</v>
      </c>
      <c r="C341" s="31">
        <v>4301051461</v>
      </c>
      <c r="D341" s="552">
        <v>4680115883604</v>
      </c>
      <c r="E341" s="553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/>
      <c r="M341" s="33" t="s">
        <v>80</v>
      </c>
      <c r="N341" s="33"/>
      <c r="O341" s="32">
        <v>45</v>
      </c>
      <c r="P341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0"/>
      <c r="R341" s="550"/>
      <c r="S341" s="550"/>
      <c r="T341" s="551"/>
      <c r="U341" s="34"/>
      <c r="V341" s="34"/>
      <c r="W341" s="35" t="s">
        <v>69</v>
      </c>
      <c r="X341" s="545">
        <v>53</v>
      </c>
      <c r="Y341" s="546">
        <f>IFERROR(IF(X341="",0,CEILING((X341/$H341),1)*$H341),"")</f>
        <v>54.6</v>
      </c>
      <c r="Z341" s="36">
        <f>IFERROR(IF(Y341=0,"",ROUNDUP(Y341/H341,0)*0.00651),"")</f>
        <v>0.16925999999999999</v>
      </c>
      <c r="AA341" s="56"/>
      <c r="AB341" s="57"/>
      <c r="AC341" s="397" t="s">
        <v>546</v>
      </c>
      <c r="AG341" s="64"/>
      <c r="AJ341" s="68"/>
      <c r="AK341" s="68">
        <v>0</v>
      </c>
      <c r="BB341" s="398" t="s">
        <v>1</v>
      </c>
      <c r="BM341" s="64">
        <f>IFERROR(X341*I341/H341,"0")</f>
        <v>59.359999999999992</v>
      </c>
      <c r="BN341" s="64">
        <f>IFERROR(Y341*I341/H341,"0")</f>
        <v>61.151999999999994</v>
      </c>
      <c r="BO341" s="64">
        <f>IFERROR(1/J341*(X341/H341),"0")</f>
        <v>0.13867085295656725</v>
      </c>
      <c r="BP341" s="64">
        <f>IFERROR(1/J341*(Y341/H341),"0")</f>
        <v>0.14285714285714288</v>
      </c>
    </row>
    <row r="342" spans="1:68" ht="27" customHeight="1" x14ac:dyDescent="0.25">
      <c r="A342" s="54" t="s">
        <v>547</v>
      </c>
      <c r="B342" s="54" t="s">
        <v>548</v>
      </c>
      <c r="C342" s="31">
        <v>4301051864</v>
      </c>
      <c r="D342" s="552">
        <v>4680115883567</v>
      </c>
      <c r="E342" s="553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/>
      <c r="M342" s="33" t="s">
        <v>86</v>
      </c>
      <c r="N342" s="33"/>
      <c r="O342" s="32">
        <v>40</v>
      </c>
      <c r="P342" s="83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0"/>
      <c r="R342" s="550"/>
      <c r="S342" s="550"/>
      <c r="T342" s="551"/>
      <c r="U342" s="34"/>
      <c r="V342" s="34"/>
      <c r="W342" s="35" t="s">
        <v>69</v>
      </c>
      <c r="X342" s="545">
        <v>35</v>
      </c>
      <c r="Y342" s="546">
        <f>IFERROR(IF(X342="",0,CEILING((X342/$H342),1)*$H342),"")</f>
        <v>35.700000000000003</v>
      </c>
      <c r="Z342" s="36">
        <f>IFERROR(IF(Y342=0,"",ROUNDUP(Y342/H342,0)*0.00651),"")</f>
        <v>0.11067</v>
      </c>
      <c r="AA342" s="56"/>
      <c r="AB342" s="57"/>
      <c r="AC342" s="399" t="s">
        <v>549</v>
      </c>
      <c r="AG342" s="64"/>
      <c r="AJ342" s="68"/>
      <c r="AK342" s="68">
        <v>0</v>
      </c>
      <c r="BB342" s="400" t="s">
        <v>1</v>
      </c>
      <c r="BM342" s="64">
        <f>IFERROR(X342*I342/H342,"0")</f>
        <v>38.999999999999993</v>
      </c>
      <c r="BN342" s="64">
        <f>IFERROR(Y342*I342/H342,"0")</f>
        <v>39.779999999999994</v>
      </c>
      <c r="BO342" s="64">
        <f>IFERROR(1/J342*(X342/H342),"0")</f>
        <v>9.1575091575091569E-2</v>
      </c>
      <c r="BP342" s="64">
        <f>IFERROR(1/J342*(Y342/H342),"0")</f>
        <v>9.3406593406593408E-2</v>
      </c>
    </row>
    <row r="343" spans="1:68" x14ac:dyDescent="0.2">
      <c r="A343" s="570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71"/>
      <c r="P343" s="561" t="s">
        <v>75</v>
      </c>
      <c r="Q343" s="562"/>
      <c r="R343" s="562"/>
      <c r="S343" s="562"/>
      <c r="T343" s="562"/>
      <c r="U343" s="562"/>
      <c r="V343" s="563"/>
      <c r="W343" s="37" t="s">
        <v>76</v>
      </c>
      <c r="X343" s="547">
        <f>IFERROR(X340/H340,"0")+IFERROR(X341/H341,"0")+IFERROR(X342/H342,"0")</f>
        <v>45.608465608465607</v>
      </c>
      <c r="Y343" s="547">
        <f>IFERROR(Y340/H340,"0")+IFERROR(Y341/H341,"0")+IFERROR(Y342/H342,"0")</f>
        <v>47</v>
      </c>
      <c r="Z343" s="547">
        <f>IFERROR(IF(Z340="",0,Z340),"0")+IFERROR(IF(Z341="",0,Z341),"0")+IFERROR(IF(Z342="",0,Z342),"0")</f>
        <v>0.35585</v>
      </c>
      <c r="AA343" s="548"/>
      <c r="AB343" s="548"/>
      <c r="AC343" s="548"/>
    </row>
    <row r="344" spans="1:68" x14ac:dyDescent="0.2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71"/>
      <c r="P344" s="561" t="s">
        <v>75</v>
      </c>
      <c r="Q344" s="562"/>
      <c r="R344" s="562"/>
      <c r="S344" s="562"/>
      <c r="T344" s="562"/>
      <c r="U344" s="562"/>
      <c r="V344" s="563"/>
      <c r="W344" s="37" t="s">
        <v>69</v>
      </c>
      <c r="X344" s="547">
        <f>IFERROR(SUM(X340:X342),"0")</f>
        <v>118</v>
      </c>
      <c r="Y344" s="547">
        <f>IFERROR(SUM(Y340:Y342),"0")</f>
        <v>122.7</v>
      </c>
      <c r="Z344" s="37"/>
      <c r="AA344" s="548"/>
      <c r="AB344" s="548"/>
      <c r="AC344" s="548"/>
    </row>
    <row r="345" spans="1:68" ht="27.75" customHeight="1" x14ac:dyDescent="0.2">
      <c r="A345" s="639" t="s">
        <v>550</v>
      </c>
      <c r="B345" s="640"/>
      <c r="C345" s="640"/>
      <c r="D345" s="640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40"/>
      <c r="P345" s="640"/>
      <c r="Q345" s="640"/>
      <c r="R345" s="640"/>
      <c r="S345" s="640"/>
      <c r="T345" s="640"/>
      <c r="U345" s="640"/>
      <c r="V345" s="640"/>
      <c r="W345" s="640"/>
      <c r="X345" s="640"/>
      <c r="Y345" s="640"/>
      <c r="Z345" s="640"/>
      <c r="AA345" s="48"/>
      <c r="AB345" s="48"/>
      <c r="AC345" s="48"/>
    </row>
    <row r="346" spans="1:68" ht="16.5" customHeight="1" x14ac:dyDescent="0.25">
      <c r="A346" s="560" t="s">
        <v>551</v>
      </c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40"/>
      <c r="AB346" s="540"/>
      <c r="AC346" s="540"/>
    </row>
    <row r="347" spans="1:68" ht="14.25" customHeight="1" x14ac:dyDescent="0.25">
      <c r="A347" s="558" t="s">
        <v>99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1"/>
      <c r="AB347" s="541"/>
      <c r="AC347" s="541"/>
    </row>
    <row r="348" spans="1:68" ht="37.5" customHeight="1" x14ac:dyDescent="0.25">
      <c r="A348" s="54" t="s">
        <v>552</v>
      </c>
      <c r="B348" s="54" t="s">
        <v>553</v>
      </c>
      <c r="C348" s="31">
        <v>4301011869</v>
      </c>
      <c r="D348" s="552">
        <v>4680115884847</v>
      </c>
      <c r="E348" s="553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 t="s">
        <v>103</v>
      </c>
      <c r="M348" s="33" t="s">
        <v>68</v>
      </c>
      <c r="N348" s="33"/>
      <c r="O348" s="32">
        <v>60</v>
      </c>
      <c r="P348" s="8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355</v>
      </c>
      <c r="Y348" s="546">
        <f t="shared" ref="Y348:Y354" si="31">IFERROR(IF(X348="",0,CEILING((X348/$H348),1)*$H348),"")</f>
        <v>360</v>
      </c>
      <c r="Z348" s="36">
        <f>IFERROR(IF(Y348=0,"",ROUNDUP(Y348/H348,0)*0.02175),"")</f>
        <v>0.52200000000000002</v>
      </c>
      <c r="AA348" s="56"/>
      <c r="AB348" s="57"/>
      <c r="AC348" s="401" t="s">
        <v>554</v>
      </c>
      <c r="AG348" s="64"/>
      <c r="AJ348" s="68" t="s">
        <v>106</v>
      </c>
      <c r="AK348" s="68">
        <v>120</v>
      </c>
      <c r="BB348" s="402" t="s">
        <v>1</v>
      </c>
      <c r="BM348" s="64">
        <f t="shared" ref="BM348:BM354" si="32">IFERROR(X348*I348/H348,"0")</f>
        <v>366.12333333333333</v>
      </c>
      <c r="BN348" s="64">
        <f t="shared" ref="BN348:BN354" si="33">IFERROR(Y348*I348/H348,"0")</f>
        <v>371.28</v>
      </c>
      <c r="BO348" s="64">
        <f t="shared" ref="BO348:BO354" si="34">IFERROR(1/J348*(X348/H348),"0")</f>
        <v>0.49305555555555558</v>
      </c>
      <c r="BP348" s="64">
        <f t="shared" ref="BP348:BP354" si="35">IFERROR(1/J348*(Y348/H348),"0")</f>
        <v>0.5</v>
      </c>
    </row>
    <row r="349" spans="1:68" ht="27" customHeight="1" x14ac:dyDescent="0.25">
      <c r="A349" s="54" t="s">
        <v>555</v>
      </c>
      <c r="B349" s="54" t="s">
        <v>556</v>
      </c>
      <c r="C349" s="31">
        <v>4301011870</v>
      </c>
      <c r="D349" s="552">
        <v>4680115884854</v>
      </c>
      <c r="E349" s="553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415</v>
      </c>
      <c r="Y349" s="546">
        <f t="shared" si="31"/>
        <v>420</v>
      </c>
      <c r="Z349" s="36">
        <f>IFERROR(IF(Y349=0,"",ROUNDUP(Y349/H349,0)*0.02175),"")</f>
        <v>0.60899999999999999</v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si="32"/>
        <v>428.00333333333333</v>
      </c>
      <c r="BN349" s="64">
        <f t="shared" si="33"/>
        <v>433.16</v>
      </c>
      <c r="BO349" s="64">
        <f t="shared" si="34"/>
        <v>0.57638888888888884</v>
      </c>
      <c r="BP349" s="64">
        <f t="shared" si="35"/>
        <v>0.58333333333333326</v>
      </c>
    </row>
    <row r="350" spans="1:68" ht="37.5" customHeight="1" x14ac:dyDescent="0.25">
      <c r="A350" s="54" t="s">
        <v>558</v>
      </c>
      <c r="B350" s="54" t="s">
        <v>559</v>
      </c>
      <c r="C350" s="31">
        <v>4301011867</v>
      </c>
      <c r="D350" s="552">
        <v>4680115884830</v>
      </c>
      <c r="E350" s="553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66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132</v>
      </c>
      <c r="Y350" s="546">
        <f t="shared" si="31"/>
        <v>135</v>
      </c>
      <c r="Z350" s="36">
        <f>IFERROR(IF(Y350=0,"",ROUNDUP(Y350/H350,0)*0.02175),"")</f>
        <v>0.19574999999999998</v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2"/>
        <v>136.13600000000002</v>
      </c>
      <c r="BN350" s="64">
        <f t="shared" si="33"/>
        <v>139.23000000000002</v>
      </c>
      <c r="BO350" s="64">
        <f t="shared" si="34"/>
        <v>0.18333333333333335</v>
      </c>
      <c r="BP350" s="64">
        <f t="shared" si="35"/>
        <v>0.1875</v>
      </c>
    </row>
    <row r="351" spans="1:68" ht="27" customHeight="1" x14ac:dyDescent="0.25">
      <c r="A351" s="54" t="s">
        <v>561</v>
      </c>
      <c r="B351" s="54" t="s">
        <v>562</v>
      </c>
      <c r="C351" s="31">
        <v>4301012215</v>
      </c>
      <c r="D351" s="552">
        <v>4680115887046</v>
      </c>
      <c r="E351" s="553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69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27" customHeight="1" x14ac:dyDescent="0.25">
      <c r="A352" s="54" t="s">
        <v>564</v>
      </c>
      <c r="B352" s="54" t="s">
        <v>565</v>
      </c>
      <c r="C352" s="31">
        <v>4301011433</v>
      </c>
      <c r="D352" s="552">
        <v>4680115882638</v>
      </c>
      <c r="E352" s="553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66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4301011952</v>
      </c>
      <c r="D353" s="552">
        <v>4680115884922</v>
      </c>
      <c r="E353" s="553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69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0"/>
      <c r="R353" s="550"/>
      <c r="S353" s="550"/>
      <c r="T353" s="551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customHeight="1" x14ac:dyDescent="0.25">
      <c r="A354" s="54" t="s">
        <v>569</v>
      </c>
      <c r="B354" s="54" t="s">
        <v>570</v>
      </c>
      <c r="C354" s="31">
        <v>4301011868</v>
      </c>
      <c r="D354" s="552">
        <v>4680115884861</v>
      </c>
      <c r="E354" s="553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0"/>
      <c r="R354" s="550"/>
      <c r="S354" s="550"/>
      <c r="T354" s="551"/>
      <c r="U354" s="34"/>
      <c r="V354" s="34"/>
      <c r="W354" s="35" t="s">
        <v>69</v>
      </c>
      <c r="X354" s="545">
        <v>0</v>
      </c>
      <c r="Y354" s="546">
        <f t="shared" si="31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2"/>
        <v>0</v>
      </c>
      <c r="BN354" s="64">
        <f t="shared" si="33"/>
        <v>0</v>
      </c>
      <c r="BO354" s="64">
        <f t="shared" si="34"/>
        <v>0</v>
      </c>
      <c r="BP354" s="64">
        <f t="shared" si="35"/>
        <v>0</v>
      </c>
    </row>
    <row r="355" spans="1:68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1" t="s">
        <v>75</v>
      </c>
      <c r="Q355" s="562"/>
      <c r="R355" s="562"/>
      <c r="S355" s="562"/>
      <c r="T355" s="562"/>
      <c r="U355" s="562"/>
      <c r="V355" s="563"/>
      <c r="W355" s="37" t="s">
        <v>76</v>
      </c>
      <c r="X355" s="547">
        <f>IFERROR(X348/H348,"0")+IFERROR(X349/H349,"0")+IFERROR(X350/H350,"0")+IFERROR(X351/H351,"0")+IFERROR(X352/H352,"0")+IFERROR(X353/H353,"0")+IFERROR(X354/H354,"0")</f>
        <v>60.13333333333334</v>
      </c>
      <c r="Y355" s="547">
        <f>IFERROR(Y348/H348,"0")+IFERROR(Y349/H349,"0")+IFERROR(Y350/H350,"0")+IFERROR(Y351/H351,"0")+IFERROR(Y352/H352,"0")+IFERROR(Y353/H353,"0")+IFERROR(Y354/H354,"0")</f>
        <v>61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1.3267500000000001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1" t="s">
        <v>75</v>
      </c>
      <c r="Q356" s="562"/>
      <c r="R356" s="562"/>
      <c r="S356" s="562"/>
      <c r="T356" s="562"/>
      <c r="U356" s="562"/>
      <c r="V356" s="563"/>
      <c r="W356" s="37" t="s">
        <v>69</v>
      </c>
      <c r="X356" s="547">
        <f>IFERROR(SUM(X348:X354),"0")</f>
        <v>902</v>
      </c>
      <c r="Y356" s="547">
        <f>IFERROR(SUM(Y348:Y354),"0")</f>
        <v>915</v>
      </c>
      <c r="Z356" s="37"/>
      <c r="AA356" s="548"/>
      <c r="AB356" s="548"/>
      <c r="AC356" s="548"/>
    </row>
    <row r="357" spans="1:68" ht="14.25" customHeight="1" x14ac:dyDescent="0.25">
      <c r="A357" s="558" t="s">
        <v>135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571</v>
      </c>
      <c r="B358" s="54" t="s">
        <v>572</v>
      </c>
      <c r="C358" s="31">
        <v>4301020178</v>
      </c>
      <c r="D358" s="552">
        <v>4607091383980</v>
      </c>
      <c r="E358" s="553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 t="s">
        <v>103</v>
      </c>
      <c r="M358" s="33" t="s">
        <v>104</v>
      </c>
      <c r="N358" s="33"/>
      <c r="O358" s="32">
        <v>50</v>
      </c>
      <c r="P358" s="69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0"/>
      <c r="R358" s="550"/>
      <c r="S358" s="550"/>
      <c r="T358" s="551"/>
      <c r="U358" s="34"/>
      <c r="V358" s="34"/>
      <c r="W358" s="35" t="s">
        <v>69</v>
      </c>
      <c r="X358" s="545">
        <v>781</v>
      </c>
      <c r="Y358" s="546">
        <f>IFERROR(IF(X358="",0,CEILING((X358/$H358),1)*$H358),"")</f>
        <v>795</v>
      </c>
      <c r="Z358" s="36">
        <f>IFERROR(IF(Y358=0,"",ROUNDUP(Y358/H358,0)*0.02175),"")</f>
        <v>1.1527499999999999</v>
      </c>
      <c r="AA358" s="56"/>
      <c r="AB358" s="57"/>
      <c r="AC358" s="415" t="s">
        <v>573</v>
      </c>
      <c r="AG358" s="64"/>
      <c r="AJ358" s="68" t="s">
        <v>106</v>
      </c>
      <c r="AK358" s="68">
        <v>120</v>
      </c>
      <c r="BB358" s="416" t="s">
        <v>1</v>
      </c>
      <c r="BM358" s="64">
        <f>IFERROR(X358*I358/H358,"0")</f>
        <v>805.47133333333329</v>
      </c>
      <c r="BN358" s="64">
        <f>IFERROR(Y358*I358/H358,"0")</f>
        <v>819.91</v>
      </c>
      <c r="BO358" s="64">
        <f>IFERROR(1/J358*(X358/H358),"0")</f>
        <v>1.0847222222222221</v>
      </c>
      <c r="BP358" s="64">
        <f>IFERROR(1/J358*(Y358/H358),"0")</f>
        <v>1.1041666666666665</v>
      </c>
    </row>
    <row r="359" spans="1:68" ht="27" customHeight="1" x14ac:dyDescent="0.25">
      <c r="A359" s="54" t="s">
        <v>574</v>
      </c>
      <c r="B359" s="54" t="s">
        <v>575</v>
      </c>
      <c r="C359" s="31">
        <v>4301020179</v>
      </c>
      <c r="D359" s="552">
        <v>4607091384178</v>
      </c>
      <c r="E359" s="553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80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0"/>
      <c r="R359" s="550"/>
      <c r="S359" s="550"/>
      <c r="T359" s="551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1" t="s">
        <v>75</v>
      </c>
      <c r="Q360" s="562"/>
      <c r="R360" s="562"/>
      <c r="S360" s="562"/>
      <c r="T360" s="562"/>
      <c r="U360" s="562"/>
      <c r="V360" s="563"/>
      <c r="W360" s="37" t="s">
        <v>76</v>
      </c>
      <c r="X360" s="547">
        <f>IFERROR(X358/H358,"0")+IFERROR(X359/H359,"0")</f>
        <v>52.06666666666667</v>
      </c>
      <c r="Y360" s="547">
        <f>IFERROR(Y358/H358,"0")+IFERROR(Y359/H359,"0")</f>
        <v>53</v>
      </c>
      <c r="Z360" s="547">
        <f>IFERROR(IF(Z358="",0,Z358),"0")+IFERROR(IF(Z359="",0,Z359),"0")</f>
        <v>1.1527499999999999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1" t="s">
        <v>75</v>
      </c>
      <c r="Q361" s="562"/>
      <c r="R361" s="562"/>
      <c r="S361" s="562"/>
      <c r="T361" s="562"/>
      <c r="U361" s="562"/>
      <c r="V361" s="563"/>
      <c r="W361" s="37" t="s">
        <v>69</v>
      </c>
      <c r="X361" s="547">
        <f>IFERROR(SUM(X358:X359),"0")</f>
        <v>781</v>
      </c>
      <c r="Y361" s="547">
        <f>IFERROR(SUM(Y358:Y359),"0")</f>
        <v>795</v>
      </c>
      <c r="Z361" s="37"/>
      <c r="AA361" s="548"/>
      <c r="AB361" s="548"/>
      <c r="AC361" s="548"/>
    </row>
    <row r="362" spans="1:68" ht="14.25" customHeight="1" x14ac:dyDescent="0.25">
      <c r="A362" s="558" t="s">
        <v>77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27" customHeight="1" x14ac:dyDescent="0.25">
      <c r="A363" s="54" t="s">
        <v>577</v>
      </c>
      <c r="B363" s="54" t="s">
        <v>578</v>
      </c>
      <c r="C363" s="31">
        <v>4301051903</v>
      </c>
      <c r="D363" s="552">
        <v>4607091383928</v>
      </c>
      <c r="E363" s="553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86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580</v>
      </c>
      <c r="B364" s="54" t="s">
        <v>581</v>
      </c>
      <c r="C364" s="31">
        <v>4301051897</v>
      </c>
      <c r="D364" s="552">
        <v>4607091384260</v>
      </c>
      <c r="E364" s="553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5">
        <v>50</v>
      </c>
      <c r="Y364" s="546">
        <f>IFERROR(IF(X364="",0,CEILING((X364/$H364),1)*$H364),"")</f>
        <v>54</v>
      </c>
      <c r="Z364" s="36">
        <f>IFERROR(IF(Y364=0,"",ROUNDUP(Y364/H364,0)*0.01898),"")</f>
        <v>0.11388000000000001</v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52.74444444444444</v>
      </c>
      <c r="BN364" s="64">
        <f>IFERROR(Y364*I364/H364,"0")</f>
        <v>56.963999999999992</v>
      </c>
      <c r="BO364" s="64">
        <f>IFERROR(1/J364*(X364/H364),"0")</f>
        <v>8.6805555555555552E-2</v>
      </c>
      <c r="BP364" s="64">
        <f>IFERROR(1/J364*(Y364/H364),"0")</f>
        <v>9.375E-2</v>
      </c>
    </row>
    <row r="365" spans="1:68" x14ac:dyDescent="0.2">
      <c r="A365" s="570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1" t="s">
        <v>75</v>
      </c>
      <c r="Q365" s="562"/>
      <c r="R365" s="562"/>
      <c r="S365" s="562"/>
      <c r="T365" s="562"/>
      <c r="U365" s="562"/>
      <c r="V365" s="563"/>
      <c r="W365" s="37" t="s">
        <v>76</v>
      </c>
      <c r="X365" s="547">
        <f>IFERROR(X363/H363,"0")+IFERROR(X364/H364,"0")</f>
        <v>5.5555555555555554</v>
      </c>
      <c r="Y365" s="547">
        <f>IFERROR(Y363/H363,"0")+IFERROR(Y364/H364,"0")</f>
        <v>6</v>
      </c>
      <c r="Z365" s="547">
        <f>IFERROR(IF(Z363="",0,Z363),"0")+IFERROR(IF(Z364="",0,Z364),"0")</f>
        <v>0.11388000000000001</v>
      </c>
      <c r="AA365" s="548"/>
      <c r="AB365" s="548"/>
      <c r="AC365" s="548"/>
    </row>
    <row r="366" spans="1:68" x14ac:dyDescent="0.2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71"/>
      <c r="P366" s="561" t="s">
        <v>75</v>
      </c>
      <c r="Q366" s="562"/>
      <c r="R366" s="562"/>
      <c r="S366" s="562"/>
      <c r="T366" s="562"/>
      <c r="U366" s="562"/>
      <c r="V366" s="563"/>
      <c r="W366" s="37" t="s">
        <v>69</v>
      </c>
      <c r="X366" s="547">
        <f>IFERROR(SUM(X363:X364),"0")</f>
        <v>50</v>
      </c>
      <c r="Y366" s="547">
        <f>IFERROR(SUM(Y363:Y364),"0")</f>
        <v>54</v>
      </c>
      <c r="Z366" s="37"/>
      <c r="AA366" s="548"/>
      <c r="AB366" s="548"/>
      <c r="AC366" s="548"/>
    </row>
    <row r="367" spans="1:68" ht="14.25" customHeight="1" x14ac:dyDescent="0.25">
      <c r="A367" s="558" t="s">
        <v>160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16.5" customHeight="1" x14ac:dyDescent="0.25">
      <c r="A368" s="54" t="s">
        <v>583</v>
      </c>
      <c r="B368" s="54" t="s">
        <v>584</v>
      </c>
      <c r="C368" s="31">
        <v>4301060524</v>
      </c>
      <c r="D368" s="552">
        <v>4607091384673</v>
      </c>
      <c r="E368" s="553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85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5">
        <v>145</v>
      </c>
      <c r="Y368" s="546">
        <f>IFERROR(IF(X368="",0,CEILING((X368/$H368),1)*$H368),"")</f>
        <v>153</v>
      </c>
      <c r="Z368" s="36">
        <f>IFERROR(IF(Y368=0,"",ROUNDUP(Y368/H368,0)*0.01898),"")</f>
        <v>0.32266</v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152.95888888888888</v>
      </c>
      <c r="BN368" s="64">
        <f>IFERROR(Y368*I368/H368,"0")</f>
        <v>161.398</v>
      </c>
      <c r="BO368" s="64">
        <f>IFERROR(1/J368*(X368/H368),"0")</f>
        <v>0.2517361111111111</v>
      </c>
      <c r="BP368" s="64">
        <f>IFERROR(1/J368*(Y368/H368),"0")</f>
        <v>0.265625</v>
      </c>
    </row>
    <row r="369" spans="1:68" x14ac:dyDescent="0.2">
      <c r="A369" s="570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71"/>
      <c r="P369" s="561" t="s">
        <v>75</v>
      </c>
      <c r="Q369" s="562"/>
      <c r="R369" s="562"/>
      <c r="S369" s="562"/>
      <c r="T369" s="562"/>
      <c r="U369" s="562"/>
      <c r="V369" s="563"/>
      <c r="W369" s="37" t="s">
        <v>76</v>
      </c>
      <c r="X369" s="547">
        <f>IFERROR(X368/H368,"0")</f>
        <v>16.111111111111111</v>
      </c>
      <c r="Y369" s="547">
        <f>IFERROR(Y368/H368,"0")</f>
        <v>17</v>
      </c>
      <c r="Z369" s="547">
        <f>IFERROR(IF(Z368="",0,Z368),"0")</f>
        <v>0.32266</v>
      </c>
      <c r="AA369" s="548"/>
      <c r="AB369" s="548"/>
      <c r="AC369" s="548"/>
    </row>
    <row r="370" spans="1:68" x14ac:dyDescent="0.2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1" t="s">
        <v>75</v>
      </c>
      <c r="Q370" s="562"/>
      <c r="R370" s="562"/>
      <c r="S370" s="562"/>
      <c r="T370" s="562"/>
      <c r="U370" s="562"/>
      <c r="V370" s="563"/>
      <c r="W370" s="37" t="s">
        <v>69</v>
      </c>
      <c r="X370" s="547">
        <f>IFERROR(SUM(X368:X368),"0")</f>
        <v>145</v>
      </c>
      <c r="Y370" s="547">
        <f>IFERROR(SUM(Y368:Y368),"0")</f>
        <v>153</v>
      </c>
      <c r="Z370" s="37"/>
      <c r="AA370" s="548"/>
      <c r="AB370" s="548"/>
      <c r="AC370" s="548"/>
    </row>
    <row r="371" spans="1:68" ht="16.5" customHeight="1" x14ac:dyDescent="0.25">
      <c r="A371" s="560" t="s">
        <v>586</v>
      </c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40"/>
      <c r="AB371" s="540"/>
      <c r="AC371" s="540"/>
    </row>
    <row r="372" spans="1:68" ht="14.25" customHeight="1" x14ac:dyDescent="0.25">
      <c r="A372" s="558" t="s">
        <v>99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37.5" customHeight="1" x14ac:dyDescent="0.25">
      <c r="A373" s="54" t="s">
        <v>587</v>
      </c>
      <c r="B373" s="54" t="s">
        <v>588</v>
      </c>
      <c r="C373" s="31">
        <v>4301011875</v>
      </c>
      <c r="D373" s="552">
        <v>4680115884885</v>
      </c>
      <c r="E373" s="553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/>
      <c r="M373" s="33" t="s">
        <v>68</v>
      </c>
      <c r="N373" s="33"/>
      <c r="O373" s="32">
        <v>60</v>
      </c>
      <c r="P373" s="87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69</v>
      </c>
      <c r="X373" s="545">
        <v>15</v>
      </c>
      <c r="Y373" s="546">
        <f>IFERROR(IF(X373="",0,CEILING((X373/$H373),1)*$H373),"")</f>
        <v>24</v>
      </c>
      <c r="Z373" s="36">
        <f>IFERROR(IF(Y373=0,"",ROUNDUP(Y373/H373,0)*0.01898),"")</f>
        <v>3.7960000000000001E-2</v>
      </c>
      <c r="AA373" s="56"/>
      <c r="AB373" s="57"/>
      <c r="AC373" s="425" t="s">
        <v>589</v>
      </c>
      <c r="AG373" s="64"/>
      <c r="AJ373" s="68"/>
      <c r="AK373" s="68">
        <v>0</v>
      </c>
      <c r="BB373" s="426" t="s">
        <v>1</v>
      </c>
      <c r="BM373" s="64">
        <f>IFERROR(X373*I373/H373,"0")</f>
        <v>15.512500000000001</v>
      </c>
      <c r="BN373" s="64">
        <f>IFERROR(Y373*I373/H373,"0")</f>
        <v>24.820000000000004</v>
      </c>
      <c r="BO373" s="64">
        <f>IFERROR(1/J373*(X373/H373),"0")</f>
        <v>1.953125E-2</v>
      </c>
      <c r="BP373" s="64">
        <f>IFERROR(1/J373*(Y373/H373),"0")</f>
        <v>3.125E-2</v>
      </c>
    </row>
    <row r="374" spans="1:68" ht="37.5" customHeight="1" x14ac:dyDescent="0.25">
      <c r="A374" s="54" t="s">
        <v>590</v>
      </c>
      <c r="B374" s="54" t="s">
        <v>591</v>
      </c>
      <c r="C374" s="31">
        <v>4301011871</v>
      </c>
      <c r="D374" s="552">
        <v>4680115884908</v>
      </c>
      <c r="E374" s="553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1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1" t="s">
        <v>75</v>
      </c>
      <c r="Q375" s="562"/>
      <c r="R375" s="562"/>
      <c r="S375" s="562"/>
      <c r="T375" s="562"/>
      <c r="U375" s="562"/>
      <c r="V375" s="563"/>
      <c r="W375" s="37" t="s">
        <v>76</v>
      </c>
      <c r="X375" s="547">
        <f>IFERROR(X373/H373,"0")+IFERROR(X374/H374,"0")</f>
        <v>1.25</v>
      </c>
      <c r="Y375" s="547">
        <f>IFERROR(Y373/H373,"0")+IFERROR(Y374/H374,"0")</f>
        <v>2</v>
      </c>
      <c r="Z375" s="547">
        <f>IFERROR(IF(Z373="",0,Z373),"0")+IFERROR(IF(Z374="",0,Z374),"0")</f>
        <v>3.7960000000000001E-2</v>
      </c>
      <c r="AA375" s="548"/>
      <c r="AB375" s="548"/>
      <c r="AC375" s="548"/>
    </row>
    <row r="376" spans="1:68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1" t="s">
        <v>75</v>
      </c>
      <c r="Q376" s="562"/>
      <c r="R376" s="562"/>
      <c r="S376" s="562"/>
      <c r="T376" s="562"/>
      <c r="U376" s="562"/>
      <c r="V376" s="563"/>
      <c r="W376" s="37" t="s">
        <v>69</v>
      </c>
      <c r="X376" s="547">
        <f>IFERROR(SUM(X373:X374),"0")</f>
        <v>15</v>
      </c>
      <c r="Y376" s="547">
        <f>IFERROR(SUM(Y373:Y374),"0")</f>
        <v>24</v>
      </c>
      <c r="Z376" s="37"/>
      <c r="AA376" s="548"/>
      <c r="AB376" s="548"/>
      <c r="AC376" s="548"/>
    </row>
    <row r="377" spans="1:68" ht="14.25" customHeight="1" x14ac:dyDescent="0.25">
      <c r="A377" s="558" t="s">
        <v>64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customHeight="1" x14ac:dyDescent="0.25">
      <c r="A378" s="54" t="s">
        <v>592</v>
      </c>
      <c r="B378" s="54" t="s">
        <v>593</v>
      </c>
      <c r="C378" s="31">
        <v>4301031303</v>
      </c>
      <c r="D378" s="552">
        <v>4607091384802</v>
      </c>
      <c r="E378" s="553"/>
      <c r="F378" s="544">
        <v>0.73</v>
      </c>
      <c r="G378" s="32">
        <v>6</v>
      </c>
      <c r="H378" s="544">
        <v>4.38</v>
      </c>
      <c r="I378" s="544">
        <v>4.63</v>
      </c>
      <c r="J378" s="32">
        <v>132</v>
      </c>
      <c r="K378" s="32" t="s">
        <v>109</v>
      </c>
      <c r="L378" s="32"/>
      <c r="M378" s="33" t="s">
        <v>68</v>
      </c>
      <c r="N378" s="33"/>
      <c r="O378" s="32">
        <v>35</v>
      </c>
      <c r="P378" s="67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0"/>
      <c r="R378" s="550"/>
      <c r="S378" s="550"/>
      <c r="T378" s="551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592</v>
      </c>
      <c r="B379" s="54" t="s">
        <v>595</v>
      </c>
      <c r="C379" s="31">
        <v>4301031457</v>
      </c>
      <c r="D379" s="552">
        <v>4607091384802</v>
      </c>
      <c r="E379" s="553"/>
      <c r="F379" s="544">
        <v>0.7</v>
      </c>
      <c r="G379" s="32">
        <v>6</v>
      </c>
      <c r="H379" s="544">
        <v>4.2</v>
      </c>
      <c r="I379" s="544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59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70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71"/>
      <c r="P380" s="561" t="s">
        <v>75</v>
      </c>
      <c r="Q380" s="562"/>
      <c r="R380" s="562"/>
      <c r="S380" s="562"/>
      <c r="T380" s="562"/>
      <c r="U380" s="562"/>
      <c r="V380" s="563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x14ac:dyDescent="0.2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1" t="s">
        <v>75</v>
      </c>
      <c r="Q381" s="562"/>
      <c r="R381" s="562"/>
      <c r="S381" s="562"/>
      <c r="T381" s="562"/>
      <c r="U381" s="562"/>
      <c r="V381" s="563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customHeight="1" x14ac:dyDescent="0.25">
      <c r="A382" s="558" t="s">
        <v>77</v>
      </c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41"/>
      <c r="AB382" s="541"/>
      <c r="AC382" s="541"/>
    </row>
    <row r="383" spans="1:68" ht="27" customHeight="1" x14ac:dyDescent="0.25">
      <c r="A383" s="54" t="s">
        <v>597</v>
      </c>
      <c r="B383" s="54" t="s">
        <v>598</v>
      </c>
      <c r="C383" s="31">
        <v>4301051899</v>
      </c>
      <c r="D383" s="552">
        <v>4607091384246</v>
      </c>
      <c r="E383" s="553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85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1514</v>
      </c>
      <c r="Y383" s="546">
        <f>IFERROR(IF(X383="",0,CEILING((X383/$H383),1)*$H383),"")</f>
        <v>1521</v>
      </c>
      <c r="Z383" s="36">
        <f>IFERROR(IF(Y383=0,"",ROUNDUP(Y383/H383,0)*0.01898),"")</f>
        <v>3.2076199999999999</v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1597.1017777777777</v>
      </c>
      <c r="BN383" s="64">
        <f>IFERROR(Y383*I383/H383,"0")</f>
        <v>1604.4859999999999</v>
      </c>
      <c r="BO383" s="64">
        <f>IFERROR(1/J383*(X383/H383),"0")</f>
        <v>2.6284722222222223</v>
      </c>
      <c r="BP383" s="64">
        <f>IFERROR(1/J383*(Y383/H383),"0")</f>
        <v>2.640625</v>
      </c>
    </row>
    <row r="384" spans="1:68" ht="27" customHeight="1" x14ac:dyDescent="0.25">
      <c r="A384" s="54" t="s">
        <v>600</v>
      </c>
      <c r="B384" s="54" t="s">
        <v>601</v>
      </c>
      <c r="C384" s="31">
        <v>4301051660</v>
      </c>
      <c r="D384" s="552">
        <v>4607091384253</v>
      </c>
      <c r="E384" s="553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 t="s">
        <v>213</v>
      </c>
      <c r="M384" s="33" t="s">
        <v>80</v>
      </c>
      <c r="N384" s="33"/>
      <c r="O384" s="32">
        <v>40</v>
      </c>
      <c r="P384" s="57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0"/>
      <c r="R384" s="550"/>
      <c r="S384" s="550"/>
      <c r="T384" s="551"/>
      <c r="U384" s="34"/>
      <c r="V384" s="34"/>
      <c r="W384" s="35" t="s">
        <v>69</v>
      </c>
      <c r="X384" s="545">
        <v>0</v>
      </c>
      <c r="Y384" s="546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599</v>
      </c>
      <c r="AG384" s="64"/>
      <c r="AJ384" s="68" t="s">
        <v>106</v>
      </c>
      <c r="AK384" s="68">
        <v>33.6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600</v>
      </c>
      <c r="B385" s="54" t="s">
        <v>602</v>
      </c>
      <c r="C385" s="31">
        <v>4301052069</v>
      </c>
      <c r="D385" s="552">
        <v>4607091384253</v>
      </c>
      <c r="E385" s="553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0"/>
      <c r="R385" s="550"/>
      <c r="S385" s="550"/>
      <c r="T385" s="551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70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71"/>
      <c r="P386" s="561" t="s">
        <v>75</v>
      </c>
      <c r="Q386" s="562"/>
      <c r="R386" s="562"/>
      <c r="S386" s="562"/>
      <c r="T386" s="562"/>
      <c r="U386" s="562"/>
      <c r="V386" s="563"/>
      <c r="W386" s="37" t="s">
        <v>76</v>
      </c>
      <c r="X386" s="547">
        <f>IFERROR(X383/H383,"0")+IFERROR(X384/H384,"0")+IFERROR(X385/H385,"0")</f>
        <v>168.22222222222223</v>
      </c>
      <c r="Y386" s="547">
        <f>IFERROR(Y383/H383,"0")+IFERROR(Y384/H384,"0")+IFERROR(Y385/H385,"0")</f>
        <v>169</v>
      </c>
      <c r="Z386" s="547">
        <f>IFERROR(IF(Z383="",0,Z383),"0")+IFERROR(IF(Z384="",0,Z384),"0")+IFERROR(IF(Z385="",0,Z385),"0")</f>
        <v>3.2076199999999999</v>
      </c>
      <c r="AA386" s="548"/>
      <c r="AB386" s="548"/>
      <c r="AC386" s="548"/>
    </row>
    <row r="387" spans="1:68" x14ac:dyDescent="0.2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71"/>
      <c r="P387" s="561" t="s">
        <v>75</v>
      </c>
      <c r="Q387" s="562"/>
      <c r="R387" s="562"/>
      <c r="S387" s="562"/>
      <c r="T387" s="562"/>
      <c r="U387" s="562"/>
      <c r="V387" s="563"/>
      <c r="W387" s="37" t="s">
        <v>69</v>
      </c>
      <c r="X387" s="547">
        <f>IFERROR(SUM(X383:X385),"0")</f>
        <v>1514</v>
      </c>
      <c r="Y387" s="547">
        <f>IFERROR(SUM(Y383:Y385),"0")</f>
        <v>1521</v>
      </c>
      <c r="Z387" s="37"/>
      <c r="AA387" s="548"/>
      <c r="AB387" s="548"/>
      <c r="AC387" s="548"/>
    </row>
    <row r="388" spans="1:68" ht="27.75" customHeight="1" x14ac:dyDescent="0.2">
      <c r="A388" s="639" t="s">
        <v>604</v>
      </c>
      <c r="B388" s="640"/>
      <c r="C388" s="640"/>
      <c r="D388" s="640"/>
      <c r="E388" s="640"/>
      <c r="F388" s="640"/>
      <c r="G388" s="640"/>
      <c r="H388" s="640"/>
      <c r="I388" s="640"/>
      <c r="J388" s="640"/>
      <c r="K388" s="640"/>
      <c r="L388" s="640"/>
      <c r="M388" s="640"/>
      <c r="N388" s="640"/>
      <c r="O388" s="640"/>
      <c r="P388" s="640"/>
      <c r="Q388" s="640"/>
      <c r="R388" s="640"/>
      <c r="S388" s="640"/>
      <c r="T388" s="640"/>
      <c r="U388" s="640"/>
      <c r="V388" s="640"/>
      <c r="W388" s="640"/>
      <c r="X388" s="640"/>
      <c r="Y388" s="640"/>
      <c r="Z388" s="640"/>
      <c r="AA388" s="48"/>
      <c r="AB388" s="48"/>
      <c r="AC388" s="48"/>
    </row>
    <row r="389" spans="1:68" ht="16.5" customHeight="1" x14ac:dyDescent="0.25">
      <c r="A389" s="560" t="s">
        <v>605</v>
      </c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40"/>
      <c r="AB389" s="540"/>
      <c r="AC389" s="540"/>
    </row>
    <row r="390" spans="1:68" ht="14.25" customHeight="1" x14ac:dyDescent="0.25">
      <c r="A390" s="558" t="s">
        <v>64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1"/>
      <c r="AB390" s="541"/>
      <c r="AC390" s="541"/>
    </row>
    <row r="391" spans="1:68" ht="27" customHeight="1" x14ac:dyDescent="0.25">
      <c r="A391" s="54" t="s">
        <v>606</v>
      </c>
      <c r="B391" s="54" t="s">
        <v>607</v>
      </c>
      <c r="C391" s="31">
        <v>4301031405</v>
      </c>
      <c r="D391" s="552">
        <v>4680115886100</v>
      </c>
      <c r="E391" s="553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/>
      <c r="M391" s="33" t="s">
        <v>68</v>
      </c>
      <c r="N391" s="33"/>
      <c r="O391" s="32">
        <v>50</v>
      </c>
      <c r="P391" s="56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ref="Y391:Y399" si="36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ref="BM391:BM399" si="37">IFERROR(X391*I391/H391,"0")</f>
        <v>0</v>
      </c>
      <c r="BN391" s="64">
        <f t="shared" ref="BN391:BN399" si="38">IFERROR(Y391*I391/H391,"0")</f>
        <v>0</v>
      </c>
      <c r="BO391" s="64">
        <f t="shared" ref="BO391:BO399" si="39">IFERROR(1/J391*(X391/H391),"0")</f>
        <v>0</v>
      </c>
      <c r="BP391" s="64">
        <f t="shared" ref="BP391:BP399" si="40">IFERROR(1/J391*(Y391/H391),"0")</f>
        <v>0</v>
      </c>
    </row>
    <row r="392" spans="1:68" ht="27" customHeight="1" x14ac:dyDescent="0.25">
      <c r="A392" s="54" t="s">
        <v>609</v>
      </c>
      <c r="B392" s="54" t="s">
        <v>610</v>
      </c>
      <c r="C392" s="31">
        <v>4301031406</v>
      </c>
      <c r="D392" s="552">
        <v>4680115886117</v>
      </c>
      <c r="E392" s="553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7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4301031402</v>
      </c>
      <c r="D393" s="552">
        <v>4680115886124</v>
      </c>
      <c r="E393" s="553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4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4301031366</v>
      </c>
      <c r="D394" s="552">
        <v>4680115883147</v>
      </c>
      <c r="E394" s="553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617</v>
      </c>
      <c r="B395" s="54" t="s">
        <v>618</v>
      </c>
      <c r="C395" s="31">
        <v>4301031362</v>
      </c>
      <c r="D395" s="552">
        <v>4607091384338</v>
      </c>
      <c r="E395" s="553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608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37.5" customHeight="1" x14ac:dyDescent="0.25">
      <c r="A396" s="54" t="s">
        <v>619</v>
      </c>
      <c r="B396" s="54" t="s">
        <v>620</v>
      </c>
      <c r="C396" s="31">
        <v>4301031361</v>
      </c>
      <c r="D396" s="552">
        <v>4607091389524</v>
      </c>
      <c r="E396" s="553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621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27" customHeight="1" x14ac:dyDescent="0.25">
      <c r="A397" s="54" t="s">
        <v>622</v>
      </c>
      <c r="B397" s="54" t="s">
        <v>623</v>
      </c>
      <c r="C397" s="31">
        <v>4301031364</v>
      </c>
      <c r="D397" s="552">
        <v>4680115883161</v>
      </c>
      <c r="E397" s="553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4301031358</v>
      </c>
      <c r="D398" s="552">
        <v>4607091389531</v>
      </c>
      <c r="E398" s="553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5">
        <v>0</v>
      </c>
      <c r="Y398" s="546">
        <f t="shared" si="36"/>
        <v>0</v>
      </c>
      <c r="Z398" s="36" t="str">
        <f t="shared" si="41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37"/>
        <v>0</v>
      </c>
      <c r="BN398" s="64">
        <f t="shared" si="38"/>
        <v>0</v>
      </c>
      <c r="BO398" s="64">
        <f t="shared" si="39"/>
        <v>0</v>
      </c>
      <c r="BP398" s="64">
        <f t="shared" si="40"/>
        <v>0</v>
      </c>
    </row>
    <row r="399" spans="1:68" ht="37.5" customHeight="1" x14ac:dyDescent="0.25">
      <c r="A399" s="54" t="s">
        <v>628</v>
      </c>
      <c r="B399" s="54" t="s">
        <v>629</v>
      </c>
      <c r="C399" s="31">
        <v>4301031360</v>
      </c>
      <c r="D399" s="552">
        <v>4607091384345</v>
      </c>
      <c r="E399" s="553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1" t="s">
        <v>75</v>
      </c>
      <c r="Q400" s="562"/>
      <c r="R400" s="562"/>
      <c r="S400" s="562"/>
      <c r="T400" s="562"/>
      <c r="U400" s="562"/>
      <c r="V400" s="563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0</v>
      </c>
      <c r="Y400" s="547">
        <f>IFERROR(Y391/H391,"0")+IFERROR(Y392/H392,"0")+IFERROR(Y393/H393,"0")+IFERROR(Y394/H394,"0")+IFERROR(Y395/H395,"0")+IFERROR(Y396/H396,"0")+IFERROR(Y397/H397,"0")+IFERROR(Y398/H398,"0")+IFERROR(Y399/H399,"0")</f>
        <v>0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48"/>
      <c r="AB400" s="548"/>
      <c r="AC400" s="548"/>
    </row>
    <row r="401" spans="1:68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1" t="s">
        <v>75</v>
      </c>
      <c r="Q401" s="562"/>
      <c r="R401" s="562"/>
      <c r="S401" s="562"/>
      <c r="T401" s="562"/>
      <c r="U401" s="562"/>
      <c r="V401" s="563"/>
      <c r="W401" s="37" t="s">
        <v>69</v>
      </c>
      <c r="X401" s="547">
        <f>IFERROR(SUM(X391:X399),"0")</f>
        <v>0</v>
      </c>
      <c r="Y401" s="547">
        <f>IFERROR(SUM(Y391:Y399),"0")</f>
        <v>0</v>
      </c>
      <c r="Z401" s="37"/>
      <c r="AA401" s="548"/>
      <c r="AB401" s="548"/>
      <c r="AC401" s="548"/>
    </row>
    <row r="402" spans="1:68" ht="14.25" customHeight="1" x14ac:dyDescent="0.25">
      <c r="A402" s="558" t="s">
        <v>77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1"/>
      <c r="AB402" s="541"/>
      <c r="AC402" s="541"/>
    </row>
    <row r="403" spans="1:68" ht="27" customHeight="1" x14ac:dyDescent="0.25">
      <c r="A403" s="54" t="s">
        <v>630</v>
      </c>
      <c r="B403" s="54" t="s">
        <v>631</v>
      </c>
      <c r="C403" s="31">
        <v>4301051284</v>
      </c>
      <c r="D403" s="552">
        <v>4607091384352</v>
      </c>
      <c r="E403" s="553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67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0"/>
      <c r="R403" s="550"/>
      <c r="S403" s="550"/>
      <c r="T403" s="551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633</v>
      </c>
      <c r="B404" s="54" t="s">
        <v>634</v>
      </c>
      <c r="C404" s="31">
        <v>4301051431</v>
      </c>
      <c r="D404" s="552">
        <v>4607091389654</v>
      </c>
      <c r="E404" s="553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0"/>
      <c r="R404" s="550"/>
      <c r="S404" s="550"/>
      <c r="T404" s="551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1" t="s">
        <v>75</v>
      </c>
      <c r="Q405" s="562"/>
      <c r="R405" s="562"/>
      <c r="S405" s="562"/>
      <c r="T405" s="562"/>
      <c r="U405" s="562"/>
      <c r="V405" s="563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1" t="s">
        <v>75</v>
      </c>
      <c r="Q406" s="562"/>
      <c r="R406" s="562"/>
      <c r="S406" s="562"/>
      <c r="T406" s="562"/>
      <c r="U406" s="562"/>
      <c r="V406" s="563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customHeight="1" x14ac:dyDescent="0.25">
      <c r="A407" s="560" t="s">
        <v>636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0"/>
      <c r="AB407" s="540"/>
      <c r="AC407" s="540"/>
    </row>
    <row r="408" spans="1:68" ht="14.25" customHeight="1" x14ac:dyDescent="0.25">
      <c r="A408" s="558" t="s">
        <v>135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1"/>
      <c r="AB408" s="541"/>
      <c r="AC408" s="541"/>
    </row>
    <row r="409" spans="1:68" ht="27" customHeight="1" x14ac:dyDescent="0.25">
      <c r="A409" s="54" t="s">
        <v>637</v>
      </c>
      <c r="B409" s="54" t="s">
        <v>638</v>
      </c>
      <c r="C409" s="31">
        <v>4301020319</v>
      </c>
      <c r="D409" s="552">
        <v>4680115885240</v>
      </c>
      <c r="E409" s="553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70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71"/>
      <c r="P410" s="561" t="s">
        <v>75</v>
      </c>
      <c r="Q410" s="562"/>
      <c r="R410" s="562"/>
      <c r="S410" s="562"/>
      <c r="T410" s="562"/>
      <c r="U410" s="562"/>
      <c r="V410" s="563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x14ac:dyDescent="0.2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71"/>
      <c r="P411" s="561" t="s">
        <v>75</v>
      </c>
      <c r="Q411" s="562"/>
      <c r="R411" s="562"/>
      <c r="S411" s="562"/>
      <c r="T411" s="562"/>
      <c r="U411" s="562"/>
      <c r="V411" s="563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customHeight="1" x14ac:dyDescent="0.25">
      <c r="A412" s="558" t="s">
        <v>64</v>
      </c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41"/>
      <c r="AB412" s="541"/>
      <c r="AC412" s="541"/>
    </row>
    <row r="413" spans="1:68" ht="27" customHeight="1" x14ac:dyDescent="0.25">
      <c r="A413" s="54" t="s">
        <v>640</v>
      </c>
      <c r="B413" s="54" t="s">
        <v>641</v>
      </c>
      <c r="C413" s="31">
        <v>4301031403</v>
      </c>
      <c r="D413" s="552">
        <v>4680115886094</v>
      </c>
      <c r="E413" s="553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/>
      <c r="M413" s="33" t="s">
        <v>104</v>
      </c>
      <c r="N413" s="33"/>
      <c r="O413" s="32">
        <v>50</v>
      </c>
      <c r="P413" s="62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642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643</v>
      </c>
      <c r="B414" s="54" t="s">
        <v>644</v>
      </c>
      <c r="C414" s="31">
        <v>4301031363</v>
      </c>
      <c r="D414" s="552">
        <v>4607091389425</v>
      </c>
      <c r="E414" s="553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4301031373</v>
      </c>
      <c r="D415" s="552">
        <v>4680115880771</v>
      </c>
      <c r="E415" s="553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0"/>
      <c r="R415" s="550"/>
      <c r="S415" s="550"/>
      <c r="T415" s="551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4301031359</v>
      </c>
      <c r="D416" s="552">
        <v>4607091389500</v>
      </c>
      <c r="E416" s="553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0"/>
      <c r="R416" s="550"/>
      <c r="S416" s="550"/>
      <c r="T416" s="551"/>
      <c r="U416" s="34"/>
      <c r="V416" s="34"/>
      <c r="W416" s="35" t="s">
        <v>69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1" t="s">
        <v>75</v>
      </c>
      <c r="Q417" s="562"/>
      <c r="R417" s="562"/>
      <c r="S417" s="562"/>
      <c r="T417" s="562"/>
      <c r="U417" s="562"/>
      <c r="V417" s="563"/>
      <c r="W417" s="37" t="s">
        <v>76</v>
      </c>
      <c r="X417" s="547">
        <f>IFERROR(X413/H413,"0")+IFERROR(X414/H414,"0")+IFERROR(X415/H415,"0")+IFERROR(X416/H416,"0")</f>
        <v>0</v>
      </c>
      <c r="Y417" s="547">
        <f>IFERROR(Y413/H413,"0")+IFERROR(Y414/H414,"0")+IFERROR(Y415/H415,"0")+IFERROR(Y416/H416,"0")</f>
        <v>0</v>
      </c>
      <c r="Z417" s="547">
        <f>IFERROR(IF(Z413="",0,Z413),"0")+IFERROR(IF(Z414="",0,Z414),"0")+IFERROR(IF(Z415="",0,Z415),"0")+IFERROR(IF(Z416="",0,Z416),"0")</f>
        <v>0</v>
      </c>
      <c r="AA417" s="548"/>
      <c r="AB417" s="548"/>
      <c r="AC417" s="548"/>
    </row>
    <row r="418" spans="1:68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1" t="s">
        <v>75</v>
      </c>
      <c r="Q418" s="562"/>
      <c r="R418" s="562"/>
      <c r="S418" s="562"/>
      <c r="T418" s="562"/>
      <c r="U418" s="562"/>
      <c r="V418" s="563"/>
      <c r="W418" s="37" t="s">
        <v>69</v>
      </c>
      <c r="X418" s="547">
        <f>IFERROR(SUM(X413:X416),"0")</f>
        <v>0</v>
      </c>
      <c r="Y418" s="547">
        <f>IFERROR(SUM(Y413:Y416),"0")</f>
        <v>0</v>
      </c>
      <c r="Z418" s="37"/>
      <c r="AA418" s="548"/>
      <c r="AB418" s="548"/>
      <c r="AC418" s="548"/>
    </row>
    <row r="419" spans="1:68" ht="16.5" customHeight="1" x14ac:dyDescent="0.25">
      <c r="A419" s="560" t="s">
        <v>651</v>
      </c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40"/>
      <c r="AB419" s="540"/>
      <c r="AC419" s="540"/>
    </row>
    <row r="420" spans="1:68" ht="14.25" customHeight="1" x14ac:dyDescent="0.25">
      <c r="A420" s="558" t="s">
        <v>64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1"/>
      <c r="AB420" s="541"/>
      <c r="AC420" s="541"/>
    </row>
    <row r="421" spans="1:68" ht="27" customHeight="1" x14ac:dyDescent="0.25">
      <c r="A421" s="54" t="s">
        <v>652</v>
      </c>
      <c r="B421" s="54" t="s">
        <v>653</v>
      </c>
      <c r="C421" s="31">
        <v>4301031347</v>
      </c>
      <c r="D421" s="552">
        <v>4680115885110</v>
      </c>
      <c r="E421" s="553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3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0"/>
      <c r="R421" s="550"/>
      <c r="S421" s="550"/>
      <c r="T421" s="551"/>
      <c r="U421" s="34"/>
      <c r="V421" s="34"/>
      <c r="W421" s="35" t="s">
        <v>69</v>
      </c>
      <c r="X421" s="545">
        <v>0</v>
      </c>
      <c r="Y421" s="54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654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570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71"/>
      <c r="P422" s="561" t="s">
        <v>75</v>
      </c>
      <c r="Q422" s="562"/>
      <c r="R422" s="562"/>
      <c r="S422" s="562"/>
      <c r="T422" s="562"/>
      <c r="U422" s="562"/>
      <c r="V422" s="563"/>
      <c r="W422" s="37" t="s">
        <v>76</v>
      </c>
      <c r="X422" s="547">
        <f>IFERROR(X421/H421,"0")</f>
        <v>0</v>
      </c>
      <c r="Y422" s="547">
        <f>IFERROR(Y421/H421,"0")</f>
        <v>0</v>
      </c>
      <c r="Z422" s="547">
        <f>IFERROR(IF(Z421="",0,Z421),"0")</f>
        <v>0</v>
      </c>
      <c r="AA422" s="548"/>
      <c r="AB422" s="548"/>
      <c r="AC422" s="548"/>
    </row>
    <row r="423" spans="1:68" x14ac:dyDescent="0.2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71"/>
      <c r="P423" s="561" t="s">
        <v>75</v>
      </c>
      <c r="Q423" s="562"/>
      <c r="R423" s="562"/>
      <c r="S423" s="562"/>
      <c r="T423" s="562"/>
      <c r="U423" s="562"/>
      <c r="V423" s="563"/>
      <c r="W423" s="37" t="s">
        <v>69</v>
      </c>
      <c r="X423" s="547">
        <f>IFERROR(SUM(X421:X421),"0")</f>
        <v>0</v>
      </c>
      <c r="Y423" s="547">
        <f>IFERROR(SUM(Y421:Y421),"0")</f>
        <v>0</v>
      </c>
      <c r="Z423" s="37"/>
      <c r="AA423" s="548"/>
      <c r="AB423" s="548"/>
      <c r="AC423" s="548"/>
    </row>
    <row r="424" spans="1:68" ht="27.75" customHeight="1" x14ac:dyDescent="0.2">
      <c r="A424" s="639" t="s">
        <v>655</v>
      </c>
      <c r="B424" s="640"/>
      <c r="C424" s="640"/>
      <c r="D424" s="640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48"/>
      <c r="AB424" s="48"/>
      <c r="AC424" s="48"/>
    </row>
    <row r="425" spans="1:68" ht="16.5" customHeight="1" x14ac:dyDescent="0.25">
      <c r="A425" s="560" t="s">
        <v>655</v>
      </c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40"/>
      <c r="AB425" s="540"/>
      <c r="AC425" s="540"/>
    </row>
    <row r="426" spans="1:68" ht="14.25" customHeight="1" x14ac:dyDescent="0.25">
      <c r="A426" s="558" t="s">
        <v>99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1"/>
      <c r="AB426" s="541"/>
      <c r="AC426" s="541"/>
    </row>
    <row r="427" spans="1:68" ht="27" customHeight="1" x14ac:dyDescent="0.25">
      <c r="A427" s="54" t="s">
        <v>656</v>
      </c>
      <c r="B427" s="54" t="s">
        <v>657</v>
      </c>
      <c r="C427" s="31">
        <v>4301011795</v>
      </c>
      <c r="D427" s="552">
        <v>4607091389067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 t="s">
        <v>103</v>
      </c>
      <c r="M427" s="33" t="s">
        <v>104</v>
      </c>
      <c r="N427" s="33"/>
      <c r="O427" s="32">
        <v>60</v>
      </c>
      <c r="P427" s="71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ref="Y427:Y438" si="42">IFERROR(IF(X427="",0,CEILING((X427/$H427),1)*$H427),"")</f>
        <v>0</v>
      </c>
      <c r="Z427" s="36" t="str">
        <f t="shared" ref="Z427:Z433" si="43">IFERROR(IF(Y427=0,"",ROUNDUP(Y427/H427,0)*0.01196),"")</f>
        <v/>
      </c>
      <c r="AA427" s="56"/>
      <c r="AB427" s="57"/>
      <c r="AC427" s="473" t="s">
        <v>105</v>
      </c>
      <c r="AG427" s="64"/>
      <c r="AJ427" s="68" t="s">
        <v>106</v>
      </c>
      <c r="AK427" s="68">
        <v>42.24</v>
      </c>
      <c r="BB427" s="474" t="s">
        <v>1</v>
      </c>
      <c r="BM427" s="64">
        <f t="shared" ref="BM427:BM438" si="44">IFERROR(X427*I427/H427,"0")</f>
        <v>0</v>
      </c>
      <c r="BN427" s="64">
        <f t="shared" ref="BN427:BN438" si="45">IFERROR(Y427*I427/H427,"0")</f>
        <v>0</v>
      </c>
      <c r="BO427" s="64">
        <f t="shared" ref="BO427:BO438" si="46">IFERROR(1/J427*(X427/H427),"0")</f>
        <v>0</v>
      </c>
      <c r="BP427" s="64">
        <f t="shared" ref="BP427:BP438" si="47">IFERROR(1/J427*(Y427/H427),"0")</f>
        <v>0</v>
      </c>
    </row>
    <row r="428" spans="1:68" ht="27" customHeight="1" x14ac:dyDescent="0.25">
      <c r="A428" s="54" t="s">
        <v>658</v>
      </c>
      <c r="B428" s="54" t="s">
        <v>659</v>
      </c>
      <c r="C428" s="31">
        <v>4301012210</v>
      </c>
      <c r="D428" s="552">
        <v>4607091383522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5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661</v>
      </c>
      <c r="C429" s="31">
        <v>4301012145</v>
      </c>
      <c r="D429" s="552">
        <v>4607091383522</v>
      </c>
      <c r="E429" s="553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662</v>
      </c>
      <c r="B430" s="54" t="s">
        <v>663</v>
      </c>
      <c r="C430" s="31">
        <v>4301011961</v>
      </c>
      <c r="D430" s="552">
        <v>4680115885271</v>
      </c>
      <c r="E430" s="553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 t="s">
        <v>103</v>
      </c>
      <c r="M430" s="33" t="s">
        <v>104</v>
      </c>
      <c r="N430" s="33"/>
      <c r="O430" s="32">
        <v>60</v>
      </c>
      <c r="P430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21</v>
      </c>
      <c r="Y430" s="546">
        <f t="shared" si="42"/>
        <v>21.12</v>
      </c>
      <c r="Z430" s="36">
        <f t="shared" si="43"/>
        <v>4.7840000000000001E-2</v>
      </c>
      <c r="AA430" s="56"/>
      <c r="AB430" s="57"/>
      <c r="AC430" s="479" t="s">
        <v>664</v>
      </c>
      <c r="AG430" s="64"/>
      <c r="AJ430" s="68" t="s">
        <v>106</v>
      </c>
      <c r="AK430" s="68">
        <v>42.24</v>
      </c>
      <c r="BB430" s="480" t="s">
        <v>1</v>
      </c>
      <c r="BM430" s="64">
        <f t="shared" si="44"/>
        <v>22.392045454545453</v>
      </c>
      <c r="BN430" s="64">
        <f t="shared" si="45"/>
        <v>22.52</v>
      </c>
      <c r="BO430" s="64">
        <f t="shared" si="46"/>
        <v>3.8243006993006992E-2</v>
      </c>
      <c r="BP430" s="64">
        <f t="shared" si="47"/>
        <v>3.8461538461538464E-2</v>
      </c>
    </row>
    <row r="431" spans="1:68" ht="27" customHeight="1" x14ac:dyDescent="0.25">
      <c r="A431" s="54" t="s">
        <v>665</v>
      </c>
      <c r="B431" s="54" t="s">
        <v>666</v>
      </c>
      <c r="C431" s="31">
        <v>4301011376</v>
      </c>
      <c r="D431" s="552">
        <v>4680115885226</v>
      </c>
      <c r="E431" s="553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68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241</v>
      </c>
      <c r="Y431" s="546">
        <f t="shared" si="42"/>
        <v>242.88000000000002</v>
      </c>
      <c r="Z431" s="36">
        <f t="shared" si="43"/>
        <v>0.55015999999999998</v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256.97537878787875</v>
      </c>
      <c r="BN431" s="64">
        <f t="shared" si="45"/>
        <v>258.98</v>
      </c>
      <c r="BO431" s="64">
        <f t="shared" si="46"/>
        <v>0.43888403263403264</v>
      </c>
      <c r="BP431" s="64">
        <f t="shared" si="47"/>
        <v>0.44230769230769235</v>
      </c>
    </row>
    <row r="432" spans="1:68" ht="16.5" customHeight="1" x14ac:dyDescent="0.25">
      <c r="A432" s="54" t="s">
        <v>668</v>
      </c>
      <c r="B432" s="54" t="s">
        <v>669</v>
      </c>
      <c r="C432" s="31">
        <v>4301011774</v>
      </c>
      <c r="D432" s="552">
        <v>4680115884502</v>
      </c>
      <c r="E432" s="553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58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671</v>
      </c>
      <c r="B433" s="54" t="s">
        <v>672</v>
      </c>
      <c r="C433" s="31">
        <v>4301011771</v>
      </c>
      <c r="D433" s="552">
        <v>4607091389104</v>
      </c>
      <c r="E433" s="553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84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 t="shared" si="43"/>
        <v/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4301012125</v>
      </c>
      <c r="D434" s="552">
        <v>4680115886391</v>
      </c>
      <c r="E434" s="553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676</v>
      </c>
      <c r="B435" s="54" t="s">
        <v>677</v>
      </c>
      <c r="C435" s="31">
        <v>4301012035</v>
      </c>
      <c r="D435" s="552">
        <v>4680115880603</v>
      </c>
      <c r="E435" s="553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28</v>
      </c>
      <c r="Y435" s="546">
        <f t="shared" si="42"/>
        <v>28.799999999999997</v>
      </c>
      <c r="Z435" s="36">
        <f>IFERROR(IF(Y435=0,"",ROUNDUP(Y435/H435,0)*0.00902),"")</f>
        <v>5.4120000000000001E-2</v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40.308333333333337</v>
      </c>
      <c r="BN435" s="64">
        <f t="shared" si="45"/>
        <v>41.46</v>
      </c>
      <c r="BO435" s="64">
        <f t="shared" si="46"/>
        <v>4.4191919191919199E-2</v>
      </c>
      <c r="BP435" s="64">
        <f t="shared" si="47"/>
        <v>4.5454545454545456E-2</v>
      </c>
    </row>
    <row r="436" spans="1:68" ht="27" customHeight="1" x14ac:dyDescent="0.25">
      <c r="A436" s="54" t="s">
        <v>678</v>
      </c>
      <c r="B436" s="54" t="s">
        <v>679</v>
      </c>
      <c r="C436" s="31">
        <v>4301012036</v>
      </c>
      <c r="D436" s="552">
        <v>4680115882782</v>
      </c>
      <c r="E436" s="553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customHeight="1" x14ac:dyDescent="0.25">
      <c r="A437" s="54" t="s">
        <v>680</v>
      </c>
      <c r="B437" s="54" t="s">
        <v>681</v>
      </c>
      <c r="C437" s="31">
        <v>4301012050</v>
      </c>
      <c r="D437" s="552">
        <v>4680115885479</v>
      </c>
      <c r="E437" s="553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0"/>
      <c r="R437" s="550"/>
      <c r="S437" s="550"/>
      <c r="T437" s="551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4301012034</v>
      </c>
      <c r="D438" s="552">
        <v>4607091389982</v>
      </c>
      <c r="E438" s="553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/>
      <c r="M438" s="33" t="s">
        <v>104</v>
      </c>
      <c r="N438" s="33"/>
      <c r="O438" s="32">
        <v>60</v>
      </c>
      <c r="P438" s="72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5">
        <v>0</v>
      </c>
      <c r="Y438" s="546">
        <f t="shared" si="42"/>
        <v>0</v>
      </c>
      <c r="Z438" s="36" t="str">
        <f>IFERROR(IF(Y438=0,"",ROUNDUP(Y438/H438,0)*0.00902),"")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4"/>
        <v>0</v>
      </c>
      <c r="BN438" s="64">
        <f t="shared" si="45"/>
        <v>0</v>
      </c>
      <c r="BO438" s="64">
        <f t="shared" si="46"/>
        <v>0</v>
      </c>
      <c r="BP438" s="64">
        <f t="shared" si="47"/>
        <v>0</v>
      </c>
    </row>
    <row r="439" spans="1:68" x14ac:dyDescent="0.2">
      <c r="A439" s="570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71"/>
      <c r="P439" s="561" t="s">
        <v>75</v>
      </c>
      <c r="Q439" s="562"/>
      <c r="R439" s="562"/>
      <c r="S439" s="562"/>
      <c r="T439" s="562"/>
      <c r="U439" s="562"/>
      <c r="V439" s="563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55.454545454545453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56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0.65212000000000003</v>
      </c>
      <c r="AA439" s="548"/>
      <c r="AB439" s="548"/>
      <c r="AC439" s="548"/>
    </row>
    <row r="440" spans="1:68" x14ac:dyDescent="0.2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1" t="s">
        <v>75</v>
      </c>
      <c r="Q440" s="562"/>
      <c r="R440" s="562"/>
      <c r="S440" s="562"/>
      <c r="T440" s="562"/>
      <c r="U440" s="562"/>
      <c r="V440" s="563"/>
      <c r="W440" s="37" t="s">
        <v>69</v>
      </c>
      <c r="X440" s="547">
        <f>IFERROR(SUM(X427:X438),"0")</f>
        <v>290</v>
      </c>
      <c r="Y440" s="547">
        <f>IFERROR(SUM(Y427:Y438),"0")</f>
        <v>292.8</v>
      </c>
      <c r="Z440" s="37"/>
      <c r="AA440" s="548"/>
      <c r="AB440" s="548"/>
      <c r="AC440" s="548"/>
    </row>
    <row r="441" spans="1:68" ht="14.25" customHeight="1" x14ac:dyDescent="0.25">
      <c r="A441" s="558" t="s">
        <v>135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41"/>
      <c r="AB441" s="541"/>
      <c r="AC441" s="541"/>
    </row>
    <row r="442" spans="1:68" ht="16.5" customHeight="1" x14ac:dyDescent="0.25">
      <c r="A442" s="54" t="s">
        <v>685</v>
      </c>
      <c r="B442" s="54" t="s">
        <v>686</v>
      </c>
      <c r="C442" s="31">
        <v>4301020334</v>
      </c>
      <c r="D442" s="552">
        <v>4607091388930</v>
      </c>
      <c r="E442" s="553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430</v>
      </c>
      <c r="Y442" s="546">
        <f>IFERROR(IF(X442="",0,CEILING((X442/$H442),1)*$H442),"")</f>
        <v>432.96000000000004</v>
      </c>
      <c r="Z442" s="36">
        <f>IFERROR(IF(Y442=0,"",ROUNDUP(Y442/H442,0)*0.01196),"")</f>
        <v>0.98072000000000004</v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458.50378787878788</v>
      </c>
      <c r="BN442" s="64">
        <f>IFERROR(Y442*I442/H442,"0")</f>
        <v>461.66</v>
      </c>
      <c r="BO442" s="64">
        <f>IFERROR(1/J442*(X442/H442),"0")</f>
        <v>0.78307109557109555</v>
      </c>
      <c r="BP442" s="64">
        <f>IFERROR(1/J442*(Y442/H442),"0")</f>
        <v>0.78846153846153855</v>
      </c>
    </row>
    <row r="443" spans="1:68" ht="16.5" customHeight="1" x14ac:dyDescent="0.25">
      <c r="A443" s="54" t="s">
        <v>688</v>
      </c>
      <c r="B443" s="54" t="s">
        <v>689</v>
      </c>
      <c r="C443" s="31">
        <v>4301020384</v>
      </c>
      <c r="D443" s="552">
        <v>4680115886407</v>
      </c>
      <c r="E443" s="553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0"/>
      <c r="R443" s="550"/>
      <c r="S443" s="550"/>
      <c r="T443" s="551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690</v>
      </c>
      <c r="B444" s="54" t="s">
        <v>691</v>
      </c>
      <c r="C444" s="31">
        <v>4301020385</v>
      </c>
      <c r="D444" s="552">
        <v>4680115880054</v>
      </c>
      <c r="E444" s="553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 t="s">
        <v>112</v>
      </c>
      <c r="M444" s="33" t="s">
        <v>104</v>
      </c>
      <c r="N444" s="33"/>
      <c r="O444" s="32">
        <v>70</v>
      </c>
      <c r="P444" s="87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5">
        <v>65</v>
      </c>
      <c r="Y444" s="546">
        <f>IFERROR(IF(X444="",0,CEILING((X444/$H444),1)*$H444),"")</f>
        <v>67.2</v>
      </c>
      <c r="Z444" s="36">
        <f>IFERROR(IF(Y444=0,"",ROUNDUP(Y444/H444,0)*0.00902),"")</f>
        <v>0.12628</v>
      </c>
      <c r="AA444" s="56"/>
      <c r="AB444" s="57"/>
      <c r="AC444" s="501" t="s">
        <v>687</v>
      </c>
      <c r="AG444" s="64"/>
      <c r="AJ444" s="68" t="s">
        <v>106</v>
      </c>
      <c r="AK444" s="68">
        <v>57.6</v>
      </c>
      <c r="BB444" s="502" t="s">
        <v>1</v>
      </c>
      <c r="BM444" s="64">
        <f>IFERROR(X444*I444/H444,"0")</f>
        <v>93.572916666666671</v>
      </c>
      <c r="BN444" s="64">
        <f>IFERROR(Y444*I444/H444,"0")</f>
        <v>96.740000000000009</v>
      </c>
      <c r="BO444" s="64">
        <f>IFERROR(1/J444*(X444/H444),"0")</f>
        <v>0.10258838383838385</v>
      </c>
      <c r="BP444" s="64">
        <f>IFERROR(1/J444*(Y444/H444),"0")</f>
        <v>0.10606060606060608</v>
      </c>
    </row>
    <row r="445" spans="1:68" x14ac:dyDescent="0.2">
      <c r="A445" s="570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71"/>
      <c r="P445" s="561" t="s">
        <v>75</v>
      </c>
      <c r="Q445" s="562"/>
      <c r="R445" s="562"/>
      <c r="S445" s="562"/>
      <c r="T445" s="562"/>
      <c r="U445" s="562"/>
      <c r="V445" s="563"/>
      <c r="W445" s="37" t="s">
        <v>76</v>
      </c>
      <c r="X445" s="547">
        <f>IFERROR(X442/H442,"0")+IFERROR(X443/H443,"0")+IFERROR(X444/H444,"0")</f>
        <v>94.981060606060609</v>
      </c>
      <c r="Y445" s="547">
        <f>IFERROR(Y442/H442,"0")+IFERROR(Y443/H443,"0")+IFERROR(Y444/H444,"0")</f>
        <v>96</v>
      </c>
      <c r="Z445" s="547">
        <f>IFERROR(IF(Z442="",0,Z442),"0")+IFERROR(IF(Z443="",0,Z443),"0")+IFERROR(IF(Z444="",0,Z444),"0")</f>
        <v>1.107</v>
      </c>
      <c r="AA445" s="548"/>
      <c r="AB445" s="548"/>
      <c r="AC445" s="548"/>
    </row>
    <row r="446" spans="1:68" x14ac:dyDescent="0.2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71"/>
      <c r="P446" s="561" t="s">
        <v>75</v>
      </c>
      <c r="Q446" s="562"/>
      <c r="R446" s="562"/>
      <c r="S446" s="562"/>
      <c r="T446" s="562"/>
      <c r="U446" s="562"/>
      <c r="V446" s="563"/>
      <c r="W446" s="37" t="s">
        <v>69</v>
      </c>
      <c r="X446" s="547">
        <f>IFERROR(SUM(X442:X444),"0")</f>
        <v>495</v>
      </c>
      <c r="Y446" s="547">
        <f>IFERROR(SUM(Y442:Y444),"0")</f>
        <v>500.16</v>
      </c>
      <c r="Z446" s="37"/>
      <c r="AA446" s="548"/>
      <c r="AB446" s="548"/>
      <c r="AC446" s="548"/>
    </row>
    <row r="447" spans="1:68" ht="14.25" customHeight="1" x14ac:dyDescent="0.25">
      <c r="A447" s="558" t="s">
        <v>64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41"/>
      <c r="AB447" s="541"/>
      <c r="AC447" s="541"/>
    </row>
    <row r="448" spans="1:68" ht="27" customHeight="1" x14ac:dyDescent="0.25">
      <c r="A448" s="54" t="s">
        <v>692</v>
      </c>
      <c r="B448" s="54" t="s">
        <v>693</v>
      </c>
      <c r="C448" s="31">
        <v>4301031349</v>
      </c>
      <c r="D448" s="552">
        <v>4680115883116</v>
      </c>
      <c r="E448" s="553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3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115</v>
      </c>
      <c r="Y448" s="546">
        <f t="shared" ref="Y448:Y453" si="48">IFERROR(IF(X448="",0,CEILING((X448/$H448),1)*$H448),"")</f>
        <v>116.16000000000001</v>
      </c>
      <c r="Z448" s="36">
        <f>IFERROR(IF(Y448=0,"",ROUNDUP(Y448/H448,0)*0.01196),"")</f>
        <v>0.26312000000000002</v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122.62310606060605</v>
      </c>
      <c r="BN448" s="64">
        <f t="shared" ref="BN448:BN453" si="50">IFERROR(Y448*I448/H448,"0")</f>
        <v>123.86</v>
      </c>
      <c r="BO448" s="64">
        <f t="shared" ref="BO448:BO453" si="51">IFERROR(1/J448*(X448/H448),"0")</f>
        <v>0.20942599067599066</v>
      </c>
      <c r="BP448" s="64">
        <f t="shared" ref="BP448:BP453" si="52">IFERROR(1/J448*(Y448/H448),"0")</f>
        <v>0.21153846153846156</v>
      </c>
    </row>
    <row r="449" spans="1:68" ht="27" customHeight="1" x14ac:dyDescent="0.25">
      <c r="A449" s="54" t="s">
        <v>695</v>
      </c>
      <c r="B449" s="54" t="s">
        <v>696</v>
      </c>
      <c r="C449" s="31">
        <v>4301031350</v>
      </c>
      <c r="D449" s="552">
        <v>4680115883093</v>
      </c>
      <c r="E449" s="553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86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84</v>
      </c>
      <c r="Y449" s="546">
        <f t="shared" si="48"/>
        <v>84.48</v>
      </c>
      <c r="Z449" s="36">
        <f>IFERROR(IF(Y449=0,"",ROUNDUP(Y449/H449,0)*0.01196),"")</f>
        <v>0.19136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89.568181818181813</v>
      </c>
      <c r="BN449" s="64">
        <f t="shared" si="50"/>
        <v>90.08</v>
      </c>
      <c r="BO449" s="64">
        <f t="shared" si="51"/>
        <v>0.15297202797202797</v>
      </c>
      <c r="BP449" s="64">
        <f t="shared" si="52"/>
        <v>0.15384615384615385</v>
      </c>
    </row>
    <row r="450" spans="1:68" ht="27" customHeight="1" x14ac:dyDescent="0.25">
      <c r="A450" s="54" t="s">
        <v>698</v>
      </c>
      <c r="B450" s="54" t="s">
        <v>699</v>
      </c>
      <c r="C450" s="31">
        <v>4301031353</v>
      </c>
      <c r="D450" s="552">
        <v>4680115883109</v>
      </c>
      <c r="E450" s="553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202</v>
      </c>
      <c r="Y450" s="546">
        <f t="shared" si="48"/>
        <v>205.92000000000002</v>
      </c>
      <c r="Z450" s="36">
        <f>IFERROR(IF(Y450=0,"",ROUNDUP(Y450/H450,0)*0.01196),"")</f>
        <v>0.46644000000000002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215.3901515151515</v>
      </c>
      <c r="BN450" s="64">
        <f t="shared" si="50"/>
        <v>219.57</v>
      </c>
      <c r="BO450" s="64">
        <f t="shared" si="51"/>
        <v>0.3678613053613054</v>
      </c>
      <c r="BP450" s="64">
        <f t="shared" si="52"/>
        <v>0.375</v>
      </c>
    </row>
    <row r="451" spans="1:68" ht="27" customHeight="1" x14ac:dyDescent="0.25">
      <c r="A451" s="54" t="s">
        <v>701</v>
      </c>
      <c r="B451" s="54" t="s">
        <v>702</v>
      </c>
      <c r="C451" s="31">
        <v>4301031419</v>
      </c>
      <c r="D451" s="552">
        <v>4680115882072</v>
      </c>
      <c r="E451" s="553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/>
      <c r="M451" s="33" t="s">
        <v>104</v>
      </c>
      <c r="N451" s="33"/>
      <c r="O451" s="32">
        <v>70</v>
      </c>
      <c r="P451" s="7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694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ht="27" customHeight="1" x14ac:dyDescent="0.25">
      <c r="A452" s="54" t="s">
        <v>703</v>
      </c>
      <c r="B452" s="54" t="s">
        <v>704</v>
      </c>
      <c r="C452" s="31">
        <v>4301031418</v>
      </c>
      <c r="D452" s="552">
        <v>4680115882102</v>
      </c>
      <c r="E452" s="553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/>
      <c r="M452" s="33" t="s">
        <v>68</v>
      </c>
      <c r="N452" s="33"/>
      <c r="O452" s="32">
        <v>70</v>
      </c>
      <c r="P452" s="5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0"/>
      <c r="R452" s="550"/>
      <c r="S452" s="550"/>
      <c r="T452" s="551"/>
      <c r="U452" s="34"/>
      <c r="V452" s="34"/>
      <c r="W452" s="35" t="s">
        <v>69</v>
      </c>
      <c r="X452" s="545">
        <v>0</v>
      </c>
      <c r="Y452" s="546">
        <f t="shared" si="48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49"/>
        <v>0</v>
      </c>
      <c r="BN452" s="64">
        <f t="shared" si="50"/>
        <v>0</v>
      </c>
      <c r="BO452" s="64">
        <f t="shared" si="51"/>
        <v>0</v>
      </c>
      <c r="BP452" s="64">
        <f t="shared" si="52"/>
        <v>0</v>
      </c>
    </row>
    <row r="453" spans="1:68" ht="27" customHeight="1" x14ac:dyDescent="0.25">
      <c r="A453" s="54" t="s">
        <v>705</v>
      </c>
      <c r="B453" s="54" t="s">
        <v>706</v>
      </c>
      <c r="C453" s="31">
        <v>4301031417</v>
      </c>
      <c r="D453" s="552">
        <v>4680115882096</v>
      </c>
      <c r="E453" s="553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3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0"/>
      <c r="R453" s="550"/>
      <c r="S453" s="550"/>
      <c r="T453" s="551"/>
      <c r="U453" s="34"/>
      <c r="V453" s="34"/>
      <c r="W453" s="35" t="s">
        <v>69</v>
      </c>
      <c r="X453" s="545">
        <v>0</v>
      </c>
      <c r="Y453" s="546">
        <f t="shared" si="4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49"/>
        <v>0</v>
      </c>
      <c r="BN453" s="64">
        <f t="shared" si="50"/>
        <v>0</v>
      </c>
      <c r="BO453" s="64">
        <f t="shared" si="51"/>
        <v>0</v>
      </c>
      <c r="BP453" s="64">
        <f t="shared" si="52"/>
        <v>0</v>
      </c>
    </row>
    <row r="454" spans="1:68" x14ac:dyDescent="0.2">
      <c r="A454" s="570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71"/>
      <c r="P454" s="561" t="s">
        <v>75</v>
      </c>
      <c r="Q454" s="562"/>
      <c r="R454" s="562"/>
      <c r="S454" s="562"/>
      <c r="T454" s="562"/>
      <c r="U454" s="562"/>
      <c r="V454" s="563"/>
      <c r="W454" s="37" t="s">
        <v>76</v>
      </c>
      <c r="X454" s="547">
        <f>IFERROR(X448/H448,"0")+IFERROR(X449/H449,"0")+IFERROR(X450/H450,"0")+IFERROR(X451/H451,"0")+IFERROR(X452/H452,"0")+IFERROR(X453/H453,"0")</f>
        <v>75.946969696969688</v>
      </c>
      <c r="Y454" s="547">
        <f>IFERROR(Y448/H448,"0")+IFERROR(Y449/H449,"0")+IFERROR(Y450/H450,"0")+IFERROR(Y451/H451,"0")+IFERROR(Y452/H452,"0")+IFERROR(Y453/H453,"0")</f>
        <v>77</v>
      </c>
      <c r="Z454" s="547">
        <f>IFERROR(IF(Z448="",0,Z448),"0")+IFERROR(IF(Z449="",0,Z449),"0")+IFERROR(IF(Z450="",0,Z450),"0")+IFERROR(IF(Z451="",0,Z451),"0")+IFERROR(IF(Z452="",0,Z452),"0")+IFERROR(IF(Z453="",0,Z453),"0")</f>
        <v>0.92091999999999996</v>
      </c>
      <c r="AA454" s="548"/>
      <c r="AB454" s="548"/>
      <c r="AC454" s="548"/>
    </row>
    <row r="455" spans="1:68" x14ac:dyDescent="0.2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1" t="s">
        <v>75</v>
      </c>
      <c r="Q455" s="562"/>
      <c r="R455" s="562"/>
      <c r="S455" s="562"/>
      <c r="T455" s="562"/>
      <c r="U455" s="562"/>
      <c r="V455" s="563"/>
      <c r="W455" s="37" t="s">
        <v>69</v>
      </c>
      <c r="X455" s="547">
        <f>IFERROR(SUM(X448:X453),"0")</f>
        <v>401</v>
      </c>
      <c r="Y455" s="547">
        <f>IFERROR(SUM(Y448:Y453),"0")</f>
        <v>406.56000000000006</v>
      </c>
      <c r="Z455" s="37"/>
      <c r="AA455" s="548"/>
      <c r="AB455" s="548"/>
      <c r="AC455" s="548"/>
    </row>
    <row r="456" spans="1:68" ht="27.75" customHeight="1" x14ac:dyDescent="0.2">
      <c r="A456" s="639" t="s">
        <v>707</v>
      </c>
      <c r="B456" s="640"/>
      <c r="C456" s="640"/>
      <c r="D456" s="640"/>
      <c r="E456" s="640"/>
      <c r="F456" s="640"/>
      <c r="G456" s="640"/>
      <c r="H456" s="640"/>
      <c r="I456" s="640"/>
      <c r="J456" s="640"/>
      <c r="K456" s="640"/>
      <c r="L456" s="640"/>
      <c r="M456" s="640"/>
      <c r="N456" s="640"/>
      <c r="O456" s="640"/>
      <c r="P456" s="640"/>
      <c r="Q456" s="640"/>
      <c r="R456" s="640"/>
      <c r="S456" s="640"/>
      <c r="T456" s="640"/>
      <c r="U456" s="640"/>
      <c r="V456" s="640"/>
      <c r="W456" s="640"/>
      <c r="X456" s="640"/>
      <c r="Y456" s="640"/>
      <c r="Z456" s="640"/>
      <c r="AA456" s="48"/>
      <c r="AB456" s="48"/>
      <c r="AC456" s="48"/>
    </row>
    <row r="457" spans="1:68" ht="16.5" customHeight="1" x14ac:dyDescent="0.25">
      <c r="A457" s="560" t="s">
        <v>707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0"/>
      <c r="AB457" s="540"/>
      <c r="AC457" s="540"/>
    </row>
    <row r="458" spans="1:68" ht="14.25" customHeight="1" x14ac:dyDescent="0.25">
      <c r="A458" s="558" t="s">
        <v>99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1"/>
      <c r="AB458" s="541"/>
      <c r="AC458" s="541"/>
    </row>
    <row r="459" spans="1:68" ht="27" customHeight="1" x14ac:dyDescent="0.25">
      <c r="A459" s="54" t="s">
        <v>708</v>
      </c>
      <c r="B459" s="54" t="s">
        <v>709</v>
      </c>
      <c r="C459" s="31">
        <v>4301011763</v>
      </c>
      <c r="D459" s="552">
        <v>4640242181011</v>
      </c>
      <c r="E459" s="553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75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711</v>
      </c>
      <c r="B460" s="54" t="s">
        <v>712</v>
      </c>
      <c r="C460" s="31">
        <v>4301011585</v>
      </c>
      <c r="D460" s="552">
        <v>4640242180441</v>
      </c>
      <c r="E460" s="553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8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714</v>
      </c>
      <c r="B461" s="54" t="s">
        <v>715</v>
      </c>
      <c r="C461" s="31">
        <v>4301011584</v>
      </c>
      <c r="D461" s="552">
        <v>4640242180564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/>
      <c r="M461" s="33" t="s">
        <v>104</v>
      </c>
      <c r="N461" s="33"/>
      <c r="O461" s="32">
        <v>50</v>
      </c>
      <c r="P461" s="7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717</v>
      </c>
      <c r="B462" s="54" t="s">
        <v>718</v>
      </c>
      <c r="C462" s="31">
        <v>4301011764</v>
      </c>
      <c r="D462" s="552">
        <v>4640242181189</v>
      </c>
      <c r="E462" s="553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7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70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71"/>
      <c r="P463" s="561" t="s">
        <v>75</v>
      </c>
      <c r="Q463" s="562"/>
      <c r="R463" s="562"/>
      <c r="S463" s="562"/>
      <c r="T463" s="562"/>
      <c r="U463" s="562"/>
      <c r="V463" s="563"/>
      <c r="W463" s="37" t="s">
        <v>76</v>
      </c>
      <c r="X463" s="547">
        <f>IFERROR(X459/H459,"0")+IFERROR(X460/H460,"0")+IFERROR(X461/H461,"0")+IFERROR(X462/H462,"0")</f>
        <v>0</v>
      </c>
      <c r="Y463" s="547">
        <f>IFERROR(Y459/H459,"0")+IFERROR(Y460/H460,"0")+IFERROR(Y461/H461,"0")+IFERROR(Y462/H462,"0")</f>
        <v>0</v>
      </c>
      <c r="Z463" s="547">
        <f>IFERROR(IF(Z459="",0,Z459),"0")+IFERROR(IF(Z460="",0,Z460),"0")+IFERROR(IF(Z461="",0,Z461),"0")+IFERROR(IF(Z462="",0,Z462),"0")</f>
        <v>0</v>
      </c>
      <c r="AA463" s="548"/>
      <c r="AB463" s="548"/>
      <c r="AC463" s="548"/>
    </row>
    <row r="464" spans="1:68" x14ac:dyDescent="0.2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1" t="s">
        <v>75</v>
      </c>
      <c r="Q464" s="562"/>
      <c r="R464" s="562"/>
      <c r="S464" s="562"/>
      <c r="T464" s="562"/>
      <c r="U464" s="562"/>
      <c r="V464" s="563"/>
      <c r="W464" s="37" t="s">
        <v>69</v>
      </c>
      <c r="X464" s="547">
        <f>IFERROR(SUM(X459:X462),"0")</f>
        <v>0</v>
      </c>
      <c r="Y464" s="547">
        <f>IFERROR(SUM(Y459:Y462),"0")</f>
        <v>0</v>
      </c>
      <c r="Z464" s="37"/>
      <c r="AA464" s="548"/>
      <c r="AB464" s="548"/>
      <c r="AC464" s="548"/>
    </row>
    <row r="465" spans="1:68" ht="14.25" customHeight="1" x14ac:dyDescent="0.25">
      <c r="A465" s="558" t="s">
        <v>135</v>
      </c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41"/>
      <c r="AB465" s="541"/>
      <c r="AC465" s="541"/>
    </row>
    <row r="466" spans="1:68" ht="27" customHeight="1" x14ac:dyDescent="0.25">
      <c r="A466" s="54" t="s">
        <v>719</v>
      </c>
      <c r="B466" s="54" t="s">
        <v>720</v>
      </c>
      <c r="C466" s="31">
        <v>4301020400</v>
      </c>
      <c r="D466" s="552">
        <v>4640242180519</v>
      </c>
      <c r="E466" s="553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722</v>
      </c>
      <c r="B467" s="54" t="s">
        <v>723</v>
      </c>
      <c r="C467" s="31">
        <v>4301020260</v>
      </c>
      <c r="D467" s="552">
        <v>4640242180526</v>
      </c>
      <c r="E467" s="553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70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71"/>
      <c r="P468" s="561" t="s">
        <v>75</v>
      </c>
      <c r="Q468" s="562"/>
      <c r="R468" s="562"/>
      <c r="S468" s="562"/>
      <c r="T468" s="562"/>
      <c r="U468" s="562"/>
      <c r="V468" s="563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71"/>
      <c r="P469" s="561" t="s">
        <v>75</v>
      </c>
      <c r="Q469" s="562"/>
      <c r="R469" s="562"/>
      <c r="S469" s="562"/>
      <c r="T469" s="562"/>
      <c r="U469" s="562"/>
      <c r="V469" s="563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customHeight="1" x14ac:dyDescent="0.25">
      <c r="A470" s="558" t="s">
        <v>64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1"/>
      <c r="AB470" s="541"/>
      <c r="AC470" s="541"/>
    </row>
    <row r="471" spans="1:68" ht="27" customHeight="1" x14ac:dyDescent="0.25">
      <c r="A471" s="54" t="s">
        <v>725</v>
      </c>
      <c r="B471" s="54" t="s">
        <v>726</v>
      </c>
      <c r="C471" s="31">
        <v>4301031467</v>
      </c>
      <c r="D471" s="552">
        <v>4640242180595</v>
      </c>
      <c r="E471" s="553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0"/>
      <c r="R471" s="550"/>
      <c r="S471" s="550"/>
      <c r="T471" s="551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70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71"/>
      <c r="P472" s="561" t="s">
        <v>75</v>
      </c>
      <c r="Q472" s="562"/>
      <c r="R472" s="562"/>
      <c r="S472" s="562"/>
      <c r="T472" s="562"/>
      <c r="U472" s="562"/>
      <c r="V472" s="563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x14ac:dyDescent="0.2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71"/>
      <c r="P473" s="561" t="s">
        <v>75</v>
      </c>
      <c r="Q473" s="562"/>
      <c r="R473" s="562"/>
      <c r="S473" s="562"/>
      <c r="T473" s="562"/>
      <c r="U473" s="562"/>
      <c r="V473" s="563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customHeight="1" x14ac:dyDescent="0.25">
      <c r="A474" s="558" t="s">
        <v>77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41"/>
      <c r="AB474" s="541"/>
      <c r="AC474" s="541"/>
    </row>
    <row r="475" spans="1:68" ht="27" customHeight="1" x14ac:dyDescent="0.25">
      <c r="A475" s="54" t="s">
        <v>728</v>
      </c>
      <c r="B475" s="54" t="s">
        <v>729</v>
      </c>
      <c r="C475" s="31">
        <v>4301052046</v>
      </c>
      <c r="D475" s="552">
        <v>4640242180533</v>
      </c>
      <c r="E475" s="553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/>
      <c r="M475" s="33" t="s">
        <v>86</v>
      </c>
      <c r="N475" s="33"/>
      <c r="O475" s="32">
        <v>45</v>
      </c>
      <c r="P475" s="7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0"/>
      <c r="R475" s="550"/>
      <c r="S475" s="550"/>
      <c r="T475" s="551"/>
      <c r="U475" s="34"/>
      <c r="V475" s="34"/>
      <c r="W475" s="35" t="s">
        <v>69</v>
      </c>
      <c r="X475" s="545">
        <v>0</v>
      </c>
      <c r="Y475" s="546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9" t="s">
        <v>730</v>
      </c>
      <c r="AG475" s="64"/>
      <c r="AJ475" s="68"/>
      <c r="AK475" s="68">
        <v>0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70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1" t="s">
        <v>75</v>
      </c>
      <c r="Q476" s="562"/>
      <c r="R476" s="562"/>
      <c r="S476" s="562"/>
      <c r="T476" s="562"/>
      <c r="U476" s="562"/>
      <c r="V476" s="563"/>
      <c r="W476" s="37" t="s">
        <v>76</v>
      </c>
      <c r="X476" s="547">
        <f>IFERROR(X475/H475,"0")</f>
        <v>0</v>
      </c>
      <c r="Y476" s="547">
        <f>IFERROR(Y475/H475,"0")</f>
        <v>0</v>
      </c>
      <c r="Z476" s="547">
        <f>IFERROR(IF(Z475="",0,Z475),"0")</f>
        <v>0</v>
      </c>
      <c r="AA476" s="548"/>
      <c r="AB476" s="548"/>
      <c r="AC476" s="548"/>
    </row>
    <row r="477" spans="1:68" x14ac:dyDescent="0.2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71"/>
      <c r="P477" s="561" t="s">
        <v>75</v>
      </c>
      <c r="Q477" s="562"/>
      <c r="R477" s="562"/>
      <c r="S477" s="562"/>
      <c r="T477" s="562"/>
      <c r="U477" s="562"/>
      <c r="V477" s="563"/>
      <c r="W477" s="37" t="s">
        <v>69</v>
      </c>
      <c r="X477" s="547">
        <f>IFERROR(SUM(X475:X475),"0")</f>
        <v>0</v>
      </c>
      <c r="Y477" s="547">
        <f>IFERROR(SUM(Y475:Y475),"0")</f>
        <v>0</v>
      </c>
      <c r="Z477" s="37"/>
      <c r="AA477" s="548"/>
      <c r="AB477" s="548"/>
      <c r="AC477" s="548"/>
    </row>
    <row r="478" spans="1:68" ht="14.25" customHeight="1" x14ac:dyDescent="0.25">
      <c r="A478" s="558" t="s">
        <v>160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41"/>
      <c r="AB478" s="541"/>
      <c r="AC478" s="541"/>
    </row>
    <row r="479" spans="1:68" ht="27" customHeight="1" x14ac:dyDescent="0.25">
      <c r="A479" s="54" t="s">
        <v>731</v>
      </c>
      <c r="B479" s="54" t="s">
        <v>732</v>
      </c>
      <c r="C479" s="31">
        <v>4301060491</v>
      </c>
      <c r="D479" s="552">
        <v>4640242180120</v>
      </c>
      <c r="E479" s="553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65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0"/>
      <c r="R479" s="550"/>
      <c r="S479" s="550"/>
      <c r="T479" s="551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734</v>
      </c>
      <c r="B480" s="54" t="s">
        <v>735</v>
      </c>
      <c r="C480" s="31">
        <v>4301060493</v>
      </c>
      <c r="D480" s="552">
        <v>4640242180137</v>
      </c>
      <c r="E480" s="553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6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0"/>
      <c r="R480" s="550"/>
      <c r="S480" s="550"/>
      <c r="T480" s="551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70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71"/>
      <c r="P481" s="561" t="s">
        <v>75</v>
      </c>
      <c r="Q481" s="562"/>
      <c r="R481" s="562"/>
      <c r="S481" s="562"/>
      <c r="T481" s="562"/>
      <c r="U481" s="562"/>
      <c r="V481" s="563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71"/>
      <c r="P482" s="561" t="s">
        <v>75</v>
      </c>
      <c r="Q482" s="562"/>
      <c r="R482" s="562"/>
      <c r="S482" s="562"/>
      <c r="T482" s="562"/>
      <c r="U482" s="562"/>
      <c r="V482" s="563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customHeight="1" x14ac:dyDescent="0.25">
      <c r="A483" s="560" t="s">
        <v>737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0"/>
      <c r="AB483" s="540"/>
      <c r="AC483" s="540"/>
    </row>
    <row r="484" spans="1:68" ht="14.25" customHeight="1" x14ac:dyDescent="0.25">
      <c r="A484" s="558" t="s">
        <v>135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41"/>
      <c r="AB484" s="541"/>
      <c r="AC484" s="541"/>
    </row>
    <row r="485" spans="1:68" ht="27" customHeight="1" x14ac:dyDescent="0.25">
      <c r="A485" s="54" t="s">
        <v>738</v>
      </c>
      <c r="B485" s="54" t="s">
        <v>739</v>
      </c>
      <c r="C485" s="31">
        <v>4301020314</v>
      </c>
      <c r="D485" s="552">
        <v>4640242180090</v>
      </c>
      <c r="E485" s="553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5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0"/>
      <c r="R485" s="550"/>
      <c r="S485" s="550"/>
      <c r="T485" s="551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70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71"/>
      <c r="P486" s="561" t="s">
        <v>75</v>
      </c>
      <c r="Q486" s="562"/>
      <c r="R486" s="562"/>
      <c r="S486" s="562"/>
      <c r="T486" s="562"/>
      <c r="U486" s="562"/>
      <c r="V486" s="563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71"/>
      <c r="P487" s="561" t="s">
        <v>75</v>
      </c>
      <c r="Q487" s="562"/>
      <c r="R487" s="562"/>
      <c r="S487" s="562"/>
      <c r="T487" s="562"/>
      <c r="U487" s="562"/>
      <c r="V487" s="563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836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717"/>
      <c r="P488" s="646" t="s">
        <v>741</v>
      </c>
      <c r="Q488" s="647"/>
      <c r="R488" s="647"/>
      <c r="S488" s="647"/>
      <c r="T488" s="647"/>
      <c r="U488" s="647"/>
      <c r="V488" s="648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9499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9674.1399999999976</v>
      </c>
      <c r="Z488" s="37"/>
      <c r="AA488" s="548"/>
      <c r="AB488" s="548"/>
      <c r="AC488" s="548"/>
    </row>
    <row r="489" spans="1:68" x14ac:dyDescent="0.2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717"/>
      <c r="P489" s="646" t="s">
        <v>742</v>
      </c>
      <c r="Q489" s="647"/>
      <c r="R489" s="647"/>
      <c r="S489" s="647"/>
      <c r="T489" s="647"/>
      <c r="U489" s="647"/>
      <c r="V489" s="648"/>
      <c r="W489" s="37" t="s">
        <v>69</v>
      </c>
      <c r="X489" s="547">
        <f>IFERROR(SUM(BM22:BM485),"0")</f>
        <v>10085.730944274754</v>
      </c>
      <c r="Y489" s="547">
        <f>IFERROR(SUM(BN22:BN485),"0")</f>
        <v>10271.036999999997</v>
      </c>
      <c r="Z489" s="37"/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717"/>
      <c r="P490" s="646" t="s">
        <v>743</v>
      </c>
      <c r="Q490" s="647"/>
      <c r="R490" s="647"/>
      <c r="S490" s="647"/>
      <c r="T490" s="647"/>
      <c r="U490" s="647"/>
      <c r="V490" s="648"/>
      <c r="W490" s="37" t="s">
        <v>744</v>
      </c>
      <c r="X490" s="38">
        <f>ROUNDUP(SUM(BO22:BO485),0)</f>
        <v>17</v>
      </c>
      <c r="Y490" s="38">
        <f>ROUNDUP(SUM(BP22:BP485),0)</f>
        <v>18</v>
      </c>
      <c r="Z490" s="37"/>
      <c r="AA490" s="548"/>
      <c r="AB490" s="548"/>
      <c r="AC490" s="548"/>
    </row>
    <row r="491" spans="1:68" x14ac:dyDescent="0.2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7"/>
      <c r="P491" s="646" t="s">
        <v>745</v>
      </c>
      <c r="Q491" s="647"/>
      <c r="R491" s="647"/>
      <c r="S491" s="647"/>
      <c r="T491" s="647"/>
      <c r="U491" s="647"/>
      <c r="V491" s="648"/>
      <c r="W491" s="37" t="s">
        <v>69</v>
      </c>
      <c r="X491" s="547">
        <f>GrossWeightTotal+PalletQtyTotal*25</f>
        <v>10510.730944274754</v>
      </c>
      <c r="Y491" s="547">
        <f>GrossWeightTotalR+PalletQtyTotalR*25</f>
        <v>10721.036999999997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7"/>
      <c r="P492" s="646" t="s">
        <v>746</v>
      </c>
      <c r="Q492" s="647"/>
      <c r="R492" s="647"/>
      <c r="S492" s="647"/>
      <c r="T492" s="647"/>
      <c r="U492" s="647"/>
      <c r="V492" s="648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1800.7695661299108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1830</v>
      </c>
      <c r="Z492" s="37"/>
      <c r="AA492" s="548"/>
      <c r="AB492" s="548"/>
      <c r="AC492" s="548"/>
    </row>
    <row r="493" spans="1:68" ht="14.25" customHeight="1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7"/>
      <c r="P493" s="646" t="s">
        <v>747</v>
      </c>
      <c r="Q493" s="647"/>
      <c r="R493" s="647"/>
      <c r="S493" s="647"/>
      <c r="T493" s="647"/>
      <c r="U493" s="647"/>
      <c r="V493" s="648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20.402719999999999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83" t="s">
        <v>97</v>
      </c>
      <c r="D495" s="605"/>
      <c r="E495" s="605"/>
      <c r="F495" s="605"/>
      <c r="G495" s="605"/>
      <c r="H495" s="606"/>
      <c r="I495" s="583" t="s">
        <v>263</v>
      </c>
      <c r="J495" s="605"/>
      <c r="K495" s="605"/>
      <c r="L495" s="605"/>
      <c r="M495" s="605"/>
      <c r="N495" s="605"/>
      <c r="O495" s="605"/>
      <c r="P495" s="605"/>
      <c r="Q495" s="605"/>
      <c r="R495" s="606"/>
      <c r="S495" s="583" t="s">
        <v>550</v>
      </c>
      <c r="T495" s="606"/>
      <c r="U495" s="583" t="s">
        <v>604</v>
      </c>
      <c r="V495" s="605"/>
      <c r="W495" s="606"/>
      <c r="X495" s="542" t="s">
        <v>655</v>
      </c>
      <c r="Y495" s="583" t="s">
        <v>707</v>
      </c>
      <c r="Z495" s="606"/>
      <c r="AB495" s="52"/>
      <c r="AC495" s="52"/>
      <c r="AF495" s="543"/>
    </row>
    <row r="496" spans="1:68" ht="14.25" customHeight="1" thickTop="1" x14ac:dyDescent="0.2">
      <c r="A496" s="611" t="s">
        <v>750</v>
      </c>
      <c r="B496" s="583" t="s">
        <v>63</v>
      </c>
      <c r="C496" s="583" t="s">
        <v>98</v>
      </c>
      <c r="D496" s="583" t="s">
        <v>116</v>
      </c>
      <c r="E496" s="583" t="s">
        <v>167</v>
      </c>
      <c r="F496" s="583" t="s">
        <v>189</v>
      </c>
      <c r="G496" s="583" t="s">
        <v>227</v>
      </c>
      <c r="H496" s="583" t="s">
        <v>97</v>
      </c>
      <c r="I496" s="583" t="s">
        <v>264</v>
      </c>
      <c r="J496" s="583" t="s">
        <v>319</v>
      </c>
      <c r="K496" s="583" t="s">
        <v>379</v>
      </c>
      <c r="L496" s="583" t="s">
        <v>420</v>
      </c>
      <c r="M496" s="583" t="s">
        <v>436</v>
      </c>
      <c r="N496" s="543"/>
      <c r="O496" s="583" t="s">
        <v>447</v>
      </c>
      <c r="P496" s="583" t="s">
        <v>456</v>
      </c>
      <c r="Q496" s="583" t="s">
        <v>469</v>
      </c>
      <c r="R496" s="583" t="s">
        <v>540</v>
      </c>
      <c r="S496" s="583" t="s">
        <v>551</v>
      </c>
      <c r="T496" s="583" t="s">
        <v>586</v>
      </c>
      <c r="U496" s="583" t="s">
        <v>605</v>
      </c>
      <c r="V496" s="583" t="s">
        <v>636</v>
      </c>
      <c r="W496" s="583" t="s">
        <v>651</v>
      </c>
      <c r="X496" s="583" t="s">
        <v>655</v>
      </c>
      <c r="Y496" s="583" t="s">
        <v>707</v>
      </c>
      <c r="Z496" s="583" t="s">
        <v>737</v>
      </c>
      <c r="AB496" s="52"/>
      <c r="AC496" s="52"/>
      <c r="AF496" s="543"/>
    </row>
    <row r="497" spans="1:32" ht="13.5" customHeight="1" thickBot="1" x14ac:dyDescent="0.25">
      <c r="A497" s="612"/>
      <c r="B497" s="584"/>
      <c r="C497" s="584"/>
      <c r="D497" s="584"/>
      <c r="E497" s="584"/>
      <c r="F497" s="584"/>
      <c r="G497" s="584"/>
      <c r="H497" s="584"/>
      <c r="I497" s="584"/>
      <c r="J497" s="584"/>
      <c r="K497" s="584"/>
      <c r="L497" s="584"/>
      <c r="M497" s="584"/>
      <c r="N497" s="543"/>
      <c r="O497" s="584"/>
      <c r="P497" s="584"/>
      <c r="Q497" s="584"/>
      <c r="R497" s="584"/>
      <c r="S497" s="584"/>
      <c r="T497" s="584"/>
      <c r="U497" s="584"/>
      <c r="V497" s="584"/>
      <c r="W497" s="584"/>
      <c r="X497" s="584"/>
      <c r="Y497" s="584"/>
      <c r="Z497" s="584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248.4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322.8</v>
      </c>
      <c r="E498" s="46">
        <f>IFERROR(Y84*1,"0")+IFERROR(Y85*1,"0")+IFERROR(Y86*1,"0")+IFERROR(Y87*1,"0")+IFERROR(Y91*1,"0")+IFERROR(Y92*1,"0")+IFERROR(Y93*1,"0")+IFERROR(Y94*1,"0")</f>
        <v>510.3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537.29999999999995</v>
      </c>
      <c r="G498" s="46">
        <f>IFERROR(Y126*1,"0")+IFERROR(Y127*1,"0")+IFERROR(Y131*1,"0")+IFERROR(Y132*1,"0")+IFERROR(Y136*1,"0")+IFERROR(Y137*1,"0")</f>
        <v>0</v>
      </c>
      <c r="H498" s="46">
        <f>IFERROR(Y142*1,"0")+IFERROR(Y143*1,"0")+IFERROR(Y147*1,"0")+IFERROR(Y148*1,"0")+IFERROR(Y149*1,"0")+IFERROR(Y150*1,"0")+IFERROR(Y151*1,"0")+IFERROR(Y155*1,"0")</f>
        <v>0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571.02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2024.6999999999996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9.8000000000000007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79.2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586.4</v>
      </c>
      <c r="R498" s="46">
        <f>IFERROR(Y340*1,"0")+IFERROR(Y341*1,"0")+IFERROR(Y342*1,"0")</f>
        <v>122.7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1917</v>
      </c>
      <c r="T498" s="46">
        <f>IFERROR(Y373*1,"0")+IFERROR(Y374*1,"0")+IFERROR(Y378*1,"0")+IFERROR(Y379*1,"0")+IFERROR(Y383*1,"0")+IFERROR(Y384*1,"0")+IFERROR(Y385*1,"0")</f>
        <v>1545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498" s="46">
        <f>IFERROR(Y409*1,"0")+IFERROR(Y413*1,"0")+IFERROR(Y414*1,"0")+IFERROR(Y415*1,"0")+IFERROR(Y416*1,"0")</f>
        <v>0</v>
      </c>
      <c r="W498" s="46">
        <f>IFERROR(Y421*1,"0")</f>
        <v>0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1199.52</v>
      </c>
      <c r="Y498" s="46">
        <f>IFERROR(Y459*1,"0")+IFERROR(Y460*1,"0")+IFERROR(Y461*1,"0")+IFERROR(Y462*1,"0")+IFERROR(Y466*1,"0")+IFERROR(Y467*1,"0")+IFERROR(Y471*1,"0")+IFERROR(Y475*1,"0")+IFERROR(Y479*1,"0")+IFERROR(Y480*1,"0")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43"/>
    </row>
  </sheetData>
  <sheetProtection algorithmName="SHA-512" hashValue="w2O4zxbggKAIrH8KxOvodR5KGz4QBaxiyBjtpe2V/q+uvnZhilWIqSuZSWvG2e/p6iEf4PMlx920NKGjpGbAqA==" saltValue="yfdHAFn1kpo7cG0/Btgi7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D291:E291"/>
    <mergeCell ref="D239:E239"/>
    <mergeCell ref="P174:T174"/>
    <mergeCell ref="P149:T149"/>
    <mergeCell ref="A339:Z339"/>
    <mergeCell ref="M496:M497"/>
    <mergeCell ref="D218:E218"/>
    <mergeCell ref="O496:O497"/>
    <mergeCell ref="A347:Z347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P468:V468"/>
    <mergeCell ref="A160:Z160"/>
    <mergeCell ref="A141:Z141"/>
    <mergeCell ref="A144:O145"/>
    <mergeCell ref="A135:Z135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P161:T161"/>
    <mergeCell ref="P459:T459"/>
    <mergeCell ref="D198:E198"/>
    <mergeCell ref="D296:E296"/>
    <mergeCell ref="P275:V275"/>
    <mergeCell ref="P104:V104"/>
    <mergeCell ref="D427:E427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366:V366"/>
    <mergeCell ref="P81:V81"/>
    <mergeCell ref="D51:E51"/>
    <mergeCell ref="D349:E349"/>
    <mergeCell ref="P306:T306"/>
    <mergeCell ref="P157:V157"/>
    <mergeCell ref="A38:Z38"/>
    <mergeCell ref="P455:V455"/>
    <mergeCell ref="A454:O455"/>
    <mergeCell ref="P249:V249"/>
    <mergeCell ref="P207:T207"/>
    <mergeCell ref="A372:Z372"/>
    <mergeCell ref="P299:T299"/>
    <mergeCell ref="P386:V386"/>
    <mergeCell ref="P393:T393"/>
    <mergeCell ref="D374:E374"/>
    <mergeCell ref="A338:Z338"/>
    <mergeCell ref="D203:E203"/>
    <mergeCell ref="P232:T232"/>
    <mergeCell ref="P152:V152"/>
    <mergeCell ref="A82:Z82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P51:T51"/>
    <mergeCell ref="P58:V58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A419:Z419"/>
    <mergeCell ref="P204:T204"/>
    <mergeCell ref="Q496:Q497"/>
    <mergeCell ref="S496:S497"/>
    <mergeCell ref="D348:E348"/>
    <mergeCell ref="D62:E62"/>
    <mergeCell ref="P454:V454"/>
    <mergeCell ref="D56:E56"/>
    <mergeCell ref="D485:E485"/>
    <mergeCell ref="P216:T216"/>
    <mergeCell ref="D137:E137"/>
    <mergeCell ref="P360:V360"/>
    <mergeCell ref="P80:V80"/>
    <mergeCell ref="D74:E74"/>
    <mergeCell ref="P87:T87"/>
    <mergeCell ref="P451:T451"/>
    <mergeCell ref="A470:Z470"/>
    <mergeCell ref="D335:E335"/>
    <mergeCell ref="A375:O376"/>
    <mergeCell ref="D188:E188"/>
    <mergeCell ref="P322:T322"/>
    <mergeCell ref="D132:E132"/>
    <mergeCell ref="D399:E399"/>
    <mergeCell ref="A439:O440"/>
    <mergeCell ref="P309:T309"/>
    <mergeCell ref="D193:E193"/>
    <mergeCell ref="P206:T206"/>
    <mergeCell ref="D127:E127"/>
    <mergeCell ref="P448:T448"/>
    <mergeCell ref="P233:T233"/>
    <mergeCell ref="P304:T304"/>
    <mergeCell ref="D176:E176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D93:E93"/>
    <mergeCell ref="A133:O134"/>
    <mergeCell ref="D391:E391"/>
    <mergeCell ref="D220:E220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1 X78 X84 X87 X91 X99 X102 X107 X110 X114 X116 X165 X167 X169 X174 X176 X199 X203:X204 X206:X208 X210 X216:X217 X219:X222 X227 X232 X279:X280 X320:X322 X329 X340 X348:X350 X358 X383:X384 X427 X430:X431 X433 X442 X444 X448:X45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vS4A8JLQJDQUFc5d61aMUbRS83fIQ8NduHV2vT257TV0uzNKc5uutiInEhGJLRnGC0BkWVabi/K0bf+Z7z/7Ag==" saltValue="hBt7bphLfldjwTD70t57F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2026-01-28T09:12:37Z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