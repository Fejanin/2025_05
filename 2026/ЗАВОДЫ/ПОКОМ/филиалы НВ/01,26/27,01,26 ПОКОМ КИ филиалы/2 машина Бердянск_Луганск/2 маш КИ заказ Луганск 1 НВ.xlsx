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5060C0D-4123-44F1-A65D-FB44C61AC1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95" i="1" l="1"/>
  <c r="Z228" i="1"/>
  <c r="Y25" i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Z152" i="1" s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Y196" i="1"/>
  <c r="Y200" i="1"/>
  <c r="BP198" i="1"/>
  <c r="BN198" i="1"/>
  <c r="Z198" i="1"/>
  <c r="Z200" i="1" s="1"/>
  <c r="BP297" i="1"/>
  <c r="BN297" i="1"/>
  <c r="Z297" i="1"/>
  <c r="Z301" i="1" s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Z375" i="1"/>
  <c r="H498" i="1"/>
  <c r="H9" i="1"/>
  <c r="B498" i="1"/>
  <c r="X489" i="1"/>
  <c r="X491" i="1" s="1"/>
  <c r="X490" i="1"/>
  <c r="Z23" i="1"/>
  <c r="Z24" i="1" s="1"/>
  <c r="BN23" i="1"/>
  <c r="Y24" i="1"/>
  <c r="X488" i="1"/>
  <c r="Z27" i="1"/>
  <c r="Z31" i="1" s="1"/>
  <c r="BN27" i="1"/>
  <c r="BP27" i="1"/>
  <c r="Y490" i="1" s="1"/>
  <c r="Z29" i="1"/>
  <c r="BN29" i="1"/>
  <c r="Y489" i="1" s="1"/>
  <c r="Y491" i="1" s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Z257" i="1" s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Z355" i="1" s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Z481" i="1"/>
  <c r="Y498" i="1"/>
  <c r="Y356" i="1"/>
  <c r="T498" i="1"/>
  <c r="Y375" i="1"/>
  <c r="X498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Y482" i="1"/>
  <c r="Z498" i="1"/>
  <c r="Y486" i="1"/>
  <c r="BP485" i="1"/>
  <c r="BN485" i="1"/>
  <c r="Z485" i="1"/>
  <c r="Z486" i="1" s="1"/>
  <c r="Y487" i="1"/>
  <c r="Y439" i="1"/>
  <c r="Z454" i="1" l="1"/>
  <c r="Z417" i="1"/>
  <c r="Z211" i="1"/>
  <c r="Y492" i="1"/>
  <c r="Z88" i="1"/>
  <c r="Z75" i="1"/>
  <c r="Z493" i="1" s="1"/>
  <c r="Y488" i="1"/>
  <c r="Z336" i="1"/>
  <c r="Z266" i="1"/>
  <c r="Z241" i="1"/>
  <c r="Z317" i="1"/>
  <c r="Z179" i="1"/>
</calcChain>
</file>

<file path=xl/sharedStrings.xml><?xml version="1.0" encoding="utf-8"?>
<sst xmlns="http://schemas.openxmlformats.org/spreadsheetml/2006/main" count="2255" uniqueCount="767">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</sst>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200</v>
      </c>
      <c r="Y40" s="546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18.518518518518519</v>
      </c>
      <c r="Y43" s="547">
        <f>IFERROR(Y40/H40,"0")+IFERROR(Y41/H41,"0")+IFERROR(Y42/H42,"0")</f>
        <v>19</v>
      </c>
      <c r="Z43" s="547">
        <f>IFERROR(IF(Z40="",0,Z40),"0")+IFERROR(IF(Z41="",0,Z41),"0")+IFERROR(IF(Z42="",0,Z42),"0")</f>
        <v>0.36062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200</v>
      </c>
      <c r="Y44" s="547">
        <f>IFERROR(SUM(Y40:Y42),"0")</f>
        <v>205.20000000000002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45</v>
      </c>
      <c r="Y56" s="546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10</v>
      </c>
      <c r="Y57" s="547">
        <f>IFERROR(Y51/H51,"0")+IFERROR(Y52/H52,"0")+IFERROR(Y53/H53,"0")+IFERROR(Y54/H54,"0")+IFERROR(Y55/H55,"0")+IFERROR(Y56/H56,"0")</f>
        <v>10</v>
      </c>
      <c r="Z57" s="547">
        <f>IFERROR(IF(Z51="",0,Z51),"0")+IFERROR(IF(Z52="",0,Z52),"0")+IFERROR(IF(Z53="",0,Z53),"0")+IFERROR(IF(Z54="",0,Z54),"0")+IFERROR(IF(Z55="",0,Z55),"0")+IFERROR(IF(Z56="",0,Z56),"0")</f>
        <v>9.0200000000000002E-2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45</v>
      </c>
      <c r="Y58" s="547">
        <f>IFERROR(SUM(Y51:Y56),"0")</f>
        <v>45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9.2592592592592595</v>
      </c>
      <c r="Y88" s="547">
        <f>IFERROR(Y84/H84,"0")+IFERROR(Y85/H85,"0")+IFERROR(Y86/H86,"0")+IFERROR(Y87/H87,"0")</f>
        <v>10</v>
      </c>
      <c r="Z88" s="547">
        <f>IFERROR(IF(Z84="",0,Z84),"0")+IFERROR(IF(Z85="",0,Z85),"0")+IFERROR(IF(Z86="",0,Z86),"0")+IFERROR(IF(Z87="",0,Z87),"0")</f>
        <v>0.1898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100</v>
      </c>
      <c r="Y89" s="547">
        <f>IFERROR(SUM(Y84:Y87),"0")</f>
        <v>108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250</v>
      </c>
      <c r="Y91" s="546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265.24691358024694</v>
      </c>
      <c r="BN91" s="64">
        <f>IFERROR(Y91*I91/H91,"0")</f>
        <v>266.41399999999999</v>
      </c>
      <c r="BO91" s="64">
        <f>IFERROR(1/J91*(X91/H91),"0")</f>
        <v>0.48225308641975312</v>
      </c>
      <c r="BP91" s="64">
        <f>IFERROR(1/J91*(Y91/H91),"0")</f>
        <v>0.484375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45</v>
      </c>
      <c r="Y93" s="546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47.53086419753086</v>
      </c>
      <c r="Y95" s="547">
        <f>IFERROR(Y91/H91,"0")+IFERROR(Y92/H92,"0")+IFERROR(Y93/H93,"0")+IFERROR(Y94/H94,"0")</f>
        <v>48</v>
      </c>
      <c r="Z95" s="547">
        <f>IFERROR(IF(Z91="",0,Z91),"0")+IFERROR(IF(Z92="",0,Z92),"0")+IFERROR(IF(Z93="",0,Z93),"0")+IFERROR(IF(Z94="",0,Z94),"0")</f>
        <v>0.69905000000000006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295</v>
      </c>
      <c r="Y96" s="547">
        <f>IFERROR(SUM(Y91:Y94),"0")</f>
        <v>297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100</v>
      </c>
      <c r="Y99" s="546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9.2592592592592595</v>
      </c>
      <c r="Y104" s="547">
        <f>IFERROR(Y99/H99,"0")+IFERROR(Y100/H100,"0")+IFERROR(Y101/H101,"0")+IFERROR(Y102/H102,"0")+IFERROR(Y103/H103,"0")</f>
        <v>10</v>
      </c>
      <c r="Z104" s="547">
        <f>IFERROR(IF(Z99="",0,Z99),"0")+IFERROR(IF(Z100="",0,Z100),"0")+IFERROR(IF(Z101="",0,Z101),"0")+IFERROR(IF(Z102="",0,Z102),"0")+IFERROR(IF(Z103="",0,Z103),"0")</f>
        <v>0.1898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100</v>
      </c>
      <c r="Y105" s="547">
        <f>IFERROR(SUM(Y99:Y103),"0")</f>
        <v>108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100</v>
      </c>
      <c r="Y114" s="546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113</v>
      </c>
      <c r="Y116" s="546">
        <f>IFERROR(IF(X116="",0,CEILING((X116/$H116),1)*$H116),"")</f>
        <v>113.4</v>
      </c>
      <c r="Z116" s="36">
        <f>IFERROR(IF(Y116=0,"",ROUNDUP(Y116/H116,0)*0.00651),"")</f>
        <v>0.27342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123.54666666666667</v>
      </c>
      <c r="BN116" s="64">
        <f>IFERROR(Y116*I116/H116,"0")</f>
        <v>123.98399999999999</v>
      </c>
      <c r="BO116" s="64">
        <f>IFERROR(1/J116*(X116/H116),"0")</f>
        <v>0.22995522995522996</v>
      </c>
      <c r="BP116" s="64">
        <f>IFERROR(1/J116*(Y116/H116),"0")</f>
        <v>0.23076923076923078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54.197530864197525</v>
      </c>
      <c r="Y118" s="547">
        <f>IFERROR(Y114/H114,"0")+IFERROR(Y115/H115,"0")+IFERROR(Y116/H116,"0")+IFERROR(Y117/H117,"0")</f>
        <v>55</v>
      </c>
      <c r="Z118" s="547">
        <f>IFERROR(IF(Z114="",0,Z114),"0")+IFERROR(IF(Z115="",0,Z115),"0")+IFERROR(IF(Z116="",0,Z116),"0")+IFERROR(IF(Z117="",0,Z117),"0")</f>
        <v>0.52015999999999996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213</v>
      </c>
      <c r="Y119" s="547">
        <f>IFERROR(SUM(Y114:Y117),"0")</f>
        <v>218.7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100</v>
      </c>
      <c r="Y167" s="546">
        <f t="shared" si="5"/>
        <v>100.80000000000001</v>
      </c>
      <c r="Z167" s="36">
        <f>IFERROR(IF(Y167=0,"",ROUNDUP(Y167/H167,0)*0.00902),"")</f>
        <v>0.21648000000000001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104.5238095238095</v>
      </c>
      <c r="BN167" s="64">
        <f t="shared" si="7"/>
        <v>105.36</v>
      </c>
      <c r="BO167" s="64">
        <f t="shared" si="8"/>
        <v>0.18037518037518038</v>
      </c>
      <c r="BP167" s="64">
        <f t="shared" si="9"/>
        <v>0.18181818181818182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350</v>
      </c>
      <c r="Y176" s="546">
        <f t="shared" si="5"/>
        <v>350.7</v>
      </c>
      <c r="Z176" s="36">
        <f>IFERROR(IF(Y176=0,"",ROUNDUP(Y176/H176,0)*0.00502),"")</f>
        <v>0.83833999999999997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366.66666666666669</v>
      </c>
      <c r="BN176" s="64">
        <f t="shared" si="7"/>
        <v>367.40000000000003</v>
      </c>
      <c r="BO176" s="64">
        <f t="shared" si="8"/>
        <v>0.71225071225071224</v>
      </c>
      <c r="BP176" s="64">
        <f t="shared" si="9"/>
        <v>0.71367521367521369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190.47619047619048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191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1.0548199999999999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450</v>
      </c>
      <c r="Y180" s="547">
        <f>IFERROR(SUM(Y165:Y178),"0")</f>
        <v>451.5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100</v>
      </c>
      <c r="Y203" s="546">
        <f t="shared" ref="Y203:Y210" si="10">IFERROR(IF(X203="",0,CEILING((X203/$H203),1)*$H203),"")</f>
        <v>102.60000000000001</v>
      </c>
      <c r="Z203" s="36">
        <f>IFERROR(IF(Y203=0,"",ROUNDUP(Y203/H203,0)*0.00902),"")</f>
        <v>0.17138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103.5185185185185</v>
      </c>
      <c r="BN203" s="64">
        <f t="shared" ref="BN203:BN210" si="12">IFERROR(Y203*I203/H203,"0")</f>
        <v>106.21</v>
      </c>
      <c r="BO203" s="64">
        <f t="shared" ref="BO203:BO210" si="13">IFERROR(1/J203*(X203/H203),"0")</f>
        <v>0.14029180695847362</v>
      </c>
      <c r="BP203" s="64">
        <f t="shared" ref="BP203:BP210" si="14">IFERROR(1/J203*(Y203/H203),"0")</f>
        <v>0.14393939393939395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30</v>
      </c>
      <c r="Y210" s="546">
        <f t="shared" si="10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31.666666666666664</v>
      </c>
      <c r="BN210" s="64">
        <f t="shared" si="12"/>
        <v>32.299999999999997</v>
      </c>
      <c r="BO210" s="64">
        <f t="shared" si="13"/>
        <v>7.122507122507124E-2</v>
      </c>
      <c r="BP210" s="64">
        <f t="shared" si="14"/>
        <v>7.2649572649572655E-2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53.703703703703709</v>
      </c>
      <c r="Y211" s="547">
        <f>IFERROR(Y203/H203,"0")+IFERROR(Y204/H204,"0")+IFERROR(Y205/H205,"0")+IFERROR(Y206/H206,"0")+IFERROR(Y207/H207,"0")+IFERROR(Y208/H208,"0")+IFERROR(Y209/H209,"0")+IFERROR(Y210/H210,"0")</f>
        <v>55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0.42810000000000004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230</v>
      </c>
      <c r="Y212" s="547">
        <f>IFERROR(SUM(Y203:Y210),"0")</f>
        <v>235.8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150</v>
      </c>
      <c r="Y216" s="546">
        <f t="shared" si="15"/>
        <v>156.6</v>
      </c>
      <c r="Z216" s="36">
        <f>IFERROR(IF(Y216=0,"",ROUNDUP(Y216/H216,0)*0.01898),"")</f>
        <v>0.34164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158.51724137931038</v>
      </c>
      <c r="BN216" s="64">
        <f t="shared" si="17"/>
        <v>165.49200000000002</v>
      </c>
      <c r="BO216" s="64">
        <f t="shared" si="18"/>
        <v>0.26939655172413796</v>
      </c>
      <c r="BP216" s="64">
        <f t="shared" si="19"/>
        <v>0.28125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560</v>
      </c>
      <c r="Y219" s="546">
        <f t="shared" si="15"/>
        <v>561.6</v>
      </c>
      <c r="Z219" s="36">
        <f t="shared" si="20"/>
        <v>1.5233400000000001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618.80000000000007</v>
      </c>
      <c r="BN219" s="64">
        <f t="shared" si="17"/>
        <v>620.5680000000001</v>
      </c>
      <c r="BO219" s="64">
        <f t="shared" si="18"/>
        <v>1.2820512820512822</v>
      </c>
      <c r="BP219" s="64">
        <f t="shared" si="19"/>
        <v>1.285714285714286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200</v>
      </c>
      <c r="Y220" s="546">
        <f t="shared" si="15"/>
        <v>201.6</v>
      </c>
      <c r="Z220" s="36">
        <f t="shared" si="20"/>
        <v>0.54683999999999999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221</v>
      </c>
      <c r="BN220" s="64">
        <f t="shared" si="17"/>
        <v>222.768</v>
      </c>
      <c r="BO220" s="64">
        <f t="shared" si="18"/>
        <v>0.45787545787545797</v>
      </c>
      <c r="BP220" s="64">
        <f t="shared" si="19"/>
        <v>0.46153846153846156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333.90804597701151</v>
      </c>
      <c r="Y223" s="547">
        <f>IFERROR(Y214/H214,"0")+IFERROR(Y215/H215,"0")+IFERROR(Y216/H216,"0")+IFERROR(Y217/H217,"0")+IFERROR(Y218/H218,"0")+IFERROR(Y219/H219,"0")+IFERROR(Y220/H220,"0")+IFERROR(Y221/H221,"0")+IFERROR(Y222/H222,"0")</f>
        <v>336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2.4118200000000001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910</v>
      </c>
      <c r="Y224" s="547">
        <f>IFERROR(SUM(Y214:Y222),"0")</f>
        <v>919.80000000000007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20</v>
      </c>
      <c r="Y227" s="546">
        <f>IFERROR(IF(X227="",0,CEILING((X227/$H227),1)*$H227),"")</f>
        <v>21.599999999999998</v>
      </c>
      <c r="Z227" s="36">
        <f>IFERROR(IF(Y227=0,"",ROUNDUP(Y227/H227,0)*0.00651),"")</f>
        <v>5.8590000000000003E-2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22.100000000000005</v>
      </c>
      <c r="BN227" s="64">
        <f>IFERROR(Y227*I227/H227,"0")</f>
        <v>23.868000000000002</v>
      </c>
      <c r="BO227" s="64">
        <f>IFERROR(1/J227*(X227/H227),"0")</f>
        <v>4.5787545787545791E-2</v>
      </c>
      <c r="BP227" s="64">
        <f>IFERROR(1/J227*(Y227/H227),"0")</f>
        <v>4.9450549450549455E-2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8.3333333333333339</v>
      </c>
      <c r="Y228" s="547">
        <f>IFERROR(Y226/H226,"0")+IFERROR(Y227/H227,"0")</f>
        <v>9</v>
      </c>
      <c r="Z228" s="547">
        <f>IFERROR(IF(Z226="",0,Z226),"0")+IFERROR(IF(Z227="",0,Z227),"0")</f>
        <v>5.8590000000000003E-2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20</v>
      </c>
      <c r="Y229" s="547">
        <f>IFERROR(SUM(Y226:Y227),"0")</f>
        <v>21.599999999999998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40</v>
      </c>
      <c r="Y280" s="546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16.666666666666668</v>
      </c>
      <c r="Y281" s="547">
        <f>IFERROR(Y278/H278,"0")+IFERROR(Y279/H279,"0")+IFERROR(Y280/H280,"0")</f>
        <v>17</v>
      </c>
      <c r="Z281" s="547">
        <f>IFERROR(IF(Z278="",0,Z278),"0")+IFERROR(IF(Z279="",0,Z279),"0")+IFERROR(IF(Z280="",0,Z280),"0")</f>
        <v>0.11067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40</v>
      </c>
      <c r="Y282" s="547">
        <f>IFERROR(SUM(Y278:Y280),"0")</f>
        <v>40.799999999999997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300</v>
      </c>
      <c r="Y321" s="546">
        <f>IFERROR(IF(X321="",0,CEILING((X321/$H321),1)*$H321),"")</f>
        <v>304.2</v>
      </c>
      <c r="Z321" s="36">
        <f>IFERROR(IF(Y321=0,"",ROUNDUP(Y321/H321,0)*0.01898),"")</f>
        <v>0.74021999999999999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319.00000000000006</v>
      </c>
      <c r="BN321" s="64">
        <f>IFERROR(Y321*I321/H321,"0")</f>
        <v>323.46600000000001</v>
      </c>
      <c r="BO321" s="64">
        <f>IFERROR(1/J321*(X321/H321),"0")</f>
        <v>0.60096153846153844</v>
      </c>
      <c r="BP321" s="64">
        <f>IFERROR(1/J321*(Y321/H321),"0")</f>
        <v>0.609375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38.46153846153846</v>
      </c>
      <c r="Y323" s="547">
        <f>IFERROR(Y320/H320,"0")+IFERROR(Y321/H321,"0")+IFERROR(Y322/H322,"0")</f>
        <v>39</v>
      </c>
      <c r="Z323" s="547">
        <f>IFERROR(IF(Z320="",0,Z320),"0")+IFERROR(IF(Z321="",0,Z321),"0")+IFERROR(IF(Z322="",0,Z322),"0")</f>
        <v>0.74021999999999999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300</v>
      </c>
      <c r="Y324" s="547">
        <f>IFERROR(SUM(Y320:Y322),"0")</f>
        <v>304.2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350</v>
      </c>
      <c r="Y348" s="546">
        <f t="shared" ref="Y348:Y354" si="31">IFERROR(IF(X348="",0,CEILING((X348/$H348),1)*$H348),"")</f>
        <v>360</v>
      </c>
      <c r="Z348" s="36">
        <f>IFERROR(IF(Y348=0,"",ROUNDUP(Y348/H348,0)*0.02175),"")</f>
        <v>0.52200000000000002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360.96666666666664</v>
      </c>
      <c r="BN348" s="64">
        <f t="shared" ref="BN348:BN354" si="33">IFERROR(Y348*I348/H348,"0")</f>
        <v>371.28</v>
      </c>
      <c r="BO348" s="64">
        <f t="shared" ref="BO348:BO354" si="34">IFERROR(1/J348*(X348/H348),"0")</f>
        <v>0.48611111111111105</v>
      </c>
      <c r="BP348" s="64">
        <f t="shared" ref="BP348:BP354" si="35">IFERROR(1/J348*(Y348/H348),"0")</f>
        <v>0.5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350</v>
      </c>
      <c r="Y349" s="546">
        <f t="shared" si="31"/>
        <v>360</v>
      </c>
      <c r="Z349" s="36">
        <f>IFERROR(IF(Y349=0,"",ROUNDUP(Y349/H349,0)*0.02175),"")</f>
        <v>0.52200000000000002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360.96666666666664</v>
      </c>
      <c r="BN349" s="64">
        <f t="shared" si="33"/>
        <v>371.28</v>
      </c>
      <c r="BO349" s="64">
        <f t="shared" si="34"/>
        <v>0.48611111111111105</v>
      </c>
      <c r="BP349" s="64">
        <f t="shared" si="35"/>
        <v>0.5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46.666666666666664</v>
      </c>
      <c r="Y355" s="547">
        <f>IFERROR(Y348/H348,"0")+IFERROR(Y349/H349,"0")+IFERROR(Y350/H350,"0")+IFERROR(Y351/H351,"0")+IFERROR(Y352/H352,"0")+IFERROR(Y353/H353,"0")+IFERROR(Y354/H354,"0")</f>
        <v>48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1.044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700</v>
      </c>
      <c r="Y356" s="547">
        <f>IFERROR(SUM(Y348:Y354),"0")</f>
        <v>720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700</v>
      </c>
      <c r="Y358" s="546">
        <f>IFERROR(IF(X358="",0,CEILING((X358/$H358),1)*$H358),"")</f>
        <v>705</v>
      </c>
      <c r="Z358" s="36">
        <f>IFERROR(IF(Y358=0,"",ROUNDUP(Y358/H358,0)*0.02175),"")</f>
        <v>1.0222499999999999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721.93333333333328</v>
      </c>
      <c r="BN358" s="64">
        <f>IFERROR(Y358*I358/H358,"0")</f>
        <v>727.09</v>
      </c>
      <c r="BO358" s="64">
        <f>IFERROR(1/J358*(X358/H358),"0")</f>
        <v>0.9722222222222221</v>
      </c>
      <c r="BP358" s="64">
        <f>IFERROR(1/J358*(Y358/H358),"0")</f>
        <v>0.97916666666666663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46.666666666666664</v>
      </c>
      <c r="Y360" s="547">
        <f>IFERROR(Y358/H358,"0")+IFERROR(Y359/H359,"0")</f>
        <v>47</v>
      </c>
      <c r="Z360" s="547">
        <f>IFERROR(IF(Z358="",0,Z358),"0")+IFERROR(IF(Z359="",0,Z359),"0")</f>
        <v>1.0222499999999999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700</v>
      </c>
      <c r="Y361" s="547">
        <f>IFERROR(SUM(Y358:Y359),"0")</f>
        <v>705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1400</v>
      </c>
      <c r="Y383" s="546">
        <f>IFERROR(IF(X383="",0,CEILING((X383/$H383),1)*$H383),"")</f>
        <v>1404</v>
      </c>
      <c r="Z383" s="36">
        <f>IFERROR(IF(Y383=0,"",ROUNDUP(Y383/H383,0)*0.01898),"")</f>
        <v>2.96088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1476.8444444444444</v>
      </c>
      <c r="BN383" s="64">
        <f>IFERROR(Y383*I383/H383,"0")</f>
        <v>1481.0639999999999</v>
      </c>
      <c r="BO383" s="64">
        <f>IFERROR(1/J383*(X383/H383),"0")</f>
        <v>2.4305555555555554</v>
      </c>
      <c r="BP383" s="64">
        <f>IFERROR(1/J383*(Y383/H383),"0")</f>
        <v>2.4375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155.55555555555554</v>
      </c>
      <c r="Y386" s="547">
        <f>IFERROR(Y383/H383,"0")+IFERROR(Y384/H384,"0")+IFERROR(Y385/H385,"0")</f>
        <v>156</v>
      </c>
      <c r="Z386" s="547">
        <f>IFERROR(IF(Z383="",0,Z383),"0")+IFERROR(IF(Z384="",0,Z384),"0")+IFERROR(IF(Z385="",0,Z385),"0")</f>
        <v>2.96088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1400</v>
      </c>
      <c r="Y387" s="547">
        <f>IFERROR(SUM(Y383:Y385),"0")</f>
        <v>1404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150</v>
      </c>
      <c r="Y431" s="546">
        <f t="shared" si="42"/>
        <v>153.12</v>
      </c>
      <c r="Z431" s="36">
        <f t="shared" si="43"/>
        <v>0.34683999999999998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159.94318181818181</v>
      </c>
      <c r="BN431" s="64">
        <f t="shared" si="45"/>
        <v>163.26999999999998</v>
      </c>
      <c r="BO431" s="64">
        <f t="shared" si="46"/>
        <v>0.27316433566433568</v>
      </c>
      <c r="BP431" s="64">
        <f t="shared" si="47"/>
        <v>0.27884615384615385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28.409090909090907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29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0.34683999999999998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150</v>
      </c>
      <c r="Y440" s="547">
        <f>IFERROR(SUM(Y427:Y438),"0")</f>
        <v>153.12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350</v>
      </c>
      <c r="Y442" s="546">
        <f>IFERROR(IF(X442="",0,CEILING((X442/$H442),1)*$H442),"")</f>
        <v>353.76</v>
      </c>
      <c r="Z442" s="36">
        <f>IFERROR(IF(Y442=0,"",ROUNDUP(Y442/H442,0)*0.01196),"")</f>
        <v>0.80132000000000003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373.20075757575756</v>
      </c>
      <c r="BN442" s="64">
        <f>IFERROR(Y442*I442/H442,"0")</f>
        <v>377.21</v>
      </c>
      <c r="BO442" s="64">
        <f>IFERROR(1/J442*(X442/H442),"0")</f>
        <v>0.63738344988344986</v>
      </c>
      <c r="BP442" s="64">
        <f>IFERROR(1/J442*(Y442/H442),"0")</f>
        <v>0.64423076923076927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66.287878787878782</v>
      </c>
      <c r="Y445" s="547">
        <f>IFERROR(Y442/H442,"0")+IFERROR(Y443/H443,"0")+IFERROR(Y444/H444,"0")</f>
        <v>67</v>
      </c>
      <c r="Z445" s="547">
        <f>IFERROR(IF(Z442="",0,Z442),"0")+IFERROR(IF(Z443="",0,Z443),"0")+IFERROR(IF(Z444="",0,Z444),"0")</f>
        <v>0.80132000000000003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350</v>
      </c>
      <c r="Y446" s="547">
        <f>IFERROR(SUM(Y442:Y444),"0")</f>
        <v>353.76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ref="Y448:Y453" si="48">IFERROR(IF(X448="",0,CEILING((X448/$H448),1)*$H448),"")</f>
        <v>100.32000000000001</v>
      </c>
      <c r="Z448" s="36">
        <f>IFERROR(IF(Y448=0,"",ROUNDUP(Y448/H448,0)*0.01196),"")</f>
        <v>0.22724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106.62878787878788</v>
      </c>
      <c r="BN448" s="64">
        <f t="shared" ref="BN448:BN453" si="50">IFERROR(Y448*I448/H448,"0")</f>
        <v>106.97</v>
      </c>
      <c r="BO448" s="64">
        <f t="shared" ref="BO448:BO453" si="51">IFERROR(1/J448*(X448/H448),"0")</f>
        <v>0.18210955710955709</v>
      </c>
      <c r="BP448" s="64">
        <f t="shared" ref="BP448:BP453" si="52">IFERROR(1/J448*(Y448/H448),"0")</f>
        <v>0.18269230769230771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200</v>
      </c>
      <c r="Y450" s="546">
        <f t="shared" si="48"/>
        <v>200.64000000000001</v>
      </c>
      <c r="Z450" s="36">
        <f>IFERROR(IF(Y450=0,"",ROUNDUP(Y450/H450,0)*0.01196),"")</f>
        <v>0.45448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213.25757575757575</v>
      </c>
      <c r="BN450" s="64">
        <f t="shared" si="50"/>
        <v>213.94</v>
      </c>
      <c r="BO450" s="64">
        <f t="shared" si="51"/>
        <v>0.36421911421911418</v>
      </c>
      <c r="BP450" s="64">
        <f t="shared" si="52"/>
        <v>0.36538461538461542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56.818181818181813</v>
      </c>
      <c r="Y454" s="547">
        <f>IFERROR(Y448/H448,"0")+IFERROR(Y449/H449,"0")+IFERROR(Y450/H450,"0")+IFERROR(Y451/H451,"0")+IFERROR(Y452/H452,"0")+IFERROR(Y453/H453,"0")</f>
        <v>57</v>
      </c>
      <c r="Z454" s="547">
        <f>IFERROR(IF(Z448="",0,Z448),"0")+IFERROR(IF(Z449="",0,Z449),"0")+IFERROR(IF(Z450="",0,Z450),"0")+IFERROR(IF(Z451="",0,Z451),"0")+IFERROR(IF(Z452="",0,Z452),"0")+IFERROR(IF(Z453="",0,Z453),"0")</f>
        <v>0.68171999999999999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300</v>
      </c>
      <c r="Y455" s="547">
        <f>IFERROR(SUM(Y448:Y453),"0")</f>
        <v>300.96000000000004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6503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6592.4400000000005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6872.1562922050289</v>
      </c>
      <c r="Y489" s="547">
        <f>IFERROR(SUM(BN22:BN485),"0")</f>
        <v>6965.9219999999996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12</v>
      </c>
      <c r="Y490" s="38">
        <f>ROUNDUP(SUM(BP22:BP485),0)</f>
        <v>12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7172.1562922050289</v>
      </c>
      <c r="Y491" s="547">
        <f>GrossWeightTotalR+PalletQtyTotalR*25</f>
        <v>7265.9219999999996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1190.7189511212498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1203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13.710859999999998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205.20000000000002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45</v>
      </c>
      <c r="E498" s="46">
        <f>IFERROR(Y84*1,"0")+IFERROR(Y85*1,"0")+IFERROR(Y86*1,"0")+IFERROR(Y87*1,"0")+IFERROR(Y91*1,"0")+IFERROR(Y92*1,"0")+IFERROR(Y93*1,"0")+IFERROR(Y94*1,"0")</f>
        <v>405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326.70000000000005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451.5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1177.1999999999998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40.799999999999997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304.2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1425</v>
      </c>
      <c r="T498" s="46">
        <f>IFERROR(Y373*1,"0")+IFERROR(Y374*1,"0")+IFERROR(Y378*1,"0")+IFERROR(Y379*1,"0")+IFERROR(Y383*1,"0")+IFERROR(Y384*1,"0")+IFERROR(Y385*1,"0")</f>
        <v>1404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807.84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2026-01-28T09:05:15Z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