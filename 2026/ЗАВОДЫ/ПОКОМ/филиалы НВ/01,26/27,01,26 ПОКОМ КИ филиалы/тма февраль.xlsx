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"/>
    </mc:Choice>
  </mc:AlternateContent>
  <xr:revisionPtr revIDLastSave="0" documentId="13_ncr:1_{729C059C-AABA-4895-9C3D-17113A19B783}" xr6:coauthVersionLast="45" xr6:coauthVersionMax="45" xr10:uidLastSave="{00000000-0000-0000-0000-000000000000}"/>
  <bookViews>
    <workbookView xWindow="-120" yWindow="-120" windowWidth="29040" windowHeight="15840" xr2:uid="{32D415DF-A095-4D6E-A010-649C2F7724B7}"/>
  </bookViews>
  <sheets>
    <sheet name="Прогноз (26.01)" sheetId="1" r:id="rId1"/>
  </sheets>
  <externalReferences>
    <externalReference r:id="rId2"/>
    <externalReference r:id="rId3"/>
  </externalReferences>
  <definedNames>
    <definedName name="_xlnm._FilterDatabase" localSheetId="0" hidden="1">'Прогноз (26.01)'!$A$6:$C$6</definedName>
    <definedName name="_xlnm.Print_Area" localSheetId="0">'Прогноз (26.01)'!$A$2:$C$27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9" i="1" l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8" i="1"/>
  <c r="B24" i="1" l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<sst xmlns="http://schemas.openxmlformats.org/spreadsheetml/2006/main" count="60" uniqueCount="21">
  <si>
    <t>НОВОЕ ВРЕМЯ - цены реализации и акц. цены</t>
  </si>
  <si>
    <t>Номенклатура</t>
  </si>
  <si>
    <t>Входящая цена за кг</t>
  </si>
  <si>
    <t>глубина скидки</t>
  </si>
  <si>
    <t>цена клиенту</t>
  </si>
  <si>
    <t>регуляярная цена клиенту</t>
  </si>
  <si>
    <t>доля участия</t>
  </si>
  <si>
    <t>регуляярная цена</t>
  </si>
  <si>
    <t>ВИП РТТ</t>
  </si>
  <si>
    <t>60/40</t>
  </si>
  <si>
    <t>Снижение цены в РТТ</t>
  </si>
  <si>
    <t>50/50</t>
  </si>
  <si>
    <t xml:space="preserve"> 346  Колбаса Сочинка зернистая с сочной грудинкой ТМ Стародворье.ВЕС ПОКОМ</t>
  </si>
  <si>
    <t xml:space="preserve"> 412  Сосиски Баварские ТМ Стародворье 0,35 кг ПОКОМ</t>
  </si>
  <si>
    <t xml:space="preserve"> 410  Сосиски Баварские с сыром ТМ Стародворье 0,35 кг. ПОКОМ</t>
  </si>
  <si>
    <t>компенсация руб с кг Заводом</t>
  </si>
  <si>
    <t>нет в матрице</t>
  </si>
  <si>
    <t>Бердянск</t>
  </si>
  <si>
    <t>Донецк</t>
  </si>
  <si>
    <t>Луганск</t>
  </si>
  <si>
    <t>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</si>
</sst>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7" x14ac:knownFonts="1">
    <font>
      <sz val="8"/>
      <name val="Arial"/>
      <family val="2"/>
    </font>
    <font>
      <sz val="20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4" fontId="1" fillId="0" borderId="0" xfId="0" applyNumberFormat="1" applyFont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10" fontId="0" fillId="0" borderId="0" xfId="0" applyNumberFormat="1"/>
    <xf numFmtId="4" fontId="0" fillId="0" borderId="0" xfId="0" applyNumberFormat="1"/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" fontId="5" fillId="0" borderId="1" xfId="0" applyNumberFormat="1" applyFont="1" applyBorder="1" applyAlignment="1">
      <alignment vertical="top" wrapText="1"/>
    </xf>
    <xf numFmtId="164" fontId="0" fillId="0" borderId="1" xfId="0" applyNumberFormat="1" applyBorder="1"/>
    <xf numFmtId="10" fontId="0" fillId="0" borderId="1" xfId="0" applyNumberFormat="1" applyBorder="1"/>
    <xf numFmtId="4" fontId="0" fillId="0" borderId="1" xfId="0" applyNumberFormat="1" applyBorder="1"/>
    <xf numFmtId="0" fontId="0" fillId="0" borderId="1" xfId="0" applyBorder="1"/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rKCK/Desktop/jjj/&#1052;&#1040;&#1050;&#1045;&#1058;%20&#1092;&#1077;&#1074;&#1088;&#1072;&#1083;&#1100;%2025%20&#1088;&#1086;&#1079;&#1085;&#1080;&#1094;&#1072;%20&#1055;&#1086;&#1082;&#1086;&#1084;/26.01/&#1053;&#1086;&#1074;&#1086;&#1077;_&#1074;&#1088;&#1077;&#1084;&#1103;_&#1094;&#1077;&#1085;&#1099;_&#1088;&#1077;&#1072;&#1083;&#1080;&#1079;&#1072;&#1094;&#1080;&#1080;_&#1087;&#1083;&#1072;&#1085;_&#1092;&#1077;&#1074;&#1088;&#1072;&#1083;&#1100;%20202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7,01,26%20&#1073;&#1088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(26.01)"/>
      <sheetName val="Факт"/>
      <sheetName val="Прогноз"/>
    </sheetNames>
    <sheetDataSet>
      <sheetData sheetId="0"/>
      <sheetData sheetId="1">
        <row r="7">
          <cell r="B7" t="str">
            <v>255  Сосиски Молочные для завтрака ТМ Особый рецепт, п/а МГС, ВЕС, ТМ Стародворье  ПОКОМ</v>
          </cell>
        </row>
        <row r="9">
          <cell r="B9" t="str">
            <v xml:space="preserve"> 457  Колбаса Молочная ТМ Особый рецепт ВЕС большой батон  ПОКОМ</v>
          </cell>
        </row>
        <row r="10">
          <cell r="B10" t="str">
            <v xml:space="preserve"> 449  Колбаса Дугушка Стародворская ВЕС ТС Дугушка ПОКОМ</v>
          </cell>
        </row>
        <row r="11">
          <cell r="B11" t="str">
            <v xml:space="preserve"> 200  Ветчина Дугушка ТМ Стародворье, вектор в/у    ПОКОМ</v>
          </cell>
        </row>
        <row r="12">
          <cell r="B12" t="str">
            <v xml:space="preserve"> 250  Сардельки стародворские с говядиной в обол. NDX, ВЕС. ПОКОМ</v>
          </cell>
        </row>
        <row r="13">
          <cell r="B13" t="str">
            <v xml:space="preserve"> 242  Колбаса Сервелат ЗАПЕЧ.Дугушка ТМ Стародворье, вектор, в/к     ПОКОМ</v>
          </cell>
        </row>
        <row r="14">
          <cell r="B14" t="str">
            <v xml:space="preserve"> 456  Колбаса Филейная ТМ Особый рецепт ВЕС большой батон  ПОКОМ</v>
          </cell>
        </row>
        <row r="15">
          <cell r="B15" t="str">
            <v xml:space="preserve"> 201  Ветчина Нежная ТМ Особый рецепт, (2,5кг), ПОКОМ</v>
          </cell>
        </row>
        <row r="16">
          <cell r="B16" t="str">
            <v xml:space="preserve"> 017  Сосиски Вязанка Сливочные, Вязанка амицел ВЕС.ПОКОМ</v>
          </cell>
        </row>
        <row r="18">
          <cell r="B18" t="str">
            <v xml:space="preserve"> 273  Сосиски Сочинки с сочной грудинкой, МГС 0.4кг,   ПОКОМ</v>
          </cell>
        </row>
        <row r="19">
          <cell r="B19" t="str">
            <v xml:space="preserve"> 452  Колбаса Со шпиком ВЕС большой батон ТМ Особый рецепт  ПОКОМ</v>
          </cell>
        </row>
        <row r="21">
          <cell r="B21" t="str">
            <v xml:space="preserve"> 239  Колбаса Салями запеч Дугушка, оболочка вектор, ВЕС, ТМ Стародворье  ПОКОМ</v>
          </cell>
        </row>
        <row r="27">
          <cell r="B27" t="str">
            <v xml:space="preserve"> 005  Колбаса Докторская ГОСТ, Вязанка вектор,ВЕС. ПОКОМ</v>
          </cell>
        </row>
        <row r="32">
          <cell r="B32" t="str">
            <v xml:space="preserve"> 307  Колбаса Сервелат Мясорубский с мелкорубленным окороком 0,35 кг срез ТМ Стародворье   Поком</v>
          </cell>
        </row>
        <row r="35">
          <cell r="B35" t="str">
            <v xml:space="preserve"> 016  Сосиски Вязанка Молочные, Вязанка вискофан  ВЕС.ПОКОМ</v>
          </cell>
        </row>
        <row r="51">
          <cell r="B51" t="str">
            <v xml:space="preserve"> 498  Колбаса Сочинка рубленая с сочным окороком 0,3кг ТМ Стародворье  ПОКОМ</v>
          </cell>
        </row>
        <row r="60">
          <cell r="B60" t="str">
            <v xml:space="preserve"> 319  Колбаса вареная Филейская ТМ Вязанка ТС Классическая, 0,45 кг. ПОКОМ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</row>
        <row r="6">
          <cell r="A6" t="str">
            <v xml:space="preserve"> 005  Колбаса Докторская ГОСТ, Вязанка вектор,ВЕС. ПОКОМ</v>
          </cell>
        </row>
        <row r="7">
          <cell r="A7" t="str">
            <v xml:space="preserve"> 016  Сосиски Вязанка Молочные, Вязанка вискофан  ВЕС.ПОКОМ</v>
          </cell>
        </row>
        <row r="8">
          <cell r="A8" t="str">
            <v xml:space="preserve"> 017  Сосиски Вязанка Сливочные, Вязанка амицел ВЕС.ПОКОМ</v>
          </cell>
        </row>
        <row r="9">
          <cell r="A9" t="str">
            <v xml:space="preserve"> 023  Колбаса Докторская ГОСТ, Вязанка вектор, 0,4 кг, ПОКОМ</v>
          </cell>
        </row>
        <row r="10">
          <cell r="A10" t="str">
            <v xml:space="preserve"> 030  Сосиски Вязанка Молочные, Вязанка вискофан МГС, 0.45кг, ПОКОМ</v>
          </cell>
        </row>
        <row r="11">
          <cell r="A11" t="str">
            <v xml:space="preserve"> 032  Сосиски Вязанка Сливочные, Вязанка амицел МГС, 0.45кг, ПОКОМ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</row>
        <row r="13">
          <cell r="A13" t="str">
            <v xml:space="preserve"> 062  Колбаса Кракушка пряная с сальцем, 0.3кг в/у п/к, БАВАРУШКА ПОКОМ</v>
          </cell>
        </row>
        <row r="14">
          <cell r="A14" t="str">
            <v xml:space="preserve"> 083  Колбаса Швейцарская 0,17 кг., ШТ., сырокопченая   ПОКОМ</v>
          </cell>
        </row>
        <row r="15">
          <cell r="A15" t="str">
            <v xml:space="preserve"> 200  Ветчина Дугушка ТМ Стародворье, вектор в/у    ПОКОМ</v>
          </cell>
        </row>
        <row r="16">
          <cell r="A16" t="str">
            <v xml:space="preserve"> 201  Ветчина Нежная ТМ Особый рецепт, (2,5кг), ПОКОМ</v>
          </cell>
        </row>
        <row r="17">
          <cell r="A17" t="str">
            <v xml:space="preserve"> 215  Колбаса Докторская ГОСТ Дугушка, ВЕС, ТМ Стародворье ПОКОМ</v>
          </cell>
        </row>
        <row r="18">
          <cell r="A18" t="str">
            <v xml:space="preserve"> 219  Колбаса Докторская Особая ТМ Особый рецепт, ВЕС  ПОКОМ</v>
          </cell>
        </row>
        <row r="19">
          <cell r="A19" t="str">
            <v xml:space="preserve"> 225  Колбаса Дугушка со шпиком, ВЕС, ТМ Стародворье   ПОКОМ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</row>
        <row r="21">
          <cell r="A21" t="str">
            <v xml:space="preserve"> 229  Колбаса Молочная Дугушка, в/у, ВЕС, ТМ Стародворье   ПОКОМ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</row>
        <row r="24">
          <cell r="A24" t="str">
            <v xml:space="preserve"> 240  Колбаса Салями охотничья, ВЕС. ПОКОМ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</row>
        <row r="26">
          <cell r="A26" t="str">
            <v xml:space="preserve"> 247  Сардельки Нежные, ВЕС.  ПОКОМ</v>
          </cell>
        </row>
        <row r="27">
          <cell r="A27" t="str">
            <v xml:space="preserve"> 248  Сардельки Сочные ТМ Особый рецепт,   ПОКОМ</v>
          </cell>
        </row>
        <row r="28">
          <cell r="A28" t="str">
            <v xml:space="preserve"> 250  Сардельки стародворские с говядиной в обол. NDX, ВЕС. ПОКОМ</v>
          </cell>
        </row>
        <row r="29">
          <cell r="A29" t="str">
            <v xml:space="preserve"> 251  Сосиски Баварские, ВЕС.  ПОКОМ</v>
          </cell>
        </row>
        <row r="30">
          <cell r="A30" t="str">
            <v xml:space="preserve"> 257  Сосиски Молочные оригинальные ТМ Особый рецепт, ВЕС.   ПОКОМ</v>
          </cell>
        </row>
        <row r="31">
          <cell r="A31" t="str">
            <v xml:space="preserve"> 263  Шпикачки Стародворские, ВЕС.  ПОКОМ</v>
          </cell>
        </row>
        <row r="32">
          <cell r="A32" t="str">
            <v xml:space="preserve"> 265  Колбаса Балыкбургская, ВЕС, ТМ Баварушка  ПОКОМ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</row>
        <row r="34">
          <cell r="A34" t="str">
            <v xml:space="preserve"> 273  Сосиски Сочинки с сочной грудинкой, МГС 0.4кг,   ПОКОМ</v>
          </cell>
        </row>
        <row r="35">
          <cell r="A35" t="str">
            <v xml:space="preserve"> 276  Колбаса Сливушка ТМ Вязанка в оболочке полиамид 0,45 кг  ПОКОМ</v>
          </cell>
        </row>
        <row r="36">
          <cell r="A36" t="str">
            <v xml:space="preserve"> 278  Сосиски Сочинки с сочным окороком, МГС 0.4кг,   ПОКОМ</v>
          </cell>
        </row>
        <row r="37">
          <cell r="A37" t="str">
            <v xml:space="preserve"> 279  Колбаса Докторский гарант, Вязанка вектор, 0,4 кг.  ПОКОМ</v>
          </cell>
        </row>
        <row r="38">
          <cell r="A38" t="str">
            <v xml:space="preserve"> 281  Сосиски Молочные для завтрака ТМ Особый рецепт, 0,4кг  ПОКОМ</v>
          </cell>
        </row>
        <row r="39">
          <cell r="A39" t="str">
            <v xml:space="preserve"> 283  Сосиски Сочинки, ВЕС, ТМ Стародворье ПОКОМ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</row>
        <row r="44">
          <cell r="A44" t="str">
            <v xml:space="preserve"> 302  Сосиски Сочинки по-баварски,  0.4кг, ТМ Стародворье  ПОКОМ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</row>
        <row r="47">
          <cell r="A47" t="str">
            <v xml:space="preserve"> 309  Сосиски Сочинки с сыром 0,4 кг ТМ Стародворье  ПОКОМ</v>
          </cell>
        </row>
        <row r="48">
          <cell r="A48" t="str">
            <v xml:space="preserve"> 312  Ветчина Филейская ВЕС ТМ  Вязанка ТС Столичная  ПОКОМ</v>
          </cell>
        </row>
        <row r="49">
          <cell r="A49" t="str">
            <v xml:space="preserve"> 315  Колбаса вареная Молокуша ТМ Вязанка ВЕС, ПОКОМ</v>
          </cell>
        </row>
        <row r="50">
          <cell r="A50" t="str">
            <v xml:space="preserve"> 318  Сосиски Датские ТМ Зареченские, ВЕС  ПОКОМ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</row>
        <row r="52">
          <cell r="A52" t="str">
            <v xml:space="preserve"> 322  Колбаса вареная Молокуша 0,45кг ТМ Вязанка  ПОКОМ</v>
          </cell>
        </row>
        <row r="53">
          <cell r="A53" t="str">
            <v xml:space="preserve"> 324  Ветчина Филейская ТМ Вязанка Столичная 0,45 кг ПОКОМ</v>
          </cell>
        </row>
        <row r="54">
          <cell r="A54" t="str">
            <v xml:space="preserve"> 328  Сардельки Сочинки Стародворье ТМ  0,4 кг ПОКОМ</v>
          </cell>
        </row>
        <row r="55">
          <cell r="A55" t="str">
            <v xml:space="preserve"> 329  Сардельки Сочинки с сыром Стародворье ТМ, 0,4 кг. ПОКОМ</v>
          </cell>
        </row>
        <row r="56">
          <cell r="A56" t="str">
            <v xml:space="preserve"> 330  Колбаса вареная Филейская ТМ Вязанка ТС Классическая ВЕС  ПОКОМ</v>
          </cell>
        </row>
        <row r="57">
          <cell r="A57" t="str">
            <v xml:space="preserve"> 334  Паштет Любительский ТМ Стародворье ламистер 0,1 кг  ПОКОМ</v>
          </cell>
        </row>
        <row r="58">
          <cell r="A58" t="str">
            <v xml:space="preserve"> 335  Колбаса Сливушка ТМ Вязанка. ВЕС.  ПОКОМ </v>
          </cell>
        </row>
        <row r="59">
          <cell r="A59" t="str">
            <v xml:space="preserve"> 336  Ветчина Сливушка с индейкой ТМ Вязанка. ВЕС  ПОКОМ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</row>
        <row r="61">
          <cell r="A61" t="str">
            <v xml:space="preserve"> 339  Колбаса вареная Филейская ТМ Вязанка ТС Классическая, 0,40 кг.  ПОКОМ</v>
          </cell>
        </row>
        <row r="62">
          <cell r="A62" t="str">
            <v xml:space="preserve"> 340  Сосиски Сочинки Молочные ТМ Стародворье, ВЕС ПОКОМ</v>
          </cell>
        </row>
        <row r="63">
          <cell r="A63" t="str">
            <v xml:space="preserve"> 341 Сосиски Сочинки Сливочные ТМ Стародворье ВЕС ПОКОМ</v>
          </cell>
        </row>
        <row r="64">
          <cell r="A64" t="str">
            <v xml:space="preserve"> 342 Сосиски Сочинки Молочные ТМ Стародворье 0,4 кг ПОКОМ</v>
          </cell>
        </row>
        <row r="65">
          <cell r="A65" t="str">
            <v xml:space="preserve"> 343 Сосиски Сочинки Сливочные ТМ Стародворье  0,4 кг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</row>
        <row r="69">
          <cell r="A69" t="str">
            <v xml:space="preserve"> 364  Сардельки Филейские Вязанка ВЕС NDX ТМ Вязанка  ПОКОМ</v>
          </cell>
        </row>
        <row r="70">
          <cell r="A70" t="str">
            <v xml:space="preserve"> 376  Колбаса Докторская Дугушка 0,6кг ГОСТ ТМ Стародворье  ПОКОМ </v>
          </cell>
        </row>
        <row r="71">
          <cell r="A71" t="str">
            <v xml:space="preserve"> 377  Колбаса Молочная Дугушка 0,6кг ТМ Стародворье  ПОКОМ</v>
          </cell>
        </row>
        <row r="72">
          <cell r="A72" t="str">
            <v xml:space="preserve"> 395  Колбаса Докторская ГОСТ ТМ Вязанка в оболочке полиамид 0,37 кг. ПОКОМ</v>
          </cell>
        </row>
        <row r="73">
          <cell r="A73" t="str">
            <v xml:space="preserve"> 396  Сардельки Филейские Вязанка ТМ Вязанка в оболочке NDX  0,4 кг. ПОКОМ</v>
          </cell>
        </row>
        <row r="74">
          <cell r="A74" t="str">
            <v xml:space="preserve"> 397  Ветчина Дугушка ТМ Стародворье ТС Дугушка в полиамидной оболочке 0,6 кг. ПОКОМ</v>
          </cell>
        </row>
        <row r="75">
          <cell r="A75" t="str">
            <v xml:space="preserve"> 397 Сосиски Сливочные по-стародворски Бордо Фикс.вес 0,45 П/а мгс Стародворье  Поком</v>
          </cell>
        </row>
        <row r="76">
          <cell r="A76" t="str">
            <v xml:space="preserve"> 408  Ветчина Сливушка с индейкой ТМ Вязанка, 0,4кг  ПОКОМ</v>
          </cell>
        </row>
        <row r="77">
          <cell r="A77" t="str">
            <v xml:space="preserve"> 435  Колбаса Молочная Стародворская  с молоком в оболочке полиамид 0,4 кг.ТМ Стародворье ПОКОМ</v>
          </cell>
        </row>
        <row r="78">
          <cell r="A78" t="str">
            <v xml:space="preserve"> 436  Колбаса Молочная стародворская с молоком, ВЕС, ТМ Стародворье  ПОКОМ</v>
          </cell>
        </row>
        <row r="79">
          <cell r="A79" t="str">
            <v xml:space="preserve"> 449  Колбаса Дугушка Стародворская ВЕС ТС Дугушка ПОКОМ</v>
          </cell>
        </row>
        <row r="80">
          <cell r="A80" t="str">
            <v xml:space="preserve"> 452  Колбаса Со шпиком ВЕС большой батон ТМ Особый рецепт  ПОКОМ</v>
          </cell>
        </row>
        <row r="81">
          <cell r="A81" t="str">
            <v xml:space="preserve"> 456  Колбаса Филейная ТМ Особый рецепт ВЕС большой батон  ПОКОМ</v>
          </cell>
        </row>
        <row r="82">
          <cell r="A82" t="str">
            <v xml:space="preserve"> 457  Колбаса Молочная ТМ Особый рецепт ВЕС большой батон  ПОКОМ</v>
          </cell>
        </row>
        <row r="83">
          <cell r="A83" t="str">
            <v xml:space="preserve"> 465  Колбаса Филейная оригинальная ВЕС 0,8кг ТМ Особый рецепт в оболочке полиамид  ПОКОМ</v>
          </cell>
        </row>
        <row r="84">
          <cell r="A84" t="str">
            <v xml:space="preserve"> 498  Колбаса Сочинка рубленая с сочным окороком 0,3кг ТМ Стародворье  ПОКОМ</v>
          </cell>
        </row>
        <row r="85">
          <cell r="A85" t="str">
            <v xml:space="preserve"> 523  Колбаса Сальчичон нарезка 0,07кг ТМ Стародворье  ПОКОМ </v>
          </cell>
        </row>
        <row r="86">
          <cell r="A86" t="str">
            <v xml:space="preserve"> 524  Колбаса Сервелат Ореховый нарезка 0,07кг ТМ Стародворье  ПОКОМ</v>
          </cell>
        </row>
        <row r="87">
          <cell r="A87" t="str">
            <v xml:space="preserve"> 525  Колбаса Фуэт нарезка 0,07кг ТМ Стародворье  ПОКОМ</v>
          </cell>
        </row>
        <row r="88">
          <cell r="A88" t="str">
            <v xml:space="preserve"> 526  Корейка вяленая выдержанная нарезка 0,05кг ТМ Стародворье  ПОКОМ</v>
          </cell>
        </row>
        <row r="89">
          <cell r="A89" t="str">
            <v xml:space="preserve"> 527  Окорок Прошутто выдержанный нарезка 0,055кг ТМ Стародворье  ПОКОМ</v>
          </cell>
        </row>
        <row r="90">
          <cell r="A90" t="str">
            <v xml:space="preserve"> 530  Окорок Хамон выдержанный нарезка 0,055кг ТМ Стародворье  ПОКОМ</v>
          </cell>
        </row>
        <row r="91">
          <cell r="A91" t="str">
            <v xml:space="preserve"> 560  Сосиски Вязанка Молочные ТМ Вязанка в оболочке амицел в мод. газовой среде 0,37 кг  ПОКОМ</v>
          </cell>
        </row>
        <row r="92">
          <cell r="A92" t="str">
            <v>255  Сосиски Молочные для завтрака ТМ Особый рецепт, п/а МГС, ВЕС, ТМ Стародворье  ПОКОМ</v>
          </cell>
        </row>
        <row r="93">
          <cell r="A93" t="str">
            <v>348  Колбаса Молочная оригинальная ТМ Особый рецепт. большой батон, ВЕС ПОКОМ</v>
          </cell>
        </row>
        <row r="94">
          <cell r="A94" t="str">
            <v>495  Колбаса Сочинка по-европейски с сочной грудинкой 0,3кг ТМ Стародворье  ПОКОМ</v>
          </cell>
        </row>
        <row r="95">
          <cell r="A95" t="str">
            <v>496  Колбаса Сочинка по-фински с сочным окроком 0,3кг ТМ Стародворье  ПОКОМ</v>
          </cell>
        </row>
        <row r="96">
          <cell r="A96" t="str">
            <v>503 Колбаса Филейская со шпиком ТМ Вязанка в оболочке полиамид.ПОКОМ</v>
          </cell>
        </row>
        <row r="97">
          <cell r="A97" t="str">
            <v>515  Колбаса Сервелат Мясорубский Делюкс 0,3кг ТМ Стародворье  ПОКОМ</v>
          </cell>
        </row>
        <row r="98">
          <cell r="A98" t="str">
            <v>519  Грудинка 0,12 кг нарезка ТМ Стародворье  ПОКОМ</v>
          </cell>
        </row>
        <row r="99">
          <cell r="A99" t="str">
            <v xml:space="preserve"> 319  Колбаса вареная Филейская ТМ Вязанка ТС Классическая, 0,45 кг. ПОКОМ</v>
          </cell>
        </row>
        <row r="100">
          <cell r="A100" t="str">
            <v xml:space="preserve"> 346  Колбаса Сочинка зернистая с сочной грудинкой ТМ Стародворье.ВЕС ПОКОМ</v>
          </cell>
        </row>
        <row r="101">
          <cell r="A101" t="str">
            <v xml:space="preserve"> 412  Сосиски Баварские ТМ Стародворье 0,35 кг ПОКОМ</v>
          </cell>
        </row>
        <row r="102">
          <cell r="A102" t="str">
            <v xml:space="preserve"> 410  Сосиски Баварские с сыром ТМ Стародворье 0,35 кг. ПОКОМ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C3C77-B081-4FB1-A4BA-88527C0D24FC}">
  <sheetPr>
    <tabColor rgb="FFFFFF00"/>
    <outlinePr summaryBelow="0" summaryRight="0"/>
    <pageSetUpPr autoPageBreaks="0" fitToPage="1"/>
  </sheetPr>
  <dimension ref="A1:O28"/>
  <sheetViews>
    <sheetView tabSelected="1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S32" sqref="S32"/>
    </sheetView>
  </sheetViews>
  <sheetFormatPr defaultColWidth="10.6640625" defaultRowHeight="11.25" outlineLevelRow="1" x14ac:dyDescent="0.2"/>
  <cols>
    <col min="1" max="1" width="3.1640625" bestFit="1" customWidth="1"/>
    <col min="2" max="2" width="89.33203125" customWidth="1"/>
    <col min="3" max="3" width="10.5" customWidth="1"/>
    <col min="4" max="4" width="10.6640625" style="7"/>
    <col min="5" max="5" width="10.6640625" style="8"/>
    <col min="6" max="7" width="10.6640625" style="9"/>
    <col min="10" max="10" width="2.5" customWidth="1"/>
    <col min="11" max="11" width="15.5" customWidth="1"/>
    <col min="256" max="256" width="3.1640625" bestFit="1" customWidth="1"/>
    <col min="257" max="257" width="116.1640625" customWidth="1"/>
    <col min="258" max="258" width="10.5" customWidth="1"/>
    <col min="512" max="512" width="3.1640625" bestFit="1" customWidth="1"/>
    <col min="513" max="513" width="116.1640625" customWidth="1"/>
    <col min="514" max="514" width="10.5" customWidth="1"/>
    <col min="768" max="768" width="3.1640625" bestFit="1" customWidth="1"/>
    <col min="769" max="769" width="116.1640625" customWidth="1"/>
    <col min="770" max="770" width="10.5" customWidth="1"/>
    <col min="1024" max="1024" width="3.1640625" bestFit="1" customWidth="1"/>
    <col min="1025" max="1025" width="116.1640625" customWidth="1"/>
    <col min="1026" max="1026" width="10.5" customWidth="1"/>
    <col min="1280" max="1280" width="3.1640625" bestFit="1" customWidth="1"/>
    <col min="1281" max="1281" width="116.1640625" customWidth="1"/>
    <col min="1282" max="1282" width="10.5" customWidth="1"/>
    <col min="1536" max="1536" width="3.1640625" bestFit="1" customWidth="1"/>
    <col min="1537" max="1537" width="116.1640625" customWidth="1"/>
    <col min="1538" max="1538" width="10.5" customWidth="1"/>
    <col min="1792" max="1792" width="3.1640625" bestFit="1" customWidth="1"/>
    <col min="1793" max="1793" width="116.1640625" customWidth="1"/>
    <col min="1794" max="1794" width="10.5" customWidth="1"/>
    <col min="2048" max="2048" width="3.1640625" bestFit="1" customWidth="1"/>
    <col min="2049" max="2049" width="116.1640625" customWidth="1"/>
    <col min="2050" max="2050" width="10.5" customWidth="1"/>
    <col min="2304" max="2304" width="3.1640625" bestFit="1" customWidth="1"/>
    <col min="2305" max="2305" width="116.1640625" customWidth="1"/>
    <col min="2306" max="2306" width="10.5" customWidth="1"/>
    <col min="2560" max="2560" width="3.1640625" bestFit="1" customWidth="1"/>
    <col min="2561" max="2561" width="116.1640625" customWidth="1"/>
    <col min="2562" max="2562" width="10.5" customWidth="1"/>
    <col min="2816" max="2816" width="3.1640625" bestFit="1" customWidth="1"/>
    <col min="2817" max="2817" width="116.1640625" customWidth="1"/>
    <col min="2818" max="2818" width="10.5" customWidth="1"/>
    <col min="3072" max="3072" width="3.1640625" bestFit="1" customWidth="1"/>
    <col min="3073" max="3073" width="116.1640625" customWidth="1"/>
    <col min="3074" max="3074" width="10.5" customWidth="1"/>
    <col min="3328" max="3328" width="3.1640625" bestFit="1" customWidth="1"/>
    <col min="3329" max="3329" width="116.1640625" customWidth="1"/>
    <col min="3330" max="3330" width="10.5" customWidth="1"/>
    <col min="3584" max="3584" width="3.1640625" bestFit="1" customWidth="1"/>
    <col min="3585" max="3585" width="116.1640625" customWidth="1"/>
    <col min="3586" max="3586" width="10.5" customWidth="1"/>
    <col min="3840" max="3840" width="3.1640625" bestFit="1" customWidth="1"/>
    <col min="3841" max="3841" width="116.1640625" customWidth="1"/>
    <col min="3842" max="3842" width="10.5" customWidth="1"/>
    <col min="4096" max="4096" width="3.1640625" bestFit="1" customWidth="1"/>
    <col min="4097" max="4097" width="116.1640625" customWidth="1"/>
    <col min="4098" max="4098" width="10.5" customWidth="1"/>
    <col min="4352" max="4352" width="3.1640625" bestFit="1" customWidth="1"/>
    <col min="4353" max="4353" width="116.1640625" customWidth="1"/>
    <col min="4354" max="4354" width="10.5" customWidth="1"/>
    <col min="4608" max="4608" width="3.1640625" bestFit="1" customWidth="1"/>
    <col min="4609" max="4609" width="116.1640625" customWidth="1"/>
    <col min="4610" max="4610" width="10.5" customWidth="1"/>
    <col min="4864" max="4864" width="3.1640625" bestFit="1" customWidth="1"/>
    <col min="4865" max="4865" width="116.1640625" customWidth="1"/>
    <col min="4866" max="4866" width="10.5" customWidth="1"/>
    <col min="5120" max="5120" width="3.1640625" bestFit="1" customWidth="1"/>
    <col min="5121" max="5121" width="116.1640625" customWidth="1"/>
    <col min="5122" max="5122" width="10.5" customWidth="1"/>
    <col min="5376" max="5376" width="3.1640625" bestFit="1" customWidth="1"/>
    <col min="5377" max="5377" width="116.1640625" customWidth="1"/>
    <col min="5378" max="5378" width="10.5" customWidth="1"/>
    <col min="5632" max="5632" width="3.1640625" bestFit="1" customWidth="1"/>
    <col min="5633" max="5633" width="116.1640625" customWidth="1"/>
    <col min="5634" max="5634" width="10.5" customWidth="1"/>
    <col min="5888" max="5888" width="3.1640625" bestFit="1" customWidth="1"/>
    <col min="5889" max="5889" width="116.1640625" customWidth="1"/>
    <col min="5890" max="5890" width="10.5" customWidth="1"/>
    <col min="6144" max="6144" width="3.1640625" bestFit="1" customWidth="1"/>
    <col min="6145" max="6145" width="116.1640625" customWidth="1"/>
    <col min="6146" max="6146" width="10.5" customWidth="1"/>
    <col min="6400" max="6400" width="3.1640625" bestFit="1" customWidth="1"/>
    <col min="6401" max="6401" width="116.1640625" customWidth="1"/>
    <col min="6402" max="6402" width="10.5" customWidth="1"/>
    <col min="6656" max="6656" width="3.1640625" bestFit="1" customWidth="1"/>
    <col min="6657" max="6657" width="116.1640625" customWidth="1"/>
    <col min="6658" max="6658" width="10.5" customWidth="1"/>
    <col min="6912" max="6912" width="3.1640625" bestFit="1" customWidth="1"/>
    <col min="6913" max="6913" width="116.1640625" customWidth="1"/>
    <col min="6914" max="6914" width="10.5" customWidth="1"/>
    <col min="7168" max="7168" width="3.1640625" bestFit="1" customWidth="1"/>
    <col min="7169" max="7169" width="116.1640625" customWidth="1"/>
    <col min="7170" max="7170" width="10.5" customWidth="1"/>
    <col min="7424" max="7424" width="3.1640625" bestFit="1" customWidth="1"/>
    <col min="7425" max="7425" width="116.1640625" customWidth="1"/>
    <col min="7426" max="7426" width="10.5" customWidth="1"/>
    <col min="7680" max="7680" width="3.1640625" bestFit="1" customWidth="1"/>
    <col min="7681" max="7681" width="116.1640625" customWidth="1"/>
    <col min="7682" max="7682" width="10.5" customWidth="1"/>
    <col min="7936" max="7936" width="3.1640625" bestFit="1" customWidth="1"/>
    <col min="7937" max="7937" width="116.1640625" customWidth="1"/>
    <col min="7938" max="7938" width="10.5" customWidth="1"/>
    <col min="8192" max="8192" width="3.1640625" bestFit="1" customWidth="1"/>
    <col min="8193" max="8193" width="116.1640625" customWidth="1"/>
    <col min="8194" max="8194" width="10.5" customWidth="1"/>
    <col min="8448" max="8448" width="3.1640625" bestFit="1" customWidth="1"/>
    <col min="8449" max="8449" width="116.1640625" customWidth="1"/>
    <col min="8450" max="8450" width="10.5" customWidth="1"/>
    <col min="8704" max="8704" width="3.1640625" bestFit="1" customWidth="1"/>
    <col min="8705" max="8705" width="116.1640625" customWidth="1"/>
    <col min="8706" max="8706" width="10.5" customWidth="1"/>
    <col min="8960" max="8960" width="3.1640625" bestFit="1" customWidth="1"/>
    <col min="8961" max="8961" width="116.1640625" customWidth="1"/>
    <col min="8962" max="8962" width="10.5" customWidth="1"/>
    <col min="9216" max="9216" width="3.1640625" bestFit="1" customWidth="1"/>
    <col min="9217" max="9217" width="116.1640625" customWidth="1"/>
    <col min="9218" max="9218" width="10.5" customWidth="1"/>
    <col min="9472" max="9472" width="3.1640625" bestFit="1" customWidth="1"/>
    <col min="9473" max="9473" width="116.1640625" customWidth="1"/>
    <col min="9474" max="9474" width="10.5" customWidth="1"/>
    <col min="9728" max="9728" width="3.1640625" bestFit="1" customWidth="1"/>
    <col min="9729" max="9729" width="116.1640625" customWidth="1"/>
    <col min="9730" max="9730" width="10.5" customWidth="1"/>
    <col min="9984" max="9984" width="3.1640625" bestFit="1" customWidth="1"/>
    <col min="9985" max="9985" width="116.1640625" customWidth="1"/>
    <col min="9986" max="9986" width="10.5" customWidth="1"/>
    <col min="10240" max="10240" width="3.1640625" bestFit="1" customWidth="1"/>
    <col min="10241" max="10241" width="116.1640625" customWidth="1"/>
    <col min="10242" max="10242" width="10.5" customWidth="1"/>
    <col min="10496" max="10496" width="3.1640625" bestFit="1" customWidth="1"/>
    <col min="10497" max="10497" width="116.1640625" customWidth="1"/>
    <col min="10498" max="10498" width="10.5" customWidth="1"/>
    <col min="10752" max="10752" width="3.1640625" bestFit="1" customWidth="1"/>
    <col min="10753" max="10753" width="116.1640625" customWidth="1"/>
    <col min="10754" max="10754" width="10.5" customWidth="1"/>
    <col min="11008" max="11008" width="3.1640625" bestFit="1" customWidth="1"/>
    <col min="11009" max="11009" width="116.1640625" customWidth="1"/>
    <col min="11010" max="11010" width="10.5" customWidth="1"/>
    <col min="11264" max="11264" width="3.1640625" bestFit="1" customWidth="1"/>
    <col min="11265" max="11265" width="116.1640625" customWidth="1"/>
    <col min="11266" max="11266" width="10.5" customWidth="1"/>
    <col min="11520" max="11520" width="3.1640625" bestFit="1" customWidth="1"/>
    <col min="11521" max="11521" width="116.1640625" customWidth="1"/>
    <col min="11522" max="11522" width="10.5" customWidth="1"/>
    <col min="11776" max="11776" width="3.1640625" bestFit="1" customWidth="1"/>
    <col min="11777" max="11777" width="116.1640625" customWidth="1"/>
    <col min="11778" max="11778" width="10.5" customWidth="1"/>
    <col min="12032" max="12032" width="3.1640625" bestFit="1" customWidth="1"/>
    <col min="12033" max="12033" width="116.1640625" customWidth="1"/>
    <col min="12034" max="12034" width="10.5" customWidth="1"/>
    <col min="12288" max="12288" width="3.1640625" bestFit="1" customWidth="1"/>
    <col min="12289" max="12289" width="116.1640625" customWidth="1"/>
    <col min="12290" max="12290" width="10.5" customWidth="1"/>
    <col min="12544" max="12544" width="3.1640625" bestFit="1" customWidth="1"/>
    <col min="12545" max="12545" width="116.1640625" customWidth="1"/>
    <col min="12546" max="12546" width="10.5" customWidth="1"/>
    <col min="12800" max="12800" width="3.1640625" bestFit="1" customWidth="1"/>
    <col min="12801" max="12801" width="116.1640625" customWidth="1"/>
    <col min="12802" max="12802" width="10.5" customWidth="1"/>
    <col min="13056" max="13056" width="3.1640625" bestFit="1" customWidth="1"/>
    <col min="13057" max="13057" width="116.1640625" customWidth="1"/>
    <col min="13058" max="13058" width="10.5" customWidth="1"/>
    <col min="13312" max="13312" width="3.1640625" bestFit="1" customWidth="1"/>
    <col min="13313" max="13313" width="116.1640625" customWidth="1"/>
    <col min="13314" max="13314" width="10.5" customWidth="1"/>
    <col min="13568" max="13568" width="3.1640625" bestFit="1" customWidth="1"/>
    <col min="13569" max="13569" width="116.1640625" customWidth="1"/>
    <col min="13570" max="13570" width="10.5" customWidth="1"/>
    <col min="13824" max="13824" width="3.1640625" bestFit="1" customWidth="1"/>
    <col min="13825" max="13825" width="116.1640625" customWidth="1"/>
    <col min="13826" max="13826" width="10.5" customWidth="1"/>
    <col min="14080" max="14080" width="3.1640625" bestFit="1" customWidth="1"/>
    <col min="14081" max="14081" width="116.1640625" customWidth="1"/>
    <col min="14082" max="14082" width="10.5" customWidth="1"/>
    <col min="14336" max="14336" width="3.1640625" bestFit="1" customWidth="1"/>
    <col min="14337" max="14337" width="116.1640625" customWidth="1"/>
    <col min="14338" max="14338" width="10.5" customWidth="1"/>
    <col min="14592" max="14592" width="3.1640625" bestFit="1" customWidth="1"/>
    <col min="14593" max="14593" width="116.1640625" customWidth="1"/>
    <col min="14594" max="14594" width="10.5" customWidth="1"/>
    <col min="14848" max="14848" width="3.1640625" bestFit="1" customWidth="1"/>
    <col min="14849" max="14849" width="116.1640625" customWidth="1"/>
    <col min="14850" max="14850" width="10.5" customWidth="1"/>
    <col min="15104" max="15104" width="3.1640625" bestFit="1" customWidth="1"/>
    <col min="15105" max="15105" width="116.1640625" customWidth="1"/>
    <col min="15106" max="15106" width="10.5" customWidth="1"/>
    <col min="15360" max="15360" width="3.1640625" bestFit="1" customWidth="1"/>
    <col min="15361" max="15361" width="116.1640625" customWidth="1"/>
    <col min="15362" max="15362" width="10.5" customWidth="1"/>
    <col min="15616" max="15616" width="3.1640625" bestFit="1" customWidth="1"/>
    <col min="15617" max="15617" width="116.1640625" customWidth="1"/>
    <col min="15618" max="15618" width="10.5" customWidth="1"/>
    <col min="15872" max="15872" width="3.1640625" bestFit="1" customWidth="1"/>
    <col min="15873" max="15873" width="116.1640625" customWidth="1"/>
    <col min="15874" max="15874" width="10.5" customWidth="1"/>
    <col min="16128" max="16128" width="3.1640625" bestFit="1" customWidth="1"/>
    <col min="16129" max="16129" width="116.1640625" customWidth="1"/>
    <col min="16130" max="16130" width="10.5" customWidth="1"/>
  </cols>
  <sheetData>
    <row r="1" spans="1:11" s="1" customFormat="1" ht="25.5" x14ac:dyDescent="0.35">
      <c r="D1" s="2"/>
      <c r="E1" s="3"/>
      <c r="F1" s="4"/>
      <c r="G1" s="4"/>
    </row>
    <row r="2" spans="1:11" ht="15.75" x14ac:dyDescent="0.25">
      <c r="B2" s="5" t="s">
        <v>0</v>
      </c>
      <c r="C2" s="5"/>
    </row>
    <row r="3" spans="1:11" s="6" customFormat="1" ht="11.25" customHeight="1" x14ac:dyDescent="0.2"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0">
        <v>6</v>
      </c>
      <c r="I3" s="10">
        <v>7</v>
      </c>
    </row>
    <row r="4" spans="1:11" ht="12.75" customHeight="1" x14ac:dyDescent="0.2">
      <c r="B4" s="23" t="s">
        <v>1</v>
      </c>
      <c r="C4" s="21" t="s">
        <v>2</v>
      </c>
      <c r="D4" s="21" t="s">
        <v>15</v>
      </c>
      <c r="E4" s="21" t="s">
        <v>3</v>
      </c>
      <c r="F4" s="21" t="s">
        <v>4</v>
      </c>
      <c r="G4" s="21" t="s">
        <v>5</v>
      </c>
      <c r="H4" s="22" t="s">
        <v>6</v>
      </c>
      <c r="I4" s="22"/>
    </row>
    <row r="5" spans="1:11" ht="12.75" customHeight="1" x14ac:dyDescent="0.2">
      <c r="B5" s="23"/>
      <c r="C5" s="21"/>
      <c r="D5" s="21"/>
      <c r="E5" s="21"/>
      <c r="F5" s="21"/>
      <c r="G5" s="21"/>
      <c r="H5" s="22"/>
      <c r="I5" s="22"/>
    </row>
    <row r="6" spans="1:11" ht="15" customHeight="1" x14ac:dyDescent="0.2">
      <c r="B6" s="23"/>
      <c r="C6" s="21"/>
      <c r="D6" s="21"/>
      <c r="E6" s="21"/>
      <c r="F6" s="21"/>
      <c r="G6" s="21" t="s">
        <v>7</v>
      </c>
      <c r="H6" s="22"/>
      <c r="I6" s="22"/>
    </row>
    <row r="7" spans="1:11" ht="11.25" customHeight="1" x14ac:dyDescent="0.2">
      <c r="B7" s="11"/>
      <c r="C7" s="11"/>
    </row>
    <row r="8" spans="1:11" ht="12.75" outlineLevel="1" x14ac:dyDescent="0.2">
      <c r="A8">
        <v>1</v>
      </c>
      <c r="B8" s="12" t="str">
        <f>[1]Факт!B7</f>
        <v>255  Сосиски Молочные для завтрака ТМ Особый рецепт, п/а МГС, ВЕС, ТМ Стародворье  ПОКОМ</v>
      </c>
      <c r="C8" s="13">
        <v>201.03999936318451</v>
      </c>
      <c r="D8" s="14">
        <v>52.109999999999985</v>
      </c>
      <c r="E8" s="15">
        <v>0.3</v>
      </c>
      <c r="F8" s="16">
        <v>198</v>
      </c>
      <c r="G8" s="16">
        <v>283.46639910209012</v>
      </c>
      <c r="H8" s="17" t="s">
        <v>8</v>
      </c>
      <c r="I8" s="17" t="s">
        <v>9</v>
      </c>
      <c r="K8" s="9" t="str">
        <f>VLOOKUP(B8,[2]Sheet!$A:$A,1,0)</f>
        <v>255  Сосиски Молочные для завтрака ТМ Особый рецепт, п/а МГС, ВЕС, ТМ Стародворье  ПОКОМ</v>
      </c>
    </row>
    <row r="9" spans="1:11" ht="12.75" outlineLevel="1" x14ac:dyDescent="0.2">
      <c r="A9">
        <v>2</v>
      </c>
      <c r="B9" s="12" t="str">
        <f>[1]Факт!B9</f>
        <v xml:space="preserve"> 457  Колбаса Молочная ТМ Особый рецепт ВЕС большой батон  ПОКОМ</v>
      </c>
      <c r="C9" s="13">
        <v>155.15</v>
      </c>
      <c r="D9" s="14">
        <v>24.507000000000005</v>
      </c>
      <c r="E9" s="15">
        <v>0.2</v>
      </c>
      <c r="F9" s="16">
        <v>164</v>
      </c>
      <c r="G9" s="16">
        <v>204.95314999999999</v>
      </c>
      <c r="H9" s="17" t="s">
        <v>10</v>
      </c>
      <c r="I9" s="17" t="s">
        <v>11</v>
      </c>
      <c r="K9" s="9" t="str">
        <f>VLOOKUP(B9,[2]Sheet!$A:$A,1,0)</f>
        <v xml:space="preserve"> 457  Колбаса Молочная ТМ Особый рецепт ВЕС большой батон  ПОКОМ</v>
      </c>
    </row>
    <row r="10" spans="1:11" ht="12.75" outlineLevel="1" x14ac:dyDescent="0.2">
      <c r="A10">
        <v>3</v>
      </c>
      <c r="B10" s="12" t="str">
        <f>[1]Факт!B10</f>
        <v xml:space="preserve"> 449  Колбаса Дугушка Стародворская ВЕС ТС Дугушка ПОКОМ</v>
      </c>
      <c r="C10" s="13">
        <v>220.42</v>
      </c>
      <c r="D10" s="14">
        <v>56.998800000000003</v>
      </c>
      <c r="E10" s="15">
        <v>0.3</v>
      </c>
      <c r="F10" s="16">
        <v>217</v>
      </c>
      <c r="G10" s="16">
        <v>308.58799999999997</v>
      </c>
      <c r="H10" s="17" t="s">
        <v>8</v>
      </c>
      <c r="I10" s="17" t="s">
        <v>9</v>
      </c>
      <c r="K10" s="9" t="str">
        <f>VLOOKUP(B10,[2]Sheet!$A:$A,1,0)</f>
        <v xml:space="preserve"> 449  Колбаса Дугушка Стародворская ВЕС ТС Дугушка ПОКОМ</v>
      </c>
    </row>
    <row r="11" spans="1:11" ht="12.75" outlineLevel="1" x14ac:dyDescent="0.2">
      <c r="A11">
        <v>4</v>
      </c>
      <c r="B11" s="12" t="str">
        <f>[1]Факт!B11</f>
        <v xml:space="preserve"> 200  Ветчина Дугушка ТМ Стародворье, вектор в/у    ПОКОМ</v>
      </c>
      <c r="C11" s="13">
        <v>273.45</v>
      </c>
      <c r="D11" s="14">
        <v>39.283999999999992</v>
      </c>
      <c r="E11" s="15">
        <v>0.2</v>
      </c>
      <c r="F11" s="16">
        <v>248</v>
      </c>
      <c r="G11" s="16">
        <v>308.99849999999998</v>
      </c>
      <c r="H11" s="17" t="s">
        <v>10</v>
      </c>
      <c r="I11" s="17" t="s">
        <v>11</v>
      </c>
      <c r="K11" s="9" t="str">
        <f>VLOOKUP(B11,[2]Sheet!$A:$A,1,0)</f>
        <v xml:space="preserve"> 200  Ветчина Дугушка ТМ Стародворье, вектор в/у    ПОКОМ</v>
      </c>
    </row>
    <row r="12" spans="1:11" ht="12.75" outlineLevel="1" x14ac:dyDescent="0.2">
      <c r="A12">
        <v>5</v>
      </c>
      <c r="B12" s="12" t="str">
        <f>[1]Факт!B12</f>
        <v xml:space="preserve"> 250  Сардельки стародворские с говядиной в обол. NDX, ВЕС. ПОКОМ</v>
      </c>
      <c r="C12" s="13">
        <v>238.39</v>
      </c>
      <c r="D12" s="14">
        <v>61.64459999999999</v>
      </c>
      <c r="E12" s="15">
        <v>0.3</v>
      </c>
      <c r="F12" s="16">
        <v>244</v>
      </c>
      <c r="G12" s="16">
        <v>348.04939999999999</v>
      </c>
      <c r="H12" s="17" t="s">
        <v>8</v>
      </c>
      <c r="I12" s="17" t="s">
        <v>9</v>
      </c>
      <c r="K12" s="9" t="str">
        <f>VLOOKUP(B12,[2]Sheet!$A:$A,1,0)</f>
        <v xml:space="preserve"> 250  Сардельки стародворские с говядиной в обол. NDX, ВЕС. ПОКОМ</v>
      </c>
    </row>
    <row r="13" spans="1:11" ht="12.75" outlineLevel="1" x14ac:dyDescent="0.2">
      <c r="A13">
        <v>6</v>
      </c>
      <c r="B13" s="12" t="str">
        <f>[1]Факт!B13</f>
        <v xml:space="preserve"> 242  Колбаса Сервелат ЗАПЕЧ.Дугушка ТМ Стародворье, вектор, в/к     ПОКОМ</v>
      </c>
      <c r="C13" s="13">
        <v>285.29000000000002</v>
      </c>
      <c r="D13" s="14">
        <v>73.772999999999996</v>
      </c>
      <c r="E13" s="15">
        <v>0.3</v>
      </c>
      <c r="F13" s="16">
        <v>261</v>
      </c>
      <c r="G13" s="16">
        <v>373.72990000000004</v>
      </c>
      <c r="H13" s="17" t="s">
        <v>8</v>
      </c>
      <c r="I13" s="17" t="s">
        <v>9</v>
      </c>
      <c r="K13" s="9" t="str">
        <f>VLOOKUP(B13,[2]Sheet!$A:$A,1,0)</f>
        <v xml:space="preserve"> 242  Колбаса Сервелат ЗАПЕЧ.Дугушка ТМ Стародворье, вектор, в/к     ПОКОМ</v>
      </c>
    </row>
    <row r="14" spans="1:11" ht="12.75" outlineLevel="1" x14ac:dyDescent="0.2">
      <c r="A14">
        <v>7</v>
      </c>
      <c r="B14" s="12" t="str">
        <f>[1]Факт!B14</f>
        <v xml:space="preserve"> 456  Колбаса Филейная ТМ Особый рецепт ВЕС большой батон  ПОКОМ</v>
      </c>
      <c r="C14" s="13">
        <v>155.13999999999999</v>
      </c>
      <c r="D14" s="14">
        <v>44.11079999999999</v>
      </c>
      <c r="E14" s="15">
        <v>0.3</v>
      </c>
      <c r="F14" s="16">
        <v>164</v>
      </c>
      <c r="G14" s="16">
        <v>234.26139999999998</v>
      </c>
      <c r="H14" s="17" t="s">
        <v>8</v>
      </c>
      <c r="I14" s="17" t="s">
        <v>9</v>
      </c>
      <c r="K14" s="9" t="str">
        <f>VLOOKUP(B14,[2]Sheet!$A:$A,1,0)</f>
        <v xml:space="preserve"> 456  Колбаса Филейная ТМ Особый рецепт ВЕС большой батон  ПОКОМ</v>
      </c>
    </row>
    <row r="15" spans="1:11" ht="12.75" outlineLevel="1" x14ac:dyDescent="0.2">
      <c r="A15">
        <v>8</v>
      </c>
      <c r="B15" s="18" t="str">
        <f>[1]Факт!B15</f>
        <v xml:space="preserve"> 201  Ветчина Нежная ТМ Особый рецепт, (2,5кг), ПОКОМ</v>
      </c>
      <c r="C15" s="13">
        <v>231</v>
      </c>
      <c r="D15" s="14">
        <v>56.13</v>
      </c>
      <c r="E15" s="15">
        <v>0.3</v>
      </c>
      <c r="F15" s="16">
        <v>219</v>
      </c>
      <c r="G15" s="16">
        <v>311.85000000000002</v>
      </c>
      <c r="H15" s="17" t="s">
        <v>8</v>
      </c>
      <c r="I15" s="17" t="s">
        <v>9</v>
      </c>
      <c r="K15" s="9" t="str">
        <f>VLOOKUP(B15,[2]Sheet!$A:$A,1,0)</f>
        <v xml:space="preserve"> 201  Ветчина Нежная ТМ Особый рецепт, (2,5кг), ПОКОМ</v>
      </c>
    </row>
    <row r="16" spans="1:11" ht="12.75" outlineLevel="1" x14ac:dyDescent="0.2">
      <c r="A16">
        <v>9</v>
      </c>
      <c r="B16" s="12" t="str">
        <f>[1]Факт!B16</f>
        <v xml:space="preserve"> 017  Сосиски Вязанка Сливочные, Вязанка амицел ВЕС.ПОКОМ</v>
      </c>
      <c r="C16" s="13">
        <v>284.42</v>
      </c>
      <c r="D16" s="14">
        <v>40.860000000000014</v>
      </c>
      <c r="E16" s="15">
        <v>0.2</v>
      </c>
      <c r="F16" s="16">
        <v>269</v>
      </c>
      <c r="G16" s="16">
        <v>335.61560000000003</v>
      </c>
      <c r="H16" s="17" t="s">
        <v>10</v>
      </c>
      <c r="I16" s="17" t="s">
        <v>11</v>
      </c>
      <c r="K16" s="9" t="str">
        <f>VLOOKUP(B16,[2]Sheet!$A:$A,1,0)</f>
        <v xml:space="preserve"> 017  Сосиски Вязанка Сливочные, Вязанка амицел ВЕС.ПОКОМ</v>
      </c>
    </row>
    <row r="17" spans="1:15" ht="12.75" outlineLevel="1" x14ac:dyDescent="0.2">
      <c r="A17">
        <v>10</v>
      </c>
      <c r="B17" s="12" t="str">
        <f>[1]Факт!B18</f>
        <v xml:space="preserve"> 273  Сосиски Сочинки с сочной грудинкой, МГС 0.4кг,   ПОКОМ</v>
      </c>
      <c r="C17" s="13">
        <v>232.8</v>
      </c>
      <c r="D17" s="14">
        <v>33.444999999999993</v>
      </c>
      <c r="E17" s="15">
        <v>0.2</v>
      </c>
      <c r="F17" s="16">
        <v>235</v>
      </c>
      <c r="G17" s="16">
        <v>293.32800000000003</v>
      </c>
      <c r="H17" s="17" t="s">
        <v>10</v>
      </c>
      <c r="I17" s="17" t="s">
        <v>11</v>
      </c>
      <c r="K17" s="9" t="str">
        <f>VLOOKUP(B17,[2]Sheet!$A:$A,1,0)</f>
        <v xml:space="preserve"> 273  Сосиски Сочинки с сочной грудинкой, МГС 0.4кг,   ПОКОМ</v>
      </c>
    </row>
    <row r="18" spans="1:15" ht="12.75" outlineLevel="1" x14ac:dyDescent="0.2">
      <c r="A18">
        <v>11</v>
      </c>
      <c r="B18" s="12" t="str">
        <f>[1]Факт!B19</f>
        <v xml:space="preserve"> 452  Колбаса Со шпиком ВЕС большой батон ТМ Особый рецепт  ПОКОМ</v>
      </c>
      <c r="C18" s="13">
        <v>155.37</v>
      </c>
      <c r="D18" s="14">
        <v>44.172000000000004</v>
      </c>
      <c r="E18" s="15">
        <v>0.3</v>
      </c>
      <c r="F18" s="16">
        <v>164</v>
      </c>
      <c r="G18" s="16">
        <v>234.6087</v>
      </c>
      <c r="H18" s="17" t="s">
        <v>8</v>
      </c>
      <c r="I18" s="17" t="s">
        <v>9</v>
      </c>
      <c r="K18" s="9" t="str">
        <f>VLOOKUP(B18,[2]Sheet!$A:$A,1,0)</f>
        <v xml:space="preserve"> 452  Колбаса Со шпиком ВЕС большой батон ТМ Особый рецепт  ПОКОМ</v>
      </c>
    </row>
    <row r="19" spans="1:15" ht="12.75" outlineLevel="1" x14ac:dyDescent="0.2">
      <c r="A19">
        <v>12</v>
      </c>
      <c r="B19" s="12" t="str">
        <f>[1]Факт!B21</f>
        <v xml:space="preserve"> 239  Колбаса Салями запеч Дугушка, оболочка вектор, ВЕС, ТМ Стародворье  ПОКОМ</v>
      </c>
      <c r="C19" s="13">
        <v>302.10000000000002</v>
      </c>
      <c r="D19" s="14">
        <v>43.400000000000006</v>
      </c>
      <c r="E19" s="15">
        <v>0.2</v>
      </c>
      <c r="F19" s="16">
        <v>269</v>
      </c>
      <c r="G19" s="16">
        <v>335.33100000000007</v>
      </c>
      <c r="H19" s="17" t="s">
        <v>10</v>
      </c>
      <c r="I19" s="17" t="s">
        <v>11</v>
      </c>
      <c r="K19" s="9" t="str">
        <f>VLOOKUP(B19,[2]Sheet!$A:$A,1,0)</f>
        <v xml:space="preserve"> 239  Колбаса Салями запеч Дугушка, оболочка вектор, ВЕС, ТМ Стародворье  ПОКОМ</v>
      </c>
    </row>
    <row r="20" spans="1:15" ht="12.75" outlineLevel="1" x14ac:dyDescent="0.2">
      <c r="A20">
        <v>13</v>
      </c>
      <c r="B20" s="12" t="str">
        <f>[1]Факт!B27</f>
        <v xml:space="preserve"> 005  Колбаса Докторская ГОСТ, Вязанка вектор,ВЕС. ПОКОМ</v>
      </c>
      <c r="C20" s="13">
        <v>315.43</v>
      </c>
      <c r="D20" s="14">
        <v>45.314999999999991</v>
      </c>
      <c r="E20" s="15">
        <v>0.2</v>
      </c>
      <c r="F20" s="16">
        <v>299</v>
      </c>
      <c r="G20" s="16">
        <v>373.78455000000002</v>
      </c>
      <c r="H20" s="17" t="s">
        <v>10</v>
      </c>
      <c r="I20" s="17" t="s">
        <v>11</v>
      </c>
      <c r="K20" s="9" t="str">
        <f>VLOOKUP(B20,[2]Sheet!$A:$A,1,0)</f>
        <v xml:space="preserve"> 005  Колбаса Докторская ГОСТ, Вязанка вектор,ВЕС. ПОКОМ</v>
      </c>
    </row>
    <row r="21" spans="1:15" ht="12.75" outlineLevel="1" x14ac:dyDescent="0.2">
      <c r="A21">
        <v>14</v>
      </c>
      <c r="B21" s="12" t="str">
        <f>[1]Факт!B32</f>
        <v xml:space="preserve"> 307  Колбаса Сервелат Мясорубский с мелкорубленным окороком 0,35 кг срез ТМ Стародворье   Поком</v>
      </c>
      <c r="C21" s="13">
        <v>285.08571000000001</v>
      </c>
      <c r="D21" s="14">
        <v>40.954285714285732</v>
      </c>
      <c r="E21" s="15">
        <v>0.2</v>
      </c>
      <c r="F21" s="16">
        <v>294</v>
      </c>
      <c r="G21" s="16">
        <v>367.76056590000002</v>
      </c>
      <c r="H21" s="17" t="s">
        <v>10</v>
      </c>
      <c r="I21" s="17" t="s">
        <v>11</v>
      </c>
      <c r="K21" s="9" t="str">
        <f>VLOOKUP(B21,[2]Sheet!$A:$A,1,0)</f>
        <v xml:space="preserve"> 307  Колбаса Сервелат Мясорубский с мелкорубленным окороком 0,35 кг срез ТМ Стародворье   Поком</v>
      </c>
    </row>
    <row r="22" spans="1:15" ht="12.75" outlineLevel="1" x14ac:dyDescent="0.2">
      <c r="A22">
        <v>15</v>
      </c>
      <c r="B22" s="12" t="str">
        <f>[1]Факт!B35</f>
        <v xml:space="preserve"> 016  Сосиски Вязанка Молочные, Вязанка вискофан  ВЕС.ПОКОМ</v>
      </c>
      <c r="C22" s="13">
        <v>270.83999999999997</v>
      </c>
      <c r="D22" s="14">
        <v>38.908999999999992</v>
      </c>
      <c r="E22" s="15">
        <v>0.2</v>
      </c>
      <c r="F22" s="16">
        <v>257</v>
      </c>
      <c r="G22" s="16">
        <v>320.94540000000001</v>
      </c>
      <c r="H22" s="17" t="s">
        <v>10</v>
      </c>
      <c r="I22" s="17" t="s">
        <v>11</v>
      </c>
      <c r="K22" s="9" t="str">
        <f>VLOOKUP(B22,[2]Sheet!$A:$A,1,0)</f>
        <v xml:space="preserve"> 016  Сосиски Вязанка Молочные, Вязанка вискофан  ВЕС.ПОКОМ</v>
      </c>
    </row>
    <row r="23" spans="1:15" ht="12.75" outlineLevel="1" x14ac:dyDescent="0.2">
      <c r="A23">
        <v>16</v>
      </c>
      <c r="B23" s="12" t="str">
        <f>[1]Факт!B51</f>
        <v xml:space="preserve"> 498  Колбаса Сочинка рубленая с сочным окороком 0,3кг ТМ Стародворье  ПОКОМ</v>
      </c>
      <c r="C23" s="13">
        <v>315.86667</v>
      </c>
      <c r="D23" s="14">
        <v>81.678861945968762</v>
      </c>
      <c r="E23" s="15">
        <v>0.3</v>
      </c>
      <c r="F23" s="16">
        <v>360</v>
      </c>
      <c r="G23" s="16">
        <v>513</v>
      </c>
      <c r="H23" s="17" t="s">
        <v>8</v>
      </c>
      <c r="I23" s="17" t="s">
        <v>9</v>
      </c>
      <c r="K23" s="9" t="str">
        <f>VLOOKUP(B23,[2]Sheet!$A:$A,1,0)</f>
        <v xml:space="preserve"> 498  Колбаса Сочинка рубленая с сочным окороком 0,3кг ТМ Стародворье  ПОКОМ</v>
      </c>
    </row>
    <row r="24" spans="1:15" ht="12.75" outlineLevel="1" x14ac:dyDescent="0.2">
      <c r="A24">
        <v>17</v>
      </c>
      <c r="B24" s="12" t="str">
        <f>[1]Факт!B60</f>
        <v xml:space="preserve"> 319  Колбаса вареная Филейская ТМ Вязанка ТС Классическая, 0,45 кг. ПОКОМ</v>
      </c>
      <c r="C24" s="13">
        <v>308.62221999999997</v>
      </c>
      <c r="D24" s="14">
        <v>44.337777777777774</v>
      </c>
      <c r="E24" s="15">
        <v>0.2</v>
      </c>
      <c r="F24" s="16">
        <v>293.33333333333331</v>
      </c>
      <c r="G24" s="16">
        <v>367.26044179999997</v>
      </c>
      <c r="H24" s="17" t="s">
        <v>10</v>
      </c>
      <c r="I24" s="17" t="s">
        <v>11</v>
      </c>
      <c r="K24" s="9" t="s">
        <v>16</v>
      </c>
      <c r="L24">
        <v>200</v>
      </c>
      <c r="M24">
        <v>400</v>
      </c>
      <c r="N24">
        <v>400</v>
      </c>
      <c r="O24">
        <v>200</v>
      </c>
    </row>
    <row r="25" spans="1:15" ht="12.75" x14ac:dyDescent="0.2">
      <c r="A25">
        <v>18</v>
      </c>
      <c r="B25" s="19" t="s">
        <v>12</v>
      </c>
      <c r="C25" s="13">
        <v>238.96</v>
      </c>
      <c r="D25" s="14">
        <v>61.792200000000008</v>
      </c>
      <c r="E25" s="15">
        <v>0.3</v>
      </c>
      <c r="F25" s="16">
        <v>269</v>
      </c>
      <c r="G25" s="16">
        <v>384.72560000000004</v>
      </c>
      <c r="H25" s="17" t="s">
        <v>8</v>
      </c>
      <c r="I25" s="17" t="s">
        <v>9</v>
      </c>
      <c r="K25" s="9" t="s">
        <v>16</v>
      </c>
      <c r="L25">
        <v>150</v>
      </c>
      <c r="M25">
        <v>300</v>
      </c>
      <c r="N25">
        <v>300</v>
      </c>
      <c r="O25">
        <v>150</v>
      </c>
    </row>
    <row r="26" spans="1:15" ht="12.75" x14ac:dyDescent="0.2">
      <c r="A26">
        <v>19</v>
      </c>
      <c r="B26" s="20" t="s">
        <v>13</v>
      </c>
      <c r="C26" s="13">
        <v>245.48</v>
      </c>
      <c r="D26" s="14">
        <v>35.264893389199258</v>
      </c>
      <c r="E26" s="15">
        <v>0.2</v>
      </c>
      <c r="F26" s="16">
        <v>265.7</v>
      </c>
      <c r="G26" s="16">
        <v>331.39800000000002</v>
      </c>
      <c r="H26" s="17" t="s">
        <v>10</v>
      </c>
      <c r="I26" s="17" t="s">
        <v>11</v>
      </c>
      <c r="K26" s="9" t="s">
        <v>16</v>
      </c>
      <c r="L26">
        <v>150</v>
      </c>
      <c r="M26">
        <v>300</v>
      </c>
      <c r="N26">
        <v>300</v>
      </c>
      <c r="O26">
        <v>150</v>
      </c>
    </row>
    <row r="27" spans="1:15" ht="12.75" x14ac:dyDescent="0.2">
      <c r="A27">
        <v>20</v>
      </c>
      <c r="B27" s="20" t="s">
        <v>14</v>
      </c>
      <c r="C27" s="13">
        <v>257.77</v>
      </c>
      <c r="D27" s="14">
        <v>37.031428571428592</v>
      </c>
      <c r="E27" s="15">
        <v>0.2</v>
      </c>
      <c r="F27" s="16">
        <v>283</v>
      </c>
      <c r="G27" s="16">
        <v>353.14490000000001</v>
      </c>
      <c r="H27" s="17" t="s">
        <v>10</v>
      </c>
      <c r="I27" s="17" t="s">
        <v>11</v>
      </c>
      <c r="K27" s="9" t="s">
        <v>16</v>
      </c>
      <c r="L27">
        <v>100</v>
      </c>
      <c r="M27">
        <v>200</v>
      </c>
      <c r="N27">
        <v>200</v>
      </c>
      <c r="O27">
        <v>100</v>
      </c>
    </row>
    <row r="28" spans="1:15" x14ac:dyDescent="0.2">
      <c r="L28" t="s">
        <v>17</v>
      </c>
      <c r="M28" t="s">
        <v>18</v>
      </c>
      <c r="N28" t="s">
        <v>19</v>
      </c>
      <c r="O28" t="s">
        <v>20</v>
      </c>
    </row>
  </sheetData>
  <autoFilter ref="A6:C6" xr:uid="{0A1B1440-8B43-4874-9B2E-FCD44B4B72BF}"/>
  <mergeCells count="7">
    <mergeCell ref="G4:G6"/>
    <mergeCell ref="H4:I6"/>
    <mergeCell ref="B4:B6"/>
    <mergeCell ref="C4:C6"/>
    <mergeCell ref="D4:D6"/>
    <mergeCell ref="E4:E6"/>
    <mergeCell ref="F4:F6"/>
  </mergeCells>
  <pageMargins left="0.19685039370078741" right="0.19685039370078741" top="0.19685039370078741" bottom="0.19685039370078741" header="0.19685039370078741" footer="0.19685039370078741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Прогноз (26.01)</vt:lpstr>
      <vt:lpstr>'Прогноз (26.01)'!Область_печати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DirKCK</dc:creator>
  <cp:lastModifiedBy>Uaer4</cp:lastModifiedBy>
  <cp:lastPrinted>2026-01-28T07:38:37Z</cp:lastPrinted>
  <dcterms:created xsi:type="dcterms:W3CDTF">2026-01-27T07:21:13Z</dcterms:created>
  <dcterms:modified xsi:type="dcterms:W3CDTF">2026-01-28T07:59:52Z</dcterms:modified>
</cp:coreProperties>
</file>