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6E46789-9519-493F-A3F3-B55696F5AE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BP417" i="1" s="1"/>
  <c r="P417" i="1"/>
  <c r="BP416" i="1"/>
  <c r="BO416" i="1"/>
  <c r="BN416" i="1"/>
  <c r="BM416" i="1"/>
  <c r="Z416" i="1"/>
  <c r="Y416" i="1"/>
  <c r="P416" i="1"/>
  <c r="BO415" i="1"/>
  <c r="BM415" i="1"/>
  <c r="Y415" i="1"/>
  <c r="BP415" i="1" s="1"/>
  <c r="P415" i="1"/>
  <c r="BO414" i="1"/>
  <c r="BM414" i="1"/>
  <c r="Y414" i="1"/>
  <c r="Y419" i="1" s="1"/>
  <c r="P414" i="1"/>
  <c r="X412" i="1"/>
  <c r="X411" i="1"/>
  <c r="BO410" i="1"/>
  <c r="BM410" i="1"/>
  <c r="Y410" i="1"/>
  <c r="V503" i="1" s="1"/>
  <c r="P410" i="1"/>
  <c r="X407" i="1"/>
  <c r="X406" i="1"/>
  <c r="BO405" i="1"/>
  <c r="BM405" i="1"/>
  <c r="Y405" i="1"/>
  <c r="Y407" i="1" s="1"/>
  <c r="P405" i="1"/>
  <c r="BP404" i="1"/>
  <c r="BO404" i="1"/>
  <c r="BN404" i="1"/>
  <c r="BM404" i="1"/>
  <c r="Z404" i="1"/>
  <c r="Y404" i="1"/>
  <c r="Y406" i="1" s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U503" i="1" s="1"/>
  <c r="P392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Y387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Y377" i="1" s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Y362" i="1" s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S503" i="1" s="1"/>
  <c r="P349" i="1"/>
  <c r="X345" i="1"/>
  <c r="X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Y338" i="1" s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P291" i="1"/>
  <c r="X289" i="1"/>
  <c r="Y288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Y259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Y212" i="1" s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Y133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F10" i="1" s="1"/>
  <c r="D7" i="1"/>
  <c r="Q6" i="1"/>
  <c r="P2" i="1"/>
  <c r="H9" i="1" l="1"/>
  <c r="A10" i="1"/>
  <c r="Y24" i="1"/>
  <c r="Z43" i="1"/>
  <c r="BP41" i="1"/>
  <c r="BN41" i="1"/>
  <c r="Z41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H503" i="1"/>
  <c r="Y145" i="1"/>
  <c r="BP142" i="1"/>
  <c r="BN142" i="1"/>
  <c r="Z142" i="1"/>
  <c r="Z144" i="1" s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BP195" i="1"/>
  <c r="BN195" i="1"/>
  <c r="Z195" i="1"/>
  <c r="Z196" i="1" s="1"/>
  <c r="Y197" i="1"/>
  <c r="Y202" i="1"/>
  <c r="BP199" i="1"/>
  <c r="BN199" i="1"/>
  <c r="Z199" i="1"/>
  <c r="Z201" i="1" s="1"/>
  <c r="Y201" i="1"/>
  <c r="BP236" i="1"/>
  <c r="BN236" i="1"/>
  <c r="Z236" i="1"/>
  <c r="BP240" i="1"/>
  <c r="BN240" i="1"/>
  <c r="Z240" i="1"/>
  <c r="BP265" i="1"/>
  <c r="BN265" i="1"/>
  <c r="Z265" i="1"/>
  <c r="BP317" i="1"/>
  <c r="BN317" i="1"/>
  <c r="Z317" i="1"/>
  <c r="Y319" i="1"/>
  <c r="Y324" i="1"/>
  <c r="BP321" i="1"/>
  <c r="BN321" i="1"/>
  <c r="Z321" i="1"/>
  <c r="Y325" i="1"/>
  <c r="BP329" i="1"/>
  <c r="BN329" i="1"/>
  <c r="Z329" i="1"/>
  <c r="F9" i="1"/>
  <c r="J9" i="1"/>
  <c r="Z22" i="1"/>
  <c r="Z24" i="1" s="1"/>
  <c r="BN22" i="1"/>
  <c r="BP22" i="1"/>
  <c r="X497" i="1"/>
  <c r="Y25" i="1"/>
  <c r="Y32" i="1"/>
  <c r="Z28" i="1"/>
  <c r="Z31" i="1" s="1"/>
  <c r="BN28" i="1"/>
  <c r="Z30" i="1"/>
  <c r="BN30" i="1"/>
  <c r="Y31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BP102" i="1"/>
  <c r="BN102" i="1"/>
  <c r="Z102" i="1"/>
  <c r="Z104" i="1" s="1"/>
  <c r="Y111" i="1"/>
  <c r="BP110" i="1"/>
  <c r="BN110" i="1"/>
  <c r="Z110" i="1"/>
  <c r="Z111" i="1" s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Y180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Y229" i="1"/>
  <c r="BP256" i="1"/>
  <c r="BN256" i="1"/>
  <c r="Z256" i="1"/>
  <c r="BP274" i="1"/>
  <c r="BN274" i="1"/>
  <c r="Z274" i="1"/>
  <c r="Y276" i="1"/>
  <c r="O503" i="1"/>
  <c r="Y282" i="1"/>
  <c r="BP279" i="1"/>
  <c r="BN279" i="1"/>
  <c r="Z279" i="1"/>
  <c r="Y283" i="1"/>
  <c r="BP292" i="1"/>
  <c r="BN292" i="1"/>
  <c r="Z292" i="1"/>
  <c r="Z293" i="1" s="1"/>
  <c r="Y294" i="1"/>
  <c r="Q503" i="1"/>
  <c r="Y302" i="1"/>
  <c r="BP297" i="1"/>
  <c r="BN297" i="1"/>
  <c r="Z297" i="1"/>
  <c r="BP301" i="1"/>
  <c r="BN301" i="1"/>
  <c r="Z301" i="1"/>
  <c r="Y303" i="1"/>
  <c r="Y312" i="1"/>
  <c r="BP305" i="1"/>
  <c r="BN305" i="1"/>
  <c r="Z305" i="1"/>
  <c r="Y311" i="1"/>
  <c r="BP309" i="1"/>
  <c r="BN309" i="1"/>
  <c r="Z309" i="1"/>
  <c r="Z344" i="1"/>
  <c r="BP342" i="1"/>
  <c r="BN342" i="1"/>
  <c r="Z342" i="1"/>
  <c r="Y344" i="1"/>
  <c r="C503" i="1"/>
  <c r="Y44" i="1"/>
  <c r="D503" i="1"/>
  <c r="Y57" i="1"/>
  <c r="E503" i="1"/>
  <c r="Y88" i="1"/>
  <c r="F503" i="1"/>
  <c r="Y105" i="1"/>
  <c r="G503" i="1"/>
  <c r="Y128" i="1"/>
  <c r="BP184" i="1"/>
  <c r="BN184" i="1"/>
  <c r="Z184" i="1"/>
  <c r="Z186" i="1" s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2" i="1" s="1"/>
  <c r="BP238" i="1"/>
  <c r="BN238" i="1"/>
  <c r="Z238" i="1"/>
  <c r="Y242" i="1"/>
  <c r="BP254" i="1"/>
  <c r="BN254" i="1"/>
  <c r="Z254" i="1"/>
  <c r="Z258" i="1" s="1"/>
  <c r="Y258" i="1"/>
  <c r="Z267" i="1"/>
  <c r="BP263" i="1"/>
  <c r="BN263" i="1"/>
  <c r="Z263" i="1"/>
  <c r="Y267" i="1"/>
  <c r="BP272" i="1"/>
  <c r="BN272" i="1"/>
  <c r="Z272" i="1"/>
  <c r="Z275" i="1" s="1"/>
  <c r="BP281" i="1"/>
  <c r="BN281" i="1"/>
  <c r="Z281" i="1"/>
  <c r="P503" i="1"/>
  <c r="Y289" i="1"/>
  <c r="BP286" i="1"/>
  <c r="BN286" i="1"/>
  <c r="Z286" i="1"/>
  <c r="Z288" i="1" s="1"/>
  <c r="Y293" i="1"/>
  <c r="BP299" i="1"/>
  <c r="BN299" i="1"/>
  <c r="Z299" i="1"/>
  <c r="BP307" i="1"/>
  <c r="BN307" i="1"/>
  <c r="Z307" i="1"/>
  <c r="BP315" i="1"/>
  <c r="BN315" i="1"/>
  <c r="Z315" i="1"/>
  <c r="BP323" i="1"/>
  <c r="BN323" i="1"/>
  <c r="Z323" i="1"/>
  <c r="Y332" i="1"/>
  <c r="BP327" i="1"/>
  <c r="BN327" i="1"/>
  <c r="Z327" i="1"/>
  <c r="Z331" i="1" s="1"/>
  <c r="Y331" i="1"/>
  <c r="Z337" i="1"/>
  <c r="BP335" i="1"/>
  <c r="BN335" i="1"/>
  <c r="Z335" i="1"/>
  <c r="BP352" i="1"/>
  <c r="BN352" i="1"/>
  <c r="Z352" i="1"/>
  <c r="J503" i="1"/>
  <c r="Y196" i="1"/>
  <c r="K503" i="1"/>
  <c r="Y243" i="1"/>
  <c r="L503" i="1"/>
  <c r="Y268" i="1"/>
  <c r="M503" i="1"/>
  <c r="Y275" i="1"/>
  <c r="Y356" i="1"/>
  <c r="BP350" i="1"/>
  <c r="BN350" i="1"/>
  <c r="Z350" i="1"/>
  <c r="Z356" i="1" s="1"/>
  <c r="Z401" i="1"/>
  <c r="R503" i="1"/>
  <c r="Y345" i="1"/>
  <c r="Z354" i="1"/>
  <c r="BN354" i="1"/>
  <c r="Y357" i="1"/>
  <c r="Z360" i="1"/>
  <c r="Z361" i="1" s="1"/>
  <c r="BN360" i="1"/>
  <c r="BP360" i="1"/>
  <c r="Z364" i="1"/>
  <c r="Z366" i="1" s="1"/>
  <c r="BN364" i="1"/>
  <c r="BP364" i="1"/>
  <c r="Y367" i="1"/>
  <c r="T503" i="1"/>
  <c r="Z375" i="1"/>
  <c r="Z376" i="1" s="1"/>
  <c r="BN375" i="1"/>
  <c r="BP375" i="1"/>
  <c r="Y376" i="1"/>
  <c r="Z379" i="1"/>
  <c r="Z381" i="1" s="1"/>
  <c r="BN379" i="1"/>
  <c r="BP379" i="1"/>
  <c r="Y382" i="1"/>
  <c r="Z385" i="1"/>
  <c r="Z387" i="1" s="1"/>
  <c r="BN385" i="1"/>
  <c r="BP385" i="1"/>
  <c r="Z393" i="1"/>
  <c r="BN393" i="1"/>
  <c r="Z395" i="1"/>
  <c r="BN395" i="1"/>
  <c r="Z397" i="1"/>
  <c r="BN397" i="1"/>
  <c r="Z399" i="1"/>
  <c r="BN399" i="1"/>
  <c r="Y402" i="1"/>
  <c r="Z405" i="1"/>
  <c r="Z406" i="1" s="1"/>
  <c r="BN405" i="1"/>
  <c r="BP405" i="1"/>
  <c r="Z410" i="1"/>
  <c r="Z411" i="1" s="1"/>
  <c r="BN410" i="1"/>
  <c r="BP410" i="1"/>
  <c r="Y411" i="1"/>
  <c r="Z414" i="1"/>
  <c r="BN414" i="1"/>
  <c r="BP414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5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01" i="1"/>
  <c r="Y412" i="1"/>
  <c r="Z415" i="1"/>
  <c r="BN415" i="1"/>
  <c r="Z417" i="1"/>
  <c r="BN417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Z455" i="1" s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Z473" i="1" s="1"/>
  <c r="Y486" i="1"/>
  <c r="Y503" i="1"/>
  <c r="Y440" i="1"/>
  <c r="Z440" i="1" l="1"/>
  <c r="Y493" i="1"/>
  <c r="Y495" i="1"/>
  <c r="Z446" i="1"/>
  <c r="Z418" i="1"/>
  <c r="Z318" i="1"/>
  <c r="Z212" i="1"/>
  <c r="Z311" i="1"/>
  <c r="Z302" i="1"/>
  <c r="Z282" i="1"/>
  <c r="Z224" i="1"/>
  <c r="Z180" i="1"/>
  <c r="Z118" i="1"/>
  <c r="Z498" i="1" s="1"/>
  <c r="Y494" i="1"/>
  <c r="Y496" i="1" s="1"/>
  <c r="Z324" i="1"/>
  <c r="Y497" i="1"/>
</calcChain>
</file>

<file path=xl/sharedStrings.xml><?xml version="1.0" encoding="utf-8"?>
<sst xmlns="http://schemas.openxmlformats.org/spreadsheetml/2006/main" count="2302" uniqueCount="773">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</sst>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3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42</v>
      </c>
      <c r="Y51" s="550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43.537500000000001</v>
      </c>
      <c r="BN51" s="64">
        <f t="shared" ref="BN51:BN56" si="2">IFERROR(Y51*I51/H51,"0")</f>
        <v>46.44</v>
      </c>
      <c r="BO51" s="64">
        <f t="shared" ref="BO51:BO56" si="3">IFERROR(1/J51*(X51/H51),"0")</f>
        <v>5.8593750000000007E-2</v>
      </c>
      <c r="BP51" s="64">
        <f t="shared" ref="BP51:BP56" si="4">IFERROR(1/J51*(Y51/H51),"0")</f>
        <v>6.25E-2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21</v>
      </c>
      <c r="Y54" s="550">
        <f t="shared" si="0"/>
        <v>24</v>
      </c>
      <c r="Z54" s="36">
        <f>IFERROR(IF(Y54=0,"",ROUNDUP(Y54/H54,0)*0.00902),"")</f>
        <v>5.4120000000000001E-2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21.997500000000002</v>
      </c>
      <c r="BN54" s="64">
        <f t="shared" si="2"/>
        <v>25.14</v>
      </c>
      <c r="BO54" s="64">
        <f t="shared" si="3"/>
        <v>3.9772727272727272E-2</v>
      </c>
      <c r="BP54" s="64">
        <f t="shared" si="4"/>
        <v>4.5454545454545456E-2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9</v>
      </c>
      <c r="Y57" s="551">
        <f>IFERROR(Y51/H51,"0")+IFERROR(Y52/H52,"0")+IFERROR(Y53/H53,"0")+IFERROR(Y54/H54,"0")+IFERROR(Y55/H55,"0")+IFERROR(Y56/H56,"0")</f>
        <v>10</v>
      </c>
      <c r="Z57" s="551">
        <f>IFERROR(IF(Z51="",0,Z51),"0")+IFERROR(IF(Z52="",0,Z52),"0")+IFERROR(IF(Z53="",0,Z53),"0")+IFERROR(IF(Z54="",0,Z54),"0")+IFERROR(IF(Z55="",0,Z55),"0")+IFERROR(IF(Z56="",0,Z56),"0")</f>
        <v>0.13003999999999999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63</v>
      </c>
      <c r="Y58" s="551">
        <f>IFERROR(SUM(Y51:Y56),"0")</f>
        <v>68.8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4</v>
      </c>
      <c r="Y60" s="55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4.1518518518518519</v>
      </c>
      <c r="BN60" s="64">
        <f>IFERROR(Y60*I60/H60,"0")</f>
        <v>11.21</v>
      </c>
      <c r="BO60" s="64">
        <f>IFERROR(1/J60*(X60/H60),"0")</f>
        <v>5.7870370370370367E-3</v>
      </c>
      <c r="BP60" s="64">
        <f>IFERROR(1/J60*(Y60/H60),"0")</f>
        <v>1.5625E-2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0.37037037037037035</v>
      </c>
      <c r="Y63" s="551">
        <f>IFERROR(Y60/H60,"0")+IFERROR(Y61/H61,"0")+IFERROR(Y62/H62,"0")</f>
        <v>1</v>
      </c>
      <c r="Z63" s="551">
        <f>IFERROR(IF(Z60="",0,Z60),"0")+IFERROR(IF(Z61="",0,Z61),"0")+IFERROR(IF(Z62="",0,Z62),"0")</f>
        <v>1.898E-2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4</v>
      </c>
      <c r="Y64" s="551">
        <f>IFERROR(SUM(Y60:Y62),"0")</f>
        <v>10.8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18</v>
      </c>
      <c r="Y78" s="550">
        <f>IFERROR(IF(X78="",0,CEILING((X78/$H78),1)*$H78),"")</f>
        <v>23.4</v>
      </c>
      <c r="Z78" s="36">
        <f>IFERROR(IF(Y78=0,"",ROUNDUP(Y78/H78,0)*0.01898),"")</f>
        <v>5.6940000000000004E-2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18.946153846153852</v>
      </c>
      <c r="BN78" s="64">
        <f>IFERROR(Y78*I78/H78,"0")</f>
        <v>24.630000000000003</v>
      </c>
      <c r="BO78" s="64">
        <f>IFERROR(1/J78*(X78/H78),"0")</f>
        <v>3.6057692307692311E-2</v>
      </c>
      <c r="BP78" s="64">
        <f>IFERROR(1/J78*(Y78/H78),"0")</f>
        <v>4.6875E-2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2.3076923076923079</v>
      </c>
      <c r="Y80" s="551">
        <f>IFERROR(Y78/H78,"0")+IFERROR(Y79/H79,"0")</f>
        <v>3</v>
      </c>
      <c r="Z80" s="551">
        <f>IFERROR(IF(Z78="",0,Z78),"0")+IFERROR(IF(Z79="",0,Z79),"0")</f>
        <v>5.6940000000000004E-2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18</v>
      </c>
      <c r="Y81" s="551">
        <f>IFERROR(SUM(Y78:Y79),"0")</f>
        <v>23.4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194</v>
      </c>
      <c r="Y84" s="550">
        <f>IFERROR(IF(X84="",0,CEILING((X84/$H84),1)*$H84),"")</f>
        <v>194.4</v>
      </c>
      <c r="Z84" s="36">
        <f>IFERROR(IF(Y84=0,"",ROUNDUP(Y84/H84,0)*0.01898),"")</f>
        <v>0.34164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201.36481481481482</v>
      </c>
      <c r="BN84" s="64">
        <f>IFERROR(Y84*I84/H84,"0")</f>
        <v>201.78</v>
      </c>
      <c r="BO84" s="64">
        <f>IFERROR(1/J84*(X84/H84),"0")</f>
        <v>0.28067129629629628</v>
      </c>
      <c r="BP84" s="64">
        <f>IFERROR(1/J84*(Y84/H84),"0")</f>
        <v>0.28125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86</v>
      </c>
      <c r="Y87" s="550">
        <f>IFERROR(IF(X87="",0,CEILING((X87/$H87),1)*$H87),"")</f>
        <v>90</v>
      </c>
      <c r="Z87" s="36">
        <f>IFERROR(IF(Y87=0,"",ROUNDUP(Y87/H87,0)*0.00902),"")</f>
        <v>0.1804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89.631111111111125</v>
      </c>
      <c r="BN87" s="64">
        <f>IFERROR(Y87*I87/H87,"0")</f>
        <v>93.800000000000011</v>
      </c>
      <c r="BO87" s="64">
        <f>IFERROR(1/J87*(X87/H87),"0")</f>
        <v>0.14478114478114479</v>
      </c>
      <c r="BP87" s="64">
        <f>IFERROR(1/J87*(Y87/H87),"0")</f>
        <v>0.15151515151515152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37.074074074074076</v>
      </c>
      <c r="Y88" s="551">
        <f>IFERROR(Y84/H84,"0")+IFERROR(Y85/H85,"0")+IFERROR(Y86/H86,"0")+IFERROR(Y87/H87,"0")</f>
        <v>38</v>
      </c>
      <c r="Z88" s="551">
        <f>IFERROR(IF(Z84="",0,Z84),"0")+IFERROR(IF(Z85="",0,Z85),"0")+IFERROR(IF(Z86="",0,Z86),"0")+IFERROR(IF(Z87="",0,Z87),"0")</f>
        <v>0.52204000000000006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280</v>
      </c>
      <c r="Y89" s="551">
        <f>IFERROR(SUM(Y84:Y87),"0")</f>
        <v>284.39999999999998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37</v>
      </c>
      <c r="Y91" s="550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39.25654320987654</v>
      </c>
      <c r="BN91" s="64">
        <f>IFERROR(Y91*I91/H91,"0")</f>
        <v>42.97</v>
      </c>
      <c r="BO91" s="64">
        <f>IFERROR(1/J91*(X91/H91),"0")</f>
        <v>7.1373456790123455E-2</v>
      </c>
      <c r="BP91" s="64">
        <f>IFERROR(1/J91*(Y91/H91),"0")</f>
        <v>7.8125E-2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298</v>
      </c>
      <c r="Y93" s="550">
        <f>IFERROR(IF(X93="",0,CEILING((X93/$H93),1)*$H93),"")</f>
        <v>299.70000000000005</v>
      </c>
      <c r="Z93" s="36">
        <f>IFERROR(IF(Y93=0,"",ROUNDUP(Y93/H93,0)*0.00651),"")</f>
        <v>0.72260999999999997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325.81333333333333</v>
      </c>
      <c r="BN93" s="64">
        <f>IFERROR(Y93*I93/H93,"0")</f>
        <v>327.67200000000003</v>
      </c>
      <c r="BO93" s="64">
        <f>IFERROR(1/J93*(X93/H93),"0")</f>
        <v>0.60643060643060642</v>
      </c>
      <c r="BP93" s="64">
        <f>IFERROR(1/J93*(Y93/H93),"0")</f>
        <v>0.60989010989011005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114.93827160493827</v>
      </c>
      <c r="Y95" s="551">
        <f>IFERROR(Y91/H91,"0")+IFERROR(Y92/H92,"0")+IFERROR(Y93/H93,"0")+IFERROR(Y94/H94,"0")</f>
        <v>116.00000000000001</v>
      </c>
      <c r="Z95" s="551">
        <f>IFERROR(IF(Z91="",0,Z91),"0")+IFERROR(IF(Z92="",0,Z92),"0")+IFERROR(IF(Z93="",0,Z93),"0")+IFERROR(IF(Z94="",0,Z94),"0")</f>
        <v>0.81750999999999996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335</v>
      </c>
      <c r="Y96" s="551">
        <f>IFERROR(SUM(Y91:Y94),"0")</f>
        <v>340.20000000000005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13</v>
      </c>
      <c r="Y107" s="550">
        <f>IFERROR(IF(X107="",0,CEILING((X107/$H107),1)*$H107),"")</f>
        <v>21.6</v>
      </c>
      <c r="Z107" s="36">
        <f>IFERROR(IF(Y107=0,"",ROUNDUP(Y107/H107,0)*0.01898),"")</f>
        <v>3.7960000000000001E-2</v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13.493518518518519</v>
      </c>
      <c r="BN107" s="64">
        <f>IFERROR(Y107*I107/H107,"0")</f>
        <v>22.42</v>
      </c>
      <c r="BO107" s="64">
        <f>IFERROR(1/J107*(X107/H107),"0")</f>
        <v>1.8807870370370371E-2</v>
      </c>
      <c r="BP107" s="64">
        <f>IFERROR(1/J107*(Y107/H107),"0")</f>
        <v>3.125E-2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32</v>
      </c>
      <c r="Y110" s="550">
        <f>IFERROR(IF(X110="",0,CEILING((X110/$H110),1)*$H110),"")</f>
        <v>33.6</v>
      </c>
      <c r="Z110" s="36">
        <f>IFERROR(IF(Y110=0,"",ROUNDUP(Y110/H110,0)*0.00651),"")</f>
        <v>9.1139999999999999E-2</v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34.400000000000006</v>
      </c>
      <c r="BN110" s="64">
        <f>IFERROR(Y110*I110/H110,"0")</f>
        <v>36.120000000000005</v>
      </c>
      <c r="BO110" s="64">
        <f>IFERROR(1/J110*(X110/H110),"0")</f>
        <v>7.3260073260073263E-2</v>
      </c>
      <c r="BP110" s="64">
        <f>IFERROR(1/J110*(Y110/H110),"0")</f>
        <v>7.6923076923076941E-2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14.537037037037038</v>
      </c>
      <c r="Y111" s="551">
        <f>IFERROR(Y107/H107,"0")+IFERROR(Y108/H108,"0")+IFERROR(Y109/H109,"0")+IFERROR(Y110/H110,"0")</f>
        <v>16</v>
      </c>
      <c r="Z111" s="551">
        <f>IFERROR(IF(Z107="",0,Z107),"0")+IFERROR(IF(Z108="",0,Z108),"0")+IFERROR(IF(Z109="",0,Z109),"0")+IFERROR(IF(Z110="",0,Z110),"0")</f>
        <v>0.12909999999999999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45</v>
      </c>
      <c r="Y112" s="551">
        <f>IFERROR(SUM(Y107:Y110),"0")</f>
        <v>55.2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242</v>
      </c>
      <c r="Y114" s="550">
        <f>IFERROR(IF(X114="",0,CEILING((X114/$H114),1)*$H114),"")</f>
        <v>243</v>
      </c>
      <c r="Z114" s="36">
        <f>IFERROR(IF(Y114=0,"",ROUNDUP(Y114/H114,0)*0.01898),"")</f>
        <v>0.56940000000000002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256.57975308641971</v>
      </c>
      <c r="BN114" s="64">
        <f>IFERROR(Y114*I114/H114,"0")</f>
        <v>257.64</v>
      </c>
      <c r="BO114" s="64">
        <f>IFERROR(1/J114*(X114/H114),"0")</f>
        <v>0.46682098765432101</v>
      </c>
      <c r="BP114" s="64">
        <f>IFERROR(1/J114*(Y114/H114),"0")</f>
        <v>0.46875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329</v>
      </c>
      <c r="Y116" s="550">
        <f>IFERROR(IF(X116="",0,CEILING((X116/$H116),1)*$H116),"")</f>
        <v>329.40000000000003</v>
      </c>
      <c r="Z116" s="36">
        <f>IFERROR(IF(Y116=0,"",ROUNDUP(Y116/H116,0)*0.00651),"")</f>
        <v>0.79422000000000004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359.70666666666665</v>
      </c>
      <c r="BN116" s="64">
        <f>IFERROR(Y116*I116/H116,"0")</f>
        <v>360.14400000000001</v>
      </c>
      <c r="BO116" s="64">
        <f>IFERROR(1/J116*(X116/H116),"0")</f>
        <v>0.66951566951566954</v>
      </c>
      <c r="BP116" s="64">
        <f>IFERROR(1/J116*(Y116/H116),"0")</f>
        <v>0.67032967032967039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151.72839506172841</v>
      </c>
      <c r="Y118" s="551">
        <f>IFERROR(Y114/H114,"0")+IFERROR(Y115/H115,"0")+IFERROR(Y116/H116,"0")+IFERROR(Y117/H117,"0")</f>
        <v>152</v>
      </c>
      <c r="Z118" s="551">
        <f>IFERROR(IF(Z114="",0,Z114),"0")+IFERROR(IF(Z115="",0,Z115),"0")+IFERROR(IF(Z116="",0,Z116),"0")+IFERROR(IF(Z117="",0,Z117),"0")</f>
        <v>1.3636200000000001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571</v>
      </c>
      <c r="Y119" s="551">
        <f>IFERROR(SUM(Y114:Y117),"0")</f>
        <v>572.40000000000009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120</v>
      </c>
      <c r="Y168" s="550">
        <f t="shared" si="10"/>
        <v>121.80000000000001</v>
      </c>
      <c r="Z168" s="36">
        <f>IFERROR(IF(Y168=0,"",ROUNDUP(Y168/H168,0)*0.00902),"")</f>
        <v>0.26158000000000003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125.42857142857142</v>
      </c>
      <c r="BN168" s="64">
        <f t="shared" si="12"/>
        <v>127.30999999999999</v>
      </c>
      <c r="BO168" s="64">
        <f t="shared" si="13"/>
        <v>0.21645021645021645</v>
      </c>
      <c r="BP168" s="64">
        <f t="shared" si="14"/>
        <v>0.2196969696969697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53</v>
      </c>
      <c r="Y170" s="550">
        <f t="shared" si="10"/>
        <v>54.6</v>
      </c>
      <c r="Z170" s="36">
        <f>IFERROR(IF(Y170=0,"",ROUNDUP(Y170/H170,0)*0.00502),"")</f>
        <v>0.13052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56.280952380952378</v>
      </c>
      <c r="BN170" s="64">
        <f t="shared" si="12"/>
        <v>57.98</v>
      </c>
      <c r="BO170" s="64">
        <f t="shared" si="13"/>
        <v>0.10785510785510787</v>
      </c>
      <c r="BP170" s="64">
        <f t="shared" si="14"/>
        <v>0.11111111111111112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19</v>
      </c>
      <c r="Y175" s="550">
        <f t="shared" si="10"/>
        <v>19.8</v>
      </c>
      <c r="Z175" s="36">
        <f>IFERROR(IF(Y175=0,"",ROUNDUP(Y175/H175,0)*0.00502),"")</f>
        <v>5.5220000000000005E-2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20.372222222222224</v>
      </c>
      <c r="BN175" s="64">
        <f t="shared" si="12"/>
        <v>21.23</v>
      </c>
      <c r="BO175" s="64">
        <f t="shared" si="13"/>
        <v>4.5109211775878448E-2</v>
      </c>
      <c r="BP175" s="64">
        <f t="shared" si="14"/>
        <v>4.7008547008547015E-2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110</v>
      </c>
      <c r="Y177" s="550">
        <f t="shared" si="10"/>
        <v>111.30000000000001</v>
      </c>
      <c r="Z177" s="36">
        <f>IFERROR(IF(Y177=0,"",ROUNDUP(Y177/H177,0)*0.00502),"")</f>
        <v>0.26606000000000002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115.23809523809524</v>
      </c>
      <c r="BN177" s="64">
        <f t="shared" si="12"/>
        <v>116.60000000000001</v>
      </c>
      <c r="BO177" s="64">
        <f t="shared" si="13"/>
        <v>0.22385022385022388</v>
      </c>
      <c r="BP177" s="64">
        <f t="shared" si="14"/>
        <v>0.22649572649572652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116.74603174603175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119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0.71338000000000001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302</v>
      </c>
      <c r="Y181" s="551">
        <f>IFERROR(SUM(Y166:Y179),"0")</f>
        <v>307.5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4</v>
      </c>
      <c r="Y184" s="550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4.6031746031746028</v>
      </c>
      <c r="BN184" s="64">
        <f>IFERROR(Y184*I184/H184,"0")</f>
        <v>5.8</v>
      </c>
      <c r="BO184" s="64">
        <f>IFERROR(1/J184*(X184/H184),"0")</f>
        <v>1.469723691945914E-2</v>
      </c>
      <c r="BP184" s="64">
        <f>IFERROR(1/J184*(Y184/H184),"0")</f>
        <v>1.8518518518518517E-2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12</v>
      </c>
      <c r="Y185" s="550">
        <f>IFERROR(IF(X185="",0,CEILING((X185/$H185),1)*$H185),"")</f>
        <v>12.6</v>
      </c>
      <c r="Z185" s="36">
        <f>IFERROR(IF(Y185=0,"",ROUNDUP(Y185/H185,0)*0.0059),"")</f>
        <v>5.8999999999999997E-2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13.809523809523808</v>
      </c>
      <c r="BN185" s="64">
        <f>IFERROR(Y185*I185/H185,"0")</f>
        <v>14.5</v>
      </c>
      <c r="BO185" s="64">
        <f>IFERROR(1/J185*(X185/H185),"0")</f>
        <v>4.4091710758377423E-2</v>
      </c>
      <c r="BP185" s="64">
        <f>IFERROR(1/J185*(Y185/H185),"0")</f>
        <v>4.6296296296296294E-2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12.698412698412698</v>
      </c>
      <c r="Y186" s="551">
        <f>IFERROR(Y183/H183,"0")+IFERROR(Y184/H184,"0")+IFERROR(Y185/H185,"0")</f>
        <v>14</v>
      </c>
      <c r="Z186" s="551">
        <f>IFERROR(IF(Z183="",0,Z183),"0")+IFERROR(IF(Z184="",0,Z184),"0")+IFERROR(IF(Z185="",0,Z185),"0")</f>
        <v>8.2599999999999993E-2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16</v>
      </c>
      <c r="Y187" s="551">
        <f>IFERROR(SUM(Y183:Y185),"0")</f>
        <v>17.64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14</v>
      </c>
      <c r="Y207" s="550">
        <f t="shared" si="15"/>
        <v>16.200000000000003</v>
      </c>
      <c r="Z207" s="36">
        <f>IFERROR(IF(Y207=0,"",ROUNDUP(Y207/H207,0)*0.00902),"")</f>
        <v>2.7060000000000001E-2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14.49259259259259</v>
      </c>
      <c r="BN207" s="64">
        <f t="shared" si="17"/>
        <v>16.77</v>
      </c>
      <c r="BO207" s="64">
        <f t="shared" si="18"/>
        <v>1.9640852974186308E-2</v>
      </c>
      <c r="BP207" s="64">
        <f t="shared" si="19"/>
        <v>2.2727272727272731E-2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68</v>
      </c>
      <c r="Y208" s="550">
        <f t="shared" si="15"/>
        <v>68.400000000000006</v>
      </c>
      <c r="Z208" s="36">
        <f>IFERROR(IF(Y208=0,"",ROUNDUP(Y208/H208,0)*0.00502),"")</f>
        <v>0.19076000000000001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72.911111111111111</v>
      </c>
      <c r="BN208" s="64">
        <f t="shared" si="17"/>
        <v>73.34</v>
      </c>
      <c r="BO208" s="64">
        <f t="shared" si="18"/>
        <v>0.16144349477682812</v>
      </c>
      <c r="BP208" s="64">
        <f t="shared" si="19"/>
        <v>0.1623931623931624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42</v>
      </c>
      <c r="Y209" s="550">
        <f t="shared" si="15"/>
        <v>43.2</v>
      </c>
      <c r="Z209" s="36">
        <f>IFERROR(IF(Y209=0,"",ROUNDUP(Y209/H209,0)*0.00502),"")</f>
        <v>0.12048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44.333333333333329</v>
      </c>
      <c r="BN209" s="64">
        <f t="shared" si="17"/>
        <v>45.6</v>
      </c>
      <c r="BO209" s="64">
        <f t="shared" si="18"/>
        <v>9.9715099715099717E-2</v>
      </c>
      <c r="BP209" s="64">
        <f t="shared" si="19"/>
        <v>0.10256410256410257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63.703703703703709</v>
      </c>
      <c r="Y212" s="551">
        <f>IFERROR(Y204/H204,"0")+IFERROR(Y205/H205,"0")+IFERROR(Y206/H206,"0")+IFERROR(Y207/H207,"0")+IFERROR(Y208/H208,"0")+IFERROR(Y209/H209,"0")+IFERROR(Y210/H210,"0")+IFERROR(Y211/H211,"0")</f>
        <v>65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0.33830000000000005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124</v>
      </c>
      <c r="Y213" s="551">
        <f>IFERROR(SUM(Y204:Y211),"0")</f>
        <v>127.80000000000001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127</v>
      </c>
      <c r="Y215" s="550">
        <f t="shared" ref="Y215:Y223" si="20">IFERROR(IF(X215="",0,CEILING((X215/$H215),1)*$H215),"")</f>
        <v>129.6</v>
      </c>
      <c r="Z215" s="36">
        <f>IFERROR(IF(Y215=0,"",ROUNDUP(Y215/H215,0)*0.01898),"")</f>
        <v>0.30368000000000001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134.74543209876543</v>
      </c>
      <c r="BN215" s="64">
        <f t="shared" ref="BN215:BN223" si="22">IFERROR(Y215*I215/H215,"0")</f>
        <v>137.50399999999999</v>
      </c>
      <c r="BO215" s="64">
        <f t="shared" ref="BO215:BO223" si="23">IFERROR(1/J215*(X215/H215),"0")</f>
        <v>0.24498456790123457</v>
      </c>
      <c r="BP215" s="64">
        <f t="shared" ref="BP215:BP223" si="24">IFERROR(1/J215*(Y215/H215),"0")</f>
        <v>0.25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4</v>
      </c>
      <c r="Y216" s="550">
        <f t="shared" si="20"/>
        <v>8.1</v>
      </c>
      <c r="Z216" s="36">
        <f>IFERROR(IF(Y216=0,"",ROUNDUP(Y216/H216,0)*0.01898),"")</f>
        <v>1.898E-2</v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4.2350617283950625</v>
      </c>
      <c r="BN216" s="64">
        <f t="shared" si="22"/>
        <v>8.5760000000000005</v>
      </c>
      <c r="BO216" s="64">
        <f t="shared" si="23"/>
        <v>7.7160493827160498E-3</v>
      </c>
      <c r="BP216" s="64">
        <f t="shared" si="24"/>
        <v>1.5625E-2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194</v>
      </c>
      <c r="Y217" s="550">
        <f t="shared" si="20"/>
        <v>200.1</v>
      </c>
      <c r="Z217" s="36">
        <f>IFERROR(IF(Y217=0,"",ROUNDUP(Y217/H217,0)*0.01898),"")</f>
        <v>0.43653999999999998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205.01563218390808</v>
      </c>
      <c r="BN217" s="64">
        <f t="shared" si="22"/>
        <v>211.46200000000005</v>
      </c>
      <c r="BO217" s="64">
        <f t="shared" si="23"/>
        <v>0.34841954022988508</v>
      </c>
      <c r="BP217" s="64">
        <f t="shared" si="24"/>
        <v>0.359375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101</v>
      </c>
      <c r="Y218" s="550">
        <f t="shared" si="20"/>
        <v>103.2</v>
      </c>
      <c r="Z218" s="36">
        <f t="shared" ref="Z218:Z223" si="25">IFERROR(IF(Y218=0,"",ROUNDUP(Y218/H218,0)*0.00651),"")</f>
        <v>0.27993000000000001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112.36250000000001</v>
      </c>
      <c r="BN218" s="64">
        <f t="shared" si="22"/>
        <v>114.81</v>
      </c>
      <c r="BO218" s="64">
        <f t="shared" si="23"/>
        <v>0.23122710622710627</v>
      </c>
      <c r="BP218" s="64">
        <f t="shared" si="24"/>
        <v>0.23626373626373628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181</v>
      </c>
      <c r="Y220" s="550">
        <f t="shared" si="20"/>
        <v>182.4</v>
      </c>
      <c r="Z220" s="36">
        <f t="shared" si="25"/>
        <v>0.49476000000000003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200.005</v>
      </c>
      <c r="BN220" s="64">
        <f t="shared" si="22"/>
        <v>201.55200000000002</v>
      </c>
      <c r="BO220" s="64">
        <f t="shared" si="23"/>
        <v>0.41437728937728946</v>
      </c>
      <c r="BP220" s="64">
        <f t="shared" si="24"/>
        <v>0.4175824175824176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157</v>
      </c>
      <c r="Y221" s="550">
        <f t="shared" si="20"/>
        <v>158.4</v>
      </c>
      <c r="Z221" s="36">
        <f t="shared" si="25"/>
        <v>0.42965999999999999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173.48500000000001</v>
      </c>
      <c r="BN221" s="64">
        <f t="shared" si="22"/>
        <v>175.03200000000004</v>
      </c>
      <c r="BO221" s="64">
        <f t="shared" si="23"/>
        <v>0.35943223443223449</v>
      </c>
      <c r="BP221" s="64">
        <f t="shared" si="24"/>
        <v>0.36263736263736268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8</v>
      </c>
      <c r="Y222" s="550">
        <f t="shared" si="20"/>
        <v>9.6</v>
      </c>
      <c r="Z222" s="36">
        <f t="shared" si="25"/>
        <v>2.6040000000000001E-2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8.8400000000000016</v>
      </c>
      <c r="BN222" s="64">
        <f t="shared" si="22"/>
        <v>10.608000000000001</v>
      </c>
      <c r="BO222" s="64">
        <f t="shared" si="23"/>
        <v>1.8315018315018316E-2</v>
      </c>
      <c r="BP222" s="64">
        <f t="shared" si="24"/>
        <v>2.197802197802198E-2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121</v>
      </c>
      <c r="Y223" s="550">
        <f t="shared" si="20"/>
        <v>122.39999999999999</v>
      </c>
      <c r="Z223" s="36">
        <f t="shared" si="25"/>
        <v>0.33201000000000003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134.00749999999999</v>
      </c>
      <c r="BN223" s="64">
        <f t="shared" si="22"/>
        <v>135.55799999999999</v>
      </c>
      <c r="BO223" s="64">
        <f t="shared" si="23"/>
        <v>0.27701465201465209</v>
      </c>
      <c r="BP223" s="64">
        <f t="shared" si="24"/>
        <v>0.28021978021978022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275.13835674755217</v>
      </c>
      <c r="Y224" s="551">
        <f>IFERROR(Y215/H215,"0")+IFERROR(Y216/H216,"0")+IFERROR(Y217/H217,"0")+IFERROR(Y218/H218,"0")+IFERROR(Y219/H219,"0")+IFERROR(Y220/H220,"0")+IFERROR(Y221/H221,"0")+IFERROR(Y222/H222,"0")+IFERROR(Y223/H223,"0")</f>
        <v>280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2.3216000000000001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893</v>
      </c>
      <c r="Y225" s="551">
        <f>IFERROR(SUM(Y215:Y223),"0")</f>
        <v>913.8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24</v>
      </c>
      <c r="Y228" s="550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10</v>
      </c>
      <c r="Y229" s="551">
        <f>IFERROR(Y227/H227,"0")+IFERROR(Y228/H228,"0")</f>
        <v>10</v>
      </c>
      <c r="Z229" s="551">
        <f>IFERROR(IF(Z227="",0,Z227),"0")+IFERROR(IF(Z228="",0,Z228),"0")</f>
        <v>6.5100000000000005E-2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24</v>
      </c>
      <c r="Y230" s="551">
        <f>IFERROR(SUM(Y227:Y228),"0")</f>
        <v>24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4</v>
      </c>
      <c r="Y233" s="550">
        <f t="shared" ref="Y233:Y241" si="26">IFERROR(IF(X233="",0,CEILING((X233/$H233),1)*$H233),"")</f>
        <v>11.6</v>
      </c>
      <c r="Z233" s="36">
        <f>IFERROR(IF(Y233=0,"",ROUNDUP(Y233/H233,0)*0.01898),"")</f>
        <v>1.898E-2</v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4.1413793103448278</v>
      </c>
      <c r="BN233" s="64">
        <f t="shared" ref="BN233:BN241" si="28">IFERROR(Y233*I233/H233,"0")</f>
        <v>12.01</v>
      </c>
      <c r="BO233" s="64">
        <f t="shared" ref="BO233:BO241" si="29">IFERROR(1/J233*(X233/H233),"0")</f>
        <v>5.387931034482759E-3</v>
      </c>
      <c r="BP233" s="64">
        <f t="shared" ref="BP233:BP241" si="30">IFERROR(1/J233*(Y233/H233),"0")</f>
        <v>1.5625E-2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0.34482758620689657</v>
      </c>
      <c r="Y242" s="551">
        <f>IFERROR(Y233/H233,"0")+IFERROR(Y234/H234,"0")+IFERROR(Y235/H235,"0")+IFERROR(Y236/H236,"0")+IFERROR(Y237/H237,"0")+IFERROR(Y238/H238,"0")+IFERROR(Y239/H239,"0")+IFERROR(Y240/H240,"0")+IFERROR(Y241/H241,"0")</f>
        <v>1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1.898E-2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4</v>
      </c>
      <c r="Y243" s="551">
        <f>IFERROR(SUM(Y233:Y241),"0")</f>
        <v>11.6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2</v>
      </c>
      <c r="Y255" s="550">
        <f>IFERROR(IF(X255="",0,CEILING((X255/$H255),1)*$H255),"")</f>
        <v>2.7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2.4222222222222225</v>
      </c>
      <c r="BN255" s="64">
        <f>IFERROR(Y255*I255/H255,"0")</f>
        <v>3.2700000000000005</v>
      </c>
      <c r="BO255" s="64">
        <f>IFERROR(1/J255*(X255/H255),"0")</f>
        <v>1.0288065843621399E-2</v>
      </c>
      <c r="BP255" s="64">
        <f>IFERROR(1/J255*(Y255/H255),"0")</f>
        <v>1.3888888888888888E-2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2.2222222222222223</v>
      </c>
      <c r="Y258" s="551">
        <f>IFERROR(Y253/H253,"0")+IFERROR(Y254/H254,"0")+IFERROR(Y255/H255,"0")+IFERROR(Y256/H256,"0")+IFERROR(Y257/H257,"0")</f>
        <v>3</v>
      </c>
      <c r="Z258" s="551">
        <f>IFERROR(IF(Z253="",0,Z253),"0")+IFERROR(IF(Z254="",0,Z254),"0")+IFERROR(IF(Z255="",0,Z255),"0")+IFERROR(IF(Z256="",0,Z256),"0")+IFERROR(IF(Z257="",0,Z257),"0")</f>
        <v>1.77E-2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2</v>
      </c>
      <c r="Y259" s="551">
        <f>IFERROR(SUM(Y253:Y257),"0")</f>
        <v>2.7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126</v>
      </c>
      <c r="Y280" s="550">
        <f>IFERROR(IF(X280="",0,CEILING((X280/$H280),1)*$H280),"")</f>
        <v>127.19999999999999</v>
      </c>
      <c r="Z280" s="36">
        <f>IFERROR(IF(Y280=0,"",ROUNDUP(Y280/H280,0)*0.00651),"")</f>
        <v>0.34503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139.23000000000002</v>
      </c>
      <c r="BN280" s="64">
        <f>IFERROR(Y280*I280/H280,"0")</f>
        <v>140.55599999999998</v>
      </c>
      <c r="BO280" s="64">
        <f>IFERROR(1/J280*(X280/H280),"0")</f>
        <v>0.28846153846153849</v>
      </c>
      <c r="BP280" s="64">
        <f>IFERROR(1/J280*(Y280/H280),"0")</f>
        <v>0.29120879120879123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113</v>
      </c>
      <c r="Y281" s="550">
        <f>IFERROR(IF(X281="",0,CEILING((X281/$H281),1)*$H281),"")</f>
        <v>115.19999999999999</v>
      </c>
      <c r="Z281" s="36">
        <f>IFERROR(IF(Y281=0,"",ROUNDUP(Y281/H281,0)*0.00651),"")</f>
        <v>0.31247999999999998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121.47500000000001</v>
      </c>
      <c r="BN281" s="64">
        <f>IFERROR(Y281*I281/H281,"0")</f>
        <v>123.83999999999999</v>
      </c>
      <c r="BO281" s="64">
        <f>IFERROR(1/J281*(X281/H281),"0")</f>
        <v>0.25869963369963372</v>
      </c>
      <c r="BP281" s="64">
        <f>IFERROR(1/J281*(Y281/H281),"0")</f>
        <v>0.26373626373626374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99.583333333333343</v>
      </c>
      <c r="Y282" s="551">
        <f>IFERROR(Y279/H279,"0")+IFERROR(Y280/H280,"0")+IFERROR(Y281/H281,"0")</f>
        <v>101</v>
      </c>
      <c r="Z282" s="551">
        <f>IFERROR(IF(Z279="",0,Z279),"0")+IFERROR(IF(Z280="",0,Z280),"0")+IFERROR(IF(Z281="",0,Z281),"0")</f>
        <v>0.65751000000000004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239</v>
      </c>
      <c r="Y283" s="551">
        <f>IFERROR(SUM(Y279:Y281),"0")</f>
        <v>242.39999999999998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3</v>
      </c>
      <c r="Y310" s="550">
        <f t="shared" si="31"/>
        <v>3.6</v>
      </c>
      <c r="Z310" s="36">
        <f>IFERROR(IF(Y310=0,"",ROUNDUP(Y310/H310,0)*0.00651),"")</f>
        <v>1.302E-2</v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3.38</v>
      </c>
      <c r="BN310" s="64">
        <f t="shared" si="33"/>
        <v>4.056</v>
      </c>
      <c r="BO310" s="64">
        <f t="shared" si="34"/>
        <v>9.1575091575091579E-3</v>
      </c>
      <c r="BP310" s="64">
        <f t="shared" si="35"/>
        <v>1.098901098901099E-2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1.6666666666666665</v>
      </c>
      <c r="Y311" s="551">
        <f>IFERROR(Y305/H305,"0")+IFERROR(Y306/H306,"0")+IFERROR(Y307/H307,"0")+IFERROR(Y308/H308,"0")+IFERROR(Y309/H309,"0")+IFERROR(Y310/H310,"0")</f>
        <v>2</v>
      </c>
      <c r="Z311" s="551">
        <f>IFERROR(IF(Z305="",0,Z305),"0")+IFERROR(IF(Z306="",0,Z306),"0")+IFERROR(IF(Z307="",0,Z307),"0")+IFERROR(IF(Z308="",0,Z308),"0")+IFERROR(IF(Z309="",0,Z309),"0")+IFERROR(IF(Z310="",0,Z310),"0")</f>
        <v>1.302E-2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3</v>
      </c>
      <c r="Y312" s="551">
        <f>IFERROR(SUM(Y305:Y310),"0")</f>
        <v>3.6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307</v>
      </c>
      <c r="Y322" s="550">
        <f>IFERROR(IF(X322="",0,CEILING((X322/$H322),1)*$H322),"")</f>
        <v>312</v>
      </c>
      <c r="Z322" s="36">
        <f>IFERROR(IF(Y322=0,"",ROUNDUP(Y322/H322,0)*0.01898),"")</f>
        <v>0.75919999999999999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326.44333333333338</v>
      </c>
      <c r="BN322" s="64">
        <f>IFERROR(Y322*I322/H322,"0")</f>
        <v>331.76</v>
      </c>
      <c r="BO322" s="64">
        <f>IFERROR(1/J322*(X322/H322),"0")</f>
        <v>0.61498397435897434</v>
      </c>
      <c r="BP322" s="64">
        <f>IFERROR(1/J322*(Y322/H322),"0")</f>
        <v>0.625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39.358974358974358</v>
      </c>
      <c r="Y324" s="551">
        <f>IFERROR(Y321/H321,"0")+IFERROR(Y322/H322,"0")+IFERROR(Y323/H323,"0")</f>
        <v>40</v>
      </c>
      <c r="Z324" s="551">
        <f>IFERROR(IF(Z321="",0,Z321),"0")+IFERROR(IF(Z322="",0,Z322),"0")+IFERROR(IF(Z323="",0,Z323),"0")</f>
        <v>0.75919999999999999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307</v>
      </c>
      <c r="Y325" s="551">
        <f>IFERROR(SUM(Y321:Y323),"0")</f>
        <v>312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22</v>
      </c>
      <c r="Y329" s="550">
        <f>IFERROR(IF(X329="",0,CEILING((X329/$H329),1)*$H329),"")</f>
        <v>22.95</v>
      </c>
      <c r="Z329" s="36">
        <f>IFERROR(IF(Y329=0,"",ROUNDUP(Y329/H329,0)*0.00651),"")</f>
        <v>5.8590000000000003E-2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25.494117647058829</v>
      </c>
      <c r="BN329" s="64">
        <f>IFERROR(Y329*I329/H329,"0")</f>
        <v>26.595000000000002</v>
      </c>
      <c r="BO329" s="64">
        <f>IFERROR(1/J329*(X329/H329),"0")</f>
        <v>4.7403576815341533E-2</v>
      </c>
      <c r="BP329" s="64">
        <f>IFERROR(1/J329*(Y329/H329),"0")</f>
        <v>4.9450549450549455E-2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4</v>
      </c>
      <c r="Y330" s="550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4.5176470588235293</v>
      </c>
      <c r="BN330" s="64">
        <f>IFERROR(Y330*I330/H330,"0")</f>
        <v>5.76</v>
      </c>
      <c r="BO330" s="64">
        <f>IFERROR(1/J330*(X330/H330),"0")</f>
        <v>8.6188321482439153E-3</v>
      </c>
      <c r="BP330" s="64">
        <f>IFERROR(1/J330*(Y330/H330),"0")</f>
        <v>1.098901098901099E-2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10.19607843137255</v>
      </c>
      <c r="Y331" s="551">
        <f>IFERROR(Y327/H327,"0")+IFERROR(Y328/H328,"0")+IFERROR(Y329/H329,"0")+IFERROR(Y330/H330,"0")</f>
        <v>11</v>
      </c>
      <c r="Z331" s="551">
        <f>IFERROR(IF(Z327="",0,Z327),"0")+IFERROR(IF(Z328="",0,Z328),"0")+IFERROR(IF(Z329="",0,Z329),"0")+IFERROR(IF(Z330="",0,Z330),"0")</f>
        <v>7.1610000000000007E-2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26</v>
      </c>
      <c r="Y332" s="551">
        <f>IFERROR(SUM(Y327:Y330),"0")</f>
        <v>28.049999999999997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4</v>
      </c>
      <c r="Y334" s="550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4</v>
      </c>
      <c r="Y335" s="550">
        <f>IFERROR(IF(X335="",0,CEILING((X335/$H335),1)*$H335),"")</f>
        <v>4</v>
      </c>
      <c r="Z335" s="36">
        <f>IFERROR(IF(Y335=0,"",ROUNDUP(Y335/H335,0)*0.00474),"")</f>
        <v>9.4800000000000006E-3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4.4800000000000004</v>
      </c>
      <c r="BN335" s="64">
        <f>IFERROR(Y335*I335/H335,"0")</f>
        <v>4.4800000000000004</v>
      </c>
      <c r="BO335" s="64">
        <f>IFERROR(1/J335*(X335/H335),"0")</f>
        <v>8.4033613445378148E-3</v>
      </c>
      <c r="BP335" s="64">
        <f>IFERROR(1/J335*(Y335/H335),"0")</f>
        <v>8.4033613445378148E-3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12</v>
      </c>
      <c r="Y336" s="550">
        <f>IFERROR(IF(X336="",0,CEILING((X336/$H336),1)*$H336),"")</f>
        <v>12</v>
      </c>
      <c r="Z336" s="36">
        <f>IFERROR(IF(Y336=0,"",ROUNDUP(Y336/H336,0)*0.00474),"")</f>
        <v>2.844E-2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13.440000000000001</v>
      </c>
      <c r="BN336" s="64">
        <f>IFERROR(Y336*I336/H336,"0")</f>
        <v>13.440000000000001</v>
      </c>
      <c r="BO336" s="64">
        <f>IFERROR(1/J336*(X336/H336),"0")</f>
        <v>2.5210084033613446E-2</v>
      </c>
      <c r="BP336" s="64">
        <f>IFERROR(1/J336*(Y336/H336),"0")</f>
        <v>2.5210084033613446E-2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10</v>
      </c>
      <c r="Y337" s="551">
        <f>IFERROR(Y334/H334,"0")+IFERROR(Y335/H335,"0")+IFERROR(Y336/H336,"0")</f>
        <v>10</v>
      </c>
      <c r="Z337" s="551">
        <f>IFERROR(IF(Z334="",0,Z334),"0")+IFERROR(IF(Z335="",0,Z335),"0")+IFERROR(IF(Z336="",0,Z336),"0")</f>
        <v>4.7399999999999998E-2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20</v>
      </c>
      <c r="Y338" s="551">
        <f>IFERROR(SUM(Y334:Y336),"0")</f>
        <v>20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821</v>
      </c>
      <c r="Y349" s="550">
        <f t="shared" ref="Y349:Y355" si="36">IFERROR(IF(X349="",0,CEILING((X349/$H349),1)*$H349),"")</f>
        <v>825</v>
      </c>
      <c r="Z349" s="36">
        <f>IFERROR(IF(Y349=0,"",ROUNDUP(Y349/H349,0)*0.02175),"")</f>
        <v>1.1962499999999998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846.72466666666674</v>
      </c>
      <c r="BN349" s="64">
        <f t="shared" ref="BN349:BN355" si="38">IFERROR(Y349*I349/H349,"0")</f>
        <v>850.85</v>
      </c>
      <c r="BO349" s="64">
        <f t="shared" ref="BO349:BO355" si="39">IFERROR(1/J349*(X349/H349),"0")</f>
        <v>1.1402777777777777</v>
      </c>
      <c r="BP349" s="64">
        <f t="shared" ref="BP349:BP355" si="40">IFERROR(1/J349*(Y349/H349),"0")</f>
        <v>1.1458333333333333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195</v>
      </c>
      <c r="Y350" s="550">
        <f t="shared" si="36"/>
        <v>195</v>
      </c>
      <c r="Z350" s="36">
        <f>IFERROR(IF(Y350=0,"",ROUNDUP(Y350/H350,0)*0.02175),"")</f>
        <v>0.28275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201.11</v>
      </c>
      <c r="BN350" s="64">
        <f t="shared" si="38"/>
        <v>201.11</v>
      </c>
      <c r="BO350" s="64">
        <f t="shared" si="39"/>
        <v>0.27083333333333331</v>
      </c>
      <c r="BP350" s="64">
        <f t="shared" si="40"/>
        <v>0.27083333333333331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67.733333333333334</v>
      </c>
      <c r="Y356" s="551">
        <f>IFERROR(Y349/H349,"0")+IFERROR(Y350/H350,"0")+IFERROR(Y351/H351,"0")+IFERROR(Y352/H352,"0")+IFERROR(Y353/H353,"0")+IFERROR(Y354/H354,"0")+IFERROR(Y355/H355,"0")</f>
        <v>68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1.4789999999999999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1016</v>
      </c>
      <c r="Y357" s="551">
        <f>IFERROR(SUM(Y349:Y355),"0")</f>
        <v>1020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1049</v>
      </c>
      <c r="Y384" s="550">
        <f>IFERROR(IF(X384="",0,CEILING((X384/$H384),1)*$H384),"")</f>
        <v>1053</v>
      </c>
      <c r="Z384" s="36">
        <f>IFERROR(IF(Y384=0,"",ROUNDUP(Y384/H384,0)*0.01898),"")</f>
        <v>2.2206600000000001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1106.5784444444444</v>
      </c>
      <c r="BN384" s="64">
        <f>IFERROR(Y384*I384/H384,"0")</f>
        <v>1110.7979999999998</v>
      </c>
      <c r="BO384" s="64">
        <f>IFERROR(1/J384*(X384/H384),"0")</f>
        <v>1.8211805555555556</v>
      </c>
      <c r="BP384" s="64">
        <f>IFERROR(1/J384*(Y384/H384),"0")</f>
        <v>1.828125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117</v>
      </c>
      <c r="Y385" s="550">
        <f>IFERROR(IF(X385="",0,CEILING((X385/$H385),1)*$H385),"")</f>
        <v>117.6</v>
      </c>
      <c r="Z385" s="36">
        <f>IFERROR(IF(Y385=0,"",ROUNDUP(Y385/H385,0)*0.00651),"")</f>
        <v>0.31899</v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129.87000000000003</v>
      </c>
      <c r="BN385" s="64">
        <f>IFERROR(Y385*I385/H385,"0")</f>
        <v>130.536</v>
      </c>
      <c r="BO385" s="64">
        <f>IFERROR(1/J385*(X385/H385),"0")</f>
        <v>0.2678571428571429</v>
      </c>
      <c r="BP385" s="64">
        <f>IFERROR(1/J385*(Y385/H385),"0")</f>
        <v>0.26923076923076927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165.30555555555554</v>
      </c>
      <c r="Y387" s="551">
        <f>IFERROR(Y384/H384,"0")+IFERROR(Y385/H385,"0")+IFERROR(Y386/H386,"0")</f>
        <v>166</v>
      </c>
      <c r="Z387" s="551">
        <f>IFERROR(IF(Z384="",0,Z384),"0")+IFERROR(IF(Z385="",0,Z385),"0")+IFERROR(IF(Z386="",0,Z386),"0")</f>
        <v>2.53965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1166</v>
      </c>
      <c r="Y388" s="551">
        <f>IFERROR(SUM(Y384:Y386),"0")</f>
        <v>1170.5999999999999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216</v>
      </c>
      <c r="Y428" s="550">
        <f t="shared" ref="Y428:Y439" si="47">IFERROR(IF(X428="",0,CEILING((X428/$H428),1)*$H428),"")</f>
        <v>216.48000000000002</v>
      </c>
      <c r="Z428" s="36">
        <f t="shared" ref="Z428:Z434" si="48">IFERROR(IF(Y428=0,"",ROUNDUP(Y428/H428,0)*0.01196),"")</f>
        <v>0.49036000000000002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230.31818181818178</v>
      </c>
      <c r="BN428" s="64">
        <f t="shared" ref="BN428:BN439" si="50">IFERROR(Y428*I428/H428,"0")</f>
        <v>230.83</v>
      </c>
      <c r="BO428" s="64">
        <f t="shared" ref="BO428:BO439" si="51">IFERROR(1/J428*(X428/H428),"0")</f>
        <v>0.39335664335664333</v>
      </c>
      <c r="BP428" s="64">
        <f t="shared" ref="BP428:BP439" si="52">IFERROR(1/J428*(Y428/H428),"0")</f>
        <v>0.39423076923076927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211</v>
      </c>
      <c r="Y434" s="550">
        <f t="shared" si="47"/>
        <v>211.20000000000002</v>
      </c>
      <c r="Z434" s="36">
        <f t="shared" si="48"/>
        <v>0.47839999999999999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224.98674242424244</v>
      </c>
      <c r="BN434" s="64">
        <f t="shared" si="50"/>
        <v>225.2</v>
      </c>
      <c r="BO434" s="64">
        <f t="shared" si="51"/>
        <v>0.3842511655011655</v>
      </c>
      <c r="BP434" s="64">
        <f t="shared" si="52"/>
        <v>0.38461538461538464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120</v>
      </c>
      <c r="Y436" s="550">
        <f t="shared" si="47"/>
        <v>120</v>
      </c>
      <c r="Z436" s="36">
        <f>IFERROR(IF(Y436=0,"",ROUNDUP(Y436/H436,0)*0.00902),"")</f>
        <v>0.22550000000000001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172.75000000000003</v>
      </c>
      <c r="BN436" s="64">
        <f t="shared" si="50"/>
        <v>172.75000000000003</v>
      </c>
      <c r="BO436" s="64">
        <f t="shared" si="51"/>
        <v>0.18939393939393939</v>
      </c>
      <c r="BP436" s="64">
        <f t="shared" si="52"/>
        <v>0.18939393939393939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103</v>
      </c>
      <c r="Y439" s="550">
        <f t="shared" si="47"/>
        <v>105.6</v>
      </c>
      <c r="Z439" s="36">
        <f>IFERROR(IF(Y439=0,"",ROUNDUP(Y439/H439,0)*0.00902),"")</f>
        <v>0.19844000000000001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148.27708333333334</v>
      </c>
      <c r="BN439" s="64">
        <f t="shared" si="50"/>
        <v>152.02000000000001</v>
      </c>
      <c r="BO439" s="64">
        <f t="shared" si="51"/>
        <v>0.16256313131313133</v>
      </c>
      <c r="BP439" s="64">
        <f t="shared" si="52"/>
        <v>0.16666666666666669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127.32954545454547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128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1.3927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650</v>
      </c>
      <c r="Y441" s="551">
        <f>IFERROR(SUM(Y428:Y439),"0")</f>
        <v>653.28000000000009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191</v>
      </c>
      <c r="Y449" s="550">
        <f t="shared" ref="Y449:Y454" si="53">IFERROR(IF(X449="",0,CEILING((X449/$H449),1)*$H449),"")</f>
        <v>195.36</v>
      </c>
      <c r="Z449" s="36">
        <f>IFERROR(IF(Y449=0,"",ROUNDUP(Y449/H449,0)*0.01196),"")</f>
        <v>0.44252000000000002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203.66098484848482</v>
      </c>
      <c r="BN449" s="64">
        <f t="shared" ref="BN449:BN454" si="55">IFERROR(Y449*I449/H449,"0")</f>
        <v>208.31</v>
      </c>
      <c r="BO449" s="64">
        <f t="shared" ref="BO449:BO454" si="56">IFERROR(1/J449*(X449/H449),"0")</f>
        <v>0.34782925407925408</v>
      </c>
      <c r="BP449" s="64">
        <f t="shared" ref="BP449:BP454" si="57">IFERROR(1/J449*(Y449/H449),"0")</f>
        <v>0.35576923076923078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36.174242424242422</v>
      </c>
      <c r="Y455" s="551">
        <f>IFERROR(Y449/H449,"0")+IFERROR(Y450/H450,"0")+IFERROR(Y451/H451,"0")+IFERROR(Y452/H452,"0")+IFERROR(Y453/H453,"0")+IFERROR(Y454/H454,"0")</f>
        <v>37</v>
      </c>
      <c r="Z455" s="551">
        <f>IFERROR(IF(Z449="",0,Z449),"0")+IFERROR(IF(Z450="",0,Z450),"0")+IFERROR(IF(Z451="",0,Z451),"0")+IFERROR(IF(Z452="",0,Z452),"0")+IFERROR(IF(Z453="",0,Z453),"0")+IFERROR(IF(Z454="",0,Z454),"0")</f>
        <v>0.44252000000000002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191</v>
      </c>
      <c r="Y456" s="551">
        <f>IFERROR(SUM(Y449:Y454),"0")</f>
        <v>195.36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6299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6405.5300000000007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6789.3442522765281</v>
      </c>
      <c r="Y494" s="551">
        <f>IFERROR(SUM(BN22:BN490),"0")</f>
        <v>6903.3690000000015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12</v>
      </c>
      <c r="Y495" s="38">
        <f>ROUNDUP(SUM(BP22:BP490),0)</f>
        <v>12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7089.3442522765281</v>
      </c>
      <c r="Y496" s="551">
        <f>GrossWeightTotalR+PalletQtyTotalR*25</f>
        <v>7203.3690000000015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1368.1571247179936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1391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13.998499999999998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103</v>
      </c>
      <c r="E503" s="46">
        <f>IFERROR(Y84*1,"0")+IFERROR(Y85*1,"0")+IFERROR(Y86*1,"0")+IFERROR(Y87*1,"0")+IFERROR(Y91*1,"0")+IFERROR(Y92*1,"0")+IFERROR(Y93*1,"0")+IFERROR(Y94*1,"0")</f>
        <v>624.6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627.6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325.14000000000004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1065.6000000000001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14.3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242.39999999999998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363.65000000000003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1020</v>
      </c>
      <c r="T503" s="46">
        <f>IFERROR(Y374*1,"0")+IFERROR(Y375*1,"0")+IFERROR(Y379*1,"0")+IFERROR(Y380*1,"0")+IFERROR(Y384*1,"0")+IFERROR(Y385*1,"0")+IFERROR(Y386*1,"0")</f>
        <v>1170.5999999999999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848.6400000000001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2026-01-16T07:50:36Z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