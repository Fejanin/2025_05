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073CC80-3C92-4D27-9863-A2277A53F2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80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4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94" i="1" s="1"/>
  <c r="X24" i="1"/>
  <c r="BP23" i="1"/>
  <c r="BO23" i="1"/>
  <c r="BN23" i="1"/>
  <c r="BM23" i="1"/>
  <c r="Z23" i="1"/>
  <c r="Y23" i="1"/>
  <c r="P23" i="1"/>
  <c r="BO22" i="1"/>
  <c r="X496" i="1" s="1"/>
  <c r="BM22" i="1"/>
  <c r="X495" i="1" s="1"/>
  <c r="X497" i="1" s="1"/>
  <c r="Y22" i="1"/>
  <c r="B504" i="1" s="1"/>
  <c r="P22" i="1"/>
  <c r="H10" i="1"/>
  <c r="A9" i="1"/>
  <c r="F10" i="1" s="1"/>
  <c r="D7" i="1"/>
  <c r="Q6" i="1"/>
  <c r="P2" i="1"/>
  <c r="Z68" i="1" l="1"/>
  <c r="Z144" i="1"/>
  <c r="Z31" i="1"/>
  <c r="H9" i="1"/>
  <c r="A10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Y145" i="1"/>
  <c r="Y154" i="1"/>
  <c r="BP147" i="1"/>
  <c r="BN147" i="1"/>
  <c r="Z147" i="1"/>
  <c r="Z153" i="1" s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BP311" i="1"/>
  <c r="BN311" i="1"/>
  <c r="Z311" i="1"/>
  <c r="Z312" i="1" s="1"/>
  <c r="Y313" i="1"/>
  <c r="Y320" i="1"/>
  <c r="BP315" i="1"/>
  <c r="BN315" i="1"/>
  <c r="Z315" i="1"/>
  <c r="Y319" i="1"/>
  <c r="BP323" i="1"/>
  <c r="BN323" i="1"/>
  <c r="Z323" i="1"/>
  <c r="Z325" i="1" s="1"/>
  <c r="Y325" i="1"/>
  <c r="H504" i="1"/>
  <c r="F9" i="1"/>
  <c r="J9" i="1"/>
  <c r="Z22" i="1"/>
  <c r="Z24" i="1" s="1"/>
  <c r="BN22" i="1"/>
  <c r="BP22" i="1"/>
  <c r="X498" i="1"/>
  <c r="Y25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Z180" i="1" s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Z212" i="1" s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2" i="1" s="1"/>
  <c r="BP238" i="1"/>
  <c r="BN238" i="1"/>
  <c r="Z238" i="1"/>
  <c r="Y242" i="1"/>
  <c r="BP254" i="1"/>
  <c r="BN254" i="1"/>
  <c r="Z254" i="1"/>
  <c r="Z258" i="1" s="1"/>
  <c r="Y258" i="1"/>
  <c r="BP263" i="1"/>
  <c r="BN263" i="1"/>
  <c r="Z263" i="1"/>
  <c r="Y267" i="1"/>
  <c r="BP272" i="1"/>
  <c r="BN272" i="1"/>
  <c r="Z272" i="1"/>
  <c r="Z275" i="1" s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Z293" i="1"/>
  <c r="BP331" i="1"/>
  <c r="BN331" i="1"/>
  <c r="Z331" i="1"/>
  <c r="Y333" i="1"/>
  <c r="Y338" i="1"/>
  <c r="BP335" i="1"/>
  <c r="BN335" i="1"/>
  <c r="Z335" i="1"/>
  <c r="Z338" i="1" s="1"/>
  <c r="Y339" i="1"/>
  <c r="BP344" i="1"/>
  <c r="BN344" i="1"/>
  <c r="Z344" i="1"/>
  <c r="BP351" i="1"/>
  <c r="BN351" i="1"/>
  <c r="Z351" i="1"/>
  <c r="Z357" i="1" s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Y294" i="1"/>
  <c r="Y304" i="1"/>
  <c r="BP297" i="1"/>
  <c r="BN297" i="1"/>
  <c r="Z297" i="1"/>
  <c r="Z303" i="1" s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Z402" i="1" s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Z441" i="1" s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456" i="1" l="1"/>
  <c r="Y496" i="1"/>
  <c r="Z88" i="1"/>
  <c r="Z469" i="1"/>
  <c r="Z345" i="1"/>
  <c r="Z224" i="1"/>
  <c r="Z57" i="1"/>
  <c r="Y495" i="1"/>
  <c r="Y497" i="1" s="1"/>
  <c r="Z319" i="1"/>
  <c r="Y498" i="1"/>
  <c r="Y494" i="1"/>
  <c r="Z499" i="1"/>
  <c r="Z75" i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<sst xmlns="http://schemas.openxmlformats.org/spreadsheetml/2006/main" count="2363" uniqueCount="776">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</sst>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77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100</v>
      </c>
      <c r="Y40" s="55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100</v>
      </c>
      <c r="Y41" s="552">
        <f>IFERROR(IF(X41="",0,CEILING((X41/$H41),1)*$H41),"")</f>
        <v>100</v>
      </c>
      <c r="Z41" s="36">
        <f>IFERROR(IF(Y41=0,"",ROUNDUP(Y41/H41,0)*0.00902),"")</f>
        <v>0.22550000000000001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104.75000000000001</v>
      </c>
      <c r="BN41" s="64">
        <f>IFERROR(Y41*I41/H41,"0")</f>
        <v>104.75000000000001</v>
      </c>
      <c r="BO41" s="64">
        <f>IFERROR(1/J41*(X41/H41),"0")</f>
        <v>0.18939393939393939</v>
      </c>
      <c r="BP41" s="64">
        <f>IFERROR(1/J41*(Y41/H41),"0")</f>
        <v>0.18939393939393939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34.25925925925926</v>
      </c>
      <c r="Y43" s="553">
        <f>IFERROR(Y40/H40,"0")+IFERROR(Y41/H41,"0")+IFERROR(Y42/H42,"0")</f>
        <v>35</v>
      </c>
      <c r="Z43" s="553">
        <f>IFERROR(IF(Z40="",0,Z40),"0")+IFERROR(IF(Z41="",0,Z41),"0")+IFERROR(IF(Z42="",0,Z42),"0")</f>
        <v>0.4153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200</v>
      </c>
      <c r="Y44" s="553">
        <f>IFERROR(SUM(Y40:Y42),"0")</f>
        <v>208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350</v>
      </c>
      <c r="Y56" s="552">
        <f t="shared" si="0"/>
        <v>351</v>
      </c>
      <c r="Z56" s="36">
        <f>IFERROR(IF(Y56=0,"",ROUNDUP(Y56/H56,0)*0.00902),"")</f>
        <v>0.70355999999999996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364.77777777777783</v>
      </c>
      <c r="BN56" s="64">
        <f t="shared" si="2"/>
        <v>365.82</v>
      </c>
      <c r="BO56" s="64">
        <f t="shared" si="3"/>
        <v>0.58922558922558921</v>
      </c>
      <c r="BP56" s="64">
        <f t="shared" si="4"/>
        <v>0.59090909090909094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77.777777777777771</v>
      </c>
      <c r="Y57" s="553">
        <f>IFERROR(Y51/H51,"0")+IFERROR(Y52/H52,"0")+IFERROR(Y53/H53,"0")+IFERROR(Y54/H54,"0")+IFERROR(Y55/H55,"0")+IFERROR(Y56/H56,"0")</f>
        <v>78</v>
      </c>
      <c r="Z57" s="553">
        <f>IFERROR(IF(Z51="",0,Z51),"0")+IFERROR(IF(Z52="",0,Z52),"0")+IFERROR(IF(Z53="",0,Z53),"0")+IFERROR(IF(Z54="",0,Z54),"0")+IFERROR(IF(Z55="",0,Z55),"0")+IFERROR(IF(Z56="",0,Z56),"0")</f>
        <v>0.70355999999999996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350</v>
      </c>
      <c r="Y58" s="553">
        <f>IFERROR(SUM(Y51:Y56),"0")</f>
        <v>351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400</v>
      </c>
      <c r="Y84" s="552">
        <f>IFERROR(IF(X84="",0,CEILING((X84/$H84),1)*$H84),"")</f>
        <v>410.40000000000003</v>
      </c>
      <c r="Z84" s="36">
        <f>IFERROR(IF(Y84=0,"",ROUNDUP(Y84/H84,0)*0.01898),"")</f>
        <v>0.72123999999999999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415.18518518518516</v>
      </c>
      <c r="BN84" s="64">
        <f>IFERROR(Y84*I84/H84,"0")</f>
        <v>425.98</v>
      </c>
      <c r="BO84" s="64">
        <f>IFERROR(1/J84*(X84/H84),"0")</f>
        <v>0.57870370370370372</v>
      </c>
      <c r="BP84" s="64">
        <f>IFERROR(1/J84*(Y84/H84),"0")</f>
        <v>0.59375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37.037037037037038</v>
      </c>
      <c r="Y88" s="553">
        <f>IFERROR(Y84/H84,"0")+IFERROR(Y85/H85,"0")+IFERROR(Y86/H86,"0")+IFERROR(Y87/H87,"0")</f>
        <v>38</v>
      </c>
      <c r="Z88" s="553">
        <f>IFERROR(IF(Z84="",0,Z84),"0")+IFERROR(IF(Z85="",0,Z85),"0")+IFERROR(IF(Z86="",0,Z86),"0")+IFERROR(IF(Z87="",0,Z87),"0")</f>
        <v>0.72123999999999999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400</v>
      </c>
      <c r="Y89" s="553">
        <f>IFERROR(SUM(Y84:Y87),"0")</f>
        <v>410.40000000000003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150</v>
      </c>
      <c r="Y91" s="55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500</v>
      </c>
      <c r="Y93" s="552">
        <f>IFERROR(IF(X93="",0,CEILING((X93/$H93),1)*$H93),"")</f>
        <v>502.20000000000005</v>
      </c>
      <c r="Z93" s="36">
        <f>IFERROR(IF(Y93=0,"",ROUNDUP(Y93/H93,0)*0.00651),"")</f>
        <v>1.21086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546.66666666666663</v>
      </c>
      <c r="BN93" s="64">
        <f>IFERROR(Y93*I93/H93,"0")</f>
        <v>549.072</v>
      </c>
      <c r="BO93" s="64">
        <f>IFERROR(1/J93*(X93/H93),"0")</f>
        <v>1.0175010175010175</v>
      </c>
      <c r="BP93" s="64">
        <f>IFERROR(1/J93*(Y93/H93),"0")</f>
        <v>1.0219780219780221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150</v>
      </c>
      <c r="Y94" s="552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279.46127946127945</v>
      </c>
      <c r="Y95" s="553">
        <f>IFERROR(Y91/H91,"0")+IFERROR(Y92/H92,"0")+IFERROR(Y93/H93,"0")+IFERROR(Y94/H94,"0")</f>
        <v>281</v>
      </c>
      <c r="Z95" s="553">
        <f>IFERROR(IF(Z91="",0,Z91),"0")+IFERROR(IF(Z92="",0,Z92),"0")+IFERROR(IF(Z93="",0,Z93),"0")+IFERROR(IF(Z94="",0,Z94),"0")</f>
        <v>2.0662400000000001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800</v>
      </c>
      <c r="Y96" s="553">
        <f>IFERROR(SUM(Y91:Y94),"0")</f>
        <v>806.58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300</v>
      </c>
      <c r="Y99" s="552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120</v>
      </c>
      <c r="Y101" s="552">
        <f>IFERROR(IF(X101="",0,CEILING((X101/$H101),1)*$H101),"")</f>
        <v>120</v>
      </c>
      <c r="Z101" s="36">
        <f>IFERROR(IF(Y101=0,"",ROUNDUP(Y101/H101,0)*0.00902),"")</f>
        <v>0.28864000000000001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126.08</v>
      </c>
      <c r="BN101" s="64">
        <f>IFERROR(Y101*I101/H101,"0")</f>
        <v>126.08</v>
      </c>
      <c r="BO101" s="64">
        <f>IFERROR(1/J101*(X101/H101),"0")</f>
        <v>0.24242424242424243</v>
      </c>
      <c r="BP101" s="64">
        <f>IFERROR(1/J101*(Y101/H101),"0")</f>
        <v>0.24242424242424243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59.777777777777771</v>
      </c>
      <c r="Y104" s="553">
        <f>IFERROR(Y99/H99,"0")+IFERROR(Y100/H100,"0")+IFERROR(Y101/H101,"0")+IFERROR(Y102/H102,"0")+IFERROR(Y103/H103,"0")</f>
        <v>60</v>
      </c>
      <c r="Z104" s="553">
        <f>IFERROR(IF(Z99="",0,Z99),"0")+IFERROR(IF(Z100="",0,Z100),"0")+IFERROR(IF(Z101="",0,Z101),"0")+IFERROR(IF(Z102="",0,Z102),"0")+IFERROR(IF(Z103="",0,Z103),"0")</f>
        <v>0.82008000000000003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420</v>
      </c>
      <c r="Y105" s="553">
        <f>IFERROR(SUM(Y99:Y103),"0")</f>
        <v>422.40000000000003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50</v>
      </c>
      <c r="Y107" s="552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51.898148148148145</v>
      </c>
      <c r="BN107" s="64">
        <f>IFERROR(Y107*I107/H107,"0")</f>
        <v>56.05</v>
      </c>
      <c r="BO107" s="64">
        <f>IFERROR(1/J107*(X107/H107),"0")</f>
        <v>7.2337962962962965E-2</v>
      </c>
      <c r="BP107" s="64">
        <f>IFERROR(1/J107*(Y107/H107),"0")</f>
        <v>7.8125E-2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4.6296296296296298</v>
      </c>
      <c r="Y111" s="553">
        <f>IFERROR(Y107/H107,"0")+IFERROR(Y108/H108,"0")+IFERROR(Y109/H109,"0")+IFERROR(Y110/H110,"0")</f>
        <v>5</v>
      </c>
      <c r="Z111" s="553">
        <f>IFERROR(IF(Z107="",0,Z107),"0")+IFERROR(IF(Z108="",0,Z108),"0")+IFERROR(IF(Z109="",0,Z109),"0")+IFERROR(IF(Z110="",0,Z110),"0")</f>
        <v>9.4899999999999998E-2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50</v>
      </c>
      <c r="Y112" s="553">
        <f>IFERROR(SUM(Y107:Y110),"0")</f>
        <v>54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500</v>
      </c>
      <c r="Y114" s="552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600</v>
      </c>
      <c r="Y116" s="552">
        <f>IFERROR(IF(X116="",0,CEILING((X116/$H116),1)*$H116),"")</f>
        <v>602.1</v>
      </c>
      <c r="Z116" s="36">
        <f>IFERROR(IF(Y116=0,"",ROUNDUP(Y116/H116,0)*0.00651),"")</f>
        <v>1.45173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656</v>
      </c>
      <c r="BN116" s="64">
        <f>IFERROR(Y116*I116/H116,"0")</f>
        <v>658.29599999999994</v>
      </c>
      <c r="BO116" s="64">
        <f>IFERROR(1/J116*(X116/H116),"0")</f>
        <v>1.2210012210012209</v>
      </c>
      <c r="BP116" s="64">
        <f>IFERROR(1/J116*(Y116/H116),"0")</f>
        <v>1.2252747252747254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283.95061728395058</v>
      </c>
      <c r="Y118" s="553">
        <f>IFERROR(Y114/H114,"0")+IFERROR(Y115/H115,"0")+IFERROR(Y116/H116,"0")+IFERROR(Y117/H117,"0")</f>
        <v>285</v>
      </c>
      <c r="Z118" s="553">
        <f>IFERROR(IF(Z114="",0,Z114),"0")+IFERROR(IF(Z115="",0,Z115),"0")+IFERROR(IF(Z116="",0,Z116),"0")+IFERROR(IF(Z117="",0,Z117),"0")</f>
        <v>2.6284900000000002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1100</v>
      </c>
      <c r="Y119" s="553">
        <f>IFERROR(SUM(Y114:Y117),"0")</f>
        <v>1104.3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50</v>
      </c>
      <c r="Y126" s="552">
        <f>IFERROR(IF(X126="",0,CEILING((X126/$H126),1)*$H126),"")</f>
        <v>51.2</v>
      </c>
      <c r="Z126" s="36">
        <f>IFERROR(IF(Y126=0,"",ROUNDUP(Y126/H126,0)*0.00651),"")</f>
        <v>0.10416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52.8125</v>
      </c>
      <c r="BN126" s="64">
        <f>IFERROR(Y126*I126/H126,"0")</f>
        <v>54.08</v>
      </c>
      <c r="BO126" s="64">
        <f>IFERROR(1/J126*(X126/H126),"0")</f>
        <v>8.5851648351648352E-2</v>
      </c>
      <c r="BP126" s="64">
        <f>IFERROR(1/J126*(Y126/H126),"0")</f>
        <v>8.7912087912087919E-2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15.625</v>
      </c>
      <c r="Y128" s="553">
        <f>IFERROR(Y126/H126,"0")+IFERROR(Y127/H127,"0")</f>
        <v>16</v>
      </c>
      <c r="Z128" s="553">
        <f>IFERROR(IF(Z126="",0,Z126),"0")+IFERROR(IF(Z127="",0,Z127),"0")</f>
        <v>0.10416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50</v>
      </c>
      <c r="Y129" s="553">
        <f>IFERROR(SUM(Y126:Y127),"0")</f>
        <v>51.2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50</v>
      </c>
      <c r="Y131" s="552">
        <f>IFERROR(IF(X131="",0,CEILING((X131/$H131),1)*$H131),"")</f>
        <v>50.4</v>
      </c>
      <c r="Z131" s="36">
        <f>IFERROR(IF(Y131=0,"",ROUNDUP(Y131/H131,0)*0.00651),"")</f>
        <v>0.11718000000000001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54.785714285714292</v>
      </c>
      <c r="BN131" s="64">
        <f>IFERROR(Y131*I131/H131,"0")</f>
        <v>55.223999999999997</v>
      </c>
      <c r="BO131" s="64">
        <f>IFERROR(1/J131*(X131/H131),"0")</f>
        <v>9.8116169544740978E-2</v>
      </c>
      <c r="BP131" s="64">
        <f>IFERROR(1/J131*(Y131/H131),"0")</f>
        <v>9.8901098901098911E-2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17.857142857142858</v>
      </c>
      <c r="Y133" s="553">
        <f>IFERROR(Y131/H131,"0")+IFERROR(Y132/H132,"0")</f>
        <v>18</v>
      </c>
      <c r="Z133" s="553">
        <f>IFERROR(IF(Z131="",0,Z131),"0")+IFERROR(IF(Z132="",0,Z132),"0")</f>
        <v>0.11718000000000001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50</v>
      </c>
      <c r="Y134" s="553">
        <f>IFERROR(SUM(Y131:Y132),"0")</f>
        <v>50.4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250</v>
      </c>
      <c r="Y204" s="552">
        <f t="shared" ref="Y204:Y211" si="15">IFERROR(IF(X204="",0,CEILING((X204/$H204),1)*$H204),"")</f>
        <v>253.8</v>
      </c>
      <c r="Z204" s="36">
        <f>IFERROR(IF(Y204=0,"",ROUNDUP(Y204/H204,0)*0.00902),"")</f>
        <v>0.42393999999999998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258.7962962962963</v>
      </c>
      <c r="BN204" s="64">
        <f t="shared" ref="BN204:BN211" si="17">IFERROR(Y204*I204/H204,"0")</f>
        <v>262.72999999999996</v>
      </c>
      <c r="BO204" s="64">
        <f t="shared" ref="BO204:BO211" si="18">IFERROR(1/J204*(X204/H204),"0")</f>
        <v>0.35072951739618402</v>
      </c>
      <c r="BP204" s="64">
        <f t="shared" ref="BP204:BP211" si="19">IFERROR(1/J204*(Y204/H204),"0")</f>
        <v>0.35606060606060608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250</v>
      </c>
      <c r="Y205" s="552">
        <f t="shared" si="15"/>
        <v>253.8</v>
      </c>
      <c r="Z205" s="36">
        <f>IFERROR(IF(Y205=0,"",ROUNDUP(Y205/H205,0)*0.00902),"")</f>
        <v>0.42393999999999998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258.7962962962963</v>
      </c>
      <c r="BN205" s="64">
        <f t="shared" si="17"/>
        <v>262.72999999999996</v>
      </c>
      <c r="BO205" s="64">
        <f t="shared" si="18"/>
        <v>0.35072951739618402</v>
      </c>
      <c r="BP205" s="64">
        <f t="shared" si="19"/>
        <v>0.35606060606060608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350</v>
      </c>
      <c r="Y206" s="552">
        <f t="shared" si="15"/>
        <v>351</v>
      </c>
      <c r="Z206" s="36">
        <f>IFERROR(IF(Y206=0,"",ROUNDUP(Y206/H206,0)*0.00902),"")</f>
        <v>0.58630000000000004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362.31481481481478</v>
      </c>
      <c r="BN206" s="64">
        <f t="shared" si="17"/>
        <v>363.34999999999997</v>
      </c>
      <c r="BO206" s="64">
        <f t="shared" si="18"/>
        <v>0.49102132435465767</v>
      </c>
      <c r="BP206" s="64">
        <f t="shared" si="19"/>
        <v>0.49242424242424243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350</v>
      </c>
      <c r="Y207" s="552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222.2222222222222</v>
      </c>
      <c r="Y212" s="553">
        <f>IFERROR(Y204/H204,"0")+IFERROR(Y205/H205,"0")+IFERROR(Y206/H206,"0")+IFERROR(Y207/H207,"0")+IFERROR(Y208/H208,"0")+IFERROR(Y209/H209,"0")+IFERROR(Y210/H210,"0")+IFERROR(Y211/H211,"0")</f>
        <v>224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2.0204800000000001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1200</v>
      </c>
      <c r="Y213" s="553">
        <f>IFERROR(SUM(Y204:Y211),"0")</f>
        <v>1209.5999999999999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200</v>
      </c>
      <c r="Y215" s="552">
        <f t="shared" ref="Y215:Y223" si="20">IFERROR(IF(X215="",0,CEILING((X215/$H215),1)*$H215),"")</f>
        <v>202.5</v>
      </c>
      <c r="Z215" s="36">
        <f>IFERROR(IF(Y215=0,"",ROUNDUP(Y215/H215,0)*0.01898),"")</f>
        <v>0.47450000000000003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212.19753086419755</v>
      </c>
      <c r="BN215" s="64">
        <f t="shared" ref="BN215:BN223" si="22">IFERROR(Y215*I215/H215,"0")</f>
        <v>214.85</v>
      </c>
      <c r="BO215" s="64">
        <f t="shared" ref="BO215:BO223" si="23">IFERROR(1/J215*(X215/H215),"0")</f>
        <v>0.38580246913580246</v>
      </c>
      <c r="BP215" s="64">
        <f t="shared" ref="BP215:BP223" si="24">IFERROR(1/J215*(Y215/H215),"0")</f>
        <v>0.390625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50</v>
      </c>
      <c r="Y216" s="552">
        <f t="shared" si="20"/>
        <v>56.699999999999996</v>
      </c>
      <c r="Z216" s="36">
        <f>IFERROR(IF(Y216=0,"",ROUNDUP(Y216/H216,0)*0.01898),"")</f>
        <v>0.13286000000000001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52.938271604938272</v>
      </c>
      <c r="BN216" s="64">
        <f t="shared" si="22"/>
        <v>60.031999999999996</v>
      </c>
      <c r="BO216" s="64">
        <f t="shared" si="23"/>
        <v>9.6450617283950615E-2</v>
      </c>
      <c r="BP216" s="64">
        <f t="shared" si="24"/>
        <v>0.109375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150</v>
      </c>
      <c r="Y217" s="552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100</v>
      </c>
      <c r="Y218" s="552">
        <f t="shared" si="20"/>
        <v>100.8</v>
      </c>
      <c r="Z218" s="36">
        <f t="shared" ref="Z218:Z223" si="25">IFERROR(IF(Y218=0,"",ROUNDUP(Y218/H218,0)*0.00651),"")</f>
        <v>0.27342</v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111.25</v>
      </c>
      <c r="BN218" s="64">
        <f t="shared" si="22"/>
        <v>112.13999999999999</v>
      </c>
      <c r="BO218" s="64">
        <f t="shared" si="23"/>
        <v>0.22893772893772898</v>
      </c>
      <c r="BP218" s="64">
        <f t="shared" si="24"/>
        <v>0.23076923076923078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550</v>
      </c>
      <c r="Y220" s="552">
        <f t="shared" si="20"/>
        <v>552</v>
      </c>
      <c r="Z220" s="36">
        <f t="shared" si="25"/>
        <v>1.4973000000000001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607.75000000000011</v>
      </c>
      <c r="BN220" s="64">
        <f t="shared" si="22"/>
        <v>609.96</v>
      </c>
      <c r="BO220" s="64">
        <f t="shared" si="23"/>
        <v>1.2591575091575093</v>
      </c>
      <c r="BP220" s="64">
        <f t="shared" si="24"/>
        <v>1.2637362637362639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550</v>
      </c>
      <c r="Y221" s="552">
        <f t="shared" si="20"/>
        <v>552</v>
      </c>
      <c r="Z221" s="36">
        <f t="shared" si="25"/>
        <v>1.4973000000000001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607.75000000000011</v>
      </c>
      <c r="BN221" s="64">
        <f t="shared" si="22"/>
        <v>609.96</v>
      </c>
      <c r="BO221" s="64">
        <f t="shared" si="23"/>
        <v>1.2591575091575093</v>
      </c>
      <c r="BP221" s="64">
        <f t="shared" si="24"/>
        <v>1.2637362637362639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150</v>
      </c>
      <c r="Y222" s="552">
        <f t="shared" si="20"/>
        <v>151.19999999999999</v>
      </c>
      <c r="Z222" s="36">
        <f t="shared" si="25"/>
        <v>0.41012999999999999</v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165.75</v>
      </c>
      <c r="BN222" s="64">
        <f t="shared" si="22"/>
        <v>167.07599999999999</v>
      </c>
      <c r="BO222" s="64">
        <f t="shared" si="23"/>
        <v>0.34340659340659341</v>
      </c>
      <c r="BP222" s="64">
        <f t="shared" si="24"/>
        <v>0.3461538461538462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170</v>
      </c>
      <c r="Y223" s="552">
        <f t="shared" si="20"/>
        <v>170.4</v>
      </c>
      <c r="Z223" s="36">
        <f t="shared" si="25"/>
        <v>0.46221000000000001</v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188.27500000000001</v>
      </c>
      <c r="BN223" s="64">
        <f t="shared" si="22"/>
        <v>188.71800000000002</v>
      </c>
      <c r="BO223" s="64">
        <f t="shared" si="23"/>
        <v>0.38919413919413925</v>
      </c>
      <c r="BP223" s="64">
        <f t="shared" si="24"/>
        <v>0.39010989010989017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681.43891017454246</v>
      </c>
      <c r="Y224" s="553">
        <f>IFERROR(Y215/H215,"0")+IFERROR(Y216/H216,"0")+IFERROR(Y217/H217,"0")+IFERROR(Y218/H218,"0")+IFERROR(Y219/H219,"0")+IFERROR(Y220/H220,"0")+IFERROR(Y221/H221,"0")+IFERROR(Y222/H222,"0")+IFERROR(Y223/H223,"0")</f>
        <v>686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5.0893599999999992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1920</v>
      </c>
      <c r="Y225" s="553">
        <f>IFERROR(SUM(Y215:Y223),"0")</f>
        <v>1942.2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50</v>
      </c>
      <c r="Y280" s="552">
        <f>IFERROR(IF(X280="",0,CEILING((X280/$H280),1)*$H280),"")</f>
        <v>50.4</v>
      </c>
      <c r="Z280" s="36">
        <f>IFERROR(IF(Y280=0,"",ROUNDUP(Y280/H280,0)*0.00651),"")</f>
        <v>0.13671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55.25</v>
      </c>
      <c r="BN280" s="64">
        <f>IFERROR(Y280*I280/H280,"0")</f>
        <v>55.692</v>
      </c>
      <c r="BO280" s="64">
        <f>IFERROR(1/J280*(X280/H280),"0")</f>
        <v>0.11446886446886449</v>
      </c>
      <c r="BP280" s="64">
        <f>IFERROR(1/J280*(Y280/H280),"0")</f>
        <v>0.11538461538461539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50</v>
      </c>
      <c r="Y281" s="552">
        <f>IFERROR(IF(X281="",0,CEILING((X281/$H281),1)*$H281),"")</f>
        <v>50.4</v>
      </c>
      <c r="Z281" s="36">
        <f>IFERROR(IF(Y281=0,"",ROUNDUP(Y281/H281,0)*0.00651),"")</f>
        <v>0.13671</v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53.75</v>
      </c>
      <c r="BN281" s="64">
        <f>IFERROR(Y281*I281/H281,"0")</f>
        <v>54.180000000000007</v>
      </c>
      <c r="BO281" s="64">
        <f>IFERROR(1/J281*(X281/H281),"0")</f>
        <v>0.11446886446886449</v>
      </c>
      <c r="BP281" s="64">
        <f>IFERROR(1/J281*(Y281/H281),"0")</f>
        <v>0.11538461538461539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41.666666666666671</v>
      </c>
      <c r="Y282" s="553">
        <f>IFERROR(Y279/H279,"0")+IFERROR(Y280/H280,"0")+IFERROR(Y281/H281,"0")</f>
        <v>42</v>
      </c>
      <c r="Z282" s="553">
        <f>IFERROR(IF(Z279="",0,Z279),"0")+IFERROR(IF(Z280="",0,Z280),"0")+IFERROR(IF(Z281="",0,Z281),"0")</f>
        <v>0.27342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100</v>
      </c>
      <c r="Y283" s="553">
        <f>IFERROR(SUM(Y279:Y281),"0")</f>
        <v>100.8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150</v>
      </c>
      <c r="Y323" s="552">
        <f>IFERROR(IF(X323="",0,CEILING((X323/$H323),1)*$H323),"")</f>
        <v>156</v>
      </c>
      <c r="Z323" s="36">
        <f>IFERROR(IF(Y323=0,"",ROUNDUP(Y323/H323,0)*0.01898),"")</f>
        <v>0.37959999999999999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159.50000000000003</v>
      </c>
      <c r="BN323" s="64">
        <f>IFERROR(Y323*I323/H323,"0")</f>
        <v>165.88</v>
      </c>
      <c r="BO323" s="64">
        <f>IFERROR(1/J323*(X323/H323),"0")</f>
        <v>0.30048076923076922</v>
      </c>
      <c r="BP323" s="64">
        <f>IFERROR(1/J323*(Y323/H323),"0")</f>
        <v>0.3125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19.23076923076923</v>
      </c>
      <c r="Y325" s="553">
        <f>IFERROR(Y322/H322,"0")+IFERROR(Y323/H323,"0")+IFERROR(Y324/H324,"0")</f>
        <v>20</v>
      </c>
      <c r="Z325" s="553">
        <f>IFERROR(IF(Z322="",0,Z322),"0")+IFERROR(IF(Z323="",0,Z323),"0")+IFERROR(IF(Z324="",0,Z324),"0")</f>
        <v>0.37959999999999999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150</v>
      </c>
      <c r="Y326" s="553">
        <f>IFERROR(SUM(Y322:Y324),"0")</f>
        <v>156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100</v>
      </c>
      <c r="Y331" s="552">
        <f>IFERROR(IF(X331="",0,CEILING((X331/$H331),1)*$H331),"")</f>
        <v>102</v>
      </c>
      <c r="Z331" s="36">
        <f>IFERROR(IF(Y331=0,"",ROUNDUP(Y331/H331,0)*0.00651),"")</f>
        <v>0.26040000000000002</v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112.94117647058825</v>
      </c>
      <c r="BN331" s="64">
        <f>IFERROR(Y331*I331/H331,"0")</f>
        <v>115.2</v>
      </c>
      <c r="BO331" s="64">
        <f>IFERROR(1/J331*(X331/H331),"0")</f>
        <v>0.21547080370609786</v>
      </c>
      <c r="BP331" s="64">
        <f>IFERROR(1/J331*(Y331/H331),"0")</f>
        <v>0.2197802197802198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39.215686274509807</v>
      </c>
      <c r="Y332" s="553">
        <f>IFERROR(Y328/H328,"0")+IFERROR(Y329/H329,"0")+IFERROR(Y330/H330,"0")+IFERROR(Y331/H331,"0")</f>
        <v>40</v>
      </c>
      <c r="Z332" s="553">
        <f>IFERROR(IF(Z328="",0,Z328),"0")+IFERROR(IF(Z329="",0,Z329),"0")+IFERROR(IF(Z330="",0,Z330),"0")+IFERROR(IF(Z331="",0,Z331),"0")</f>
        <v>0.26040000000000002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100</v>
      </c>
      <c r="Y333" s="553">
        <f>IFERROR(SUM(Y328:Y331),"0")</f>
        <v>102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150</v>
      </c>
      <c r="Y343" s="552">
        <f>IFERROR(IF(X343="",0,CEILING((X343/$H343),1)*$H343),"")</f>
        <v>151.20000000000002</v>
      </c>
      <c r="Z343" s="36">
        <f>IFERROR(IF(Y343=0,"",ROUNDUP(Y343/H343,0)*0.00651),"")</f>
        <v>0.46872000000000003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167.99999999999997</v>
      </c>
      <c r="BN343" s="64">
        <f>IFERROR(Y343*I343/H343,"0")</f>
        <v>169.34399999999999</v>
      </c>
      <c r="BO343" s="64">
        <f>IFERROR(1/J343*(X343/H343),"0")</f>
        <v>0.39246467817896391</v>
      </c>
      <c r="BP343" s="64">
        <f>IFERROR(1/J343*(Y343/H343),"0")</f>
        <v>0.39560439560439564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100</v>
      </c>
      <c r="Y344" s="552">
        <f>IFERROR(IF(X344="",0,CEILING((X344/$H344),1)*$H344),"")</f>
        <v>100.80000000000001</v>
      </c>
      <c r="Z344" s="36">
        <f>IFERROR(IF(Y344=0,"",ROUNDUP(Y344/H344,0)*0.00651),"")</f>
        <v>0.31247999999999998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111.42857142857143</v>
      </c>
      <c r="BN344" s="64">
        <f>IFERROR(Y344*I344/H344,"0")</f>
        <v>112.32000000000001</v>
      </c>
      <c r="BO344" s="64">
        <f>IFERROR(1/J344*(X344/H344),"0")</f>
        <v>0.26164311878597596</v>
      </c>
      <c r="BP344" s="64">
        <f>IFERROR(1/J344*(Y344/H344),"0")</f>
        <v>0.26373626373626374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119.04761904761905</v>
      </c>
      <c r="Y345" s="553">
        <f>IFERROR(Y342/H342,"0")+IFERROR(Y343/H343,"0")+IFERROR(Y344/H344,"0")</f>
        <v>120</v>
      </c>
      <c r="Z345" s="553">
        <f>IFERROR(IF(Z342="",0,Z342),"0")+IFERROR(IF(Z343="",0,Z343),"0")+IFERROR(IF(Z344="",0,Z344),"0")</f>
        <v>0.78120000000000001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250</v>
      </c>
      <c r="Y346" s="553">
        <f>IFERROR(SUM(Y342:Y344),"0")</f>
        <v>252.00000000000003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200</v>
      </c>
      <c r="Y351" s="552">
        <f t="shared" si="41"/>
        <v>210</v>
      </c>
      <c r="Z351" s="36">
        <f>IFERROR(IF(Y351=0,"",ROUNDUP(Y351/H351,0)*0.02175),"")</f>
        <v>0.30449999999999999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206.26666666666668</v>
      </c>
      <c r="BN351" s="64">
        <f t="shared" si="43"/>
        <v>216.58</v>
      </c>
      <c r="BO351" s="64">
        <f t="shared" si="44"/>
        <v>0.27777777777777779</v>
      </c>
      <c r="BP351" s="64">
        <f t="shared" si="45"/>
        <v>0.29166666666666663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200</v>
      </c>
      <c r="Y353" s="552">
        <f t="shared" si="41"/>
        <v>210</v>
      </c>
      <c r="Z353" s="36">
        <f>IFERROR(IF(Y353=0,"",ROUNDUP(Y353/H353,0)*0.02175),"")</f>
        <v>0.30449999999999999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206.26666666666668</v>
      </c>
      <c r="BN353" s="64">
        <f t="shared" si="43"/>
        <v>216.58</v>
      </c>
      <c r="BO353" s="64">
        <f t="shared" si="44"/>
        <v>0.27777777777777779</v>
      </c>
      <c r="BP353" s="64">
        <f t="shared" si="45"/>
        <v>0.29166666666666663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26.666666666666668</v>
      </c>
      <c r="Y357" s="553">
        <f>IFERROR(Y350/H350,"0")+IFERROR(Y351/H351,"0")+IFERROR(Y352/H352,"0")+IFERROR(Y353/H353,"0")+IFERROR(Y354/H354,"0")+IFERROR(Y355/H355,"0")+IFERROR(Y356/H356,"0")</f>
        <v>28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0.60899999999999999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400</v>
      </c>
      <c r="Y358" s="553">
        <f>IFERROR(SUM(Y350:Y356),"0")</f>
        <v>420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250</v>
      </c>
      <c r="Y360" s="552">
        <f>IFERROR(IF(X360="",0,CEILING((X360/$H360),1)*$H360),"")</f>
        <v>255</v>
      </c>
      <c r="Z360" s="36">
        <f>IFERROR(IF(Y360=0,"",ROUNDUP(Y360/H360,0)*0.02175),"")</f>
        <v>0.36974999999999997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257.83333333333331</v>
      </c>
      <c r="BN360" s="64">
        <f>IFERROR(Y360*I360/H360,"0")</f>
        <v>262.99</v>
      </c>
      <c r="BO360" s="64">
        <f>IFERROR(1/J360*(X360/H360),"0")</f>
        <v>0.34722222222222221</v>
      </c>
      <c r="BP360" s="64">
        <f>IFERROR(1/J360*(Y360/H360),"0")</f>
        <v>0.35416666666666663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16.666666666666668</v>
      </c>
      <c r="Y362" s="553">
        <f>IFERROR(Y360/H360,"0")+IFERROR(Y361/H361,"0")</f>
        <v>17</v>
      </c>
      <c r="Z362" s="553">
        <f>IFERROR(IF(Z360="",0,Z360),"0")+IFERROR(IF(Z361="",0,Z361),"0")</f>
        <v>0.36974999999999997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250</v>
      </c>
      <c r="Y363" s="553">
        <f>IFERROR(SUM(Y360:Y361),"0")</f>
        <v>255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120</v>
      </c>
      <c r="Y370" s="552">
        <f>IFERROR(IF(X370="",0,CEILING((X370/$H370),1)*$H370),"")</f>
        <v>126</v>
      </c>
      <c r="Z370" s="36">
        <f>IFERROR(IF(Y370=0,"",ROUNDUP(Y370/H370,0)*0.01898),"")</f>
        <v>0.26572000000000001</v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126.58666666666666</v>
      </c>
      <c r="BN370" s="64">
        <f>IFERROR(Y370*I370/H370,"0")</f>
        <v>132.916</v>
      </c>
      <c r="BO370" s="64">
        <f>IFERROR(1/J370*(X370/H370),"0")</f>
        <v>0.20833333333333334</v>
      </c>
      <c r="BP370" s="64">
        <f>IFERROR(1/J370*(Y370/H370),"0")</f>
        <v>0.21875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13.333333333333334</v>
      </c>
      <c r="Y371" s="553">
        <f>IFERROR(Y370/H370,"0")</f>
        <v>14</v>
      </c>
      <c r="Z371" s="553">
        <f>IFERROR(IF(Z370="",0,Z370),"0")</f>
        <v>0.26572000000000001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120</v>
      </c>
      <c r="Y372" s="553">
        <f>IFERROR(SUM(Y370:Y370),"0")</f>
        <v>126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150</v>
      </c>
      <c r="Y375" s="552">
        <f>IFERROR(IF(X375="",0,CEILING((X375/$H375),1)*$H375),"")</f>
        <v>156</v>
      </c>
      <c r="Z375" s="36">
        <f>IFERROR(IF(Y375=0,"",ROUNDUP(Y375/H375,0)*0.01898),"")</f>
        <v>0.24674000000000001</v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155.125</v>
      </c>
      <c r="BN375" s="64">
        <f>IFERROR(Y375*I375/H375,"0")</f>
        <v>161.33000000000001</v>
      </c>
      <c r="BO375" s="64">
        <f>IFERROR(1/J375*(X375/H375),"0")</f>
        <v>0.1953125</v>
      </c>
      <c r="BP375" s="64">
        <f>IFERROR(1/J375*(Y375/H375),"0")</f>
        <v>0.203125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12.5</v>
      </c>
      <c r="Y377" s="553">
        <f>IFERROR(Y375/H375,"0")+IFERROR(Y376/H376,"0")</f>
        <v>13</v>
      </c>
      <c r="Z377" s="553">
        <f>IFERROR(IF(Z375="",0,Z375),"0")+IFERROR(IF(Z376="",0,Z376),"0")</f>
        <v>0.24674000000000001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150</v>
      </c>
      <c r="Y378" s="553">
        <f>IFERROR(SUM(Y375:Y376),"0")</f>
        <v>156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30</v>
      </c>
      <c r="Y380" s="552">
        <f>IFERROR(IF(X380="",0,CEILING((X380/$H380),1)*$H380),"")</f>
        <v>30.66</v>
      </c>
      <c r="Z380" s="36">
        <f>IFERROR(IF(Y380=0,"",ROUNDUP(Y380/H380,0)*0.00902),"")</f>
        <v>6.3140000000000002E-2</v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31.712328767123289</v>
      </c>
      <c r="BN380" s="64">
        <f>IFERROR(Y380*I380/H380,"0")</f>
        <v>32.410000000000004</v>
      </c>
      <c r="BO380" s="64">
        <f>IFERROR(1/J380*(X380/H380),"0")</f>
        <v>5.1888750518887507E-2</v>
      </c>
      <c r="BP380" s="64">
        <f>IFERROR(1/J380*(Y380/H380),"0")</f>
        <v>5.3030303030303032E-2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6.8493150684931505</v>
      </c>
      <c r="Y382" s="553">
        <f>IFERROR(Y380/H380,"0")+IFERROR(Y381/H381,"0")</f>
        <v>7</v>
      </c>
      <c r="Z382" s="553">
        <f>IFERROR(IF(Z380="",0,Z380),"0")+IFERROR(IF(Z381="",0,Z381),"0")</f>
        <v>6.3140000000000002E-2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30</v>
      </c>
      <c r="Y383" s="553">
        <f>IFERROR(SUM(Y380:Y381),"0")</f>
        <v>30.66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800</v>
      </c>
      <c r="Y385" s="552">
        <f>IFERROR(IF(X385="",0,CEILING((X385/$H385),1)*$H385),"")</f>
        <v>801</v>
      </c>
      <c r="Z385" s="36">
        <f>IFERROR(IF(Y385=0,"",ROUNDUP(Y385/H385,0)*0.01898),"")</f>
        <v>1.6892199999999999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843.91111111111104</v>
      </c>
      <c r="BN385" s="64">
        <f>IFERROR(Y385*I385/H385,"0")</f>
        <v>844.96599999999989</v>
      </c>
      <c r="BO385" s="64">
        <f>IFERROR(1/J385*(X385/H385),"0")</f>
        <v>1.3888888888888888</v>
      </c>
      <c r="BP385" s="64">
        <f>IFERROR(1/J385*(Y385/H385),"0")</f>
        <v>1.390625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200</v>
      </c>
      <c r="Y386" s="552">
        <f>IFERROR(IF(X386="",0,CEILING((X386/$H386),1)*$H386),"")</f>
        <v>201.6</v>
      </c>
      <c r="Z386" s="36">
        <f>IFERROR(IF(Y386=0,"",ROUNDUP(Y386/H386,0)*0.00651),"")</f>
        <v>0.54683999999999999</v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222.00000000000003</v>
      </c>
      <c r="BN386" s="64">
        <f>IFERROR(Y386*I386/H386,"0")</f>
        <v>223.77600000000001</v>
      </c>
      <c r="BO386" s="64">
        <f>IFERROR(1/J386*(X386/H386),"0")</f>
        <v>0.45787545787545797</v>
      </c>
      <c r="BP386" s="64">
        <f>IFERROR(1/J386*(Y386/H386),"0")</f>
        <v>0.46153846153846156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172.22222222222223</v>
      </c>
      <c r="Y388" s="553">
        <f>IFERROR(Y385/H385,"0")+IFERROR(Y386/H386,"0")+IFERROR(Y387/H387,"0")</f>
        <v>173</v>
      </c>
      <c r="Z388" s="553">
        <f>IFERROR(IF(Z385="",0,Z385),"0")+IFERROR(IF(Z386="",0,Z386),"0")+IFERROR(IF(Z387="",0,Z387),"0")</f>
        <v>2.2360600000000002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1000</v>
      </c>
      <c r="Y389" s="553">
        <f>IFERROR(SUM(Y385:Y387),"0")</f>
        <v>1002.6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200</v>
      </c>
      <c r="Y432" s="552">
        <f t="shared" si="52"/>
        <v>200.64000000000001</v>
      </c>
      <c r="Z432" s="36">
        <f t="shared" si="53"/>
        <v>0.45448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213.25757575757575</v>
      </c>
      <c r="BN432" s="64">
        <f t="shared" si="55"/>
        <v>213.94</v>
      </c>
      <c r="BO432" s="64">
        <f t="shared" si="56"/>
        <v>0.36421911421911418</v>
      </c>
      <c r="BP432" s="64">
        <f t="shared" si="57"/>
        <v>0.36538461538461542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700</v>
      </c>
      <c r="Y433" s="552">
        <f t="shared" si="52"/>
        <v>702.24</v>
      </c>
      <c r="Z433" s="36">
        <f t="shared" si="53"/>
        <v>1.5906800000000001</v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746.40151515151513</v>
      </c>
      <c r="BN433" s="64">
        <f t="shared" si="55"/>
        <v>748.79</v>
      </c>
      <c r="BO433" s="64">
        <f t="shared" si="56"/>
        <v>1.2747668997668997</v>
      </c>
      <c r="BP433" s="64">
        <f t="shared" si="57"/>
        <v>1.278846153846154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1000</v>
      </c>
      <c r="Y435" s="552">
        <f t="shared" si="52"/>
        <v>1003.2</v>
      </c>
      <c r="Z435" s="36">
        <f t="shared" si="53"/>
        <v>2.2724000000000002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1066.2878787878788</v>
      </c>
      <c r="BN435" s="64">
        <f t="shared" si="55"/>
        <v>1069.7</v>
      </c>
      <c r="BO435" s="64">
        <f t="shared" si="56"/>
        <v>1.821095571095571</v>
      </c>
      <c r="BP435" s="64">
        <f t="shared" si="57"/>
        <v>1.8269230769230771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500</v>
      </c>
      <c r="Y440" s="552">
        <f t="shared" si="52"/>
        <v>504</v>
      </c>
      <c r="Z440" s="36">
        <f>IFERROR(IF(Y440=0,"",ROUNDUP(Y440/H440,0)*0.00902),"")</f>
        <v>0.94710000000000005</v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719.79166666666674</v>
      </c>
      <c r="BN440" s="64">
        <f t="shared" si="55"/>
        <v>725.55</v>
      </c>
      <c r="BO440" s="64">
        <f t="shared" si="56"/>
        <v>0.78914141414141425</v>
      </c>
      <c r="BP440" s="64">
        <f t="shared" si="57"/>
        <v>0.79545454545454553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464.0151515151515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466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5.2646600000000001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2400</v>
      </c>
      <c r="Y442" s="553">
        <f>IFERROR(SUM(Y429:Y440),"0")</f>
        <v>2410.08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400</v>
      </c>
      <c r="Y444" s="552">
        <f>IFERROR(IF(X444="",0,CEILING((X444/$H444),1)*$H444),"")</f>
        <v>401.28000000000003</v>
      </c>
      <c r="Z444" s="36">
        <f>IFERROR(IF(Y444=0,"",ROUNDUP(Y444/H444,0)*0.01196),"")</f>
        <v>0.90895999999999999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426.5151515151515</v>
      </c>
      <c r="BN444" s="64">
        <f>IFERROR(Y444*I444/H444,"0")</f>
        <v>427.88</v>
      </c>
      <c r="BO444" s="64">
        <f>IFERROR(1/J444*(X444/H444),"0")</f>
        <v>0.72843822843822836</v>
      </c>
      <c r="BP444" s="64">
        <f>IFERROR(1/J444*(Y444/H444),"0")</f>
        <v>0.73076923076923084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75.757575757575751</v>
      </c>
      <c r="Y447" s="553">
        <f>IFERROR(Y444/H444,"0")+IFERROR(Y445/H445,"0")+IFERROR(Y446/H446,"0")</f>
        <v>76</v>
      </c>
      <c r="Z447" s="553">
        <f>IFERROR(IF(Z444="",0,Z444),"0")+IFERROR(IF(Z445="",0,Z445),"0")+IFERROR(IF(Z446="",0,Z446),"0")</f>
        <v>0.90895999999999999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400</v>
      </c>
      <c r="Y448" s="553">
        <f>IFERROR(SUM(Y444:Y446),"0")</f>
        <v>401.28000000000003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100</v>
      </c>
      <c r="Y450" s="552">
        <f t="shared" ref="Y450:Y455" si="58">IFERROR(IF(X450="",0,CEILING((X450/$H450),1)*$H450),"")</f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106.62878787878788</v>
      </c>
      <c r="BN450" s="64">
        <f t="shared" ref="BN450:BN455" si="60">IFERROR(Y450*I450/H450,"0")</f>
        <v>106.97</v>
      </c>
      <c r="BO450" s="64">
        <f t="shared" ref="BO450:BO455" si="61">IFERROR(1/J450*(X450/H450),"0")</f>
        <v>0.18210955710955709</v>
      </c>
      <c r="BP450" s="64">
        <f t="shared" ref="BP450:BP455" si="62">IFERROR(1/J450*(Y450/H450),"0")</f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600</v>
      </c>
      <c r="Y451" s="552">
        <f t="shared" si="58"/>
        <v>601.92000000000007</v>
      </c>
      <c r="Z451" s="36">
        <f>IFERROR(IF(Y451=0,"",ROUNDUP(Y451/H451,0)*0.01196),"")</f>
        <v>1.36344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639.77272727272725</v>
      </c>
      <c r="BN451" s="64">
        <f t="shared" si="60"/>
        <v>641.82000000000005</v>
      </c>
      <c r="BO451" s="64">
        <f t="shared" si="61"/>
        <v>1.0926573426573427</v>
      </c>
      <c r="BP451" s="64">
        <f t="shared" si="62"/>
        <v>1.0961538461538463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700</v>
      </c>
      <c r="Y452" s="552">
        <f t="shared" si="58"/>
        <v>702.24</v>
      </c>
      <c r="Z452" s="36">
        <f>IFERROR(IF(Y452=0,"",ROUNDUP(Y452/H452,0)*0.01196),"")</f>
        <v>1.5906800000000001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746.40151515151513</v>
      </c>
      <c r="BN452" s="64">
        <f t="shared" si="60"/>
        <v>748.79</v>
      </c>
      <c r="BO452" s="64">
        <f t="shared" si="61"/>
        <v>1.2747668997668997</v>
      </c>
      <c r="BP452" s="64">
        <f t="shared" si="62"/>
        <v>1.278846153846154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265.15151515151513</v>
      </c>
      <c r="Y456" s="553">
        <f>IFERROR(Y450/H450,"0")+IFERROR(Y451/H451,"0")+IFERROR(Y452/H452,"0")+IFERROR(Y453/H453,"0")+IFERROR(Y454/H454,"0")+IFERROR(Y455/H455,"0")</f>
        <v>266</v>
      </c>
      <c r="Z456" s="553">
        <f>IFERROR(IF(Z450="",0,Z450),"0")+IFERROR(IF(Z451="",0,Z451),"0")+IFERROR(IF(Z452="",0,Z452),"0")+IFERROR(IF(Z453="",0,Z453),"0")+IFERROR(IF(Z454="",0,Z454),"0")+IFERROR(IF(Z455="",0,Z455),"0")</f>
        <v>3.1813599999999997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1400</v>
      </c>
      <c r="Y457" s="553">
        <f>IFERROR(SUM(Y450:Y455),"0")</f>
        <v>1404.48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100</v>
      </c>
      <c r="Y467" s="552">
        <f>IFERROR(IF(X467="",0,CEILING((X467/$H467),1)*$H467),"")</f>
        <v>108</v>
      </c>
      <c r="Z467" s="36">
        <f>IFERROR(IF(Y467=0,"",ROUNDUP(Y467/H467,0)*0.01898),"")</f>
        <v>0.17082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103.41666666666667</v>
      </c>
      <c r="BN467" s="64">
        <f>IFERROR(Y467*I467/H467,"0")</f>
        <v>111.69</v>
      </c>
      <c r="BO467" s="64">
        <f>IFERROR(1/J467*(X467/H467),"0")</f>
        <v>0.13020833333333334</v>
      </c>
      <c r="BP467" s="64">
        <f>IFERROR(1/J467*(Y467/H467),"0")</f>
        <v>0.140625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8.3333333333333339</v>
      </c>
      <c r="Y469" s="553">
        <f>IFERROR(Y465/H465,"0")+IFERROR(Y466/H466,"0")+IFERROR(Y467/H467,"0")+IFERROR(Y468/H468,"0")</f>
        <v>9</v>
      </c>
      <c r="Z469" s="553">
        <f>IFERROR(IF(Z465="",0,Z465),"0")+IFERROR(IF(Z466="",0,Z466),"0")+IFERROR(IF(Z467="",0,Z467),"0")+IFERROR(IF(Z468="",0,Z468),"0")</f>
        <v>0.17082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100</v>
      </c>
      <c r="Y470" s="553">
        <f>IFERROR(SUM(Y465:Y468),"0")</f>
        <v>108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400</v>
      </c>
      <c r="Y481" s="552">
        <f>IFERROR(IF(X481="",0,CEILING((X481/$H481),1)*$H481),"")</f>
        <v>405</v>
      </c>
      <c r="Z481" s="36">
        <f>IFERROR(IF(Y481=0,"",ROUNDUP(Y481/H481,0)*0.01898),"")</f>
        <v>0.85409999999999997</v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421.95555555555552</v>
      </c>
      <c r="BN481" s="64">
        <f>IFERROR(Y481*I481/H481,"0")</f>
        <v>427.22999999999996</v>
      </c>
      <c r="BO481" s="64">
        <f>IFERROR(1/J481*(X481/H481),"0")</f>
        <v>0.69444444444444442</v>
      </c>
      <c r="BP481" s="64">
        <f>IFERROR(1/J481*(Y481/H481),"0")</f>
        <v>0.703125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44.444444444444443</v>
      </c>
      <c r="Y482" s="553">
        <f>IFERROR(Y481/H481,"0")</f>
        <v>45</v>
      </c>
      <c r="Z482" s="553">
        <f>IFERROR(IF(Z481="",0,Z481),"0")</f>
        <v>0.85409999999999997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400</v>
      </c>
      <c r="Y483" s="553">
        <f>IFERROR(SUM(Y481:Y481),"0")</f>
        <v>405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13790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13939.980000000001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14894.609064317841</v>
      </c>
      <c r="Y495" s="553">
        <f>IFERROR(SUM(BN22:BN491),"0")</f>
        <v>15054.073999999999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26</v>
      </c>
      <c r="Y496" s="38">
        <f>ROUNDUP(SUM(BP22:BP491),0)</f>
        <v>26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15544.609064317841</v>
      </c>
      <c r="Y497" s="553">
        <f>GrossWeightTotalR+PalletQtyTotalR*25</f>
        <v>15704.073999999999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3039.1376188595864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3062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30.645919999999993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208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351</v>
      </c>
      <c r="E504" s="46">
        <f>IFERROR(Y84*1,"0")+IFERROR(Y85*1,"0")+IFERROR(Y86*1,"0")+IFERROR(Y87*1,"0")+IFERROR(Y91*1,"0")+IFERROR(Y92*1,"0")+IFERROR(Y93*1,"0")+IFERROR(Y94*1,"0")</f>
        <v>1216.98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1580.7</v>
      </c>
      <c r="G504" s="46">
        <f>IFERROR(Y126*1,"0")+IFERROR(Y127*1,"0")+IFERROR(Y131*1,"0")+IFERROR(Y132*1,"0")+IFERROR(Y136*1,"0")+IFERROR(Y137*1,"0")</f>
        <v>101.6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3151.7999999999997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100.8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258</v>
      </c>
      <c r="R504" s="46">
        <f>IFERROR(Y342*1,"0")+IFERROR(Y343*1,"0")+IFERROR(Y344*1,"0")</f>
        <v>252.00000000000003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801</v>
      </c>
      <c r="T504" s="46">
        <f>IFERROR(Y375*1,"0")+IFERROR(Y376*1,"0")+IFERROR(Y380*1,"0")+IFERROR(Y381*1,"0")+IFERROR(Y385*1,"0")+IFERROR(Y386*1,"0")+IFERROR(Y387*1,"0")</f>
        <v>1189.26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4215.84</v>
      </c>
      <c r="Y504" s="46">
        <f>IFERROR(Y465*1,"0")+IFERROR(Y466*1,"0")+IFERROR(Y467*1,"0")+IFERROR(Y468*1,"0")+IFERROR(Y472*1,"0")+IFERROR(Y473*1,"0")+IFERROR(Y477*1,"0")+IFERROR(Y481*1,"0")+IFERROR(Y485*1,"0")+IFERROR(Y486*1,"0")</f>
        <v>513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2026-01-16T06:50:07Z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