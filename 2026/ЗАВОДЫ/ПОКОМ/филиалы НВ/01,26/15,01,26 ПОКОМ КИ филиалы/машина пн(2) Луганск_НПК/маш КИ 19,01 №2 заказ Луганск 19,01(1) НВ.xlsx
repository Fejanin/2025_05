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282F4FC-AA47-4D3A-8A34-E1660F7BAA2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494" i="1" s="1"/>
  <c r="Y24" i="1"/>
  <c r="X493" i="1"/>
  <c r="Z27" i="1"/>
  <c r="BN27" i="1"/>
  <c r="BP27" i="1"/>
  <c r="Y495" i="1" s="1"/>
  <c r="Z29" i="1"/>
  <c r="BN29" i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Z302" i="1" s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Y496" i="1" l="1"/>
  <c r="Z275" i="1"/>
  <c r="Z258" i="1"/>
  <c r="Z318" i="1"/>
  <c r="Z180" i="1"/>
  <c r="Z468" i="1"/>
  <c r="Z455" i="1"/>
  <c r="Z418" i="1"/>
  <c r="Z337" i="1"/>
  <c r="Z267" i="1"/>
  <c r="Z242" i="1"/>
  <c r="Z31" i="1"/>
  <c r="Z498" i="1" s="1"/>
  <c r="Y497" i="1"/>
  <c r="X496" i="1"/>
  <c r="Z118" i="1"/>
  <c r="Z63" i="1"/>
  <c r="Y493" i="1"/>
</calcChain>
</file>

<file path=xl/sharedStrings.xml><?xml version="1.0" encoding="utf-8"?>
<sst xmlns="http://schemas.openxmlformats.org/spreadsheetml/2006/main" count="2274" uniqueCount="773">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</sst>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100</v>
      </c>
      <c r="Y91" s="55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45</v>
      </c>
      <c r="Y93" s="550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29.012345679012341</v>
      </c>
      <c r="Y95" s="551">
        <f>IFERROR(Y91/H91,"0")+IFERROR(Y92/H92,"0")+IFERROR(Y93/H93,"0")+IFERROR(Y94/H94,"0")</f>
        <v>30</v>
      </c>
      <c r="Z95" s="551">
        <f>IFERROR(IF(Z91="",0,Z91),"0")+IFERROR(IF(Z92="",0,Z92),"0")+IFERROR(IF(Z93="",0,Z93),"0")+IFERROR(IF(Z94="",0,Z94),"0")</f>
        <v>0.35741000000000001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145</v>
      </c>
      <c r="Y96" s="551">
        <f>IFERROR(SUM(Y91:Y94),"0")</f>
        <v>151.19999999999999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100</v>
      </c>
      <c r="Y114" s="550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90</v>
      </c>
      <c r="Y116" s="550">
        <f>IFERROR(IF(X116="",0,CEILING((X116/$H116),1)*$H116),"")</f>
        <v>91.800000000000011</v>
      </c>
      <c r="Z116" s="36">
        <f>IFERROR(IF(Y116=0,"",ROUNDUP(Y116/H116,0)*0.00651),"")</f>
        <v>0.22134000000000001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98.399999999999991</v>
      </c>
      <c r="BN116" s="64">
        <f>IFERROR(Y116*I116/H116,"0")</f>
        <v>100.36799999999999</v>
      </c>
      <c r="BO116" s="64">
        <f>IFERROR(1/J116*(X116/H116),"0")</f>
        <v>0.18315018315018314</v>
      </c>
      <c r="BP116" s="64">
        <f>IFERROR(1/J116*(Y116/H116),"0")</f>
        <v>0.18681318681318682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45.679012345679006</v>
      </c>
      <c r="Y118" s="551">
        <f>IFERROR(Y114/H114,"0")+IFERROR(Y115/H115,"0")+IFERROR(Y116/H116,"0")+IFERROR(Y117/H117,"0")</f>
        <v>47</v>
      </c>
      <c r="Z118" s="551">
        <f>IFERROR(IF(Z114="",0,Z114),"0")+IFERROR(IF(Z115="",0,Z115),"0")+IFERROR(IF(Z116="",0,Z116),"0")+IFERROR(IF(Z117="",0,Z117),"0")</f>
        <v>0.46808000000000005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190</v>
      </c>
      <c r="Y119" s="551">
        <f>IFERROR(SUM(Y114:Y117),"0")</f>
        <v>197.10000000000002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112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112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100</v>
      </c>
      <c r="Y168" s="550">
        <f t="shared" si="10"/>
        <v>100.80000000000001</v>
      </c>
      <c r="Z168" s="36">
        <f>IFERROR(IF(Y168=0,"",ROUNDUP(Y168/H168,0)*0.00902),"")</f>
        <v>0.21648000000000001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104.5238095238095</v>
      </c>
      <c r="BN168" s="64">
        <f t="shared" si="12"/>
        <v>105.36</v>
      </c>
      <c r="BO168" s="64">
        <f t="shared" si="13"/>
        <v>0.18037518037518038</v>
      </c>
      <c r="BP168" s="64">
        <f t="shared" si="14"/>
        <v>0.18181818181818182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35</v>
      </c>
      <c r="Y170" s="550">
        <f t="shared" si="10"/>
        <v>35.700000000000003</v>
      </c>
      <c r="Z170" s="36">
        <f>IFERROR(IF(Y170=0,"",ROUNDUP(Y170/H170,0)*0.00502),"")</f>
        <v>8.5339999999999999E-2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37.166666666666664</v>
      </c>
      <c r="BN170" s="64">
        <f t="shared" si="12"/>
        <v>37.910000000000004</v>
      </c>
      <c r="BO170" s="64">
        <f t="shared" si="13"/>
        <v>7.1225071225071226E-2</v>
      </c>
      <c r="BP170" s="64">
        <f t="shared" si="14"/>
        <v>7.2649572649572655E-2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70</v>
      </c>
      <c r="Y177" s="550">
        <f t="shared" si="10"/>
        <v>71.400000000000006</v>
      </c>
      <c r="Z177" s="36">
        <f>IFERROR(IF(Y177=0,"",ROUNDUP(Y177/H177,0)*0.00502),"")</f>
        <v>0.17068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73.333333333333329</v>
      </c>
      <c r="BN177" s="64">
        <f t="shared" si="12"/>
        <v>74.8</v>
      </c>
      <c r="BO177" s="64">
        <f t="shared" si="13"/>
        <v>0.14245014245014245</v>
      </c>
      <c r="BP177" s="64">
        <f t="shared" si="14"/>
        <v>0.14529914529914531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73.809523809523796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75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0.47249999999999998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205</v>
      </c>
      <c r="Y181" s="551">
        <f>IFERROR(SUM(Y166:Y179),"0")</f>
        <v>207.9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213</v>
      </c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112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112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100</v>
      </c>
      <c r="Y217" s="550">
        <f t="shared" si="20"/>
        <v>104.39999999999999</v>
      </c>
      <c r="Z217" s="36">
        <f>IFERROR(IF(Y217=0,"",ROUNDUP(Y217/H217,0)*0.01898),"")</f>
        <v>0.22776000000000002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105.67816091954025</v>
      </c>
      <c r="BN217" s="64">
        <f t="shared" si="22"/>
        <v>110.32800000000002</v>
      </c>
      <c r="BO217" s="64">
        <f t="shared" si="23"/>
        <v>0.1795977011494253</v>
      </c>
      <c r="BP217" s="64">
        <f t="shared" si="24"/>
        <v>0.1875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213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160</v>
      </c>
      <c r="Y218" s="550">
        <f t="shared" si="20"/>
        <v>160.79999999999998</v>
      </c>
      <c r="Z218" s="36">
        <f t="shared" ref="Z218:Z223" si="25">IFERROR(IF(Y218=0,"",ROUNDUP(Y218/H218,0)*0.00651),"")</f>
        <v>0.43617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178</v>
      </c>
      <c r="BN218" s="64">
        <f t="shared" si="22"/>
        <v>178.89</v>
      </c>
      <c r="BO218" s="64">
        <f t="shared" si="23"/>
        <v>0.36630036630036633</v>
      </c>
      <c r="BP218" s="64">
        <f t="shared" si="24"/>
        <v>0.36813186813186816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440</v>
      </c>
      <c r="Y220" s="550">
        <f t="shared" si="20"/>
        <v>441.59999999999997</v>
      </c>
      <c r="Z220" s="36">
        <f t="shared" si="25"/>
        <v>1.19784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486.20000000000005</v>
      </c>
      <c r="BN220" s="64">
        <f t="shared" si="22"/>
        <v>487.96800000000002</v>
      </c>
      <c r="BO220" s="64">
        <f t="shared" si="23"/>
        <v>1.0073260073260075</v>
      </c>
      <c r="BP220" s="64">
        <f t="shared" si="24"/>
        <v>1.0109890109890112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213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200</v>
      </c>
      <c r="Y221" s="550">
        <f t="shared" si="20"/>
        <v>201.6</v>
      </c>
      <c r="Z221" s="36">
        <f t="shared" si="25"/>
        <v>0.54683999999999999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213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80</v>
      </c>
      <c r="Y222" s="550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88.40000000000002</v>
      </c>
      <c r="BN222" s="64">
        <f t="shared" si="22"/>
        <v>90.168000000000006</v>
      </c>
      <c r="BO222" s="64">
        <f t="shared" si="23"/>
        <v>0.18315018315018317</v>
      </c>
      <c r="BP222" s="64">
        <f t="shared" si="24"/>
        <v>0.18681318681318682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213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120</v>
      </c>
      <c r="Y223" s="550">
        <f t="shared" si="20"/>
        <v>120</v>
      </c>
      <c r="Z223" s="36">
        <f t="shared" si="25"/>
        <v>0.32550000000000001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132.9</v>
      </c>
      <c r="BN223" s="64">
        <f t="shared" si="22"/>
        <v>132.9</v>
      </c>
      <c r="BO223" s="64">
        <f t="shared" si="23"/>
        <v>0.27472527472527475</v>
      </c>
      <c r="BP223" s="64">
        <f t="shared" si="24"/>
        <v>0.27472527472527475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428.16091954022994</v>
      </c>
      <c r="Y224" s="551">
        <f>IFERROR(Y215/H215,"0")+IFERROR(Y216/H216,"0")+IFERROR(Y217/H217,"0")+IFERROR(Y218/H218,"0")+IFERROR(Y219/H219,"0")+IFERROR(Y220/H220,"0")+IFERROR(Y221/H221,"0")+IFERROR(Y222/H222,"0")+IFERROR(Y223/H223,"0")</f>
        <v>431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2.9554499999999999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1100</v>
      </c>
      <c r="Y225" s="551">
        <f>IFERROR(SUM(Y215:Y223),"0")</f>
        <v>1110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213</v>
      </c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4301012196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4301011824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4301012195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4301011722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213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213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200</v>
      </c>
      <c r="Y322" s="550">
        <f>IFERROR(IF(X322="",0,CEILING((X322/$H322),1)*$H322),"")</f>
        <v>202.79999999999998</v>
      </c>
      <c r="Z322" s="36">
        <f>IFERROR(IF(Y322=0,"",ROUNDUP(Y322/H322,0)*0.01898),"")</f>
        <v>0.49348000000000003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212.66666666666669</v>
      </c>
      <c r="BN322" s="64">
        <f>IFERROR(Y322*I322/H322,"0")</f>
        <v>215.64399999999998</v>
      </c>
      <c r="BO322" s="64">
        <f>IFERROR(1/J322*(X322/H322),"0")</f>
        <v>0.40064102564102566</v>
      </c>
      <c r="BP322" s="64">
        <f>IFERROR(1/J322*(Y322/H322),"0")</f>
        <v>0.40625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25.641025641025642</v>
      </c>
      <c r="Y324" s="551">
        <f>IFERROR(Y321/H321,"0")+IFERROR(Y322/H322,"0")+IFERROR(Y323/H323,"0")</f>
        <v>26</v>
      </c>
      <c r="Z324" s="551">
        <f>IFERROR(IF(Z321="",0,Z321),"0")+IFERROR(IF(Z322="",0,Z322),"0")+IFERROR(IF(Z323="",0,Z323),"0")</f>
        <v>0.49348000000000003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200</v>
      </c>
      <c r="Y325" s="551">
        <f>IFERROR(SUM(Y321:Y323),"0")</f>
        <v>202.79999999999998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213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17</v>
      </c>
      <c r="Y330" s="550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19.200000000000003</v>
      </c>
      <c r="BN330" s="64">
        <f>IFERROR(Y330*I330/H330,"0")</f>
        <v>20.16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6.666666666666667</v>
      </c>
      <c r="Y331" s="551">
        <f>IFERROR(Y327/H327,"0")+IFERROR(Y328/H328,"0")+IFERROR(Y329/H329,"0")+IFERROR(Y330/H330,"0")</f>
        <v>7</v>
      </c>
      <c r="Z331" s="551">
        <f>IFERROR(IF(Z327="",0,Z327),"0")+IFERROR(IF(Z328="",0,Z328),"0")+IFERROR(IF(Z329="",0,Z329),"0")+IFERROR(IF(Z330="",0,Z330),"0")</f>
        <v>4.5569999999999999E-2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17</v>
      </c>
      <c r="Y332" s="551">
        <f>IFERROR(SUM(Y327:Y330),"0")</f>
        <v>17.849999999999998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100</v>
      </c>
      <c r="Y350" s="550">
        <f t="shared" si="36"/>
        <v>105</v>
      </c>
      <c r="Z350" s="36">
        <f>IFERROR(IF(Y350=0,"",ROUNDUP(Y350/H350,0)*0.02175),"")</f>
        <v>0.15225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103.13333333333334</v>
      </c>
      <c r="BN350" s="64">
        <f t="shared" si="38"/>
        <v>108.29</v>
      </c>
      <c r="BO350" s="64">
        <f t="shared" si="39"/>
        <v>0.1388888888888889</v>
      </c>
      <c r="BP350" s="64">
        <f t="shared" si="40"/>
        <v>0.14583333333333331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6">
        <v>4680115887046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6">
        <v>4680115884830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300</v>
      </c>
      <c r="Y352" s="550">
        <f t="shared" si="36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309.39999999999998</v>
      </c>
      <c r="BN352" s="64">
        <f t="shared" si="38"/>
        <v>309.39999999999998</v>
      </c>
      <c r="BO352" s="64">
        <f t="shared" si="39"/>
        <v>0.41666666666666663</v>
      </c>
      <c r="BP352" s="64">
        <f t="shared" si="40"/>
        <v>0.41666666666666663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26.666666666666668</v>
      </c>
      <c r="Y356" s="551">
        <f>IFERROR(Y349/H349,"0")+IFERROR(Y350/H350,"0")+IFERROR(Y351/H351,"0")+IFERROR(Y352/H352,"0")+IFERROR(Y353/H353,"0")+IFERROR(Y354/H354,"0")+IFERROR(Y355/H355,"0")</f>
        <v>27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0.58724999999999994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400</v>
      </c>
      <c r="Y357" s="551">
        <f>IFERROR(SUM(Y349:Y355),"0")</f>
        <v>405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295</v>
      </c>
      <c r="Y359" s="550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304.2433333333334</v>
      </c>
      <c r="BN359" s="64">
        <f>IFERROR(Y359*I359/H359,"0")</f>
        <v>309.39999999999998</v>
      </c>
      <c r="BO359" s="64">
        <f>IFERROR(1/J359*(X359/H359),"0")</f>
        <v>0.40972222222222221</v>
      </c>
      <c r="BP359" s="64">
        <f>IFERROR(1/J359*(Y359/H359),"0")</f>
        <v>0.41666666666666663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19.666666666666668</v>
      </c>
      <c r="Y361" s="551">
        <f>IFERROR(Y359/H359,"0")+IFERROR(Y360/H360,"0")</f>
        <v>20</v>
      </c>
      <c r="Z361" s="551">
        <f>IFERROR(IF(Z359="",0,Z359),"0")+IFERROR(IF(Z360="",0,Z360),"0")</f>
        <v>0.43499999999999994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295</v>
      </c>
      <c r="Y362" s="551">
        <f>IFERROR(SUM(Y359:Y360),"0")</f>
        <v>300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4301031457</v>
      </c>
      <c r="D379" s="556">
        <v>4607091384802</v>
      </c>
      <c r="E379" s="557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4301031303</v>
      </c>
      <c r="D380" s="556">
        <v>4607091384802</v>
      </c>
      <c r="E380" s="557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800</v>
      </c>
      <c r="Y384" s="550">
        <f>IFERROR(IF(X384="",0,CEILING((X384/$H384),1)*$H384),"")</f>
        <v>801</v>
      </c>
      <c r="Z384" s="36">
        <f>IFERROR(IF(Y384=0,"",ROUNDUP(Y384/H384,0)*0.01898),"")</f>
        <v>1.6892199999999999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843.91111111111104</v>
      </c>
      <c r="BN384" s="64">
        <f>IFERROR(Y384*I384/H384,"0")</f>
        <v>844.96599999999989</v>
      </c>
      <c r="BO384" s="64">
        <f>IFERROR(1/J384*(X384/H384),"0")</f>
        <v>1.3888888888888888</v>
      </c>
      <c r="BP384" s="64">
        <f>IFERROR(1/J384*(Y384/H384),"0")</f>
        <v>1.390625</v>
      </c>
    </row>
    <row r="385" spans="1:68" ht="27" customHeight="1" x14ac:dyDescent="0.25">
      <c r="A385" s="54" t="s">
        <v>603</v>
      </c>
      <c r="B385" s="54" t="s">
        <v>604</v>
      </c>
      <c r="C385" s="31">
        <v>4301052069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606</v>
      </c>
      <c r="C386" s="31">
        <v>4301051660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 t="s">
        <v>213</v>
      </c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 t="s">
        <v>106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88.888888888888886</v>
      </c>
      <c r="Y387" s="551">
        <f>IFERROR(Y384/H384,"0")+IFERROR(Y385/H385,"0")+IFERROR(Y386/H386,"0")</f>
        <v>89</v>
      </c>
      <c r="Z387" s="551">
        <f>IFERROR(IF(Z384="",0,Z384),"0")+IFERROR(IF(Z385="",0,Z385),"0")+IFERROR(IF(Z386="",0,Z386),"0")</f>
        <v>1.6892199999999999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800</v>
      </c>
      <c r="Y388" s="551">
        <f>IFERROR(SUM(Y384:Y386),"0")</f>
        <v>801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112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</v>
      </c>
      <c r="Y451" s="550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18.939393939393938</v>
      </c>
      <c r="Y455" s="551">
        <f>IFERROR(Y449/H449,"0")+IFERROR(Y450/H450,"0")+IFERROR(Y451/H451,"0")+IFERROR(Y452/H452,"0")+IFERROR(Y453/H453,"0")+IFERROR(Y454/H454,"0")</f>
        <v>19</v>
      </c>
      <c r="Z455" s="551">
        <f>IFERROR(IF(Z449="",0,Z449),"0")+IFERROR(IF(Z450="",0,Z450),"0")+IFERROR(IF(Z451="",0,Z451),"0")+IFERROR(IF(Z452="",0,Z452),"0")+IFERROR(IF(Z453="",0,Z453),"0")+IFERROR(IF(Z454="",0,Z454),"0")</f>
        <v>0.22724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100</v>
      </c>
      <c r="Y456" s="551">
        <f>IFERROR(SUM(Y449:Y454),"0")</f>
        <v>100.32000000000001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3452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3493.17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3686.1086595567058</v>
      </c>
      <c r="Y494" s="551">
        <f>IFERROR(SUM(BN22:BN490),"0")</f>
        <v>3729.84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7</v>
      </c>
      <c r="Y495" s="38">
        <f>ROUNDUP(SUM(BP22:BP490),0)</f>
        <v>7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3861.1086595567058</v>
      </c>
      <c r="Y496" s="551">
        <f>GrossWeightTotalR+PalletQtyTotalR*25</f>
        <v>3904.84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763.13110984375339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771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7.7311999999999985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151.19999999999999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197.10000000000002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207.9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1110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220.64999999999998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705</v>
      </c>
      <c r="T503" s="46">
        <f>IFERROR(Y374*1,"0")+IFERROR(Y375*1,"0")+IFERROR(Y379*1,"0")+IFERROR(Y380*1,"0")+IFERROR(Y384*1,"0")+IFERROR(Y385*1,"0")+IFERROR(Y386*1,"0")</f>
        <v>801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100.32000000000001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6 X168 X170 X175 X177 X200 X204:X205 X207:X209 X211 X217:X218 X220:X223 X228 X233 X280:X281 X321:X323 X330 X341 X349:X350 X352 X359 X384 X386 X428 X431:X432 X434 X443 X445 X449:X45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2026-01-16T08:06:11Z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