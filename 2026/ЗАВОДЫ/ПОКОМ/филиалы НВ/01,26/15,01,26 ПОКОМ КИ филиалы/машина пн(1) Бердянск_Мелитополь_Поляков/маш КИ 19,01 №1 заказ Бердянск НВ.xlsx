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A4F49DF1-FFED-4815-BF03-C6D748E1AE1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Z204" i="1"/>
  <c r="Y204" i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Y186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Y187" i="1" s="1"/>
  <c r="P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Y144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Y80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7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J9" i="1"/>
  <c r="F10" i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Z75" i="1" s="1"/>
  <c r="BP85" i="1"/>
  <c r="BN85" i="1"/>
  <c r="Z85" i="1"/>
  <c r="Z88" i="1" s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Z153" i="1" s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Z201" i="1" s="1"/>
  <c r="BP298" i="1"/>
  <c r="BN298" i="1"/>
  <c r="Z298" i="1"/>
  <c r="Z302" i="1" s="1"/>
  <c r="Q503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503" i="1"/>
  <c r="H9" i="1"/>
  <c r="B503" i="1"/>
  <c r="X494" i="1"/>
  <c r="X495" i="1"/>
  <c r="Z23" i="1"/>
  <c r="Z24" i="1" s="1"/>
  <c r="BN23" i="1"/>
  <c r="Y494" i="1" s="1"/>
  <c r="Y496" i="1" s="1"/>
  <c r="Y24" i="1"/>
  <c r="X493" i="1"/>
  <c r="Z27" i="1"/>
  <c r="BN27" i="1"/>
  <c r="BP27" i="1"/>
  <c r="Y495" i="1" s="1"/>
  <c r="Z29" i="1"/>
  <c r="BN29" i="1"/>
  <c r="C503" i="1"/>
  <c r="Z41" i="1"/>
  <c r="Z43" i="1" s="1"/>
  <c r="BN41" i="1"/>
  <c r="Y44" i="1"/>
  <c r="D503" i="1"/>
  <c r="Y57" i="1"/>
  <c r="Z52" i="1"/>
  <c r="Z57" i="1" s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4" i="1" s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Z186" i="1" s="1"/>
  <c r="Y201" i="1"/>
  <c r="BP208" i="1"/>
  <c r="BN208" i="1"/>
  <c r="Z208" i="1"/>
  <c r="Y212" i="1"/>
  <c r="BP216" i="1"/>
  <c r="BN216" i="1"/>
  <c r="Z216" i="1"/>
  <c r="Z224" i="1" s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Z282" i="1"/>
  <c r="BP280" i="1"/>
  <c r="BN280" i="1"/>
  <c r="Z280" i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Z401" i="1" s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Z440" i="1" s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Z212" i="1" s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Z356" i="1" s="1"/>
  <c r="BP360" i="1"/>
  <c r="BN360" i="1"/>
  <c r="Z360" i="1"/>
  <c r="Z361" i="1" s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468" i="1" l="1"/>
  <c r="Z455" i="1"/>
  <c r="Z418" i="1"/>
  <c r="Z337" i="1"/>
  <c r="Z267" i="1"/>
  <c r="Z242" i="1"/>
  <c r="Z31" i="1"/>
  <c r="Z498" i="1" s="1"/>
  <c r="Y497" i="1"/>
  <c r="X496" i="1"/>
  <c r="Z118" i="1"/>
  <c r="Z63" i="1"/>
  <c r="Y493" i="1"/>
  <c r="Z275" i="1"/>
  <c r="Z258" i="1"/>
  <c r="Z318" i="1"/>
  <c r="Z180" i="1"/>
</calcChain>
</file>

<file path=xl/sharedStrings.xml><?xml version="1.0" encoding="utf-8"?>
<sst xmlns="http://schemas.openxmlformats.org/spreadsheetml/2006/main" count="2226" uniqueCount="773">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</sst>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3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7" t="s">
        <v>0</v>
      </c>
      <c r="E1" s="579"/>
      <c r="F1" s="579"/>
      <c r="G1" s="12" t="s">
        <v>1</v>
      </c>
      <c r="H1" s="627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4" t="s">
        <v>8</v>
      </c>
      <c r="B5" s="675"/>
      <c r="C5" s="676"/>
      <c r="D5" s="632"/>
      <c r="E5" s="633"/>
      <c r="F5" s="837" t="s">
        <v>9</v>
      </c>
      <c r="G5" s="676"/>
      <c r="H5" s="632"/>
      <c r="I5" s="783"/>
      <c r="J5" s="783"/>
      <c r="K5" s="783"/>
      <c r="L5" s="783"/>
      <c r="M5" s="633"/>
      <c r="N5" s="58"/>
      <c r="P5" s="24" t="s">
        <v>10</v>
      </c>
      <c r="Q5" s="849">
        <v>46041</v>
      </c>
      <c r="R5" s="673"/>
      <c r="T5" s="718" t="s">
        <v>11</v>
      </c>
      <c r="U5" s="719"/>
      <c r="V5" s="720" t="s">
        <v>12</v>
      </c>
      <c r="W5" s="673"/>
      <c r="AB5" s="51"/>
      <c r="AC5" s="51"/>
      <c r="AD5" s="51"/>
      <c r="AE5" s="51"/>
    </row>
    <row r="6" spans="1:32" s="543" customFormat="1" ht="24" customHeight="1" x14ac:dyDescent="0.2">
      <c r="A6" s="674" t="s">
        <v>13</v>
      </c>
      <c r="B6" s="675"/>
      <c r="C6" s="676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73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Понедельник</v>
      </c>
      <c r="R6" s="557"/>
      <c r="T6" s="723" t="s">
        <v>16</v>
      </c>
      <c r="U6" s="719"/>
      <c r="V6" s="768" t="s">
        <v>17</v>
      </c>
      <c r="W6" s="598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2"/>
      <c r="U7" s="719"/>
      <c r="V7" s="769"/>
      <c r="W7" s="770"/>
      <c r="AB7" s="51"/>
      <c r="AC7" s="51"/>
      <c r="AD7" s="51"/>
      <c r="AE7" s="51"/>
    </row>
    <row r="8" spans="1:32" s="543" customFormat="1" ht="25.5" customHeight="1" x14ac:dyDescent="0.2">
      <c r="A8" s="872" t="s">
        <v>18</v>
      </c>
      <c r="B8" s="568"/>
      <c r="C8" s="569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4">
        <v>0.41666666666666669</v>
      </c>
      <c r="R8" s="609"/>
      <c r="T8" s="562"/>
      <c r="U8" s="719"/>
      <c r="V8" s="769"/>
      <c r="W8" s="770"/>
      <c r="AB8" s="51"/>
      <c r="AC8" s="51"/>
      <c r="AD8" s="51"/>
      <c r="AE8" s="51"/>
    </row>
    <row r="9" spans="1:32" s="543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3"/>
      <c r="E9" s="566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41"/>
      <c r="P9" s="26" t="s">
        <v>21</v>
      </c>
      <c r="Q9" s="666"/>
      <c r="R9" s="667"/>
      <c r="T9" s="562"/>
      <c r="U9" s="719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3"/>
      <c r="E10" s="566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0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4"/>
      <c r="R10" s="725"/>
      <c r="U10" s="24" t="s">
        <v>23</v>
      </c>
      <c r="V10" s="597" t="s">
        <v>24</v>
      </c>
      <c r="W10" s="598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4" t="s">
        <v>29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30</v>
      </c>
      <c r="Q12" s="684"/>
      <c r="R12" s="609"/>
      <c r="S12" s="23"/>
      <c r="U12" s="24"/>
      <c r="V12" s="579"/>
      <c r="W12" s="562"/>
      <c r="AB12" s="51"/>
      <c r="AC12" s="51"/>
      <c r="AD12" s="51"/>
      <c r="AE12" s="51"/>
    </row>
    <row r="13" spans="1:32" s="543" customFormat="1" ht="23.25" customHeight="1" x14ac:dyDescent="0.2">
      <c r="A13" s="714" t="s">
        <v>31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32</v>
      </c>
      <c r="Q13" s="803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4" t="s">
        <v>33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7" t="s">
        <v>34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05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89" t="s">
        <v>38</v>
      </c>
      <c r="D17" s="592" t="s">
        <v>39</v>
      </c>
      <c r="E17" s="650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49"/>
      <c r="R17" s="649"/>
      <c r="S17" s="649"/>
      <c r="T17" s="650"/>
      <c r="U17" s="867" t="s">
        <v>51</v>
      </c>
      <c r="V17" s="676"/>
      <c r="W17" s="592" t="s">
        <v>52</v>
      </c>
      <c r="X17" s="592" t="s">
        <v>53</v>
      </c>
      <c r="Y17" s="870" t="s">
        <v>54</v>
      </c>
      <c r="Z17" s="781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1"/>
      <c r="E18" s="65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3"/>
      <c r="X18" s="593"/>
      <c r="Y18" s="871"/>
      <c r="Z18" s="782"/>
      <c r="AA18" s="759"/>
      <c r="AB18" s="759"/>
      <c r="AC18" s="759"/>
      <c r="AD18" s="834"/>
      <c r="AE18" s="835"/>
      <c r="AF18" s="836"/>
      <c r="AG18" s="66"/>
      <c r="BD18" s="65"/>
    </row>
    <row r="19" spans="1:68" ht="27.75" customHeight="1" x14ac:dyDescent="0.2">
      <c r="A19" s="668" t="s">
        <v>63</v>
      </c>
      <c r="B19" s="669"/>
      <c r="C19" s="669"/>
      <c r="D19" s="669"/>
      <c r="E19" s="669"/>
      <c r="F19" s="669"/>
      <c r="G19" s="669"/>
      <c r="H19" s="669"/>
      <c r="I19" s="669"/>
      <c r="J19" s="669"/>
      <c r="K19" s="669"/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48"/>
      <c r="AB19" s="48"/>
      <c r="AC19" s="48"/>
    </row>
    <row r="20" spans="1:68" ht="16.5" customHeight="1" x14ac:dyDescent="0.25">
      <c r="A20" s="570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4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4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customHeight="1" x14ac:dyDescent="0.25">
      <c r="A33" s="564" t="s">
        <v>91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545"/>
      <c r="AB33" s="545"/>
      <c r="AC33" s="54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1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customHeight="1" x14ac:dyDescent="0.2">
      <c r="A37" s="668" t="s">
        <v>97</v>
      </c>
      <c r="B37" s="669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48"/>
      <c r="AB37" s="48"/>
      <c r="AC37" s="48"/>
    </row>
    <row r="38" spans="1:68" ht="16.5" customHeight="1" x14ac:dyDescent="0.25">
      <c r="A38" s="570" t="s">
        <v>98</v>
      </c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  <c r="Y38" s="562"/>
      <c r="Z38" s="562"/>
      <c r="AA38" s="544"/>
      <c r="AB38" s="544"/>
      <c r="AC38" s="544"/>
    </row>
    <row r="39" spans="1:68" ht="14.25" customHeight="1" x14ac:dyDescent="0.25">
      <c r="A39" s="564" t="s">
        <v>99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58</v>
      </c>
      <c r="Y40" s="550">
        <f>IFERROR(IF(X40="",0,CEILING((X40/$H40),1)*$H40),"")</f>
        <v>64.800000000000011</v>
      </c>
      <c r="Z40" s="36">
        <f>IFERROR(IF(Y40=0,"",ROUNDUP(Y40/H40,0)*0.01898),"")</f>
        <v>0.11388000000000001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60.201851851851856</v>
      </c>
      <c r="BN40" s="64">
        <f>IFERROR(Y40*I40/H40,"0")</f>
        <v>67.260000000000005</v>
      </c>
      <c r="BO40" s="64">
        <f>IFERROR(1/J40*(X40/H40),"0")</f>
        <v>8.3912037037037035E-2</v>
      </c>
      <c r="BP40" s="64">
        <f>IFERROR(1/J40*(Y40/H40),"0")</f>
        <v>9.3750000000000014E-2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8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51">
        <f>IFERROR(X40/H40,"0")+IFERROR(X41/H41,"0")+IFERROR(X42/H42,"0")</f>
        <v>5.3703703703703702</v>
      </c>
      <c r="Y43" s="551">
        <f>IFERROR(Y40/H40,"0")+IFERROR(Y41/H41,"0")+IFERROR(Y42/H42,"0")</f>
        <v>6.0000000000000009</v>
      </c>
      <c r="Z43" s="551">
        <f>IFERROR(IF(Z40="",0,Z40),"0")+IFERROR(IF(Z41="",0,Z41),"0")+IFERROR(IF(Z42="",0,Z42),"0")</f>
        <v>0.11388000000000001</v>
      </c>
      <c r="AA43" s="552"/>
      <c r="AB43" s="552"/>
      <c r="AC43" s="552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51">
        <f>IFERROR(SUM(X40:X42),"0")</f>
        <v>58</v>
      </c>
      <c r="Y44" s="551">
        <f>IFERROR(SUM(Y40:Y42),"0")</f>
        <v>64.800000000000011</v>
      </c>
      <c r="Z44" s="37"/>
      <c r="AA44" s="552"/>
      <c r="AB44" s="552"/>
      <c r="AC44" s="552"/>
    </row>
    <row r="45" spans="1:68" ht="14.25" customHeight="1" x14ac:dyDescent="0.25">
      <c r="A45" s="564" t="s">
        <v>77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545"/>
      <c r="AB45" s="545"/>
      <c r="AC45" s="545"/>
    </row>
    <row r="46" spans="1:68" ht="16.5" customHeight="1" x14ac:dyDescent="0.25">
      <c r="A46" s="54" t="s">
        <v>112</v>
      </c>
      <c r="B46" s="54" t="s">
        <v>113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customHeight="1" x14ac:dyDescent="0.25">
      <c r="A49" s="570" t="s">
        <v>115</v>
      </c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44"/>
      <c r="AB49" s="544"/>
      <c r="AC49" s="544"/>
    </row>
    <row r="50" spans="1:68" ht="14.25" customHeight="1" x14ac:dyDescent="0.25">
      <c r="A50" s="564" t="s">
        <v>99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5"/>
      <c r="AB50" s="545"/>
      <c r="AC50" s="545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128</v>
      </c>
      <c r="B55" s="54" t="s">
        <v>129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131</v>
      </c>
      <c r="B56" s="54" t="s">
        <v>132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1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51">
        <f>IFERROR(X51/H51,"0")+IFERROR(X52/H52,"0")+IFERROR(X53/H53,"0")+IFERROR(X54/H54,"0")+IFERROR(X55/H55,"0")+IFERROR(X56/H56,"0")</f>
        <v>0</v>
      </c>
      <c r="Y57" s="551">
        <f>IFERROR(Y51/H51,"0")+IFERROR(Y52/H52,"0")+IFERROR(Y53/H53,"0")+IFERROR(Y54/H54,"0")+IFERROR(Y55/H55,"0")+IFERROR(Y56/H56,"0")</f>
        <v>0</v>
      </c>
      <c r="Z57" s="551">
        <f>IFERROR(IF(Z51="",0,Z51),"0")+IFERROR(IF(Z52="",0,Z52),"0")+IFERROR(IF(Z53="",0,Z53),"0")+IFERROR(IF(Z54="",0,Z54),"0")+IFERROR(IF(Z55="",0,Z55),"0")+IFERROR(IF(Z56="",0,Z56),"0")</f>
        <v>0</v>
      </c>
      <c r="AA57" s="552"/>
      <c r="AB57" s="552"/>
      <c r="AC57" s="552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51">
        <f>IFERROR(SUM(X51:X56),"0")</f>
        <v>0</v>
      </c>
      <c r="Y58" s="551">
        <f>IFERROR(SUM(Y51:Y56),"0")</f>
        <v>0</v>
      </c>
      <c r="Z58" s="37"/>
      <c r="AA58" s="552"/>
      <c r="AB58" s="552"/>
      <c r="AC58" s="552"/>
    </row>
    <row r="59" spans="1:68" ht="14.25" customHeight="1" x14ac:dyDescent="0.25">
      <c r="A59" s="564" t="s">
        <v>134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545"/>
      <c r="AB59" s="545"/>
      <c r="AC59" s="545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/>
      <c r="M60" s="33" t="s">
        <v>104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0</v>
      </c>
      <c r="Y60" s="55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137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138</v>
      </c>
      <c r="B61" s="54" t="s">
        <v>139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140</v>
      </c>
      <c r="B62" s="54" t="s">
        <v>141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51">
        <f>IFERROR(X60/H60,"0")+IFERROR(X61/H61,"0")+IFERROR(X62/H62,"0")</f>
        <v>0</v>
      </c>
      <c r="Y63" s="551">
        <f>IFERROR(Y60/H60,"0")+IFERROR(Y61/H61,"0")+IFERROR(Y62/H62,"0")</f>
        <v>0</v>
      </c>
      <c r="Z63" s="551">
        <f>IFERROR(IF(Z60="",0,Z60),"0")+IFERROR(IF(Z61="",0,Z61),"0")+IFERROR(IF(Z62="",0,Z62),"0")</f>
        <v>0</v>
      </c>
      <c r="AA63" s="552"/>
      <c r="AB63" s="552"/>
      <c r="AC63" s="552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51">
        <f>IFERROR(SUM(X60:X62),"0")</f>
        <v>0</v>
      </c>
      <c r="Y64" s="551">
        <f>IFERROR(SUM(Y60:Y62),"0")</f>
        <v>0</v>
      </c>
      <c r="Z64" s="37"/>
      <c r="AA64" s="552"/>
      <c r="AB64" s="552"/>
      <c r="AC64" s="552"/>
    </row>
    <row r="65" spans="1:68" ht="14.25" customHeight="1" x14ac:dyDescent="0.25">
      <c r="A65" s="564" t="s">
        <v>64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545"/>
      <c r="AB65" s="545"/>
      <c r="AC65" s="545"/>
    </row>
    <row r="66" spans="1:68" ht="27" customHeight="1" x14ac:dyDescent="0.25">
      <c r="A66" s="54" t="s">
        <v>142</v>
      </c>
      <c r="B66" s="54" t="s">
        <v>143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145</v>
      </c>
      <c r="B67" s="54" t="s">
        <v>146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1"/>
      <c r="B68" s="562"/>
      <c r="C68" s="562"/>
      <c r="D68" s="562"/>
      <c r="E68" s="562"/>
      <c r="F68" s="562"/>
      <c r="G68" s="562"/>
      <c r="H68" s="562"/>
      <c r="I68" s="562"/>
      <c r="J68" s="562"/>
      <c r="K68" s="562"/>
      <c r="L68" s="562"/>
      <c r="M68" s="562"/>
      <c r="N68" s="562"/>
      <c r="O68" s="563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customHeight="1" x14ac:dyDescent="0.25">
      <c r="A70" s="564" t="s">
        <v>77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545"/>
      <c r="AB70" s="545"/>
      <c r="AC70" s="545"/>
    </row>
    <row r="71" spans="1:68" ht="27" customHeight="1" x14ac:dyDescent="0.25">
      <c r="A71" s="54" t="s">
        <v>148</v>
      </c>
      <c r="B71" s="54" t="s">
        <v>149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150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151</v>
      </c>
      <c r="B72" s="54" t="s">
        <v>152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154</v>
      </c>
      <c r="B73" s="54" t="s">
        <v>155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150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156</v>
      </c>
      <c r="B74" s="54" t="s">
        <v>157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158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1"/>
      <c r="B75" s="562"/>
      <c r="C75" s="562"/>
      <c r="D75" s="562"/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3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x14ac:dyDescent="0.2">
      <c r="A76" s="562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customHeight="1" x14ac:dyDescent="0.25">
      <c r="A77" s="564" t="s">
        <v>159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545"/>
      <c r="AB77" s="545"/>
      <c r="AC77" s="545"/>
    </row>
    <row r="78" spans="1:68" ht="27" customHeight="1" x14ac:dyDescent="0.25">
      <c r="A78" s="54" t="s">
        <v>160</v>
      </c>
      <c r="B78" s="54" t="s">
        <v>161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/>
      <c r="M78" s="33" t="s">
        <v>86</v>
      </c>
      <c r="N78" s="33"/>
      <c r="O78" s="32">
        <v>30</v>
      </c>
      <c r="P78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162</v>
      </c>
      <c r="AG78" s="64"/>
      <c r="AJ78" s="68"/>
      <c r="AK78" s="68">
        <v>0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163</v>
      </c>
      <c r="B79" s="54" t="s">
        <v>164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165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62"/>
      <c r="C80" s="562"/>
      <c r="D80" s="562"/>
      <c r="E80" s="562"/>
      <c r="F80" s="562"/>
      <c r="G80" s="562"/>
      <c r="H80" s="562"/>
      <c r="I80" s="562"/>
      <c r="J80" s="562"/>
      <c r="K80" s="562"/>
      <c r="L80" s="562"/>
      <c r="M80" s="562"/>
      <c r="N80" s="562"/>
      <c r="O80" s="563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x14ac:dyDescent="0.2">
      <c r="A81" s="562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customHeight="1" x14ac:dyDescent="0.25">
      <c r="A82" s="570" t="s">
        <v>166</v>
      </c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  <c r="AA82" s="544"/>
      <c r="AB82" s="544"/>
      <c r="AC82" s="544"/>
    </row>
    <row r="83" spans="1:68" ht="14.25" customHeight="1" x14ac:dyDescent="0.25">
      <c r="A83" s="564" t="s">
        <v>99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5"/>
      <c r="AB83" s="545"/>
      <c r="AC83" s="545"/>
    </row>
    <row r="84" spans="1:68" ht="27" customHeight="1" x14ac:dyDescent="0.25">
      <c r="A84" s="54" t="s">
        <v>167</v>
      </c>
      <c r="B84" s="54" t="s">
        <v>168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79</v>
      </c>
      <c r="Y84" s="550">
        <f>IFERROR(IF(X84="",0,CEILING((X84/$H84),1)*$H84),"")</f>
        <v>86.4</v>
      </c>
      <c r="Z84" s="36">
        <f>IFERROR(IF(Y84=0,"",ROUNDUP(Y84/H84,0)*0.01898),"")</f>
        <v>0.15184</v>
      </c>
      <c r="AA84" s="56"/>
      <c r="AB84" s="57"/>
      <c r="AC84" s="125" t="s">
        <v>169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81.999074074074073</v>
      </c>
      <c r="BN84" s="64">
        <f>IFERROR(Y84*I84/H84,"0")</f>
        <v>89.68</v>
      </c>
      <c r="BO84" s="64">
        <f>IFERROR(1/J84*(X84/H84),"0")</f>
        <v>0.11429398148148147</v>
      </c>
      <c r="BP84" s="64">
        <f>IFERROR(1/J84*(Y84/H84),"0")</f>
        <v>0.125</v>
      </c>
    </row>
    <row r="85" spans="1:68" ht="27" customHeight="1" x14ac:dyDescent="0.25">
      <c r="A85" s="54" t="s">
        <v>170</v>
      </c>
      <c r="B85" s="54" t="s">
        <v>171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172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173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169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95</v>
      </c>
      <c r="Y87" s="550">
        <f>IFERROR(IF(X87="",0,CEILING((X87/$H87),1)*$H87),"")</f>
        <v>99</v>
      </c>
      <c r="Z87" s="36">
        <f>IFERROR(IF(Y87=0,"",ROUNDUP(Y87/H87,0)*0.00902),"")</f>
        <v>0.19844000000000001</v>
      </c>
      <c r="AA87" s="56"/>
      <c r="AB87" s="57"/>
      <c r="AC87" s="131" t="s">
        <v>169</v>
      </c>
      <c r="AG87" s="64"/>
      <c r="AJ87" s="68"/>
      <c r="AK87" s="68">
        <v>0</v>
      </c>
      <c r="BB87" s="132" t="s">
        <v>1</v>
      </c>
      <c r="BM87" s="64">
        <f>IFERROR(X87*I87/H87,"0")</f>
        <v>99.01111111111112</v>
      </c>
      <c r="BN87" s="64">
        <f>IFERROR(Y87*I87/H87,"0")</f>
        <v>103.18</v>
      </c>
      <c r="BO87" s="64">
        <f>IFERROR(1/J87*(X87/H87),"0")</f>
        <v>0.15993265993265993</v>
      </c>
      <c r="BP87" s="64">
        <f>IFERROR(1/J87*(Y87/H87),"0")</f>
        <v>0.16666666666666669</v>
      </c>
    </row>
    <row r="88" spans="1:68" x14ac:dyDescent="0.2">
      <c r="A88" s="561"/>
      <c r="B88" s="562"/>
      <c r="C88" s="562"/>
      <c r="D88" s="562"/>
      <c r="E88" s="562"/>
      <c r="F88" s="562"/>
      <c r="G88" s="562"/>
      <c r="H88" s="562"/>
      <c r="I88" s="562"/>
      <c r="J88" s="562"/>
      <c r="K88" s="562"/>
      <c r="L88" s="562"/>
      <c r="M88" s="562"/>
      <c r="N88" s="562"/>
      <c r="O88" s="563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51">
        <f>IFERROR(X84/H84,"0")+IFERROR(X85/H85,"0")+IFERROR(X86/H86,"0")+IFERROR(X87/H87,"0")</f>
        <v>28.425925925925924</v>
      </c>
      <c r="Y88" s="551">
        <f>IFERROR(Y84/H84,"0")+IFERROR(Y85/H85,"0")+IFERROR(Y86/H86,"0")+IFERROR(Y87/H87,"0")</f>
        <v>30</v>
      </c>
      <c r="Z88" s="551">
        <f>IFERROR(IF(Z84="",0,Z84),"0")+IFERROR(IF(Z85="",0,Z85),"0")+IFERROR(IF(Z86="",0,Z86),"0")+IFERROR(IF(Z87="",0,Z87),"0")</f>
        <v>0.35028000000000004</v>
      </c>
      <c r="AA88" s="552"/>
      <c r="AB88" s="552"/>
      <c r="AC88" s="552"/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51">
        <f>IFERROR(SUM(X84:X87),"0")</f>
        <v>174</v>
      </c>
      <c r="Y89" s="551">
        <f>IFERROR(SUM(Y84:Y87),"0")</f>
        <v>185.4</v>
      </c>
      <c r="Z89" s="37"/>
      <c r="AA89" s="552"/>
      <c r="AB89" s="552"/>
      <c r="AC89" s="552"/>
    </row>
    <row r="90" spans="1:68" ht="14.25" customHeight="1" x14ac:dyDescent="0.25">
      <c r="A90" s="564" t="s">
        <v>77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545"/>
      <c r="AB90" s="545"/>
      <c r="AC90" s="545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74</v>
      </c>
      <c r="Y91" s="550">
        <f>IFERROR(IF(X91="",0,CEILING((X91/$H91),1)*$H91),"")</f>
        <v>81</v>
      </c>
      <c r="Z91" s="36">
        <f>IFERROR(IF(Y91=0,"",ROUNDUP(Y91/H91,0)*0.01898),"")</f>
        <v>0.1898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78.51308641975308</v>
      </c>
      <c r="BN91" s="64">
        <f>IFERROR(Y91*I91/H91,"0")</f>
        <v>85.94</v>
      </c>
      <c r="BO91" s="64">
        <f>IFERROR(1/J91*(X91/H91),"0")</f>
        <v>0.14274691358024691</v>
      </c>
      <c r="BP91" s="64">
        <f>IFERROR(1/J91*(Y91/H91),"0")</f>
        <v>0.15625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180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129</v>
      </c>
      <c r="Y93" s="550">
        <f>IFERROR(IF(X93="",0,CEILING((X93/$H93),1)*$H93),"")</f>
        <v>129.60000000000002</v>
      </c>
      <c r="Z93" s="36">
        <f>IFERROR(IF(Y93=0,"",ROUNDUP(Y93/H93,0)*0.00651),"")</f>
        <v>0.31247999999999998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141.04</v>
      </c>
      <c r="BN93" s="64">
        <f>IFERROR(Y93*I93/H93,"0")</f>
        <v>141.69600000000003</v>
      </c>
      <c r="BO93" s="64">
        <f>IFERROR(1/J93*(X93/H93),"0")</f>
        <v>0.26251526251526253</v>
      </c>
      <c r="BP93" s="64">
        <f>IFERROR(1/J93*(Y93/H93),"0")</f>
        <v>0.2637362637362638</v>
      </c>
    </row>
    <row r="94" spans="1:68" ht="16.5" customHeight="1" x14ac:dyDescent="0.25">
      <c r="A94" s="54" t="s">
        <v>185</v>
      </c>
      <c r="B94" s="54" t="s">
        <v>186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3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51">
        <f>IFERROR(X91/H91,"0")+IFERROR(X92/H92,"0")+IFERROR(X93/H93,"0")+IFERROR(X94/H94,"0")</f>
        <v>56.913580246913575</v>
      </c>
      <c r="Y95" s="551">
        <f>IFERROR(Y91/H91,"0")+IFERROR(Y92/H92,"0")+IFERROR(Y93/H93,"0")+IFERROR(Y94/H94,"0")</f>
        <v>58.000000000000007</v>
      </c>
      <c r="Z95" s="551">
        <f>IFERROR(IF(Z91="",0,Z91),"0")+IFERROR(IF(Z92="",0,Z92),"0")+IFERROR(IF(Z93="",0,Z93),"0")+IFERROR(IF(Z94="",0,Z94),"0")</f>
        <v>0.50227999999999995</v>
      </c>
      <c r="AA95" s="552"/>
      <c r="AB95" s="552"/>
      <c r="AC95" s="552"/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51">
        <f>IFERROR(SUM(X91:X94),"0")</f>
        <v>203</v>
      </c>
      <c r="Y96" s="551">
        <f>IFERROR(SUM(Y91:Y94),"0")</f>
        <v>210.60000000000002</v>
      </c>
      <c r="Z96" s="37"/>
      <c r="AA96" s="552"/>
      <c r="AB96" s="552"/>
      <c r="AC96" s="552"/>
    </row>
    <row r="97" spans="1:68" ht="16.5" customHeight="1" x14ac:dyDescent="0.25">
      <c r="A97" s="570" t="s">
        <v>188</v>
      </c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2"/>
      <c r="P97" s="562"/>
      <c r="Q97" s="562"/>
      <c r="R97" s="562"/>
      <c r="S97" s="562"/>
      <c r="T97" s="562"/>
      <c r="U97" s="562"/>
      <c r="V97" s="562"/>
      <c r="W97" s="562"/>
      <c r="X97" s="562"/>
      <c r="Y97" s="562"/>
      <c r="Z97" s="562"/>
      <c r="AA97" s="544"/>
      <c r="AB97" s="544"/>
      <c r="AC97" s="544"/>
    </row>
    <row r="98" spans="1:68" ht="14.25" customHeight="1" x14ac:dyDescent="0.25">
      <c r="A98" s="564" t="s">
        <v>99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5"/>
      <c r="AB98" s="545"/>
      <c r="AC98" s="545"/>
    </row>
    <row r="99" spans="1:68" ht="37.5" customHeight="1" x14ac:dyDescent="0.25">
      <c r="A99" s="54" t="s">
        <v>189</v>
      </c>
      <c r="B99" s="54" t="s">
        <v>190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76</v>
      </c>
      <c r="Y99" s="550">
        <f>IFERROR(IF(X99="",0,CEILING((X99/$H99),1)*$H99),"")</f>
        <v>86.4</v>
      </c>
      <c r="Z99" s="36">
        <f>IFERROR(IF(Y99=0,"",ROUNDUP(Y99/H99,0)*0.01898),"")</f>
        <v>0.15184</v>
      </c>
      <c r="AA99" s="56"/>
      <c r="AB99" s="57"/>
      <c r="AC99" s="141" t="s">
        <v>191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78.885185185185179</v>
      </c>
      <c r="BN99" s="64">
        <f>IFERROR(Y99*I99/H99,"0")</f>
        <v>89.68</v>
      </c>
      <c r="BO99" s="64">
        <f>IFERROR(1/J99*(X99/H99),"0")</f>
        <v>0.10995370370370369</v>
      </c>
      <c r="BP99" s="64">
        <f>IFERROR(1/J99*(Y99/H99),"0")</f>
        <v>0.125</v>
      </c>
    </row>
    <row r="100" spans="1:68" ht="27" customHeight="1" x14ac:dyDescent="0.25">
      <c r="A100" s="54" t="s">
        <v>192</v>
      </c>
      <c r="B100" s="54" t="s">
        <v>193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172</v>
      </c>
      <c r="L100" s="32"/>
      <c r="M100" s="33" t="s">
        <v>68</v>
      </c>
      <c r="N100" s="33"/>
      <c r="O100" s="32">
        <v>30</v>
      </c>
      <c r="P100" s="6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194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191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199</v>
      </c>
      <c r="M102" s="33" t="s">
        <v>80</v>
      </c>
      <c r="N102" s="33"/>
      <c r="O102" s="32">
        <v>50</v>
      </c>
      <c r="P102" s="8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191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51">
        <f>IFERROR(X99/H99,"0")+IFERROR(X100/H100,"0")+IFERROR(X101/H101,"0")+IFERROR(X102/H102,"0")+IFERROR(X103/H103,"0")</f>
        <v>7.0370370370370363</v>
      </c>
      <c r="Y104" s="551">
        <f>IFERROR(Y99/H99,"0")+IFERROR(Y100/H100,"0")+IFERROR(Y101/H101,"0")+IFERROR(Y102/H102,"0")+IFERROR(Y103/H103,"0")</f>
        <v>8</v>
      </c>
      <c r="Z104" s="551">
        <f>IFERROR(IF(Z99="",0,Z99),"0")+IFERROR(IF(Z100="",0,Z100),"0")+IFERROR(IF(Z101="",0,Z101),"0")+IFERROR(IF(Z102="",0,Z102),"0")+IFERROR(IF(Z103="",0,Z103),"0")</f>
        <v>0.15184</v>
      </c>
      <c r="AA104" s="552"/>
      <c r="AB104" s="552"/>
      <c r="AC104" s="552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51">
        <f>IFERROR(SUM(X99:X103),"0")</f>
        <v>76</v>
      </c>
      <c r="Y105" s="551">
        <f>IFERROR(SUM(Y99:Y103),"0")</f>
        <v>86.4</v>
      </c>
      <c r="Z105" s="37"/>
      <c r="AA105" s="552"/>
      <c r="AB105" s="552"/>
      <c r="AC105" s="552"/>
    </row>
    <row r="106" spans="1:68" ht="14.25" customHeight="1" x14ac:dyDescent="0.25">
      <c r="A106" s="564" t="s">
        <v>134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545"/>
      <c r="AB106" s="545"/>
      <c r="AC106" s="545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/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4</v>
      </c>
      <c r="Y107" s="550">
        <f>IFERROR(IF(X107="",0,CEILING((X107/$H107),1)*$H107),"")</f>
        <v>10.8</v>
      </c>
      <c r="Z107" s="36">
        <f>IFERROR(IF(Y107=0,"",ROUNDUP(Y107/H107,0)*0.01898),"")</f>
        <v>1.898E-2</v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4.1518518518518519</v>
      </c>
      <c r="BN107" s="64">
        <f>IFERROR(Y107*I107/H107,"0")</f>
        <v>11.21</v>
      </c>
      <c r="BO107" s="64">
        <f>IFERROR(1/J107*(X107/H107),"0")</f>
        <v>5.7870370370370367E-3</v>
      </c>
      <c r="BP107" s="64">
        <f>IFERROR(1/J107*(Y107/H107),"0")</f>
        <v>1.5625E-2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1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51">
        <f>IFERROR(X107/H107,"0")+IFERROR(X108/H108,"0")+IFERROR(X109/H109,"0")+IFERROR(X110/H110,"0")</f>
        <v>0.37037037037037035</v>
      </c>
      <c r="Y111" s="551">
        <f>IFERROR(Y107/H107,"0")+IFERROR(Y108/H108,"0")+IFERROR(Y109/H109,"0")+IFERROR(Y110/H110,"0")</f>
        <v>1</v>
      </c>
      <c r="Z111" s="551">
        <f>IFERROR(IF(Z107="",0,Z107),"0")+IFERROR(IF(Z108="",0,Z108),"0")+IFERROR(IF(Z109="",0,Z109),"0")+IFERROR(IF(Z110="",0,Z110),"0")</f>
        <v>1.898E-2</v>
      </c>
      <c r="AA111" s="552"/>
      <c r="AB111" s="552"/>
      <c r="AC111" s="552"/>
    </row>
    <row r="112" spans="1:68" x14ac:dyDescent="0.2">
      <c r="A112" s="562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51">
        <f>IFERROR(SUM(X107:X110),"0")</f>
        <v>4</v>
      </c>
      <c r="Y112" s="551">
        <f>IFERROR(SUM(Y107:Y110),"0")</f>
        <v>10.8</v>
      </c>
      <c r="Z112" s="37"/>
      <c r="AA112" s="552"/>
      <c r="AB112" s="552"/>
      <c r="AC112" s="552"/>
    </row>
    <row r="113" spans="1:68" ht="14.25" customHeight="1" x14ac:dyDescent="0.25">
      <c r="A113" s="564" t="s">
        <v>77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545"/>
      <c r="AB113" s="545"/>
      <c r="AC113" s="545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21</v>
      </c>
      <c r="Y114" s="550">
        <f>IFERROR(IF(X114="",0,CEILING((X114/$H114),1)*$H114),"")</f>
        <v>24.299999999999997</v>
      </c>
      <c r="Z114" s="36">
        <f>IFERROR(IF(Y114=0,"",ROUNDUP(Y114/H114,0)*0.01898),"")</f>
        <v>5.6940000000000004E-2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22.265185185185185</v>
      </c>
      <c r="BN114" s="64">
        <f>IFERROR(Y114*I114/H114,"0")</f>
        <v>25.763999999999996</v>
      </c>
      <c r="BO114" s="64">
        <f>IFERROR(1/J114*(X114/H114),"0")</f>
        <v>4.0509259259259259E-2</v>
      </c>
      <c r="BP114" s="64">
        <f>IFERROR(1/J114*(Y114/H114),"0")</f>
        <v>4.6875E-2</v>
      </c>
    </row>
    <row r="115" spans="1:68" ht="27" customHeight="1" x14ac:dyDescent="0.25">
      <c r="A115" s="54" t="s">
        <v>216</v>
      </c>
      <c r="B115" s="54" t="s">
        <v>217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58</v>
      </c>
      <c r="Y116" s="550">
        <f>IFERROR(IF(X116="",0,CEILING((X116/$H116),1)*$H116),"")</f>
        <v>59.400000000000006</v>
      </c>
      <c r="Z116" s="36">
        <f>IFERROR(IF(Y116=0,"",ROUNDUP(Y116/H116,0)*0.00651),"")</f>
        <v>0.14322000000000001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63.413333333333334</v>
      </c>
      <c r="BN116" s="64">
        <f>IFERROR(Y116*I116/H116,"0")</f>
        <v>64.944000000000003</v>
      </c>
      <c r="BO116" s="64">
        <f>IFERROR(1/J116*(X116/H116),"0")</f>
        <v>0.11803011803011804</v>
      </c>
      <c r="BP116" s="64">
        <f>IFERROR(1/J116*(Y116/H116),"0")</f>
        <v>0.12087912087912089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51">
        <f>IFERROR(X114/H114,"0")+IFERROR(X115/H115,"0")+IFERROR(X116/H116,"0")+IFERROR(X117/H117,"0")</f>
        <v>24.074074074074073</v>
      </c>
      <c r="Y118" s="551">
        <f>IFERROR(Y114/H114,"0")+IFERROR(Y115/H115,"0")+IFERROR(Y116/H116,"0")+IFERROR(Y117/H117,"0")</f>
        <v>25</v>
      </c>
      <c r="Z118" s="551">
        <f>IFERROR(IF(Z114="",0,Z114),"0")+IFERROR(IF(Z115="",0,Z115),"0")+IFERROR(IF(Z116="",0,Z116),"0")+IFERROR(IF(Z117="",0,Z117),"0")</f>
        <v>0.20016</v>
      </c>
      <c r="AA118" s="552"/>
      <c r="AB118" s="552"/>
      <c r="AC118" s="552"/>
    </row>
    <row r="119" spans="1:68" x14ac:dyDescent="0.2">
      <c r="A119" s="562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51">
        <f>IFERROR(SUM(X114:X117),"0")</f>
        <v>79</v>
      </c>
      <c r="Y119" s="551">
        <f>IFERROR(SUM(Y114:Y117),"0")</f>
        <v>83.7</v>
      </c>
      <c r="Z119" s="37"/>
      <c r="AA119" s="552"/>
      <c r="AB119" s="552"/>
      <c r="AC119" s="552"/>
    </row>
    <row r="120" spans="1:68" ht="14.25" customHeight="1" x14ac:dyDescent="0.25">
      <c r="A120" s="564" t="s">
        <v>159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545"/>
      <c r="AB120" s="545"/>
      <c r="AC120" s="545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1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x14ac:dyDescent="0.2">
      <c r="A123" s="562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customHeight="1" x14ac:dyDescent="0.25">
      <c r="A124" s="570" t="s">
        <v>227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2"/>
      <c r="Q124" s="562"/>
      <c r="R124" s="562"/>
      <c r="S124" s="562"/>
      <c r="T124" s="562"/>
      <c r="U124" s="562"/>
      <c r="V124" s="562"/>
      <c r="W124" s="562"/>
      <c r="X124" s="562"/>
      <c r="Y124" s="562"/>
      <c r="Z124" s="562"/>
      <c r="AA124" s="544"/>
      <c r="AB124" s="544"/>
      <c r="AC124" s="544"/>
    </row>
    <row r="125" spans="1:68" ht="14.25" customHeight="1" x14ac:dyDescent="0.25">
      <c r="A125" s="564" t="s">
        <v>99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5"/>
      <c r="AB125" s="545"/>
      <c r="AC125" s="545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1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x14ac:dyDescent="0.2">
      <c r="A129" s="562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customHeight="1" x14ac:dyDescent="0.25">
      <c r="A130" s="564" t="s">
        <v>64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545"/>
      <c r="AB130" s="545"/>
      <c r="AC130" s="545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1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x14ac:dyDescent="0.2">
      <c r="A134" s="562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customHeight="1" x14ac:dyDescent="0.25">
      <c r="A135" s="564" t="s">
        <v>77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545"/>
      <c r="AB135" s="545"/>
      <c r="AC135" s="545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1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x14ac:dyDescent="0.2">
      <c r="A139" s="562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customHeight="1" x14ac:dyDescent="0.25">
      <c r="A140" s="570" t="s">
        <v>97</v>
      </c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2"/>
      <c r="P140" s="562"/>
      <c r="Q140" s="562"/>
      <c r="R140" s="562"/>
      <c r="S140" s="562"/>
      <c r="T140" s="562"/>
      <c r="U140" s="562"/>
      <c r="V140" s="562"/>
      <c r="W140" s="562"/>
      <c r="X140" s="562"/>
      <c r="Y140" s="562"/>
      <c r="Z140" s="562"/>
      <c r="AA140" s="544"/>
      <c r="AB140" s="544"/>
      <c r="AC140" s="544"/>
    </row>
    <row r="141" spans="1:68" ht="14.25" customHeight="1" x14ac:dyDescent="0.25">
      <c r="A141" s="564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5"/>
      <c r="AB141" s="545"/>
      <c r="AC141" s="545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1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customHeight="1" x14ac:dyDescent="0.25">
      <c r="A146" s="564" t="s">
        <v>64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545"/>
      <c r="AB146" s="545"/>
      <c r="AC146" s="545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1"/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  <c r="N153" s="562"/>
      <c r="O153" s="563"/>
      <c r="P153" s="567" t="s">
        <v>75</v>
      </c>
      <c r="Q153" s="568"/>
      <c r="R153" s="568"/>
      <c r="S153" s="568"/>
      <c r="T153" s="568"/>
      <c r="U153" s="568"/>
      <c r="V153" s="569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7" t="s">
        <v>75</v>
      </c>
      <c r="Q154" s="568"/>
      <c r="R154" s="568"/>
      <c r="S154" s="568"/>
      <c r="T154" s="568"/>
      <c r="U154" s="568"/>
      <c r="V154" s="569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customHeight="1" x14ac:dyDescent="0.25">
      <c r="A155" s="564" t="s">
        <v>77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545"/>
      <c r="AB155" s="545"/>
      <c r="AC155" s="545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1"/>
      <c r="B157" s="562"/>
      <c r="C157" s="562"/>
      <c r="D157" s="562"/>
      <c r="E157" s="562"/>
      <c r="F157" s="562"/>
      <c r="G157" s="562"/>
      <c r="H157" s="562"/>
      <c r="I157" s="562"/>
      <c r="J157" s="562"/>
      <c r="K157" s="562"/>
      <c r="L157" s="562"/>
      <c r="M157" s="562"/>
      <c r="N157" s="562"/>
      <c r="O157" s="563"/>
      <c r="P157" s="567" t="s">
        <v>75</v>
      </c>
      <c r="Q157" s="568"/>
      <c r="R157" s="568"/>
      <c r="S157" s="568"/>
      <c r="T157" s="568"/>
      <c r="U157" s="568"/>
      <c r="V157" s="569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7" t="s">
        <v>75</v>
      </c>
      <c r="Q158" s="568"/>
      <c r="R158" s="568"/>
      <c r="S158" s="568"/>
      <c r="T158" s="568"/>
      <c r="U158" s="568"/>
      <c r="V158" s="569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customHeight="1" x14ac:dyDescent="0.2">
      <c r="A159" s="668" t="s">
        <v>266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48"/>
      <c r="AB159" s="48"/>
      <c r="AC159" s="48"/>
    </row>
    <row r="160" spans="1:68" ht="16.5" customHeight="1" x14ac:dyDescent="0.25">
      <c r="A160" s="570" t="s">
        <v>267</v>
      </c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2"/>
      <c r="P160" s="562"/>
      <c r="Q160" s="562"/>
      <c r="R160" s="562"/>
      <c r="S160" s="562"/>
      <c r="T160" s="562"/>
      <c r="U160" s="562"/>
      <c r="V160" s="562"/>
      <c r="W160" s="562"/>
      <c r="X160" s="562"/>
      <c r="Y160" s="562"/>
      <c r="Z160" s="562"/>
      <c r="AA160" s="544"/>
      <c r="AB160" s="544"/>
      <c r="AC160" s="544"/>
    </row>
    <row r="161" spans="1:68" ht="14.25" customHeight="1" x14ac:dyDescent="0.25">
      <c r="A161" s="564" t="s">
        <v>134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5"/>
      <c r="AB161" s="545"/>
      <c r="AC161" s="545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1"/>
      <c r="B163" s="562"/>
      <c r="C163" s="562"/>
      <c r="D163" s="562"/>
      <c r="E163" s="562"/>
      <c r="F163" s="562"/>
      <c r="G163" s="562"/>
      <c r="H163" s="562"/>
      <c r="I163" s="562"/>
      <c r="J163" s="562"/>
      <c r="K163" s="562"/>
      <c r="L163" s="562"/>
      <c r="M163" s="562"/>
      <c r="N163" s="562"/>
      <c r="O163" s="563"/>
      <c r="P163" s="567" t="s">
        <v>75</v>
      </c>
      <c r="Q163" s="568"/>
      <c r="R163" s="568"/>
      <c r="S163" s="568"/>
      <c r="T163" s="568"/>
      <c r="U163" s="568"/>
      <c r="V163" s="569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7" t="s">
        <v>75</v>
      </c>
      <c r="Q164" s="568"/>
      <c r="R164" s="568"/>
      <c r="S164" s="568"/>
      <c r="T164" s="568"/>
      <c r="U164" s="568"/>
      <c r="V164" s="569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customHeight="1" x14ac:dyDescent="0.25">
      <c r="A165" s="564" t="s">
        <v>64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199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199</v>
      </c>
      <c r="M168" s="33" t="s">
        <v>68</v>
      </c>
      <c r="N168" s="33"/>
      <c r="O168" s="32">
        <v>40</v>
      </c>
      <c r="P168" s="6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96</v>
      </c>
      <c r="Y168" s="550">
        <f t="shared" si="10"/>
        <v>96.600000000000009</v>
      </c>
      <c r="Z168" s="36">
        <f>IFERROR(IF(Y168=0,"",ROUNDUP(Y168/H168,0)*0.00902),"")</f>
        <v>0.20746000000000001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100.34285714285713</v>
      </c>
      <c r="BN168" s="64">
        <f t="shared" si="12"/>
        <v>100.97</v>
      </c>
      <c r="BO168" s="64">
        <f t="shared" si="13"/>
        <v>0.17316017316017318</v>
      </c>
      <c r="BP168" s="64">
        <f t="shared" si="14"/>
        <v>0.17424242424242425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15</v>
      </c>
      <c r="Y170" s="550">
        <f t="shared" si="10"/>
        <v>16.8</v>
      </c>
      <c r="Z170" s="36">
        <f>IFERROR(IF(Y170=0,"",ROUNDUP(Y170/H170,0)*0.00502),"")</f>
        <v>4.0160000000000001E-2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15.928571428571429</v>
      </c>
      <c r="BN170" s="64">
        <f t="shared" si="12"/>
        <v>17.84</v>
      </c>
      <c r="BO170" s="64">
        <f t="shared" si="13"/>
        <v>3.0525030525030528E-2</v>
      </c>
      <c r="BP170" s="64">
        <f t="shared" si="14"/>
        <v>3.4188034188034191E-2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5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8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15</v>
      </c>
      <c r="Y175" s="550">
        <f t="shared" si="10"/>
        <v>16.2</v>
      </c>
      <c r="Z175" s="36">
        <f>IFERROR(IF(Y175=0,"",ROUNDUP(Y175/H175,0)*0.00502),"")</f>
        <v>4.5179999999999998E-2</v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16.083333333333332</v>
      </c>
      <c r="BN175" s="64">
        <f t="shared" si="12"/>
        <v>17.369999999999997</v>
      </c>
      <c r="BO175" s="64">
        <f t="shared" si="13"/>
        <v>3.561253561253562E-2</v>
      </c>
      <c r="BP175" s="64">
        <f t="shared" si="14"/>
        <v>3.8461538461538464E-2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172</v>
      </c>
      <c r="L176" s="32"/>
      <c r="M176" s="33" t="s">
        <v>68</v>
      </c>
      <c r="N176" s="33"/>
      <c r="O176" s="32">
        <v>45</v>
      </c>
      <c r="P176" s="8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/>
      <c r="M177" s="33" t="s">
        <v>68</v>
      </c>
      <c r="N177" s="33"/>
      <c r="O177" s="32">
        <v>40</v>
      </c>
      <c r="P177" s="79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106</v>
      </c>
      <c r="Y177" s="550">
        <f t="shared" si="10"/>
        <v>107.10000000000001</v>
      </c>
      <c r="Z177" s="36">
        <f>IFERROR(IF(Y177=0,"",ROUNDUP(Y177/H177,0)*0.00502),"")</f>
        <v>0.25602000000000003</v>
      </c>
      <c r="AA177" s="56"/>
      <c r="AB177" s="57"/>
      <c r="AC177" s="223" t="s">
        <v>279</v>
      </c>
      <c r="AG177" s="64"/>
      <c r="AJ177" s="68"/>
      <c r="AK177" s="68">
        <v>0</v>
      </c>
      <c r="BB177" s="224" t="s">
        <v>1</v>
      </c>
      <c r="BM177" s="64">
        <f t="shared" si="11"/>
        <v>111.04761904761905</v>
      </c>
      <c r="BN177" s="64">
        <f t="shared" si="12"/>
        <v>112.20000000000002</v>
      </c>
      <c r="BO177" s="64">
        <f t="shared" si="13"/>
        <v>0.21571021571021573</v>
      </c>
      <c r="BP177" s="64">
        <f t="shared" si="14"/>
        <v>0.21794871794871798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1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7" t="s">
        <v>75</v>
      </c>
      <c r="Q180" s="568"/>
      <c r="R180" s="568"/>
      <c r="S180" s="568"/>
      <c r="T180" s="568"/>
      <c r="U180" s="568"/>
      <c r="V180" s="569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88.80952380952381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91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0.54882000000000009</v>
      </c>
      <c r="AA180" s="552"/>
      <c r="AB180" s="552"/>
      <c r="AC180" s="552"/>
    </row>
    <row r="181" spans="1:68" x14ac:dyDescent="0.2">
      <c r="A181" s="562"/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3"/>
      <c r="P181" s="567" t="s">
        <v>75</v>
      </c>
      <c r="Q181" s="568"/>
      <c r="R181" s="568"/>
      <c r="S181" s="568"/>
      <c r="T181" s="568"/>
      <c r="U181" s="568"/>
      <c r="V181" s="569"/>
      <c r="W181" s="37" t="s">
        <v>69</v>
      </c>
      <c r="X181" s="551">
        <f>IFERROR(SUM(X166:X179),"0")</f>
        <v>232</v>
      </c>
      <c r="Y181" s="551">
        <f>IFERROR(SUM(Y166:Y179),"0")</f>
        <v>236.7</v>
      </c>
      <c r="Z181" s="37"/>
      <c r="AA181" s="552"/>
      <c r="AB181" s="552"/>
      <c r="AC181" s="552"/>
    </row>
    <row r="182" spans="1:68" ht="14.25" customHeight="1" x14ac:dyDescent="0.25">
      <c r="A182" s="564" t="s">
        <v>91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545"/>
      <c r="AB182" s="545"/>
      <c r="AC182" s="545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1</v>
      </c>
      <c r="Y184" s="550">
        <f>IFERROR(IF(X184="",0,CEILING((X184/$H184),1)*$H184),"")</f>
        <v>1.26</v>
      </c>
      <c r="Z184" s="36">
        <f>IFERROR(IF(Y184=0,"",ROUNDUP(Y184/H184,0)*0.0059),"")</f>
        <v>5.8999999999999999E-3</v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1.1507936507936507</v>
      </c>
      <c r="BN184" s="64">
        <f>IFERROR(Y184*I184/H184,"0")</f>
        <v>1.45</v>
      </c>
      <c r="BO184" s="64">
        <f>IFERROR(1/J184*(X184/H184),"0")</f>
        <v>3.6743092298647849E-3</v>
      </c>
      <c r="BP184" s="64">
        <f>IFERROR(1/J184*(Y184/H184),"0")</f>
        <v>4.6296296296296294E-3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1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7" t="s">
        <v>75</v>
      </c>
      <c r="Q186" s="568"/>
      <c r="R186" s="568"/>
      <c r="S186" s="568"/>
      <c r="T186" s="568"/>
      <c r="U186" s="568"/>
      <c r="V186" s="569"/>
      <c r="W186" s="37" t="s">
        <v>76</v>
      </c>
      <c r="X186" s="551">
        <f>IFERROR(X183/H183,"0")+IFERROR(X184/H184,"0")+IFERROR(X185/H185,"0")</f>
        <v>0.79365079365079361</v>
      </c>
      <c r="Y186" s="551">
        <f>IFERROR(Y183/H183,"0")+IFERROR(Y184/H184,"0")+IFERROR(Y185/H185,"0")</f>
        <v>1</v>
      </c>
      <c r="Z186" s="551">
        <f>IFERROR(IF(Z183="",0,Z183),"0")+IFERROR(IF(Z184="",0,Z184),"0")+IFERROR(IF(Z185="",0,Z185),"0")</f>
        <v>5.8999999999999999E-3</v>
      </c>
      <c r="AA186" s="552"/>
      <c r="AB186" s="552"/>
      <c r="AC186" s="552"/>
    </row>
    <row r="187" spans="1:68" x14ac:dyDescent="0.2">
      <c r="A187" s="562"/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3"/>
      <c r="P187" s="567" t="s">
        <v>75</v>
      </c>
      <c r="Q187" s="568"/>
      <c r="R187" s="568"/>
      <c r="S187" s="568"/>
      <c r="T187" s="568"/>
      <c r="U187" s="568"/>
      <c r="V187" s="569"/>
      <c r="W187" s="37" t="s">
        <v>69</v>
      </c>
      <c r="X187" s="551">
        <f>IFERROR(SUM(X183:X185),"0")</f>
        <v>1</v>
      </c>
      <c r="Y187" s="551">
        <f>IFERROR(SUM(Y183:Y185),"0")</f>
        <v>1.26</v>
      </c>
      <c r="Z187" s="37"/>
      <c r="AA187" s="552"/>
      <c r="AB187" s="552"/>
      <c r="AC187" s="552"/>
    </row>
    <row r="188" spans="1:68" ht="14.25" customHeight="1" x14ac:dyDescent="0.25">
      <c r="A188" s="564" t="s">
        <v>319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545"/>
      <c r="AB188" s="545"/>
      <c r="AC188" s="545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1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7" t="s">
        <v>75</v>
      </c>
      <c r="Q190" s="568"/>
      <c r="R190" s="568"/>
      <c r="S190" s="568"/>
      <c r="T190" s="568"/>
      <c r="U190" s="568"/>
      <c r="V190" s="569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x14ac:dyDescent="0.2">
      <c r="A191" s="562"/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3"/>
      <c r="P191" s="567" t="s">
        <v>75</v>
      </c>
      <c r="Q191" s="568"/>
      <c r="R191" s="568"/>
      <c r="S191" s="568"/>
      <c r="T191" s="568"/>
      <c r="U191" s="568"/>
      <c r="V191" s="569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customHeight="1" x14ac:dyDescent="0.25">
      <c r="A192" s="570" t="s">
        <v>322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4"/>
      <c r="AB192" s="544"/>
      <c r="AC192" s="544"/>
    </row>
    <row r="193" spans="1:68" ht="14.25" customHeight="1" x14ac:dyDescent="0.25">
      <c r="A193" s="564" t="s">
        <v>99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545"/>
      <c r="AB193" s="545"/>
      <c r="AC193" s="545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6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1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7" t="s">
        <v>75</v>
      </c>
      <c r="Q196" s="568"/>
      <c r="R196" s="568"/>
      <c r="S196" s="568"/>
      <c r="T196" s="568"/>
      <c r="U196" s="568"/>
      <c r="V196" s="569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x14ac:dyDescent="0.2">
      <c r="A197" s="562"/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3"/>
      <c r="P197" s="567" t="s">
        <v>75</v>
      </c>
      <c r="Q197" s="568"/>
      <c r="R197" s="568"/>
      <c r="S197" s="568"/>
      <c r="T197" s="568"/>
      <c r="U197" s="568"/>
      <c r="V197" s="569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customHeight="1" x14ac:dyDescent="0.25">
      <c r="A198" s="564" t="s">
        <v>134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545"/>
      <c r="AB198" s="545"/>
      <c r="AC198" s="545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1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7" t="s">
        <v>75</v>
      </c>
      <c r="Q201" s="568"/>
      <c r="R201" s="568"/>
      <c r="S201" s="568"/>
      <c r="T201" s="568"/>
      <c r="U201" s="568"/>
      <c r="V201" s="569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x14ac:dyDescent="0.2">
      <c r="A202" s="562"/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3"/>
      <c r="P202" s="567" t="s">
        <v>75</v>
      </c>
      <c r="Q202" s="568"/>
      <c r="R202" s="568"/>
      <c r="S202" s="568"/>
      <c r="T202" s="568"/>
      <c r="U202" s="568"/>
      <c r="V202" s="569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customHeight="1" x14ac:dyDescent="0.25">
      <c r="A203" s="564" t="s">
        <v>64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199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199</v>
      </c>
      <c r="M205" s="33" t="s">
        <v>68</v>
      </c>
      <c r="N205" s="33"/>
      <c r="O205" s="32">
        <v>40</v>
      </c>
      <c r="P205" s="6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/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/>
      <c r="AK206" s="68">
        <v>0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199</v>
      </c>
      <c r="M207" s="33" t="s">
        <v>68</v>
      </c>
      <c r="N207" s="33"/>
      <c r="O207" s="32">
        <v>40</v>
      </c>
      <c r="P207" s="7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7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15</v>
      </c>
      <c r="Y208" s="550">
        <f t="shared" si="15"/>
        <v>16.2</v>
      </c>
      <c r="Z208" s="36">
        <f>IFERROR(IF(Y208=0,"",ROUNDUP(Y208/H208,0)*0.00502),"")</f>
        <v>4.5179999999999998E-2</v>
      </c>
      <c r="AA208" s="56"/>
      <c r="AB208" s="57"/>
      <c r="AC208" s="253" t="s">
        <v>335</v>
      </c>
      <c r="AG208" s="64"/>
      <c r="AJ208" s="68"/>
      <c r="AK208" s="68">
        <v>0</v>
      </c>
      <c r="BB208" s="254" t="s">
        <v>1</v>
      </c>
      <c r="BM208" s="64">
        <f t="shared" si="16"/>
        <v>16.083333333333332</v>
      </c>
      <c r="BN208" s="64">
        <f t="shared" si="17"/>
        <v>17.369999999999997</v>
      </c>
      <c r="BO208" s="64">
        <f t="shared" si="18"/>
        <v>3.561253561253562E-2</v>
      </c>
      <c r="BP208" s="64">
        <f t="shared" si="19"/>
        <v>3.8461538461538464E-2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0</v>
      </c>
      <c r="Y211" s="550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1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7" t="s">
        <v>75</v>
      </c>
      <c r="Q212" s="568"/>
      <c r="R212" s="568"/>
      <c r="S212" s="568"/>
      <c r="T212" s="568"/>
      <c r="U212" s="568"/>
      <c r="V212" s="569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8.3333333333333339</v>
      </c>
      <c r="Y212" s="551">
        <f>IFERROR(Y204/H204,"0")+IFERROR(Y205/H205,"0")+IFERROR(Y206/H206,"0")+IFERROR(Y207/H207,"0")+IFERROR(Y208/H208,"0")+IFERROR(Y209/H209,"0")+IFERROR(Y210/H210,"0")+IFERROR(Y211/H211,"0")</f>
        <v>9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4.5179999999999998E-2</v>
      </c>
      <c r="AA212" s="552"/>
      <c r="AB212" s="552"/>
      <c r="AC212" s="552"/>
    </row>
    <row r="213" spans="1:68" x14ac:dyDescent="0.2">
      <c r="A213" s="562"/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3"/>
      <c r="P213" s="567" t="s">
        <v>75</v>
      </c>
      <c r="Q213" s="568"/>
      <c r="R213" s="568"/>
      <c r="S213" s="568"/>
      <c r="T213" s="568"/>
      <c r="U213" s="568"/>
      <c r="V213" s="569"/>
      <c r="W213" s="37" t="s">
        <v>69</v>
      </c>
      <c r="X213" s="551">
        <f>IFERROR(SUM(X204:X211),"0")</f>
        <v>15</v>
      </c>
      <c r="Y213" s="551">
        <f>IFERROR(SUM(Y204:Y211),"0")</f>
        <v>16.2</v>
      </c>
      <c r="Z213" s="37"/>
      <c r="AA213" s="552"/>
      <c r="AB213" s="552"/>
      <c r="AC213" s="552"/>
    </row>
    <row r="214" spans="1:68" ht="14.25" customHeight="1" x14ac:dyDescent="0.25">
      <c r="A214" s="564" t="s">
        <v>77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24</v>
      </c>
      <c r="Y216" s="550">
        <f t="shared" si="20"/>
        <v>24.299999999999997</v>
      </c>
      <c r="Z216" s="36">
        <f>IFERROR(IF(Y216=0,"",ROUNDUP(Y216/H216,0)*0.01898),"")</f>
        <v>5.6940000000000004E-2</v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25.410370370370373</v>
      </c>
      <c r="BN216" s="64">
        <f t="shared" si="22"/>
        <v>25.727999999999998</v>
      </c>
      <c r="BO216" s="64">
        <f t="shared" si="23"/>
        <v>4.6296296296296301E-2</v>
      </c>
      <c r="BP216" s="64">
        <f t="shared" si="24"/>
        <v>4.6875E-2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/>
      <c r="M217" s="33" t="s">
        <v>80</v>
      </c>
      <c r="N217" s="33"/>
      <c r="O217" s="32">
        <v>45</v>
      </c>
      <c r="P217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220</v>
      </c>
      <c r="M218" s="33" t="s">
        <v>80</v>
      </c>
      <c r="N218" s="33"/>
      <c r="O218" s="32">
        <v>40</v>
      </c>
      <c r="P218" s="8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107</v>
      </c>
      <c r="Y218" s="550">
        <f t="shared" si="20"/>
        <v>108</v>
      </c>
      <c r="Z218" s="36">
        <f t="shared" ref="Z218:Z223" si="25">IFERROR(IF(Y218=0,"",ROUNDUP(Y218/H218,0)*0.00651),"")</f>
        <v>0.29294999999999999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119.03750000000001</v>
      </c>
      <c r="BN218" s="64">
        <f t="shared" si="22"/>
        <v>120.15</v>
      </c>
      <c r="BO218" s="64">
        <f t="shared" si="23"/>
        <v>0.24496336996337001</v>
      </c>
      <c r="BP218" s="64">
        <f t="shared" si="24"/>
        <v>0.24725274725274726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220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206</v>
      </c>
      <c r="Y220" s="550">
        <f t="shared" si="20"/>
        <v>206.4</v>
      </c>
      <c r="Z220" s="36">
        <f t="shared" si="25"/>
        <v>0.55986000000000002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227.63000000000002</v>
      </c>
      <c r="BN220" s="64">
        <f t="shared" si="22"/>
        <v>228.07200000000006</v>
      </c>
      <c r="BO220" s="64">
        <f t="shared" si="23"/>
        <v>0.47161172161172171</v>
      </c>
      <c r="BP220" s="64">
        <f t="shared" si="24"/>
        <v>0.47252747252747257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220</v>
      </c>
      <c r="M221" s="33" t="s">
        <v>80</v>
      </c>
      <c r="N221" s="33"/>
      <c r="O221" s="32">
        <v>45</v>
      </c>
      <c r="P221" s="5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76</v>
      </c>
      <c r="Y221" s="550">
        <f t="shared" si="20"/>
        <v>76.8</v>
      </c>
      <c r="Z221" s="36">
        <f t="shared" si="25"/>
        <v>0.20832000000000001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83.980000000000018</v>
      </c>
      <c r="BN221" s="64">
        <f t="shared" si="22"/>
        <v>84.864000000000004</v>
      </c>
      <c r="BO221" s="64">
        <f t="shared" si="23"/>
        <v>0.17399267399267401</v>
      </c>
      <c r="BP221" s="64">
        <f t="shared" si="24"/>
        <v>0.17582417582417584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220</v>
      </c>
      <c r="M222" s="33" t="s">
        <v>86</v>
      </c>
      <c r="N222" s="33"/>
      <c r="O222" s="32">
        <v>40</v>
      </c>
      <c r="P222" s="7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220</v>
      </c>
      <c r="M223" s="33" t="s">
        <v>80</v>
      </c>
      <c r="N223" s="33"/>
      <c r="O223" s="32">
        <v>40</v>
      </c>
      <c r="P223" s="6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93</v>
      </c>
      <c r="Y223" s="550">
        <f t="shared" si="20"/>
        <v>93.6</v>
      </c>
      <c r="Z223" s="36">
        <f t="shared" si="25"/>
        <v>0.25389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102.9975</v>
      </c>
      <c r="BN223" s="64">
        <f t="shared" si="22"/>
        <v>103.66199999999999</v>
      </c>
      <c r="BO223" s="64">
        <f t="shared" si="23"/>
        <v>0.21291208791208793</v>
      </c>
      <c r="BP223" s="64">
        <f t="shared" si="24"/>
        <v>0.2142857142857143</v>
      </c>
    </row>
    <row r="224" spans="1:68" x14ac:dyDescent="0.2">
      <c r="A224" s="561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7" t="s">
        <v>75</v>
      </c>
      <c r="Q224" s="568"/>
      <c r="R224" s="568"/>
      <c r="S224" s="568"/>
      <c r="T224" s="568"/>
      <c r="U224" s="568"/>
      <c r="V224" s="569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203.7962962962963</v>
      </c>
      <c r="Y224" s="551">
        <f>IFERROR(Y215/H215,"0")+IFERROR(Y216/H216,"0")+IFERROR(Y217/H217,"0")+IFERROR(Y218/H218,"0")+IFERROR(Y219/H219,"0")+IFERROR(Y220/H220,"0")+IFERROR(Y221/H221,"0")+IFERROR(Y222/H222,"0")+IFERROR(Y223/H223,"0")</f>
        <v>205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1.3719600000000001</v>
      </c>
      <c r="AA224" s="552"/>
      <c r="AB224" s="552"/>
      <c r="AC224" s="552"/>
    </row>
    <row r="225" spans="1:68" x14ac:dyDescent="0.2">
      <c r="A225" s="562"/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3"/>
      <c r="P225" s="567" t="s">
        <v>75</v>
      </c>
      <c r="Q225" s="568"/>
      <c r="R225" s="568"/>
      <c r="S225" s="568"/>
      <c r="T225" s="568"/>
      <c r="U225" s="568"/>
      <c r="V225" s="569"/>
      <c r="W225" s="37" t="s">
        <v>69</v>
      </c>
      <c r="X225" s="551">
        <f>IFERROR(SUM(X215:X223),"0")</f>
        <v>506</v>
      </c>
      <c r="Y225" s="551">
        <f>IFERROR(SUM(Y215:Y223),"0")</f>
        <v>509.1</v>
      </c>
      <c r="Z225" s="37"/>
      <c r="AA225" s="552"/>
      <c r="AB225" s="552"/>
      <c r="AC225" s="552"/>
    </row>
    <row r="226" spans="1:68" ht="14.25" customHeight="1" x14ac:dyDescent="0.25">
      <c r="A226" s="564" t="s">
        <v>159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86</v>
      </c>
      <c r="N227" s="33"/>
      <c r="O227" s="32">
        <v>40</v>
      </c>
      <c r="P227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24</v>
      </c>
      <c r="Y227" s="550">
        <f>IFERROR(IF(X227="",0,CEILING((X227/$H227),1)*$H227),"")</f>
        <v>24</v>
      </c>
      <c r="Z227" s="36">
        <f>IFERROR(IF(Y227=0,"",ROUNDUP(Y227/H227,0)*0.00651),"")</f>
        <v>6.5100000000000005E-2</v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26.520000000000003</v>
      </c>
      <c r="BN227" s="64">
        <f>IFERROR(Y227*I227/H227,"0")</f>
        <v>26.520000000000003</v>
      </c>
      <c r="BO227" s="64">
        <f>IFERROR(1/J227*(X227/H227),"0")</f>
        <v>5.4945054945054951E-2</v>
      </c>
      <c r="BP227" s="64">
        <f>IFERROR(1/J227*(Y227/H227),"0")</f>
        <v>5.4945054945054951E-2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12</v>
      </c>
      <c r="Y228" s="550">
        <f>IFERROR(IF(X228="",0,CEILING((X228/$H228),1)*$H228),"")</f>
        <v>12</v>
      </c>
      <c r="Z228" s="36">
        <f>IFERROR(IF(Y228=0,"",ROUNDUP(Y228/H228,0)*0.00651),"")</f>
        <v>3.2550000000000003E-2</v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13.260000000000002</v>
      </c>
      <c r="BN228" s="64">
        <f>IFERROR(Y228*I228/H228,"0")</f>
        <v>13.260000000000002</v>
      </c>
      <c r="BO228" s="64">
        <f>IFERROR(1/J228*(X228/H228),"0")</f>
        <v>2.7472527472527476E-2</v>
      </c>
      <c r="BP228" s="64">
        <f>IFERROR(1/J228*(Y228/H228),"0")</f>
        <v>2.7472527472527476E-2</v>
      </c>
    </row>
    <row r="229" spans="1:68" x14ac:dyDescent="0.2">
      <c r="A229" s="561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7" t="s">
        <v>75</v>
      </c>
      <c r="Q229" s="568"/>
      <c r="R229" s="568"/>
      <c r="S229" s="568"/>
      <c r="T229" s="568"/>
      <c r="U229" s="568"/>
      <c r="V229" s="569"/>
      <c r="W229" s="37" t="s">
        <v>76</v>
      </c>
      <c r="X229" s="551">
        <f>IFERROR(X227/H227,"0")+IFERROR(X228/H228,"0")</f>
        <v>15</v>
      </c>
      <c r="Y229" s="551">
        <f>IFERROR(Y227/H227,"0")+IFERROR(Y228/H228,"0")</f>
        <v>15</v>
      </c>
      <c r="Z229" s="551">
        <f>IFERROR(IF(Z227="",0,Z227),"0")+IFERROR(IF(Z228="",0,Z228),"0")</f>
        <v>9.7650000000000015E-2</v>
      </c>
      <c r="AA229" s="552"/>
      <c r="AB229" s="552"/>
      <c r="AC229" s="552"/>
    </row>
    <row r="230" spans="1:68" x14ac:dyDescent="0.2">
      <c r="A230" s="562"/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3"/>
      <c r="P230" s="567" t="s">
        <v>75</v>
      </c>
      <c r="Q230" s="568"/>
      <c r="R230" s="568"/>
      <c r="S230" s="568"/>
      <c r="T230" s="568"/>
      <c r="U230" s="568"/>
      <c r="V230" s="569"/>
      <c r="W230" s="37" t="s">
        <v>69</v>
      </c>
      <c r="X230" s="551">
        <f>IFERROR(SUM(X227:X228),"0")</f>
        <v>36</v>
      </c>
      <c r="Y230" s="551">
        <f>IFERROR(SUM(Y227:Y228),"0")</f>
        <v>36</v>
      </c>
      <c r="Z230" s="37"/>
      <c r="AA230" s="552"/>
      <c r="AB230" s="552"/>
      <c r="AC230" s="552"/>
    </row>
    <row r="231" spans="1:68" ht="16.5" customHeight="1" x14ac:dyDescent="0.25">
      <c r="A231" s="570" t="s">
        <v>382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4"/>
      <c r="AB231" s="544"/>
      <c r="AC231" s="544"/>
    </row>
    <row r="232" spans="1:68" ht="14.25" customHeight="1" x14ac:dyDescent="0.25">
      <c r="A232" s="564" t="s">
        <v>99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545"/>
      <c r="AB232" s="545"/>
      <c r="AC232" s="545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4301012196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4301011824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6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4301012195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4301011722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1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7" t="s">
        <v>75</v>
      </c>
      <c r="Q242" s="568"/>
      <c r="R242" s="568"/>
      <c r="S242" s="568"/>
      <c r="T242" s="568"/>
      <c r="U242" s="568"/>
      <c r="V242" s="569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67" t="s">
        <v>75</v>
      </c>
      <c r="Q243" s="568"/>
      <c r="R243" s="568"/>
      <c r="S243" s="568"/>
      <c r="T243" s="568"/>
      <c r="U243" s="568"/>
      <c r="V243" s="569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customHeight="1" x14ac:dyDescent="0.25">
      <c r="A244" s="564" t="s">
        <v>134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545"/>
      <c r="AB244" s="545"/>
      <c r="AC244" s="545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1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7" t="s">
        <v>75</v>
      </c>
      <c r="Q246" s="568"/>
      <c r="R246" s="568"/>
      <c r="S246" s="568"/>
      <c r="T246" s="568"/>
      <c r="U246" s="568"/>
      <c r="V246" s="569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67" t="s">
        <v>75</v>
      </c>
      <c r="Q247" s="568"/>
      <c r="R247" s="568"/>
      <c r="S247" s="568"/>
      <c r="T247" s="568"/>
      <c r="U247" s="568"/>
      <c r="V247" s="569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customHeight="1" x14ac:dyDescent="0.25">
      <c r="A248" s="564" t="s">
        <v>407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1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7" t="s">
        <v>75</v>
      </c>
      <c r="Q250" s="568"/>
      <c r="R250" s="568"/>
      <c r="S250" s="568"/>
      <c r="T250" s="568"/>
      <c r="U250" s="568"/>
      <c r="V250" s="569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67" t="s">
        <v>75</v>
      </c>
      <c r="Q251" s="568"/>
      <c r="R251" s="568"/>
      <c r="S251" s="568"/>
      <c r="T251" s="568"/>
      <c r="U251" s="568"/>
      <c r="V251" s="569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customHeight="1" x14ac:dyDescent="0.25">
      <c r="A252" s="564" t="s">
        <v>411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545"/>
      <c r="AB252" s="545"/>
      <c r="AC252" s="545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1</v>
      </c>
      <c r="Y256" s="550">
        <f>IFERROR(IF(X256="",0,CEILING((X256/$H256),1)*$H256),"")</f>
        <v>1.98</v>
      </c>
      <c r="Z256" s="36">
        <f>IFERROR(IF(Y256=0,"",ROUNDUP(Y256/H256,0)*0.0059),"")</f>
        <v>1.18E-2</v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1.1919191919191918</v>
      </c>
      <c r="BN256" s="64">
        <f>IFERROR(Y256*I256/H256,"0")</f>
        <v>2.36</v>
      </c>
      <c r="BO256" s="64">
        <f>IFERROR(1/J256*(X256/H256),"0")</f>
        <v>4.6763935652824546E-3</v>
      </c>
      <c r="BP256" s="64">
        <f>IFERROR(1/J256*(Y256/H256),"0")</f>
        <v>9.2592592592592587E-3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1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7" t="s">
        <v>75</v>
      </c>
      <c r="Q258" s="568"/>
      <c r="R258" s="568"/>
      <c r="S258" s="568"/>
      <c r="T258" s="568"/>
      <c r="U258" s="568"/>
      <c r="V258" s="569"/>
      <c r="W258" s="37" t="s">
        <v>76</v>
      </c>
      <c r="X258" s="551">
        <f>IFERROR(X253/H253,"0")+IFERROR(X254/H254,"0")+IFERROR(X255/H255,"0")+IFERROR(X256/H256,"0")+IFERROR(X257/H257,"0")</f>
        <v>1.0101010101010102</v>
      </c>
      <c r="Y258" s="551">
        <f>IFERROR(Y253/H253,"0")+IFERROR(Y254/H254,"0")+IFERROR(Y255/H255,"0")+IFERROR(Y256/H256,"0")+IFERROR(Y257/H257,"0")</f>
        <v>2</v>
      </c>
      <c r="Z258" s="551">
        <f>IFERROR(IF(Z253="",0,Z253),"0")+IFERROR(IF(Z254="",0,Z254),"0")+IFERROR(IF(Z255="",0,Z255),"0")+IFERROR(IF(Z256="",0,Z256),"0")+IFERROR(IF(Z257="",0,Z257),"0")</f>
        <v>1.18E-2</v>
      </c>
      <c r="AA258" s="552"/>
      <c r="AB258" s="552"/>
      <c r="AC258" s="552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67" t="s">
        <v>75</v>
      </c>
      <c r="Q259" s="568"/>
      <c r="R259" s="568"/>
      <c r="S259" s="568"/>
      <c r="T259" s="568"/>
      <c r="U259" s="568"/>
      <c r="V259" s="569"/>
      <c r="W259" s="37" t="s">
        <v>69</v>
      </c>
      <c r="X259" s="551">
        <f>IFERROR(SUM(X253:X257),"0")</f>
        <v>1</v>
      </c>
      <c r="Y259" s="551">
        <f>IFERROR(SUM(Y253:Y257),"0")</f>
        <v>1.98</v>
      </c>
      <c r="Z259" s="37"/>
      <c r="AA259" s="552"/>
      <c r="AB259" s="552"/>
      <c r="AC259" s="552"/>
    </row>
    <row r="260" spans="1:68" ht="16.5" customHeight="1" x14ac:dyDescent="0.25">
      <c r="A260" s="570" t="s">
        <v>423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4"/>
      <c r="AB260" s="544"/>
      <c r="AC260" s="544"/>
    </row>
    <row r="261" spans="1:68" ht="14.25" customHeight="1" x14ac:dyDescent="0.25">
      <c r="A261" s="564" t="s">
        <v>99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545"/>
      <c r="AB261" s="545"/>
      <c r="AC261" s="545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6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1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7" t="s">
        <v>75</v>
      </c>
      <c r="Q267" s="568"/>
      <c r="R267" s="568"/>
      <c r="S267" s="568"/>
      <c r="T267" s="568"/>
      <c r="U267" s="568"/>
      <c r="V267" s="569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67" t="s">
        <v>75</v>
      </c>
      <c r="Q268" s="568"/>
      <c r="R268" s="568"/>
      <c r="S268" s="568"/>
      <c r="T268" s="568"/>
      <c r="U268" s="568"/>
      <c r="V268" s="569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customHeight="1" x14ac:dyDescent="0.25">
      <c r="A269" s="570" t="s">
        <v>439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4"/>
      <c r="AB269" s="544"/>
      <c r="AC269" s="544"/>
    </row>
    <row r="270" spans="1:68" ht="14.25" customHeight="1" x14ac:dyDescent="0.25">
      <c r="A270" s="564" t="s">
        <v>99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545"/>
      <c r="AB270" s="545"/>
      <c r="AC270" s="545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0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1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7" t="s">
        <v>75</v>
      </c>
      <c r="Q275" s="568"/>
      <c r="R275" s="568"/>
      <c r="S275" s="568"/>
      <c r="T275" s="568"/>
      <c r="U275" s="568"/>
      <c r="V275" s="569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67" t="s">
        <v>75</v>
      </c>
      <c r="Q276" s="568"/>
      <c r="R276" s="568"/>
      <c r="S276" s="568"/>
      <c r="T276" s="568"/>
      <c r="U276" s="568"/>
      <c r="V276" s="569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customHeight="1" x14ac:dyDescent="0.25">
      <c r="A277" s="570" t="s">
        <v>450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4"/>
      <c r="AB277" s="544"/>
      <c r="AC277" s="544"/>
    </row>
    <row r="278" spans="1:68" ht="14.25" customHeight="1" x14ac:dyDescent="0.25">
      <c r="A278" s="564" t="s">
        <v>77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545"/>
      <c r="AB278" s="545"/>
      <c r="AC278" s="545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220</v>
      </c>
      <c r="M280" s="33" t="s">
        <v>86</v>
      </c>
      <c r="N280" s="33"/>
      <c r="O280" s="32">
        <v>40</v>
      </c>
      <c r="P280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220</v>
      </c>
      <c r="M281" s="33" t="s">
        <v>80</v>
      </c>
      <c r="N281" s="33"/>
      <c r="O281" s="32">
        <v>45</v>
      </c>
      <c r="P281" s="6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0</v>
      </c>
      <c r="Y281" s="55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561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7" t="s">
        <v>75</v>
      </c>
      <c r="Q282" s="568"/>
      <c r="R282" s="568"/>
      <c r="S282" s="568"/>
      <c r="T282" s="568"/>
      <c r="U282" s="568"/>
      <c r="V282" s="569"/>
      <c r="W282" s="37" t="s">
        <v>76</v>
      </c>
      <c r="X282" s="551">
        <f>IFERROR(X279/H279,"0")+IFERROR(X280/H280,"0")+IFERROR(X281/H281,"0")</f>
        <v>0</v>
      </c>
      <c r="Y282" s="551">
        <f>IFERROR(Y279/H279,"0")+IFERROR(Y280/H280,"0")+IFERROR(Y281/H281,"0")</f>
        <v>0</v>
      </c>
      <c r="Z282" s="551">
        <f>IFERROR(IF(Z279="",0,Z279),"0")+IFERROR(IF(Z280="",0,Z280),"0")+IFERROR(IF(Z281="",0,Z281),"0")</f>
        <v>0</v>
      </c>
      <c r="AA282" s="552"/>
      <c r="AB282" s="552"/>
      <c r="AC282" s="552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67" t="s">
        <v>75</v>
      </c>
      <c r="Q283" s="568"/>
      <c r="R283" s="568"/>
      <c r="S283" s="568"/>
      <c r="T283" s="568"/>
      <c r="U283" s="568"/>
      <c r="V283" s="569"/>
      <c r="W283" s="37" t="s">
        <v>69</v>
      </c>
      <c r="X283" s="551">
        <f>IFERROR(SUM(X279:X281),"0")</f>
        <v>0</v>
      </c>
      <c r="Y283" s="551">
        <f>IFERROR(SUM(Y279:Y281),"0")</f>
        <v>0</v>
      </c>
      <c r="Z283" s="37"/>
      <c r="AA283" s="552"/>
      <c r="AB283" s="552"/>
      <c r="AC283" s="552"/>
    </row>
    <row r="284" spans="1:68" ht="16.5" customHeight="1" x14ac:dyDescent="0.25">
      <c r="A284" s="570" t="s">
        <v>459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4"/>
      <c r="AB284" s="544"/>
      <c r="AC284" s="544"/>
    </row>
    <row r="285" spans="1:68" ht="14.25" customHeight="1" x14ac:dyDescent="0.25">
      <c r="A285" s="564" t="s">
        <v>64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545"/>
      <c r="AB285" s="545"/>
      <c r="AC285" s="545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1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7" t="s">
        <v>75</v>
      </c>
      <c r="Q288" s="568"/>
      <c r="R288" s="568"/>
      <c r="S288" s="568"/>
      <c r="T288" s="568"/>
      <c r="U288" s="568"/>
      <c r="V288" s="569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67" t="s">
        <v>75</v>
      </c>
      <c r="Q289" s="568"/>
      <c r="R289" s="568"/>
      <c r="S289" s="568"/>
      <c r="T289" s="568"/>
      <c r="U289" s="568"/>
      <c r="V289" s="569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customHeight="1" x14ac:dyDescent="0.25">
      <c r="A290" s="564" t="s">
        <v>77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545"/>
      <c r="AB290" s="545"/>
      <c r="AC290" s="545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1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7" t="s">
        <v>75</v>
      </c>
      <c r="Q293" s="568"/>
      <c r="R293" s="568"/>
      <c r="S293" s="568"/>
      <c r="T293" s="568"/>
      <c r="U293" s="568"/>
      <c r="V293" s="569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67" t="s">
        <v>75</v>
      </c>
      <c r="Q294" s="568"/>
      <c r="R294" s="568"/>
      <c r="S294" s="568"/>
      <c r="T294" s="568"/>
      <c r="U294" s="568"/>
      <c r="V294" s="569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customHeight="1" x14ac:dyDescent="0.25">
      <c r="A295" s="570" t="s">
        <v>472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4"/>
      <c r="AB295" s="544"/>
      <c r="AC295" s="544"/>
    </row>
    <row r="296" spans="1:68" ht="14.25" customHeight="1" x14ac:dyDescent="0.25">
      <c r="A296" s="564" t="s">
        <v>99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545"/>
      <c r="AB296" s="545"/>
      <c r="AC296" s="545"/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8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7" t="s">
        <v>75</v>
      </c>
      <c r="Q302" s="568"/>
      <c r="R302" s="568"/>
      <c r="S302" s="568"/>
      <c r="T302" s="568"/>
      <c r="U302" s="568"/>
      <c r="V302" s="569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7" t="s">
        <v>75</v>
      </c>
      <c r="Q303" s="568"/>
      <c r="R303" s="568"/>
      <c r="S303" s="568"/>
      <c r="T303" s="568"/>
      <c r="U303" s="568"/>
      <c r="V303" s="569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customHeight="1" x14ac:dyDescent="0.25">
      <c r="A304" s="564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40</v>
      </c>
      <c r="P306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1</v>
      </c>
      <c r="Y310" s="550">
        <f t="shared" si="31"/>
        <v>1.8</v>
      </c>
      <c r="Z310" s="36">
        <f>IFERROR(IF(Y310=0,"",ROUNDUP(Y310/H310,0)*0.00651),"")</f>
        <v>6.5100000000000002E-3</v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1.1266666666666667</v>
      </c>
      <c r="BN310" s="64">
        <f t="shared" si="33"/>
        <v>2.028</v>
      </c>
      <c r="BO310" s="64">
        <f t="shared" si="34"/>
        <v>3.0525030525030529E-3</v>
      </c>
      <c r="BP310" s="64">
        <f t="shared" si="35"/>
        <v>5.4945054945054949E-3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7" t="s">
        <v>75</v>
      </c>
      <c r="Q311" s="568"/>
      <c r="R311" s="568"/>
      <c r="S311" s="568"/>
      <c r="T311" s="568"/>
      <c r="U311" s="568"/>
      <c r="V311" s="569"/>
      <c r="W311" s="37" t="s">
        <v>76</v>
      </c>
      <c r="X311" s="551">
        <f>IFERROR(X305/H305,"0")+IFERROR(X306/H306,"0")+IFERROR(X307/H307,"0")+IFERROR(X308/H308,"0")+IFERROR(X309/H309,"0")+IFERROR(X310/H310,"0")</f>
        <v>0.55555555555555558</v>
      </c>
      <c r="Y311" s="551">
        <f>IFERROR(Y305/H305,"0")+IFERROR(Y306/H306,"0")+IFERROR(Y307/H307,"0")+IFERROR(Y308/H308,"0")+IFERROR(Y309/H309,"0")+IFERROR(Y310/H310,"0")</f>
        <v>1</v>
      </c>
      <c r="Z311" s="551">
        <f>IFERROR(IF(Z305="",0,Z305),"0")+IFERROR(IF(Z306="",0,Z306),"0")+IFERROR(IF(Z307="",0,Z307),"0")+IFERROR(IF(Z308="",0,Z308),"0")+IFERROR(IF(Z309="",0,Z309),"0")+IFERROR(IF(Z310="",0,Z310),"0")</f>
        <v>6.5100000000000002E-3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7" t="s">
        <v>75</v>
      </c>
      <c r="Q312" s="568"/>
      <c r="R312" s="568"/>
      <c r="S312" s="568"/>
      <c r="T312" s="568"/>
      <c r="U312" s="568"/>
      <c r="V312" s="569"/>
      <c r="W312" s="37" t="s">
        <v>69</v>
      </c>
      <c r="X312" s="551">
        <f>IFERROR(SUM(X305:X310),"0")</f>
        <v>1</v>
      </c>
      <c r="Y312" s="551">
        <f>IFERROR(SUM(Y305:Y310),"0")</f>
        <v>1.8</v>
      </c>
      <c r="Z312" s="37"/>
      <c r="AA312" s="552"/>
      <c r="AB312" s="552"/>
      <c r="AC312" s="552"/>
    </row>
    <row r="313" spans="1:68" ht="14.25" customHeight="1" x14ac:dyDescent="0.25">
      <c r="A313" s="564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7" t="s">
        <v>75</v>
      </c>
      <c r="Q318" s="568"/>
      <c r="R318" s="568"/>
      <c r="S318" s="568"/>
      <c r="T318" s="568"/>
      <c r="U318" s="568"/>
      <c r="V318" s="569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7" t="s">
        <v>75</v>
      </c>
      <c r="Q319" s="568"/>
      <c r="R319" s="568"/>
      <c r="S319" s="568"/>
      <c r="T319" s="568"/>
      <c r="U319" s="568"/>
      <c r="V319" s="569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4" t="s">
        <v>159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/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/>
      <c r="AK321" s="68">
        <v>0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53</v>
      </c>
      <c r="Y322" s="550">
        <f>IFERROR(IF(X322="",0,CEILING((X322/$H322),1)*$H322),"")</f>
        <v>54.6</v>
      </c>
      <c r="Z322" s="36">
        <f>IFERROR(IF(Y322=0,"",ROUNDUP(Y322/H322,0)*0.01898),"")</f>
        <v>0.13286000000000001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56.356666666666676</v>
      </c>
      <c r="BN322" s="64">
        <f>IFERROR(Y322*I322/H322,"0")</f>
        <v>58.058000000000007</v>
      </c>
      <c r="BO322" s="64">
        <f>IFERROR(1/J322*(X322/H322),"0")</f>
        <v>0.10616987179487179</v>
      </c>
      <c r="BP322" s="64">
        <f>IFERROR(1/J322*(Y322/H322),"0")</f>
        <v>0.109375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/>
      <c r="M323" s="33" t="s">
        <v>86</v>
      </c>
      <c r="N323" s="33"/>
      <c r="O323" s="32">
        <v>30</v>
      </c>
      <c r="P323" s="80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42</v>
      </c>
      <c r="Y323" s="550">
        <f>IFERROR(IF(X323="",0,CEILING((X323/$H323),1)*$H323),"")</f>
        <v>42</v>
      </c>
      <c r="Z323" s="36">
        <f>IFERROR(IF(Y323=0,"",ROUNDUP(Y323/H323,0)*0.01898),"")</f>
        <v>9.4899999999999998E-2</v>
      </c>
      <c r="AA323" s="56"/>
      <c r="AB323" s="57"/>
      <c r="AC323" s="381" t="s">
        <v>524</v>
      </c>
      <c r="AG323" s="64"/>
      <c r="AJ323" s="68"/>
      <c r="AK323" s="68">
        <v>0</v>
      </c>
      <c r="BB323" s="382" t="s">
        <v>1</v>
      </c>
      <c r="BM323" s="64">
        <f>IFERROR(X323*I323/H323,"0")</f>
        <v>44.47</v>
      </c>
      <c r="BN323" s="64">
        <f>IFERROR(Y323*I323/H323,"0")</f>
        <v>44.47</v>
      </c>
      <c r="BO323" s="64">
        <f>IFERROR(1/J323*(X323/H323),"0")</f>
        <v>7.8125E-2</v>
      </c>
      <c r="BP323" s="64">
        <f>IFERROR(1/J323*(Y323/H323),"0")</f>
        <v>7.8125E-2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7" t="s">
        <v>75</v>
      </c>
      <c r="Q324" s="568"/>
      <c r="R324" s="568"/>
      <c r="S324" s="568"/>
      <c r="T324" s="568"/>
      <c r="U324" s="568"/>
      <c r="V324" s="569"/>
      <c r="W324" s="37" t="s">
        <v>76</v>
      </c>
      <c r="X324" s="551">
        <f>IFERROR(X321/H321,"0")+IFERROR(X322/H322,"0")+IFERROR(X323/H323,"0")</f>
        <v>11.794871794871796</v>
      </c>
      <c r="Y324" s="551">
        <f>IFERROR(Y321/H321,"0")+IFERROR(Y322/H322,"0")+IFERROR(Y323/H323,"0")</f>
        <v>12</v>
      </c>
      <c r="Z324" s="551">
        <f>IFERROR(IF(Z321="",0,Z321),"0")+IFERROR(IF(Z322="",0,Z322),"0")+IFERROR(IF(Z323="",0,Z323),"0")</f>
        <v>0.22776000000000002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7" t="s">
        <v>75</v>
      </c>
      <c r="Q325" s="568"/>
      <c r="R325" s="568"/>
      <c r="S325" s="568"/>
      <c r="T325" s="568"/>
      <c r="U325" s="568"/>
      <c r="V325" s="569"/>
      <c r="W325" s="37" t="s">
        <v>69</v>
      </c>
      <c r="X325" s="551">
        <f>IFERROR(SUM(X321:X323),"0")</f>
        <v>95</v>
      </c>
      <c r="Y325" s="551">
        <f>IFERROR(SUM(Y321:Y323),"0")</f>
        <v>96.6</v>
      </c>
      <c r="Z325" s="37"/>
      <c r="AA325" s="552"/>
      <c r="AB325" s="552"/>
      <c r="AC325" s="552"/>
    </row>
    <row r="326" spans="1:68" ht="14.25" customHeight="1" x14ac:dyDescent="0.25">
      <c r="A326" s="564" t="s">
        <v>91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94</v>
      </c>
      <c r="N329" s="33"/>
      <c r="O329" s="32">
        <v>180</v>
      </c>
      <c r="P329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2</v>
      </c>
      <c r="Y329" s="550">
        <f>IFERROR(IF(X329="",0,CEILING((X329/$H329),1)*$H329),"")</f>
        <v>2.5499999999999998</v>
      </c>
      <c r="Z329" s="36">
        <f>IFERROR(IF(Y329=0,"",ROUNDUP(Y329/H329,0)*0.00651),"")</f>
        <v>6.5100000000000002E-3</v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2.3176470588235296</v>
      </c>
      <c r="BN329" s="64">
        <f>IFERROR(Y329*I329/H329,"0")</f>
        <v>2.9550000000000001</v>
      </c>
      <c r="BO329" s="64">
        <f>IFERROR(1/J329*(X329/H329),"0")</f>
        <v>4.3094160741219576E-3</v>
      </c>
      <c r="BP329" s="64">
        <f>IFERROR(1/J329*(Y329/H329),"0")</f>
        <v>5.4945054945054949E-3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/>
      <c r="M330" s="33" t="s">
        <v>94</v>
      </c>
      <c r="N330" s="33"/>
      <c r="O330" s="32">
        <v>180</v>
      </c>
      <c r="P330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7" t="s">
        <v>75</v>
      </c>
      <c r="Q331" s="568"/>
      <c r="R331" s="568"/>
      <c r="S331" s="568"/>
      <c r="T331" s="568"/>
      <c r="U331" s="568"/>
      <c r="V331" s="569"/>
      <c r="W331" s="37" t="s">
        <v>76</v>
      </c>
      <c r="X331" s="551">
        <f>IFERROR(X327/H327,"0")+IFERROR(X328/H328,"0")+IFERROR(X329/H329,"0")+IFERROR(X330/H330,"0")</f>
        <v>0.78431372549019618</v>
      </c>
      <c r="Y331" s="551">
        <f>IFERROR(Y327/H327,"0")+IFERROR(Y328/H328,"0")+IFERROR(Y329/H329,"0")+IFERROR(Y330/H330,"0")</f>
        <v>1</v>
      </c>
      <c r="Z331" s="551">
        <f>IFERROR(IF(Z327="",0,Z327),"0")+IFERROR(IF(Z328="",0,Z328),"0")+IFERROR(IF(Z329="",0,Z329),"0")+IFERROR(IF(Z330="",0,Z330),"0")</f>
        <v>6.5100000000000002E-3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7" t="s">
        <v>75</v>
      </c>
      <c r="Q332" s="568"/>
      <c r="R332" s="568"/>
      <c r="S332" s="568"/>
      <c r="T332" s="568"/>
      <c r="U332" s="568"/>
      <c r="V332" s="569"/>
      <c r="W332" s="37" t="s">
        <v>69</v>
      </c>
      <c r="X332" s="551">
        <f>IFERROR(SUM(X327:X330),"0")</f>
        <v>2</v>
      </c>
      <c r="Y332" s="551">
        <f>IFERROR(SUM(Y327:Y330),"0")</f>
        <v>2.5499999999999998</v>
      </c>
      <c r="Z332" s="37"/>
      <c r="AA332" s="552"/>
      <c r="AB332" s="552"/>
      <c r="AC332" s="552"/>
    </row>
    <row r="333" spans="1:68" ht="14.25" customHeight="1" x14ac:dyDescent="0.25">
      <c r="A333" s="564" t="s">
        <v>534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2</v>
      </c>
      <c r="Y336" s="550">
        <f>IFERROR(IF(X336="",0,CEILING((X336/$H336),1)*$H336),"")</f>
        <v>2</v>
      </c>
      <c r="Z336" s="36">
        <f>IFERROR(IF(Y336=0,"",ROUNDUP(Y336/H336,0)*0.00474),"")</f>
        <v>4.7400000000000003E-3</v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2.2400000000000002</v>
      </c>
      <c r="BN336" s="64">
        <f>IFERROR(Y336*I336/H336,"0")</f>
        <v>2.2400000000000002</v>
      </c>
      <c r="BO336" s="64">
        <f>IFERROR(1/J336*(X336/H336),"0")</f>
        <v>4.2016806722689074E-3</v>
      </c>
      <c r="BP336" s="64">
        <f>IFERROR(1/J336*(Y336/H336),"0")</f>
        <v>4.2016806722689074E-3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7" t="s">
        <v>75</v>
      </c>
      <c r="Q337" s="568"/>
      <c r="R337" s="568"/>
      <c r="S337" s="568"/>
      <c r="T337" s="568"/>
      <c r="U337" s="568"/>
      <c r="V337" s="569"/>
      <c r="W337" s="37" t="s">
        <v>76</v>
      </c>
      <c r="X337" s="551">
        <f>IFERROR(X334/H334,"0")+IFERROR(X335/H335,"0")+IFERROR(X336/H336,"0")</f>
        <v>1</v>
      </c>
      <c r="Y337" s="551">
        <f>IFERROR(Y334/H334,"0")+IFERROR(Y335/H335,"0")+IFERROR(Y336/H336,"0")</f>
        <v>1</v>
      </c>
      <c r="Z337" s="551">
        <f>IFERROR(IF(Z334="",0,Z334),"0")+IFERROR(IF(Z335="",0,Z335),"0")+IFERROR(IF(Z336="",0,Z336),"0")</f>
        <v>4.7400000000000003E-3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7" t="s">
        <v>75</v>
      </c>
      <c r="Q338" s="568"/>
      <c r="R338" s="568"/>
      <c r="S338" s="568"/>
      <c r="T338" s="568"/>
      <c r="U338" s="568"/>
      <c r="V338" s="569"/>
      <c r="W338" s="37" t="s">
        <v>69</v>
      </c>
      <c r="X338" s="551">
        <f>IFERROR(SUM(X334:X336),"0")</f>
        <v>2</v>
      </c>
      <c r="Y338" s="551">
        <f>IFERROR(SUM(Y334:Y336),"0")</f>
        <v>2</v>
      </c>
      <c r="Z338" s="37"/>
      <c r="AA338" s="552"/>
      <c r="AB338" s="552"/>
      <c r="AC338" s="552"/>
    </row>
    <row r="339" spans="1:68" ht="16.5" customHeight="1" x14ac:dyDescent="0.25">
      <c r="A339" s="570" t="s">
        <v>543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4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/>
      <c r="M342" s="33" t="s">
        <v>80</v>
      </c>
      <c r="N342" s="33"/>
      <c r="O342" s="32">
        <v>45</v>
      </c>
      <c r="P342" s="8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/>
      <c r="M343" s="33" t="s">
        <v>86</v>
      </c>
      <c r="N343" s="33"/>
      <c r="O343" s="32">
        <v>40</v>
      </c>
      <c r="P343" s="7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7" t="s">
        <v>75</v>
      </c>
      <c r="Q344" s="568"/>
      <c r="R344" s="568"/>
      <c r="S344" s="568"/>
      <c r="T344" s="568"/>
      <c r="U344" s="568"/>
      <c r="V344" s="569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7" t="s">
        <v>75</v>
      </c>
      <c r="Q345" s="568"/>
      <c r="R345" s="568"/>
      <c r="S345" s="568"/>
      <c r="T345" s="568"/>
      <c r="U345" s="568"/>
      <c r="V345" s="569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customHeight="1" x14ac:dyDescent="0.2">
      <c r="A346" s="668" t="s">
        <v>553</v>
      </c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48"/>
      <c r="AB346" s="48"/>
      <c r="AC346" s="48"/>
    </row>
    <row r="347" spans="1:68" ht="16.5" customHeight="1" x14ac:dyDescent="0.25">
      <c r="A347" s="570" t="s">
        <v>554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4" t="s">
        <v>99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0</v>
      </c>
      <c r="Y349" s="550">
        <f t="shared" ref="Y349:Y355" si="36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0</v>
      </c>
      <c r="BN349" s="64">
        <f t="shared" ref="BN349:BN355" si="38">IFERROR(Y349*I349/H349,"0")</f>
        <v>0</v>
      </c>
      <c r="BO349" s="64">
        <f t="shared" ref="BO349:BO355" si="39">IFERROR(1/J349*(X349/H349),"0")</f>
        <v>0</v>
      </c>
      <c r="BP349" s="64">
        <f t="shared" ref="BP349:BP355" si="40">IFERROR(1/J349*(Y349/H349),"0")</f>
        <v>0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333</v>
      </c>
      <c r="Y350" s="550">
        <f t="shared" si="36"/>
        <v>345</v>
      </c>
      <c r="Z350" s="36">
        <f>IFERROR(IF(Y350=0,"",ROUNDUP(Y350/H350,0)*0.02175),"")</f>
        <v>0.50024999999999997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343.43400000000003</v>
      </c>
      <c r="BN350" s="64">
        <f t="shared" si="38"/>
        <v>355.81000000000006</v>
      </c>
      <c r="BO350" s="64">
        <f t="shared" si="39"/>
        <v>0.46249999999999997</v>
      </c>
      <c r="BP350" s="64">
        <f t="shared" si="40"/>
        <v>0.47916666666666663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6">
        <v>4680115887046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6">
        <v>4680115884830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 t="s">
        <v>103</v>
      </c>
      <c r="M352" s="33" t="s">
        <v>68</v>
      </c>
      <c r="N352" s="33"/>
      <c r="O352" s="32">
        <v>60</v>
      </c>
      <c r="P352" s="6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650</v>
      </c>
      <c r="Y352" s="550">
        <f t="shared" si="36"/>
        <v>660</v>
      </c>
      <c r="Z352" s="36">
        <f>IFERROR(IF(Y352=0,"",ROUNDUP(Y352/H352,0)*0.02175),"")</f>
        <v>0.95699999999999996</v>
      </c>
      <c r="AA352" s="56"/>
      <c r="AB352" s="57"/>
      <c r="AC352" s="409" t="s">
        <v>566</v>
      </c>
      <c r="AG352" s="64"/>
      <c r="AJ352" s="68" t="s">
        <v>106</v>
      </c>
      <c r="AK352" s="68">
        <v>120</v>
      </c>
      <c r="BB352" s="410" t="s">
        <v>1</v>
      </c>
      <c r="BM352" s="64">
        <f t="shared" si="37"/>
        <v>670.36666666666667</v>
      </c>
      <c r="BN352" s="64">
        <f t="shared" si="38"/>
        <v>680.68000000000006</v>
      </c>
      <c r="BO352" s="64">
        <f t="shared" si="39"/>
        <v>0.90277777777777779</v>
      </c>
      <c r="BP352" s="64">
        <f t="shared" si="40"/>
        <v>0.91666666666666663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5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7" t="s">
        <v>75</v>
      </c>
      <c r="Q356" s="568"/>
      <c r="R356" s="568"/>
      <c r="S356" s="568"/>
      <c r="T356" s="568"/>
      <c r="U356" s="568"/>
      <c r="V356" s="569"/>
      <c r="W356" s="37" t="s">
        <v>76</v>
      </c>
      <c r="X356" s="551">
        <f>IFERROR(X349/H349,"0")+IFERROR(X350/H350,"0")+IFERROR(X351/H351,"0")+IFERROR(X352/H352,"0")+IFERROR(X353/H353,"0")+IFERROR(X354/H354,"0")+IFERROR(X355/H355,"0")</f>
        <v>65.533333333333331</v>
      </c>
      <c r="Y356" s="551">
        <f>IFERROR(Y349/H349,"0")+IFERROR(Y350/H350,"0")+IFERROR(Y351/H351,"0")+IFERROR(Y352/H352,"0")+IFERROR(Y353/H353,"0")+IFERROR(Y354/H354,"0")+IFERROR(Y355/H355,"0")</f>
        <v>67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1.4572499999999999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7" t="s">
        <v>75</v>
      </c>
      <c r="Q357" s="568"/>
      <c r="R357" s="568"/>
      <c r="S357" s="568"/>
      <c r="T357" s="568"/>
      <c r="U357" s="568"/>
      <c r="V357" s="569"/>
      <c r="W357" s="37" t="s">
        <v>69</v>
      </c>
      <c r="X357" s="551">
        <f>IFERROR(SUM(X349:X355),"0")</f>
        <v>983</v>
      </c>
      <c r="Y357" s="551">
        <f>IFERROR(SUM(Y349:Y355),"0")</f>
        <v>1005</v>
      </c>
      <c r="Z357" s="37"/>
      <c r="AA357" s="552"/>
      <c r="AB357" s="552"/>
      <c r="AC357" s="552"/>
    </row>
    <row r="358" spans="1:68" ht="14.25" customHeight="1" x14ac:dyDescent="0.25">
      <c r="A358" s="564" t="s">
        <v>134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0</v>
      </c>
      <c r="Y359" s="550">
        <f>IFERROR(IF(X359="",0,CEILING((X359/$H359),1)*$H359),"")</f>
        <v>0</v>
      </c>
      <c r="Z359" s="36" t="str">
        <f>IFERROR(IF(Y359=0,"",ROUNDUP(Y359/H359,0)*0.02175),"")</f>
        <v/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7" t="s">
        <v>75</v>
      </c>
      <c r="Q361" s="568"/>
      <c r="R361" s="568"/>
      <c r="S361" s="568"/>
      <c r="T361" s="568"/>
      <c r="U361" s="568"/>
      <c r="V361" s="569"/>
      <c r="W361" s="37" t="s">
        <v>76</v>
      </c>
      <c r="X361" s="551">
        <f>IFERROR(X359/H359,"0")+IFERROR(X360/H360,"0")</f>
        <v>0</v>
      </c>
      <c r="Y361" s="551">
        <f>IFERROR(Y359/H359,"0")+IFERROR(Y360/H360,"0")</f>
        <v>0</v>
      </c>
      <c r="Z361" s="551">
        <f>IFERROR(IF(Z359="",0,Z359),"0")+IFERROR(IF(Z360="",0,Z360),"0")</f>
        <v>0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7" t="s">
        <v>75</v>
      </c>
      <c r="Q362" s="568"/>
      <c r="R362" s="568"/>
      <c r="S362" s="568"/>
      <c r="T362" s="568"/>
      <c r="U362" s="568"/>
      <c r="V362" s="569"/>
      <c r="W362" s="37" t="s">
        <v>69</v>
      </c>
      <c r="X362" s="551">
        <f>IFERROR(SUM(X359:X360),"0")</f>
        <v>0</v>
      </c>
      <c r="Y362" s="551">
        <f>IFERROR(SUM(Y359:Y360),"0")</f>
        <v>0</v>
      </c>
      <c r="Z362" s="37"/>
      <c r="AA362" s="552"/>
      <c r="AB362" s="552"/>
      <c r="AC362" s="552"/>
    </row>
    <row r="363" spans="1:68" ht="14.25" customHeight="1" x14ac:dyDescent="0.25">
      <c r="A363" s="564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/>
      <c r="M365" s="33" t="s">
        <v>80</v>
      </c>
      <c r="N365" s="33"/>
      <c r="O365" s="32">
        <v>40</v>
      </c>
      <c r="P365" s="8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7" t="s">
        <v>75</v>
      </c>
      <c r="Q366" s="568"/>
      <c r="R366" s="568"/>
      <c r="S366" s="568"/>
      <c r="T366" s="568"/>
      <c r="U366" s="568"/>
      <c r="V366" s="569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7" t="s">
        <v>75</v>
      </c>
      <c r="Q367" s="568"/>
      <c r="R367" s="568"/>
      <c r="S367" s="568"/>
      <c r="T367" s="568"/>
      <c r="U367" s="568"/>
      <c r="V367" s="569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customHeight="1" x14ac:dyDescent="0.25">
      <c r="A368" s="564" t="s">
        <v>159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88</v>
      </c>
      <c r="Y369" s="550">
        <f>IFERROR(IF(X369="",0,CEILING((X369/$H369),1)*$H369),"")</f>
        <v>90</v>
      </c>
      <c r="Z369" s="36">
        <f>IFERROR(IF(Y369=0,"",ROUNDUP(Y369/H369,0)*0.01898),"")</f>
        <v>0.1898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92.830222222222218</v>
      </c>
      <c r="BN369" s="64">
        <f>IFERROR(Y369*I369/H369,"0")</f>
        <v>94.94</v>
      </c>
      <c r="BO369" s="64">
        <f>IFERROR(1/J369*(X369/H369),"0")</f>
        <v>0.15277777777777779</v>
      </c>
      <c r="BP369" s="64">
        <f>IFERROR(1/J369*(Y369/H369),"0")</f>
        <v>0.15625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7" t="s">
        <v>75</v>
      </c>
      <c r="Q370" s="568"/>
      <c r="R370" s="568"/>
      <c r="S370" s="568"/>
      <c r="T370" s="568"/>
      <c r="U370" s="568"/>
      <c r="V370" s="569"/>
      <c r="W370" s="37" t="s">
        <v>76</v>
      </c>
      <c r="X370" s="551">
        <f>IFERROR(X369/H369,"0")</f>
        <v>9.7777777777777786</v>
      </c>
      <c r="Y370" s="551">
        <f>IFERROR(Y369/H369,"0")</f>
        <v>10</v>
      </c>
      <c r="Z370" s="551">
        <f>IFERROR(IF(Z369="",0,Z369),"0")</f>
        <v>0.1898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7" t="s">
        <v>75</v>
      </c>
      <c r="Q371" s="568"/>
      <c r="R371" s="568"/>
      <c r="S371" s="568"/>
      <c r="T371" s="568"/>
      <c r="U371" s="568"/>
      <c r="V371" s="569"/>
      <c r="W371" s="37" t="s">
        <v>69</v>
      </c>
      <c r="X371" s="551">
        <f>IFERROR(SUM(X369:X369),"0")</f>
        <v>88</v>
      </c>
      <c r="Y371" s="551">
        <f>IFERROR(SUM(Y369:Y369),"0")</f>
        <v>90</v>
      </c>
      <c r="Z371" s="37"/>
      <c r="AA371" s="552"/>
      <c r="AB371" s="552"/>
      <c r="AC371" s="552"/>
    </row>
    <row r="372" spans="1:68" ht="16.5" customHeight="1" x14ac:dyDescent="0.25">
      <c r="A372" s="570" t="s">
        <v>589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4" t="s">
        <v>99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/>
      <c r="M374" s="33" t="s">
        <v>68</v>
      </c>
      <c r="N374" s="33"/>
      <c r="O374" s="32">
        <v>60</v>
      </c>
      <c r="P374" s="7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7" t="s">
        <v>75</v>
      </c>
      <c r="Q376" s="568"/>
      <c r="R376" s="568"/>
      <c r="S376" s="568"/>
      <c r="T376" s="568"/>
      <c r="U376" s="568"/>
      <c r="V376" s="569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7" t="s">
        <v>75</v>
      </c>
      <c r="Q377" s="568"/>
      <c r="R377" s="568"/>
      <c r="S377" s="568"/>
      <c r="T377" s="568"/>
      <c r="U377" s="568"/>
      <c r="V377" s="569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64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595</v>
      </c>
      <c r="B379" s="54" t="s">
        <v>596</v>
      </c>
      <c r="C379" s="31">
        <v>4301031457</v>
      </c>
      <c r="D379" s="556">
        <v>4607091384802</v>
      </c>
      <c r="E379" s="557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4301031303</v>
      </c>
      <c r="D380" s="556">
        <v>4607091384802</v>
      </c>
      <c r="E380" s="557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35</v>
      </c>
      <c r="P380" s="73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7" t="s">
        <v>75</v>
      </c>
      <c r="Q381" s="568"/>
      <c r="R381" s="568"/>
      <c r="S381" s="568"/>
      <c r="T381" s="568"/>
      <c r="U381" s="568"/>
      <c r="V381" s="569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7" t="s">
        <v>75</v>
      </c>
      <c r="Q382" s="568"/>
      <c r="R382" s="568"/>
      <c r="S382" s="568"/>
      <c r="T382" s="568"/>
      <c r="U382" s="568"/>
      <c r="V382" s="569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4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539</v>
      </c>
      <c r="Y384" s="550">
        <f>IFERROR(IF(X384="",0,CEILING((X384/$H384),1)*$H384),"")</f>
        <v>540</v>
      </c>
      <c r="Z384" s="36">
        <f>IFERROR(IF(Y384=0,"",ROUNDUP(Y384/H384,0)*0.01898),"")</f>
        <v>1.1388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568.58511111111102</v>
      </c>
      <c r="BN384" s="64">
        <f>IFERROR(Y384*I384/H384,"0")</f>
        <v>569.64</v>
      </c>
      <c r="BO384" s="64">
        <f>IFERROR(1/J384*(X384/H384),"0")</f>
        <v>0.93576388888888884</v>
      </c>
      <c r="BP384" s="64">
        <f>IFERROR(1/J384*(Y384/H384),"0")</f>
        <v>0.9375</v>
      </c>
    </row>
    <row r="385" spans="1:68" ht="27" customHeight="1" x14ac:dyDescent="0.25">
      <c r="A385" s="54" t="s">
        <v>603</v>
      </c>
      <c r="B385" s="54" t="s">
        <v>604</v>
      </c>
      <c r="C385" s="31">
        <v>4301052069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605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606</v>
      </c>
      <c r="C386" s="31">
        <v>4301051660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31</v>
      </c>
      <c r="Y386" s="550">
        <f>IFERROR(IF(X386="",0,CEILING((X386/$H386),1)*$H386),"")</f>
        <v>31.2</v>
      </c>
      <c r="Z386" s="36">
        <f>IFERROR(IF(Y386=0,"",ROUNDUP(Y386/H386,0)*0.00651),"")</f>
        <v>8.4629999999999997E-2</v>
      </c>
      <c r="AA386" s="56"/>
      <c r="AB386" s="57"/>
      <c r="AC386" s="439" t="s">
        <v>602</v>
      </c>
      <c r="AG386" s="64"/>
      <c r="AJ386" s="68"/>
      <c r="AK386" s="68">
        <v>0</v>
      </c>
      <c r="BB386" s="440" t="s">
        <v>1</v>
      </c>
      <c r="BM386" s="64">
        <f>IFERROR(X386*I386/H386,"0")</f>
        <v>34.410000000000004</v>
      </c>
      <c r="BN386" s="64">
        <f>IFERROR(Y386*I386/H386,"0")</f>
        <v>34.631999999999998</v>
      </c>
      <c r="BO386" s="64">
        <f>IFERROR(1/J386*(X386/H386),"0")</f>
        <v>7.0970695970695982E-2</v>
      </c>
      <c r="BP386" s="64">
        <f>IFERROR(1/J386*(Y386/H386),"0")</f>
        <v>7.1428571428571438E-2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7" t="s">
        <v>75</v>
      </c>
      <c r="Q387" s="568"/>
      <c r="R387" s="568"/>
      <c r="S387" s="568"/>
      <c r="T387" s="568"/>
      <c r="U387" s="568"/>
      <c r="V387" s="569"/>
      <c r="W387" s="37" t="s">
        <v>76</v>
      </c>
      <c r="X387" s="551">
        <f>IFERROR(X384/H384,"0")+IFERROR(X385/H385,"0")+IFERROR(X386/H386,"0")</f>
        <v>72.805555555555557</v>
      </c>
      <c r="Y387" s="551">
        <f>IFERROR(Y384/H384,"0")+IFERROR(Y385/H385,"0")+IFERROR(Y386/H386,"0")</f>
        <v>73</v>
      </c>
      <c r="Z387" s="551">
        <f>IFERROR(IF(Z384="",0,Z384),"0")+IFERROR(IF(Z385="",0,Z385),"0")+IFERROR(IF(Z386="",0,Z386),"0")</f>
        <v>1.22343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7" t="s">
        <v>75</v>
      </c>
      <c r="Q388" s="568"/>
      <c r="R388" s="568"/>
      <c r="S388" s="568"/>
      <c r="T388" s="568"/>
      <c r="U388" s="568"/>
      <c r="V388" s="569"/>
      <c r="W388" s="37" t="s">
        <v>69</v>
      </c>
      <c r="X388" s="551">
        <f>IFERROR(SUM(X384:X386),"0")</f>
        <v>570</v>
      </c>
      <c r="Y388" s="551">
        <f>IFERROR(SUM(Y384:Y386),"0")</f>
        <v>571.20000000000005</v>
      </c>
      <c r="Z388" s="37"/>
      <c r="AA388" s="552"/>
      <c r="AB388" s="552"/>
      <c r="AC388" s="552"/>
    </row>
    <row r="389" spans="1:68" ht="27.75" customHeight="1" x14ac:dyDescent="0.2">
      <c r="A389" s="668" t="s">
        <v>607</v>
      </c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48"/>
      <c r="AB389" s="48"/>
      <c r="AC389" s="48"/>
    </row>
    <row r="390" spans="1:68" ht="16.5" customHeight="1" x14ac:dyDescent="0.25">
      <c r="A390" s="570" t="s">
        <v>608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4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 t="s">
        <v>199</v>
      </c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 t="s">
        <v>106</v>
      </c>
      <c r="AK392" s="68">
        <v>64.8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7" t="s">
        <v>75</v>
      </c>
      <c r="Q401" s="568"/>
      <c r="R401" s="568"/>
      <c r="S401" s="568"/>
      <c r="T401" s="568"/>
      <c r="U401" s="568"/>
      <c r="V401" s="569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7" t="s">
        <v>75</v>
      </c>
      <c r="Q402" s="568"/>
      <c r="R402" s="568"/>
      <c r="S402" s="568"/>
      <c r="T402" s="568"/>
      <c r="U402" s="568"/>
      <c r="V402" s="569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customHeight="1" x14ac:dyDescent="0.25">
      <c r="A403" s="564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7" t="s">
        <v>75</v>
      </c>
      <c r="Q406" s="568"/>
      <c r="R406" s="568"/>
      <c r="S406" s="568"/>
      <c r="T406" s="568"/>
      <c r="U406" s="568"/>
      <c r="V406" s="569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7" t="s">
        <v>75</v>
      </c>
      <c r="Q407" s="568"/>
      <c r="R407" s="568"/>
      <c r="S407" s="568"/>
      <c r="T407" s="568"/>
      <c r="U407" s="568"/>
      <c r="V407" s="569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0" t="s">
        <v>639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4" t="s">
        <v>134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7" t="s">
        <v>75</v>
      </c>
      <c r="Q411" s="568"/>
      <c r="R411" s="568"/>
      <c r="S411" s="568"/>
      <c r="T411" s="568"/>
      <c r="U411" s="568"/>
      <c r="V411" s="569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7" t="s">
        <v>75</v>
      </c>
      <c r="Q412" s="568"/>
      <c r="R412" s="568"/>
      <c r="S412" s="568"/>
      <c r="T412" s="568"/>
      <c r="U412" s="568"/>
      <c r="V412" s="569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4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 t="s">
        <v>199</v>
      </c>
      <c r="M414" s="33" t="s">
        <v>104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 t="s">
        <v>106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7" t="s">
        <v>75</v>
      </c>
      <c r="Q418" s="568"/>
      <c r="R418" s="568"/>
      <c r="S418" s="568"/>
      <c r="T418" s="568"/>
      <c r="U418" s="568"/>
      <c r="V418" s="569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7" t="s">
        <v>75</v>
      </c>
      <c r="Q419" s="568"/>
      <c r="R419" s="568"/>
      <c r="S419" s="568"/>
      <c r="T419" s="568"/>
      <c r="U419" s="568"/>
      <c r="V419" s="569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customHeight="1" x14ac:dyDescent="0.25">
      <c r="A420" s="570" t="s">
        <v>654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4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7" t="s">
        <v>75</v>
      </c>
      <c r="Q423" s="568"/>
      <c r="R423" s="568"/>
      <c r="S423" s="568"/>
      <c r="T423" s="568"/>
      <c r="U423" s="568"/>
      <c r="V423" s="569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7" t="s">
        <v>75</v>
      </c>
      <c r="Q424" s="568"/>
      <c r="R424" s="568"/>
      <c r="S424" s="568"/>
      <c r="T424" s="568"/>
      <c r="U424" s="568"/>
      <c r="V424" s="569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668" t="s">
        <v>658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48"/>
      <c r="AB425" s="48"/>
      <c r="AC425" s="48"/>
    </row>
    <row r="426" spans="1:68" ht="16.5" customHeight="1" x14ac:dyDescent="0.25">
      <c r="A426" s="570" t="s">
        <v>658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4" t="s">
        <v>99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8</v>
      </c>
      <c r="Y428" s="550">
        <f t="shared" ref="Y428:Y439" si="47">IFERROR(IF(X428="",0,CEILING((X428/$H428),1)*$H428),"")</f>
        <v>10.56</v>
      </c>
      <c r="Z428" s="36">
        <f t="shared" ref="Z428:Z434" si="48">IFERROR(IF(Y428=0,"",ROUNDUP(Y428/H428,0)*0.01196),"")</f>
        <v>2.392E-2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ref="BM428:BM439" si="49">IFERROR(X428*I428/H428,"0")</f>
        <v>8.5303030303030294</v>
      </c>
      <c r="BN428" s="64">
        <f t="shared" ref="BN428:BN439" si="50">IFERROR(Y428*I428/H428,"0")</f>
        <v>11.26</v>
      </c>
      <c r="BO428" s="64">
        <f t="shared" ref="BO428:BO439" si="51">IFERROR(1/J428*(X428/H428),"0")</f>
        <v>1.456876456876457E-2</v>
      </c>
      <c r="BP428" s="64">
        <f t="shared" ref="BP428:BP439" si="52">IFERROR(1/J428*(Y428/H428),"0")</f>
        <v>1.9230769230769232E-2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/>
      <c r="M431" s="33" t="s">
        <v>104</v>
      </c>
      <c r="N431" s="33"/>
      <c r="O431" s="32">
        <v>60</v>
      </c>
      <c r="P431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0</v>
      </c>
      <c r="Y432" s="550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50</v>
      </c>
      <c r="Y434" s="550">
        <f t="shared" si="47"/>
        <v>52.800000000000004</v>
      </c>
      <c r="Z434" s="36">
        <f t="shared" si="48"/>
        <v>0.1196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53.314393939393938</v>
      </c>
      <c r="BN434" s="64">
        <f t="shared" si="50"/>
        <v>56.3</v>
      </c>
      <c r="BO434" s="64">
        <f t="shared" si="51"/>
        <v>9.1054778554778545E-2</v>
      </c>
      <c r="BP434" s="64">
        <f t="shared" si="52"/>
        <v>9.6153846153846159E-2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22</v>
      </c>
      <c r="Y436" s="550">
        <f t="shared" si="47"/>
        <v>24</v>
      </c>
      <c r="Z436" s="36">
        <f>IFERROR(IF(Y436=0,"",ROUNDUP(Y436/H436,0)*0.00902),"")</f>
        <v>4.5100000000000001E-2</v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31.670833333333338</v>
      </c>
      <c r="BN436" s="64">
        <f t="shared" si="50"/>
        <v>34.550000000000004</v>
      </c>
      <c r="BO436" s="64">
        <f t="shared" si="51"/>
        <v>3.4722222222222231E-2</v>
      </c>
      <c r="BP436" s="64">
        <f t="shared" si="52"/>
        <v>3.787878787878788E-2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5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33</v>
      </c>
      <c r="Y439" s="550">
        <f t="shared" si="47"/>
        <v>33.6</v>
      </c>
      <c r="Z439" s="36">
        <f>IFERROR(IF(Y439=0,"",ROUNDUP(Y439/H439,0)*0.00902),"")</f>
        <v>6.3140000000000002E-2</v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47.506250000000001</v>
      </c>
      <c r="BN439" s="64">
        <f t="shared" si="50"/>
        <v>48.370000000000005</v>
      </c>
      <c r="BO439" s="64">
        <f t="shared" si="51"/>
        <v>5.2083333333333336E-2</v>
      </c>
      <c r="BP439" s="64">
        <f t="shared" si="52"/>
        <v>5.3030303030303039E-2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7" t="s">
        <v>75</v>
      </c>
      <c r="Q440" s="568"/>
      <c r="R440" s="568"/>
      <c r="S440" s="568"/>
      <c r="T440" s="568"/>
      <c r="U440" s="568"/>
      <c r="V440" s="569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22.44318181818182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24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0.25175999999999998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7" t="s">
        <v>75</v>
      </c>
      <c r="Q441" s="568"/>
      <c r="R441" s="568"/>
      <c r="S441" s="568"/>
      <c r="T441" s="568"/>
      <c r="U441" s="568"/>
      <c r="V441" s="569"/>
      <c r="W441" s="37" t="s">
        <v>69</v>
      </c>
      <c r="X441" s="551">
        <f>IFERROR(SUM(X428:X439),"0")</f>
        <v>113</v>
      </c>
      <c r="Y441" s="551">
        <f>IFERROR(SUM(Y428:Y439),"0")</f>
        <v>120.96000000000001</v>
      </c>
      <c r="Z441" s="37"/>
      <c r="AA441" s="552"/>
      <c r="AB441" s="552"/>
      <c r="AC441" s="552"/>
    </row>
    <row r="442" spans="1:68" ht="14.25" customHeight="1" x14ac:dyDescent="0.25">
      <c r="A442" s="564" t="s">
        <v>134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38</v>
      </c>
      <c r="Y443" s="550">
        <f>IFERROR(IF(X443="",0,CEILING((X443/$H443),1)*$H443),"")</f>
        <v>42.24</v>
      </c>
      <c r="Z443" s="36">
        <f>IFERROR(IF(Y443=0,"",ROUNDUP(Y443/H443,0)*0.01196),"")</f>
        <v>9.5680000000000001E-2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40.518939393939391</v>
      </c>
      <c r="BN443" s="64">
        <f>IFERROR(Y443*I443/H443,"0")</f>
        <v>45.04</v>
      </c>
      <c r="BO443" s="64">
        <f>IFERROR(1/J443*(X443/H443),"0")</f>
        <v>6.9201631701631697E-2</v>
      </c>
      <c r="BP443" s="64">
        <f>IFERROR(1/J443*(Y443/H443),"0")</f>
        <v>7.6923076923076927E-2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/>
      <c r="M445" s="33" t="s">
        <v>104</v>
      </c>
      <c r="N445" s="33"/>
      <c r="O445" s="32">
        <v>70</v>
      </c>
      <c r="P445" s="6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56</v>
      </c>
      <c r="Y445" s="550">
        <f>IFERROR(IF(X445="",0,CEILING((X445/$H445),1)*$H445),"")</f>
        <v>57.599999999999994</v>
      </c>
      <c r="Z445" s="36">
        <f>IFERROR(IF(Y445=0,"",ROUNDUP(Y445/H445,0)*0.00902),"")</f>
        <v>0.10824</v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80.616666666666674</v>
      </c>
      <c r="BN445" s="64">
        <f>IFERROR(Y445*I445/H445,"0")</f>
        <v>82.92</v>
      </c>
      <c r="BO445" s="64">
        <f>IFERROR(1/J445*(X445/H445),"0")</f>
        <v>8.8383838383838398E-2</v>
      </c>
      <c r="BP445" s="64">
        <f>IFERROR(1/J445*(Y445/H445),"0")</f>
        <v>9.0909090909090912E-2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7" t="s">
        <v>75</v>
      </c>
      <c r="Q446" s="568"/>
      <c r="R446" s="568"/>
      <c r="S446" s="568"/>
      <c r="T446" s="568"/>
      <c r="U446" s="568"/>
      <c r="V446" s="569"/>
      <c r="W446" s="37" t="s">
        <v>76</v>
      </c>
      <c r="X446" s="551">
        <f>IFERROR(X443/H443,"0")+IFERROR(X444/H444,"0")+IFERROR(X445/H445,"0")</f>
        <v>18.863636363636363</v>
      </c>
      <c r="Y446" s="551">
        <f>IFERROR(Y443/H443,"0")+IFERROR(Y444/H444,"0")+IFERROR(Y445/H445,"0")</f>
        <v>20</v>
      </c>
      <c r="Z446" s="551">
        <f>IFERROR(IF(Z443="",0,Z443),"0")+IFERROR(IF(Z444="",0,Z444),"0")+IFERROR(IF(Z445="",0,Z445),"0")</f>
        <v>0.20391999999999999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7" t="s">
        <v>75</v>
      </c>
      <c r="Q447" s="568"/>
      <c r="R447" s="568"/>
      <c r="S447" s="568"/>
      <c r="T447" s="568"/>
      <c r="U447" s="568"/>
      <c r="V447" s="569"/>
      <c r="W447" s="37" t="s">
        <v>69</v>
      </c>
      <c r="X447" s="551">
        <f>IFERROR(SUM(X443:X445),"0")</f>
        <v>94</v>
      </c>
      <c r="Y447" s="551">
        <f>IFERROR(SUM(Y443:Y445),"0")</f>
        <v>99.84</v>
      </c>
      <c r="Z447" s="37"/>
      <c r="AA447" s="552"/>
      <c r="AB447" s="552"/>
      <c r="AC447" s="552"/>
    </row>
    <row r="448" spans="1:68" ht="14.25" customHeight="1" x14ac:dyDescent="0.25">
      <c r="A448" s="564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37</v>
      </c>
      <c r="Y449" s="550">
        <f t="shared" ref="Y449:Y454" si="53">IFERROR(IF(X449="",0,CEILING((X449/$H449),1)*$H449),"")</f>
        <v>42.24</v>
      </c>
      <c r="Z449" s="36">
        <f>IFERROR(IF(Y449=0,"",ROUNDUP(Y449/H449,0)*0.01196),"")</f>
        <v>9.5680000000000001E-2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39.452651515151516</v>
      </c>
      <c r="BN449" s="64">
        <f t="shared" ref="BN449:BN454" si="55">IFERROR(Y449*I449/H449,"0")</f>
        <v>45.04</v>
      </c>
      <c r="BO449" s="64">
        <f t="shared" ref="BO449:BO454" si="56">IFERROR(1/J449*(X449/H449),"0")</f>
        <v>6.7380536130536128E-2</v>
      </c>
      <c r="BP449" s="64">
        <f t="shared" ref="BP449:BP454" si="57">IFERROR(1/J449*(Y449/H449),"0")</f>
        <v>7.6923076923076927E-2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0</v>
      </c>
      <c r="Y450" s="550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9</v>
      </c>
      <c r="Y451" s="550">
        <f t="shared" si="53"/>
        <v>10.56</v>
      </c>
      <c r="Z451" s="36">
        <f>IFERROR(IF(Y451=0,"",ROUNDUP(Y451/H451,0)*0.01196),"")</f>
        <v>2.392E-2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9.5965909090909083</v>
      </c>
      <c r="BN451" s="64">
        <f t="shared" si="55"/>
        <v>11.26</v>
      </c>
      <c r="BO451" s="64">
        <f t="shared" si="56"/>
        <v>1.638986013986014E-2</v>
      </c>
      <c r="BP451" s="64">
        <f t="shared" si="57"/>
        <v>1.9230769230769232E-2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5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7" t="s">
        <v>75</v>
      </c>
      <c r="Q455" s="568"/>
      <c r="R455" s="568"/>
      <c r="S455" s="568"/>
      <c r="T455" s="568"/>
      <c r="U455" s="568"/>
      <c r="V455" s="569"/>
      <c r="W455" s="37" t="s">
        <v>76</v>
      </c>
      <c r="X455" s="551">
        <f>IFERROR(X449/H449,"0")+IFERROR(X450/H450,"0")+IFERROR(X451/H451,"0")+IFERROR(X452/H452,"0")+IFERROR(X453/H453,"0")+IFERROR(X454/H454,"0")</f>
        <v>8.712121212121211</v>
      </c>
      <c r="Y455" s="551">
        <f>IFERROR(Y449/H449,"0")+IFERROR(Y450/H450,"0")+IFERROR(Y451/H451,"0")+IFERROR(Y452/H452,"0")+IFERROR(Y453/H453,"0")+IFERROR(Y454/H454,"0")</f>
        <v>10</v>
      </c>
      <c r="Z455" s="551">
        <f>IFERROR(IF(Z449="",0,Z449),"0")+IFERROR(IF(Z450="",0,Z450),"0")+IFERROR(IF(Z451="",0,Z451),"0")+IFERROR(IF(Z452="",0,Z452),"0")+IFERROR(IF(Z453="",0,Z453),"0")+IFERROR(IF(Z454="",0,Z454),"0")</f>
        <v>0.1196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7" t="s">
        <v>75</v>
      </c>
      <c r="Q456" s="568"/>
      <c r="R456" s="568"/>
      <c r="S456" s="568"/>
      <c r="T456" s="568"/>
      <c r="U456" s="568"/>
      <c r="V456" s="569"/>
      <c r="W456" s="37" t="s">
        <v>69</v>
      </c>
      <c r="X456" s="551">
        <f>IFERROR(SUM(X449:X454),"0")</f>
        <v>46</v>
      </c>
      <c r="Y456" s="551">
        <f>IFERROR(SUM(Y449:Y454),"0")</f>
        <v>52.800000000000004</v>
      </c>
      <c r="Z456" s="37"/>
      <c r="AA456" s="552"/>
      <c r="AB456" s="552"/>
      <c r="AC456" s="552"/>
    </row>
    <row r="457" spans="1:68" ht="14.25" customHeight="1" x14ac:dyDescent="0.25">
      <c r="A457" s="564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7" t="s">
        <v>75</v>
      </c>
      <c r="Q459" s="568"/>
      <c r="R459" s="568"/>
      <c r="S459" s="568"/>
      <c r="T459" s="568"/>
      <c r="U459" s="568"/>
      <c r="V459" s="569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7" t="s">
        <v>75</v>
      </c>
      <c r="Q460" s="568"/>
      <c r="R460" s="568"/>
      <c r="S460" s="568"/>
      <c r="T460" s="568"/>
      <c r="U460" s="568"/>
      <c r="V460" s="569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668" t="s">
        <v>713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48"/>
      <c r="AB461" s="48"/>
      <c r="AC461" s="48"/>
    </row>
    <row r="462" spans="1:68" ht="16.5" customHeight="1" x14ac:dyDescent="0.25">
      <c r="A462" s="570" t="s">
        <v>713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4" t="s">
        <v>99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1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4" t="s">
        <v>134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7" t="s">
        <v>75</v>
      </c>
      <c r="Q473" s="568"/>
      <c r="R473" s="568"/>
      <c r="S473" s="568"/>
      <c r="T473" s="568"/>
      <c r="U473" s="568"/>
      <c r="V473" s="569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7" t="s">
        <v>75</v>
      </c>
      <c r="Q474" s="568"/>
      <c r="R474" s="568"/>
      <c r="S474" s="568"/>
      <c r="T474" s="568"/>
      <c r="U474" s="568"/>
      <c r="V474" s="569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4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7" t="s">
        <v>75</v>
      </c>
      <c r="Q477" s="568"/>
      <c r="R477" s="568"/>
      <c r="S477" s="568"/>
      <c r="T477" s="568"/>
      <c r="U477" s="568"/>
      <c r="V477" s="569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7" t="s">
        <v>75</v>
      </c>
      <c r="Q478" s="568"/>
      <c r="R478" s="568"/>
      <c r="S478" s="568"/>
      <c r="T478" s="568"/>
      <c r="U478" s="568"/>
      <c r="V478" s="569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4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83</v>
      </c>
      <c r="Y480" s="550">
        <f>IFERROR(IF(X480="",0,CEILING((X480/$H480),1)*$H480),"")</f>
        <v>90</v>
      </c>
      <c r="Z480" s="36">
        <f>IFERROR(IF(Y480=0,"",ROUNDUP(Y480/H480,0)*0.01898),"")</f>
        <v>0.1898</v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87.555777777777777</v>
      </c>
      <c r="BN480" s="64">
        <f>IFERROR(Y480*I480/H480,"0")</f>
        <v>94.94</v>
      </c>
      <c r="BO480" s="64">
        <f>IFERROR(1/J480*(X480/H480),"0")</f>
        <v>0.14409722222222221</v>
      </c>
      <c r="BP480" s="64">
        <f>IFERROR(1/J480*(Y480/H480),"0")</f>
        <v>0.15625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51">
        <f>IFERROR(X480/H480,"0")</f>
        <v>9.2222222222222214</v>
      </c>
      <c r="Y481" s="551">
        <f>IFERROR(Y480/H480,"0")</f>
        <v>10</v>
      </c>
      <c r="Z481" s="551">
        <f>IFERROR(IF(Z480="",0,Z480),"0")</f>
        <v>0.1898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51">
        <f>IFERROR(SUM(X480:X480),"0")</f>
        <v>83</v>
      </c>
      <c r="Y482" s="551">
        <f>IFERROR(SUM(Y480:Y480),"0")</f>
        <v>90</v>
      </c>
      <c r="Z482" s="37"/>
      <c r="AA482" s="552"/>
      <c r="AB482" s="552"/>
      <c r="AC482" s="552"/>
    </row>
    <row r="483" spans="1:68" ht="14.25" customHeight="1" x14ac:dyDescent="0.25">
      <c r="A483" s="564" t="s">
        <v>159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0" t="s">
        <v>743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4" t="s">
        <v>134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8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7" t="s">
        <v>75</v>
      </c>
      <c r="Q491" s="568"/>
      <c r="R491" s="568"/>
      <c r="S491" s="568"/>
      <c r="T491" s="568"/>
      <c r="U491" s="568"/>
      <c r="V491" s="569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7" t="s">
        <v>75</v>
      </c>
      <c r="Q492" s="568"/>
      <c r="R492" s="568"/>
      <c r="S492" s="568"/>
      <c r="T492" s="568"/>
      <c r="U492" s="568"/>
      <c r="V492" s="569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4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19"/>
      <c r="P493" s="713" t="s">
        <v>747</v>
      </c>
      <c r="Q493" s="675"/>
      <c r="R493" s="675"/>
      <c r="S493" s="675"/>
      <c r="T493" s="675"/>
      <c r="U493" s="675"/>
      <c r="V493" s="676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3462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3575.6900000000005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19"/>
      <c r="P494" s="713" t="s">
        <v>748</v>
      </c>
      <c r="Q494" s="675"/>
      <c r="R494" s="675"/>
      <c r="S494" s="675"/>
      <c r="T494" s="675"/>
      <c r="U494" s="675"/>
      <c r="V494" s="676"/>
      <c r="W494" s="37" t="s">
        <v>69</v>
      </c>
      <c r="X494" s="551">
        <f>IFERROR(SUM(BM22:BM490),"0")</f>
        <v>3705.0438634689563</v>
      </c>
      <c r="Y494" s="551">
        <f>IFERROR(SUM(BN22:BN490),"0")</f>
        <v>3826.3030000000008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19"/>
      <c r="P495" s="713" t="s">
        <v>749</v>
      </c>
      <c r="Q495" s="675"/>
      <c r="R495" s="675"/>
      <c r="S495" s="675"/>
      <c r="T495" s="675"/>
      <c r="U495" s="675"/>
      <c r="V495" s="676"/>
      <c r="W495" s="37" t="s">
        <v>750</v>
      </c>
      <c r="X495" s="38">
        <f>ROUNDUP(SUM(BO22:BO490),0)</f>
        <v>7</v>
      </c>
      <c r="Y495" s="38">
        <f>ROUNDUP(SUM(BP22:BP490),0)</f>
        <v>7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19"/>
      <c r="P496" s="713" t="s">
        <v>751</v>
      </c>
      <c r="Q496" s="675"/>
      <c r="R496" s="675"/>
      <c r="S496" s="675"/>
      <c r="T496" s="675"/>
      <c r="U496" s="675"/>
      <c r="V496" s="676"/>
      <c r="W496" s="37" t="s">
        <v>69</v>
      </c>
      <c r="X496" s="551">
        <f>GrossWeightTotal+PalletQtyTotal*25</f>
        <v>3880.0438634689563</v>
      </c>
      <c r="Y496" s="551">
        <f>GrossWeightTotalR+PalletQtyTotalR*25</f>
        <v>4001.3030000000008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19"/>
      <c r="P497" s="713" t="s">
        <v>752</v>
      </c>
      <c r="Q497" s="675"/>
      <c r="R497" s="675"/>
      <c r="S497" s="675"/>
      <c r="T497" s="675"/>
      <c r="U497" s="675"/>
      <c r="V497" s="676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661.4268326263425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680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19"/>
      <c r="P498" s="713" t="s">
        <v>753</v>
      </c>
      <c r="Q498" s="675"/>
      <c r="R498" s="675"/>
      <c r="S498" s="675"/>
      <c r="T498" s="675"/>
      <c r="U498" s="675"/>
      <c r="V498" s="676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7.2998099999999999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89" t="s">
        <v>97</v>
      </c>
      <c r="D500" s="741"/>
      <c r="E500" s="741"/>
      <c r="F500" s="741"/>
      <c r="G500" s="741"/>
      <c r="H500" s="742"/>
      <c r="I500" s="589" t="s">
        <v>266</v>
      </c>
      <c r="J500" s="741"/>
      <c r="K500" s="741"/>
      <c r="L500" s="741"/>
      <c r="M500" s="741"/>
      <c r="N500" s="741"/>
      <c r="O500" s="741"/>
      <c r="P500" s="741"/>
      <c r="Q500" s="741"/>
      <c r="R500" s="742"/>
      <c r="S500" s="589" t="s">
        <v>553</v>
      </c>
      <c r="T500" s="742"/>
      <c r="U500" s="589" t="s">
        <v>607</v>
      </c>
      <c r="V500" s="741"/>
      <c r="W500" s="742"/>
      <c r="X500" s="546" t="s">
        <v>658</v>
      </c>
      <c r="Y500" s="589" t="s">
        <v>713</v>
      </c>
      <c r="Z500" s="742"/>
      <c r="AB500" s="52"/>
      <c r="AC500" s="52"/>
      <c r="AF500" s="547"/>
    </row>
    <row r="501" spans="1:32" ht="14.25" customHeight="1" thickTop="1" x14ac:dyDescent="0.2">
      <c r="A501" s="794" t="s">
        <v>756</v>
      </c>
      <c r="B501" s="589" t="s">
        <v>63</v>
      </c>
      <c r="C501" s="589" t="s">
        <v>98</v>
      </c>
      <c r="D501" s="589" t="s">
        <v>115</v>
      </c>
      <c r="E501" s="589" t="s">
        <v>166</v>
      </c>
      <c r="F501" s="589" t="s">
        <v>188</v>
      </c>
      <c r="G501" s="589" t="s">
        <v>227</v>
      </c>
      <c r="H501" s="589" t="s">
        <v>97</v>
      </c>
      <c r="I501" s="589" t="s">
        <v>267</v>
      </c>
      <c r="J501" s="589" t="s">
        <v>322</v>
      </c>
      <c r="K501" s="589" t="s">
        <v>382</v>
      </c>
      <c r="L501" s="589" t="s">
        <v>423</v>
      </c>
      <c r="M501" s="589" t="s">
        <v>439</v>
      </c>
      <c r="N501" s="547"/>
      <c r="O501" s="589" t="s">
        <v>450</v>
      </c>
      <c r="P501" s="589" t="s">
        <v>459</v>
      </c>
      <c r="Q501" s="589" t="s">
        <v>472</v>
      </c>
      <c r="R501" s="589" t="s">
        <v>543</v>
      </c>
      <c r="S501" s="589" t="s">
        <v>554</v>
      </c>
      <c r="T501" s="589" t="s">
        <v>589</v>
      </c>
      <c r="U501" s="589" t="s">
        <v>608</v>
      </c>
      <c r="V501" s="589" t="s">
        <v>639</v>
      </c>
      <c r="W501" s="589" t="s">
        <v>654</v>
      </c>
      <c r="X501" s="589" t="s">
        <v>658</v>
      </c>
      <c r="Y501" s="589" t="s">
        <v>713</v>
      </c>
      <c r="Z501" s="589" t="s">
        <v>743</v>
      </c>
      <c r="AB501" s="52"/>
      <c r="AC501" s="52"/>
      <c r="AF501" s="547"/>
    </row>
    <row r="502" spans="1:32" ht="13.5" customHeight="1" thickBot="1" x14ac:dyDescent="0.25">
      <c r="A502" s="795"/>
      <c r="B502" s="590"/>
      <c r="C502" s="590"/>
      <c r="D502" s="590"/>
      <c r="E502" s="590"/>
      <c r="F502" s="590"/>
      <c r="G502" s="590"/>
      <c r="H502" s="590"/>
      <c r="I502" s="590"/>
      <c r="J502" s="590"/>
      <c r="K502" s="590"/>
      <c r="L502" s="590"/>
      <c r="M502" s="590"/>
      <c r="N502" s="547"/>
      <c r="O502" s="590"/>
      <c r="P502" s="590"/>
      <c r="Q502" s="590"/>
      <c r="R502" s="590"/>
      <c r="S502" s="590"/>
      <c r="T502" s="590"/>
      <c r="U502" s="590"/>
      <c r="V502" s="590"/>
      <c r="W502" s="590"/>
      <c r="X502" s="590"/>
      <c r="Y502" s="590"/>
      <c r="Z502" s="590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64.800000000000011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46">
        <f>IFERROR(Y84*1,"0")+IFERROR(Y85*1,"0")+IFERROR(Y86*1,"0")+IFERROR(Y87*1,"0")+IFERROR(Y91*1,"0")+IFERROR(Y92*1,"0")+IFERROR(Y93*1,"0")+IFERROR(Y94*1,"0")</f>
        <v>396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180.9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237.95999999999998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561.29999999999995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1.98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0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102.95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1095</v>
      </c>
      <c r="T503" s="46">
        <f>IFERROR(Y374*1,"0")+IFERROR(Y375*1,"0")+IFERROR(Y379*1,"0")+IFERROR(Y380*1,"0")+IFERROR(Y384*1,"0")+IFERROR(Y385*1,"0")+IFERROR(Y386*1,"0")</f>
        <v>571.20000000000005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273.60000000000002</v>
      </c>
      <c r="Y503" s="46">
        <f>IFERROR(Y464*1,"0")+IFERROR(Y465*1,"0")+IFERROR(Y466*1,"0")+IFERROR(Y467*1,"0")+IFERROR(Y471*1,"0")+IFERROR(Y472*1,"0")+IFERROR(Y476*1,"0")+IFERROR(Y480*1,"0")+IFERROR(Y484*1,"0")+IFERROR(Y485*1,"0")</f>
        <v>90</v>
      </c>
      <c r="Z503" s="46">
        <f>IFERROR(Y490*1,"0")</f>
        <v>0</v>
      </c>
      <c r="AB503" s="52"/>
      <c r="AC503" s="52"/>
      <c r="AF503" s="547"/>
    </row>
  </sheetData>
  <sheetProtection algorithmName="SHA-512" hashValue="iF9lin2EPXz2mpbQKaSOjZpd0ur942m3fy5zfALFXtYx2YetMSq480SNDFC7nX8uqqbShVSFu1po80ae6q3ZoQ==" saltValue="92nWDMT3nFogACDAvCnsb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492:V492"/>
    <mergeCell ref="P63:V63"/>
    <mergeCell ref="P415:T41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449:E449"/>
    <mergeCell ref="D321:E321"/>
    <mergeCell ref="D150:E150"/>
    <mergeCell ref="P129:V129"/>
    <mergeCell ref="P107:T107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P474:V474"/>
    <mergeCell ref="A155:Z15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D149:E149"/>
    <mergeCell ref="Y500:Z500"/>
    <mergeCell ref="D385:E385"/>
    <mergeCell ref="P301:T301"/>
    <mergeCell ref="P178:T178"/>
    <mergeCell ref="D257:E257"/>
    <mergeCell ref="D86:E86"/>
    <mergeCell ref="D384:E384"/>
    <mergeCell ref="P341:T341"/>
    <mergeCell ref="A457:Z457"/>
    <mergeCell ref="A387:O388"/>
    <mergeCell ref="D151:E151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6:W9"/>
    <mergeCell ref="D199:E199"/>
    <mergeCell ref="D364:E364"/>
    <mergeCell ref="P109:T109"/>
    <mergeCell ref="D435:E435"/>
    <mergeCell ref="P274:T274"/>
    <mergeCell ref="A59:Z59"/>
    <mergeCell ref="D217:E217"/>
    <mergeCell ref="D484:E484"/>
    <mergeCell ref="P84:T84"/>
    <mergeCell ref="P222:T222"/>
    <mergeCell ref="P22:T22"/>
    <mergeCell ref="P314:T314"/>
    <mergeCell ref="D428:E428"/>
    <mergeCell ref="P40:T40"/>
    <mergeCell ref="D415:E415"/>
    <mergeCell ref="A455:O456"/>
    <mergeCell ref="P257:T257"/>
    <mergeCell ref="A346:Z346"/>
    <mergeCell ref="D194:E194"/>
    <mergeCell ref="Z17:Z18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D314:E314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P156:T156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D51:E51"/>
    <mergeCell ref="P235:T235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A82:Z82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D62:E62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P447:V44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A275:O276"/>
    <mergeCell ref="P219:T219"/>
    <mergeCell ref="D162:E162"/>
    <mergeCell ref="P501:P502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A418:O419"/>
    <mergeCell ref="P186:V186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P367:V367"/>
    <mergeCell ref="A122:O123"/>
    <mergeCell ref="D52:E52"/>
    <mergeCell ref="D27:E27"/>
    <mergeCell ref="P15:T16"/>
    <mergeCell ref="P23:T23"/>
    <mergeCell ref="P272:T272"/>
    <mergeCell ref="D327:E327"/>
    <mergeCell ref="P480:T480"/>
    <mergeCell ref="P280:T280"/>
    <mergeCell ref="Q12:R12"/>
    <mergeCell ref="P169:T169"/>
    <mergeCell ref="P467:T467"/>
    <mergeCell ref="A68:O69"/>
    <mergeCell ref="P196:V196"/>
    <mergeCell ref="A43:O44"/>
    <mergeCell ref="P133:V133"/>
    <mergeCell ref="P210:T210"/>
    <mergeCell ref="D398:E398"/>
    <mergeCell ref="D454:E454"/>
    <mergeCell ref="A267:O268"/>
    <mergeCell ref="P308:T308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J9:M9"/>
    <mergeCell ref="P429:T429"/>
    <mergeCell ref="A111:O112"/>
    <mergeCell ref="D369:E369"/>
    <mergeCell ref="P223:T223"/>
    <mergeCell ref="P52:T52"/>
    <mergeCell ref="P350:T350"/>
    <mergeCell ref="P201:V201"/>
    <mergeCell ref="P139:V139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P466:T466"/>
    <mergeCell ref="D1:F1"/>
    <mergeCell ref="A313:Z313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A165:Z165"/>
    <mergeCell ref="D334:E334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D329:E329"/>
    <mergeCell ref="P286:T286"/>
    <mergeCell ref="D400:E400"/>
    <mergeCell ref="D301:E301"/>
    <mergeCell ref="D245:E245"/>
    <mergeCell ref="A423:O424"/>
    <mergeCell ref="P116:T116"/>
    <mergeCell ref="P103:T103"/>
    <mergeCell ref="A26:Z26"/>
    <mergeCell ref="D211:E211"/>
    <mergeCell ref="P168:T168"/>
    <mergeCell ref="P190:V190"/>
    <mergeCell ref="P131:T131"/>
    <mergeCell ref="D108:E108"/>
    <mergeCell ref="D375:E375"/>
    <mergeCell ref="P34:T34"/>
    <mergeCell ref="P101:T101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P273:T273"/>
    <mergeCell ref="D443:E443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A226:Z226"/>
    <mergeCell ref="P329:T329"/>
    <mergeCell ref="P180:V180"/>
    <mergeCell ref="P251:V251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458:T458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V10:W1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P86:T86"/>
    <mergeCell ref="P328:T328"/>
    <mergeCell ref="P384:T384"/>
    <mergeCell ref="D78:E78"/>
    <mergeCell ref="A378:Z378"/>
    <mergeCell ref="D205:E205"/>
    <mergeCell ref="P79:T79"/>
    <mergeCell ref="D60:E60"/>
    <mergeCell ref="P73:T73"/>
    <mergeCell ref="P437:T437"/>
    <mergeCell ref="P315:T315"/>
    <mergeCell ref="A361:O362"/>
    <mergeCell ref="A190:O191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P443:T443"/>
    <mergeCell ref="P166:T166"/>
    <mergeCell ref="P464:T464"/>
    <mergeCell ref="D147:E147"/>
    <mergeCell ref="D445:E445"/>
    <mergeCell ref="D274:E27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4 X91 X99 X102 X114 X116 X166 X168 X170 X204:X205 X207 X218 X220:X223 X280:X281 X322 X349:X350 X352 X359 X384 X392 X414 X432 X434 X443 X449:X451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QSIt3rAF6B9sjUpgj3QNyfQ1rmfSEmxtu5wR4VXbyO+3AK8HKnmghAz3zNxmYWyV08Jk0V5BcXtsAOV5VjSD3g==" saltValue="xDnndXMXPJUuHj0vcb4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2026-01-16T07:55:55Z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