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A581F1B-203C-43D4-B4D6-1E11C56706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75" i="1" l="1"/>
  <c r="Z406" i="1"/>
  <c r="Z19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Z376" i="1"/>
  <c r="H503" i="1"/>
  <c r="H9" i="1"/>
  <c r="B503" i="1"/>
  <c r="X494" i="1"/>
  <c r="X496" i="1" s="1"/>
  <c r="X495" i="1"/>
  <c r="Z23" i="1"/>
  <c r="Z24" i="1" s="1"/>
  <c r="BN23" i="1"/>
  <c r="Y24" i="1"/>
  <c r="X493" i="1"/>
  <c r="Z27" i="1"/>
  <c r="Z31" i="1" s="1"/>
  <c r="BN27" i="1"/>
  <c r="BP27" i="1"/>
  <c r="Y495" i="1" s="1"/>
  <c r="Z29" i="1"/>
  <c r="BN29" i="1"/>
  <c r="Y494" i="1" s="1"/>
  <c r="Y496" i="1" s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Z224" i="1" s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Z267" i="1" s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Z288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18" i="1" l="1"/>
  <c r="Z242" i="1"/>
  <c r="Y497" i="1"/>
  <c r="Z275" i="1"/>
  <c r="Z258" i="1"/>
  <c r="Z318" i="1"/>
  <c r="Z180" i="1"/>
  <c r="Z455" i="1"/>
  <c r="Z337" i="1"/>
  <c r="Z118" i="1"/>
  <c r="Z63" i="1"/>
  <c r="Z498" i="1" s="1"/>
  <c r="Y493" i="1"/>
</calcChain>
</file>

<file path=xl/sharedStrings.xml><?xml version="1.0" encoding="utf-8"?>
<sst xmlns="http://schemas.openxmlformats.org/spreadsheetml/2006/main" count="2338" uniqueCount="773">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</sst>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126</v>
      </c>
      <c r="Y40" s="550">
        <f>IFERROR(IF(X40="",0,CEILING((X40/$H40),1)*$H40),"")</f>
        <v>129.60000000000002</v>
      </c>
      <c r="Z40" s="36">
        <f>IFERROR(IF(Y40=0,"",ROUNDUP(Y40/H40,0)*0.01898),"")</f>
        <v>0.22776000000000002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130.78333333333333</v>
      </c>
      <c r="BN40" s="64">
        <f>IFERROR(Y40*I40/H40,"0")</f>
        <v>134.52000000000001</v>
      </c>
      <c r="BO40" s="64">
        <f>IFERROR(1/J40*(X40/H40),"0")</f>
        <v>0.18229166666666666</v>
      </c>
      <c r="BP40" s="64">
        <f>IFERROR(1/J40*(Y40/H40),"0")</f>
        <v>0.18750000000000003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11.666666666666666</v>
      </c>
      <c r="Y43" s="551">
        <f>IFERROR(Y40/H40,"0")+IFERROR(Y41/H41,"0")+IFERROR(Y42/H42,"0")</f>
        <v>12.000000000000002</v>
      </c>
      <c r="Z43" s="551">
        <f>IFERROR(IF(Z40="",0,Z40),"0")+IFERROR(IF(Z41="",0,Z41),"0")+IFERROR(IF(Z42="",0,Z42),"0")</f>
        <v>0.22776000000000002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126</v>
      </c>
      <c r="Y44" s="551">
        <f>IFERROR(SUM(Y40:Y42),"0")</f>
        <v>129.60000000000002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34</v>
      </c>
      <c r="Y60" s="55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35.290740740740745</v>
      </c>
      <c r="BN60" s="64">
        <f>IFERROR(Y60*I60/H60,"0")</f>
        <v>44.84</v>
      </c>
      <c r="BO60" s="64">
        <f>IFERROR(1/J60*(X60/H60),"0")</f>
        <v>4.9189814814814811E-2</v>
      </c>
      <c r="BP60" s="64">
        <f>IFERROR(1/J60*(Y60/H60),"0")</f>
        <v>6.25E-2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3.1481481481481479</v>
      </c>
      <c r="Y63" s="551">
        <f>IFERROR(Y60/H60,"0")+IFERROR(Y61/H61,"0")+IFERROR(Y62/H62,"0")</f>
        <v>4</v>
      </c>
      <c r="Z63" s="551">
        <f>IFERROR(IF(Z60="",0,Z60),"0")+IFERROR(IF(Z61="",0,Z61),"0")+IFERROR(IF(Z62="",0,Z62),"0")</f>
        <v>7.5920000000000001E-2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34</v>
      </c>
      <c r="Y64" s="551">
        <f>IFERROR(SUM(Y60:Y62),"0")</f>
        <v>43.2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95</v>
      </c>
      <c r="Y78" s="550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99.993589743589752</v>
      </c>
      <c r="BN78" s="64">
        <f>IFERROR(Y78*I78/H78,"0")</f>
        <v>106.73</v>
      </c>
      <c r="BO78" s="64">
        <f>IFERROR(1/J78*(X78/H78),"0")</f>
        <v>0.1903044871794872</v>
      </c>
      <c r="BP78" s="64">
        <f>IFERROR(1/J78*(Y78/H78),"0")</f>
        <v>0.203125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12.179487179487181</v>
      </c>
      <c r="Y80" s="551">
        <f>IFERROR(Y78/H78,"0")+IFERROR(Y79/H79,"0")</f>
        <v>13</v>
      </c>
      <c r="Z80" s="551">
        <f>IFERROR(IF(Z78="",0,Z78),"0")+IFERROR(IF(Z79="",0,Z79),"0")</f>
        <v>0.24674000000000001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95</v>
      </c>
      <c r="Y81" s="551">
        <f>IFERROR(SUM(Y78:Y79),"0")</f>
        <v>101.39999999999999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108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112.1</v>
      </c>
      <c r="BN84" s="64">
        <f>IFERROR(Y84*I84/H84,"0")</f>
        <v>112.1</v>
      </c>
      <c r="BO84" s="64">
        <f>IFERROR(1/J84*(X84/H84),"0")</f>
        <v>0.15625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10</v>
      </c>
      <c r="Y88" s="551">
        <f>IFERROR(Y84/H84,"0")+IFERROR(Y85/H85,"0")+IFERROR(Y86/H86,"0")+IFERROR(Y87/H87,"0")</f>
        <v>10</v>
      </c>
      <c r="Z88" s="551">
        <f>IFERROR(IF(Z84="",0,Z84),"0")+IFERROR(IF(Z85="",0,Z85),"0")+IFERROR(IF(Z86="",0,Z86),"0")+IFERROR(IF(Z87="",0,Z87),"0")</f>
        <v>0.1898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108</v>
      </c>
      <c r="Y89" s="551">
        <f>IFERROR(SUM(Y84:Y87),"0")</f>
        <v>108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220</v>
      </c>
      <c r="Y91" s="550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233.41728395061727</v>
      </c>
      <c r="BN91" s="64">
        <f>IFERROR(Y91*I91/H91,"0")</f>
        <v>240.63199999999998</v>
      </c>
      <c r="BO91" s="64">
        <f>IFERROR(1/J91*(X91/H91),"0")</f>
        <v>0.42438271604938271</v>
      </c>
      <c r="BP91" s="64">
        <f>IFERROR(1/J91*(Y91/H91),"0")</f>
        <v>0.4375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27.160493827160494</v>
      </c>
      <c r="Y95" s="551">
        <f>IFERROR(Y91/H91,"0")+IFERROR(Y92/H92,"0")+IFERROR(Y93/H93,"0")+IFERROR(Y94/H94,"0")</f>
        <v>28</v>
      </c>
      <c r="Z95" s="551">
        <f>IFERROR(IF(Z91="",0,Z91),"0")+IFERROR(IF(Z92="",0,Z92),"0")+IFERROR(IF(Z93="",0,Z93),"0")+IFERROR(IF(Z94="",0,Z94),"0")</f>
        <v>0.53144000000000002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220</v>
      </c>
      <c r="Y96" s="551">
        <f>IFERROR(SUM(Y91:Y94),"0")</f>
        <v>226.79999999999998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86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89.264814814814812</v>
      </c>
      <c r="BN99" s="64">
        <f>IFERROR(Y99*I99/H99,"0")</f>
        <v>89.68</v>
      </c>
      <c r="BO99" s="64">
        <f>IFERROR(1/J99*(X99/H99),"0")</f>
        <v>0.12442129629629629</v>
      </c>
      <c r="BP99" s="64">
        <f>IFERROR(1/J99*(Y99/H99),"0")</f>
        <v>0.125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7.9629629629629628</v>
      </c>
      <c r="Y104" s="551">
        <f>IFERROR(Y99/H99,"0")+IFERROR(Y100/H100,"0")+IFERROR(Y101/H101,"0")+IFERROR(Y102/H102,"0")+IFERROR(Y103/H103,"0")</f>
        <v>8</v>
      </c>
      <c r="Z104" s="551">
        <f>IFERROR(IF(Z99="",0,Z99),"0")+IFERROR(IF(Z100="",0,Z100),"0")+IFERROR(IF(Z101="",0,Z101),"0")+IFERROR(IF(Z102="",0,Z102),"0")+IFERROR(IF(Z103="",0,Z103),"0")</f>
        <v>0.15184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86</v>
      </c>
      <c r="Y105" s="551">
        <f>IFERROR(SUM(Y99:Y103),"0")</f>
        <v>86.4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110</v>
      </c>
      <c r="Y114" s="550">
        <f>IFERROR(IF(X114="",0,CEILING((X114/$H114),1)*$H114),"")</f>
        <v>113.39999999999999</v>
      </c>
      <c r="Z114" s="36">
        <f>IFERROR(IF(Y114=0,"",ROUNDUP(Y114/H114,0)*0.01898),"")</f>
        <v>0.26572000000000001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116.62716049382716</v>
      </c>
      <c r="BN114" s="64">
        <f>IFERROR(Y114*I114/H114,"0")</f>
        <v>120.23199999999999</v>
      </c>
      <c r="BO114" s="64">
        <f>IFERROR(1/J114*(X114/H114),"0")</f>
        <v>0.21219135802469136</v>
      </c>
      <c r="BP114" s="64">
        <f>IFERROR(1/J114*(Y114/H114),"0")</f>
        <v>0.21875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13.580246913580247</v>
      </c>
      <c r="Y118" s="551">
        <f>IFERROR(Y114/H114,"0")+IFERROR(Y115/H115,"0")+IFERROR(Y116/H116,"0")+IFERROR(Y117/H117,"0")</f>
        <v>14</v>
      </c>
      <c r="Z118" s="551">
        <f>IFERROR(IF(Z114="",0,Z114),"0")+IFERROR(IF(Z115="",0,Z115),"0")+IFERROR(IF(Z116="",0,Z116),"0")+IFERROR(IF(Z117="",0,Z117),"0")</f>
        <v>0.26572000000000001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110</v>
      </c>
      <c r="Y119" s="551">
        <f>IFERROR(SUM(Y114:Y117),"0")</f>
        <v>113.39999999999999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60</v>
      </c>
      <c r="Y168" s="550">
        <f t="shared" si="10"/>
        <v>63</v>
      </c>
      <c r="Z168" s="36">
        <f>IFERROR(IF(Y168=0,"",ROUNDUP(Y168/H168,0)*0.00902),"")</f>
        <v>0.1353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62.714285714285708</v>
      </c>
      <c r="BN168" s="64">
        <f t="shared" si="12"/>
        <v>65.849999999999994</v>
      </c>
      <c r="BO168" s="64">
        <f t="shared" si="13"/>
        <v>0.10822510822510822</v>
      </c>
      <c r="BP168" s="64">
        <f t="shared" si="14"/>
        <v>0.11363636363636365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10</v>
      </c>
      <c r="Y175" s="550">
        <f t="shared" si="10"/>
        <v>10.8</v>
      </c>
      <c r="Z175" s="36">
        <f>IFERROR(IF(Y175=0,"",ROUNDUP(Y175/H175,0)*0.00502),"")</f>
        <v>3.0120000000000001E-2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10.722222222222223</v>
      </c>
      <c r="BN175" s="64">
        <f t="shared" si="12"/>
        <v>11.58</v>
      </c>
      <c r="BO175" s="64">
        <f t="shared" si="13"/>
        <v>2.3741690408357077E-2</v>
      </c>
      <c r="BP175" s="64">
        <f t="shared" si="14"/>
        <v>2.5641025641025644E-2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6</v>
      </c>
      <c r="Y177" s="550">
        <f t="shared" si="10"/>
        <v>6.3000000000000007</v>
      </c>
      <c r="Z177" s="36">
        <f>IFERROR(IF(Y177=0,"",ROUNDUP(Y177/H177,0)*0.00502),"")</f>
        <v>1.506E-2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6.2857142857142856</v>
      </c>
      <c r="BN177" s="64">
        <f t="shared" si="12"/>
        <v>6.6000000000000014</v>
      </c>
      <c r="BO177" s="64">
        <f t="shared" si="13"/>
        <v>1.2210012210012212E-2</v>
      </c>
      <c r="BP177" s="64">
        <f t="shared" si="14"/>
        <v>1.2820512820512822E-2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34.603174603174601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0.28872000000000003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126</v>
      </c>
      <c r="Y181" s="551">
        <f>IFERROR(SUM(Y166:Y179),"0")</f>
        <v>130.5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1</v>
      </c>
      <c r="Y184" s="550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0.79365079365079361</v>
      </c>
      <c r="Y186" s="551">
        <f>IFERROR(Y183/H183,"0")+IFERROR(Y184/H184,"0")+IFERROR(Y185/H185,"0")</f>
        <v>1</v>
      </c>
      <c r="Z186" s="551">
        <f>IFERROR(IF(Z183="",0,Z183),"0")+IFERROR(IF(Z184="",0,Z184),"0")+IFERROR(IF(Z185="",0,Z185),"0")</f>
        <v>5.8999999999999999E-3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1</v>
      </c>
      <c r="Y187" s="551">
        <f>IFERROR(SUM(Y183:Y185),"0")</f>
        <v>1.26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3</v>
      </c>
      <c r="Y189" s="550">
        <f>IFERROR(IF(X189="",0,CEILING((X189/$H189),1)*$H189),"")</f>
        <v>3.7800000000000002</v>
      </c>
      <c r="Z189" s="36">
        <f>IFERROR(IF(Y189=0,"",ROUNDUP(Y189/H189,0)*0.0059),"")</f>
        <v>1.77E-2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3.4523809523809521</v>
      </c>
      <c r="BN189" s="64">
        <f>IFERROR(Y189*I189/H189,"0")</f>
        <v>4.3499999999999996</v>
      </c>
      <c r="BO189" s="64">
        <f>IFERROR(1/J189*(X189/H189),"0")</f>
        <v>1.1022927689594356E-2</v>
      </c>
      <c r="BP189" s="64">
        <f>IFERROR(1/J189*(Y189/H189),"0")</f>
        <v>1.3888888888888888E-2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2.3809523809523809</v>
      </c>
      <c r="Y190" s="551">
        <f>IFERROR(Y189/H189,"0")</f>
        <v>3</v>
      </c>
      <c r="Z190" s="551">
        <f>IFERROR(IF(Z189="",0,Z189),"0")</f>
        <v>1.77E-2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3</v>
      </c>
      <c r="Y191" s="551">
        <f>IFERROR(SUM(Y189:Y189),"0")</f>
        <v>3.7800000000000002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13</v>
      </c>
      <c r="Y205" s="550">
        <f t="shared" si="15"/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13.457407407407407</v>
      </c>
      <c r="BN205" s="64">
        <f t="shared" si="17"/>
        <v>16.77</v>
      </c>
      <c r="BO205" s="64">
        <f t="shared" si="18"/>
        <v>1.8237934904601572E-2</v>
      </c>
      <c r="BP205" s="64">
        <f t="shared" si="19"/>
        <v>2.2727272727272731E-2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56</v>
      </c>
      <c r="Y207" s="550">
        <f t="shared" si="15"/>
        <v>59.400000000000006</v>
      </c>
      <c r="Z207" s="36">
        <f>IFERROR(IF(Y207=0,"",ROUNDUP(Y207/H207,0)*0.00902),"")</f>
        <v>9.9220000000000003E-2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57.970370370370361</v>
      </c>
      <c r="BN207" s="64">
        <f t="shared" si="17"/>
        <v>61.49</v>
      </c>
      <c r="BO207" s="64">
        <f t="shared" si="18"/>
        <v>7.8563411896745233E-2</v>
      </c>
      <c r="BP207" s="64">
        <f t="shared" si="19"/>
        <v>8.3333333333333343E-2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20</v>
      </c>
      <c r="Y208" s="550">
        <f t="shared" si="15"/>
        <v>21.6</v>
      </c>
      <c r="Z208" s="36">
        <f>IFERROR(IF(Y208=0,"",ROUNDUP(Y208/H208,0)*0.00502),"")</f>
        <v>6.0240000000000002E-2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21.444444444444446</v>
      </c>
      <c r="BN208" s="64">
        <f t="shared" si="17"/>
        <v>23.16</v>
      </c>
      <c r="BO208" s="64">
        <f t="shared" si="18"/>
        <v>4.7483380816714153E-2</v>
      </c>
      <c r="BP208" s="64">
        <f t="shared" si="19"/>
        <v>5.1282051282051287E-2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19</v>
      </c>
      <c r="Y211" s="550">
        <f t="shared" si="15"/>
        <v>19.8</v>
      </c>
      <c r="Z211" s="36">
        <f>IFERROR(IF(Y211=0,"",ROUNDUP(Y211/H211,0)*0.00502),"")</f>
        <v>5.5220000000000005E-2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20.055555555555557</v>
      </c>
      <c r="BN211" s="64">
        <f t="shared" si="17"/>
        <v>20.9</v>
      </c>
      <c r="BO211" s="64">
        <f t="shared" si="18"/>
        <v>4.5109211775878448E-2</v>
      </c>
      <c r="BP211" s="64">
        <f t="shared" si="19"/>
        <v>4.7008547008547015E-2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34.444444444444443</v>
      </c>
      <c r="Y212" s="551">
        <f>IFERROR(Y204/H204,"0")+IFERROR(Y205/H205,"0")+IFERROR(Y206/H206,"0")+IFERROR(Y207/H207,"0")+IFERROR(Y208/H208,"0")+IFERROR(Y209/H209,"0")+IFERROR(Y210/H210,"0")+IFERROR(Y211/H211,"0")</f>
        <v>37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0.24174000000000001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108</v>
      </c>
      <c r="Y213" s="551">
        <f>IFERROR(SUM(Y204:Y211),"0")</f>
        <v>117.00000000000001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26</v>
      </c>
      <c r="Y215" s="550">
        <f t="shared" ref="Y215:Y223" si="20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27.585679012345679</v>
      </c>
      <c r="BN215" s="64">
        <f t="shared" ref="BN215:BN223" si="22">IFERROR(Y215*I215/H215,"0")</f>
        <v>34.375999999999998</v>
      </c>
      <c r="BO215" s="64">
        <f t="shared" ref="BO215:BO223" si="23">IFERROR(1/J215*(X215/H215),"0")</f>
        <v>5.0154320987654322E-2</v>
      </c>
      <c r="BP215" s="64">
        <f t="shared" ref="BP215:BP223" si="24">IFERROR(1/J215*(Y215/H215),"0")</f>
        <v>6.25E-2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16</v>
      </c>
      <c r="Y216" s="550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16.94024691358025</v>
      </c>
      <c r="BN216" s="64">
        <f t="shared" si="22"/>
        <v>17.152000000000001</v>
      </c>
      <c r="BO216" s="64">
        <f t="shared" si="23"/>
        <v>3.0864197530864199E-2</v>
      </c>
      <c r="BP216" s="64">
        <f t="shared" si="24"/>
        <v>3.125E-2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102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113.47499999999999</v>
      </c>
      <c r="BN218" s="64">
        <f t="shared" si="22"/>
        <v>114.81</v>
      </c>
      <c r="BO218" s="64">
        <f t="shared" si="23"/>
        <v>0.23351648351648355</v>
      </c>
      <c r="BP218" s="64">
        <f t="shared" si="24"/>
        <v>0.23626373626373628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53</v>
      </c>
      <c r="Y220" s="550">
        <f t="shared" si="20"/>
        <v>55.199999999999996</v>
      </c>
      <c r="Z220" s="36">
        <f t="shared" si="25"/>
        <v>0.14973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58.565000000000005</v>
      </c>
      <c r="BN220" s="64">
        <f t="shared" si="22"/>
        <v>60.996000000000002</v>
      </c>
      <c r="BO220" s="64">
        <f t="shared" si="23"/>
        <v>0.12133699633699636</v>
      </c>
      <c r="BP220" s="64">
        <f t="shared" si="24"/>
        <v>0.1263736263736264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47</v>
      </c>
      <c r="Y221" s="550">
        <f t="shared" si="20"/>
        <v>48</v>
      </c>
      <c r="Z221" s="36">
        <f t="shared" si="25"/>
        <v>0.13020000000000001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51.935000000000002</v>
      </c>
      <c r="BN221" s="64">
        <f t="shared" si="22"/>
        <v>53.040000000000006</v>
      </c>
      <c r="BO221" s="64">
        <f t="shared" si="23"/>
        <v>0.10760073260073262</v>
      </c>
      <c r="BP221" s="64">
        <f t="shared" si="24"/>
        <v>0.1098901098901099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31</v>
      </c>
      <c r="Y222" s="550">
        <f t="shared" si="20"/>
        <v>31.2</v>
      </c>
      <c r="Z222" s="36">
        <f t="shared" si="25"/>
        <v>8.4629999999999997E-2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34.255000000000003</v>
      </c>
      <c r="BN222" s="64">
        <f t="shared" si="22"/>
        <v>34.476000000000006</v>
      </c>
      <c r="BO222" s="64">
        <f t="shared" si="23"/>
        <v>7.0970695970695982E-2</v>
      </c>
      <c r="BP222" s="64">
        <f t="shared" si="24"/>
        <v>7.1428571428571438E-2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102.26851851851852</v>
      </c>
      <c r="Y224" s="551">
        <f>IFERROR(Y215/H215,"0")+IFERROR(Y216/H216,"0")+IFERROR(Y217/H217,"0")+IFERROR(Y218/H218,"0")+IFERROR(Y219/H219,"0")+IFERROR(Y220/H220,"0")+IFERROR(Y221/H221,"0")+IFERROR(Y222/H222,"0")+IFERROR(Y223/H223,"0")</f>
        <v>105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0.75836999999999999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275</v>
      </c>
      <c r="Y225" s="551">
        <f>IFERROR(SUM(Y215:Y223),"0")</f>
        <v>286.2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6</v>
      </c>
      <c r="Y233" s="550">
        <f t="shared" ref="Y233:Y241" si="26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6.2120689655172416</v>
      </c>
      <c r="BN233" s="64">
        <f t="shared" ref="BN233:BN241" si="28">IFERROR(Y233*I233/H233,"0")</f>
        <v>12.01</v>
      </c>
      <c r="BO233" s="64">
        <f t="shared" ref="BO233:BO241" si="29">IFERROR(1/J233*(X233/H233),"0")</f>
        <v>8.0818965517241385E-3</v>
      </c>
      <c r="BP233" s="64">
        <f t="shared" ref="BP233:BP241" si="30">IFERROR(1/J233*(Y233/H233),"0")</f>
        <v>1.5625E-2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0.51724137931034486</v>
      </c>
      <c r="Y242" s="551">
        <f>IFERROR(Y233/H233,"0")+IFERROR(Y234/H234,"0")+IFERROR(Y235/H235,"0")+IFERROR(Y236/H236,"0")+IFERROR(Y237/H237,"0")+IFERROR(Y238/H238,"0")+IFERROR(Y239/H239,"0")+IFERROR(Y240/H240,"0")+IFERROR(Y241/H241,"0")</f>
        <v>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1.898E-2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6</v>
      </c>
      <c r="Y243" s="551">
        <f>IFERROR(SUM(Y233:Y241),"0")</f>
        <v>11.6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3</v>
      </c>
      <c r="Y249" s="550">
        <f>IFERROR(IF(X249="",0,CEILING((X249/$H249),1)*$H249),"")</f>
        <v>3.6</v>
      </c>
      <c r="Z249" s="36">
        <f>IFERROR(IF(Y249=0,"",ROUNDUP(Y249/H249,0)*0.0059),"")</f>
        <v>1.18E-2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3.291666666666667</v>
      </c>
      <c r="BN249" s="64">
        <f>IFERROR(Y249*I249/H249,"0")</f>
        <v>3.95</v>
      </c>
      <c r="BO249" s="64">
        <f>IFERROR(1/J249*(X249/H249),"0")</f>
        <v>7.7160493827160481E-3</v>
      </c>
      <c r="BP249" s="64">
        <f>IFERROR(1/J249*(Y249/H249),"0")</f>
        <v>9.2592592592592587E-3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1.6666666666666665</v>
      </c>
      <c r="Y250" s="551">
        <f>IFERROR(Y249/H249,"0")</f>
        <v>2</v>
      </c>
      <c r="Z250" s="551">
        <f>IFERROR(IF(Z249="",0,Z249),"0")</f>
        <v>1.18E-2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3</v>
      </c>
      <c r="Y251" s="551">
        <f>IFERROR(SUM(Y249:Y249),"0")</f>
        <v>3.6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4</v>
      </c>
      <c r="Y255" s="550">
        <f>IFERROR(IF(X255="",0,CEILING((X255/$H255),1)*$H255),"")</f>
        <v>4.5</v>
      </c>
      <c r="Z255" s="36">
        <f>IFERROR(IF(Y255=0,"",ROUNDUP(Y255/H255,0)*0.0059),"")</f>
        <v>2.9499999999999998E-2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4.844444444444445</v>
      </c>
      <c r="BN255" s="64">
        <f>IFERROR(Y255*I255/H255,"0")</f>
        <v>5.45</v>
      </c>
      <c r="BO255" s="64">
        <f>IFERROR(1/J255*(X255/H255),"0")</f>
        <v>2.0576131687242798E-2</v>
      </c>
      <c r="BP255" s="64">
        <f>IFERROR(1/J255*(Y255/H255),"0")</f>
        <v>2.3148148148148147E-2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1</v>
      </c>
      <c r="Y256" s="550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5.454545454545455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5</v>
      </c>
      <c r="Y259" s="551">
        <f>IFERROR(SUM(Y253:Y257),"0")</f>
        <v>6.48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63</v>
      </c>
      <c r="Y321" s="550">
        <f>IFERROR(IF(X321="",0,CEILING((X321/$H321),1)*$H321),"")</f>
        <v>67.2</v>
      </c>
      <c r="Z321" s="36">
        <f>IFERROR(IF(Y321=0,"",ROUNDUP(Y321/H321,0)*0.01898),"")</f>
        <v>0.15184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66.704999999999998</v>
      </c>
      <c r="BN321" s="64">
        <f>IFERROR(Y321*I321/H321,"0")</f>
        <v>71.152000000000001</v>
      </c>
      <c r="BO321" s="64">
        <f>IFERROR(1/J321*(X321/H321),"0")</f>
        <v>0.1171875</v>
      </c>
      <c r="BP321" s="64">
        <f>IFERROR(1/J321*(Y321/H321),"0")</f>
        <v>0.125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136</v>
      </c>
      <c r="Y322" s="550">
        <f>IFERROR(IF(X322="",0,CEILING((X322/$H322),1)*$H322),"")</f>
        <v>140.4</v>
      </c>
      <c r="Z322" s="36">
        <f>IFERROR(IF(Y322=0,"",ROUNDUP(Y322/H322,0)*0.01898),"")</f>
        <v>0.34164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144.61333333333334</v>
      </c>
      <c r="BN322" s="64">
        <f>IFERROR(Y322*I322/H322,"0")</f>
        <v>149.29200000000003</v>
      </c>
      <c r="BO322" s="64">
        <f>IFERROR(1/J322*(X322/H322),"0")</f>
        <v>0.27243589743589747</v>
      </c>
      <c r="BP322" s="64">
        <f>IFERROR(1/J322*(Y322/H322),"0")</f>
        <v>0.28125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36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38.117142857142859</v>
      </c>
      <c r="BN323" s="64">
        <f>IFERROR(Y323*I323/H323,"0")</f>
        <v>44.47</v>
      </c>
      <c r="BO323" s="64">
        <f>IFERROR(1/J323*(X323/H323),"0")</f>
        <v>6.6964285714285712E-2</v>
      </c>
      <c r="BP323" s="64">
        <f>IFERROR(1/J323*(Y323/H323),"0")</f>
        <v>7.8125E-2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29.221611721611723</v>
      </c>
      <c r="Y324" s="551">
        <f>IFERROR(Y321/H321,"0")+IFERROR(Y322/H322,"0")+IFERROR(Y323/H323,"0")</f>
        <v>31</v>
      </c>
      <c r="Z324" s="551">
        <f>IFERROR(IF(Z321="",0,Z321),"0")+IFERROR(IF(Z322="",0,Z322),"0")+IFERROR(IF(Z323="",0,Z323),"0")</f>
        <v>0.58838000000000001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235</v>
      </c>
      <c r="Y325" s="551">
        <f>IFERROR(SUM(Y321:Y323),"0")</f>
        <v>249.60000000000002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2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2.2588235294117647</v>
      </c>
      <c r="BN330" s="64">
        <f>IFERROR(Y330*I330/H330,"0")</f>
        <v>2.88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2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4</v>
      </c>
      <c r="Y336" s="550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4.4800000000000004</v>
      </c>
      <c r="BN336" s="64">
        <f>IFERROR(Y336*I336/H336,"0")</f>
        <v>4.4800000000000004</v>
      </c>
      <c r="BO336" s="64">
        <f>IFERROR(1/J336*(X336/H336),"0")</f>
        <v>8.4033613445378148E-3</v>
      </c>
      <c r="BP336" s="64">
        <f>IFERROR(1/J336*(Y336/H336),"0")</f>
        <v>8.4033613445378148E-3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5</v>
      </c>
      <c r="Y337" s="551">
        <f>IFERROR(Y334/H334,"0")+IFERROR(Y335/H335,"0")+IFERROR(Y336/H336,"0")</f>
        <v>5</v>
      </c>
      <c r="Z337" s="551">
        <f>IFERROR(IF(Z334="",0,Z334),"0")+IFERROR(IF(Z335="",0,Z335),"0")+IFERROR(IF(Z336="",0,Z336),"0")</f>
        <v>2.3699999999999999E-2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10</v>
      </c>
      <c r="Y338" s="551">
        <f>IFERROR(SUM(Y334:Y336),"0")</f>
        <v>10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132</v>
      </c>
      <c r="Y349" s="550">
        <f t="shared" ref="Y349:Y355" si="36">IFERROR(IF(X349="",0,CEILING((X349/$H349),1)*$H349),"")</f>
        <v>135</v>
      </c>
      <c r="Z349" s="36">
        <f>IFERROR(IF(Y349=0,"",ROUNDUP(Y349/H349,0)*0.02175),"")</f>
        <v>0.19574999999999998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136.13600000000002</v>
      </c>
      <c r="BN349" s="64">
        <f t="shared" ref="BN349:BN355" si="38">IFERROR(Y349*I349/H349,"0")</f>
        <v>139.23000000000002</v>
      </c>
      <c r="BO349" s="64">
        <f t="shared" ref="BO349:BO355" si="39">IFERROR(1/J349*(X349/H349),"0")</f>
        <v>0.18333333333333335</v>
      </c>
      <c r="BP349" s="64">
        <f t="shared" ref="BP349:BP355" si="40">IFERROR(1/J349*(Y349/H349),"0")</f>
        <v>0.1875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448</v>
      </c>
      <c r="Y351" s="550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462.03733333333338</v>
      </c>
      <c r="BN351" s="64">
        <f t="shared" si="38"/>
        <v>464.1</v>
      </c>
      <c r="BO351" s="64">
        <f t="shared" si="39"/>
        <v>0.62222222222222223</v>
      </c>
      <c r="BP351" s="64">
        <f t="shared" si="40"/>
        <v>0.625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38.666666666666671</v>
      </c>
      <c r="Y356" s="551">
        <f>IFERROR(Y349/H349,"0")+IFERROR(Y350/H350,"0")+IFERROR(Y351/H351,"0")+IFERROR(Y352/H352,"0")+IFERROR(Y353/H353,"0")+IFERROR(Y354/H354,"0")+IFERROR(Y355/H355,"0")</f>
        <v>39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0.84824999999999995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580</v>
      </c>
      <c r="Y357" s="551">
        <f>IFERROR(SUM(Y349:Y355),"0")</f>
        <v>585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81</v>
      </c>
      <c r="Y365" s="550">
        <f>IFERROR(IF(X365="",0,CEILING((X365/$H365),1)*$H365),"")</f>
        <v>81</v>
      </c>
      <c r="Z365" s="36">
        <f>IFERROR(IF(Y365=0,"",ROUNDUP(Y365/H365,0)*0.01898),"")</f>
        <v>0.17082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85.445999999999998</v>
      </c>
      <c r="BN365" s="64">
        <f>IFERROR(Y365*I365/H365,"0")</f>
        <v>85.445999999999998</v>
      </c>
      <c r="BO365" s="64">
        <f>IFERROR(1/J365*(X365/H365),"0")</f>
        <v>0.140625</v>
      </c>
      <c r="BP365" s="64">
        <f>IFERROR(1/J365*(Y365/H365),"0")</f>
        <v>0.140625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9</v>
      </c>
      <c r="Y366" s="551">
        <f>IFERROR(Y364/H364,"0")+IFERROR(Y365/H365,"0")</f>
        <v>9</v>
      </c>
      <c r="Z366" s="551">
        <f>IFERROR(IF(Z364="",0,Z364),"0")+IFERROR(IF(Z365="",0,Z365),"0")</f>
        <v>0.17082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81</v>
      </c>
      <c r="Y367" s="551">
        <f>IFERROR(SUM(Y364:Y365),"0")</f>
        <v>81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25</v>
      </c>
      <c r="Y369" s="550">
        <f>IFERROR(IF(X369="",0,CEILING((X369/$H369),1)*$H369),"")</f>
        <v>27</v>
      </c>
      <c r="Z369" s="36">
        <f>IFERROR(IF(Y369=0,"",ROUNDUP(Y369/H369,0)*0.01898),"")</f>
        <v>5.6940000000000004E-2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26.37222222222222</v>
      </c>
      <c r="BN369" s="64">
        <f>IFERROR(Y369*I369/H369,"0")</f>
        <v>28.481999999999996</v>
      </c>
      <c r="BO369" s="64">
        <f>IFERROR(1/J369*(X369/H369),"0")</f>
        <v>4.3402777777777776E-2</v>
      </c>
      <c r="BP369" s="64">
        <f>IFERROR(1/J369*(Y369/H369),"0")</f>
        <v>4.6875E-2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2.7777777777777777</v>
      </c>
      <c r="Y370" s="551">
        <f>IFERROR(Y369/H369,"0")</f>
        <v>3</v>
      </c>
      <c r="Z370" s="551">
        <f>IFERROR(IF(Z369="",0,Z369),"0")</f>
        <v>5.6940000000000004E-2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25</v>
      </c>
      <c r="Y371" s="551">
        <f>IFERROR(SUM(Y369:Y369),"0")</f>
        <v>27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164</v>
      </c>
      <c r="Y384" s="550">
        <f>IFERROR(IF(X384="",0,CEILING((X384/$H384),1)*$H384),"")</f>
        <v>171</v>
      </c>
      <c r="Z384" s="36">
        <f>IFERROR(IF(Y384=0,"",ROUNDUP(Y384/H384,0)*0.01898),"")</f>
        <v>0.36062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173.00177777777779</v>
      </c>
      <c r="BN384" s="64">
        <f>IFERROR(Y384*I384/H384,"0")</f>
        <v>180.386</v>
      </c>
      <c r="BO384" s="64">
        <f>IFERROR(1/J384*(X384/H384),"0")</f>
        <v>0.28472222222222221</v>
      </c>
      <c r="BP384" s="64">
        <f>IFERROR(1/J384*(Y384/H384),"0")</f>
        <v>0.296875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4</v>
      </c>
      <c r="Y385" s="550">
        <f>IFERROR(IF(X385="",0,CEILING((X385/$H385),1)*$H385),"")</f>
        <v>4.8</v>
      </c>
      <c r="Z385" s="36">
        <f>IFERROR(IF(Y385=0,"",ROUNDUP(Y385/H385,0)*0.00651),"")</f>
        <v>1.302E-2</v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4.4400000000000004</v>
      </c>
      <c r="BN385" s="64">
        <f>IFERROR(Y385*I385/H385,"0")</f>
        <v>5.3280000000000003</v>
      </c>
      <c r="BO385" s="64">
        <f>IFERROR(1/J385*(X385/H385),"0")</f>
        <v>9.1575091575091579E-3</v>
      </c>
      <c r="BP385" s="64">
        <f>IFERROR(1/J385*(Y385/H385),"0")</f>
        <v>1.098901098901099E-2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19.888888888888889</v>
      </c>
      <c r="Y387" s="551">
        <f>IFERROR(Y384/H384,"0")+IFERROR(Y385/H385,"0")+IFERROR(Y386/H386,"0")</f>
        <v>21</v>
      </c>
      <c r="Z387" s="551">
        <f>IFERROR(IF(Z384="",0,Z384),"0")+IFERROR(IF(Z385="",0,Z385),"0")+IFERROR(IF(Z386="",0,Z386),"0")</f>
        <v>0.37363999999999997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168</v>
      </c>
      <c r="Y388" s="551">
        <f>IFERROR(SUM(Y384:Y386),"0")</f>
        <v>175.8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39</v>
      </c>
      <c r="Y392" s="550">
        <f t="shared" ref="Y392:Y400" si="41">IFERROR(IF(X392="",0,CEILING((X392/$H392),1)*$H392),"")</f>
        <v>43.2</v>
      </c>
      <c r="Z392" s="36">
        <f>IFERROR(IF(Y392=0,"",ROUNDUP(Y392/H392,0)*0.00902),"")</f>
        <v>7.2160000000000002E-2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40.37222222222222</v>
      </c>
      <c r="BN392" s="64">
        <f t="shared" ref="BN392:BN400" si="43">IFERROR(Y392*I392/H392,"0")</f>
        <v>44.72</v>
      </c>
      <c r="BO392" s="64">
        <f t="shared" ref="BO392:BO400" si="44">IFERROR(1/J392*(X392/H392),"0")</f>
        <v>5.4713804713804708E-2</v>
      </c>
      <c r="BP392" s="64">
        <f t="shared" ref="BP392:BP400" si="45">IFERROR(1/J392*(Y392/H392),"0")</f>
        <v>6.0606060606060608E-2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7.2222222222222214</v>
      </c>
      <c r="Y401" s="551">
        <f>IFERROR(Y392/H392,"0")+IFERROR(Y393/H393,"0")+IFERROR(Y394/H394,"0")+IFERROR(Y395/H395,"0")+IFERROR(Y396/H396,"0")+IFERROR(Y397/H397,"0")+IFERROR(Y398/H398,"0")+IFERROR(Y399/H399,"0")+IFERROR(Y400/H400,"0")</f>
        <v>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7.2160000000000002E-2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39</v>
      </c>
      <c r="Y402" s="551">
        <f>IFERROR(SUM(Y392:Y400),"0")</f>
        <v>43.2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39</v>
      </c>
      <c r="Y414" s="550">
        <f>IFERROR(IF(X414="",0,CEILING((X414/$H414),1)*$H414),"")</f>
        <v>43.2</v>
      </c>
      <c r="Z414" s="36">
        <f>IFERROR(IF(Y414=0,"",ROUNDUP(Y414/H414,0)*0.00902),"")</f>
        <v>7.2160000000000002E-2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40.37222222222222</v>
      </c>
      <c r="BN414" s="64">
        <f>IFERROR(Y414*I414/H414,"0")</f>
        <v>44.72</v>
      </c>
      <c r="BO414" s="64">
        <f>IFERROR(1/J414*(X414/H414),"0")</f>
        <v>5.4713804713804708E-2</v>
      </c>
      <c r="BP414" s="64">
        <f>IFERROR(1/J414*(Y414/H414),"0")</f>
        <v>6.0606060606060608E-2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7.2222222222222214</v>
      </c>
      <c r="Y418" s="551">
        <f>IFERROR(Y414/H414,"0")+IFERROR(Y415/H415,"0")+IFERROR(Y416/H416,"0")+IFERROR(Y417/H417,"0")</f>
        <v>8</v>
      </c>
      <c r="Z418" s="551">
        <f>IFERROR(IF(Z414="",0,Z414),"0")+IFERROR(IF(Z415="",0,Z415),"0")+IFERROR(IF(Z416="",0,Z416),"0")+IFERROR(IF(Z417="",0,Z417),"0")</f>
        <v>7.2160000000000002E-2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39</v>
      </c>
      <c r="Y419" s="551">
        <f>IFERROR(SUM(Y414:Y417),"0")</f>
        <v>43.2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108</v>
      </c>
      <c r="Y432" s="550">
        <f t="shared" si="47"/>
        <v>110.88000000000001</v>
      </c>
      <c r="Z432" s="36">
        <f t="shared" si="48"/>
        <v>0.25115999999999999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115.15909090909089</v>
      </c>
      <c r="BN432" s="64">
        <f t="shared" si="50"/>
        <v>118.23</v>
      </c>
      <c r="BO432" s="64">
        <f t="shared" si="51"/>
        <v>0.19667832167832167</v>
      </c>
      <c r="BP432" s="64">
        <f t="shared" si="52"/>
        <v>0.20192307692307693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90</v>
      </c>
      <c r="Y434" s="550">
        <f t="shared" si="47"/>
        <v>95.04</v>
      </c>
      <c r="Z434" s="36">
        <f t="shared" si="48"/>
        <v>0.21528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95.965909090909079</v>
      </c>
      <c r="BN434" s="64">
        <f t="shared" si="50"/>
        <v>101.33999999999999</v>
      </c>
      <c r="BO434" s="64">
        <f t="shared" si="51"/>
        <v>0.16389860139860138</v>
      </c>
      <c r="BP434" s="64">
        <f t="shared" si="52"/>
        <v>0.17307692307692307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7</v>
      </c>
      <c r="Y439" s="550">
        <f t="shared" si="47"/>
        <v>9.6</v>
      </c>
      <c r="Z439" s="36">
        <f>IFERROR(IF(Y439=0,"",ROUNDUP(Y439/H439,0)*0.00902),"")</f>
        <v>1.804E-2</v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10.077083333333334</v>
      </c>
      <c r="BN439" s="64">
        <f t="shared" si="50"/>
        <v>13.82</v>
      </c>
      <c r="BO439" s="64">
        <f t="shared" si="51"/>
        <v>1.10479797979798E-2</v>
      </c>
      <c r="BP439" s="64">
        <f t="shared" si="52"/>
        <v>1.5151515151515152E-2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38.958333333333336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0.48447999999999997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205</v>
      </c>
      <c r="Y441" s="551">
        <f>IFERROR(SUM(Y428:Y439),"0")</f>
        <v>215.52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22</v>
      </c>
      <c r="Y443" s="550">
        <f>IFERROR(IF(X443="",0,CEILING((X443/$H443),1)*$H443),"")</f>
        <v>26.400000000000002</v>
      </c>
      <c r="Z443" s="36">
        <f>IFERROR(IF(Y443=0,"",ROUNDUP(Y443/H443,0)*0.01196),"")</f>
        <v>5.9799999999999999E-2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23.458333333333332</v>
      </c>
      <c r="BN443" s="64">
        <f>IFERROR(Y443*I443/H443,"0")</f>
        <v>28.15</v>
      </c>
      <c r="BO443" s="64">
        <f>IFERROR(1/J443*(X443/H443),"0")</f>
        <v>4.0064102564102561E-2</v>
      </c>
      <c r="BP443" s="64">
        <f>IFERROR(1/J443*(Y443/H443),"0")</f>
        <v>4.807692307692308E-2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4.1666666666666661</v>
      </c>
      <c r="Y446" s="551">
        <f>IFERROR(Y443/H443,"0")+IFERROR(Y444/H444,"0")+IFERROR(Y445/H445,"0")</f>
        <v>5</v>
      </c>
      <c r="Z446" s="551">
        <f>IFERROR(IF(Z443="",0,Z443),"0")+IFERROR(IF(Z444="",0,Z444),"0")+IFERROR(IF(Z445="",0,Z445),"0")</f>
        <v>5.9799999999999999E-2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22</v>
      </c>
      <c r="Y447" s="551">
        <f>IFERROR(SUM(Y443:Y445),"0")</f>
        <v>26.400000000000002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162</v>
      </c>
      <c r="Y480" s="550">
        <f>IFERROR(IF(X480="",0,CEILING((X480/$H480),1)*$H480),"")</f>
        <v>162</v>
      </c>
      <c r="Z480" s="36">
        <f>IFERROR(IF(Y480=0,"",ROUNDUP(Y480/H480,0)*0.01898),"")</f>
        <v>0.34164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170.892</v>
      </c>
      <c r="BN480" s="64">
        <f>IFERROR(Y480*I480/H480,"0")</f>
        <v>170.892</v>
      </c>
      <c r="BO480" s="64">
        <f>IFERROR(1/J480*(X480/H480),"0")</f>
        <v>0.28125</v>
      </c>
      <c r="BP480" s="64">
        <f>IFERROR(1/J480*(Y480/H480),"0")</f>
        <v>0.28125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18</v>
      </c>
      <c r="Y481" s="551">
        <f>IFERROR(Y480/H480,"0")</f>
        <v>18</v>
      </c>
      <c r="Z481" s="551">
        <f>IFERROR(IF(Z480="",0,Z480),"0")</f>
        <v>0.34164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162</v>
      </c>
      <c r="Y482" s="551">
        <f>IFERROR(SUM(Y480:Y480),"0")</f>
        <v>162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2874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2990.49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3032.6268075150942</v>
      </c>
      <c r="Y494" s="551">
        <f>IFERROR(SUM(BN22:BN490),"0")</f>
        <v>3156.7420000000002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6</v>
      </c>
      <c r="Y495" s="38">
        <f>ROUNDUP(SUM(BP22:BP490),0)</f>
        <v>6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3182.6268075150942</v>
      </c>
      <c r="Y496" s="551">
        <f>GrossWeightTotalR+PalletQtyTotalR*25</f>
        <v>3306.7420000000002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448.73590316414868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470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6.1722099999999998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129.60000000000002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144.6</v>
      </c>
      <c r="E503" s="46">
        <f>IFERROR(Y84*1,"0")+IFERROR(Y85*1,"0")+IFERROR(Y86*1,"0")+IFERROR(Y87*1,"0")+IFERROR(Y91*1,"0")+IFERROR(Y92*1,"0")+IFERROR(Y93*1,"0")+IFERROR(Y94*1,"0")</f>
        <v>334.79999999999995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199.8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135.54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403.2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21.68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262.15000000000003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693</v>
      </c>
      <c r="T503" s="46">
        <f>IFERROR(Y374*1,"0")+IFERROR(Y375*1,"0")+IFERROR(Y379*1,"0")+IFERROR(Y380*1,"0")+IFERROR(Y384*1,"0")+IFERROR(Y385*1,"0")+IFERROR(Y386*1,"0")</f>
        <v>175.8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43.2</v>
      </c>
      <c r="V503" s="46">
        <f>IFERROR(Y410*1,"0")+IFERROR(Y414*1,"0")+IFERROR(Y415*1,"0")+IFERROR(Y416*1,"0")+IFERROR(Y417*1,"0")</f>
        <v>43.2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241.92000000000002</v>
      </c>
      <c r="Y503" s="46">
        <f>IFERROR(Y464*1,"0")+IFERROR(Y465*1,"0")+IFERROR(Y466*1,"0")+IFERROR(Y467*1,"0")+IFERROR(Y471*1,"0")+IFERROR(Y472*1,"0")+IFERROR(Y476*1,"0")+IFERROR(Y480*1,"0")+IFERROR(Y484*1,"0")+IFERROR(Y485*1,"0")</f>
        <v>162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