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7BAED26-ECD8-4BDE-A43E-EC17B9DDE8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X482" i="2"/>
  <c r="X481" i="2"/>
  <c r="BO480" i="2"/>
  <c r="BN480" i="2"/>
  <c r="BM480" i="2"/>
  <c r="Z480" i="2"/>
  <c r="Z481" i="2" s="1"/>
  <c r="Y480" i="2"/>
  <c r="Y482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BP472" i="2" s="1"/>
  <c r="P472" i="2"/>
  <c r="BO471" i="2"/>
  <c r="BM471" i="2"/>
  <c r="Y471" i="2"/>
  <c r="Z471" i="2" s="1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N465" i="2" s="1"/>
  <c r="P465" i="2"/>
  <c r="BO464" i="2"/>
  <c r="BM464" i="2"/>
  <c r="Y464" i="2"/>
  <c r="P464" i="2"/>
  <c r="X460" i="2"/>
  <c r="X459" i="2"/>
  <c r="BO458" i="2"/>
  <c r="BM458" i="2"/>
  <c r="Y458" i="2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X447" i="2"/>
  <c r="X446" i="2"/>
  <c r="BP445" i="2"/>
  <c r="BO445" i="2"/>
  <c r="BN445" i="2"/>
  <c r="BM445" i="2"/>
  <c r="Z445" i="2"/>
  <c r="Y445" i="2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P428" i="2"/>
  <c r="Y424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BP415" i="2" s="1"/>
  <c r="P415" i="2"/>
  <c r="BO414" i="2"/>
  <c r="BM414" i="2"/>
  <c r="Y414" i="2"/>
  <c r="P414" i="2"/>
  <c r="X412" i="2"/>
  <c r="X411" i="2"/>
  <c r="BO410" i="2"/>
  <c r="BM410" i="2"/>
  <c r="Y410" i="2"/>
  <c r="P410" i="2"/>
  <c r="X407" i="2"/>
  <c r="X406" i="2"/>
  <c r="BO405" i="2"/>
  <c r="BM405" i="2"/>
  <c r="Y405" i="2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Z392" i="2" s="1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Y377" i="2" s="1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P365" i="2"/>
  <c r="BP364" i="2"/>
  <c r="BO364" i="2"/>
  <c r="BN364" i="2"/>
  <c r="BM364" i="2"/>
  <c r="Z364" i="2"/>
  <c r="Y364" i="2"/>
  <c r="P364" i="2"/>
  <c r="X362" i="2"/>
  <c r="X361" i="2"/>
  <c r="BO360" i="2"/>
  <c r="BM360" i="2"/>
  <c r="Y360" i="2"/>
  <c r="P360" i="2"/>
  <c r="BO359" i="2"/>
  <c r="BM359" i="2"/>
  <c r="Y359" i="2"/>
  <c r="Y361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P349" i="2"/>
  <c r="X345" i="2"/>
  <c r="X344" i="2"/>
  <c r="BO343" i="2"/>
  <c r="BM343" i="2"/>
  <c r="Y343" i="2"/>
  <c r="P343" i="2"/>
  <c r="BP342" i="2"/>
  <c r="BO342" i="2"/>
  <c r="BN342" i="2"/>
  <c r="BM342" i="2"/>
  <c r="Z342" i="2"/>
  <c r="Y342" i="2"/>
  <c r="P342" i="2"/>
  <c r="BO341" i="2"/>
  <c r="BM341" i="2"/>
  <c r="Y341" i="2"/>
  <c r="P341" i="2"/>
  <c r="X338" i="2"/>
  <c r="X337" i="2"/>
  <c r="BO336" i="2"/>
  <c r="BM336" i="2"/>
  <c r="Y336" i="2"/>
  <c r="P336" i="2"/>
  <c r="BO335" i="2"/>
  <c r="BM335" i="2"/>
  <c r="Y335" i="2"/>
  <c r="P335" i="2"/>
  <c r="BO334" i="2"/>
  <c r="BM334" i="2"/>
  <c r="Y334" i="2"/>
  <c r="P334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P321" i="2"/>
  <c r="X319" i="2"/>
  <c r="X318" i="2"/>
  <c r="BO317" i="2"/>
  <c r="BM317" i="2"/>
  <c r="Y317" i="2"/>
  <c r="P317" i="2"/>
  <c r="BO316" i="2"/>
  <c r="BM316" i="2"/>
  <c r="Y316" i="2"/>
  <c r="BP316" i="2" s="1"/>
  <c r="P316" i="2"/>
  <c r="BP315" i="2"/>
  <c r="BO315" i="2"/>
  <c r="BM315" i="2"/>
  <c r="Y315" i="2"/>
  <c r="BN315" i="2" s="1"/>
  <c r="P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P307" i="2"/>
  <c r="BO306" i="2"/>
  <c r="BM306" i="2"/>
  <c r="Y306" i="2"/>
  <c r="P306" i="2"/>
  <c r="BO305" i="2"/>
  <c r="BM305" i="2"/>
  <c r="Y305" i="2"/>
  <c r="P305" i="2"/>
  <c r="X303" i="2"/>
  <c r="X302" i="2"/>
  <c r="BP301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P266" i="2"/>
  <c r="BO265" i="2"/>
  <c r="BM265" i="2"/>
  <c r="Z265" i="2"/>
  <c r="Y265" i="2"/>
  <c r="BN265" i="2" s="1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P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Z254" i="2" s="1"/>
  <c r="P254" i="2"/>
  <c r="BO253" i="2"/>
  <c r="BM253" i="2"/>
  <c r="Y253" i="2"/>
  <c r="BN253" i="2" s="1"/>
  <c r="P253" i="2"/>
  <c r="X251" i="2"/>
  <c r="X250" i="2"/>
  <c r="BO249" i="2"/>
  <c r="BM249" i="2"/>
  <c r="Y249" i="2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P240" i="2"/>
  <c r="BO239" i="2"/>
  <c r="BM239" i="2"/>
  <c r="Y239" i="2"/>
  <c r="P239" i="2"/>
  <c r="BO238" i="2"/>
  <c r="BM238" i="2"/>
  <c r="Z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P233" i="2"/>
  <c r="X230" i="2"/>
  <c r="X229" i="2"/>
  <c r="BO228" i="2"/>
  <c r="BM228" i="2"/>
  <c r="Y228" i="2"/>
  <c r="P228" i="2"/>
  <c r="BO227" i="2"/>
  <c r="BM227" i="2"/>
  <c r="Y227" i="2"/>
  <c r="BP227" i="2" s="1"/>
  <c r="P227" i="2"/>
  <c r="X225" i="2"/>
  <c r="X224" i="2"/>
  <c r="BO223" i="2"/>
  <c r="BM223" i="2"/>
  <c r="Y223" i="2"/>
  <c r="P223" i="2"/>
  <c r="BO222" i="2"/>
  <c r="BM222" i="2"/>
  <c r="Y222" i="2"/>
  <c r="P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X213" i="2"/>
  <c r="X212" i="2"/>
  <c r="BO211" i="2"/>
  <c r="BM211" i="2"/>
  <c r="Z211" i="2"/>
  <c r="Y211" i="2"/>
  <c r="BN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X202" i="2"/>
  <c r="X201" i="2"/>
  <c r="BO200" i="2"/>
  <c r="BM200" i="2"/>
  <c r="Z200" i="2"/>
  <c r="Y200" i="2"/>
  <c r="BN200" i="2" s="1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Y187" i="2" s="1"/>
  <c r="P183" i="2"/>
  <c r="X181" i="2"/>
  <c r="X180" i="2"/>
  <c r="BO179" i="2"/>
  <c r="BM179" i="2"/>
  <c r="Y179" i="2"/>
  <c r="BP179" i="2" s="1"/>
  <c r="P179" i="2"/>
  <c r="BO178" i="2"/>
  <c r="BM178" i="2"/>
  <c r="Y178" i="2"/>
  <c r="P178" i="2"/>
  <c r="BO177" i="2"/>
  <c r="BM177" i="2"/>
  <c r="Z177" i="2"/>
  <c r="Y177" i="2"/>
  <c r="BN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Z167" i="2" s="1"/>
  <c r="P167" i="2"/>
  <c r="BO166" i="2"/>
  <c r="BM166" i="2"/>
  <c r="Y166" i="2"/>
  <c r="P166" i="2"/>
  <c r="X164" i="2"/>
  <c r="X163" i="2"/>
  <c r="BO162" i="2"/>
  <c r="BM162" i="2"/>
  <c r="Y162" i="2"/>
  <c r="P162" i="2"/>
  <c r="X158" i="2"/>
  <c r="X157" i="2"/>
  <c r="BO156" i="2"/>
  <c r="BM156" i="2"/>
  <c r="Z156" i="2"/>
  <c r="Z157" i="2" s="1"/>
  <c r="Y156" i="2"/>
  <c r="Y157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39" i="2"/>
  <c r="X138" i="2"/>
  <c r="BO137" i="2"/>
  <c r="BM137" i="2"/>
  <c r="Y137" i="2"/>
  <c r="P137" i="2"/>
  <c r="BO136" i="2"/>
  <c r="BM136" i="2"/>
  <c r="Y136" i="2"/>
  <c r="Y138" i="2" s="1"/>
  <c r="P136" i="2"/>
  <c r="X134" i="2"/>
  <c r="X133" i="2"/>
  <c r="BO132" i="2"/>
  <c r="BM132" i="2"/>
  <c r="Z132" i="2"/>
  <c r="Y132" i="2"/>
  <c r="BN132" i="2" s="1"/>
  <c r="P132" i="2"/>
  <c r="BO131" i="2"/>
  <c r="BM131" i="2"/>
  <c r="Y131" i="2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X123" i="2"/>
  <c r="X122" i="2"/>
  <c r="BO121" i="2"/>
  <c r="BM121" i="2"/>
  <c r="Y121" i="2"/>
  <c r="Y123" i="2" s="1"/>
  <c r="P121" i="2"/>
  <c r="X119" i="2"/>
  <c r="X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P109" i="2"/>
  <c r="BP108" i="2"/>
  <c r="BO108" i="2"/>
  <c r="BN108" i="2"/>
  <c r="BM108" i="2"/>
  <c r="Z108" i="2"/>
  <c r="Y108" i="2"/>
  <c r="P108" i="2"/>
  <c r="BO107" i="2"/>
  <c r="BM107" i="2"/>
  <c r="Y107" i="2"/>
  <c r="P107" i="2"/>
  <c r="X105" i="2"/>
  <c r="X104" i="2"/>
  <c r="BO103" i="2"/>
  <c r="BM103" i="2"/>
  <c r="Y103" i="2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Z100" i="2" s="1"/>
  <c r="P100" i="2"/>
  <c r="BO99" i="2"/>
  <c r="BM99" i="2"/>
  <c r="Z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P74" i="2"/>
  <c r="BO73" i="2"/>
  <c r="BM73" i="2"/>
  <c r="Y73" i="2"/>
  <c r="P73" i="2"/>
  <c r="BO72" i="2"/>
  <c r="BM72" i="2"/>
  <c r="Y72" i="2"/>
  <c r="P72" i="2"/>
  <c r="BO71" i="2"/>
  <c r="BM71" i="2"/>
  <c r="Y71" i="2"/>
  <c r="P71" i="2"/>
  <c r="X69" i="2"/>
  <c r="X68" i="2"/>
  <c r="BO67" i="2"/>
  <c r="BM67" i="2"/>
  <c r="Y67" i="2"/>
  <c r="P67" i="2"/>
  <c r="BP66" i="2"/>
  <c r="BO66" i="2"/>
  <c r="BM66" i="2"/>
  <c r="Y66" i="2"/>
  <c r="P66" i="2"/>
  <c r="X64" i="2"/>
  <c r="X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P52" i="2"/>
  <c r="BO51" i="2"/>
  <c r="BM51" i="2"/>
  <c r="Y51" i="2"/>
  <c r="Z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P42" i="2"/>
  <c r="BO41" i="2"/>
  <c r="BM41" i="2"/>
  <c r="Y41" i="2"/>
  <c r="BP41" i="2" s="1"/>
  <c r="P41" i="2"/>
  <c r="BO40" i="2"/>
  <c r="BM40" i="2"/>
  <c r="Y40" i="2"/>
  <c r="P40" i="2"/>
  <c r="X36" i="2"/>
  <c r="X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F10" i="2"/>
  <c r="J9" i="2"/>
  <c r="F9" i="2"/>
  <c r="A9" i="2"/>
  <c r="A10" i="2" s="1"/>
  <c r="D7" i="2"/>
  <c r="Q6" i="2"/>
  <c r="P2" i="2"/>
  <c r="Z41" i="2" l="1"/>
  <c r="BN41" i="2"/>
  <c r="Z78" i="2"/>
  <c r="BN78" i="2"/>
  <c r="Z85" i="2"/>
  <c r="BN85" i="2"/>
  <c r="Z101" i="2"/>
  <c r="BN101" i="2"/>
  <c r="BP114" i="2"/>
  <c r="Z147" i="2"/>
  <c r="BN147" i="2"/>
  <c r="BP172" i="2"/>
  <c r="Z179" i="2"/>
  <c r="BN179" i="2"/>
  <c r="Z208" i="2"/>
  <c r="BN208" i="2"/>
  <c r="Z218" i="2"/>
  <c r="BN218" i="2"/>
  <c r="Z227" i="2"/>
  <c r="Z253" i="2"/>
  <c r="Z262" i="2"/>
  <c r="BN262" i="2"/>
  <c r="Z272" i="2"/>
  <c r="Z297" i="2"/>
  <c r="Z308" i="2"/>
  <c r="BN308" i="2"/>
  <c r="BP330" i="2"/>
  <c r="Z354" i="2"/>
  <c r="BN354" i="2"/>
  <c r="Z375" i="2"/>
  <c r="BP400" i="2"/>
  <c r="Z435" i="2"/>
  <c r="BN435" i="2"/>
  <c r="BP465" i="2"/>
  <c r="BP62" i="2"/>
  <c r="BN62" i="2"/>
  <c r="BP73" i="2"/>
  <c r="BN73" i="2"/>
  <c r="Z73" i="2"/>
  <c r="BN137" i="2"/>
  <c r="BP137" i="2"/>
  <c r="BN178" i="2"/>
  <c r="Z178" i="2"/>
  <c r="BN205" i="2"/>
  <c r="BP205" i="2"/>
  <c r="BN215" i="2"/>
  <c r="BP215" i="2"/>
  <c r="BP222" i="2"/>
  <c r="BN222" i="2"/>
  <c r="Z222" i="2"/>
  <c r="BP240" i="2"/>
  <c r="BN240" i="2"/>
  <c r="Z240" i="2"/>
  <c r="BN257" i="2"/>
  <c r="BP257" i="2"/>
  <c r="BP266" i="2"/>
  <c r="BN266" i="2"/>
  <c r="Z266" i="2"/>
  <c r="BP292" i="2"/>
  <c r="BN292" i="2"/>
  <c r="Z292" i="2"/>
  <c r="BN305" i="2"/>
  <c r="BP305" i="2"/>
  <c r="Y325" i="2"/>
  <c r="BN321" i="2"/>
  <c r="Z321" i="2"/>
  <c r="BP323" i="2"/>
  <c r="BN323" i="2"/>
  <c r="Z323" i="2"/>
  <c r="BP352" i="2"/>
  <c r="Z352" i="2"/>
  <c r="Y370" i="2"/>
  <c r="BP369" i="2"/>
  <c r="BN369" i="2"/>
  <c r="Z369" i="2"/>
  <c r="Z370" i="2" s="1"/>
  <c r="BP395" i="2"/>
  <c r="BN395" i="2"/>
  <c r="Z395" i="2"/>
  <c r="BP430" i="2"/>
  <c r="BN430" i="2"/>
  <c r="Z430" i="2"/>
  <c r="BP450" i="2"/>
  <c r="BN450" i="2"/>
  <c r="Z450" i="2"/>
  <c r="BP23" i="2"/>
  <c r="Z62" i="2"/>
  <c r="BN92" i="2"/>
  <c r="BP92" i="2"/>
  <c r="BN103" i="2"/>
  <c r="BP103" i="2"/>
  <c r="BP117" i="2"/>
  <c r="BN117" i="2"/>
  <c r="Z117" i="2"/>
  <c r="BP175" i="2"/>
  <c r="BN175" i="2"/>
  <c r="Z175" i="2"/>
  <c r="BP185" i="2"/>
  <c r="BN185" i="2"/>
  <c r="Z185" i="2"/>
  <c r="BN210" i="2"/>
  <c r="Z210" i="2"/>
  <c r="BN220" i="2"/>
  <c r="Z220" i="2"/>
  <c r="BP234" i="2"/>
  <c r="BN234" i="2"/>
  <c r="Z234" i="2"/>
  <c r="BN264" i="2"/>
  <c r="Z264" i="2"/>
  <c r="BP274" i="2"/>
  <c r="BN274" i="2"/>
  <c r="Z274" i="2"/>
  <c r="BP299" i="2"/>
  <c r="BN299" i="2"/>
  <c r="Z299" i="2"/>
  <c r="BN310" i="2"/>
  <c r="Z310" i="2"/>
  <c r="Y337" i="2"/>
  <c r="BP334" i="2"/>
  <c r="BN334" i="2"/>
  <c r="Z334" i="2"/>
  <c r="BP404" i="2"/>
  <c r="BN404" i="2"/>
  <c r="Z404" i="2"/>
  <c r="BP437" i="2"/>
  <c r="BN437" i="2"/>
  <c r="Z437" i="2"/>
  <c r="BP439" i="2"/>
  <c r="BN439" i="2"/>
  <c r="Z439" i="2"/>
  <c r="Y158" i="2"/>
  <c r="Y367" i="2"/>
  <c r="BN42" i="2"/>
  <c r="Z42" i="2"/>
  <c r="BP67" i="2"/>
  <c r="BN67" i="2"/>
  <c r="Z67" i="2"/>
  <c r="BP74" i="2"/>
  <c r="BN74" i="2"/>
  <c r="Z74" i="2"/>
  <c r="Y95" i="2"/>
  <c r="Y96" i="2"/>
  <c r="BP91" i="2"/>
  <c r="BN91" i="2"/>
  <c r="Z91" i="2"/>
  <c r="BP102" i="2"/>
  <c r="BN102" i="2"/>
  <c r="Z102" i="2"/>
  <c r="BN109" i="2"/>
  <c r="Z109" i="2"/>
  <c r="G503" i="2"/>
  <c r="Y128" i="2"/>
  <c r="BP126" i="2"/>
  <c r="Y134" i="2"/>
  <c r="Y133" i="2"/>
  <c r="BP131" i="2"/>
  <c r="BN131" i="2"/>
  <c r="Z131" i="2"/>
  <c r="Z133" i="2" s="1"/>
  <c r="H503" i="2"/>
  <c r="Y145" i="2"/>
  <c r="Y144" i="2"/>
  <c r="BP142" i="2"/>
  <c r="BN142" i="2"/>
  <c r="Z142" i="2"/>
  <c r="Z144" i="2" s="1"/>
  <c r="BP152" i="2"/>
  <c r="BN152" i="2"/>
  <c r="Z152" i="2"/>
  <c r="BN162" i="2"/>
  <c r="Y163" i="2"/>
  <c r="BP162" i="2"/>
  <c r="Y180" i="2"/>
  <c r="BP166" i="2"/>
  <c r="BN166" i="2"/>
  <c r="Z166" i="2"/>
  <c r="Y181" i="2"/>
  <c r="BP170" i="2"/>
  <c r="BN170" i="2"/>
  <c r="Z170" i="2"/>
  <c r="BP176" i="2"/>
  <c r="BN176" i="2"/>
  <c r="Z176" i="2"/>
  <c r="BN194" i="2"/>
  <c r="Y196" i="2"/>
  <c r="BP194" i="2"/>
  <c r="Y202" i="2"/>
  <c r="Y201" i="2"/>
  <c r="BP199" i="2"/>
  <c r="BN199" i="2"/>
  <c r="Z199" i="2"/>
  <c r="Z201" i="2" s="1"/>
  <c r="BP207" i="2"/>
  <c r="Z207" i="2"/>
  <c r="BP217" i="2"/>
  <c r="Z217" i="2"/>
  <c r="BP223" i="2"/>
  <c r="BN223" i="2"/>
  <c r="Z223" i="2"/>
  <c r="BN236" i="2"/>
  <c r="BP236" i="2"/>
  <c r="BN241" i="2"/>
  <c r="Z241" i="2"/>
  <c r="BP256" i="2"/>
  <c r="BN256" i="2"/>
  <c r="Z256" i="2"/>
  <c r="O503" i="2"/>
  <c r="BP279" i="2"/>
  <c r="BN279" i="2"/>
  <c r="Z279" i="2"/>
  <c r="BN300" i="2"/>
  <c r="Z300" i="2"/>
  <c r="BP300" i="2"/>
  <c r="BP353" i="2"/>
  <c r="BN353" i="2"/>
  <c r="Z353" i="2"/>
  <c r="BN360" i="2"/>
  <c r="BP360" i="2"/>
  <c r="BP399" i="2"/>
  <c r="BN399" i="2"/>
  <c r="Z399" i="2"/>
  <c r="BP405" i="2"/>
  <c r="BN405" i="2"/>
  <c r="Z405" i="2"/>
  <c r="V503" i="2"/>
  <c r="Z410" i="2"/>
  <c r="Z411" i="2" s="1"/>
  <c r="Y412" i="2"/>
  <c r="BP431" i="2"/>
  <c r="BN431" i="2"/>
  <c r="Z431" i="2"/>
  <c r="Y440" i="2"/>
  <c r="Y455" i="2"/>
  <c r="BP449" i="2"/>
  <c r="BN449" i="2"/>
  <c r="Z449" i="2"/>
  <c r="Y456" i="2"/>
  <c r="BN458" i="2"/>
  <c r="Y460" i="2"/>
  <c r="Z458" i="2"/>
  <c r="Z459" i="2" s="1"/>
  <c r="Y459" i="2"/>
  <c r="BP458" i="2"/>
  <c r="Y478" i="2"/>
  <c r="Y477" i="2"/>
  <c r="X494" i="2"/>
  <c r="X493" i="2"/>
  <c r="BP27" i="2"/>
  <c r="BN27" i="2"/>
  <c r="Z27" i="2"/>
  <c r="Y36" i="2"/>
  <c r="Y35" i="2"/>
  <c r="BP34" i="2"/>
  <c r="C503" i="2"/>
  <c r="BP40" i="2"/>
  <c r="BN40" i="2"/>
  <c r="Z40" i="2"/>
  <c r="Z43" i="2" s="1"/>
  <c r="BP42" i="2"/>
  <c r="Y43" i="2"/>
  <c r="Y44" i="2"/>
  <c r="BP52" i="2"/>
  <c r="BN52" i="2"/>
  <c r="Z52" i="2"/>
  <c r="BP56" i="2"/>
  <c r="BN56" i="2"/>
  <c r="Z56" i="2"/>
  <c r="Y57" i="2"/>
  <c r="Y68" i="2"/>
  <c r="Z66" i="2"/>
  <c r="Y69" i="2"/>
  <c r="Y76" i="2"/>
  <c r="BP72" i="2"/>
  <c r="Z72" i="2"/>
  <c r="BN86" i="2"/>
  <c r="BP86" i="2"/>
  <c r="BN87" i="2"/>
  <c r="Y112" i="2"/>
  <c r="BP107" i="2"/>
  <c r="BN107" i="2"/>
  <c r="Z107" i="2"/>
  <c r="BP109" i="2"/>
  <c r="Y111" i="2"/>
  <c r="Z110" i="2"/>
  <c r="BP116" i="2"/>
  <c r="Z116" i="2"/>
  <c r="BP148" i="2"/>
  <c r="BN148" i="2"/>
  <c r="Z148" i="2"/>
  <c r="BP174" i="2"/>
  <c r="Z174" i="2"/>
  <c r="BP184" i="2"/>
  <c r="Z184" i="2"/>
  <c r="BP209" i="2"/>
  <c r="BN209" i="2"/>
  <c r="Z209" i="2"/>
  <c r="BP219" i="2"/>
  <c r="BN219" i="2"/>
  <c r="Z219" i="2"/>
  <c r="BP228" i="2"/>
  <c r="BN228" i="2"/>
  <c r="Z228" i="2"/>
  <c r="Z229" i="2" s="1"/>
  <c r="BP239" i="2"/>
  <c r="BN239" i="2"/>
  <c r="Z239" i="2"/>
  <c r="BP241" i="2"/>
  <c r="Z249" i="2"/>
  <c r="Z250" i="2" s="1"/>
  <c r="Y251" i="2"/>
  <c r="Y258" i="2"/>
  <c r="BP263" i="2"/>
  <c r="BN263" i="2"/>
  <c r="Z263" i="2"/>
  <c r="Z267" i="2" s="1"/>
  <c r="BP273" i="2"/>
  <c r="BN273" i="2"/>
  <c r="Z273" i="2"/>
  <c r="Z288" i="2"/>
  <c r="BN287" i="2"/>
  <c r="BP287" i="2"/>
  <c r="Y288" i="2"/>
  <c r="Y289" i="2"/>
  <c r="Y294" i="2"/>
  <c r="BP291" i="2"/>
  <c r="BN291" i="2"/>
  <c r="Z291" i="2"/>
  <c r="Y293" i="2"/>
  <c r="BP309" i="2"/>
  <c r="BN309" i="2"/>
  <c r="Z309" i="2"/>
  <c r="BP317" i="2"/>
  <c r="Z317" i="2"/>
  <c r="BN343" i="2"/>
  <c r="Z343" i="2"/>
  <c r="BP343" i="2"/>
  <c r="X503" i="2"/>
  <c r="Z428" i="2"/>
  <c r="BP428" i="2"/>
  <c r="H9" i="2"/>
  <c r="X495" i="2"/>
  <c r="X497" i="2"/>
  <c r="BN28" i="2"/>
  <c r="BP28" i="2"/>
  <c r="Y31" i="2"/>
  <c r="BN29" i="2"/>
  <c r="BN53" i="2"/>
  <c r="BP53" i="2"/>
  <c r="BN54" i="2"/>
  <c r="Y80" i="2"/>
  <c r="Y88" i="2"/>
  <c r="F503" i="2"/>
  <c r="BP99" i="2"/>
  <c r="Y104" i="2"/>
  <c r="BP100" i="2"/>
  <c r="BP132" i="2"/>
  <c r="BN143" i="2"/>
  <c r="BP143" i="2"/>
  <c r="Y153" i="2"/>
  <c r="Y154" i="2"/>
  <c r="BP156" i="2"/>
  <c r="BN167" i="2"/>
  <c r="BP167" i="2"/>
  <c r="BN168" i="2"/>
  <c r="BP177" i="2"/>
  <c r="BP178" i="2"/>
  <c r="BP200" i="2"/>
  <c r="BP210" i="2"/>
  <c r="BP211" i="2"/>
  <c r="BP220" i="2"/>
  <c r="BP221" i="2"/>
  <c r="Y242" i="2"/>
  <c r="BP253" i="2"/>
  <c r="Y259" i="2"/>
  <c r="BP254" i="2"/>
  <c r="Y267" i="2"/>
  <c r="BP264" i="2"/>
  <c r="BP265" i="2"/>
  <c r="Y268" i="2"/>
  <c r="Y276" i="2"/>
  <c r="Y282" i="2"/>
  <c r="BN281" i="2"/>
  <c r="BP281" i="2"/>
  <c r="BP298" i="2"/>
  <c r="BN298" i="2"/>
  <c r="Z298" i="2"/>
  <c r="BN301" i="2"/>
  <c r="Z301" i="2"/>
  <c r="Y311" i="2"/>
  <c r="BP307" i="2"/>
  <c r="Z307" i="2"/>
  <c r="BP327" i="2"/>
  <c r="Y332" i="2"/>
  <c r="BP329" i="2"/>
  <c r="BN329" i="2"/>
  <c r="Z329" i="2"/>
  <c r="BP335" i="2"/>
  <c r="BN335" i="2"/>
  <c r="Z335" i="2"/>
  <c r="R503" i="2"/>
  <c r="BP341" i="2"/>
  <c r="BN341" i="2"/>
  <c r="Z341" i="2"/>
  <c r="Z344" i="2" s="1"/>
  <c r="Y344" i="2"/>
  <c r="Y345" i="2"/>
  <c r="Y356" i="2"/>
  <c r="BN350" i="2"/>
  <c r="BP350" i="2"/>
  <c r="BN355" i="2"/>
  <c r="Z355" i="2"/>
  <c r="BN365" i="2"/>
  <c r="BP365" i="2"/>
  <c r="Y381" i="2"/>
  <c r="BN379" i="2"/>
  <c r="Z379" i="2"/>
  <c r="Y382" i="2"/>
  <c r="BP384" i="2"/>
  <c r="Y388" i="2"/>
  <c r="BP394" i="2"/>
  <c r="BN394" i="2"/>
  <c r="Z394" i="2"/>
  <c r="Y419" i="2"/>
  <c r="BN414" i="2"/>
  <c r="Z414" i="2"/>
  <c r="BP416" i="2"/>
  <c r="BN416" i="2"/>
  <c r="Z416" i="2"/>
  <c r="Y441" i="2"/>
  <c r="BP429" i="2"/>
  <c r="BN429" i="2"/>
  <c r="Z429" i="2"/>
  <c r="BN436" i="2"/>
  <c r="BP436" i="2"/>
  <c r="BP451" i="2"/>
  <c r="BN451" i="2"/>
  <c r="Z451" i="2"/>
  <c r="BP467" i="2"/>
  <c r="Z467" i="2"/>
  <c r="P503" i="2"/>
  <c r="Y303" i="2"/>
  <c r="BP310" i="2"/>
  <c r="Y319" i="2"/>
  <c r="Y338" i="2"/>
  <c r="Y366" i="2"/>
  <c r="Y371" i="2"/>
  <c r="U503" i="2"/>
  <c r="BP392" i="2"/>
  <c r="Y401" i="2"/>
  <c r="Y402" i="2"/>
  <c r="Y407" i="2"/>
  <c r="Y406" i="2"/>
  <c r="Y503" i="2"/>
  <c r="Y474" i="2"/>
  <c r="BN51" i="2"/>
  <c r="BN61" i="2"/>
  <c r="Z71" i="2"/>
  <c r="Z75" i="2" s="1"/>
  <c r="BN84" i="2"/>
  <c r="BN94" i="2"/>
  <c r="Z115" i="2"/>
  <c r="Y129" i="2"/>
  <c r="BN151" i="2"/>
  <c r="Z173" i="2"/>
  <c r="Z183" i="2"/>
  <c r="Y197" i="2"/>
  <c r="Z206" i="2"/>
  <c r="Z216" i="2"/>
  <c r="Z237" i="2"/>
  <c r="BN249" i="2"/>
  <c r="Z271" i="2"/>
  <c r="Z306" i="2"/>
  <c r="Z316" i="2"/>
  <c r="BN328" i="2"/>
  <c r="Y331" i="2"/>
  <c r="Z351" i="2"/>
  <c r="Z374" i="2"/>
  <c r="Z376" i="2" s="1"/>
  <c r="BN386" i="2"/>
  <c r="BN398" i="2"/>
  <c r="BN422" i="2"/>
  <c r="BN434" i="2"/>
  <c r="BN444" i="2"/>
  <c r="BN454" i="2"/>
  <c r="Z466" i="2"/>
  <c r="BP480" i="2"/>
  <c r="Y492" i="2"/>
  <c r="Y32" i="2"/>
  <c r="Z29" i="2"/>
  <c r="Z54" i="2"/>
  <c r="BN66" i="2"/>
  <c r="BP78" i="2"/>
  <c r="Y357" i="2"/>
  <c r="BP485" i="2"/>
  <c r="I503" i="2"/>
  <c r="Z87" i="2"/>
  <c r="Z88" i="2" s="1"/>
  <c r="BN100" i="2"/>
  <c r="BN110" i="2"/>
  <c r="BN156" i="2"/>
  <c r="Z168" i="2"/>
  <c r="Y224" i="2"/>
  <c r="Y243" i="2"/>
  <c r="BN254" i="2"/>
  <c r="Y312" i="2"/>
  <c r="Y25" i="2"/>
  <c r="Z34" i="2"/>
  <c r="Z35" i="2" s="1"/>
  <c r="BP51" i="2"/>
  <c r="BP61" i="2"/>
  <c r="BN71" i="2"/>
  <c r="BP84" i="2"/>
  <c r="Z92" i="2"/>
  <c r="BP94" i="2"/>
  <c r="Z103" i="2"/>
  <c r="Z104" i="2" s="1"/>
  <c r="BN115" i="2"/>
  <c r="Y118" i="2"/>
  <c r="Z126" i="2"/>
  <c r="Y139" i="2"/>
  <c r="Z149" i="2"/>
  <c r="BP151" i="2"/>
  <c r="Y164" i="2"/>
  <c r="BN173" i="2"/>
  <c r="BN183" i="2"/>
  <c r="Y186" i="2"/>
  <c r="Z194" i="2"/>
  <c r="BN206" i="2"/>
  <c r="BN216" i="2"/>
  <c r="Y229" i="2"/>
  <c r="BN237" i="2"/>
  <c r="BP249" i="2"/>
  <c r="Z257" i="2"/>
  <c r="Z258" i="2" s="1"/>
  <c r="BN271" i="2"/>
  <c r="Y283" i="2"/>
  <c r="BN306" i="2"/>
  <c r="BN316" i="2"/>
  <c r="BP328" i="2"/>
  <c r="Z336" i="2"/>
  <c r="BN351" i="2"/>
  <c r="Y362" i="2"/>
  <c r="BN374" i="2"/>
  <c r="Z384" i="2"/>
  <c r="BP386" i="2"/>
  <c r="Z396" i="2"/>
  <c r="BP398" i="2"/>
  <c r="BP422" i="2"/>
  <c r="Z432" i="2"/>
  <c r="BP434" i="2"/>
  <c r="BP444" i="2"/>
  <c r="Z452" i="2"/>
  <c r="BP454" i="2"/>
  <c r="BN466" i="2"/>
  <c r="Z476" i="2"/>
  <c r="Z477" i="2" s="1"/>
  <c r="Y481" i="2"/>
  <c r="J503" i="2"/>
  <c r="BN471" i="2"/>
  <c r="Y486" i="2"/>
  <c r="K503" i="2"/>
  <c r="Y324" i="2"/>
  <c r="Z22" i="2"/>
  <c r="BN34" i="2"/>
  <c r="Z46" i="2"/>
  <c r="Z47" i="2" s="1"/>
  <c r="BP71" i="2"/>
  <c r="Z79" i="2"/>
  <c r="Z80" i="2" s="1"/>
  <c r="BN126" i="2"/>
  <c r="Z136" i="2"/>
  <c r="BN149" i="2"/>
  <c r="Z171" i="2"/>
  <c r="BP183" i="2"/>
  <c r="Z204" i="2"/>
  <c r="Y225" i="2"/>
  <c r="Z235" i="2"/>
  <c r="Z245" i="2"/>
  <c r="Z246" i="2" s="1"/>
  <c r="Y250" i="2"/>
  <c r="BP271" i="2"/>
  <c r="Z280" i="2"/>
  <c r="BP306" i="2"/>
  <c r="Z314" i="2"/>
  <c r="BN336" i="2"/>
  <c r="Z349" i="2"/>
  <c r="Z359" i="2"/>
  <c r="BP374" i="2"/>
  <c r="BN384" i="2"/>
  <c r="Y387" i="2"/>
  <c r="BN396" i="2"/>
  <c r="Z417" i="2"/>
  <c r="Y423" i="2"/>
  <c r="BN432" i="2"/>
  <c r="BN452" i="2"/>
  <c r="Z464" i="2"/>
  <c r="BN476" i="2"/>
  <c r="L503" i="2"/>
  <c r="BP29" i="2"/>
  <c r="Y119" i="2"/>
  <c r="Y212" i="2"/>
  <c r="Y230" i="2"/>
  <c r="Y302" i="2"/>
  <c r="BP321" i="2"/>
  <c r="BP379" i="2"/>
  <c r="BP414" i="2"/>
  <c r="BP471" i="2"/>
  <c r="M503" i="2"/>
  <c r="BN22" i="2"/>
  <c r="BN46" i="2"/>
  <c r="Y58" i="2"/>
  <c r="BN79" i="2"/>
  <c r="BN136" i="2"/>
  <c r="BN171" i="2"/>
  <c r="BN204" i="2"/>
  <c r="BN235" i="2"/>
  <c r="BN245" i="2"/>
  <c r="BN280" i="2"/>
  <c r="BN314" i="2"/>
  <c r="BP336" i="2"/>
  <c r="BN349" i="2"/>
  <c r="BN359" i="2"/>
  <c r="BN417" i="2"/>
  <c r="BN464" i="2"/>
  <c r="BP476" i="2"/>
  <c r="Y487" i="2"/>
  <c r="Z121" i="2"/>
  <c r="Z122" i="2" s="1"/>
  <c r="BP136" i="2"/>
  <c r="Z189" i="2"/>
  <c r="Z190" i="2" s="1"/>
  <c r="Y213" i="2"/>
  <c r="Z233" i="2"/>
  <c r="BP245" i="2"/>
  <c r="BP280" i="2"/>
  <c r="BP314" i="2"/>
  <c r="Z322" i="2"/>
  <c r="BP349" i="2"/>
  <c r="BP359" i="2"/>
  <c r="Z380" i="2"/>
  <c r="Z415" i="2"/>
  <c r="Z438" i="2"/>
  <c r="BP464" i="2"/>
  <c r="Z472" i="2"/>
  <c r="Z473" i="2" s="1"/>
  <c r="Z484" i="2"/>
  <c r="Q503" i="2"/>
  <c r="BP46" i="2"/>
  <c r="Z169" i="2"/>
  <c r="Z60" i="2"/>
  <c r="BN72" i="2"/>
  <c r="Y75" i="2"/>
  <c r="Z93" i="2"/>
  <c r="BN116" i="2"/>
  <c r="Z127" i="2"/>
  <c r="Z150" i="2"/>
  <c r="BN174" i="2"/>
  <c r="BN184" i="2"/>
  <c r="Z195" i="2"/>
  <c r="BN207" i="2"/>
  <c r="BN217" i="2"/>
  <c r="BN227" i="2"/>
  <c r="BN238" i="2"/>
  <c r="BN272" i="2"/>
  <c r="Y275" i="2"/>
  <c r="BN297" i="2"/>
  <c r="BN307" i="2"/>
  <c r="BN317" i="2"/>
  <c r="Z327" i="2"/>
  <c r="BN352" i="2"/>
  <c r="BN375" i="2"/>
  <c r="Z385" i="2"/>
  <c r="Z397" i="2"/>
  <c r="BN410" i="2"/>
  <c r="Z433" i="2"/>
  <c r="Z443" i="2"/>
  <c r="Z446" i="2" s="1"/>
  <c r="Z453" i="2"/>
  <c r="BN467" i="2"/>
  <c r="Z490" i="2"/>
  <c r="Z491" i="2" s="1"/>
  <c r="Z30" i="2"/>
  <c r="Z55" i="2"/>
  <c r="BN121" i="2"/>
  <c r="BN169" i="2"/>
  <c r="BN189" i="2"/>
  <c r="BN233" i="2"/>
  <c r="Y246" i="2"/>
  <c r="BN322" i="2"/>
  <c r="BN380" i="2"/>
  <c r="BN415" i="2"/>
  <c r="Y418" i="2"/>
  <c r="BN438" i="2"/>
  <c r="BN472" i="2"/>
  <c r="BN484" i="2"/>
  <c r="S503" i="2"/>
  <c r="BN30" i="2"/>
  <c r="Y47" i="2"/>
  <c r="BN55" i="2"/>
  <c r="Z23" i="2"/>
  <c r="BN60" i="2"/>
  <c r="Y63" i="2"/>
  <c r="BN93" i="2"/>
  <c r="Y105" i="2"/>
  <c r="Z114" i="2"/>
  <c r="BN127" i="2"/>
  <c r="Z137" i="2"/>
  <c r="BN150" i="2"/>
  <c r="Z162" i="2"/>
  <c r="Z163" i="2" s="1"/>
  <c r="Z172" i="2"/>
  <c r="BN195" i="2"/>
  <c r="Z205" i="2"/>
  <c r="Z215" i="2"/>
  <c r="Z236" i="2"/>
  <c r="Z281" i="2"/>
  <c r="Z305" i="2"/>
  <c r="Z315" i="2"/>
  <c r="BN327" i="2"/>
  <c r="Z350" i="2"/>
  <c r="Z360" i="2"/>
  <c r="BN385" i="2"/>
  <c r="BN397" i="2"/>
  <c r="BP410" i="2"/>
  <c r="BN433" i="2"/>
  <c r="BN443" i="2"/>
  <c r="Y446" i="2"/>
  <c r="BN453" i="2"/>
  <c r="Z465" i="2"/>
  <c r="BN490" i="2"/>
  <c r="T503" i="2"/>
  <c r="BP79" i="2"/>
  <c r="Y89" i="2"/>
  <c r="BN99" i="2"/>
  <c r="BP121" i="2"/>
  <c r="BP169" i="2"/>
  <c r="BP189" i="2"/>
  <c r="BP233" i="2"/>
  <c r="Z330" i="2"/>
  <c r="Z365" i="2"/>
  <c r="Z366" i="2" s="1"/>
  <c r="BP380" i="2"/>
  <c r="BN392" i="2"/>
  <c r="Z400" i="2"/>
  <c r="BN428" i="2"/>
  <c r="Z436" i="2"/>
  <c r="B503" i="2"/>
  <c r="BP22" i="2"/>
  <c r="BP60" i="2"/>
  <c r="Y318" i="2"/>
  <c r="Y376" i="2"/>
  <c r="Y411" i="2"/>
  <c r="BP443" i="2"/>
  <c r="Y468" i="2"/>
  <c r="BP490" i="2"/>
  <c r="Y122" i="2"/>
  <c r="Y190" i="2"/>
  <c r="Y473" i="2"/>
  <c r="D503" i="2"/>
  <c r="W503" i="2"/>
  <c r="Z485" i="2"/>
  <c r="Y491" i="2"/>
  <c r="E503" i="2"/>
  <c r="Y469" i="2"/>
  <c r="X496" i="2" l="1"/>
  <c r="Z63" i="2"/>
  <c r="Z486" i="2"/>
  <c r="Z418" i="2"/>
  <c r="Z324" i="2"/>
  <c r="Z302" i="2"/>
  <c r="Z118" i="2"/>
  <c r="Z293" i="2"/>
  <c r="Z111" i="2"/>
  <c r="Z406" i="2"/>
  <c r="Y497" i="2"/>
  <c r="Z440" i="2"/>
  <c r="Z31" i="2"/>
  <c r="Z224" i="2"/>
  <c r="Z381" i="2"/>
  <c r="Z282" i="2"/>
  <c r="Z138" i="2"/>
  <c r="Z455" i="2"/>
  <c r="Z401" i="2"/>
  <c r="Z387" i="2"/>
  <c r="Z337" i="2"/>
  <c r="Z196" i="2"/>
  <c r="Z153" i="2"/>
  <c r="Z180" i="2"/>
  <c r="Z57" i="2"/>
  <c r="Z275" i="2"/>
  <c r="Z186" i="2"/>
  <c r="Z68" i="2"/>
  <c r="Y493" i="2"/>
  <c r="Z356" i="2"/>
  <c r="Z318" i="2"/>
  <c r="Z361" i="2"/>
  <c r="Z24" i="2"/>
  <c r="Z468" i="2"/>
  <c r="Z128" i="2"/>
  <c r="Z242" i="2"/>
  <c r="Z311" i="2"/>
  <c r="Y495" i="2"/>
  <c r="Z331" i="2"/>
  <c r="Z212" i="2"/>
  <c r="Y494" i="2"/>
  <c r="Z95" i="2"/>
  <c r="Z498" i="2" l="1"/>
  <c r="Y496" i="2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<sst xmlns="http://schemas.openxmlformats.org/spreadsheetml/2006/main" count="3633" uniqueCount="774">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</sst>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8" zoomScaleNormal="100" zoomScaleSheetLayoutView="100" workbookViewId="0">
      <selection activeCell="Y499" sqref="Y49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/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0.41666666666666669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8" t="s">
        <v>127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62" t="s">
        <v>146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562" t="s">
        <v>171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578" t="s">
        <v>178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27</v>
      </c>
      <c r="Y92" s="55">
        <f>IFERROR(IF(X92="",0,CEILING((X92/$H92),1)*$H92),"")</f>
        <v>28.860000000000003</v>
      </c>
      <c r="Z92" s="41">
        <f>IFERROR(IF(Y92=0,"",ROUNDUP(Y92/H92,0)*0.00651),"")</f>
        <v>8.4629999999999997E-2</v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30.064864864864862</v>
      </c>
      <c r="BN92" s="78">
        <f>IFERROR(Y92*I92/H92,"0")</f>
        <v>32.135999999999996</v>
      </c>
      <c r="BO92" s="78">
        <f>IFERROR(1/J92*(X92/H92),"0")</f>
        <v>6.6825066825066823E-2</v>
      </c>
      <c r="BP92" s="78">
        <f>IFERROR(1/J92*(Y92/H92),"0")</f>
        <v>7.1428571428571438E-2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12.162162162162161</v>
      </c>
      <c r="Y95" s="43">
        <f>IFERROR(Y91/H91,"0")+IFERROR(Y92/H92,"0")+IFERROR(Y93/H93,"0")+IFERROR(Y94/H94,"0")</f>
        <v>13</v>
      </c>
      <c r="Z95" s="43">
        <f>IFERROR(IF(Z91="",0,Z91),"0")+IFERROR(IF(Z92="",0,Z92),"0")+IFERROR(IF(Z93="",0,Z93),"0")+IFERROR(IF(Z94="",0,Z94),"0")</f>
        <v>8.4629999999999997E-2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27</v>
      </c>
      <c r="Y96" s="43">
        <f>IFERROR(SUM(Y91:Y94),"0")</f>
        <v>28.860000000000003</v>
      </c>
      <c r="Z96" s="42"/>
      <c r="AA96" s="67"/>
      <c r="AB96" s="67"/>
      <c r="AC96" s="67"/>
    </row>
    <row r="97" spans="1:68" ht="16.5" customHeight="1" x14ac:dyDescent="0.25">
      <c r="A97" s="578" t="s">
        <v>201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562" t="s">
        <v>146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197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562" t="s">
        <v>171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4301011562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4301011564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4301031235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4301031234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197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117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customHeight="1" x14ac:dyDescent="0.25">
      <c r="A161" s="562" t="s">
        <v>146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121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121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296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117</v>
      </c>
      <c r="AK175" s="84">
        <v>32.4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562" t="s">
        <v>146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197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117</v>
      </c>
      <c r="AK200" s="84">
        <v>29.4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121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64.8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197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197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197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562" t="s">
        <v>171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197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117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197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117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4301011824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4301012196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4301011722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4301012195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562" t="s">
        <v>146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116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117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197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197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121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117</v>
      </c>
      <c r="AK306" s="84">
        <v>50.4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296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117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116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117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562" t="s">
        <v>171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116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117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197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197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117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197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117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197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117</v>
      </c>
      <c r="AK336" s="84">
        <v>28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116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197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197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117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563">
        <v>4680115884830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116</v>
      </c>
      <c r="M351" s="38" t="s">
        <v>82</v>
      </c>
      <c r="N351" s="38"/>
      <c r="O351" s="37">
        <v>60</v>
      </c>
      <c r="P351" s="64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117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4301012215</v>
      </c>
      <c r="D352" s="563">
        <v>4680115887046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64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562" t="s">
        <v>146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116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117</v>
      </c>
      <c r="AK365" s="84">
        <v>72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562" t="s">
        <v>171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116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117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4301031303</v>
      </c>
      <c r="D379" s="563">
        <v>4607091384802</v>
      </c>
      <c r="E379" s="56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121</v>
      </c>
      <c r="M379" s="38" t="s">
        <v>82</v>
      </c>
      <c r="N379" s="38"/>
      <c r="O379" s="37">
        <v>35</v>
      </c>
      <c r="P379" s="63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117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4301031457</v>
      </c>
      <c r="D380" s="563">
        <v>4607091384802</v>
      </c>
      <c r="E380" s="56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50</v>
      </c>
      <c r="P380" s="6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197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117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121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117</v>
      </c>
      <c r="AK392" s="84">
        <v>64.8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121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117</v>
      </c>
      <c r="AK394" s="84">
        <v>64.8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296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117</v>
      </c>
      <c r="AK399" s="84">
        <v>37.799999999999997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customHeight="1" x14ac:dyDescent="0.25">
      <c r="A409" s="562" t="s">
        <v>146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121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117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121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117</v>
      </c>
      <c r="AK439" s="84">
        <v>57.6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562" t="s">
        <v>146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121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116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117</v>
      </c>
      <c r="AK466" s="84">
        <v>96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562" t="s">
        <v>146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562" t="s">
        <v>171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customHeight="1" x14ac:dyDescent="0.25">
      <c r="A489" s="562" t="s">
        <v>146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27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28.860000000000003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30.064864864864862</v>
      </c>
      <c r="Y494" s="43">
        <f>IFERROR(SUM(BN22:BN490),"0")</f>
        <v>32.135999999999996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55.064864864864859</v>
      </c>
      <c r="Y496" s="43">
        <f>GrossWeightTotalR+PalletQtyTotalR*25</f>
        <v>57.135999999999996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12.162162162162161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13</v>
      </c>
      <c r="Z497" s="42"/>
      <c r="AA497" s="67"/>
      <c r="AB497" s="67"/>
      <c r="AC497" s="67"/>
    </row>
    <row r="498" spans="1:32" ht="14.25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8.4629999999999997E-2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127</v>
      </c>
      <c r="E501" s="558" t="s">
        <v>178</v>
      </c>
      <c r="F501" s="558" t="s">
        <v>201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28.860000000000003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66 X449:X451 X445 X443 X439 X434 X431:X432 X428 X414 X399 X394 X392 X384:X385 X379 X374 X365 X359 X349:X351 X341:X343 X334:X336 X329:X330 X321:X323 X314 X309 X306 X280:X281 X262 X233 X227:X228 X220:X223 X215:X218 X211 X204:X209 X200 X177 X175 X170 X168 X166 X132 X126:X127 X116 X114 X110 X107 X101:X102 X99 X93:X94 X91 X87 X84 X78 X71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