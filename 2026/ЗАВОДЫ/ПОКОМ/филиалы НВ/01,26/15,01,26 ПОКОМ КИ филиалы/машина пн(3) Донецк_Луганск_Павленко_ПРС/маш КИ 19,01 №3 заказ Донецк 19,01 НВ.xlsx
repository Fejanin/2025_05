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5D6B368C-D64C-41A8-A4FD-EB485900140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Z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Y186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75" i="1" l="1"/>
  <c r="Z406" i="1"/>
  <c r="Z19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Z88" i="1" s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Z153" i="1" s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Y197" i="1"/>
  <c r="Y202" i="1"/>
  <c r="BP199" i="1"/>
  <c r="BN199" i="1"/>
  <c r="Z199" i="1"/>
  <c r="Z201" i="1" s="1"/>
  <c r="BP298" i="1"/>
  <c r="BN298" i="1"/>
  <c r="Z298" i="1"/>
  <c r="Z302" i="1" s="1"/>
  <c r="Q503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Z376" i="1"/>
  <c r="H503" i="1"/>
  <c r="H9" i="1"/>
  <c r="B503" i="1"/>
  <c r="X494" i="1"/>
  <c r="X496" i="1" s="1"/>
  <c r="X495" i="1"/>
  <c r="Z23" i="1"/>
  <c r="Z24" i="1" s="1"/>
  <c r="BN23" i="1"/>
  <c r="Y24" i="1"/>
  <c r="X493" i="1"/>
  <c r="Z27" i="1"/>
  <c r="Z31" i="1" s="1"/>
  <c r="BN27" i="1"/>
  <c r="BP27" i="1"/>
  <c r="Y495" i="1" s="1"/>
  <c r="Z29" i="1"/>
  <c r="BN29" i="1"/>
  <c r="Y494" i="1" s="1"/>
  <c r="Y496" i="1" s="1"/>
  <c r="C503" i="1"/>
  <c r="Z41" i="1"/>
  <c r="Z43" i="1" s="1"/>
  <c r="BN41" i="1"/>
  <c r="Y44" i="1"/>
  <c r="D503" i="1"/>
  <c r="Y57" i="1"/>
  <c r="Z52" i="1"/>
  <c r="Z57" i="1" s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Z104" i="1"/>
  <c r="BP100" i="1"/>
  <c r="BN100" i="1"/>
  <c r="Z100" i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Z186" i="1"/>
  <c r="BP184" i="1"/>
  <c r="BN184" i="1"/>
  <c r="Z184" i="1"/>
  <c r="Y201" i="1"/>
  <c r="BP208" i="1"/>
  <c r="BN208" i="1"/>
  <c r="Z208" i="1"/>
  <c r="Y212" i="1"/>
  <c r="BP216" i="1"/>
  <c r="BN216" i="1"/>
  <c r="Z216" i="1"/>
  <c r="BP220" i="1"/>
  <c r="BN220" i="1"/>
  <c r="Z220" i="1"/>
  <c r="Z224" i="1" s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Z267" i="1" s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Z288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Z356" i="1" s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Z212" i="1" s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Z387" i="1"/>
  <c r="BP385" i="1"/>
  <c r="BN385" i="1"/>
  <c r="Z385" i="1"/>
  <c r="Y402" i="1"/>
  <c r="BP395" i="1"/>
  <c r="BN395" i="1"/>
  <c r="Z395" i="1"/>
  <c r="BP399" i="1"/>
  <c r="BN399" i="1"/>
  <c r="Z399" i="1"/>
  <c r="Z401" i="1" s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Z486" i="1"/>
  <c r="Y503" i="1"/>
  <c r="Y357" i="1"/>
  <c r="T503" i="1"/>
  <c r="Y376" i="1"/>
  <c r="X503" i="1"/>
  <c r="BP431" i="1"/>
  <c r="BN431" i="1"/>
  <c r="Z431" i="1"/>
  <c r="Z440" i="1" s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Z468" i="1" s="1"/>
  <c r="BP485" i="1"/>
  <c r="BN485" i="1"/>
  <c r="Z485" i="1"/>
  <c r="Y487" i="1"/>
  <c r="Z503" i="1"/>
  <c r="Y491" i="1"/>
  <c r="BP490" i="1"/>
  <c r="BN490" i="1"/>
  <c r="Z490" i="1"/>
  <c r="Z491" i="1" s="1"/>
  <c r="Y492" i="1"/>
  <c r="Y440" i="1"/>
  <c r="Z455" i="1" l="1"/>
  <c r="Z242" i="1"/>
  <c r="Z275" i="1"/>
  <c r="Z258" i="1"/>
  <c r="Z318" i="1"/>
  <c r="Z180" i="1"/>
  <c r="Z418" i="1"/>
  <c r="Z337" i="1"/>
  <c r="Y497" i="1"/>
  <c r="Z118" i="1"/>
  <c r="Z63" i="1"/>
  <c r="Z498" i="1" s="1"/>
  <c r="Y493" i="1"/>
</calcChain>
</file>

<file path=xl/sharedStrings.xml><?xml version="1.0" encoding="utf-8"?>
<sst xmlns="http://schemas.openxmlformats.org/spreadsheetml/2006/main" count="2302" uniqueCount="773">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</sst>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9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7" t="s">
        <v>0</v>
      </c>
      <c r="E1" s="579"/>
      <c r="F1" s="579"/>
      <c r="G1" s="12" t="s">
        <v>1</v>
      </c>
      <c r="H1" s="627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4" t="s">
        <v>8</v>
      </c>
      <c r="B5" s="675"/>
      <c r="C5" s="676"/>
      <c r="D5" s="632"/>
      <c r="E5" s="633"/>
      <c r="F5" s="837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9">
        <v>46041</v>
      </c>
      <c r="R5" s="673"/>
      <c r="T5" s="718" t="s">
        <v>11</v>
      </c>
      <c r="U5" s="719"/>
      <c r="V5" s="720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74" t="s">
        <v>13</v>
      </c>
      <c r="B6" s="675"/>
      <c r="C6" s="676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23" t="s">
        <v>16</v>
      </c>
      <c r="U6" s="719"/>
      <c r="V6" s="768" t="s">
        <v>17</v>
      </c>
      <c r="W6" s="59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9"/>
      <c r="W7" s="770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8"/>
      <c r="C8" s="569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4">
        <v>0.41666666666666669</v>
      </c>
      <c r="R8" s="609"/>
      <c r="T8" s="562"/>
      <c r="U8" s="719"/>
      <c r="V8" s="769"/>
      <c r="W8" s="770"/>
      <c r="AB8" s="51"/>
      <c r="AC8" s="51"/>
      <c r="AD8" s="51"/>
      <c r="AE8" s="51"/>
    </row>
    <row r="9" spans="1:32" s="543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3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1"/>
      <c r="P9" s="26" t="s">
        <v>21</v>
      </c>
      <c r="Q9" s="666"/>
      <c r="R9" s="667"/>
      <c r="T9" s="562"/>
      <c r="U9" s="719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3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0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4"/>
      <c r="R10" s="725"/>
      <c r="U10" s="24" t="s">
        <v>23</v>
      </c>
      <c r="V10" s="597" t="s">
        <v>24</v>
      </c>
      <c r="W10" s="59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4"/>
      <c r="R12" s="609"/>
      <c r="S12" s="23"/>
      <c r="U12" s="24"/>
      <c r="V12" s="579"/>
      <c r="W12" s="562"/>
      <c r="AB12" s="51"/>
      <c r="AC12" s="51"/>
      <c r="AD12" s="51"/>
      <c r="AE12" s="51"/>
    </row>
    <row r="13" spans="1:32" s="543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7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5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9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7" t="s">
        <v>51</v>
      </c>
      <c r="V17" s="676"/>
      <c r="W17" s="592" t="s">
        <v>52</v>
      </c>
      <c r="X17" s="592" t="s">
        <v>53</v>
      </c>
      <c r="Y17" s="870" t="s">
        <v>54</v>
      </c>
      <c r="Z17" s="781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71"/>
      <c r="Z18" s="782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0</v>
      </c>
      <c r="Y43" s="551">
        <f>IFERROR(Y40/H40,"0")+IFERROR(Y41/H41,"0")+IFERROR(Y42/H42,"0")</f>
        <v>0</v>
      </c>
      <c r="Z43" s="551">
        <f>IFERROR(IF(Z40="",0,Z40),"0")+IFERROR(IF(Z41="",0,Z41),"0")+IFERROR(IF(Z42="",0,Z42),"0")</f>
        <v>0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0</v>
      </c>
      <c r="Y44" s="551">
        <f>IFERROR(SUM(Y40:Y42),"0")</f>
        <v>0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5"/>
      <c r="AB45" s="545"/>
      <c r="AC45" s="54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5"/>
      <c r="AB50" s="545"/>
      <c r="AC50" s="54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5"/>
      <c r="AB65" s="545"/>
      <c r="AC65" s="54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5"/>
      <c r="AB70" s="545"/>
      <c r="AC70" s="545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150</v>
      </c>
      <c r="Y84" s="550">
        <f>IFERROR(IF(X84="",0,CEILING((X84/$H84),1)*$H84),"")</f>
        <v>151.20000000000002</v>
      </c>
      <c r="Z84" s="36">
        <f>IFERROR(IF(Y84=0,"",ROUNDUP(Y84/H84,0)*0.01898),"")</f>
        <v>0.26572000000000001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155.69444444444446</v>
      </c>
      <c r="BN84" s="64">
        <f>IFERROR(Y84*I84/H84,"0")</f>
        <v>156.94</v>
      </c>
      <c r="BO84" s="64">
        <f>IFERROR(1/J84*(X84/H84),"0")</f>
        <v>0.21701388888888887</v>
      </c>
      <c r="BP84" s="64">
        <f>IFERROR(1/J84*(Y84/H84),"0")</f>
        <v>0.21875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90</v>
      </c>
      <c r="Y87" s="550">
        <f>IFERROR(IF(X87="",0,CEILING((X87/$H87),1)*$H87),"")</f>
        <v>90</v>
      </c>
      <c r="Z87" s="36">
        <f>IFERROR(IF(Y87=0,"",ROUNDUP(Y87/H87,0)*0.00902),"")</f>
        <v>0.1804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93.800000000000011</v>
      </c>
      <c r="BN87" s="64">
        <f>IFERROR(Y87*I87/H87,"0")</f>
        <v>93.800000000000011</v>
      </c>
      <c r="BO87" s="64">
        <f>IFERROR(1/J87*(X87/H87),"0")</f>
        <v>0.15151515151515152</v>
      </c>
      <c r="BP87" s="64">
        <f>IFERROR(1/J87*(Y87/H87),"0")</f>
        <v>0.15151515151515152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33.888888888888886</v>
      </c>
      <c r="Y88" s="551">
        <f>IFERROR(Y84/H84,"0")+IFERROR(Y85/H85,"0")+IFERROR(Y86/H86,"0")+IFERROR(Y87/H87,"0")</f>
        <v>34</v>
      </c>
      <c r="Z88" s="551">
        <f>IFERROR(IF(Z84="",0,Z84),"0")+IFERROR(IF(Z85="",0,Z85),"0")+IFERROR(IF(Z86="",0,Z86),"0")+IFERROR(IF(Z87="",0,Z87),"0")</f>
        <v>0.44612000000000002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240</v>
      </c>
      <c r="Y89" s="551">
        <f>IFERROR(SUM(Y84:Y87),"0")</f>
        <v>241.20000000000002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0</v>
      </c>
      <c r="Y91" s="55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225</v>
      </c>
      <c r="Y93" s="550">
        <f>IFERROR(IF(X93="",0,CEILING((X93/$H93),1)*$H93),"")</f>
        <v>226.8</v>
      </c>
      <c r="Z93" s="36">
        <f>IFERROR(IF(Y93=0,"",ROUNDUP(Y93/H93,0)*0.00651),"")</f>
        <v>0.54683999999999999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246</v>
      </c>
      <c r="BN93" s="64">
        <f>IFERROR(Y93*I93/H93,"0")</f>
        <v>247.96799999999999</v>
      </c>
      <c r="BO93" s="64">
        <f>IFERROR(1/J93*(X93/H93),"0")</f>
        <v>0.45787545787545786</v>
      </c>
      <c r="BP93" s="64">
        <f>IFERROR(1/J93*(Y93/H93),"0")</f>
        <v>0.46153846153846156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83.333333333333329</v>
      </c>
      <c r="Y95" s="551">
        <f>IFERROR(Y91/H91,"0")+IFERROR(Y92/H92,"0")+IFERROR(Y93/H93,"0")+IFERROR(Y94/H94,"0")</f>
        <v>84</v>
      </c>
      <c r="Z95" s="551">
        <f>IFERROR(IF(Z91="",0,Z91),"0")+IFERROR(IF(Z92="",0,Z92),"0")+IFERROR(IF(Z93="",0,Z93),"0")+IFERROR(IF(Z94="",0,Z94),"0")</f>
        <v>0.54683999999999999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225</v>
      </c>
      <c r="Y96" s="551">
        <f>IFERROR(SUM(Y91:Y94),"0")</f>
        <v>226.8</v>
      </c>
      <c r="Z96" s="37"/>
      <c r="AA96" s="552"/>
      <c r="AB96" s="552"/>
      <c r="AC96" s="552"/>
    </row>
    <row r="97" spans="1:68" ht="16.5" customHeight="1" x14ac:dyDescent="0.25">
      <c r="A97" s="570" t="s">
        <v>190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5"/>
      <c r="AB98" s="545"/>
      <c r="AC98" s="54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0</v>
      </c>
      <c r="Y104" s="551">
        <f>IFERROR(Y99/H99,"0")+IFERROR(Y100/H100,"0")+IFERROR(Y101/H101,"0")+IFERROR(Y102/H102,"0")+IFERROR(Y103/H103,"0")</f>
        <v>0</v>
      </c>
      <c r="Z104" s="551">
        <f>IFERROR(IF(Z99="",0,Z99),"0")+IFERROR(IF(Z100="",0,Z100),"0")+IFERROR(IF(Z101="",0,Z101),"0")+IFERROR(IF(Z102="",0,Z102),"0")+IFERROR(IF(Z103="",0,Z103),"0")</f>
        <v>0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0</v>
      </c>
      <c r="Y105" s="551">
        <f>IFERROR(SUM(Y99:Y103),"0")</f>
        <v>0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5"/>
      <c r="AB106" s="545"/>
      <c r="AC106" s="545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300</v>
      </c>
      <c r="Y114" s="550">
        <f>IFERROR(IF(X114="",0,CEILING((X114/$H114),1)*$H114),"")</f>
        <v>307.8</v>
      </c>
      <c r="Z114" s="36">
        <f>IFERROR(IF(Y114=0,"",ROUNDUP(Y114/H114,0)*0.01898),"")</f>
        <v>0.72123999999999999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318.07407407407402</v>
      </c>
      <c r="BN114" s="64">
        <f>IFERROR(Y114*I114/H114,"0")</f>
        <v>326.34399999999999</v>
      </c>
      <c r="BO114" s="64">
        <f>IFERROR(1/J114*(X114/H114),"0")</f>
        <v>0.57870370370370372</v>
      </c>
      <c r="BP114" s="64">
        <f>IFERROR(1/J114*(Y114/H114),"0")</f>
        <v>0.59375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225</v>
      </c>
      <c r="Y116" s="550">
        <f>IFERROR(IF(X116="",0,CEILING((X116/$H116),1)*$H116),"")</f>
        <v>226.8</v>
      </c>
      <c r="Z116" s="36">
        <f>IFERROR(IF(Y116=0,"",ROUNDUP(Y116/H116,0)*0.00651),"")</f>
        <v>0.54683999999999999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246</v>
      </c>
      <c r="BN116" s="64">
        <f>IFERROR(Y116*I116/H116,"0")</f>
        <v>247.96799999999999</v>
      </c>
      <c r="BO116" s="64">
        <f>IFERROR(1/J116*(X116/H116),"0")</f>
        <v>0.45787545787545786</v>
      </c>
      <c r="BP116" s="64">
        <f>IFERROR(1/J116*(Y116/H116),"0")</f>
        <v>0.46153846153846156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120.37037037037037</v>
      </c>
      <c r="Y118" s="551">
        <f>IFERROR(Y114/H114,"0")+IFERROR(Y115/H115,"0")+IFERROR(Y116/H116,"0")+IFERROR(Y117/H117,"0")</f>
        <v>122</v>
      </c>
      <c r="Z118" s="551">
        <f>IFERROR(IF(Z114="",0,Z114),"0")+IFERROR(IF(Z115="",0,Z115),"0")+IFERROR(IF(Z116="",0,Z116),"0")+IFERROR(IF(Z117="",0,Z117),"0")</f>
        <v>1.2680799999999999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525</v>
      </c>
      <c r="Y119" s="551">
        <f>IFERROR(SUM(Y114:Y117),"0")</f>
        <v>534.6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0</v>
      </c>
      <c r="Y181" s="551">
        <f>IFERROR(SUM(Y166:Y179),"0")</f>
        <v>0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 t="s">
        <v>186</v>
      </c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106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0</v>
      </c>
      <c r="Y212" s="551">
        <f>IFERROR(Y204/H204,"0")+IFERROR(Y205/H205,"0")+IFERROR(Y206/H206,"0")+IFERROR(Y207/H207,"0")+IFERROR(Y208/H208,"0")+IFERROR(Y209/H209,"0")+IFERROR(Y210/H210,"0")+IFERROR(Y211/H211,"0")</f>
        <v>0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0</v>
      </c>
      <c r="Y213" s="551">
        <f>IFERROR(SUM(Y204:Y211),"0")</f>
        <v>0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80</v>
      </c>
      <c r="Y218" s="550">
        <f t="shared" si="20"/>
        <v>81.599999999999994</v>
      </c>
      <c r="Z218" s="36">
        <f t="shared" ref="Z218:Z223" si="25">IFERROR(IF(Y218=0,"",ROUNDUP(Y218/H218,0)*0.00651),"")</f>
        <v>0.22134000000000001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89</v>
      </c>
      <c r="BN218" s="64">
        <f t="shared" si="22"/>
        <v>90.78</v>
      </c>
      <c r="BO218" s="64">
        <f t="shared" si="23"/>
        <v>0.18315018315018317</v>
      </c>
      <c r="BP218" s="64">
        <f t="shared" si="24"/>
        <v>0.18681318681318682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400</v>
      </c>
      <c r="Y220" s="550">
        <f t="shared" si="20"/>
        <v>400.8</v>
      </c>
      <c r="Z220" s="36">
        <f t="shared" si="25"/>
        <v>1.08717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442</v>
      </c>
      <c r="BN220" s="64">
        <f t="shared" si="22"/>
        <v>442.88400000000007</v>
      </c>
      <c r="BO220" s="64">
        <f t="shared" si="23"/>
        <v>0.91575091575091594</v>
      </c>
      <c r="BP220" s="64">
        <f t="shared" si="24"/>
        <v>0.91758241758241765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6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120</v>
      </c>
      <c r="Y223" s="550">
        <f t="shared" si="20"/>
        <v>120</v>
      </c>
      <c r="Z223" s="36">
        <f t="shared" si="25"/>
        <v>0.32550000000000001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132.9</v>
      </c>
      <c r="BN223" s="64">
        <f t="shared" si="22"/>
        <v>132.9</v>
      </c>
      <c r="BO223" s="64">
        <f t="shared" si="23"/>
        <v>0.27472527472527475</v>
      </c>
      <c r="BP223" s="64">
        <f t="shared" si="24"/>
        <v>0.27472527472527475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250.00000000000003</v>
      </c>
      <c r="Y224" s="551">
        <f>IFERROR(Y215/H215,"0")+IFERROR(Y216/H216,"0")+IFERROR(Y217/H217,"0")+IFERROR(Y218/H218,"0")+IFERROR(Y219/H219,"0")+IFERROR(Y220/H220,"0")+IFERROR(Y221/H221,"0")+IFERROR(Y222/H222,"0")+IFERROR(Y223/H223,"0")</f>
        <v>251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1.63401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600</v>
      </c>
      <c r="Y225" s="551">
        <f>IFERROR(SUM(Y215:Y223),"0")</f>
        <v>602.4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 t="s">
        <v>103</v>
      </c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106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6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/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400</v>
      </c>
      <c r="Y322" s="550">
        <f>IFERROR(IF(X322="",0,CEILING((X322/$H322),1)*$H322),"")</f>
        <v>405.59999999999997</v>
      </c>
      <c r="Z322" s="36">
        <f>IFERROR(IF(Y322=0,"",ROUNDUP(Y322/H322,0)*0.01898),"")</f>
        <v>0.98696000000000006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425.33333333333337</v>
      </c>
      <c r="BN322" s="64">
        <f>IFERROR(Y322*I322/H322,"0")</f>
        <v>431.28799999999995</v>
      </c>
      <c r="BO322" s="64">
        <f>IFERROR(1/J322*(X322/H322),"0")</f>
        <v>0.80128205128205132</v>
      </c>
      <c r="BP322" s="64">
        <f>IFERROR(1/J322*(Y322/H322),"0")</f>
        <v>0.8125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/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51.282051282051285</v>
      </c>
      <c r="Y324" s="551">
        <f>IFERROR(Y321/H321,"0")+IFERROR(Y322/H322,"0")+IFERROR(Y323/H323,"0")</f>
        <v>52</v>
      </c>
      <c r="Z324" s="551">
        <f>IFERROR(IF(Z321="",0,Z321),"0")+IFERROR(IF(Z322="",0,Z322),"0")+IFERROR(IF(Z323="",0,Z323),"0")</f>
        <v>0.98696000000000006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400</v>
      </c>
      <c r="Y325" s="551">
        <f>IFERROR(SUM(Y321:Y323),"0")</f>
        <v>405.59999999999997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8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1000</v>
      </c>
      <c r="Y349" s="550">
        <f t="shared" ref="Y349:Y355" si="36">IFERROR(IF(X349="",0,CEILING((X349/$H349),1)*$H349),"")</f>
        <v>1005</v>
      </c>
      <c r="Z349" s="36">
        <f>IFERROR(IF(Y349=0,"",ROUNDUP(Y349/H349,0)*0.02175),"")</f>
        <v>1.4572499999999999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1031.3333333333333</v>
      </c>
      <c r="BN349" s="64">
        <f t="shared" ref="BN349:BN355" si="38">IFERROR(Y349*I349/H349,"0")</f>
        <v>1036.49</v>
      </c>
      <c r="BO349" s="64">
        <f t="shared" ref="BO349:BO355" si="39">IFERROR(1/J349*(X349/H349),"0")</f>
        <v>1.3888888888888888</v>
      </c>
      <c r="BP349" s="64">
        <f t="shared" ref="BP349:BP355" si="40">IFERROR(1/J349*(Y349/H349),"0")</f>
        <v>1.3958333333333333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150</v>
      </c>
      <c r="Y350" s="550">
        <f t="shared" si="36"/>
        <v>150</v>
      </c>
      <c r="Z350" s="36">
        <f>IFERROR(IF(Y350=0,"",ROUNDUP(Y350/H350,0)*0.02175),"")</f>
        <v>0.21749999999999997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154.69999999999999</v>
      </c>
      <c r="BN350" s="64">
        <f t="shared" si="38"/>
        <v>154.69999999999999</v>
      </c>
      <c r="BO350" s="64">
        <f t="shared" si="39"/>
        <v>0.20833333333333331</v>
      </c>
      <c r="BP350" s="64">
        <f t="shared" si="40"/>
        <v>0.20833333333333331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6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76.666666666666671</v>
      </c>
      <c r="Y356" s="551">
        <f>IFERROR(Y349/H349,"0")+IFERROR(Y350/H350,"0")+IFERROR(Y351/H351,"0")+IFERROR(Y352/H352,"0")+IFERROR(Y353/H353,"0")+IFERROR(Y354/H354,"0")+IFERROR(Y355/H355,"0")</f>
        <v>77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1.67475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1150</v>
      </c>
      <c r="Y357" s="551">
        <f>IFERROR(SUM(Y349:Y355),"0")</f>
        <v>1155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0</v>
      </c>
      <c r="Y359" s="550">
        <f>IFERROR(IF(X359="",0,CEILING((X359/$H359),1)*$H359),"")</f>
        <v>0</v>
      </c>
      <c r="Z359" s="36" t="str">
        <f>IFERROR(IF(Y359=0,"",ROUNDUP(Y359/H359,0)*0.02175),"")</f>
        <v/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0</v>
      </c>
      <c r="Y361" s="551">
        <f>IFERROR(Y359/H359,"0")+IFERROR(Y360/H360,"0")</f>
        <v>0</v>
      </c>
      <c r="Z361" s="551">
        <f>IFERROR(IF(Z359="",0,Z359),"0")+IFERROR(IF(Z360="",0,Z360),"0")</f>
        <v>0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0</v>
      </c>
      <c r="Y362" s="551">
        <f>IFERROR(SUM(Y359:Y360),"0")</f>
        <v>0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5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1500</v>
      </c>
      <c r="Y384" s="550">
        <f>IFERROR(IF(X384="",0,CEILING((X384/$H384),1)*$H384),"")</f>
        <v>1503</v>
      </c>
      <c r="Z384" s="36">
        <f>IFERROR(IF(Y384=0,"",ROUNDUP(Y384/H384,0)*0.01898),"")</f>
        <v>3.1696599999999999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1582.3333333333333</v>
      </c>
      <c r="BN384" s="64">
        <f>IFERROR(Y384*I384/H384,"0")</f>
        <v>1585.498</v>
      </c>
      <c r="BO384" s="64">
        <f>IFERROR(1/J384*(X384/H384),"0")</f>
        <v>2.6041666666666665</v>
      </c>
      <c r="BP384" s="64">
        <f>IFERROR(1/J384*(Y384/H384),"0")</f>
        <v>2.609375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166.66666666666666</v>
      </c>
      <c r="Y387" s="551">
        <f>IFERROR(Y384/H384,"0")+IFERROR(Y385/H385,"0")+IFERROR(Y386/H386,"0")</f>
        <v>167</v>
      </c>
      <c r="Z387" s="551">
        <f>IFERROR(IF(Z384="",0,Z384),"0")+IFERROR(IF(Z385="",0,Z385),"0")+IFERROR(IF(Z386="",0,Z386),"0")</f>
        <v>3.1696599999999999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1500</v>
      </c>
      <c r="Y388" s="551">
        <f>IFERROR(SUM(Y384:Y386),"0")</f>
        <v>1503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30</v>
      </c>
      <c r="Y428" s="550">
        <f t="shared" ref="Y428:Y439" si="47">IFERROR(IF(X428="",0,CEILING((X428/$H428),1)*$H428),"")</f>
        <v>31.68</v>
      </c>
      <c r="Z428" s="36">
        <f t="shared" ref="Z428:Z434" si="48">IFERROR(IF(Y428=0,"",ROUNDUP(Y428/H428,0)*0.01196),"")</f>
        <v>7.1760000000000004E-2</v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31.988636363636363</v>
      </c>
      <c r="BN428" s="64">
        <f t="shared" ref="BN428:BN439" si="50">IFERROR(Y428*I428/H428,"0")</f>
        <v>33.779999999999994</v>
      </c>
      <c r="BO428" s="64">
        <f t="shared" ref="BO428:BO439" si="51">IFERROR(1/J428*(X428/H428),"0")</f>
        <v>5.4632867132867136E-2</v>
      </c>
      <c r="BP428" s="64">
        <f t="shared" ref="BP428:BP439" si="52">IFERROR(1/J428*(Y428/H428),"0")</f>
        <v>5.7692307692307696E-2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350</v>
      </c>
      <c r="Y434" s="550">
        <f t="shared" si="47"/>
        <v>353.76</v>
      </c>
      <c r="Z434" s="36">
        <f t="shared" si="48"/>
        <v>0.80132000000000003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373.20075757575756</v>
      </c>
      <c r="BN434" s="64">
        <f t="shared" si="50"/>
        <v>377.21</v>
      </c>
      <c r="BO434" s="64">
        <f t="shared" si="51"/>
        <v>0.63738344988344986</v>
      </c>
      <c r="BP434" s="64">
        <f t="shared" si="52"/>
        <v>0.64423076923076927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180</v>
      </c>
      <c r="Y436" s="550">
        <f t="shared" si="47"/>
        <v>182.4</v>
      </c>
      <c r="Z436" s="36">
        <f>IFERROR(IF(Y436=0,"",ROUNDUP(Y436/H436,0)*0.00902),"")</f>
        <v>0.34276000000000001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259.125</v>
      </c>
      <c r="BN436" s="64">
        <f t="shared" si="50"/>
        <v>262.58000000000004</v>
      </c>
      <c r="BO436" s="64">
        <f t="shared" si="51"/>
        <v>0.28409090909090912</v>
      </c>
      <c r="BP436" s="64">
        <f t="shared" si="52"/>
        <v>0.2878787878787879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109.46969696969697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111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1.21584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560</v>
      </c>
      <c r="Y441" s="551">
        <f>IFERROR(SUM(Y428:Y439),"0")</f>
        <v>567.84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200</v>
      </c>
      <c r="Y449" s="550">
        <f t="shared" ref="Y449:Y454" si="53">IFERROR(IF(X449="",0,CEILING((X449/$H449),1)*$H449),"")</f>
        <v>200.64000000000001</v>
      </c>
      <c r="Z449" s="36">
        <f>IFERROR(IF(Y449=0,"",ROUNDUP(Y449/H449,0)*0.01196),"")</f>
        <v>0.45448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213.25757575757575</v>
      </c>
      <c r="BN449" s="64">
        <f t="shared" ref="BN449:BN454" si="55">IFERROR(Y449*I449/H449,"0")</f>
        <v>213.94</v>
      </c>
      <c r="BO449" s="64">
        <f t="shared" ref="BO449:BO454" si="56">IFERROR(1/J449*(X449/H449),"0")</f>
        <v>0.36421911421911418</v>
      </c>
      <c r="BP449" s="64">
        <f t="shared" ref="BP449:BP454" si="57">IFERROR(1/J449*(Y449/H449),"0")</f>
        <v>0.36538461538461542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0</v>
      </c>
      <c r="Y451" s="550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37.878787878787875</v>
      </c>
      <c r="Y455" s="551">
        <f>IFERROR(Y449/H449,"0")+IFERROR(Y450/H450,"0")+IFERROR(Y451/H451,"0")+IFERROR(Y452/H452,"0")+IFERROR(Y453/H453,"0")+IFERROR(Y454/H454,"0")</f>
        <v>38</v>
      </c>
      <c r="Z455" s="551">
        <f>IFERROR(IF(Z449="",0,Z449),"0")+IFERROR(IF(Z450="",0,Z450),"0")+IFERROR(IF(Z451="",0,Z451),"0")+IFERROR(IF(Z452="",0,Z452),"0")+IFERROR(IF(Z453="",0,Z453),"0")+IFERROR(IF(Z454="",0,Z454),"0")</f>
        <v>0.45448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200</v>
      </c>
      <c r="Y456" s="551">
        <f>IFERROR(SUM(Y449:Y454),"0")</f>
        <v>200.64000000000001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5400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5437.0800000000008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5794.7404882154879</v>
      </c>
      <c r="Y494" s="551">
        <f>IFERROR(SUM(BN22:BN490),"0")</f>
        <v>5835.0699999999988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10</v>
      </c>
      <c r="Y495" s="38">
        <f>ROUNDUP(SUM(BP22:BP490),0)</f>
        <v>10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6044.7404882154879</v>
      </c>
      <c r="Y496" s="551">
        <f>GrossWeightTotalR+PalletQtyTotalR*25</f>
        <v>6085.0699999999988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929.55646205646201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936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11.396740000000001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6" t="s">
        <v>658</v>
      </c>
      <c r="Y500" s="589" t="s">
        <v>713</v>
      </c>
      <c r="Z500" s="742"/>
      <c r="AB500" s="52"/>
      <c r="AC500" s="52"/>
      <c r="AF500" s="547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190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7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0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46">
        <f>IFERROR(Y84*1,"0")+IFERROR(Y85*1,"0")+IFERROR(Y86*1,"0")+IFERROR(Y87*1,"0")+IFERROR(Y91*1,"0")+IFERROR(Y92*1,"0")+IFERROR(Y93*1,"0")+IFERROR(Y94*1,"0")</f>
        <v>468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534.6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602.4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405.59999999999997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1155</v>
      </c>
      <c r="T503" s="46">
        <f>IFERROR(Y374*1,"0")+IFERROR(Y375*1,"0")+IFERROR(Y379*1,"0")+IFERROR(Y380*1,"0")+IFERROR(Y384*1,"0")+IFERROR(Y385*1,"0")+IFERROR(Y386*1,"0")</f>
        <v>1503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768.48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b4+UNw9QWlCawU9mVOTh+V5urGoiFcfML32zGGdIoqMvDbBbhsgB5gvWMl4y0jvxhz9DldUT6C4CV0gEVByU1A==" saltValue="XCk51NOHdE0OuA0hBkQ6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492:V492"/>
    <mergeCell ref="P63:V63"/>
    <mergeCell ref="P415:T41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449:E449"/>
    <mergeCell ref="D321:E321"/>
    <mergeCell ref="D150:E150"/>
    <mergeCell ref="P129:V129"/>
    <mergeCell ref="P107:T107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P474:V474"/>
    <mergeCell ref="A155:Z15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D149:E149"/>
    <mergeCell ref="Y500:Z500"/>
    <mergeCell ref="D385:E385"/>
    <mergeCell ref="P301:T301"/>
    <mergeCell ref="P178:T178"/>
    <mergeCell ref="D257:E257"/>
    <mergeCell ref="D86:E86"/>
    <mergeCell ref="D384:E384"/>
    <mergeCell ref="P341:T341"/>
    <mergeCell ref="A457:Z457"/>
    <mergeCell ref="A387:O388"/>
    <mergeCell ref="D151:E151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6:W9"/>
    <mergeCell ref="D199:E199"/>
    <mergeCell ref="D364:E364"/>
    <mergeCell ref="P109:T109"/>
    <mergeCell ref="D435:E435"/>
    <mergeCell ref="P274:T274"/>
    <mergeCell ref="A59:Z59"/>
    <mergeCell ref="D217:E217"/>
    <mergeCell ref="D484:E484"/>
    <mergeCell ref="P84:T84"/>
    <mergeCell ref="P222:T222"/>
    <mergeCell ref="P22:T22"/>
    <mergeCell ref="P314:T314"/>
    <mergeCell ref="D428:E428"/>
    <mergeCell ref="P40:T40"/>
    <mergeCell ref="D415:E415"/>
    <mergeCell ref="A455:O456"/>
    <mergeCell ref="P257:T257"/>
    <mergeCell ref="A346:Z346"/>
    <mergeCell ref="D194:E194"/>
    <mergeCell ref="Z17:Z18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D314:E314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P156:T156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D51:E51"/>
    <mergeCell ref="P235:T235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A82:Z82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D62:E62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P447:V44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A275:O276"/>
    <mergeCell ref="P219:T219"/>
    <mergeCell ref="D162:E162"/>
    <mergeCell ref="P501:P502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A418:O419"/>
    <mergeCell ref="P186:V186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P367:V367"/>
    <mergeCell ref="A122:O123"/>
    <mergeCell ref="D52:E52"/>
    <mergeCell ref="D27:E27"/>
    <mergeCell ref="P15:T16"/>
    <mergeCell ref="P23:T23"/>
    <mergeCell ref="P272:T272"/>
    <mergeCell ref="D327:E327"/>
    <mergeCell ref="P480:T480"/>
    <mergeCell ref="P280:T280"/>
    <mergeCell ref="Q12:R12"/>
    <mergeCell ref="P169:T169"/>
    <mergeCell ref="P467:T467"/>
    <mergeCell ref="A68:O69"/>
    <mergeCell ref="P196:V196"/>
    <mergeCell ref="A43:O44"/>
    <mergeCell ref="P133:V133"/>
    <mergeCell ref="P210:T210"/>
    <mergeCell ref="D398:E398"/>
    <mergeCell ref="D454:E454"/>
    <mergeCell ref="A267:O268"/>
    <mergeCell ref="P308:T308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J9:M9"/>
    <mergeCell ref="P429:T429"/>
    <mergeCell ref="A111:O112"/>
    <mergeCell ref="D369:E369"/>
    <mergeCell ref="P223:T223"/>
    <mergeCell ref="P52:T52"/>
    <mergeCell ref="P350:T350"/>
    <mergeCell ref="P201:V201"/>
    <mergeCell ref="P139:V139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P466:T466"/>
    <mergeCell ref="D1:F1"/>
    <mergeCell ref="A313:Z313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A165:Z165"/>
    <mergeCell ref="D334:E334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D329:E329"/>
    <mergeCell ref="P286:T286"/>
    <mergeCell ref="D400:E400"/>
    <mergeCell ref="D301:E301"/>
    <mergeCell ref="D245:E245"/>
    <mergeCell ref="A423:O424"/>
    <mergeCell ref="P116:T116"/>
    <mergeCell ref="P103:T103"/>
    <mergeCell ref="A26:Z26"/>
    <mergeCell ref="D211:E211"/>
    <mergeCell ref="P168:T168"/>
    <mergeCell ref="P190:V190"/>
    <mergeCell ref="P131:T131"/>
    <mergeCell ref="D108:E108"/>
    <mergeCell ref="D375:E375"/>
    <mergeCell ref="P34:T34"/>
    <mergeCell ref="P101:T101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P273:T273"/>
    <mergeCell ref="D443:E443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A226:Z226"/>
    <mergeCell ref="P329:T329"/>
    <mergeCell ref="P180:V180"/>
    <mergeCell ref="P251:V251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458:T458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V10:W1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P86:T86"/>
    <mergeCell ref="P328:T328"/>
    <mergeCell ref="P384:T384"/>
    <mergeCell ref="D78:E78"/>
    <mergeCell ref="A378:Z378"/>
    <mergeCell ref="D205:E205"/>
    <mergeCell ref="P79:T79"/>
    <mergeCell ref="D60:E60"/>
    <mergeCell ref="P73:T73"/>
    <mergeCell ref="P437:T437"/>
    <mergeCell ref="P315:T315"/>
    <mergeCell ref="A361:O362"/>
    <mergeCell ref="A190:O191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P443:T443"/>
    <mergeCell ref="P166:T166"/>
    <mergeCell ref="P464:T464"/>
    <mergeCell ref="D147:E147"/>
    <mergeCell ref="D445:E445"/>
    <mergeCell ref="D274:E27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2 X168 X170 X177 X195 X204:X209 X211 X215:X218 X220:X223 X240 X262 X264 X280:X281 X306 X314 X322 X329:X330 X342:X343 X349:X351 X359 X374 X379 X384:X385 X394 X428 X431:X432 X434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PsepG6w3SWm7xxrLws8pDIj4UW655Q8pCvd/8Hk/SvTPM8hJWtf8LjvsRFOcsom/ophmza2L2J4O4PcX0+jHXA==" saltValue="huPJqRc+qyZAz9JzPoa4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2026-01-16T08:11:52Z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