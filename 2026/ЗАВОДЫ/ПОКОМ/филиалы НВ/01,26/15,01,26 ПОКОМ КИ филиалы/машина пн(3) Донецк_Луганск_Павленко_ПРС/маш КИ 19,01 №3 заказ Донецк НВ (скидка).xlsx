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456201A7-B9F6-4457-8073-0D0D22F243F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Y492" i="2" s="1"/>
  <c r="P490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X482" i="2"/>
  <c r="X481" i="2"/>
  <c r="BO480" i="2"/>
  <c r="BM480" i="2"/>
  <c r="Y480" i="2"/>
  <c r="Y482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BP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Z464" i="2" s="1"/>
  <c r="P464" i="2"/>
  <c r="X460" i="2"/>
  <c r="X459" i="2"/>
  <c r="BO458" i="2"/>
  <c r="BM458" i="2"/>
  <c r="Y458" i="2"/>
  <c r="Y460" i="2" s="1"/>
  <c r="P458" i="2"/>
  <c r="X456" i="2"/>
  <c r="X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BN439" i="2" s="1"/>
  <c r="P439" i="2"/>
  <c r="BP438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P417" i="2"/>
  <c r="BO416" i="2"/>
  <c r="BM416" i="2"/>
  <c r="Y416" i="2"/>
  <c r="BN416" i="2" s="1"/>
  <c r="P416" i="2"/>
  <c r="BO415" i="2"/>
  <c r="BM415" i="2"/>
  <c r="Y415" i="2"/>
  <c r="BN415" i="2" s="1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P400" i="2"/>
  <c r="BO400" i="2"/>
  <c r="BN400" i="2"/>
  <c r="BM400" i="2"/>
  <c r="Z400" i="2"/>
  <c r="Y400" i="2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P385" i="2"/>
  <c r="BO384" i="2"/>
  <c r="BM384" i="2"/>
  <c r="Y384" i="2"/>
  <c r="P384" i="2"/>
  <c r="X382" i="2"/>
  <c r="X381" i="2"/>
  <c r="BO380" i="2"/>
  <c r="BM380" i="2"/>
  <c r="Y380" i="2"/>
  <c r="BN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X371" i="2"/>
  <c r="X370" i="2"/>
  <c r="BO369" i="2"/>
  <c r="BM369" i="2"/>
  <c r="Y369" i="2"/>
  <c r="Y371" i="2" s="1"/>
  <c r="P369" i="2"/>
  <c r="X367" i="2"/>
  <c r="X366" i="2"/>
  <c r="BO365" i="2"/>
  <c r="BM365" i="2"/>
  <c r="Y365" i="2"/>
  <c r="P365" i="2"/>
  <c r="BO364" i="2"/>
  <c r="BM364" i="2"/>
  <c r="Y364" i="2"/>
  <c r="Y366" i="2" s="1"/>
  <c r="P364" i="2"/>
  <c r="X362" i="2"/>
  <c r="X361" i="2"/>
  <c r="BO360" i="2"/>
  <c r="BM360" i="2"/>
  <c r="Y360" i="2"/>
  <c r="BP360" i="2" s="1"/>
  <c r="P360" i="2"/>
  <c r="BO359" i="2"/>
  <c r="BM359" i="2"/>
  <c r="Y359" i="2"/>
  <c r="Y362" i="2" s="1"/>
  <c r="P359" i="2"/>
  <c r="X357" i="2"/>
  <c r="X356" i="2"/>
  <c r="BP355" i="2"/>
  <c r="BO355" i="2"/>
  <c r="BN355" i="2"/>
  <c r="BM355" i="2"/>
  <c r="Z355" i="2"/>
  <c r="Y355" i="2"/>
  <c r="P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Y349" i="2"/>
  <c r="P349" i="2"/>
  <c r="X345" i="2"/>
  <c r="X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P341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Y338" i="2" s="1"/>
  <c r="P334" i="2"/>
  <c r="X332" i="2"/>
  <c r="X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P327" i="2"/>
  <c r="X325" i="2"/>
  <c r="X324" i="2"/>
  <c r="BO323" i="2"/>
  <c r="BM323" i="2"/>
  <c r="Y323" i="2"/>
  <c r="BN323" i="2" s="1"/>
  <c r="P323" i="2"/>
  <c r="BP322" i="2"/>
  <c r="BO322" i="2"/>
  <c r="BM322" i="2"/>
  <c r="Y322" i="2"/>
  <c r="BN322" i="2" s="1"/>
  <c r="P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Z314" i="2" s="1"/>
  <c r="P314" i="2"/>
  <c r="X312" i="2"/>
  <c r="X311" i="2"/>
  <c r="BO310" i="2"/>
  <c r="BM310" i="2"/>
  <c r="Y310" i="2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3" i="2"/>
  <c r="X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P299" i="2"/>
  <c r="BP298" i="2"/>
  <c r="BO298" i="2"/>
  <c r="BN298" i="2"/>
  <c r="BM298" i="2"/>
  <c r="Z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X268" i="2"/>
  <c r="X267" i="2"/>
  <c r="BO266" i="2"/>
  <c r="BM266" i="2"/>
  <c r="Y266" i="2"/>
  <c r="BP266" i="2" s="1"/>
  <c r="P266" i="2"/>
  <c r="BO265" i="2"/>
  <c r="BM265" i="2"/>
  <c r="Y265" i="2"/>
  <c r="P265" i="2"/>
  <c r="BP264" i="2"/>
  <c r="BO264" i="2"/>
  <c r="BN264" i="2"/>
  <c r="BM264" i="2"/>
  <c r="Z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Z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P215" i="2"/>
  <c r="X213" i="2"/>
  <c r="X212" i="2"/>
  <c r="BP211" i="2"/>
  <c r="BO211" i="2"/>
  <c r="BN211" i="2"/>
  <c r="BM211" i="2"/>
  <c r="Z211" i="2"/>
  <c r="Y211" i="2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Z204" i="2" s="1"/>
  <c r="P204" i="2"/>
  <c r="X202" i="2"/>
  <c r="X201" i="2"/>
  <c r="BO200" i="2"/>
  <c r="BM200" i="2"/>
  <c r="Y200" i="2"/>
  <c r="P200" i="2"/>
  <c r="BO199" i="2"/>
  <c r="BM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Y196" i="2" s="1"/>
  <c r="P194" i="2"/>
  <c r="X191" i="2"/>
  <c r="X190" i="2"/>
  <c r="BO189" i="2"/>
  <c r="BM189" i="2"/>
  <c r="Y189" i="2"/>
  <c r="P189" i="2"/>
  <c r="X187" i="2"/>
  <c r="X186" i="2"/>
  <c r="BP185" i="2"/>
  <c r="BO185" i="2"/>
  <c r="BN185" i="2"/>
  <c r="BM185" i="2"/>
  <c r="Z185" i="2"/>
  <c r="Y185" i="2"/>
  <c r="P185" i="2"/>
  <c r="BO184" i="2"/>
  <c r="BM184" i="2"/>
  <c r="Y184" i="2"/>
  <c r="BP184" i="2" s="1"/>
  <c r="P184" i="2"/>
  <c r="BO183" i="2"/>
  <c r="BM183" i="2"/>
  <c r="Y183" i="2"/>
  <c r="Y187" i="2" s="1"/>
  <c r="P183" i="2"/>
  <c r="X181" i="2"/>
  <c r="X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P170" i="2"/>
  <c r="BP169" i="2"/>
  <c r="BO169" i="2"/>
  <c r="BM169" i="2"/>
  <c r="Y169" i="2"/>
  <c r="BN169" i="2" s="1"/>
  <c r="P169" i="2"/>
  <c r="BO168" i="2"/>
  <c r="BN168" i="2"/>
  <c r="BM168" i="2"/>
  <c r="Z168" i="2"/>
  <c r="Y168" i="2"/>
  <c r="BP168" i="2" s="1"/>
  <c r="P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BP162" i="2" s="1"/>
  <c r="P162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Y153" i="2" s="1"/>
  <c r="P147" i="2"/>
  <c r="X145" i="2"/>
  <c r="X144" i="2"/>
  <c r="BO143" i="2"/>
  <c r="BM143" i="2"/>
  <c r="Y143" i="2"/>
  <c r="P143" i="2"/>
  <c r="BO142" i="2"/>
  <c r="BM142" i="2"/>
  <c r="Y142" i="2"/>
  <c r="Y145" i="2" s="1"/>
  <c r="P142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Y123" i="2"/>
  <c r="X123" i="2"/>
  <c r="Y122" i="2"/>
  <c r="X122" i="2"/>
  <c r="BP121" i="2"/>
  <c r="BO121" i="2"/>
  <c r="BM121" i="2"/>
  <c r="Y121" i="2"/>
  <c r="BN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Z108" i="2" s="1"/>
  <c r="P108" i="2"/>
  <c r="BO107" i="2"/>
  <c r="BM107" i="2"/>
  <c r="Y107" i="2"/>
  <c r="P107" i="2"/>
  <c r="X105" i="2"/>
  <c r="X104" i="2"/>
  <c r="BO103" i="2"/>
  <c r="BM103" i="2"/>
  <c r="Y103" i="2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Z84" i="2" s="1"/>
  <c r="P84" i="2"/>
  <c r="X81" i="2"/>
  <c r="X80" i="2"/>
  <c r="BO79" i="2"/>
  <c r="BM79" i="2"/>
  <c r="Y79" i="2"/>
  <c r="Z79" i="2" s="1"/>
  <c r="P79" i="2"/>
  <c r="BP78" i="2"/>
  <c r="BO78" i="2"/>
  <c r="BM78" i="2"/>
  <c r="Y78" i="2"/>
  <c r="P78" i="2"/>
  <c r="X76" i="2"/>
  <c r="X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P62" i="2"/>
  <c r="BP61" i="2"/>
  <c r="BO61" i="2"/>
  <c r="BN61" i="2"/>
  <c r="BM61" i="2"/>
  <c r="Z61" i="2"/>
  <c r="Y61" i="2"/>
  <c r="P61" i="2"/>
  <c r="BO60" i="2"/>
  <c r="BM60" i="2"/>
  <c r="Y60" i="2"/>
  <c r="BP60" i="2" s="1"/>
  <c r="P60" i="2"/>
  <c r="X58" i="2"/>
  <c r="X57" i="2"/>
  <c r="BO56" i="2"/>
  <c r="BM56" i="2"/>
  <c r="Y56" i="2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P51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O41" i="2"/>
  <c r="BM41" i="2"/>
  <c r="Y41" i="2"/>
  <c r="P41" i="2"/>
  <c r="BO40" i="2"/>
  <c r="BM40" i="2"/>
  <c r="Y40" i="2"/>
  <c r="C503" i="2" s="1"/>
  <c r="P40" i="2"/>
  <c r="X36" i="2"/>
  <c r="X35" i="2"/>
  <c r="BO34" i="2"/>
  <c r="BM34" i="2"/>
  <c r="Y34" i="2"/>
  <c r="P34" i="2"/>
  <c r="X32" i="2"/>
  <c r="X31" i="2"/>
  <c r="BP30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H9" i="2" s="1"/>
  <c r="D7" i="2"/>
  <c r="Q6" i="2"/>
  <c r="P2" i="2"/>
  <c r="Z51" i="2" l="1"/>
  <c r="BN51" i="2"/>
  <c r="Z71" i="2"/>
  <c r="BN71" i="2"/>
  <c r="Z109" i="2"/>
  <c r="BN109" i="2"/>
  <c r="Y139" i="2"/>
  <c r="Z175" i="2"/>
  <c r="BN175" i="2"/>
  <c r="Z221" i="2"/>
  <c r="BN221" i="2"/>
  <c r="Z245" i="2"/>
  <c r="Z246" i="2" s="1"/>
  <c r="Z280" i="2"/>
  <c r="Z308" i="2"/>
  <c r="BN308" i="2"/>
  <c r="Z343" i="2"/>
  <c r="BN343" i="2"/>
  <c r="BP380" i="2"/>
  <c r="Z428" i="2"/>
  <c r="BN428" i="2"/>
  <c r="Z466" i="2"/>
  <c r="BN466" i="2"/>
  <c r="Y95" i="2"/>
  <c r="Z28" i="2"/>
  <c r="BN28" i="2"/>
  <c r="Z42" i="2"/>
  <c r="BN42" i="2"/>
  <c r="Z54" i="2"/>
  <c r="BN54" i="2"/>
  <c r="Z66" i="2"/>
  <c r="BN66" i="2"/>
  <c r="Z100" i="2"/>
  <c r="BN100" i="2"/>
  <c r="Z115" i="2"/>
  <c r="BN115" i="2"/>
  <c r="Z132" i="2"/>
  <c r="BN132" i="2"/>
  <c r="Z156" i="2"/>
  <c r="Z157" i="2" s="1"/>
  <c r="BN156" i="2"/>
  <c r="BP156" i="2"/>
  <c r="Y157" i="2"/>
  <c r="Y180" i="2"/>
  <c r="Z178" i="2"/>
  <c r="BN178" i="2"/>
  <c r="Z194" i="2"/>
  <c r="BN194" i="2"/>
  <c r="Y197" i="2"/>
  <c r="Z208" i="2"/>
  <c r="BN208" i="2"/>
  <c r="Z218" i="2"/>
  <c r="BN218" i="2"/>
  <c r="Z228" i="2"/>
  <c r="BN228" i="2"/>
  <c r="Y229" i="2"/>
  <c r="Y230" i="2"/>
  <c r="Z239" i="2"/>
  <c r="BN239" i="2"/>
  <c r="Z254" i="2"/>
  <c r="BN254" i="2"/>
  <c r="Z271" i="2"/>
  <c r="BN271" i="2"/>
  <c r="Z287" i="2"/>
  <c r="BN287" i="2"/>
  <c r="Z301" i="2"/>
  <c r="BN301" i="2"/>
  <c r="Y311" i="2"/>
  <c r="Z330" i="2"/>
  <c r="BN330" i="2"/>
  <c r="Z351" i="2"/>
  <c r="BN351" i="2"/>
  <c r="Z393" i="2"/>
  <c r="BN393" i="2"/>
  <c r="BP415" i="2"/>
  <c r="Z432" i="2"/>
  <c r="BN432" i="2"/>
  <c r="Z433" i="2"/>
  <c r="Z449" i="2"/>
  <c r="BN449" i="2"/>
  <c r="J9" i="2"/>
  <c r="F10" i="2"/>
  <c r="X497" i="2"/>
  <c r="Z29" i="2"/>
  <c r="BN29" i="2"/>
  <c r="Z40" i="2"/>
  <c r="BN40" i="2"/>
  <c r="BP40" i="2"/>
  <c r="Y44" i="2"/>
  <c r="Z53" i="2"/>
  <c r="BN53" i="2"/>
  <c r="BP55" i="2"/>
  <c r="Y64" i="2"/>
  <c r="Y69" i="2"/>
  <c r="Y75" i="2"/>
  <c r="Z73" i="2"/>
  <c r="BN73" i="2"/>
  <c r="Y76" i="2"/>
  <c r="Z86" i="2"/>
  <c r="BN86" i="2"/>
  <c r="BN94" i="2"/>
  <c r="BP94" i="2"/>
  <c r="BP103" i="2"/>
  <c r="BN103" i="2"/>
  <c r="Z103" i="2"/>
  <c r="BP107" i="2"/>
  <c r="BN107" i="2"/>
  <c r="Z107" i="2"/>
  <c r="BP117" i="2"/>
  <c r="BN117" i="2"/>
  <c r="Z117" i="2"/>
  <c r="BP150" i="2"/>
  <c r="Z150" i="2"/>
  <c r="BN170" i="2"/>
  <c r="BP170" i="2"/>
  <c r="BP177" i="2"/>
  <c r="BN177" i="2"/>
  <c r="Z177" i="2"/>
  <c r="Y186" i="2"/>
  <c r="BN189" i="2"/>
  <c r="Y191" i="2"/>
  <c r="Y190" i="2"/>
  <c r="BP189" i="2"/>
  <c r="BP206" i="2"/>
  <c r="BN206" i="2"/>
  <c r="Z206" i="2"/>
  <c r="BP215" i="2"/>
  <c r="Y225" i="2"/>
  <c r="BP216" i="2"/>
  <c r="BN216" i="2"/>
  <c r="Z216" i="2"/>
  <c r="BP237" i="2"/>
  <c r="BN237" i="2"/>
  <c r="Z237" i="2"/>
  <c r="BN249" i="2"/>
  <c r="BP249" i="2"/>
  <c r="Y250" i="2"/>
  <c r="Y251" i="2"/>
  <c r="Y259" i="2"/>
  <c r="BP253" i="2"/>
  <c r="BN253" i="2"/>
  <c r="Z253" i="2"/>
  <c r="BP265" i="2"/>
  <c r="BN265" i="2"/>
  <c r="Z265" i="2"/>
  <c r="F9" i="2"/>
  <c r="A10" i="2"/>
  <c r="Y68" i="2"/>
  <c r="BN84" i="2"/>
  <c r="BP84" i="2"/>
  <c r="BP99" i="2"/>
  <c r="BN99" i="2"/>
  <c r="Z99" i="2"/>
  <c r="BP110" i="2"/>
  <c r="BN110" i="2"/>
  <c r="Z110" i="2"/>
  <c r="Y129" i="2"/>
  <c r="BN126" i="2"/>
  <c r="Z126" i="2"/>
  <c r="BP143" i="2"/>
  <c r="BN143" i="2"/>
  <c r="Z143" i="2"/>
  <c r="Y163" i="2"/>
  <c r="Y164" i="2"/>
  <c r="BP167" i="2"/>
  <c r="BN167" i="2"/>
  <c r="Z167" i="2"/>
  <c r="BP173" i="2"/>
  <c r="BN173" i="2"/>
  <c r="Z173" i="2"/>
  <c r="BP183" i="2"/>
  <c r="BN183" i="2"/>
  <c r="Z183" i="2"/>
  <c r="BP200" i="2"/>
  <c r="BN200" i="2"/>
  <c r="Z200" i="2"/>
  <c r="BP210" i="2"/>
  <c r="BN210" i="2"/>
  <c r="Z210" i="2"/>
  <c r="BP220" i="2"/>
  <c r="BN220" i="2"/>
  <c r="Z220" i="2"/>
  <c r="Y242" i="2"/>
  <c r="BP233" i="2"/>
  <c r="BP241" i="2"/>
  <c r="BN241" i="2"/>
  <c r="Z241" i="2"/>
  <c r="BP257" i="2"/>
  <c r="BN257" i="2"/>
  <c r="Z257" i="2"/>
  <c r="BP262" i="2"/>
  <c r="BN262" i="2"/>
  <c r="Z262" i="2"/>
  <c r="BP273" i="2"/>
  <c r="BN273" i="2"/>
  <c r="Z273" i="2"/>
  <c r="BP291" i="2"/>
  <c r="Y294" i="2"/>
  <c r="BP306" i="2"/>
  <c r="BN306" i="2"/>
  <c r="Z306" i="2"/>
  <c r="BP316" i="2"/>
  <c r="BN316" i="2"/>
  <c r="Z316" i="2"/>
  <c r="BP336" i="2"/>
  <c r="BN336" i="2"/>
  <c r="Z336" i="2"/>
  <c r="R503" i="2"/>
  <c r="BP341" i="2"/>
  <c r="BN341" i="2"/>
  <c r="Z341" i="2"/>
  <c r="BP353" i="2"/>
  <c r="BN353" i="2"/>
  <c r="Z353" i="2"/>
  <c r="BP365" i="2"/>
  <c r="BN365" i="2"/>
  <c r="Z365" i="2"/>
  <c r="Y377" i="2"/>
  <c r="BP374" i="2"/>
  <c r="BN374" i="2"/>
  <c r="Z374" i="2"/>
  <c r="BP396" i="2"/>
  <c r="BN396" i="2"/>
  <c r="Z396" i="2"/>
  <c r="BP397" i="2"/>
  <c r="Z397" i="2"/>
  <c r="Y118" i="2"/>
  <c r="Y119" i="2"/>
  <c r="BN151" i="2"/>
  <c r="BP151" i="2"/>
  <c r="BP300" i="2"/>
  <c r="BN300" i="2"/>
  <c r="Z300" i="2"/>
  <c r="BP310" i="2"/>
  <c r="BN310" i="2"/>
  <c r="Z310" i="2"/>
  <c r="BP327" i="2"/>
  <c r="Z327" i="2"/>
  <c r="Y356" i="2"/>
  <c r="Z349" i="2"/>
  <c r="Y361" i="2"/>
  <c r="Z359" i="2"/>
  <c r="Y388" i="2"/>
  <c r="Y387" i="2"/>
  <c r="BN384" i="2"/>
  <c r="Z384" i="2"/>
  <c r="BP385" i="2"/>
  <c r="Z385" i="2"/>
  <c r="BP392" i="2"/>
  <c r="BN392" i="2"/>
  <c r="Z392" i="2"/>
  <c r="BP404" i="2"/>
  <c r="Y407" i="2"/>
  <c r="BP429" i="2"/>
  <c r="BN429" i="2"/>
  <c r="Z429" i="2"/>
  <c r="BP443" i="2"/>
  <c r="Z443" i="2"/>
  <c r="Y455" i="2"/>
  <c r="BP458" i="2"/>
  <c r="BP480" i="2"/>
  <c r="Y481" i="2"/>
  <c r="Z503" i="2"/>
  <c r="Z490" i="2"/>
  <c r="Z491" i="2" s="1"/>
  <c r="BP417" i="2"/>
  <c r="Z417" i="2"/>
  <c r="BN434" i="2"/>
  <c r="BP434" i="2"/>
  <c r="BP436" i="2"/>
  <c r="BN436" i="2"/>
  <c r="Z436" i="2"/>
  <c r="BP452" i="2"/>
  <c r="BN452" i="2"/>
  <c r="Z452" i="2"/>
  <c r="BP453" i="2"/>
  <c r="Z453" i="2"/>
  <c r="Y459" i="2"/>
  <c r="Z458" i="2"/>
  <c r="Z459" i="2" s="1"/>
  <c r="Y478" i="2"/>
  <c r="BN476" i="2"/>
  <c r="Z476" i="2"/>
  <c r="Z477" i="2" s="1"/>
  <c r="BN480" i="2"/>
  <c r="Z480" i="2"/>
  <c r="Z481" i="2" s="1"/>
  <c r="Y282" i="2"/>
  <c r="Y283" i="2"/>
  <c r="Y319" i="2"/>
  <c r="BN328" i="2"/>
  <c r="BP328" i="2"/>
  <c r="Y344" i="2"/>
  <c r="BN386" i="2"/>
  <c r="BP386" i="2"/>
  <c r="BN398" i="2"/>
  <c r="BP398" i="2"/>
  <c r="Y401" i="2"/>
  <c r="BN422" i="2"/>
  <c r="BP422" i="2"/>
  <c r="Y423" i="2"/>
  <c r="Y424" i="2"/>
  <c r="BN444" i="2"/>
  <c r="BP444" i="2"/>
  <c r="BN454" i="2"/>
  <c r="BP454" i="2"/>
  <c r="W503" i="2"/>
  <c r="Z87" i="2"/>
  <c r="Y503" i="2"/>
  <c r="BN209" i="2"/>
  <c r="BP209" i="2"/>
  <c r="Z209" i="2"/>
  <c r="BP329" i="2"/>
  <c r="BN329" i="2"/>
  <c r="Z329" i="2"/>
  <c r="Y332" i="2"/>
  <c r="BP435" i="2"/>
  <c r="Z435" i="2"/>
  <c r="BN435" i="2"/>
  <c r="X493" i="2"/>
  <c r="BN87" i="2"/>
  <c r="Z142" i="2"/>
  <c r="Z144" i="2" s="1"/>
  <c r="BP142" i="2"/>
  <c r="BN142" i="2"/>
  <c r="H503" i="2"/>
  <c r="Y447" i="2"/>
  <c r="BP445" i="2"/>
  <c r="Z445" i="2"/>
  <c r="BN445" i="2"/>
  <c r="BP286" i="2"/>
  <c r="Z286" i="2"/>
  <c r="P503" i="2"/>
  <c r="BN286" i="2"/>
  <c r="Y289" i="2"/>
  <c r="Y419" i="2"/>
  <c r="BP414" i="2"/>
  <c r="Y418" i="2"/>
  <c r="BN414" i="2"/>
  <c r="Z414" i="2"/>
  <c r="Y474" i="2"/>
  <c r="Y473" i="2"/>
  <c r="BP471" i="2"/>
  <c r="BN471" i="2"/>
  <c r="Z471" i="2"/>
  <c r="Y32" i="2"/>
  <c r="BP27" i="2"/>
  <c r="BN27" i="2"/>
  <c r="Z27" i="2"/>
  <c r="Y302" i="2"/>
  <c r="BP299" i="2"/>
  <c r="BN299" i="2"/>
  <c r="Z299" i="2"/>
  <c r="Y181" i="2"/>
  <c r="Z166" i="2"/>
  <c r="BP166" i="2"/>
  <c r="BN166" i="2"/>
  <c r="Y276" i="2"/>
  <c r="BN274" i="2"/>
  <c r="BP274" i="2"/>
  <c r="M503" i="2"/>
  <c r="Z274" i="2"/>
  <c r="BP148" i="2"/>
  <c r="BN148" i="2"/>
  <c r="Y154" i="2"/>
  <c r="Z148" i="2"/>
  <c r="BN78" i="2"/>
  <c r="Z78" i="2"/>
  <c r="Z80" i="2" s="1"/>
  <c r="Y81" i="2"/>
  <c r="Y80" i="2"/>
  <c r="Y89" i="2"/>
  <c r="Z85" i="2"/>
  <c r="BP85" i="2"/>
  <c r="Y88" i="2"/>
  <c r="BN85" i="2"/>
  <c r="U503" i="2"/>
  <c r="BP91" i="2"/>
  <c r="BN91" i="2"/>
  <c r="Z91" i="2"/>
  <c r="Y96" i="2"/>
  <c r="Z111" i="2"/>
  <c r="BN219" i="2"/>
  <c r="BP219" i="2"/>
  <c r="Z219" i="2"/>
  <c r="Y224" i="2"/>
  <c r="Y48" i="2"/>
  <c r="Y47" i="2"/>
  <c r="BN46" i="2"/>
  <c r="BP46" i="2"/>
  <c r="Y138" i="2"/>
  <c r="BP136" i="2"/>
  <c r="BN136" i="2"/>
  <c r="Z152" i="2"/>
  <c r="BP152" i="2"/>
  <c r="BN152" i="2"/>
  <c r="BP171" i="2"/>
  <c r="BN171" i="2"/>
  <c r="BP399" i="2"/>
  <c r="Z399" i="2"/>
  <c r="BN399" i="2"/>
  <c r="BN176" i="2"/>
  <c r="BP176" i="2"/>
  <c r="Z149" i="2"/>
  <c r="Y213" i="2"/>
  <c r="BP256" i="2"/>
  <c r="BN256" i="2"/>
  <c r="Z256" i="2"/>
  <c r="Y325" i="2"/>
  <c r="BP321" i="2"/>
  <c r="Y324" i="2"/>
  <c r="BN321" i="2"/>
  <c r="Z321" i="2"/>
  <c r="X494" i="2"/>
  <c r="Y133" i="2"/>
  <c r="BN131" i="2"/>
  <c r="BP131" i="2"/>
  <c r="BP223" i="2"/>
  <c r="BN223" i="2"/>
  <c r="Z223" i="2"/>
  <c r="Y268" i="2"/>
  <c r="Y267" i="2"/>
  <c r="BP263" i="2"/>
  <c r="BN263" i="2"/>
  <c r="Z263" i="2"/>
  <c r="BN309" i="2"/>
  <c r="BP309" i="2"/>
  <c r="Z309" i="2"/>
  <c r="Y312" i="2"/>
  <c r="Y382" i="2"/>
  <c r="Y381" i="2"/>
  <c r="BP379" i="2"/>
  <c r="BN379" i="2"/>
  <c r="Z379" i="2"/>
  <c r="Y275" i="2"/>
  <c r="Y24" i="2"/>
  <c r="B503" i="2"/>
  <c r="BP22" i="2"/>
  <c r="BN22" i="2"/>
  <c r="Z62" i="2"/>
  <c r="BP62" i="2"/>
  <c r="BN62" i="2"/>
  <c r="Z92" i="2"/>
  <c r="F503" i="2"/>
  <c r="BP102" i="2"/>
  <c r="BN102" i="2"/>
  <c r="Z102" i="2"/>
  <c r="Z131" i="2"/>
  <c r="Z133" i="2" s="1"/>
  <c r="BN149" i="2"/>
  <c r="Y331" i="2"/>
  <c r="BP437" i="2"/>
  <c r="BN437" i="2"/>
  <c r="Z437" i="2"/>
  <c r="BN56" i="2"/>
  <c r="Z56" i="2"/>
  <c r="D503" i="2"/>
  <c r="Y58" i="2"/>
  <c r="BP52" i="2"/>
  <c r="BN52" i="2"/>
  <c r="Y43" i="2"/>
  <c r="BP41" i="2"/>
  <c r="Y36" i="2"/>
  <c r="BP34" i="2"/>
  <c r="Y35" i="2"/>
  <c r="Z34" i="2"/>
  <c r="Z35" i="2" s="1"/>
  <c r="BN92" i="2"/>
  <c r="Y144" i="2"/>
  <c r="BP364" i="2"/>
  <c r="Z364" i="2"/>
  <c r="Z366" i="2" s="1"/>
  <c r="BN364" i="2"/>
  <c r="Y367" i="2"/>
  <c r="Z22" i="2"/>
  <c r="Y57" i="2"/>
  <c r="Y201" i="2"/>
  <c r="BP199" i="2"/>
  <c r="BN199" i="2"/>
  <c r="Z199" i="2"/>
  <c r="Y202" i="2"/>
  <c r="Y288" i="2"/>
  <c r="Z446" i="2"/>
  <c r="L503" i="2"/>
  <c r="Y31" i="2"/>
  <c r="Z41" i="2"/>
  <c r="BN79" i="2"/>
  <c r="BP79" i="2"/>
  <c r="BN41" i="2"/>
  <c r="BP56" i="2"/>
  <c r="BN108" i="2"/>
  <c r="Y111" i="2"/>
  <c r="Y112" i="2"/>
  <c r="BP108" i="2"/>
  <c r="X495" i="2"/>
  <c r="BN34" i="2"/>
  <c r="BP74" i="2"/>
  <c r="BN74" i="2"/>
  <c r="G503" i="2"/>
  <c r="Y128" i="2"/>
  <c r="BP126" i="2"/>
  <c r="BP240" i="2"/>
  <c r="BN240" i="2"/>
  <c r="Z240" i="2"/>
  <c r="X503" i="2"/>
  <c r="BP234" i="2"/>
  <c r="Y243" i="2"/>
  <c r="BP279" i="2"/>
  <c r="Y293" i="2"/>
  <c r="BP323" i="2"/>
  <c r="Y345" i="2"/>
  <c r="Y357" i="2"/>
  <c r="Y406" i="2"/>
  <c r="BP416" i="2"/>
  <c r="BP439" i="2"/>
  <c r="BP485" i="2"/>
  <c r="I503" i="2"/>
  <c r="J503" i="2"/>
  <c r="Z342" i="2"/>
  <c r="Z354" i="2"/>
  <c r="Y402" i="2"/>
  <c r="Y440" i="2"/>
  <c r="Y486" i="2"/>
  <c r="K503" i="2"/>
  <c r="Y212" i="2"/>
  <c r="BN342" i="2"/>
  <c r="BN354" i="2"/>
  <c r="Z101" i="2"/>
  <c r="Z147" i="2"/>
  <c r="Z179" i="2"/>
  <c r="BP194" i="2"/>
  <c r="BN204" i="2"/>
  <c r="Z222" i="2"/>
  <c r="BN235" i="2"/>
  <c r="BN245" i="2"/>
  <c r="Z255" i="2"/>
  <c r="Z266" i="2"/>
  <c r="BN280" i="2"/>
  <c r="Z291" i="2"/>
  <c r="BN314" i="2"/>
  <c r="Z334" i="2"/>
  <c r="BN349" i="2"/>
  <c r="BN359" i="2"/>
  <c r="Z369" i="2"/>
  <c r="Z370" i="2" s="1"/>
  <c r="BP384" i="2"/>
  <c r="Z394" i="2"/>
  <c r="Z404" i="2"/>
  <c r="BN417" i="2"/>
  <c r="Z430" i="2"/>
  <c r="Y441" i="2"/>
  <c r="Z450" i="2"/>
  <c r="BN464" i="2"/>
  <c r="BP476" i="2"/>
  <c r="Y487" i="2"/>
  <c r="O503" i="2"/>
  <c r="Z207" i="2"/>
  <c r="Z217" i="2"/>
  <c r="Z227" i="2"/>
  <c r="Z238" i="2"/>
  <c r="Z272" i="2"/>
  <c r="Z297" i="2"/>
  <c r="Z307" i="2"/>
  <c r="Z317" i="2"/>
  <c r="BP342" i="2"/>
  <c r="Z352" i="2"/>
  <c r="Z375" i="2"/>
  <c r="Z376" i="2" s="1"/>
  <c r="Z410" i="2"/>
  <c r="Z411" i="2" s="1"/>
  <c r="Y456" i="2"/>
  <c r="Z467" i="2"/>
  <c r="Z116" i="2"/>
  <c r="Z174" i="2"/>
  <c r="Z184" i="2"/>
  <c r="Z186" i="2" s="1"/>
  <c r="Z30" i="2"/>
  <c r="Z55" i="2"/>
  <c r="BN67" i="2"/>
  <c r="BN101" i="2"/>
  <c r="Y104" i="2"/>
  <c r="Z121" i="2"/>
  <c r="Z122" i="2" s="1"/>
  <c r="BN147" i="2"/>
  <c r="Z169" i="2"/>
  <c r="BN179" i="2"/>
  <c r="Z189" i="2"/>
  <c r="Z190" i="2" s="1"/>
  <c r="BP204" i="2"/>
  <c r="BN222" i="2"/>
  <c r="Z233" i="2"/>
  <c r="BP245" i="2"/>
  <c r="BN255" i="2"/>
  <c r="Y258" i="2"/>
  <c r="BN266" i="2"/>
  <c r="BN291" i="2"/>
  <c r="Y303" i="2"/>
  <c r="BP314" i="2"/>
  <c r="Z322" i="2"/>
  <c r="BN334" i="2"/>
  <c r="Y337" i="2"/>
  <c r="BP349" i="2"/>
  <c r="BP359" i="2"/>
  <c r="BN369" i="2"/>
  <c r="Z380" i="2"/>
  <c r="BN394" i="2"/>
  <c r="BN404" i="2"/>
  <c r="Z415" i="2"/>
  <c r="BN430" i="2"/>
  <c r="Z438" i="2"/>
  <c r="BN450" i="2"/>
  <c r="BP464" i="2"/>
  <c r="Z472" i="2"/>
  <c r="Y477" i="2"/>
  <c r="Z484" i="2"/>
  <c r="Q503" i="2"/>
  <c r="Z72" i="2"/>
  <c r="Z75" i="2" s="1"/>
  <c r="Z60" i="2"/>
  <c r="BN72" i="2"/>
  <c r="Z93" i="2"/>
  <c r="BN116" i="2"/>
  <c r="Z127" i="2"/>
  <c r="Z128" i="2" s="1"/>
  <c r="BN174" i="2"/>
  <c r="BN184" i="2"/>
  <c r="Z195" i="2"/>
  <c r="BN207" i="2"/>
  <c r="BN217" i="2"/>
  <c r="BN227" i="2"/>
  <c r="BN238" i="2"/>
  <c r="BN272" i="2"/>
  <c r="BN297" i="2"/>
  <c r="BN307" i="2"/>
  <c r="BN317" i="2"/>
  <c r="BN352" i="2"/>
  <c r="BN375" i="2"/>
  <c r="BN410" i="2"/>
  <c r="BN467" i="2"/>
  <c r="Z67" i="2"/>
  <c r="BN233" i="2"/>
  <c r="Y246" i="2"/>
  <c r="BP334" i="2"/>
  <c r="BP369" i="2"/>
  <c r="BN472" i="2"/>
  <c r="BN484" i="2"/>
  <c r="S503" i="2"/>
  <c r="BP147" i="2"/>
  <c r="Z23" i="2"/>
  <c r="BN60" i="2"/>
  <c r="Y63" i="2"/>
  <c r="BN93" i="2"/>
  <c r="Y105" i="2"/>
  <c r="Z114" i="2"/>
  <c r="BN127" i="2"/>
  <c r="Z137" i="2"/>
  <c r="Z138" i="2" s="1"/>
  <c r="BN150" i="2"/>
  <c r="Z162" i="2"/>
  <c r="Z163" i="2" s="1"/>
  <c r="Z172" i="2"/>
  <c r="BN195" i="2"/>
  <c r="Z205" i="2"/>
  <c r="Z215" i="2"/>
  <c r="Z236" i="2"/>
  <c r="Z281" i="2"/>
  <c r="Z305" i="2"/>
  <c r="Z315" i="2"/>
  <c r="BN327" i="2"/>
  <c r="Z350" i="2"/>
  <c r="Z360" i="2"/>
  <c r="Z361" i="2" s="1"/>
  <c r="BN385" i="2"/>
  <c r="BN397" i="2"/>
  <c r="BP410" i="2"/>
  <c r="BN433" i="2"/>
  <c r="BN443" i="2"/>
  <c r="Y446" i="2"/>
  <c r="BN453" i="2"/>
  <c r="Z465" i="2"/>
  <c r="Z468" i="2" s="1"/>
  <c r="BN490" i="2"/>
  <c r="T503" i="2"/>
  <c r="BN458" i="2"/>
  <c r="Y370" i="2"/>
  <c r="BN23" i="2"/>
  <c r="BN114" i="2"/>
  <c r="BN137" i="2"/>
  <c r="BN162" i="2"/>
  <c r="BN172" i="2"/>
  <c r="BN205" i="2"/>
  <c r="BN215" i="2"/>
  <c r="BN236" i="2"/>
  <c r="BN281" i="2"/>
  <c r="Z292" i="2"/>
  <c r="BN305" i="2"/>
  <c r="BN315" i="2"/>
  <c r="Y318" i="2"/>
  <c r="Z335" i="2"/>
  <c r="BN350" i="2"/>
  <c r="BN360" i="2"/>
  <c r="Y376" i="2"/>
  <c r="Z395" i="2"/>
  <c r="Z405" i="2"/>
  <c r="Y411" i="2"/>
  <c r="Z431" i="2"/>
  <c r="Z451" i="2"/>
  <c r="BN465" i="2"/>
  <c r="Y468" i="2"/>
  <c r="BP490" i="2"/>
  <c r="V503" i="2"/>
  <c r="Z170" i="2"/>
  <c r="Z234" i="2"/>
  <c r="Z279" i="2"/>
  <c r="Z282" i="2" s="1"/>
  <c r="BN292" i="2"/>
  <c r="BP305" i="2"/>
  <c r="Z323" i="2"/>
  <c r="BN335" i="2"/>
  <c r="BN395" i="2"/>
  <c r="BN405" i="2"/>
  <c r="Z416" i="2"/>
  <c r="BN431" i="2"/>
  <c r="Z439" i="2"/>
  <c r="BN451" i="2"/>
  <c r="Z485" i="2"/>
  <c r="Y491" i="2"/>
  <c r="E503" i="2"/>
  <c r="Y469" i="2"/>
  <c r="BN279" i="2"/>
  <c r="Z356" i="2" l="1"/>
  <c r="Z318" i="2"/>
  <c r="Z118" i="2"/>
  <c r="Z68" i="2"/>
  <c r="Z63" i="2"/>
  <c r="Z57" i="2"/>
  <c r="Z275" i="2"/>
  <c r="Z229" i="2"/>
  <c r="Z258" i="2"/>
  <c r="Z104" i="2"/>
  <c r="Z43" i="2"/>
  <c r="Z201" i="2"/>
  <c r="Z88" i="2"/>
  <c r="Z288" i="2"/>
  <c r="Z331" i="2"/>
  <c r="Z311" i="2"/>
  <c r="Z196" i="2"/>
  <c r="Z302" i="2"/>
  <c r="Z267" i="2"/>
  <c r="Z344" i="2"/>
  <c r="Z212" i="2"/>
  <c r="Z401" i="2"/>
  <c r="Z381" i="2"/>
  <c r="X496" i="2"/>
  <c r="Y493" i="2"/>
  <c r="Z387" i="2"/>
  <c r="Z486" i="2"/>
  <c r="Z337" i="2"/>
  <c r="Z95" i="2"/>
  <c r="Y497" i="2"/>
  <c r="Z31" i="2"/>
  <c r="Z293" i="2"/>
  <c r="Z473" i="2"/>
  <c r="Z324" i="2"/>
  <c r="Z455" i="2"/>
  <c r="Z440" i="2"/>
  <c r="Z418" i="2"/>
  <c r="Z406" i="2"/>
  <c r="Z153" i="2"/>
  <c r="Z180" i="2"/>
  <c r="Z242" i="2"/>
  <c r="Z24" i="2"/>
  <c r="Y494" i="2"/>
  <c r="Z224" i="2"/>
  <c r="Y495" i="2"/>
  <c r="Y496" i="2" l="1"/>
  <c r="Z498" i="2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<sst xmlns="http://schemas.openxmlformats.org/spreadsheetml/2006/main" count="3633" uniqueCount="774">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</sst>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7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1" t="s">
        <v>26</v>
      </c>
      <c r="E1" s="871"/>
      <c r="F1" s="871"/>
      <c r="G1" s="14" t="s">
        <v>66</v>
      </c>
      <c r="H1" s="871" t="s">
        <v>46</v>
      </c>
      <c r="I1" s="871"/>
      <c r="J1" s="871"/>
      <c r="K1" s="871"/>
      <c r="L1" s="871"/>
      <c r="M1" s="871"/>
      <c r="N1" s="871"/>
      <c r="O1" s="871"/>
      <c r="P1" s="871"/>
      <c r="Q1" s="871"/>
      <c r="R1" s="872" t="s">
        <v>67</v>
      </c>
      <c r="S1" s="873"/>
      <c r="T1" s="8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4"/>
      <c r="R2" s="874"/>
      <c r="S2" s="874"/>
      <c r="T2" s="874"/>
      <c r="U2" s="874"/>
      <c r="V2" s="874"/>
      <c r="W2" s="8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4"/>
      <c r="Q3" s="874"/>
      <c r="R3" s="874"/>
      <c r="S3" s="874"/>
      <c r="T3" s="874"/>
      <c r="U3" s="874"/>
      <c r="V3" s="874"/>
      <c r="W3" s="8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5"/>
      <c r="E5" s="875"/>
      <c r="F5" s="876" t="s">
        <v>14</v>
      </c>
      <c r="G5" s="876"/>
      <c r="H5" s="875"/>
      <c r="I5" s="875"/>
      <c r="J5" s="875"/>
      <c r="K5" s="875"/>
      <c r="L5" s="875"/>
      <c r="M5" s="875"/>
      <c r="N5" s="72"/>
      <c r="P5" s="27" t="s">
        <v>4</v>
      </c>
      <c r="Q5" s="877">
        <v>46041</v>
      </c>
      <c r="R5" s="877"/>
      <c r="T5" s="878" t="s">
        <v>3</v>
      </c>
      <c r="U5" s="879"/>
      <c r="V5" s="880" t="s">
        <v>760</v>
      </c>
      <c r="W5" s="881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0.41666666666666669</v>
      </c>
      <c r="R8" s="868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9" t="str">
        <f>IF(AND($A$9="Тип доверенности/получателя при получении в адресе перегруза:",$D$9="Разовая доверенность"),"Введите ФИО","")</f>
        <v/>
      </c>
      <c r="I9" s="869"/>
      <c r="J9" s="8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9"/>
      <c r="L9" s="869"/>
      <c r="M9" s="869"/>
      <c r="N9" s="70"/>
      <c r="P9" s="31" t="s">
        <v>15</v>
      </c>
      <c r="Q9" s="870"/>
      <c r="R9" s="870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8" t="s">
        <v>127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62" t="s">
        <v>146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562" t="s">
        <v>171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578" t="s">
        <v>178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121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117</v>
      </c>
      <c r="AK86" s="84">
        <v>48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44</v>
      </c>
      <c r="Y92" s="55">
        <f>IFERROR(IF(X92="",0,CEILING((X92/$H92),1)*$H92),"")</f>
        <v>44.400000000000006</v>
      </c>
      <c r="Z92" s="41">
        <f>IFERROR(IF(Y92=0,"",ROUNDUP(Y92/H92,0)*0.00651),"")</f>
        <v>0.13020000000000001</v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48.994594594594588</v>
      </c>
      <c r="BN92" s="78">
        <f>IFERROR(Y92*I92/H92,"0")</f>
        <v>49.440000000000005</v>
      </c>
      <c r="BO92" s="78">
        <f>IFERROR(1/J92*(X92/H92),"0")</f>
        <v>0.10890010890010889</v>
      </c>
      <c r="BP92" s="78">
        <f>IFERROR(1/J92*(Y92/H92),"0")</f>
        <v>0.1098901098901099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197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197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19.819819819819816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0.13020000000000001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44</v>
      </c>
      <c r="Y96" s="43">
        <f>IFERROR(SUM(Y91:Y94),"0")</f>
        <v>44.400000000000006</v>
      </c>
      <c r="Z96" s="42"/>
      <c r="AA96" s="67"/>
      <c r="AB96" s="67"/>
      <c r="AC96" s="67"/>
    </row>
    <row r="97" spans="1:68" ht="16.5" customHeight="1" x14ac:dyDescent="0.25">
      <c r="A97" s="578" t="s">
        <v>201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562" t="s">
        <v>146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197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562" t="s">
        <v>171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4301011562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197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4301011564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197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4301031235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4301031234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197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117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customHeight="1" x14ac:dyDescent="0.25">
      <c r="A161" s="562" t="s">
        <v>146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45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121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197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117</v>
      </c>
      <c r="AK195" s="84">
        <v>37.799999999999997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562" t="s">
        <v>146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121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64.8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64.8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197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197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197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197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197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562" t="s">
        <v>171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4301011824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4301012196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4301011722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121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117</v>
      </c>
      <c r="AK240" s="84">
        <v>48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4301012195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562" t="s">
        <v>146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116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117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116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117</v>
      </c>
      <c r="AK264" s="84">
        <v>86.4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197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197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121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117</v>
      </c>
      <c r="AK306" s="84">
        <v>50.4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116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117</v>
      </c>
      <c r="AK314" s="84">
        <v>62.4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562" t="s">
        <v>171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197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197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197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197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117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572</v>
      </c>
      <c r="B351" s="63" t="s">
        <v>573</v>
      </c>
      <c r="C351" s="36">
        <v>4301011867</v>
      </c>
      <c r="D351" s="563">
        <v>4680115884830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116</v>
      </c>
      <c r="M351" s="38" t="s">
        <v>82</v>
      </c>
      <c r="N351" s="38"/>
      <c r="O351" s="37">
        <v>60</v>
      </c>
      <c r="P351" s="64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117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4301012215</v>
      </c>
      <c r="D352" s="563">
        <v>4680115887046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98</v>
      </c>
      <c r="N352" s="38"/>
      <c r="O352" s="37">
        <v>60</v>
      </c>
      <c r="P352" s="64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562" t="s">
        <v>146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562" t="s">
        <v>171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116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117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4301031303</v>
      </c>
      <c r="D379" s="563">
        <v>4607091384802</v>
      </c>
      <c r="E379" s="56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120</v>
      </c>
      <c r="L379" s="37" t="s">
        <v>121</v>
      </c>
      <c r="M379" s="38" t="s">
        <v>82</v>
      </c>
      <c r="N379" s="38"/>
      <c r="O379" s="37">
        <v>35</v>
      </c>
      <c r="P379" s="63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117</v>
      </c>
      <c r="AK379" s="84">
        <v>52.56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4301031457</v>
      </c>
      <c r="D380" s="563">
        <v>4607091384802</v>
      </c>
      <c r="E380" s="56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50</v>
      </c>
      <c r="P380" s="6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197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117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121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117</v>
      </c>
      <c r="AK394" s="84">
        <v>64.8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customHeight="1" x14ac:dyDescent="0.25">
      <c r="A409" s="562" t="s">
        <v>146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45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562" t="s">
        <v>146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121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116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117</v>
      </c>
      <c r="AK466" s="84">
        <v>96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562" t="s">
        <v>146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562" t="s">
        <v>171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customHeight="1" x14ac:dyDescent="0.25">
      <c r="A489" s="562" t="s">
        <v>146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44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44.400000000000006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48.994594594594588</v>
      </c>
      <c r="Y494" s="43">
        <f>IFERROR(SUM(BN22:BN490),"0")</f>
        <v>49.440000000000005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1</v>
      </c>
      <c r="Y495" s="44">
        <f>ROUNDUP(SUM(BP22:BP490),0)</f>
        <v>1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73.994594594594588</v>
      </c>
      <c r="Y496" s="43">
        <f>GrossWeightTotalR+PalletQtyTotalR*25</f>
        <v>74.44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19.819819819819816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20</v>
      </c>
      <c r="Z497" s="42"/>
      <c r="AA497" s="67"/>
      <c r="AB497" s="67"/>
      <c r="AC497" s="67"/>
    </row>
    <row r="498" spans="1:32" ht="14.25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0.13020000000000001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127</v>
      </c>
      <c r="E501" s="558" t="s">
        <v>178</v>
      </c>
      <c r="F501" s="558" t="s">
        <v>201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44.400000000000006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66 X449:X451 X445 X443 X434 X431:X432 X428 X394 X384:X385 X379 X374 X359 X349:X351 X342:X343 X329:X330 X322 X314 X306 X280:X281 X264 X262 X240 X220:X223 X215:X218 X211 X204:X209 X195 X177 X170 X168 X132 X126:X127 X116 X114 X107 X101:X102 X99 X93:X94 X91 X86:X87 X84 X78 X60 X56 X54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