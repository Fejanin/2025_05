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"/>
    </mc:Choice>
  </mc:AlternateContent>
  <xr:revisionPtr revIDLastSave="0" documentId="13_ncr:1_{9869F8B9-756F-444E-B5F6-C966D35880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S7" i="1" s="1"/>
  <c r="T7" i="1" s="1"/>
  <c r="M8" i="1"/>
  <c r="S8" i="1" s="1"/>
  <c r="T8" i="1" s="1"/>
  <c r="M9" i="1"/>
  <c r="S9" i="1" s="1"/>
  <c r="M10" i="1"/>
  <c r="S10" i="1" s="1"/>
  <c r="M11" i="1"/>
  <c r="S11" i="1" s="1"/>
  <c r="M12" i="1"/>
  <c r="S12" i="1" s="1"/>
  <c r="M13" i="1"/>
  <c r="S13" i="1" s="1"/>
  <c r="M14" i="1"/>
  <c r="S14" i="1" s="1"/>
  <c r="T14" i="1" s="1"/>
  <c r="M15" i="1"/>
  <c r="S15" i="1" s="1"/>
  <c r="T15" i="1" s="1"/>
  <c r="M16" i="1"/>
  <c r="S16" i="1" s="1"/>
  <c r="M17" i="1"/>
  <c r="S17" i="1" s="1"/>
  <c r="M18" i="1"/>
  <c r="S18" i="1" s="1"/>
  <c r="M19" i="1"/>
  <c r="S19" i="1" s="1"/>
  <c r="M20" i="1"/>
  <c r="S20" i="1" s="1"/>
  <c r="T20" i="1" s="1"/>
  <c r="M21" i="1"/>
  <c r="S21" i="1" s="1"/>
  <c r="M22" i="1"/>
  <c r="S22" i="1" s="1"/>
  <c r="T22" i="1" s="1"/>
  <c r="M23" i="1"/>
  <c r="S23" i="1" s="1"/>
  <c r="M24" i="1"/>
  <c r="S24" i="1" s="1"/>
  <c r="T24" i="1" s="1"/>
  <c r="M25" i="1"/>
  <c r="S25" i="1" s="1"/>
  <c r="M26" i="1"/>
  <c r="S26" i="1" s="1"/>
  <c r="M27" i="1"/>
  <c r="S27" i="1" s="1"/>
  <c r="T27" i="1" s="1"/>
  <c r="M28" i="1"/>
  <c r="S28" i="1" s="1"/>
  <c r="M29" i="1"/>
  <c r="S29" i="1" s="1"/>
  <c r="M30" i="1"/>
  <c r="S30" i="1" s="1"/>
  <c r="M31" i="1"/>
  <c r="S31" i="1" s="1"/>
  <c r="W31" i="1" s="1"/>
  <c r="M32" i="1"/>
  <c r="S32" i="1" s="1"/>
  <c r="W32" i="1" s="1"/>
  <c r="M33" i="1"/>
  <c r="S33" i="1" s="1"/>
  <c r="T33" i="1" s="1"/>
  <c r="M34" i="1"/>
  <c r="S34" i="1" s="1"/>
  <c r="M35" i="1"/>
  <c r="S35" i="1" s="1"/>
  <c r="M36" i="1"/>
  <c r="S36" i="1" s="1"/>
  <c r="W36" i="1" s="1"/>
  <c r="M37" i="1"/>
  <c r="S37" i="1" s="1"/>
  <c r="M38" i="1"/>
  <c r="S38" i="1" s="1"/>
  <c r="M39" i="1"/>
  <c r="S39" i="1" s="1"/>
  <c r="M40" i="1"/>
  <c r="S40" i="1" s="1"/>
  <c r="M41" i="1"/>
  <c r="S41" i="1" s="1"/>
  <c r="T41" i="1" s="1"/>
  <c r="M42" i="1"/>
  <c r="S42" i="1" s="1"/>
  <c r="M43" i="1"/>
  <c r="S43" i="1" s="1"/>
  <c r="T43" i="1" s="1"/>
  <c r="M44" i="1"/>
  <c r="S44" i="1" s="1"/>
  <c r="M45" i="1"/>
  <c r="S45" i="1" s="1"/>
  <c r="T45" i="1" s="1"/>
  <c r="M46" i="1"/>
  <c r="S46" i="1" s="1"/>
  <c r="M47" i="1"/>
  <c r="S47" i="1" s="1"/>
  <c r="T47" i="1" s="1"/>
  <c r="M48" i="1"/>
  <c r="S48" i="1" s="1"/>
  <c r="M49" i="1"/>
  <c r="S49" i="1" s="1"/>
  <c r="W49" i="1" s="1"/>
  <c r="M50" i="1"/>
  <c r="S50" i="1" s="1"/>
  <c r="M51" i="1"/>
  <c r="S51" i="1" s="1"/>
  <c r="M52" i="1"/>
  <c r="S52" i="1" s="1"/>
  <c r="W52" i="1" s="1"/>
  <c r="M53" i="1"/>
  <c r="S53" i="1" s="1"/>
  <c r="T53" i="1" s="1"/>
  <c r="M54" i="1"/>
  <c r="S54" i="1" s="1"/>
  <c r="T54" i="1" s="1"/>
  <c r="M55" i="1"/>
  <c r="S55" i="1" s="1"/>
  <c r="T55" i="1" s="1"/>
  <c r="M56" i="1"/>
  <c r="S56" i="1" s="1"/>
  <c r="M57" i="1"/>
  <c r="S57" i="1" s="1"/>
  <c r="T57" i="1" s="1"/>
  <c r="M58" i="1"/>
  <c r="S58" i="1" s="1"/>
  <c r="M59" i="1"/>
  <c r="S59" i="1" s="1"/>
  <c r="T59" i="1" s="1"/>
  <c r="M60" i="1"/>
  <c r="S60" i="1" s="1"/>
  <c r="M61" i="1"/>
  <c r="S61" i="1" s="1"/>
  <c r="T61" i="1" s="1"/>
  <c r="M62" i="1"/>
  <c r="S62" i="1" s="1"/>
  <c r="M63" i="1"/>
  <c r="S63" i="1" s="1"/>
  <c r="T63" i="1" s="1"/>
  <c r="M64" i="1"/>
  <c r="S64" i="1" s="1"/>
  <c r="M65" i="1"/>
  <c r="S65" i="1" s="1"/>
  <c r="T65" i="1" s="1"/>
  <c r="M66" i="1"/>
  <c r="S66" i="1" s="1"/>
  <c r="M67" i="1"/>
  <c r="S67" i="1" s="1"/>
  <c r="M68" i="1"/>
  <c r="S68" i="1" s="1"/>
  <c r="M69" i="1"/>
  <c r="S69" i="1" s="1"/>
  <c r="T69" i="1" s="1"/>
  <c r="M70" i="1"/>
  <c r="S70" i="1" s="1"/>
  <c r="M71" i="1"/>
  <c r="S71" i="1" s="1"/>
  <c r="T71" i="1" s="1"/>
  <c r="M72" i="1"/>
  <c r="S72" i="1" s="1"/>
  <c r="M73" i="1"/>
  <c r="S73" i="1" s="1"/>
  <c r="T73" i="1" s="1"/>
  <c r="M74" i="1"/>
  <c r="S74" i="1" s="1"/>
  <c r="M75" i="1"/>
  <c r="S75" i="1" s="1"/>
  <c r="M76" i="1"/>
  <c r="S76" i="1" s="1"/>
  <c r="M77" i="1"/>
  <c r="S77" i="1" s="1"/>
  <c r="M78" i="1"/>
  <c r="S78" i="1" s="1"/>
  <c r="M79" i="1"/>
  <c r="S79" i="1" s="1"/>
  <c r="T79" i="1" s="1"/>
  <c r="M80" i="1"/>
  <c r="S80" i="1" s="1"/>
  <c r="M81" i="1"/>
  <c r="S81" i="1" s="1"/>
  <c r="T81" i="1" s="1"/>
  <c r="M82" i="1"/>
  <c r="S82" i="1" s="1"/>
  <c r="T82" i="1" s="1"/>
  <c r="M83" i="1"/>
  <c r="S83" i="1" s="1"/>
  <c r="M84" i="1"/>
  <c r="S84" i="1" s="1"/>
  <c r="T84" i="1" s="1"/>
  <c r="M85" i="1"/>
  <c r="S85" i="1" s="1"/>
  <c r="T85" i="1" s="1"/>
  <c r="M86" i="1"/>
  <c r="S86" i="1" s="1"/>
  <c r="T86" i="1" s="1"/>
  <c r="M87" i="1"/>
  <c r="S87" i="1" s="1"/>
  <c r="T87" i="1" s="1"/>
  <c r="M88" i="1"/>
  <c r="S88" i="1" s="1"/>
  <c r="M89" i="1"/>
  <c r="S89" i="1" s="1"/>
  <c r="M90" i="1"/>
  <c r="S90" i="1" s="1"/>
  <c r="M91" i="1"/>
  <c r="S91" i="1" s="1"/>
  <c r="M92" i="1"/>
  <c r="S92" i="1" s="1"/>
  <c r="M93" i="1"/>
  <c r="S93" i="1" s="1"/>
  <c r="X93" i="1" s="1"/>
  <c r="M94" i="1"/>
  <c r="S94" i="1" s="1"/>
  <c r="X94" i="1" s="1"/>
  <c r="M95" i="1"/>
  <c r="S95" i="1" s="1"/>
  <c r="X95" i="1" s="1"/>
  <c r="M96" i="1"/>
  <c r="S96" i="1" s="1"/>
  <c r="X96" i="1" s="1"/>
  <c r="M97" i="1"/>
  <c r="S97" i="1" s="1"/>
  <c r="X97" i="1" s="1"/>
  <c r="M98" i="1"/>
  <c r="S98" i="1" s="1"/>
  <c r="M99" i="1"/>
  <c r="S99" i="1" s="1"/>
  <c r="X99" i="1" s="1"/>
  <c r="M100" i="1"/>
  <c r="S100" i="1" s="1"/>
  <c r="M101" i="1"/>
  <c r="S101" i="1" s="1"/>
  <c r="X101" i="1" s="1"/>
  <c r="M6" i="1"/>
  <c r="S6" i="1" s="1"/>
  <c r="T6" i="1" s="1"/>
  <c r="W95" i="1" l="1"/>
  <c r="W6" i="1"/>
  <c r="X100" i="1"/>
  <c r="T100" i="1"/>
  <c r="W100" i="1" s="1"/>
  <c r="X98" i="1"/>
  <c r="T98" i="1"/>
  <c r="W98" i="1" s="1"/>
  <c r="X92" i="1"/>
  <c r="AH92" i="1"/>
  <c r="W90" i="1"/>
  <c r="T88" i="1"/>
  <c r="W88" i="1" s="1"/>
  <c r="W86" i="1"/>
  <c r="W84" i="1"/>
  <c r="W82" i="1"/>
  <c r="T80" i="1"/>
  <c r="W80" i="1" s="1"/>
  <c r="W78" i="1"/>
  <c r="W76" i="1"/>
  <c r="W74" i="1"/>
  <c r="W72" i="1"/>
  <c r="T70" i="1"/>
  <c r="W70" i="1" s="1"/>
  <c r="T68" i="1"/>
  <c r="W68" i="1" s="1"/>
  <c r="T66" i="1"/>
  <c r="W66" i="1" s="1"/>
  <c r="T64" i="1"/>
  <c r="W64" i="1" s="1"/>
  <c r="T62" i="1"/>
  <c r="W62" i="1" s="1"/>
  <c r="T60" i="1"/>
  <c r="W60" i="1" s="1"/>
  <c r="T58" i="1"/>
  <c r="W58" i="1" s="1"/>
  <c r="W56" i="1"/>
  <c r="W54" i="1"/>
  <c r="W50" i="1"/>
  <c r="W48" i="1"/>
  <c r="T46" i="1"/>
  <c r="W46" i="1" s="1"/>
  <c r="T44" i="1"/>
  <c r="W44" i="1" s="1"/>
  <c r="T42" i="1"/>
  <c r="W42" i="1" s="1"/>
  <c r="T40" i="1"/>
  <c r="W40" i="1" s="1"/>
  <c r="W38" i="1"/>
  <c r="W34" i="1"/>
  <c r="T30" i="1"/>
  <c r="W30" i="1" s="1"/>
  <c r="W28" i="1"/>
  <c r="T26" i="1"/>
  <c r="W26" i="1" s="1"/>
  <c r="W22" i="1"/>
  <c r="W14" i="1"/>
  <c r="W8" i="1"/>
  <c r="T10" i="1"/>
  <c r="W10" i="1" s="1"/>
  <c r="W12" i="1"/>
  <c r="T16" i="1"/>
  <c r="W16" i="1" s="1"/>
  <c r="T18" i="1"/>
  <c r="W18" i="1" s="1"/>
  <c r="W20" i="1"/>
  <c r="W24" i="1"/>
  <c r="W7" i="1"/>
  <c r="T9" i="1"/>
  <c r="W9" i="1" s="1"/>
  <c r="T11" i="1"/>
  <c r="W11" i="1" s="1"/>
  <c r="W13" i="1"/>
  <c r="W15" i="1"/>
  <c r="T17" i="1"/>
  <c r="W17" i="1" s="1"/>
  <c r="W19" i="1"/>
  <c r="W21" i="1"/>
  <c r="W23" i="1"/>
  <c r="T25" i="1"/>
  <c r="W25" i="1" s="1"/>
  <c r="W27" i="1"/>
  <c r="T29" i="1"/>
  <c r="W29" i="1" s="1"/>
  <c r="W33" i="1"/>
  <c r="T35" i="1"/>
  <c r="W35" i="1" s="1"/>
  <c r="W51" i="1"/>
  <c r="T97" i="1"/>
  <c r="W97" i="1" s="1"/>
  <c r="T99" i="1"/>
  <c r="W99" i="1" s="1"/>
  <c r="T101" i="1"/>
  <c r="AH101" i="1" s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47" i="1"/>
  <c r="W45" i="1"/>
  <c r="W43" i="1"/>
  <c r="W41" i="1"/>
  <c r="W39" i="1"/>
  <c r="W37" i="1"/>
  <c r="X6" i="1"/>
  <c r="W94" i="1"/>
  <c r="X90" i="1"/>
  <c r="X86" i="1"/>
  <c r="X82" i="1"/>
  <c r="X78" i="1"/>
  <c r="X74" i="1"/>
  <c r="X70" i="1"/>
  <c r="X66" i="1"/>
  <c r="X62" i="1"/>
  <c r="X58" i="1"/>
  <c r="X54" i="1"/>
  <c r="X50" i="1"/>
  <c r="X46" i="1"/>
  <c r="X42" i="1"/>
  <c r="X38" i="1"/>
  <c r="X34" i="1"/>
  <c r="X30" i="1"/>
  <c r="X26" i="1"/>
  <c r="X22" i="1"/>
  <c r="X18" i="1"/>
  <c r="X14" i="1"/>
  <c r="X10" i="1"/>
  <c r="W96" i="1"/>
  <c r="W92" i="1"/>
  <c r="X88" i="1"/>
  <c r="X84" i="1"/>
  <c r="X80" i="1"/>
  <c r="X76" i="1"/>
  <c r="X72" i="1"/>
  <c r="X68" i="1"/>
  <c r="X64" i="1"/>
  <c r="X60" i="1"/>
  <c r="X56" i="1"/>
  <c r="X52" i="1"/>
  <c r="X48" i="1"/>
  <c r="X44" i="1"/>
  <c r="X40" i="1"/>
  <c r="X36" i="1"/>
  <c r="X32" i="1"/>
  <c r="X28" i="1"/>
  <c r="X24" i="1"/>
  <c r="X20" i="1"/>
  <c r="X16" i="1"/>
  <c r="X12" i="1"/>
  <c r="X8" i="1"/>
  <c r="W93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L101" i="1"/>
  <c r="L100" i="1"/>
  <c r="L99" i="1"/>
  <c r="L98" i="1"/>
  <c r="L97" i="1"/>
  <c r="L96" i="1"/>
  <c r="L95" i="1"/>
  <c r="L94" i="1"/>
  <c r="L93" i="1"/>
  <c r="L92" i="1"/>
  <c r="AH91" i="1"/>
  <c r="L91" i="1"/>
  <c r="L90" i="1"/>
  <c r="AH89" i="1"/>
  <c r="L89" i="1"/>
  <c r="L88" i="1"/>
  <c r="AH87" i="1"/>
  <c r="L87" i="1"/>
  <c r="L86" i="1"/>
  <c r="AH85" i="1"/>
  <c r="L85" i="1"/>
  <c r="L84" i="1"/>
  <c r="AH83" i="1"/>
  <c r="L83" i="1"/>
  <c r="L82" i="1"/>
  <c r="AH81" i="1"/>
  <c r="L81" i="1"/>
  <c r="L80" i="1"/>
  <c r="AH79" i="1"/>
  <c r="L79" i="1"/>
  <c r="L78" i="1"/>
  <c r="AH77" i="1"/>
  <c r="L77" i="1"/>
  <c r="L76" i="1"/>
  <c r="AH75" i="1"/>
  <c r="L75" i="1"/>
  <c r="L74" i="1"/>
  <c r="AH73" i="1"/>
  <c r="L73" i="1"/>
  <c r="L72" i="1"/>
  <c r="AH71" i="1"/>
  <c r="L71" i="1"/>
  <c r="L70" i="1"/>
  <c r="AH69" i="1"/>
  <c r="L69" i="1"/>
  <c r="L68" i="1"/>
  <c r="AH67" i="1"/>
  <c r="L67" i="1"/>
  <c r="L66" i="1"/>
  <c r="AH65" i="1"/>
  <c r="L65" i="1"/>
  <c r="L64" i="1"/>
  <c r="AH63" i="1"/>
  <c r="L63" i="1"/>
  <c r="L62" i="1"/>
  <c r="AH61" i="1"/>
  <c r="L61" i="1"/>
  <c r="L60" i="1"/>
  <c r="AH59" i="1"/>
  <c r="L59" i="1"/>
  <c r="L58" i="1"/>
  <c r="AH57" i="1"/>
  <c r="L57" i="1"/>
  <c r="L56" i="1"/>
  <c r="AH55" i="1"/>
  <c r="L55" i="1"/>
  <c r="L54" i="1"/>
  <c r="AH53" i="1"/>
  <c r="L53" i="1"/>
  <c r="L52" i="1"/>
  <c r="AH51" i="1"/>
  <c r="L51" i="1"/>
  <c r="AH50" i="1"/>
  <c r="L50" i="1"/>
  <c r="L49" i="1"/>
  <c r="L48" i="1"/>
  <c r="AH47" i="1"/>
  <c r="L47" i="1"/>
  <c r="L46" i="1"/>
  <c r="AH45" i="1"/>
  <c r="L45" i="1"/>
  <c r="L44" i="1"/>
  <c r="AH43" i="1"/>
  <c r="L43" i="1"/>
  <c r="L42" i="1"/>
  <c r="AH41" i="1"/>
  <c r="L41" i="1"/>
  <c r="L40" i="1"/>
  <c r="AH39" i="1"/>
  <c r="L39" i="1"/>
  <c r="L38" i="1"/>
  <c r="AH37" i="1"/>
  <c r="L37" i="1"/>
  <c r="L36" i="1"/>
  <c r="L35" i="1"/>
  <c r="AH34" i="1"/>
  <c r="L34" i="1"/>
  <c r="AH33" i="1"/>
  <c r="L33" i="1"/>
  <c r="L32" i="1"/>
  <c r="L31" i="1"/>
  <c r="L30" i="1"/>
  <c r="L29" i="1"/>
  <c r="AH28" i="1"/>
  <c r="L28" i="1"/>
  <c r="AH27" i="1"/>
  <c r="L27" i="1"/>
  <c r="L26" i="1"/>
  <c r="L25" i="1"/>
  <c r="AH24" i="1"/>
  <c r="L24" i="1"/>
  <c r="AH23" i="1"/>
  <c r="L23" i="1"/>
  <c r="AH22" i="1"/>
  <c r="L22" i="1"/>
  <c r="AH21" i="1"/>
  <c r="L21" i="1"/>
  <c r="AH20" i="1"/>
  <c r="L20" i="1"/>
  <c r="AH19" i="1"/>
  <c r="L19" i="1"/>
  <c r="L18" i="1"/>
  <c r="L17" i="1"/>
  <c r="L16" i="1"/>
  <c r="AH15" i="1"/>
  <c r="L15" i="1"/>
  <c r="AH14" i="1"/>
  <c r="L14" i="1"/>
  <c r="AH13" i="1"/>
  <c r="L13" i="1"/>
  <c r="L12" i="1"/>
  <c r="L11" i="1"/>
  <c r="L10" i="1"/>
  <c r="L9" i="1"/>
  <c r="AH8" i="1"/>
  <c r="L8" i="1"/>
  <c r="AH7" i="1"/>
  <c r="L7" i="1"/>
  <c r="AH6" i="1"/>
  <c r="L6" i="1"/>
  <c r="AF5" i="1"/>
  <c r="AE5" i="1"/>
  <c r="AD5" i="1"/>
  <c r="AC5" i="1"/>
  <c r="AB5" i="1"/>
  <c r="AA5" i="1"/>
  <c r="Z5" i="1"/>
  <c r="Y5" i="1"/>
  <c r="U5" i="1"/>
  <c r="S5" i="1"/>
  <c r="R5" i="1"/>
  <c r="Q5" i="1"/>
  <c r="P5" i="1"/>
  <c r="O5" i="1"/>
  <c r="N5" i="1"/>
  <c r="M5" i="1"/>
  <c r="K5" i="1"/>
  <c r="F5" i="1"/>
  <c r="E5" i="1"/>
  <c r="AH30" i="1" l="1"/>
  <c r="W101" i="1"/>
  <c r="AH16" i="1"/>
  <c r="AH10" i="1"/>
  <c r="AH11" i="1"/>
  <c r="AH26" i="1"/>
  <c r="AH100" i="1"/>
  <c r="AH9" i="1"/>
  <c r="AH12" i="1"/>
  <c r="AH17" i="1"/>
  <c r="AH18" i="1"/>
  <c r="AH25" i="1"/>
  <c r="AH29" i="1"/>
  <c r="AH35" i="1"/>
  <c r="AH97" i="1"/>
  <c r="AH98" i="1"/>
  <c r="AH99" i="1"/>
  <c r="AH95" i="1"/>
  <c r="T5" i="1"/>
  <c r="AH38" i="1"/>
  <c r="AH40" i="1"/>
  <c r="AH42" i="1"/>
  <c r="AH44" i="1"/>
  <c r="AH46" i="1"/>
  <c r="AH48" i="1"/>
  <c r="AH54" i="1"/>
  <c r="AH56" i="1"/>
  <c r="AH58" i="1"/>
  <c r="AH60" i="1"/>
  <c r="AH62" i="1"/>
  <c r="AH64" i="1"/>
  <c r="AH66" i="1"/>
  <c r="AH68" i="1"/>
  <c r="AH70" i="1"/>
  <c r="AH72" i="1"/>
  <c r="AH74" i="1"/>
  <c r="AH76" i="1"/>
  <c r="AH78" i="1"/>
  <c r="AH80" i="1"/>
  <c r="AH82" i="1"/>
  <c r="AH84" i="1"/>
  <c r="AH86" i="1"/>
  <c r="AH88" i="1"/>
  <c r="AH90" i="1"/>
  <c r="L5" i="1"/>
  <c r="AH5" i="1" l="1"/>
</calcChain>
</file>

<file path=xl/sharedStrings.xml><?xml version="1.0" encoding="utf-8"?>
<sst xmlns="http://schemas.openxmlformats.org/spreadsheetml/2006/main" count="385" uniqueCount="155">
  <si>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</si>
  <si>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</si>
  <si>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</si>
  <si>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</si>
  <si>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</si>
  <si>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</si>
  <si>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</si>
  <si>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</si>
  <si>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</si>
  <si>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</si>
  <si>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</si>
  <si>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</si>
  <si>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</si>
  <si>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</si>
  <si>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</si>
  <si>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</si>
  <si>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</si>
  <si>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</si>
  <si>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</si>
  <si>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</si>
  <si>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</si>
  <si>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</si>
  <si>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</si>
  <si>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</si>
  <si>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28,01,</t>
  </si>
  <si>
    <t>31,01,(1)</t>
  </si>
  <si>
    <t>31,01,(2)</t>
  </si>
  <si>
    <t>31,01,(3)</t>
  </si>
  <si>
    <t>29,01,</t>
  </si>
  <si>
    <t>27,01,</t>
  </si>
  <si>
    <t>22,01,</t>
  </si>
  <si>
    <t>20,01,</t>
  </si>
  <si>
    <t>15,01,</t>
  </si>
  <si>
    <t>13,01,</t>
  </si>
  <si>
    <t>08,01,</t>
  </si>
  <si>
    <t>06,01,</t>
  </si>
  <si>
    <t>25,12,</t>
  </si>
  <si>
    <t xml:space="preserve"> 005  Колбаса Докторская ГОСТ, Вязанка вектор,ВЕС. ПОКОМ</t>
  </si>
  <si>
    <t>кг</t>
  </si>
  <si>
    <t>матрица</t>
  </si>
  <si>
    <t>ТМА февраль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</si>
  <si>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</si>
  <si>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</si>
  <si>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</si>
  <si>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</si>
  <si>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</si>
  <si>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</si>
  <si>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</si>
  <si>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</si>
  <si>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</si>
  <si>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январь_февраль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</si>
  <si>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</si>
  <si>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</si>
  <si>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</si>
  <si>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</si>
  <si>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</si>
  <si>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</si>
  <si>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продаж!!!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</si>
  <si>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</si>
  <si>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</si>
  <si>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</si>
  <si>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</si>
  <si>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</si>
  <si>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</si>
  <si>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</si>
  <si>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</si>
  <si>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</si>
  <si>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</si>
  <si>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</si>
  <si>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</si>
  <si>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</si>
  <si>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</si>
  <si>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</si>
  <si>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</si>
  <si>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январь_февраль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</si>
  <si>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</si>
  <si>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</si>
  <si>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</si>
  <si>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</si>
  <si>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279  Колбаса Докторский гарант, Вязанка вектор, 0,4 кг.  ПОКОМ</t>
  </si>
  <si>
    <t>не в матрице</t>
  </si>
  <si>
    <t>перемещение (Новороссийск)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</si>
  <si>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</si>
  <si>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</si>
  <si>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</si>
  <si>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</si>
  <si>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</si>
  <si>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</si>
  <si>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</si>
  <si>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</si>
  <si>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</si>
  <si>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</si>
  <si>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</si>
  <si>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</si>
  <si>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</si>
  <si>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</si>
  <si>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</si>
  <si>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>новинка / ТМА февраль</t>
  </si>
  <si>
    <t xml:space="preserve"> 322  Колбаса вареная Молокуша 0,45кг ТМ Вязанка  ПОКОМ</t>
  </si>
  <si>
    <t>ТК ВОЯЖ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</si>
  <si>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</si>
  <si>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</si>
  <si>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</si>
  <si>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</si>
  <si>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</si>
  <si>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</si>
  <si>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</si>
  <si>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</si>
  <si>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</si>
  <si>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</si>
  <si>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</si>
  <si>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</si>
  <si>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</si>
  <si>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</si>
  <si>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</si>
  <si>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</si>
  <si>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</si>
  <si>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</si>
  <si>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</si>
  <si>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</si>
  <si>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</si>
  <si>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</si>
  <si>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</si>
  <si>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</si>
  <si>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</si>
  <si>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</si>
  <si>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в бланке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</si>
  <si>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</si>
  <si>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</si>
  <si>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</si>
  <si>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</si>
  <si>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</si>
  <si>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</si>
  <si>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</si>
  <si>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</si>
  <si>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</si>
  <si>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</si>
  <si>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</si>
  <si>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</si>
  <si>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</si>
  <si>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</si>
  <si>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</si>
  <si>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</si>
  <si>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</si>
  <si>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</si>
  <si>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!!!ВЫВЕДЕНА!!!  Сардельки Сочинки с сочным окороком ТМ Стародворье полиамид мгс ф/в 0,4 кг СК3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</si>
  <si>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</si>
  <si>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</si>
  <si>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</si>
  <si>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</si>
  <si>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</si>
  <si>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</si>
  <si>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</si>
  <si>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</si>
  <si>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нужно увеличить продажи / помощь заводу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</si>
</sst>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21" width="7" customWidth="1"/>
    <col min="22" max="22" width="13.42578125" customWidth="1"/>
    <col min="23" max="24" width="5" customWidth="1"/>
    <col min="25" max="32" width="6" customWidth="1"/>
    <col min="33" max="33" width="42.85546875" customWidth="1"/>
    <col min="34" max="34" width="7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37955.198999999993</v>
      </c>
      <c r="F5" s="4">
        <f>SUM(F6:F500)</f>
        <v>59148.329000000012</v>
      </c>
      <c r="G5" s="8"/>
      <c r="H5" s="1"/>
      <c r="I5" s="1"/>
      <c r="J5" s="1"/>
      <c r="K5" s="4">
        <f t="shared" ref="K5:U5" si="0">SUM(K6:K500)</f>
        <v>39250.132999999994</v>
      </c>
      <c r="L5" s="4">
        <f t="shared" si="0"/>
        <v>-1294.9340000000002</v>
      </c>
      <c r="M5" s="4">
        <f t="shared" si="0"/>
        <v>37138.123999999996</v>
      </c>
      <c r="N5" s="4">
        <f t="shared" si="0"/>
        <v>817.07500000000016</v>
      </c>
      <c r="O5" s="4">
        <f t="shared" si="0"/>
        <v>5994.544374000001</v>
      </c>
      <c r="P5" s="4">
        <f t="shared" si="0"/>
        <v>8700</v>
      </c>
      <c r="Q5" s="4">
        <f t="shared" si="0"/>
        <v>12975.0636908</v>
      </c>
      <c r="R5" s="4">
        <f t="shared" si="0"/>
        <v>10550</v>
      </c>
      <c r="S5" s="4">
        <f t="shared" si="0"/>
        <v>7427.6247999999996</v>
      </c>
      <c r="T5" s="4">
        <f t="shared" si="0"/>
        <v>11126.230721799995</v>
      </c>
      <c r="U5" s="4">
        <f t="shared" si="0"/>
        <v>0</v>
      </c>
      <c r="V5" s="1"/>
      <c r="W5" s="1"/>
      <c r="X5" s="1"/>
      <c r="Y5" s="4">
        <f t="shared" ref="Y5:AF5" si="1">SUM(Y6:Y500)</f>
        <v>7884.8884000000016</v>
      </c>
      <c r="Z5" s="4">
        <f t="shared" si="1"/>
        <v>7756.5244000000002</v>
      </c>
      <c r="AA5" s="4">
        <f t="shared" si="1"/>
        <v>7737.0078000000012</v>
      </c>
      <c r="AB5" s="4">
        <f t="shared" si="1"/>
        <v>7541.6840000000002</v>
      </c>
      <c r="AC5" s="4">
        <f t="shared" si="1"/>
        <v>6668.8075999999992</v>
      </c>
      <c r="AD5" s="4">
        <f t="shared" si="1"/>
        <v>8172.5564999999979</v>
      </c>
      <c r="AE5" s="4">
        <f t="shared" si="1"/>
        <v>9914.4415000000026</v>
      </c>
      <c r="AF5" s="4">
        <f t="shared" si="1"/>
        <v>9149.114400000004</v>
      </c>
      <c r="AG5" s="1"/>
      <c r="AH5" s="4">
        <f>SUM(AH6:AH500)</f>
        <v>7826.7688018000026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22" t="s">
        <v>37</v>
      </c>
      <c r="B6" s="22" t="s">
        <v>38</v>
      </c>
      <c r="C6" s="22">
        <v>2536.4569999999999</v>
      </c>
      <c r="D6" s="22">
        <v>2595.0369999999998</v>
      </c>
      <c r="E6" s="22">
        <v>1019.881</v>
      </c>
      <c r="F6" s="22">
        <v>1733.8779999999999</v>
      </c>
      <c r="G6" s="23">
        <v>1</v>
      </c>
      <c r="H6" s="22">
        <v>50</v>
      </c>
      <c r="I6" s="22" t="s">
        <v>39</v>
      </c>
      <c r="J6" s="22"/>
      <c r="K6" s="22">
        <v>1002.26</v>
      </c>
      <c r="L6" s="22">
        <f t="shared" ref="L6:L37" si="2">E6-K6</f>
        <v>17.620999999999981</v>
      </c>
      <c r="M6" s="22">
        <f>E6-N6</f>
        <v>1009.021</v>
      </c>
      <c r="N6" s="22">
        <v>10.86</v>
      </c>
      <c r="O6" s="22">
        <v>386.22376800000001</v>
      </c>
      <c r="P6" s="22">
        <v>200</v>
      </c>
      <c r="Q6" s="22">
        <v>248.29375199999981</v>
      </c>
      <c r="R6" s="22">
        <v>220</v>
      </c>
      <c r="S6" s="22">
        <f>M6/5</f>
        <v>201.80419999999998</v>
      </c>
      <c r="T6" s="24">
        <f>11*S6*1.5-R6-Q6-P6-O6-F6</f>
        <v>541.37378000000058</v>
      </c>
      <c r="U6" s="24"/>
      <c r="V6" s="22"/>
      <c r="W6" s="22">
        <f>(F6+O6+P6+Q6+R6+T6)/S6</f>
        <v>16.500000000000007</v>
      </c>
      <c r="X6" s="22">
        <f>(F6+O6+P6+Q6+R6)/S6</f>
        <v>13.817331452962824</v>
      </c>
      <c r="Y6" s="22">
        <v>204.3904</v>
      </c>
      <c r="Z6" s="22">
        <v>204.35120000000001</v>
      </c>
      <c r="AA6" s="22">
        <v>213.91679999999999</v>
      </c>
      <c r="AB6" s="22">
        <v>221.89599999999999</v>
      </c>
      <c r="AC6" s="22">
        <v>211.68119999999999</v>
      </c>
      <c r="AD6" s="22">
        <v>325.339</v>
      </c>
      <c r="AE6" s="22">
        <v>404.40899999999999</v>
      </c>
      <c r="AF6" s="22">
        <v>322.1234</v>
      </c>
      <c r="AG6" s="22" t="s">
        <v>40</v>
      </c>
      <c r="AH6" s="22">
        <f>G6*T6</f>
        <v>541.37378000000058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22" t="s">
        <v>41</v>
      </c>
      <c r="B7" s="22" t="s">
        <v>38</v>
      </c>
      <c r="C7" s="22">
        <v>665.75099999999998</v>
      </c>
      <c r="D7" s="22">
        <v>577.899</v>
      </c>
      <c r="E7" s="22">
        <v>425.88200000000001</v>
      </c>
      <c r="F7" s="22">
        <v>362.12400000000002</v>
      </c>
      <c r="G7" s="23">
        <v>1</v>
      </c>
      <c r="H7" s="22">
        <v>45</v>
      </c>
      <c r="I7" s="22" t="s">
        <v>39</v>
      </c>
      <c r="J7" s="22"/>
      <c r="K7" s="22">
        <v>454.07499999999999</v>
      </c>
      <c r="L7" s="22">
        <f t="shared" si="2"/>
        <v>-28.192999999999984</v>
      </c>
      <c r="M7" s="22">
        <f t="shared" ref="M7:M70" si="3">E7-N7</f>
        <v>398.58699999999999</v>
      </c>
      <c r="N7" s="22">
        <v>27.295000000000002</v>
      </c>
      <c r="O7" s="22"/>
      <c r="P7" s="22">
        <v>250</v>
      </c>
      <c r="Q7" s="22">
        <v>323.82909999999981</v>
      </c>
      <c r="R7" s="22">
        <v>320</v>
      </c>
      <c r="S7" s="22">
        <f t="shared" ref="S7:S70" si="4">M7/5</f>
        <v>79.717399999999998</v>
      </c>
      <c r="T7" s="24">
        <f t="shared" ref="T7:T8" si="5">11*S7*1.5-R7-Q7-P7-O7-F7</f>
        <v>59.384000000000128</v>
      </c>
      <c r="U7" s="24"/>
      <c r="V7" s="22"/>
      <c r="W7" s="22">
        <f t="shared" ref="W7:W70" si="6">(F7+O7+P7+Q7+R7+T7)/S7</f>
        <v>16.499999999999996</v>
      </c>
      <c r="X7" s="22">
        <f t="shared" ref="X7:X70" si="7">(F7+O7+P7+Q7+R7)/S7</f>
        <v>15.755068529580742</v>
      </c>
      <c r="Y7" s="22">
        <v>86.715800000000002</v>
      </c>
      <c r="Z7" s="22">
        <v>74.879600000000011</v>
      </c>
      <c r="AA7" s="22">
        <v>72.886600000000001</v>
      </c>
      <c r="AB7" s="22">
        <v>89.413200000000003</v>
      </c>
      <c r="AC7" s="22">
        <v>71.134800000000013</v>
      </c>
      <c r="AD7" s="22">
        <v>50.624833333333328</v>
      </c>
      <c r="AE7" s="22">
        <v>65.29483333333333</v>
      </c>
      <c r="AF7" s="22">
        <v>50.209400000000002</v>
      </c>
      <c r="AG7" s="22" t="s">
        <v>40</v>
      </c>
      <c r="AH7" s="22">
        <f>G7*T7</f>
        <v>59.384000000000128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22" t="s">
        <v>42</v>
      </c>
      <c r="B8" s="22" t="s">
        <v>38</v>
      </c>
      <c r="C8" s="22">
        <v>564.10199999999998</v>
      </c>
      <c r="D8" s="22">
        <v>301.81</v>
      </c>
      <c r="E8" s="22">
        <v>376.61099999999999</v>
      </c>
      <c r="F8" s="22">
        <v>392.98500000000001</v>
      </c>
      <c r="G8" s="23">
        <v>1</v>
      </c>
      <c r="H8" s="22">
        <v>45</v>
      </c>
      <c r="I8" s="22" t="s">
        <v>39</v>
      </c>
      <c r="J8" s="22"/>
      <c r="K8" s="22">
        <v>388.83800000000002</v>
      </c>
      <c r="L8" s="22">
        <f t="shared" si="2"/>
        <v>-12.227000000000032</v>
      </c>
      <c r="M8" s="22">
        <f t="shared" si="3"/>
        <v>354.57299999999998</v>
      </c>
      <c r="N8" s="22">
        <v>22.038</v>
      </c>
      <c r="O8" s="22"/>
      <c r="P8" s="22">
        <v>100</v>
      </c>
      <c r="Q8" s="22">
        <v>234.44799999999961</v>
      </c>
      <c r="R8" s="22">
        <v>220</v>
      </c>
      <c r="S8" s="22">
        <f t="shared" si="4"/>
        <v>70.914599999999993</v>
      </c>
      <c r="T8" s="24">
        <f t="shared" si="5"/>
        <v>222.65790000000027</v>
      </c>
      <c r="U8" s="24"/>
      <c r="V8" s="22"/>
      <c r="W8" s="22">
        <f t="shared" si="6"/>
        <v>16.5</v>
      </c>
      <c r="X8" s="22">
        <f t="shared" si="7"/>
        <v>13.360196630877136</v>
      </c>
      <c r="Y8" s="22">
        <v>69.113599999999991</v>
      </c>
      <c r="Z8" s="22">
        <v>69.79740000000001</v>
      </c>
      <c r="AA8" s="22">
        <v>67.028800000000004</v>
      </c>
      <c r="AB8" s="22">
        <v>76.332599999999999</v>
      </c>
      <c r="AC8" s="22">
        <v>56.641199999999998</v>
      </c>
      <c r="AD8" s="22">
        <v>49.974833333333343</v>
      </c>
      <c r="AE8" s="22">
        <v>65.807000000000002</v>
      </c>
      <c r="AF8" s="22">
        <v>58.935600000000001</v>
      </c>
      <c r="AG8" s="22" t="s">
        <v>40</v>
      </c>
      <c r="AH8" s="22">
        <f>G8*T8</f>
        <v>222.65790000000027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43</v>
      </c>
      <c r="B9" s="1" t="s">
        <v>44</v>
      </c>
      <c r="C9" s="1">
        <v>569</v>
      </c>
      <c r="D9" s="1">
        <v>457</v>
      </c>
      <c r="E9" s="1">
        <v>436</v>
      </c>
      <c r="F9" s="1">
        <v>533</v>
      </c>
      <c r="G9" s="8">
        <v>0.45</v>
      </c>
      <c r="H9" s="1">
        <v>45</v>
      </c>
      <c r="I9" s="1" t="s">
        <v>39</v>
      </c>
      <c r="J9" s="1"/>
      <c r="K9" s="1">
        <v>459</v>
      </c>
      <c r="L9" s="1">
        <f t="shared" si="2"/>
        <v>-23</v>
      </c>
      <c r="M9" s="1">
        <f t="shared" si="3"/>
        <v>436</v>
      </c>
      <c r="N9" s="1"/>
      <c r="O9" s="1"/>
      <c r="P9" s="1">
        <v>100</v>
      </c>
      <c r="Q9" s="1">
        <v>169.99999999999989</v>
      </c>
      <c r="R9" s="1">
        <v>140</v>
      </c>
      <c r="S9" s="1">
        <f t="shared" si="4"/>
        <v>87.2</v>
      </c>
      <c r="T9" s="5">
        <f t="shared" ref="T7:T30" si="8">12*S9-R9-Q9-P9-O9-F9</f>
        <v>103.4000000000002</v>
      </c>
      <c r="U9" s="5"/>
      <c r="V9" s="1"/>
      <c r="W9" s="1">
        <f t="shared" si="6"/>
        <v>12</v>
      </c>
      <c r="X9" s="1">
        <f t="shared" si="7"/>
        <v>10.814220183486237</v>
      </c>
      <c r="Y9" s="1">
        <v>90.6</v>
      </c>
      <c r="Z9" s="1">
        <v>89.2</v>
      </c>
      <c r="AA9" s="1">
        <v>92.8</v>
      </c>
      <c r="AB9" s="1">
        <v>91.6</v>
      </c>
      <c r="AC9" s="1">
        <v>74</v>
      </c>
      <c r="AD9" s="1">
        <v>74.5</v>
      </c>
      <c r="AE9" s="1">
        <v>86.166666666666671</v>
      </c>
      <c r="AF9" s="1">
        <v>98.02000000000001</v>
      </c>
      <c r="AG9" s="1"/>
      <c r="AH9" s="1">
        <f>G9*T9</f>
        <v>46.530000000000094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44</v>
      </c>
      <c r="C10" s="1">
        <v>893</v>
      </c>
      <c r="D10" s="1">
        <v>1888</v>
      </c>
      <c r="E10" s="1">
        <v>1028</v>
      </c>
      <c r="F10" s="1">
        <v>1522</v>
      </c>
      <c r="G10" s="8">
        <v>0.45</v>
      </c>
      <c r="H10" s="1">
        <v>45</v>
      </c>
      <c r="I10" s="1" t="s">
        <v>39</v>
      </c>
      <c r="J10" s="1"/>
      <c r="K10" s="1">
        <v>1047</v>
      </c>
      <c r="L10" s="1">
        <f t="shared" si="2"/>
        <v>-19</v>
      </c>
      <c r="M10" s="1">
        <f t="shared" si="3"/>
        <v>1028</v>
      </c>
      <c r="N10" s="1"/>
      <c r="O10" s="1"/>
      <c r="P10" s="1">
        <v>250</v>
      </c>
      <c r="Q10" s="1">
        <v>305.59999999999991</v>
      </c>
      <c r="R10" s="1">
        <v>300</v>
      </c>
      <c r="S10" s="1">
        <f t="shared" si="4"/>
        <v>205.6</v>
      </c>
      <c r="T10" s="5">
        <f t="shared" si="8"/>
        <v>89.599999999999909</v>
      </c>
      <c r="U10" s="5"/>
      <c r="V10" s="1"/>
      <c r="W10" s="1">
        <f t="shared" si="6"/>
        <v>12</v>
      </c>
      <c r="X10" s="1">
        <f t="shared" si="7"/>
        <v>11.56420233463035</v>
      </c>
      <c r="Y10" s="1">
        <v>232</v>
      </c>
      <c r="Z10" s="1">
        <v>233.6</v>
      </c>
      <c r="AA10" s="1">
        <v>212</v>
      </c>
      <c r="AB10" s="1">
        <v>170.8</v>
      </c>
      <c r="AC10" s="1">
        <v>147.80000000000001</v>
      </c>
      <c r="AD10" s="1">
        <v>179</v>
      </c>
      <c r="AE10" s="1">
        <v>218</v>
      </c>
      <c r="AF10" s="1">
        <v>227.8</v>
      </c>
      <c r="AG10" s="1"/>
      <c r="AH10" s="1">
        <f>G10*T10</f>
        <v>40.319999999999958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44</v>
      </c>
      <c r="C11" s="1">
        <v>168</v>
      </c>
      <c r="D11" s="1">
        <v>2</v>
      </c>
      <c r="E11" s="1">
        <v>60</v>
      </c>
      <c r="F11" s="1">
        <v>107</v>
      </c>
      <c r="G11" s="8">
        <v>0.17</v>
      </c>
      <c r="H11" s="1">
        <v>180</v>
      </c>
      <c r="I11" s="1" t="s">
        <v>39</v>
      </c>
      <c r="J11" s="1"/>
      <c r="K11" s="1">
        <v>60</v>
      </c>
      <c r="L11" s="1">
        <f t="shared" si="2"/>
        <v>0</v>
      </c>
      <c r="M11" s="1">
        <f t="shared" si="3"/>
        <v>60</v>
      </c>
      <c r="N11" s="1"/>
      <c r="O11" s="1"/>
      <c r="P11" s="1"/>
      <c r="Q11" s="1">
        <v>0</v>
      </c>
      <c r="R11" s="1"/>
      <c r="S11" s="1">
        <f t="shared" si="4"/>
        <v>12</v>
      </c>
      <c r="T11" s="5">
        <f t="shared" si="8"/>
        <v>37</v>
      </c>
      <c r="U11" s="5"/>
      <c r="V11" s="1"/>
      <c r="W11" s="1">
        <f t="shared" si="6"/>
        <v>12</v>
      </c>
      <c r="X11" s="1">
        <f t="shared" si="7"/>
        <v>8.9166666666666661</v>
      </c>
      <c r="Y11" s="1">
        <v>10</v>
      </c>
      <c r="Z11" s="1">
        <v>8.6</v>
      </c>
      <c r="AA11" s="1">
        <v>12.6</v>
      </c>
      <c r="AB11" s="1">
        <v>16.2</v>
      </c>
      <c r="AC11" s="1">
        <v>16.8</v>
      </c>
      <c r="AD11" s="1">
        <v>44.5</v>
      </c>
      <c r="AE11" s="1">
        <v>56.333333333333343</v>
      </c>
      <c r="AF11" s="1">
        <v>36.6</v>
      </c>
      <c r="AG11" s="1"/>
      <c r="AH11" s="1">
        <f>G11*T11</f>
        <v>6.29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44</v>
      </c>
      <c r="C12" s="1">
        <v>131</v>
      </c>
      <c r="D12" s="1">
        <v>120</v>
      </c>
      <c r="E12" s="1">
        <v>89</v>
      </c>
      <c r="F12" s="1">
        <v>157</v>
      </c>
      <c r="G12" s="8">
        <v>0.3</v>
      </c>
      <c r="H12" s="1">
        <v>40</v>
      </c>
      <c r="I12" s="1" t="s">
        <v>39</v>
      </c>
      <c r="J12" s="1"/>
      <c r="K12" s="1">
        <v>90</v>
      </c>
      <c r="L12" s="1">
        <f t="shared" si="2"/>
        <v>-1</v>
      </c>
      <c r="M12" s="1">
        <f t="shared" si="3"/>
        <v>89</v>
      </c>
      <c r="N12" s="1"/>
      <c r="O12" s="1"/>
      <c r="P12" s="1"/>
      <c r="Q12" s="1">
        <v>55.999999999999972</v>
      </c>
      <c r="R12" s="1"/>
      <c r="S12" s="1">
        <f t="shared" si="4"/>
        <v>17.8</v>
      </c>
      <c r="T12" s="5"/>
      <c r="U12" s="5"/>
      <c r="V12" s="1"/>
      <c r="W12" s="1">
        <f t="shared" si="6"/>
        <v>11.966292134831459</v>
      </c>
      <c r="X12" s="1">
        <f t="shared" si="7"/>
        <v>11.966292134831459</v>
      </c>
      <c r="Y12" s="1">
        <v>23.4</v>
      </c>
      <c r="Z12" s="1">
        <v>22.4</v>
      </c>
      <c r="AA12" s="1">
        <v>18</v>
      </c>
      <c r="AB12" s="1">
        <v>15.4</v>
      </c>
      <c r="AC12" s="1">
        <v>12.4</v>
      </c>
      <c r="AD12" s="1">
        <v>19.666666666666671</v>
      </c>
      <c r="AE12" s="1">
        <v>34.333333333333343</v>
      </c>
      <c r="AF12" s="1">
        <v>37.799999999999997</v>
      </c>
      <c r="AG12" s="1"/>
      <c r="AH12" s="1">
        <f>G12*T12</f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44</v>
      </c>
      <c r="C13" s="1">
        <v>752</v>
      </c>
      <c r="D13" s="1">
        <v>333</v>
      </c>
      <c r="E13" s="1">
        <v>199</v>
      </c>
      <c r="F13" s="1">
        <v>524</v>
      </c>
      <c r="G13" s="8">
        <v>0.17</v>
      </c>
      <c r="H13" s="1">
        <v>180</v>
      </c>
      <c r="I13" s="1" t="s">
        <v>39</v>
      </c>
      <c r="J13" s="1"/>
      <c r="K13" s="1">
        <v>201</v>
      </c>
      <c r="L13" s="1">
        <f t="shared" si="2"/>
        <v>-2</v>
      </c>
      <c r="M13" s="1">
        <f t="shared" si="3"/>
        <v>197</v>
      </c>
      <c r="N13" s="1">
        <v>2</v>
      </c>
      <c r="O13" s="1"/>
      <c r="P13" s="1"/>
      <c r="Q13" s="1">
        <v>0</v>
      </c>
      <c r="R13" s="1"/>
      <c r="S13" s="1">
        <f t="shared" si="4"/>
        <v>39.4</v>
      </c>
      <c r="T13" s="5"/>
      <c r="U13" s="5"/>
      <c r="V13" s="1"/>
      <c r="W13" s="1">
        <f t="shared" si="6"/>
        <v>13.299492385786802</v>
      </c>
      <c r="X13" s="1">
        <f t="shared" si="7"/>
        <v>13.299492385786802</v>
      </c>
      <c r="Y13" s="1">
        <v>40.799999999999997</v>
      </c>
      <c r="Z13" s="1">
        <v>40.4</v>
      </c>
      <c r="AA13" s="1">
        <v>46</v>
      </c>
      <c r="AB13" s="1">
        <v>75.400000000000006</v>
      </c>
      <c r="AC13" s="1">
        <v>72.2</v>
      </c>
      <c r="AD13" s="1">
        <v>36.833333333333343</v>
      </c>
      <c r="AE13" s="1">
        <v>46.5</v>
      </c>
      <c r="AF13" s="1">
        <v>77.8</v>
      </c>
      <c r="AG13" s="1"/>
      <c r="AH13" s="1">
        <f>G13*T13</f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22" t="s">
        <v>49</v>
      </c>
      <c r="B14" s="22" t="s">
        <v>38</v>
      </c>
      <c r="C14" s="22">
        <v>938.22500000000002</v>
      </c>
      <c r="D14" s="22">
        <v>898.42600000000004</v>
      </c>
      <c r="E14" s="22">
        <v>752.6</v>
      </c>
      <c r="F14" s="22">
        <v>934.31100000000004</v>
      </c>
      <c r="G14" s="23">
        <v>1</v>
      </c>
      <c r="H14" s="22">
        <v>55</v>
      </c>
      <c r="I14" s="22" t="s">
        <v>39</v>
      </c>
      <c r="J14" s="22"/>
      <c r="K14" s="22">
        <v>772.173</v>
      </c>
      <c r="L14" s="22">
        <f t="shared" si="2"/>
        <v>-19.572999999999979</v>
      </c>
      <c r="M14" s="22">
        <f t="shared" si="3"/>
        <v>747.322</v>
      </c>
      <c r="N14" s="22">
        <v>5.2779999999999996</v>
      </c>
      <c r="O14" s="22">
        <v>245.06231399999999</v>
      </c>
      <c r="P14" s="22">
        <v>350</v>
      </c>
      <c r="Q14" s="22">
        <v>430.45196600000008</v>
      </c>
      <c r="R14" s="22">
        <v>350</v>
      </c>
      <c r="S14" s="22">
        <f t="shared" si="4"/>
        <v>149.46440000000001</v>
      </c>
      <c r="T14" s="24">
        <f t="shared" ref="T14:T15" si="9">11*S14*1.5-R14-Q14-P14-O14-F14</f>
        <v>156.33731999999998</v>
      </c>
      <c r="U14" s="24"/>
      <c r="V14" s="22"/>
      <c r="W14" s="22">
        <f t="shared" si="6"/>
        <v>16.5</v>
      </c>
      <c r="X14" s="22">
        <f t="shared" si="7"/>
        <v>15.454016341014983</v>
      </c>
      <c r="Y14" s="22">
        <v>159.34039999999999</v>
      </c>
      <c r="Z14" s="22">
        <v>129.6626</v>
      </c>
      <c r="AA14" s="22">
        <v>117.994</v>
      </c>
      <c r="AB14" s="22">
        <v>112.0784</v>
      </c>
      <c r="AC14" s="22">
        <v>109.9134</v>
      </c>
      <c r="AD14" s="22">
        <v>143.779</v>
      </c>
      <c r="AE14" s="22">
        <v>172.6421666666667</v>
      </c>
      <c r="AF14" s="22">
        <v>177.04759999999999</v>
      </c>
      <c r="AG14" s="22" t="s">
        <v>50</v>
      </c>
      <c r="AH14" s="22">
        <f>G14*T14</f>
        <v>156.33731999999998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22" t="s">
        <v>51</v>
      </c>
      <c r="B15" s="22" t="s">
        <v>38</v>
      </c>
      <c r="C15" s="22">
        <v>3028.1039999999998</v>
      </c>
      <c r="D15" s="22">
        <v>2606.0880000000002</v>
      </c>
      <c r="E15" s="22">
        <v>2016.5519999999999</v>
      </c>
      <c r="F15" s="22">
        <v>3305.241</v>
      </c>
      <c r="G15" s="23">
        <v>1</v>
      </c>
      <c r="H15" s="22">
        <v>50</v>
      </c>
      <c r="I15" s="22" t="s">
        <v>39</v>
      </c>
      <c r="J15" s="22"/>
      <c r="K15" s="22">
        <v>2087.5309999999999</v>
      </c>
      <c r="L15" s="22">
        <f t="shared" si="2"/>
        <v>-70.979000000000042</v>
      </c>
      <c r="M15" s="22">
        <f t="shared" si="3"/>
        <v>1971.6209999999999</v>
      </c>
      <c r="N15" s="22">
        <v>44.930999999999997</v>
      </c>
      <c r="O15" s="22">
        <v>753.20809199999985</v>
      </c>
      <c r="P15" s="22">
        <v>700</v>
      </c>
      <c r="Q15" s="22">
        <v>780.79643799999849</v>
      </c>
      <c r="R15" s="22">
        <v>710</v>
      </c>
      <c r="S15" s="22">
        <f t="shared" si="4"/>
        <v>394.32419999999996</v>
      </c>
      <c r="T15" s="24">
        <f t="shared" si="9"/>
        <v>257.10377000000062</v>
      </c>
      <c r="U15" s="24"/>
      <c r="V15" s="22"/>
      <c r="W15" s="22">
        <f t="shared" si="6"/>
        <v>16.5</v>
      </c>
      <c r="X15" s="22">
        <f t="shared" si="7"/>
        <v>15.847988862971127</v>
      </c>
      <c r="Y15" s="22">
        <v>426.71499999999997</v>
      </c>
      <c r="Z15" s="22">
        <v>398.52280000000002</v>
      </c>
      <c r="AA15" s="22">
        <v>408.65100000000001</v>
      </c>
      <c r="AB15" s="22">
        <v>415.37360000000001</v>
      </c>
      <c r="AC15" s="22">
        <v>335.83499999999998</v>
      </c>
      <c r="AD15" s="22">
        <v>439.26766666666668</v>
      </c>
      <c r="AE15" s="22">
        <v>585.60733333333326</v>
      </c>
      <c r="AF15" s="22">
        <v>553.25600000000009</v>
      </c>
      <c r="AG15" s="22" t="s">
        <v>50</v>
      </c>
      <c r="AH15" s="22">
        <f>G15*T15</f>
        <v>257.10377000000062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52</v>
      </c>
      <c r="B16" s="1" t="s">
        <v>38</v>
      </c>
      <c r="C16" s="1">
        <v>183.00800000000001</v>
      </c>
      <c r="D16" s="1">
        <v>295.78500000000003</v>
      </c>
      <c r="E16" s="1">
        <v>147.87899999999999</v>
      </c>
      <c r="F16" s="1">
        <v>284.83199999999999</v>
      </c>
      <c r="G16" s="8">
        <v>1</v>
      </c>
      <c r="H16" s="1">
        <v>60</v>
      </c>
      <c r="I16" s="1" t="s">
        <v>39</v>
      </c>
      <c r="J16" s="1"/>
      <c r="K16" s="1">
        <v>146.31299999999999</v>
      </c>
      <c r="L16" s="1">
        <f t="shared" si="2"/>
        <v>1.5660000000000025</v>
      </c>
      <c r="M16" s="1">
        <f t="shared" si="3"/>
        <v>142.756</v>
      </c>
      <c r="N16" s="1">
        <v>5.1230000000000002</v>
      </c>
      <c r="O16" s="1"/>
      <c r="P16" s="1"/>
      <c r="Q16" s="1">
        <v>0</v>
      </c>
      <c r="R16" s="1"/>
      <c r="S16" s="1">
        <f t="shared" si="4"/>
        <v>28.551200000000001</v>
      </c>
      <c r="T16" s="5">
        <f t="shared" si="8"/>
        <v>57.782400000000052</v>
      </c>
      <c r="U16" s="5"/>
      <c r="V16" s="1"/>
      <c r="W16" s="1">
        <f t="shared" si="6"/>
        <v>12.000000000000002</v>
      </c>
      <c r="X16" s="1">
        <f t="shared" si="7"/>
        <v>9.9761831376614634</v>
      </c>
      <c r="Y16" s="1">
        <v>27.8978</v>
      </c>
      <c r="Z16" s="1">
        <v>33.073</v>
      </c>
      <c r="AA16" s="1">
        <v>28.241800000000001</v>
      </c>
      <c r="AB16" s="1">
        <v>28.4574</v>
      </c>
      <c r="AC16" s="1">
        <v>25.811399999999999</v>
      </c>
      <c r="AD16" s="1">
        <v>37.140500000000003</v>
      </c>
      <c r="AE16" s="1">
        <v>47.806333333333328</v>
      </c>
      <c r="AF16" s="1">
        <v>38.448999999999998</v>
      </c>
      <c r="AG16" s="1"/>
      <c r="AH16" s="1">
        <f>G16*T16</f>
        <v>57.782400000000052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53</v>
      </c>
      <c r="B17" s="1" t="s">
        <v>38</v>
      </c>
      <c r="C17" s="1">
        <v>3756.8440000000001</v>
      </c>
      <c r="D17" s="1">
        <v>1687.748</v>
      </c>
      <c r="E17" s="1">
        <v>1419.3150000000001</v>
      </c>
      <c r="F17" s="1">
        <v>2253.3139999999999</v>
      </c>
      <c r="G17" s="8">
        <v>1</v>
      </c>
      <c r="H17" s="1">
        <v>60</v>
      </c>
      <c r="I17" s="1" t="s">
        <v>39</v>
      </c>
      <c r="J17" s="1"/>
      <c r="K17" s="1">
        <v>1445.8</v>
      </c>
      <c r="L17" s="1">
        <f t="shared" si="2"/>
        <v>-26.4849999999999</v>
      </c>
      <c r="M17" s="1">
        <f t="shared" si="3"/>
        <v>1419.3150000000001</v>
      </c>
      <c r="N17" s="1"/>
      <c r="O17" s="1"/>
      <c r="P17" s="1"/>
      <c r="Q17" s="1">
        <v>0</v>
      </c>
      <c r="R17" s="1"/>
      <c r="S17" s="1">
        <f t="shared" si="4"/>
        <v>283.863</v>
      </c>
      <c r="T17" s="5">
        <f t="shared" si="8"/>
        <v>1153.0419999999999</v>
      </c>
      <c r="U17" s="5"/>
      <c r="V17" s="1"/>
      <c r="W17" s="1">
        <f t="shared" si="6"/>
        <v>12</v>
      </c>
      <c r="X17" s="1">
        <f t="shared" si="7"/>
        <v>7.9380334879854013</v>
      </c>
      <c r="Y17" s="1">
        <v>202.26759999999999</v>
      </c>
      <c r="Z17" s="1">
        <v>106.002</v>
      </c>
      <c r="AA17" s="1">
        <v>119.1266</v>
      </c>
      <c r="AB17" s="1">
        <v>123.32899999999999</v>
      </c>
      <c r="AC17" s="1">
        <v>126.2402</v>
      </c>
      <c r="AD17" s="1">
        <v>340.37049999999999</v>
      </c>
      <c r="AE17" s="1">
        <v>463.221</v>
      </c>
      <c r="AF17" s="1">
        <v>409.87540000000001</v>
      </c>
      <c r="AG17" s="1" t="s">
        <v>54</v>
      </c>
      <c r="AH17" s="1">
        <f>G17*T17</f>
        <v>1153.0419999999999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38</v>
      </c>
      <c r="C18" s="1">
        <v>141.48500000000001</v>
      </c>
      <c r="D18" s="1">
        <v>191.292</v>
      </c>
      <c r="E18" s="1">
        <v>131.083</v>
      </c>
      <c r="F18" s="1">
        <v>152.84800000000001</v>
      </c>
      <c r="G18" s="8">
        <v>1</v>
      </c>
      <c r="H18" s="1">
        <v>60</v>
      </c>
      <c r="I18" s="1" t="s">
        <v>39</v>
      </c>
      <c r="J18" s="1"/>
      <c r="K18" s="1">
        <v>123.91</v>
      </c>
      <c r="L18" s="1">
        <f t="shared" si="2"/>
        <v>7.1730000000000018</v>
      </c>
      <c r="M18" s="1">
        <f t="shared" si="3"/>
        <v>131.083</v>
      </c>
      <c r="N18" s="1"/>
      <c r="O18" s="1"/>
      <c r="P18" s="1"/>
      <c r="Q18" s="1">
        <v>20.850448199999992</v>
      </c>
      <c r="R18" s="1"/>
      <c r="S18" s="1">
        <f t="shared" si="4"/>
        <v>26.2166</v>
      </c>
      <c r="T18" s="5">
        <f t="shared" si="8"/>
        <v>140.90075179999997</v>
      </c>
      <c r="U18" s="5"/>
      <c r="V18" s="1"/>
      <c r="W18" s="1">
        <f t="shared" si="6"/>
        <v>12</v>
      </c>
      <c r="X18" s="1">
        <f t="shared" si="7"/>
        <v>6.6255139186622216</v>
      </c>
      <c r="Y18" s="1">
        <v>22.673999999999999</v>
      </c>
      <c r="Z18" s="1">
        <v>23.576000000000001</v>
      </c>
      <c r="AA18" s="1">
        <v>20.612400000000001</v>
      </c>
      <c r="AB18" s="1">
        <v>20.020399999999999</v>
      </c>
      <c r="AC18" s="1">
        <v>18.097200000000001</v>
      </c>
      <c r="AD18" s="1">
        <v>19.531333333333329</v>
      </c>
      <c r="AE18" s="1">
        <v>24.290833333333339</v>
      </c>
      <c r="AF18" s="1">
        <v>25.323399999999999</v>
      </c>
      <c r="AG18" s="1"/>
      <c r="AH18" s="1">
        <f>G18*T18</f>
        <v>140.90075179999997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56</v>
      </c>
      <c r="B19" s="1" t="s">
        <v>38</v>
      </c>
      <c r="C19" s="1">
        <v>15.43</v>
      </c>
      <c r="D19" s="1"/>
      <c r="E19" s="1">
        <v>1.8120000000000001</v>
      </c>
      <c r="F19" s="1">
        <v>13.618</v>
      </c>
      <c r="G19" s="8">
        <v>1</v>
      </c>
      <c r="H19" s="1">
        <v>180</v>
      </c>
      <c r="I19" s="1" t="s">
        <v>39</v>
      </c>
      <c r="J19" s="1"/>
      <c r="K19" s="1">
        <v>1.72</v>
      </c>
      <c r="L19" s="1">
        <f t="shared" si="2"/>
        <v>9.2000000000000082E-2</v>
      </c>
      <c r="M19" s="1">
        <f t="shared" si="3"/>
        <v>1.8120000000000001</v>
      </c>
      <c r="N19" s="1"/>
      <c r="O19" s="1"/>
      <c r="P19" s="1"/>
      <c r="Q19" s="1">
        <v>0</v>
      </c>
      <c r="R19" s="1"/>
      <c r="S19" s="1">
        <f t="shared" si="4"/>
        <v>0.3624</v>
      </c>
      <c r="T19" s="5"/>
      <c r="U19" s="5"/>
      <c r="V19" s="1"/>
      <c r="W19" s="1">
        <f t="shared" si="6"/>
        <v>37.577262693156733</v>
      </c>
      <c r="X19" s="1">
        <f t="shared" si="7"/>
        <v>37.577262693156733</v>
      </c>
      <c r="Y19" s="1">
        <v>0.51559999999999995</v>
      </c>
      <c r="Z19" s="1">
        <v>0.44240000000000002</v>
      </c>
      <c r="AA19" s="1">
        <v>0.2114</v>
      </c>
      <c r="AB19" s="1">
        <v>0.57300000000000006</v>
      </c>
      <c r="AC19" s="1">
        <v>0.43200000000000011</v>
      </c>
      <c r="AD19" s="1">
        <v>1.565666666666667</v>
      </c>
      <c r="AE19" s="1">
        <v>2.2530000000000001</v>
      </c>
      <c r="AF19" s="1">
        <v>2.0354000000000001</v>
      </c>
      <c r="AG19" s="25" t="s">
        <v>57</v>
      </c>
      <c r="AH19" s="1">
        <f>G19*T19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9" t="s">
        <v>58</v>
      </c>
      <c r="B20" s="19" t="s">
        <v>38</v>
      </c>
      <c r="C20" s="19">
        <v>2457.692</v>
      </c>
      <c r="D20" s="19">
        <v>855.07799999999997</v>
      </c>
      <c r="E20" s="19">
        <v>1230.761</v>
      </c>
      <c r="F20" s="19">
        <v>1925.922</v>
      </c>
      <c r="G20" s="20">
        <v>1</v>
      </c>
      <c r="H20" s="19">
        <v>60</v>
      </c>
      <c r="I20" s="19" t="s">
        <v>39</v>
      </c>
      <c r="J20" s="19"/>
      <c r="K20" s="19">
        <v>1198.52</v>
      </c>
      <c r="L20" s="19">
        <f t="shared" si="2"/>
        <v>32.240999999999985</v>
      </c>
      <c r="M20" s="19">
        <f t="shared" si="3"/>
        <v>1225.3809999999999</v>
      </c>
      <c r="N20" s="19">
        <v>5.38</v>
      </c>
      <c r="O20" s="19">
        <v>449.01334800000001</v>
      </c>
      <c r="P20" s="19"/>
      <c r="Q20" s="19">
        <v>0</v>
      </c>
      <c r="R20" s="19"/>
      <c r="S20" s="19">
        <f t="shared" si="4"/>
        <v>245.07619999999997</v>
      </c>
      <c r="T20" s="21">
        <f>10*S20-R20-Q20-P20-O20-F20</f>
        <v>75.82665199999974</v>
      </c>
      <c r="U20" s="21"/>
      <c r="V20" s="19"/>
      <c r="W20" s="19">
        <f t="shared" si="6"/>
        <v>10</v>
      </c>
      <c r="X20" s="19">
        <f t="shared" si="7"/>
        <v>9.6905996910348708</v>
      </c>
      <c r="Y20" s="19">
        <v>255.26419999999999</v>
      </c>
      <c r="Z20" s="19">
        <v>237.57320000000001</v>
      </c>
      <c r="AA20" s="19">
        <v>234.61580000000001</v>
      </c>
      <c r="AB20" s="19">
        <v>252.85040000000001</v>
      </c>
      <c r="AC20" s="19">
        <v>242.0446</v>
      </c>
      <c r="AD20" s="19">
        <v>333.14299999999997</v>
      </c>
      <c r="AE20" s="19">
        <v>379.88099999999997</v>
      </c>
      <c r="AF20" s="19">
        <v>312.31240000000003</v>
      </c>
      <c r="AG20" s="19" t="s">
        <v>59</v>
      </c>
      <c r="AH20" s="19">
        <f>G20*T20</f>
        <v>75.82665199999974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60</v>
      </c>
      <c r="B21" s="1" t="s">
        <v>38</v>
      </c>
      <c r="C21" s="1">
        <v>281.18700000000001</v>
      </c>
      <c r="D21" s="1">
        <v>380.08</v>
      </c>
      <c r="E21" s="1">
        <v>221.61099999999999</v>
      </c>
      <c r="F21" s="1">
        <v>303.98500000000001</v>
      </c>
      <c r="G21" s="8">
        <v>1</v>
      </c>
      <c r="H21" s="1">
        <v>60</v>
      </c>
      <c r="I21" s="1" t="s">
        <v>39</v>
      </c>
      <c r="J21" s="1"/>
      <c r="K21" s="1">
        <v>218.89</v>
      </c>
      <c r="L21" s="1">
        <f t="shared" si="2"/>
        <v>2.7210000000000036</v>
      </c>
      <c r="M21" s="1">
        <f t="shared" si="3"/>
        <v>216.34099999999998</v>
      </c>
      <c r="N21" s="1">
        <v>5.27</v>
      </c>
      <c r="O21" s="1"/>
      <c r="P21" s="1">
        <v>100</v>
      </c>
      <c r="Q21" s="1">
        <v>115.1678799999998</v>
      </c>
      <c r="R21" s="1">
        <v>50</v>
      </c>
      <c r="S21" s="1">
        <f t="shared" si="4"/>
        <v>43.268199999999993</v>
      </c>
      <c r="T21" s="5"/>
      <c r="U21" s="5"/>
      <c r="V21" s="1"/>
      <c r="W21" s="1">
        <f t="shared" si="6"/>
        <v>13.15406880803916</v>
      </c>
      <c r="X21" s="1">
        <f t="shared" si="7"/>
        <v>13.15406880803916</v>
      </c>
      <c r="Y21" s="1">
        <v>50.223799999999997</v>
      </c>
      <c r="Z21" s="1">
        <v>39.980800000000002</v>
      </c>
      <c r="AA21" s="1">
        <v>36.104799999999997</v>
      </c>
      <c r="AB21" s="1">
        <v>38.489800000000002</v>
      </c>
      <c r="AC21" s="1">
        <v>37.161799999999999</v>
      </c>
      <c r="AD21" s="1">
        <v>47.361333333333327</v>
      </c>
      <c r="AE21" s="1">
        <v>59.718166666666669</v>
      </c>
      <c r="AF21" s="1">
        <v>54.285600000000002</v>
      </c>
      <c r="AG21" s="1"/>
      <c r="AH21" s="1">
        <f>G21*T21</f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22" t="s">
        <v>61</v>
      </c>
      <c r="B22" s="22" t="s">
        <v>38</v>
      </c>
      <c r="C22" s="22">
        <v>250.78200000000001</v>
      </c>
      <c r="D22" s="22">
        <v>437.64100000000002</v>
      </c>
      <c r="E22" s="22">
        <v>175.15799999999999</v>
      </c>
      <c r="F22" s="22">
        <v>311.53199999999998</v>
      </c>
      <c r="G22" s="23">
        <v>1</v>
      </c>
      <c r="H22" s="22">
        <v>60</v>
      </c>
      <c r="I22" s="22" t="s">
        <v>39</v>
      </c>
      <c r="J22" s="22"/>
      <c r="K22" s="22">
        <v>172.79</v>
      </c>
      <c r="L22" s="22">
        <f t="shared" si="2"/>
        <v>2.367999999999995</v>
      </c>
      <c r="M22" s="22">
        <f t="shared" si="3"/>
        <v>175.15799999999999</v>
      </c>
      <c r="N22" s="22"/>
      <c r="O22" s="22"/>
      <c r="P22" s="22"/>
      <c r="Q22" s="22">
        <v>84.170359999999761</v>
      </c>
      <c r="R22" s="22">
        <v>50</v>
      </c>
      <c r="S22" s="22">
        <f t="shared" si="4"/>
        <v>35.031599999999997</v>
      </c>
      <c r="T22" s="24">
        <f>11*S22*1.5-R22-Q22-P22-O22-F22</f>
        <v>132.31904000000014</v>
      </c>
      <c r="U22" s="24"/>
      <c r="V22" s="22"/>
      <c r="W22" s="22">
        <f t="shared" si="6"/>
        <v>16.499999999999996</v>
      </c>
      <c r="X22" s="22">
        <f t="shared" si="7"/>
        <v>12.722866212219818</v>
      </c>
      <c r="Y22" s="22">
        <v>32.783599999999993</v>
      </c>
      <c r="Z22" s="22">
        <v>37.448599999999999</v>
      </c>
      <c r="AA22" s="22">
        <v>35.759</v>
      </c>
      <c r="AB22" s="22">
        <v>34.633400000000002</v>
      </c>
      <c r="AC22" s="22">
        <v>31.091000000000001</v>
      </c>
      <c r="AD22" s="22">
        <v>41.393333333333331</v>
      </c>
      <c r="AE22" s="22">
        <v>53.31633333333334</v>
      </c>
      <c r="AF22" s="22">
        <v>47.745199999999997</v>
      </c>
      <c r="AG22" s="22" t="s">
        <v>40</v>
      </c>
      <c r="AH22" s="22">
        <f>G22*T22</f>
        <v>132.31904000000014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62</v>
      </c>
      <c r="B23" s="1" t="s">
        <v>38</v>
      </c>
      <c r="C23" s="1">
        <v>22.53</v>
      </c>
      <c r="D23" s="1"/>
      <c r="E23" s="1">
        <v>0.74399999999999999</v>
      </c>
      <c r="F23" s="1">
        <v>21.411999999999999</v>
      </c>
      <c r="G23" s="8">
        <v>1</v>
      </c>
      <c r="H23" s="1">
        <v>180</v>
      </c>
      <c r="I23" s="1" t="s">
        <v>39</v>
      </c>
      <c r="J23" s="1"/>
      <c r="K23" s="1">
        <v>0.66</v>
      </c>
      <c r="L23" s="1">
        <f t="shared" si="2"/>
        <v>8.3999999999999964E-2</v>
      </c>
      <c r="M23" s="1">
        <f t="shared" si="3"/>
        <v>0.74399999999999999</v>
      </c>
      <c r="N23" s="1"/>
      <c r="O23" s="1"/>
      <c r="P23" s="1"/>
      <c r="Q23" s="1">
        <v>0</v>
      </c>
      <c r="R23" s="1"/>
      <c r="S23" s="1">
        <f t="shared" si="4"/>
        <v>0.14879999999999999</v>
      </c>
      <c r="T23" s="5"/>
      <c r="U23" s="5"/>
      <c r="V23" s="1"/>
      <c r="W23" s="1">
        <f t="shared" si="6"/>
        <v>143.8978494623656</v>
      </c>
      <c r="X23" s="1">
        <f t="shared" si="7"/>
        <v>143.8978494623656</v>
      </c>
      <c r="Y23" s="1">
        <v>0.437</v>
      </c>
      <c r="Z23" s="1">
        <v>0.43719999999999998</v>
      </c>
      <c r="AA23" s="1">
        <v>7.3800000000000004E-2</v>
      </c>
      <c r="AB23" s="1">
        <v>0.88800000000000012</v>
      </c>
      <c r="AC23" s="1">
        <v>1.4079999999999999</v>
      </c>
      <c r="AD23" s="1">
        <v>1.6639999999999999</v>
      </c>
      <c r="AE23" s="1">
        <v>2.4003333333333332</v>
      </c>
      <c r="AF23" s="1">
        <v>2.6547999999999998</v>
      </c>
      <c r="AG23" s="25" t="s">
        <v>57</v>
      </c>
      <c r="AH23" s="1">
        <f>G23*T23</f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2" t="s">
        <v>63</v>
      </c>
      <c r="B24" s="22" t="s">
        <v>38</v>
      </c>
      <c r="C24" s="22">
        <v>834.38400000000001</v>
      </c>
      <c r="D24" s="22">
        <v>374.92200000000003</v>
      </c>
      <c r="E24" s="22">
        <v>512.78300000000002</v>
      </c>
      <c r="F24" s="22">
        <v>621.71699999999998</v>
      </c>
      <c r="G24" s="23">
        <v>1</v>
      </c>
      <c r="H24" s="22">
        <v>60</v>
      </c>
      <c r="I24" s="22" t="s">
        <v>39</v>
      </c>
      <c r="J24" s="22"/>
      <c r="K24" s="22">
        <v>501.28500000000003</v>
      </c>
      <c r="L24" s="22">
        <f t="shared" si="2"/>
        <v>11.49799999999999</v>
      </c>
      <c r="M24" s="22">
        <f t="shared" si="3"/>
        <v>512.78300000000002</v>
      </c>
      <c r="N24" s="22"/>
      <c r="O24" s="22">
        <v>171.463446</v>
      </c>
      <c r="P24" s="22">
        <v>200</v>
      </c>
      <c r="Q24" s="22">
        <v>202.30105400000011</v>
      </c>
      <c r="R24" s="22">
        <v>200</v>
      </c>
      <c r="S24" s="22">
        <f t="shared" si="4"/>
        <v>102.5566</v>
      </c>
      <c r="T24" s="24">
        <f>11*S24*1.5-R24-Q24-P24-O24-F24</f>
        <v>296.70240000000024</v>
      </c>
      <c r="U24" s="24"/>
      <c r="V24" s="22"/>
      <c r="W24" s="22">
        <f t="shared" si="6"/>
        <v>16.500000000000004</v>
      </c>
      <c r="X24" s="22">
        <f t="shared" si="7"/>
        <v>13.606939972659001</v>
      </c>
      <c r="Y24" s="22">
        <v>97.855000000000004</v>
      </c>
      <c r="Z24" s="22">
        <v>90.721400000000003</v>
      </c>
      <c r="AA24" s="22">
        <v>100.31659999999999</v>
      </c>
      <c r="AB24" s="22">
        <v>102.56659999999999</v>
      </c>
      <c r="AC24" s="22">
        <v>85.265200000000007</v>
      </c>
      <c r="AD24" s="22">
        <v>91.987500000000011</v>
      </c>
      <c r="AE24" s="22">
        <v>117.01366666666669</v>
      </c>
      <c r="AF24" s="22">
        <v>123.928</v>
      </c>
      <c r="AG24" s="22" t="s">
        <v>50</v>
      </c>
      <c r="AH24" s="22">
        <f>G24*T24</f>
        <v>296.70240000000024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64</v>
      </c>
      <c r="B25" s="1" t="s">
        <v>38</v>
      </c>
      <c r="C25" s="1">
        <v>281.90300000000002</v>
      </c>
      <c r="D25" s="1">
        <v>252.571</v>
      </c>
      <c r="E25" s="1">
        <v>196.80199999999999</v>
      </c>
      <c r="F25" s="1">
        <v>300.26499999999999</v>
      </c>
      <c r="G25" s="8">
        <v>1</v>
      </c>
      <c r="H25" s="1">
        <v>30</v>
      </c>
      <c r="I25" s="1" t="s">
        <v>39</v>
      </c>
      <c r="J25" s="1"/>
      <c r="K25" s="1">
        <v>211.273</v>
      </c>
      <c r="L25" s="1">
        <f t="shared" si="2"/>
        <v>-14.471000000000004</v>
      </c>
      <c r="M25" s="1">
        <f t="shared" si="3"/>
        <v>188.779</v>
      </c>
      <c r="N25" s="1">
        <v>8.0229999999999997</v>
      </c>
      <c r="O25" s="1"/>
      <c r="P25" s="1"/>
      <c r="Q25" s="1">
        <v>79.274801933333379</v>
      </c>
      <c r="R25" s="1"/>
      <c r="S25" s="1">
        <f t="shared" si="4"/>
        <v>37.755800000000001</v>
      </c>
      <c r="T25" s="5">
        <f t="shared" si="8"/>
        <v>73.529798066666672</v>
      </c>
      <c r="U25" s="5"/>
      <c r="V25" s="1"/>
      <c r="W25" s="1">
        <f t="shared" si="6"/>
        <v>12</v>
      </c>
      <c r="X25" s="1">
        <f t="shared" si="7"/>
        <v>10.052489999770456</v>
      </c>
      <c r="Y25" s="1">
        <v>44.315800000000003</v>
      </c>
      <c r="Z25" s="1">
        <v>46.5794</v>
      </c>
      <c r="AA25" s="1">
        <v>42.232199999999999</v>
      </c>
      <c r="AB25" s="1">
        <v>45.095999999999997</v>
      </c>
      <c r="AC25" s="1">
        <v>41.325599999999987</v>
      </c>
      <c r="AD25" s="1">
        <v>40.599333333333327</v>
      </c>
      <c r="AE25" s="1">
        <v>45.578000000000003</v>
      </c>
      <c r="AF25" s="1">
        <v>43.288600000000002</v>
      </c>
      <c r="AG25" s="1"/>
      <c r="AH25" s="1">
        <f>G25*T25</f>
        <v>73.529798066666672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38</v>
      </c>
      <c r="C26" s="1">
        <v>282.27300000000002</v>
      </c>
      <c r="D26" s="1">
        <v>134.91300000000001</v>
      </c>
      <c r="E26" s="1">
        <v>202.58500000000001</v>
      </c>
      <c r="F26" s="1">
        <v>168.011</v>
      </c>
      <c r="G26" s="8">
        <v>1</v>
      </c>
      <c r="H26" s="1">
        <v>30</v>
      </c>
      <c r="I26" s="1" t="s">
        <v>39</v>
      </c>
      <c r="J26" s="1"/>
      <c r="K26" s="1">
        <v>216.51300000000001</v>
      </c>
      <c r="L26" s="1">
        <f t="shared" si="2"/>
        <v>-13.927999999999997</v>
      </c>
      <c r="M26" s="1">
        <f t="shared" si="3"/>
        <v>175.88300000000001</v>
      </c>
      <c r="N26" s="1">
        <v>26.702000000000002</v>
      </c>
      <c r="O26" s="1"/>
      <c r="P26" s="1"/>
      <c r="Q26" s="1">
        <v>145.36239599999979</v>
      </c>
      <c r="R26" s="1">
        <v>50</v>
      </c>
      <c r="S26" s="1">
        <f t="shared" si="4"/>
        <v>35.176600000000001</v>
      </c>
      <c r="T26" s="5">
        <f t="shared" si="8"/>
        <v>58.745804000000192</v>
      </c>
      <c r="U26" s="5"/>
      <c r="V26" s="1"/>
      <c r="W26" s="1">
        <f t="shared" si="6"/>
        <v>12</v>
      </c>
      <c r="X26" s="1">
        <f t="shared" si="7"/>
        <v>10.329974926513643</v>
      </c>
      <c r="Y26" s="1">
        <v>38.82</v>
      </c>
      <c r="Z26" s="1">
        <v>32.909399999999998</v>
      </c>
      <c r="AA26" s="1">
        <v>37.429199999999987</v>
      </c>
      <c r="AB26" s="1">
        <v>38.073799999999999</v>
      </c>
      <c r="AC26" s="1">
        <v>30.935600000000001</v>
      </c>
      <c r="AD26" s="1">
        <v>27.695</v>
      </c>
      <c r="AE26" s="1">
        <v>33.022166666666671</v>
      </c>
      <c r="AF26" s="1">
        <v>34.018799999999999</v>
      </c>
      <c r="AG26" s="1"/>
      <c r="AH26" s="1">
        <f>G26*T26</f>
        <v>58.745804000000192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22" t="s">
        <v>66</v>
      </c>
      <c r="B27" s="22" t="s">
        <v>38</v>
      </c>
      <c r="C27" s="22">
        <v>1161.175</v>
      </c>
      <c r="D27" s="22">
        <v>882.81100000000004</v>
      </c>
      <c r="E27" s="22">
        <v>905.32899999999995</v>
      </c>
      <c r="F27" s="22">
        <v>1030.6659999999999</v>
      </c>
      <c r="G27" s="23">
        <v>1</v>
      </c>
      <c r="H27" s="22">
        <v>30</v>
      </c>
      <c r="I27" s="22" t="s">
        <v>39</v>
      </c>
      <c r="J27" s="22"/>
      <c r="K27" s="22">
        <v>912.83</v>
      </c>
      <c r="L27" s="22">
        <f t="shared" si="2"/>
        <v>-7.50100000000009</v>
      </c>
      <c r="M27" s="22">
        <f t="shared" si="3"/>
        <v>905.32899999999995</v>
      </c>
      <c r="N27" s="22"/>
      <c r="O27" s="22"/>
      <c r="P27" s="22">
        <v>300</v>
      </c>
      <c r="Q27" s="22">
        <v>385.03212226666761</v>
      </c>
      <c r="R27" s="22">
        <v>350</v>
      </c>
      <c r="S27" s="22">
        <f t="shared" si="4"/>
        <v>181.0658</v>
      </c>
      <c r="T27" s="24">
        <f>11*S27*1.2-R27-Q27-P27-O27-F27</f>
        <v>324.37043773333221</v>
      </c>
      <c r="U27" s="24"/>
      <c r="V27" s="22"/>
      <c r="W27" s="22">
        <f t="shared" si="6"/>
        <v>13.2</v>
      </c>
      <c r="X27" s="22">
        <f t="shared" si="7"/>
        <v>11.408549390700328</v>
      </c>
      <c r="Y27" s="22">
        <v>187.96420000000001</v>
      </c>
      <c r="Z27" s="22">
        <v>178.36080000000001</v>
      </c>
      <c r="AA27" s="22">
        <v>181.51320000000001</v>
      </c>
      <c r="AB27" s="22">
        <v>181.39660000000001</v>
      </c>
      <c r="AC27" s="22">
        <v>147.7868</v>
      </c>
      <c r="AD27" s="22">
        <v>128.00916666666669</v>
      </c>
      <c r="AE27" s="22">
        <v>142.40666666666669</v>
      </c>
      <c r="AF27" s="22">
        <v>164.65260000000001</v>
      </c>
      <c r="AG27" s="22" t="s">
        <v>50</v>
      </c>
      <c r="AH27" s="22">
        <f>G27*T27</f>
        <v>324.37043773333221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38</v>
      </c>
      <c r="C28" s="1">
        <v>26.172000000000001</v>
      </c>
      <c r="D28" s="1">
        <v>31.74</v>
      </c>
      <c r="E28" s="1">
        <v>28.6</v>
      </c>
      <c r="F28" s="1">
        <v>20.614999999999998</v>
      </c>
      <c r="G28" s="8">
        <v>1</v>
      </c>
      <c r="H28" s="1">
        <v>45</v>
      </c>
      <c r="I28" s="1" t="s">
        <v>39</v>
      </c>
      <c r="J28" s="1"/>
      <c r="K28" s="1">
        <v>36.951000000000001</v>
      </c>
      <c r="L28" s="1">
        <f t="shared" si="2"/>
        <v>-8.3509999999999991</v>
      </c>
      <c r="M28" s="1">
        <f t="shared" si="3"/>
        <v>20.649000000000001</v>
      </c>
      <c r="N28" s="1">
        <v>7.9509999999999996</v>
      </c>
      <c r="O28" s="1"/>
      <c r="P28" s="1"/>
      <c r="Q28" s="1">
        <v>29.667400000000001</v>
      </c>
      <c r="R28" s="1"/>
      <c r="S28" s="1">
        <f t="shared" si="4"/>
        <v>4.1298000000000004</v>
      </c>
      <c r="T28" s="5"/>
      <c r="U28" s="5"/>
      <c r="V28" s="1"/>
      <c r="W28" s="1">
        <f t="shared" si="6"/>
        <v>12.175504867063777</v>
      </c>
      <c r="X28" s="1">
        <f t="shared" si="7"/>
        <v>12.175504867063777</v>
      </c>
      <c r="Y28" s="1">
        <v>4.9476000000000004</v>
      </c>
      <c r="Z28" s="1">
        <v>4.1871999999999998</v>
      </c>
      <c r="AA28" s="1">
        <v>2.8690000000000002</v>
      </c>
      <c r="AB28" s="1">
        <v>3.4502000000000002</v>
      </c>
      <c r="AC28" s="1">
        <v>3.6918000000000002</v>
      </c>
      <c r="AD28" s="1">
        <v>2.1896666666666671</v>
      </c>
      <c r="AE28" s="1">
        <v>2.9525000000000001</v>
      </c>
      <c r="AF28" s="1">
        <v>4.2566000000000006</v>
      </c>
      <c r="AG28" s="1"/>
      <c r="AH28" s="1">
        <f>G28*T28</f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34.54</v>
      </c>
      <c r="D29" s="1">
        <v>9.625</v>
      </c>
      <c r="E29" s="1">
        <v>36.543999999999997</v>
      </c>
      <c r="F29" s="1">
        <v>6.8209999999999997</v>
      </c>
      <c r="G29" s="8">
        <v>1</v>
      </c>
      <c r="H29" s="1">
        <v>40</v>
      </c>
      <c r="I29" s="1" t="s">
        <v>39</v>
      </c>
      <c r="J29" s="1"/>
      <c r="K29" s="1">
        <v>36.6</v>
      </c>
      <c r="L29" s="1">
        <f t="shared" si="2"/>
        <v>-5.6000000000004491E-2</v>
      </c>
      <c r="M29" s="1">
        <f t="shared" si="3"/>
        <v>36.543999999999997</v>
      </c>
      <c r="N29" s="1"/>
      <c r="O29" s="1"/>
      <c r="P29" s="1"/>
      <c r="Q29" s="1">
        <v>50.479400000000012</v>
      </c>
      <c r="R29" s="1"/>
      <c r="S29" s="1">
        <f t="shared" si="4"/>
        <v>7.3087999999999997</v>
      </c>
      <c r="T29" s="5">
        <f t="shared" si="8"/>
        <v>30.405199999999994</v>
      </c>
      <c r="U29" s="5"/>
      <c r="V29" s="1"/>
      <c r="W29" s="1">
        <f t="shared" si="6"/>
        <v>12.000000000000002</v>
      </c>
      <c r="X29" s="1">
        <f t="shared" si="7"/>
        <v>7.8399190017513156</v>
      </c>
      <c r="Y29" s="1">
        <v>8.3361999999999998</v>
      </c>
      <c r="Z29" s="1">
        <v>3.5659999999999998</v>
      </c>
      <c r="AA29" s="1">
        <v>2.093</v>
      </c>
      <c r="AB29" s="1">
        <v>3.9485999999999999</v>
      </c>
      <c r="AC29" s="1">
        <v>3.9470000000000001</v>
      </c>
      <c r="AD29" s="1">
        <v>2.241333333333333</v>
      </c>
      <c r="AE29" s="1">
        <v>2.7323333333333331</v>
      </c>
      <c r="AF29" s="1">
        <v>2.6025999999999998</v>
      </c>
      <c r="AG29" s="1"/>
      <c r="AH29" s="1">
        <f>G29*T29</f>
        <v>30.405199999999994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38</v>
      </c>
      <c r="C30" s="1">
        <v>229.744</v>
      </c>
      <c r="D30" s="1">
        <v>184.24</v>
      </c>
      <c r="E30" s="1">
        <v>188.58799999999999</v>
      </c>
      <c r="F30" s="1">
        <v>200.898</v>
      </c>
      <c r="G30" s="8">
        <v>1</v>
      </c>
      <c r="H30" s="1">
        <v>30</v>
      </c>
      <c r="I30" s="1" t="s">
        <v>39</v>
      </c>
      <c r="J30" s="1"/>
      <c r="K30" s="1">
        <v>185.45</v>
      </c>
      <c r="L30" s="1">
        <f t="shared" si="2"/>
        <v>3.1380000000000052</v>
      </c>
      <c r="M30" s="1">
        <f t="shared" si="3"/>
        <v>188.58799999999999</v>
      </c>
      <c r="N30" s="1"/>
      <c r="O30" s="1"/>
      <c r="P30" s="1"/>
      <c r="Q30" s="1">
        <v>90.763239799999951</v>
      </c>
      <c r="R30" s="1"/>
      <c r="S30" s="1">
        <f t="shared" si="4"/>
        <v>37.717599999999997</v>
      </c>
      <c r="T30" s="5">
        <f t="shared" si="8"/>
        <v>160.94996019999999</v>
      </c>
      <c r="U30" s="5"/>
      <c r="V30" s="1"/>
      <c r="W30" s="1">
        <f t="shared" si="6"/>
        <v>12</v>
      </c>
      <c r="X30" s="1">
        <f t="shared" si="7"/>
        <v>7.7327624186056374</v>
      </c>
      <c r="Y30" s="1">
        <v>35.3658</v>
      </c>
      <c r="Z30" s="1">
        <v>35.517600000000002</v>
      </c>
      <c r="AA30" s="1">
        <v>35.735999999999997</v>
      </c>
      <c r="AB30" s="1">
        <v>36.132800000000003</v>
      </c>
      <c r="AC30" s="1">
        <v>29.5976</v>
      </c>
      <c r="AD30" s="1">
        <v>27.172000000000001</v>
      </c>
      <c r="AE30" s="1">
        <v>32.773499999999999</v>
      </c>
      <c r="AF30" s="1">
        <v>34.592799999999997</v>
      </c>
      <c r="AG30" s="1"/>
      <c r="AH30" s="1">
        <f>G30*T30</f>
        <v>160.94996019999999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3" t="s">
        <v>70</v>
      </c>
      <c r="B31" s="13" t="s">
        <v>38</v>
      </c>
      <c r="C31" s="13"/>
      <c r="D31" s="13"/>
      <c r="E31" s="13"/>
      <c r="F31" s="13"/>
      <c r="G31" s="14">
        <v>0</v>
      </c>
      <c r="H31" s="13">
        <v>50</v>
      </c>
      <c r="I31" s="13" t="s">
        <v>39</v>
      </c>
      <c r="J31" s="13"/>
      <c r="K31" s="13"/>
      <c r="L31" s="13">
        <f t="shared" si="2"/>
        <v>0</v>
      </c>
      <c r="M31" s="13">
        <f t="shared" si="3"/>
        <v>0</v>
      </c>
      <c r="N31" s="13"/>
      <c r="O31" s="13"/>
      <c r="P31" s="13"/>
      <c r="Q31" s="13">
        <v>0</v>
      </c>
      <c r="R31" s="13"/>
      <c r="S31" s="13">
        <f t="shared" si="4"/>
        <v>0</v>
      </c>
      <c r="T31" s="15"/>
      <c r="U31" s="15"/>
      <c r="V31" s="13"/>
      <c r="W31" s="13" t="e">
        <f t="shared" si="6"/>
        <v>#DIV/0!</v>
      </c>
      <c r="X31" s="13" t="e">
        <f t="shared" si="7"/>
        <v>#DIV/0!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 t="s">
        <v>71</v>
      </c>
      <c r="AH31" s="13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3" t="s">
        <v>72</v>
      </c>
      <c r="B32" s="13" t="s">
        <v>38</v>
      </c>
      <c r="C32" s="13"/>
      <c r="D32" s="13"/>
      <c r="E32" s="13"/>
      <c r="F32" s="13"/>
      <c r="G32" s="14">
        <v>0</v>
      </c>
      <c r="H32" s="13">
        <v>50</v>
      </c>
      <c r="I32" s="13" t="s">
        <v>39</v>
      </c>
      <c r="J32" s="13"/>
      <c r="K32" s="13"/>
      <c r="L32" s="13">
        <f t="shared" si="2"/>
        <v>0</v>
      </c>
      <c r="M32" s="13">
        <f t="shared" si="3"/>
        <v>0</v>
      </c>
      <c r="N32" s="13"/>
      <c r="O32" s="13"/>
      <c r="P32" s="13"/>
      <c r="Q32" s="13">
        <v>0</v>
      </c>
      <c r="R32" s="13"/>
      <c r="S32" s="13">
        <f t="shared" si="4"/>
        <v>0</v>
      </c>
      <c r="T32" s="15"/>
      <c r="U32" s="15"/>
      <c r="V32" s="13"/>
      <c r="W32" s="13" t="e">
        <f t="shared" si="6"/>
        <v>#DIV/0!</v>
      </c>
      <c r="X32" s="13" t="e">
        <f t="shared" si="7"/>
        <v>#DIV/0!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 t="s">
        <v>71</v>
      </c>
      <c r="AH32" s="13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22" t="s">
        <v>73</v>
      </c>
      <c r="B33" s="22" t="s">
        <v>44</v>
      </c>
      <c r="C33" s="22">
        <v>3134</v>
      </c>
      <c r="D33" s="22">
        <v>3699</v>
      </c>
      <c r="E33" s="22">
        <v>2759</v>
      </c>
      <c r="F33" s="22">
        <v>3668</v>
      </c>
      <c r="G33" s="23">
        <v>0.4</v>
      </c>
      <c r="H33" s="22">
        <v>45</v>
      </c>
      <c r="I33" s="22" t="s">
        <v>39</v>
      </c>
      <c r="J33" s="22"/>
      <c r="K33" s="22">
        <v>2807</v>
      </c>
      <c r="L33" s="22">
        <f t="shared" si="2"/>
        <v>-48</v>
      </c>
      <c r="M33" s="22">
        <f t="shared" si="3"/>
        <v>2747</v>
      </c>
      <c r="N33" s="22">
        <v>12</v>
      </c>
      <c r="O33" s="22"/>
      <c r="P33" s="22">
        <v>1400</v>
      </c>
      <c r="Q33" s="22">
        <v>1590.749800000001</v>
      </c>
      <c r="R33" s="22">
        <v>1500</v>
      </c>
      <c r="S33" s="22">
        <f t="shared" si="4"/>
        <v>549.4</v>
      </c>
      <c r="T33" s="24">
        <f>11*S33*1.5-R33-Q33-P33-O33-F33</f>
        <v>906.35019999999713</v>
      </c>
      <c r="U33" s="24"/>
      <c r="V33" s="22"/>
      <c r="W33" s="22">
        <f t="shared" si="6"/>
        <v>16.499999999999996</v>
      </c>
      <c r="X33" s="22">
        <f t="shared" si="7"/>
        <v>14.850290862759378</v>
      </c>
      <c r="Y33" s="22">
        <v>568.20000000000005</v>
      </c>
      <c r="Z33" s="22">
        <v>598</v>
      </c>
      <c r="AA33" s="22">
        <v>608.4</v>
      </c>
      <c r="AB33" s="22">
        <v>544.4</v>
      </c>
      <c r="AC33" s="22">
        <v>466.6</v>
      </c>
      <c r="AD33" s="22">
        <v>488.16666666666669</v>
      </c>
      <c r="AE33" s="22">
        <v>532.33333333333337</v>
      </c>
      <c r="AF33" s="22">
        <v>540.6</v>
      </c>
      <c r="AG33" s="22" t="s">
        <v>74</v>
      </c>
      <c r="AH33" s="22">
        <f>G33*T33</f>
        <v>362.54007999999885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75</v>
      </c>
      <c r="B34" s="1" t="s">
        <v>44</v>
      </c>
      <c r="C34" s="1">
        <v>661</v>
      </c>
      <c r="D34" s="1">
        <v>1301</v>
      </c>
      <c r="E34" s="1">
        <v>556</v>
      </c>
      <c r="F34" s="1">
        <v>1269</v>
      </c>
      <c r="G34" s="8">
        <v>0.45</v>
      </c>
      <c r="H34" s="1">
        <v>50</v>
      </c>
      <c r="I34" s="1" t="s">
        <v>39</v>
      </c>
      <c r="J34" s="1"/>
      <c r="K34" s="1">
        <v>576</v>
      </c>
      <c r="L34" s="1">
        <f t="shared" si="2"/>
        <v>-20</v>
      </c>
      <c r="M34" s="1">
        <f t="shared" si="3"/>
        <v>536</v>
      </c>
      <c r="N34" s="1">
        <v>20</v>
      </c>
      <c r="O34" s="1">
        <v>255.52799999999999</v>
      </c>
      <c r="P34" s="1"/>
      <c r="Q34" s="1">
        <v>0</v>
      </c>
      <c r="R34" s="1"/>
      <c r="S34" s="1">
        <f t="shared" si="4"/>
        <v>107.2</v>
      </c>
      <c r="T34" s="5"/>
      <c r="U34" s="5"/>
      <c r="V34" s="1"/>
      <c r="W34" s="1">
        <f t="shared" si="6"/>
        <v>14.221343283582089</v>
      </c>
      <c r="X34" s="1">
        <f t="shared" si="7"/>
        <v>14.221343283582089</v>
      </c>
      <c r="Y34" s="1">
        <v>141.6</v>
      </c>
      <c r="Z34" s="1">
        <v>135.19999999999999</v>
      </c>
      <c r="AA34" s="1">
        <v>130.6</v>
      </c>
      <c r="AB34" s="1">
        <v>102.2</v>
      </c>
      <c r="AC34" s="1">
        <v>86.4</v>
      </c>
      <c r="AD34" s="1">
        <v>123.5</v>
      </c>
      <c r="AE34" s="1">
        <v>140.33333333333329</v>
      </c>
      <c r="AF34" s="1">
        <v>137.80000000000001</v>
      </c>
      <c r="AG34" s="1" t="s">
        <v>76</v>
      </c>
      <c r="AH34" s="1">
        <f>G34*T34</f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77</v>
      </c>
      <c r="B35" s="1" t="s">
        <v>44</v>
      </c>
      <c r="C35" s="1">
        <v>1649</v>
      </c>
      <c r="D35" s="1">
        <v>3099</v>
      </c>
      <c r="E35" s="1">
        <v>1802</v>
      </c>
      <c r="F35" s="1">
        <v>2596</v>
      </c>
      <c r="G35" s="8">
        <v>0.4</v>
      </c>
      <c r="H35" s="1">
        <v>45</v>
      </c>
      <c r="I35" s="1" t="s">
        <v>39</v>
      </c>
      <c r="J35" s="1"/>
      <c r="K35" s="1">
        <v>1831</v>
      </c>
      <c r="L35" s="1">
        <f t="shared" si="2"/>
        <v>-29</v>
      </c>
      <c r="M35" s="1">
        <f t="shared" si="3"/>
        <v>1802</v>
      </c>
      <c r="N35" s="1"/>
      <c r="O35" s="1"/>
      <c r="P35" s="1">
        <v>500</v>
      </c>
      <c r="Q35" s="1">
        <v>574.19999999999982</v>
      </c>
      <c r="R35" s="1">
        <v>550</v>
      </c>
      <c r="S35" s="1">
        <f t="shared" si="4"/>
        <v>360.4</v>
      </c>
      <c r="T35" s="5">
        <f t="shared" ref="T33:T35" si="10">12*S35-R35-Q35-P35-O35-F35</f>
        <v>104.59999999999945</v>
      </c>
      <c r="U35" s="5"/>
      <c r="V35" s="1"/>
      <c r="W35" s="1">
        <f t="shared" si="6"/>
        <v>11.999999999999998</v>
      </c>
      <c r="X35" s="1">
        <f t="shared" si="7"/>
        <v>11.70976692563818</v>
      </c>
      <c r="Y35" s="1">
        <v>396</v>
      </c>
      <c r="Z35" s="1">
        <v>408</v>
      </c>
      <c r="AA35" s="1">
        <v>398.2</v>
      </c>
      <c r="AB35" s="1">
        <v>322.60000000000002</v>
      </c>
      <c r="AC35" s="1">
        <v>255.8</v>
      </c>
      <c r="AD35" s="1">
        <v>270.33333333333331</v>
      </c>
      <c r="AE35" s="1">
        <v>298.83333333333331</v>
      </c>
      <c r="AF35" s="1">
        <v>341.2</v>
      </c>
      <c r="AG35" s="1" t="s">
        <v>78</v>
      </c>
      <c r="AH35" s="1">
        <f>G35*T35</f>
        <v>41.839999999999783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79</v>
      </c>
      <c r="B36" s="10" t="s">
        <v>44</v>
      </c>
      <c r="C36" s="10">
        <v>1</v>
      </c>
      <c r="D36" s="10"/>
      <c r="E36" s="10">
        <v>-1</v>
      </c>
      <c r="F36" s="10"/>
      <c r="G36" s="11">
        <v>0</v>
      </c>
      <c r="H36" s="10" t="e">
        <v>#N/A</v>
      </c>
      <c r="I36" s="10" t="s">
        <v>80</v>
      </c>
      <c r="J36" s="10"/>
      <c r="K36" s="10">
        <v>3</v>
      </c>
      <c r="L36" s="10">
        <f t="shared" si="2"/>
        <v>-4</v>
      </c>
      <c r="M36" s="10">
        <f t="shared" si="3"/>
        <v>-1</v>
      </c>
      <c r="N36" s="10"/>
      <c r="O36" s="10"/>
      <c r="P36" s="10"/>
      <c r="Q36" s="10">
        <v>0</v>
      </c>
      <c r="R36" s="10"/>
      <c r="S36" s="10">
        <f t="shared" si="4"/>
        <v>-0.2</v>
      </c>
      <c r="T36" s="12"/>
      <c r="U36" s="12"/>
      <c r="V36" s="10"/>
      <c r="W36" s="10">
        <f t="shared" si="6"/>
        <v>0</v>
      </c>
      <c r="X36" s="10">
        <f t="shared" si="7"/>
        <v>0</v>
      </c>
      <c r="Y36" s="10">
        <v>0</v>
      </c>
      <c r="Z36" s="10">
        <v>7.8</v>
      </c>
      <c r="AA36" s="10">
        <v>9.4</v>
      </c>
      <c r="AB36" s="10">
        <v>5.4</v>
      </c>
      <c r="AC36" s="10">
        <v>40.799999999999997</v>
      </c>
      <c r="AD36" s="10">
        <v>5.666666666666667</v>
      </c>
      <c r="AE36" s="10">
        <v>5.333333333333333</v>
      </c>
      <c r="AF36" s="10">
        <v>0</v>
      </c>
      <c r="AG36" s="10" t="s">
        <v>81</v>
      </c>
      <c r="AH36" s="10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82</v>
      </c>
      <c r="B37" s="1" t="s">
        <v>44</v>
      </c>
      <c r="C37" s="1">
        <v>48</v>
      </c>
      <c r="D37" s="1">
        <v>7</v>
      </c>
      <c r="E37" s="1"/>
      <c r="F37" s="1">
        <v>11</v>
      </c>
      <c r="G37" s="8">
        <v>0.4</v>
      </c>
      <c r="H37" s="1">
        <v>40</v>
      </c>
      <c r="I37" s="1" t="s">
        <v>39</v>
      </c>
      <c r="J37" s="1"/>
      <c r="K37" s="1">
        <v>7</v>
      </c>
      <c r="L37" s="1">
        <f t="shared" si="2"/>
        <v>-7</v>
      </c>
      <c r="M37" s="1">
        <f t="shared" si="3"/>
        <v>0</v>
      </c>
      <c r="N37" s="1"/>
      <c r="O37" s="1"/>
      <c r="P37" s="1"/>
      <c r="Q37" s="1">
        <v>0</v>
      </c>
      <c r="R37" s="1"/>
      <c r="S37" s="1">
        <f t="shared" si="4"/>
        <v>0</v>
      </c>
      <c r="T37" s="5"/>
      <c r="U37" s="5"/>
      <c r="V37" s="1"/>
      <c r="W37" s="1" t="e">
        <f t="shared" si="6"/>
        <v>#DIV/0!</v>
      </c>
      <c r="X37" s="1" t="e">
        <f t="shared" si="7"/>
        <v>#DIV/0!</v>
      </c>
      <c r="Y37" s="1">
        <v>0.6</v>
      </c>
      <c r="Z37" s="1">
        <v>2.4</v>
      </c>
      <c r="AA37" s="1">
        <v>2.8</v>
      </c>
      <c r="AB37" s="1">
        <v>1.6</v>
      </c>
      <c r="AC37" s="1">
        <v>1.6</v>
      </c>
      <c r="AD37" s="1">
        <v>3.666666666666667</v>
      </c>
      <c r="AE37" s="1">
        <v>3.166666666666667</v>
      </c>
      <c r="AF37" s="1">
        <v>2.8</v>
      </c>
      <c r="AG37" s="25" t="s">
        <v>57</v>
      </c>
      <c r="AH37" s="1">
        <f>G37*T37</f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83</v>
      </c>
      <c r="B38" s="1" t="s">
        <v>38</v>
      </c>
      <c r="C38" s="1">
        <v>536.63</v>
      </c>
      <c r="D38" s="1">
        <v>379.63299999999998</v>
      </c>
      <c r="E38" s="1">
        <v>384.471</v>
      </c>
      <c r="F38" s="1">
        <v>466.29300000000001</v>
      </c>
      <c r="G38" s="8">
        <v>1</v>
      </c>
      <c r="H38" s="1">
        <v>45</v>
      </c>
      <c r="I38" s="1" t="s">
        <v>39</v>
      </c>
      <c r="J38" s="1"/>
      <c r="K38" s="1">
        <v>369.351</v>
      </c>
      <c r="L38" s="1">
        <f t="shared" ref="L38:L69" si="11">E38-K38</f>
        <v>15.120000000000005</v>
      </c>
      <c r="M38" s="1">
        <f t="shared" si="3"/>
        <v>384.471</v>
      </c>
      <c r="N38" s="1"/>
      <c r="O38" s="1"/>
      <c r="P38" s="1">
        <v>150</v>
      </c>
      <c r="Q38" s="1">
        <v>181.60500099999959</v>
      </c>
      <c r="R38" s="1">
        <v>150</v>
      </c>
      <c r="S38" s="1">
        <f t="shared" si="4"/>
        <v>76.894199999999998</v>
      </c>
      <c r="T38" s="5"/>
      <c r="U38" s="5"/>
      <c r="V38" s="1"/>
      <c r="W38" s="1">
        <f t="shared" si="6"/>
        <v>12.327301682051436</v>
      </c>
      <c r="X38" s="1">
        <f t="shared" si="7"/>
        <v>12.327301682051436</v>
      </c>
      <c r="Y38" s="1">
        <v>83.558799999999991</v>
      </c>
      <c r="Z38" s="1">
        <v>76.443200000000004</v>
      </c>
      <c r="AA38" s="1">
        <v>76.036000000000001</v>
      </c>
      <c r="AB38" s="1">
        <v>80.184799999999996</v>
      </c>
      <c r="AC38" s="1">
        <v>60.999199999999988</v>
      </c>
      <c r="AD38" s="1">
        <v>63.831333333333333</v>
      </c>
      <c r="AE38" s="1">
        <v>71.549333333333337</v>
      </c>
      <c r="AF38" s="1">
        <v>69.070000000000007</v>
      </c>
      <c r="AG38" s="1"/>
      <c r="AH38" s="1">
        <f>G38*T38</f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84</v>
      </c>
      <c r="B39" s="1" t="s">
        <v>44</v>
      </c>
      <c r="C39" s="1">
        <v>204</v>
      </c>
      <c r="D39" s="1">
        <v>320</v>
      </c>
      <c r="E39" s="1">
        <v>135</v>
      </c>
      <c r="F39" s="1">
        <v>378</v>
      </c>
      <c r="G39" s="8">
        <v>0.1</v>
      </c>
      <c r="H39" s="1">
        <v>730</v>
      </c>
      <c r="I39" s="1" t="s">
        <v>39</v>
      </c>
      <c r="J39" s="1"/>
      <c r="K39" s="1">
        <v>135</v>
      </c>
      <c r="L39" s="1">
        <f t="shared" si="11"/>
        <v>0</v>
      </c>
      <c r="M39" s="1">
        <f t="shared" si="3"/>
        <v>135</v>
      </c>
      <c r="N39" s="1"/>
      <c r="O39" s="1"/>
      <c r="P39" s="1"/>
      <c r="Q39" s="1">
        <v>0</v>
      </c>
      <c r="R39" s="1"/>
      <c r="S39" s="1">
        <f t="shared" si="4"/>
        <v>27</v>
      </c>
      <c r="T39" s="5"/>
      <c r="U39" s="5"/>
      <c r="V39" s="1"/>
      <c r="W39" s="1">
        <f t="shared" si="6"/>
        <v>14</v>
      </c>
      <c r="X39" s="1">
        <f t="shared" si="7"/>
        <v>14</v>
      </c>
      <c r="Y39" s="1">
        <v>28.4</v>
      </c>
      <c r="Z39" s="1">
        <v>38.4</v>
      </c>
      <c r="AA39" s="1">
        <v>41</v>
      </c>
      <c r="AB39" s="1">
        <v>30</v>
      </c>
      <c r="AC39" s="1">
        <v>26.6</v>
      </c>
      <c r="AD39" s="1">
        <v>36.5</v>
      </c>
      <c r="AE39" s="1">
        <v>38</v>
      </c>
      <c r="AF39" s="1">
        <v>42.8</v>
      </c>
      <c r="AG39" s="1"/>
      <c r="AH39" s="1">
        <f>G39*T39</f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85</v>
      </c>
      <c r="B40" s="1" t="s">
        <v>44</v>
      </c>
      <c r="C40" s="1">
        <v>321</v>
      </c>
      <c r="D40" s="1">
        <v>828</v>
      </c>
      <c r="E40" s="1">
        <v>377</v>
      </c>
      <c r="F40" s="1">
        <v>691</v>
      </c>
      <c r="G40" s="8">
        <v>0.35</v>
      </c>
      <c r="H40" s="1">
        <v>40</v>
      </c>
      <c r="I40" s="1" t="s">
        <v>39</v>
      </c>
      <c r="J40" s="1"/>
      <c r="K40" s="1">
        <v>419</v>
      </c>
      <c r="L40" s="1">
        <f t="shared" si="11"/>
        <v>-42</v>
      </c>
      <c r="M40" s="1">
        <f t="shared" si="3"/>
        <v>377</v>
      </c>
      <c r="N40" s="1"/>
      <c r="O40" s="1"/>
      <c r="P40" s="1"/>
      <c r="Q40" s="1">
        <v>50.600000000000144</v>
      </c>
      <c r="R40" s="1">
        <v>50</v>
      </c>
      <c r="S40" s="1">
        <f t="shared" si="4"/>
        <v>75.400000000000006</v>
      </c>
      <c r="T40" s="5">
        <f t="shared" ref="T37:T48" si="12">12*S40-R40-Q40-P40-O40-F40</f>
        <v>113.19999999999993</v>
      </c>
      <c r="U40" s="5"/>
      <c r="V40" s="1"/>
      <c r="W40" s="1">
        <f t="shared" si="6"/>
        <v>12</v>
      </c>
      <c r="X40" s="1">
        <f t="shared" si="7"/>
        <v>10.498673740053052</v>
      </c>
      <c r="Y40" s="1">
        <v>89.2</v>
      </c>
      <c r="Z40" s="1">
        <v>99</v>
      </c>
      <c r="AA40" s="1">
        <v>86.2</v>
      </c>
      <c r="AB40" s="1">
        <v>72.599999999999994</v>
      </c>
      <c r="AC40" s="1">
        <v>75.599999999999994</v>
      </c>
      <c r="AD40" s="1">
        <v>92.666666666666671</v>
      </c>
      <c r="AE40" s="1">
        <v>112</v>
      </c>
      <c r="AF40" s="1">
        <v>114</v>
      </c>
      <c r="AG40" s="1" t="s">
        <v>86</v>
      </c>
      <c r="AH40" s="1">
        <f>G40*T40</f>
        <v>39.619999999999976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87</v>
      </c>
      <c r="B41" s="1" t="s">
        <v>38</v>
      </c>
      <c r="C41" s="1">
        <v>173.65700000000001</v>
      </c>
      <c r="D41" s="1">
        <v>120.539</v>
      </c>
      <c r="E41" s="1">
        <v>136.07900000000001</v>
      </c>
      <c r="F41" s="1">
        <v>59.55</v>
      </c>
      <c r="G41" s="8">
        <v>1</v>
      </c>
      <c r="H41" s="1">
        <v>40</v>
      </c>
      <c r="I41" s="1" t="s">
        <v>39</v>
      </c>
      <c r="J41" s="1"/>
      <c r="K41" s="1">
        <v>152.57400000000001</v>
      </c>
      <c r="L41" s="1">
        <f t="shared" si="11"/>
        <v>-16.495000000000005</v>
      </c>
      <c r="M41" s="1">
        <f t="shared" si="3"/>
        <v>123.00500000000001</v>
      </c>
      <c r="N41" s="1">
        <v>13.074</v>
      </c>
      <c r="O41" s="1"/>
      <c r="P41" s="1"/>
      <c r="Q41" s="1">
        <v>60.85860000000001</v>
      </c>
      <c r="R41" s="1">
        <v>50</v>
      </c>
      <c r="S41" s="1">
        <f t="shared" si="4"/>
        <v>24.601000000000003</v>
      </c>
      <c r="T41" s="5">
        <f t="shared" si="12"/>
        <v>124.80340000000002</v>
      </c>
      <c r="U41" s="5"/>
      <c r="V41" s="1"/>
      <c r="W41" s="1">
        <f t="shared" si="6"/>
        <v>12</v>
      </c>
      <c r="X41" s="1">
        <f t="shared" si="7"/>
        <v>6.9268972805983493</v>
      </c>
      <c r="Y41" s="1">
        <v>22.292200000000001</v>
      </c>
      <c r="Z41" s="1">
        <v>20.988</v>
      </c>
      <c r="AA41" s="1">
        <v>25.069800000000001</v>
      </c>
      <c r="AB41" s="1">
        <v>29.814599999999999</v>
      </c>
      <c r="AC41" s="1">
        <v>21.733000000000001</v>
      </c>
      <c r="AD41" s="1">
        <v>23.811</v>
      </c>
      <c r="AE41" s="1">
        <v>46.635833333333331</v>
      </c>
      <c r="AF41" s="1">
        <v>51.186799999999991</v>
      </c>
      <c r="AG41" s="1"/>
      <c r="AH41" s="1">
        <f>G41*T41</f>
        <v>124.80340000000002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88</v>
      </c>
      <c r="B42" s="1" t="s">
        <v>44</v>
      </c>
      <c r="C42" s="1">
        <v>112</v>
      </c>
      <c r="D42" s="1">
        <v>473</v>
      </c>
      <c r="E42" s="1">
        <v>269</v>
      </c>
      <c r="F42" s="1">
        <v>266</v>
      </c>
      <c r="G42" s="8">
        <v>0.4</v>
      </c>
      <c r="H42" s="1">
        <v>40</v>
      </c>
      <c r="I42" s="1" t="s">
        <v>39</v>
      </c>
      <c r="J42" s="1"/>
      <c r="K42" s="1">
        <v>316</v>
      </c>
      <c r="L42" s="1">
        <f t="shared" si="11"/>
        <v>-47</v>
      </c>
      <c r="M42" s="1">
        <f t="shared" si="3"/>
        <v>257</v>
      </c>
      <c r="N42" s="1">
        <v>12</v>
      </c>
      <c r="O42" s="1"/>
      <c r="P42" s="1"/>
      <c r="Q42" s="1">
        <v>79.599999999999966</v>
      </c>
      <c r="R42" s="1">
        <v>50</v>
      </c>
      <c r="S42" s="1">
        <f t="shared" si="4"/>
        <v>51.4</v>
      </c>
      <c r="T42" s="5">
        <f t="shared" si="12"/>
        <v>221.2</v>
      </c>
      <c r="U42" s="5"/>
      <c r="V42" s="1"/>
      <c r="W42" s="1">
        <f t="shared" si="6"/>
        <v>12</v>
      </c>
      <c r="X42" s="1">
        <f t="shared" si="7"/>
        <v>7.6964980544747075</v>
      </c>
      <c r="Y42" s="1">
        <v>51.4</v>
      </c>
      <c r="Z42" s="1">
        <v>52.2</v>
      </c>
      <c r="AA42" s="1">
        <v>40.4</v>
      </c>
      <c r="AB42" s="1">
        <v>32.799999999999997</v>
      </c>
      <c r="AC42" s="1">
        <v>37.200000000000003</v>
      </c>
      <c r="AD42" s="1">
        <v>44.166666666666657</v>
      </c>
      <c r="AE42" s="1">
        <v>48.5</v>
      </c>
      <c r="AF42" s="1">
        <v>51.6</v>
      </c>
      <c r="AG42" s="1"/>
      <c r="AH42" s="1">
        <f>G42*T42</f>
        <v>88.48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89</v>
      </c>
      <c r="B43" s="1" t="s">
        <v>44</v>
      </c>
      <c r="C43" s="1">
        <v>165</v>
      </c>
      <c r="D43" s="1">
        <v>856</v>
      </c>
      <c r="E43" s="1">
        <v>358</v>
      </c>
      <c r="F43" s="1">
        <v>498</v>
      </c>
      <c r="G43" s="8">
        <v>0.4</v>
      </c>
      <c r="H43" s="1">
        <v>45</v>
      </c>
      <c r="I43" s="1" t="s">
        <v>39</v>
      </c>
      <c r="J43" s="1"/>
      <c r="K43" s="1">
        <v>431</v>
      </c>
      <c r="L43" s="1">
        <f t="shared" si="11"/>
        <v>-73</v>
      </c>
      <c r="M43" s="1">
        <f t="shared" si="3"/>
        <v>358</v>
      </c>
      <c r="N43" s="1"/>
      <c r="O43" s="1"/>
      <c r="P43" s="1">
        <v>100</v>
      </c>
      <c r="Q43" s="1">
        <v>113.4</v>
      </c>
      <c r="R43" s="1">
        <v>100</v>
      </c>
      <c r="S43" s="1">
        <f t="shared" si="4"/>
        <v>71.599999999999994</v>
      </c>
      <c r="T43" s="5">
        <f t="shared" si="12"/>
        <v>47.799999999999955</v>
      </c>
      <c r="U43" s="5"/>
      <c r="V43" s="1"/>
      <c r="W43" s="1">
        <f t="shared" si="6"/>
        <v>12</v>
      </c>
      <c r="X43" s="1">
        <f t="shared" si="7"/>
        <v>11.332402234636872</v>
      </c>
      <c r="Y43" s="1">
        <v>87.4</v>
      </c>
      <c r="Z43" s="1">
        <v>98.2</v>
      </c>
      <c r="AA43" s="1">
        <v>67</v>
      </c>
      <c r="AB43" s="1">
        <v>51</v>
      </c>
      <c r="AC43" s="1">
        <v>44.4</v>
      </c>
      <c r="AD43" s="1">
        <v>54.5</v>
      </c>
      <c r="AE43" s="1">
        <v>76</v>
      </c>
      <c r="AF43" s="1">
        <v>85.6</v>
      </c>
      <c r="AG43" s="1" t="s">
        <v>78</v>
      </c>
      <c r="AH43" s="1">
        <f>G43*T43</f>
        <v>19.119999999999983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90</v>
      </c>
      <c r="B44" s="1" t="s">
        <v>38</v>
      </c>
      <c r="C44" s="1">
        <v>416.39400000000001</v>
      </c>
      <c r="D44" s="1">
        <v>233.44900000000001</v>
      </c>
      <c r="E44" s="1">
        <v>268.23</v>
      </c>
      <c r="F44" s="1">
        <v>217.542</v>
      </c>
      <c r="G44" s="8">
        <v>1</v>
      </c>
      <c r="H44" s="1">
        <v>40</v>
      </c>
      <c r="I44" s="1" t="s">
        <v>39</v>
      </c>
      <c r="J44" s="1"/>
      <c r="K44" s="1">
        <v>282.178</v>
      </c>
      <c r="L44" s="1">
        <f t="shared" si="11"/>
        <v>-13.947999999999979</v>
      </c>
      <c r="M44" s="1">
        <f t="shared" si="3"/>
        <v>255.15200000000002</v>
      </c>
      <c r="N44" s="1">
        <v>13.077999999999999</v>
      </c>
      <c r="O44" s="1"/>
      <c r="P44" s="1">
        <v>100</v>
      </c>
      <c r="Q44" s="1">
        <v>101.03060000000001</v>
      </c>
      <c r="R44" s="1">
        <v>50</v>
      </c>
      <c r="S44" s="1">
        <f t="shared" si="4"/>
        <v>51.0304</v>
      </c>
      <c r="T44" s="5">
        <f t="shared" si="12"/>
        <v>143.79220000000007</v>
      </c>
      <c r="U44" s="5"/>
      <c r="V44" s="1"/>
      <c r="W44" s="1">
        <f t="shared" si="6"/>
        <v>12.000000000000002</v>
      </c>
      <c r="X44" s="1">
        <f t="shared" si="7"/>
        <v>9.1822247131121841</v>
      </c>
      <c r="Y44" s="1">
        <v>50.749000000000002</v>
      </c>
      <c r="Z44" s="1">
        <v>43.817400000000013</v>
      </c>
      <c r="AA44" s="1">
        <v>46.393999999999991</v>
      </c>
      <c r="AB44" s="1">
        <v>57.397599999999997</v>
      </c>
      <c r="AC44" s="1">
        <v>47.432200000000002</v>
      </c>
      <c r="AD44" s="1">
        <v>46.639666666666663</v>
      </c>
      <c r="AE44" s="1">
        <v>71.757333333333335</v>
      </c>
      <c r="AF44" s="1">
        <v>83.283799999999999</v>
      </c>
      <c r="AG44" s="1"/>
      <c r="AH44" s="1">
        <f>G44*T44</f>
        <v>143.79220000000007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22" t="s">
        <v>91</v>
      </c>
      <c r="B45" s="22" t="s">
        <v>44</v>
      </c>
      <c r="C45" s="22">
        <v>1716</v>
      </c>
      <c r="D45" s="22">
        <v>1642</v>
      </c>
      <c r="E45" s="22">
        <v>1588</v>
      </c>
      <c r="F45" s="22">
        <v>1453</v>
      </c>
      <c r="G45" s="23">
        <v>0.35</v>
      </c>
      <c r="H45" s="22">
        <v>40</v>
      </c>
      <c r="I45" s="22" t="s">
        <v>39</v>
      </c>
      <c r="J45" s="22"/>
      <c r="K45" s="22">
        <v>1642</v>
      </c>
      <c r="L45" s="22">
        <f t="shared" si="11"/>
        <v>-54</v>
      </c>
      <c r="M45" s="22">
        <f t="shared" si="3"/>
        <v>1570</v>
      </c>
      <c r="N45" s="22">
        <v>18</v>
      </c>
      <c r="O45" s="22"/>
      <c r="P45" s="22">
        <v>1000</v>
      </c>
      <c r="Q45" s="22">
        <v>1081</v>
      </c>
      <c r="R45" s="22">
        <v>1000</v>
      </c>
      <c r="S45" s="22">
        <f t="shared" si="4"/>
        <v>314</v>
      </c>
      <c r="T45" s="24">
        <f>11*S45*1.5-R45-Q45-P45-O45-F45</f>
        <v>647</v>
      </c>
      <c r="U45" s="24"/>
      <c r="V45" s="22"/>
      <c r="W45" s="22">
        <f t="shared" si="6"/>
        <v>16.5</v>
      </c>
      <c r="X45" s="22">
        <f t="shared" si="7"/>
        <v>14.439490445859873</v>
      </c>
      <c r="Y45" s="22">
        <v>324.39999999999998</v>
      </c>
      <c r="Z45" s="22">
        <v>290.2</v>
      </c>
      <c r="AA45" s="22">
        <v>282</v>
      </c>
      <c r="AB45" s="22">
        <v>277.39999999999998</v>
      </c>
      <c r="AC45" s="22">
        <v>260.8</v>
      </c>
      <c r="AD45" s="22">
        <v>336.16666666666669</v>
      </c>
      <c r="AE45" s="22">
        <v>389.16666666666669</v>
      </c>
      <c r="AF45" s="22">
        <v>344.8</v>
      </c>
      <c r="AG45" s="22" t="s">
        <v>50</v>
      </c>
      <c r="AH45" s="22">
        <f>G45*T45</f>
        <v>226.45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92</v>
      </c>
      <c r="B46" s="1" t="s">
        <v>44</v>
      </c>
      <c r="C46" s="1">
        <v>764</v>
      </c>
      <c r="D46" s="1">
        <v>1262</v>
      </c>
      <c r="E46" s="1">
        <v>541</v>
      </c>
      <c r="F46" s="1">
        <v>874</v>
      </c>
      <c r="G46" s="8">
        <v>0.4</v>
      </c>
      <c r="H46" s="1">
        <v>40</v>
      </c>
      <c r="I46" s="1" t="s">
        <v>39</v>
      </c>
      <c r="J46" s="1"/>
      <c r="K46" s="1">
        <v>580</v>
      </c>
      <c r="L46" s="1">
        <f t="shared" si="11"/>
        <v>-39</v>
      </c>
      <c r="M46" s="1">
        <f t="shared" si="3"/>
        <v>541</v>
      </c>
      <c r="N46" s="1"/>
      <c r="O46" s="1"/>
      <c r="P46" s="1"/>
      <c r="Q46" s="1">
        <v>144.57019999999969</v>
      </c>
      <c r="R46" s="1">
        <v>100</v>
      </c>
      <c r="S46" s="1">
        <f t="shared" si="4"/>
        <v>108.2</v>
      </c>
      <c r="T46" s="5">
        <f t="shared" si="12"/>
        <v>179.82980000000043</v>
      </c>
      <c r="U46" s="5"/>
      <c r="V46" s="1"/>
      <c r="W46" s="1">
        <f t="shared" si="6"/>
        <v>12</v>
      </c>
      <c r="X46" s="1">
        <f t="shared" si="7"/>
        <v>10.337987060998149</v>
      </c>
      <c r="Y46" s="1">
        <v>126.6</v>
      </c>
      <c r="Z46" s="1">
        <v>123.4</v>
      </c>
      <c r="AA46" s="1">
        <v>124.4</v>
      </c>
      <c r="AB46" s="1">
        <v>122.8</v>
      </c>
      <c r="AC46" s="1">
        <v>100.6</v>
      </c>
      <c r="AD46" s="1">
        <v>98.833333333333329</v>
      </c>
      <c r="AE46" s="1">
        <v>114.6666666666667</v>
      </c>
      <c r="AF46" s="1">
        <v>119.6</v>
      </c>
      <c r="AG46" s="1"/>
      <c r="AH46" s="1">
        <f>G46*T46</f>
        <v>71.931920000000176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93</v>
      </c>
      <c r="B47" s="1" t="s">
        <v>38</v>
      </c>
      <c r="C47" s="1">
        <v>945.10699999999997</v>
      </c>
      <c r="D47" s="1">
        <v>164.54900000000001</v>
      </c>
      <c r="E47" s="1">
        <v>372.55900000000003</v>
      </c>
      <c r="F47" s="1">
        <v>685.55100000000004</v>
      </c>
      <c r="G47" s="8">
        <v>1</v>
      </c>
      <c r="H47" s="1">
        <v>50</v>
      </c>
      <c r="I47" s="1" t="s">
        <v>39</v>
      </c>
      <c r="J47" s="1"/>
      <c r="K47" s="1">
        <v>376.89299999999997</v>
      </c>
      <c r="L47" s="1">
        <f t="shared" si="11"/>
        <v>-4.3339999999999463</v>
      </c>
      <c r="M47" s="1">
        <f t="shared" si="3"/>
        <v>361.76600000000002</v>
      </c>
      <c r="N47" s="1">
        <v>10.792999999999999</v>
      </c>
      <c r="O47" s="1">
        <v>150.49956599999999</v>
      </c>
      <c r="P47" s="1"/>
      <c r="Q47" s="1">
        <v>0</v>
      </c>
      <c r="R47" s="1"/>
      <c r="S47" s="1">
        <f t="shared" si="4"/>
        <v>72.353200000000001</v>
      </c>
      <c r="T47" s="5">
        <f t="shared" si="12"/>
        <v>32.187833999999953</v>
      </c>
      <c r="U47" s="5"/>
      <c r="V47" s="1"/>
      <c r="W47" s="1">
        <f t="shared" si="6"/>
        <v>12</v>
      </c>
      <c r="X47" s="1">
        <f t="shared" si="7"/>
        <v>11.555129088969112</v>
      </c>
      <c r="Y47" s="1">
        <v>73.819999999999993</v>
      </c>
      <c r="Z47" s="1">
        <v>79.629400000000004</v>
      </c>
      <c r="AA47" s="1">
        <v>80.302800000000005</v>
      </c>
      <c r="AB47" s="1">
        <v>76.09559999999999</v>
      </c>
      <c r="AC47" s="1">
        <v>78.237200000000001</v>
      </c>
      <c r="AD47" s="1">
        <v>113.8388333333333</v>
      </c>
      <c r="AE47" s="1">
        <v>139.50733333333329</v>
      </c>
      <c r="AF47" s="1">
        <v>121.01179999999999</v>
      </c>
      <c r="AG47" s="1"/>
      <c r="AH47" s="1">
        <f>G47*T47</f>
        <v>32.187833999999953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94</v>
      </c>
      <c r="B48" s="1" t="s">
        <v>38</v>
      </c>
      <c r="C48" s="1">
        <v>1255.261</v>
      </c>
      <c r="D48" s="1">
        <v>668.923</v>
      </c>
      <c r="E48" s="1">
        <v>706.98099999999999</v>
      </c>
      <c r="F48" s="1">
        <v>1052.6420000000001</v>
      </c>
      <c r="G48" s="8">
        <v>1</v>
      </c>
      <c r="H48" s="1">
        <v>50</v>
      </c>
      <c r="I48" s="1" t="s">
        <v>39</v>
      </c>
      <c r="J48" s="1"/>
      <c r="K48" s="1">
        <v>769.63</v>
      </c>
      <c r="L48" s="1">
        <f t="shared" si="11"/>
        <v>-62.649000000000001</v>
      </c>
      <c r="M48" s="1">
        <f t="shared" si="3"/>
        <v>620.20100000000002</v>
      </c>
      <c r="N48" s="1">
        <v>86.78</v>
      </c>
      <c r="O48" s="1">
        <v>248.864994</v>
      </c>
      <c r="P48" s="1">
        <v>100</v>
      </c>
      <c r="Q48" s="1">
        <v>105.69880000000001</v>
      </c>
      <c r="R48" s="1">
        <v>80</v>
      </c>
      <c r="S48" s="1">
        <f t="shared" si="4"/>
        <v>124.0402</v>
      </c>
      <c r="T48" s="5"/>
      <c r="U48" s="5"/>
      <c r="V48" s="1"/>
      <c r="W48" s="1">
        <f t="shared" si="6"/>
        <v>12.795898378106452</v>
      </c>
      <c r="X48" s="1">
        <f t="shared" si="7"/>
        <v>12.795898378106452</v>
      </c>
      <c r="Y48" s="1">
        <v>142.8494</v>
      </c>
      <c r="Z48" s="1">
        <v>131.6746</v>
      </c>
      <c r="AA48" s="1">
        <v>131.351</v>
      </c>
      <c r="AB48" s="1">
        <v>145.19319999999999</v>
      </c>
      <c r="AC48" s="1">
        <v>147.6936</v>
      </c>
      <c r="AD48" s="1">
        <v>181.881</v>
      </c>
      <c r="AE48" s="1">
        <v>217.1925</v>
      </c>
      <c r="AF48" s="1">
        <v>190.73140000000001</v>
      </c>
      <c r="AG48" s="1"/>
      <c r="AH48" s="1">
        <f>G48*T48</f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3" t="s">
        <v>95</v>
      </c>
      <c r="B49" s="13" t="s">
        <v>38</v>
      </c>
      <c r="C49" s="13"/>
      <c r="D49" s="13"/>
      <c r="E49" s="13"/>
      <c r="F49" s="13"/>
      <c r="G49" s="14">
        <v>0</v>
      </c>
      <c r="H49" s="13">
        <v>40</v>
      </c>
      <c r="I49" s="13" t="s">
        <v>39</v>
      </c>
      <c r="J49" s="13"/>
      <c r="K49" s="13"/>
      <c r="L49" s="13">
        <f t="shared" si="11"/>
        <v>0</v>
      </c>
      <c r="M49" s="13">
        <f t="shared" si="3"/>
        <v>0</v>
      </c>
      <c r="N49" s="13"/>
      <c r="O49" s="13"/>
      <c r="P49" s="13"/>
      <c r="Q49" s="13">
        <v>0</v>
      </c>
      <c r="R49" s="13"/>
      <c r="S49" s="13">
        <f t="shared" si="4"/>
        <v>0</v>
      </c>
      <c r="T49" s="15"/>
      <c r="U49" s="15"/>
      <c r="V49" s="13"/>
      <c r="W49" s="13" t="e">
        <f t="shared" si="6"/>
        <v>#DIV/0!</v>
      </c>
      <c r="X49" s="13" t="e">
        <f t="shared" si="7"/>
        <v>#DIV/0!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 t="s">
        <v>71</v>
      </c>
      <c r="AH49" s="13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22" t="s">
        <v>96</v>
      </c>
      <c r="B50" s="22" t="s">
        <v>44</v>
      </c>
      <c r="C50" s="22">
        <v>19</v>
      </c>
      <c r="D50" s="22"/>
      <c r="E50" s="22">
        <v>4</v>
      </c>
      <c r="F50" s="22"/>
      <c r="G50" s="23">
        <v>0.45</v>
      </c>
      <c r="H50" s="22"/>
      <c r="I50" s="22" t="s">
        <v>39</v>
      </c>
      <c r="J50" s="22"/>
      <c r="K50" s="22">
        <v>9</v>
      </c>
      <c r="L50" s="22">
        <f t="shared" si="11"/>
        <v>-5</v>
      </c>
      <c r="M50" s="22">
        <f t="shared" si="3"/>
        <v>4</v>
      </c>
      <c r="N50" s="22"/>
      <c r="O50" s="22"/>
      <c r="P50" s="22">
        <v>100</v>
      </c>
      <c r="Q50" s="22">
        <v>150</v>
      </c>
      <c r="R50" s="22">
        <v>150</v>
      </c>
      <c r="S50" s="22">
        <f t="shared" si="4"/>
        <v>0.8</v>
      </c>
      <c r="T50" s="24">
        <v>400</v>
      </c>
      <c r="U50" s="24"/>
      <c r="V50" s="22"/>
      <c r="W50" s="22">
        <f t="shared" si="6"/>
        <v>1000</v>
      </c>
      <c r="X50" s="22">
        <f t="shared" si="7"/>
        <v>500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 t="s">
        <v>97</v>
      </c>
      <c r="AH50" s="22">
        <f>G50*T50</f>
        <v>180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98</v>
      </c>
      <c r="B51" s="1" t="s">
        <v>44</v>
      </c>
      <c r="C51" s="1">
        <v>739</v>
      </c>
      <c r="D51" s="1">
        <v>2168</v>
      </c>
      <c r="E51" s="1">
        <v>563</v>
      </c>
      <c r="F51" s="1">
        <v>1349</v>
      </c>
      <c r="G51" s="8">
        <v>0.45</v>
      </c>
      <c r="H51" s="1">
        <v>50</v>
      </c>
      <c r="I51" s="1" t="s">
        <v>39</v>
      </c>
      <c r="J51" s="1"/>
      <c r="K51" s="1">
        <v>583</v>
      </c>
      <c r="L51" s="1">
        <f t="shared" si="11"/>
        <v>-20</v>
      </c>
      <c r="M51" s="1">
        <f t="shared" si="3"/>
        <v>543</v>
      </c>
      <c r="N51" s="1">
        <v>20</v>
      </c>
      <c r="O51" s="1">
        <v>270.64800000000002</v>
      </c>
      <c r="P51" s="1"/>
      <c r="Q51" s="1">
        <v>0</v>
      </c>
      <c r="R51" s="1"/>
      <c r="S51" s="1">
        <f t="shared" si="4"/>
        <v>108.6</v>
      </c>
      <c r="T51" s="5"/>
      <c r="U51" s="5"/>
      <c r="V51" s="1"/>
      <c r="W51" s="1">
        <f t="shared" si="6"/>
        <v>14.91388581952118</v>
      </c>
      <c r="X51" s="1">
        <f t="shared" si="7"/>
        <v>14.91388581952118</v>
      </c>
      <c r="Y51" s="1">
        <v>127.4</v>
      </c>
      <c r="Z51" s="1">
        <v>143.19999999999999</v>
      </c>
      <c r="AA51" s="1">
        <v>139</v>
      </c>
      <c r="AB51" s="1">
        <v>112.6</v>
      </c>
      <c r="AC51" s="1">
        <v>93</v>
      </c>
      <c r="AD51" s="1">
        <v>135.33333333333329</v>
      </c>
      <c r="AE51" s="1">
        <v>155.33333333333329</v>
      </c>
      <c r="AF51" s="1">
        <v>124.6</v>
      </c>
      <c r="AG51" s="1" t="s">
        <v>99</v>
      </c>
      <c r="AH51" s="1">
        <f>G51*T51</f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0" t="s">
        <v>100</v>
      </c>
      <c r="B52" s="10" t="s">
        <v>44</v>
      </c>
      <c r="C52" s="10">
        <v>26</v>
      </c>
      <c r="D52" s="10"/>
      <c r="E52" s="10">
        <v>-2</v>
      </c>
      <c r="F52" s="10"/>
      <c r="G52" s="11">
        <v>0</v>
      </c>
      <c r="H52" s="10" t="e">
        <v>#N/A</v>
      </c>
      <c r="I52" s="10" t="s">
        <v>80</v>
      </c>
      <c r="J52" s="10"/>
      <c r="K52" s="10">
        <v>14</v>
      </c>
      <c r="L52" s="10">
        <f t="shared" si="11"/>
        <v>-16</v>
      </c>
      <c r="M52" s="10">
        <f t="shared" si="3"/>
        <v>-2</v>
      </c>
      <c r="N52" s="10"/>
      <c r="O52" s="10"/>
      <c r="P52" s="10"/>
      <c r="Q52" s="10">
        <v>0</v>
      </c>
      <c r="R52" s="10"/>
      <c r="S52" s="10">
        <f t="shared" si="4"/>
        <v>-0.4</v>
      </c>
      <c r="T52" s="12"/>
      <c r="U52" s="12"/>
      <c r="V52" s="10"/>
      <c r="W52" s="10">
        <f t="shared" si="6"/>
        <v>0</v>
      </c>
      <c r="X52" s="10">
        <f t="shared" si="7"/>
        <v>0</v>
      </c>
      <c r="Y52" s="10">
        <v>1.4</v>
      </c>
      <c r="Z52" s="10">
        <v>5.6</v>
      </c>
      <c r="AA52" s="10">
        <v>5</v>
      </c>
      <c r="AB52" s="10">
        <v>1.8</v>
      </c>
      <c r="AC52" s="10">
        <v>3.6</v>
      </c>
      <c r="AD52" s="10">
        <v>5</v>
      </c>
      <c r="AE52" s="10">
        <v>3.333333333333333</v>
      </c>
      <c r="AF52" s="10">
        <v>0</v>
      </c>
      <c r="AG52" s="10" t="s">
        <v>81</v>
      </c>
      <c r="AH52" s="10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101</v>
      </c>
      <c r="B53" s="1" t="s">
        <v>44</v>
      </c>
      <c r="C53" s="1">
        <v>123</v>
      </c>
      <c r="D53" s="1">
        <v>200</v>
      </c>
      <c r="E53" s="1">
        <v>129</v>
      </c>
      <c r="F53" s="1">
        <v>67</v>
      </c>
      <c r="G53" s="8">
        <v>0.4</v>
      </c>
      <c r="H53" s="1">
        <v>40</v>
      </c>
      <c r="I53" s="1" t="s">
        <v>39</v>
      </c>
      <c r="J53" s="1"/>
      <c r="K53" s="1">
        <v>137</v>
      </c>
      <c r="L53" s="1">
        <f t="shared" si="11"/>
        <v>-8</v>
      </c>
      <c r="M53" s="1">
        <f t="shared" si="3"/>
        <v>129</v>
      </c>
      <c r="N53" s="1"/>
      <c r="O53" s="1"/>
      <c r="P53" s="1">
        <v>50</v>
      </c>
      <c r="Q53" s="1">
        <v>50.200000000000053</v>
      </c>
      <c r="R53" s="1"/>
      <c r="S53" s="1">
        <f t="shared" si="4"/>
        <v>25.8</v>
      </c>
      <c r="T53" s="5">
        <f t="shared" ref="T53:T92" si="13">12*S53-R53-Q53-P53-O53-F53</f>
        <v>142.39999999999998</v>
      </c>
      <c r="U53" s="5"/>
      <c r="V53" s="1"/>
      <c r="W53" s="1">
        <f t="shared" si="6"/>
        <v>12</v>
      </c>
      <c r="X53" s="1">
        <f t="shared" si="7"/>
        <v>6.4806201550387614</v>
      </c>
      <c r="Y53" s="1">
        <v>22.8</v>
      </c>
      <c r="Z53" s="1">
        <v>18.2</v>
      </c>
      <c r="AA53" s="1">
        <v>21.8</v>
      </c>
      <c r="AB53" s="1">
        <v>18.399999999999999</v>
      </c>
      <c r="AC53" s="1">
        <v>13.2</v>
      </c>
      <c r="AD53" s="1">
        <v>18.5</v>
      </c>
      <c r="AE53" s="1">
        <v>22.5</v>
      </c>
      <c r="AF53" s="1">
        <v>24.2</v>
      </c>
      <c r="AG53" s="1"/>
      <c r="AH53" s="1">
        <f>G53*T53</f>
        <v>56.959999999999994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9" t="s">
        <v>102</v>
      </c>
      <c r="B54" s="19" t="s">
        <v>44</v>
      </c>
      <c r="C54" s="19">
        <v>78</v>
      </c>
      <c r="D54" s="19">
        <v>170</v>
      </c>
      <c r="E54" s="19">
        <v>134</v>
      </c>
      <c r="F54" s="19">
        <v>90</v>
      </c>
      <c r="G54" s="20">
        <v>0.4</v>
      </c>
      <c r="H54" s="19">
        <v>40</v>
      </c>
      <c r="I54" s="19" t="s">
        <v>39</v>
      </c>
      <c r="J54" s="19"/>
      <c r="K54" s="19">
        <v>179</v>
      </c>
      <c r="L54" s="19">
        <f t="shared" si="11"/>
        <v>-45</v>
      </c>
      <c r="M54" s="19">
        <f t="shared" si="3"/>
        <v>134</v>
      </c>
      <c r="N54" s="19"/>
      <c r="O54" s="19"/>
      <c r="P54" s="19"/>
      <c r="Q54" s="19">
        <v>118.8</v>
      </c>
      <c r="R54" s="19"/>
      <c r="S54" s="19">
        <f t="shared" si="4"/>
        <v>26.8</v>
      </c>
      <c r="T54" s="21">
        <f>10*S54-R54-Q54-P54-O54-F54</f>
        <v>59.199999999999989</v>
      </c>
      <c r="U54" s="21"/>
      <c r="V54" s="19"/>
      <c r="W54" s="19">
        <f t="shared" si="6"/>
        <v>10</v>
      </c>
      <c r="X54" s="19">
        <f t="shared" si="7"/>
        <v>7.7910447761194028</v>
      </c>
      <c r="Y54" s="19">
        <v>25.8</v>
      </c>
      <c r="Z54" s="19">
        <v>21</v>
      </c>
      <c r="AA54" s="19">
        <v>19.399999999999999</v>
      </c>
      <c r="AB54" s="19">
        <v>17.2</v>
      </c>
      <c r="AC54" s="19">
        <v>17.600000000000001</v>
      </c>
      <c r="AD54" s="19">
        <v>16.833333333333329</v>
      </c>
      <c r="AE54" s="19">
        <v>23.166666666666671</v>
      </c>
      <c r="AF54" s="19">
        <v>31</v>
      </c>
      <c r="AG54" s="19" t="s">
        <v>59</v>
      </c>
      <c r="AH54" s="19">
        <f>G54*T54</f>
        <v>23.679999999999996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103</v>
      </c>
      <c r="B55" s="1" t="s">
        <v>38</v>
      </c>
      <c r="C55" s="1">
        <v>892.15300000000002</v>
      </c>
      <c r="D55" s="1">
        <v>174.04599999999999</v>
      </c>
      <c r="E55" s="1">
        <v>377.02699999999999</v>
      </c>
      <c r="F55" s="1">
        <v>561.04</v>
      </c>
      <c r="G55" s="8">
        <v>1</v>
      </c>
      <c r="H55" s="1">
        <v>50</v>
      </c>
      <c r="I55" s="1" t="s">
        <v>39</v>
      </c>
      <c r="J55" s="1"/>
      <c r="K55" s="1">
        <v>372.2</v>
      </c>
      <c r="L55" s="1">
        <f t="shared" si="11"/>
        <v>4.8269999999999982</v>
      </c>
      <c r="M55" s="1">
        <f t="shared" si="3"/>
        <v>377.02699999999999</v>
      </c>
      <c r="N55" s="1"/>
      <c r="O55" s="1">
        <v>136.738854</v>
      </c>
      <c r="P55" s="1"/>
      <c r="Q55" s="1">
        <v>105.92490599999979</v>
      </c>
      <c r="R55" s="1">
        <v>80</v>
      </c>
      <c r="S55" s="1">
        <f t="shared" si="4"/>
        <v>75.4054</v>
      </c>
      <c r="T55" s="5">
        <f t="shared" si="13"/>
        <v>21.161040000000412</v>
      </c>
      <c r="U55" s="5"/>
      <c r="V55" s="1"/>
      <c r="W55" s="1">
        <f t="shared" si="6"/>
        <v>12</v>
      </c>
      <c r="X55" s="1">
        <f t="shared" si="7"/>
        <v>11.719369700313235</v>
      </c>
      <c r="Y55" s="1">
        <v>80.10499999999999</v>
      </c>
      <c r="Z55" s="1">
        <v>72.348600000000005</v>
      </c>
      <c r="AA55" s="1">
        <v>65.211399999999998</v>
      </c>
      <c r="AB55" s="1">
        <v>69.487600000000015</v>
      </c>
      <c r="AC55" s="1">
        <v>74.926999999999992</v>
      </c>
      <c r="AD55" s="1">
        <v>106.79300000000001</v>
      </c>
      <c r="AE55" s="1">
        <v>119.64416666666671</v>
      </c>
      <c r="AF55" s="1">
        <v>99.509600000000006</v>
      </c>
      <c r="AG55" s="1"/>
      <c r="AH55" s="1">
        <f>G55*T55</f>
        <v>21.161040000000412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104</v>
      </c>
      <c r="B56" s="1" t="s">
        <v>44</v>
      </c>
      <c r="C56" s="1">
        <v>999</v>
      </c>
      <c r="D56" s="1"/>
      <c r="E56" s="1">
        <v>73</v>
      </c>
      <c r="F56" s="1">
        <v>920</v>
      </c>
      <c r="G56" s="8">
        <v>0.1</v>
      </c>
      <c r="H56" s="1">
        <v>730</v>
      </c>
      <c r="I56" s="1" t="s">
        <v>39</v>
      </c>
      <c r="J56" s="1"/>
      <c r="K56" s="1">
        <v>73</v>
      </c>
      <c r="L56" s="1">
        <f t="shared" si="11"/>
        <v>0</v>
      </c>
      <c r="M56" s="1">
        <f t="shared" si="3"/>
        <v>73</v>
      </c>
      <c r="N56" s="1"/>
      <c r="O56" s="1"/>
      <c r="P56" s="1"/>
      <c r="Q56" s="1">
        <v>0</v>
      </c>
      <c r="R56" s="1"/>
      <c r="S56" s="1">
        <f t="shared" si="4"/>
        <v>14.6</v>
      </c>
      <c r="T56" s="5"/>
      <c r="U56" s="5"/>
      <c r="V56" s="1"/>
      <c r="W56" s="1">
        <f t="shared" si="6"/>
        <v>63.013698630136986</v>
      </c>
      <c r="X56" s="1">
        <f t="shared" si="7"/>
        <v>63.013698630136986</v>
      </c>
      <c r="Y56" s="1">
        <v>16.8</v>
      </c>
      <c r="Z56" s="1">
        <v>17.399999999999999</v>
      </c>
      <c r="AA56" s="1">
        <v>17.600000000000001</v>
      </c>
      <c r="AB56" s="1">
        <v>15.6</v>
      </c>
      <c r="AC56" s="1">
        <v>15</v>
      </c>
      <c r="AD56" s="1">
        <v>22</v>
      </c>
      <c r="AE56" s="1">
        <v>20.166666666666671</v>
      </c>
      <c r="AF56" s="1">
        <v>17</v>
      </c>
      <c r="AG56" s="25" t="s">
        <v>57</v>
      </c>
      <c r="AH56" s="1">
        <f>G56*T56</f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105</v>
      </c>
      <c r="B57" s="1" t="s">
        <v>38</v>
      </c>
      <c r="C57" s="1">
        <v>1640.0930000000001</v>
      </c>
      <c r="D57" s="1">
        <v>482.64699999999999</v>
      </c>
      <c r="E57" s="1">
        <v>800.45799999999997</v>
      </c>
      <c r="F57" s="1">
        <v>1170.33</v>
      </c>
      <c r="G57" s="8">
        <v>1</v>
      </c>
      <c r="H57" s="1">
        <v>50</v>
      </c>
      <c r="I57" s="1" t="s">
        <v>39</v>
      </c>
      <c r="J57" s="1"/>
      <c r="K57" s="1">
        <v>833.44799999999998</v>
      </c>
      <c r="L57" s="1">
        <f t="shared" si="11"/>
        <v>-32.990000000000009</v>
      </c>
      <c r="M57" s="1">
        <f t="shared" si="3"/>
        <v>746.76</v>
      </c>
      <c r="N57" s="1">
        <v>53.698</v>
      </c>
      <c r="O57" s="1">
        <v>282.61169999999998</v>
      </c>
      <c r="P57" s="1">
        <v>100</v>
      </c>
      <c r="Q57" s="1">
        <v>108.7984</v>
      </c>
      <c r="R57" s="1">
        <v>100</v>
      </c>
      <c r="S57" s="1">
        <f t="shared" si="4"/>
        <v>149.352</v>
      </c>
      <c r="T57" s="5">
        <f t="shared" si="13"/>
        <v>30.483900000000403</v>
      </c>
      <c r="U57" s="5"/>
      <c r="V57" s="1"/>
      <c r="W57" s="1">
        <f t="shared" si="6"/>
        <v>12</v>
      </c>
      <c r="X57" s="1">
        <f t="shared" si="7"/>
        <v>11.795892254539609</v>
      </c>
      <c r="Y57" s="1">
        <v>154.39920000000001</v>
      </c>
      <c r="Z57" s="1">
        <v>149.53</v>
      </c>
      <c r="AA57" s="1">
        <v>150.5806</v>
      </c>
      <c r="AB57" s="1">
        <v>166.9306</v>
      </c>
      <c r="AC57" s="1">
        <v>170.37739999999999</v>
      </c>
      <c r="AD57" s="1">
        <v>231.67033333333339</v>
      </c>
      <c r="AE57" s="1">
        <v>295.91216666666668</v>
      </c>
      <c r="AF57" s="1">
        <v>221.24639999999999</v>
      </c>
      <c r="AG57" s="1"/>
      <c r="AH57" s="1">
        <f>G57*T57</f>
        <v>30.483900000000403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106</v>
      </c>
      <c r="B58" s="1" t="s">
        <v>38</v>
      </c>
      <c r="C58" s="1">
        <v>79.085999999999999</v>
      </c>
      <c r="D58" s="1">
        <v>141.77799999999999</v>
      </c>
      <c r="E58" s="1">
        <v>109.538</v>
      </c>
      <c r="F58" s="1">
        <v>80.36</v>
      </c>
      <c r="G58" s="8">
        <v>1</v>
      </c>
      <c r="H58" s="1">
        <v>50</v>
      </c>
      <c r="I58" s="1" t="s">
        <v>39</v>
      </c>
      <c r="J58" s="1"/>
      <c r="K58" s="1">
        <v>126.515</v>
      </c>
      <c r="L58" s="1">
        <f t="shared" si="11"/>
        <v>-16.977000000000004</v>
      </c>
      <c r="M58" s="1">
        <f t="shared" si="3"/>
        <v>88.072999999999993</v>
      </c>
      <c r="N58" s="1">
        <v>21.465</v>
      </c>
      <c r="O58" s="1"/>
      <c r="P58" s="1"/>
      <c r="Q58" s="1">
        <v>33.21039999999995</v>
      </c>
      <c r="R58" s="1"/>
      <c r="S58" s="1">
        <f t="shared" si="4"/>
        <v>17.614599999999999</v>
      </c>
      <c r="T58" s="5">
        <f t="shared" si="13"/>
        <v>97.804800000000071</v>
      </c>
      <c r="U58" s="5"/>
      <c r="V58" s="1"/>
      <c r="W58" s="1">
        <f t="shared" si="6"/>
        <v>12</v>
      </c>
      <c r="X58" s="1">
        <f t="shared" si="7"/>
        <v>6.4475151294948478</v>
      </c>
      <c r="Y58" s="1">
        <v>15.3406</v>
      </c>
      <c r="Z58" s="1">
        <v>15.3912</v>
      </c>
      <c r="AA58" s="1">
        <v>15.696199999999999</v>
      </c>
      <c r="AB58" s="1">
        <v>10.1632</v>
      </c>
      <c r="AC58" s="1">
        <v>12.3104</v>
      </c>
      <c r="AD58" s="1">
        <v>20.058499999999999</v>
      </c>
      <c r="AE58" s="1">
        <v>27.692666666666671</v>
      </c>
      <c r="AF58" s="1">
        <v>17.691199999999998</v>
      </c>
      <c r="AG58" s="1"/>
      <c r="AH58" s="1">
        <f>G58*T58</f>
        <v>97.804800000000071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107</v>
      </c>
      <c r="B59" s="1" t="s">
        <v>44</v>
      </c>
      <c r="C59" s="1">
        <v>139</v>
      </c>
      <c r="D59" s="1">
        <v>20</v>
      </c>
      <c r="E59" s="1">
        <v>57</v>
      </c>
      <c r="F59" s="1">
        <v>93</v>
      </c>
      <c r="G59" s="8">
        <v>0.1</v>
      </c>
      <c r="H59" s="1">
        <v>730</v>
      </c>
      <c r="I59" s="1" t="s">
        <v>39</v>
      </c>
      <c r="J59" s="1"/>
      <c r="K59" s="1">
        <v>57</v>
      </c>
      <c r="L59" s="1">
        <f t="shared" si="11"/>
        <v>0</v>
      </c>
      <c r="M59" s="1">
        <f t="shared" si="3"/>
        <v>57</v>
      </c>
      <c r="N59" s="1"/>
      <c r="O59" s="1"/>
      <c r="P59" s="1"/>
      <c r="Q59" s="1">
        <v>12.599999999999991</v>
      </c>
      <c r="R59" s="1"/>
      <c r="S59" s="1">
        <f t="shared" si="4"/>
        <v>11.4</v>
      </c>
      <c r="T59" s="5">
        <f t="shared" si="13"/>
        <v>31.200000000000017</v>
      </c>
      <c r="U59" s="5"/>
      <c r="V59" s="1"/>
      <c r="W59" s="1">
        <f t="shared" si="6"/>
        <v>12</v>
      </c>
      <c r="X59" s="1">
        <f t="shared" si="7"/>
        <v>9.2631578947368407</v>
      </c>
      <c r="Y59" s="1">
        <v>12.6</v>
      </c>
      <c r="Z59" s="1">
        <v>12.2</v>
      </c>
      <c r="AA59" s="1">
        <v>15.6</v>
      </c>
      <c r="AB59" s="1">
        <v>15.6</v>
      </c>
      <c r="AC59" s="1">
        <v>10.8</v>
      </c>
      <c r="AD59" s="1">
        <v>17.5</v>
      </c>
      <c r="AE59" s="1">
        <v>20.166666666666671</v>
      </c>
      <c r="AF59" s="1">
        <v>17</v>
      </c>
      <c r="AG59" s="1"/>
      <c r="AH59" s="1">
        <f>G59*T59</f>
        <v>3.1200000000000019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108</v>
      </c>
      <c r="B60" s="1" t="s">
        <v>44</v>
      </c>
      <c r="C60" s="1">
        <v>1380</v>
      </c>
      <c r="D60" s="1">
        <v>329</v>
      </c>
      <c r="E60" s="1">
        <v>644</v>
      </c>
      <c r="F60" s="1">
        <v>1008</v>
      </c>
      <c r="G60" s="8">
        <v>0.4</v>
      </c>
      <c r="H60" s="1">
        <v>50</v>
      </c>
      <c r="I60" s="1" t="s">
        <v>39</v>
      </c>
      <c r="J60" s="1"/>
      <c r="K60" s="1">
        <v>655</v>
      </c>
      <c r="L60" s="1">
        <f t="shared" si="11"/>
        <v>-11</v>
      </c>
      <c r="M60" s="1">
        <f t="shared" si="3"/>
        <v>636</v>
      </c>
      <c r="N60" s="1">
        <v>8</v>
      </c>
      <c r="O60" s="1">
        <v>235.11600000000001</v>
      </c>
      <c r="P60" s="1"/>
      <c r="Q60" s="1">
        <v>155.6</v>
      </c>
      <c r="R60" s="1">
        <v>100</v>
      </c>
      <c r="S60" s="1">
        <f t="shared" si="4"/>
        <v>127.2</v>
      </c>
      <c r="T60" s="5">
        <f t="shared" si="13"/>
        <v>27.684000000000196</v>
      </c>
      <c r="U60" s="5"/>
      <c r="V60" s="1"/>
      <c r="W60" s="1">
        <f t="shared" si="6"/>
        <v>12</v>
      </c>
      <c r="X60" s="1">
        <f t="shared" si="7"/>
        <v>11.782358490566036</v>
      </c>
      <c r="Y60" s="1">
        <v>127.8</v>
      </c>
      <c r="Z60" s="1">
        <v>124.4</v>
      </c>
      <c r="AA60" s="1">
        <v>129.6</v>
      </c>
      <c r="AB60" s="1">
        <v>117.6</v>
      </c>
      <c r="AC60" s="1">
        <v>91.4</v>
      </c>
      <c r="AD60" s="1">
        <v>164.33333333333329</v>
      </c>
      <c r="AE60" s="1">
        <v>207.5</v>
      </c>
      <c r="AF60" s="1">
        <v>174.6</v>
      </c>
      <c r="AG60" s="1" t="s">
        <v>109</v>
      </c>
      <c r="AH60" s="1">
        <f>G60*T60</f>
        <v>11.073600000000079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110</v>
      </c>
      <c r="B61" s="1" t="s">
        <v>38</v>
      </c>
      <c r="C61" s="1">
        <v>63.719000000000001</v>
      </c>
      <c r="D61" s="1">
        <v>81.643000000000001</v>
      </c>
      <c r="E61" s="1">
        <v>80.144999999999996</v>
      </c>
      <c r="F61" s="1">
        <v>61.201000000000001</v>
      </c>
      <c r="G61" s="8">
        <v>1</v>
      </c>
      <c r="H61" s="1">
        <v>40</v>
      </c>
      <c r="I61" s="1" t="s">
        <v>39</v>
      </c>
      <c r="J61" s="1"/>
      <c r="K61" s="1">
        <v>79.900000000000006</v>
      </c>
      <c r="L61" s="1">
        <f t="shared" si="11"/>
        <v>0.24499999999999034</v>
      </c>
      <c r="M61" s="1">
        <f t="shared" si="3"/>
        <v>80.144999999999996</v>
      </c>
      <c r="N61" s="1"/>
      <c r="O61" s="1"/>
      <c r="P61" s="1"/>
      <c r="Q61" s="1">
        <v>69.628999999999976</v>
      </c>
      <c r="R61" s="1"/>
      <c r="S61" s="1">
        <f t="shared" si="4"/>
        <v>16.029</v>
      </c>
      <c r="T61" s="5">
        <f t="shared" si="13"/>
        <v>61.518000000000036</v>
      </c>
      <c r="U61" s="5"/>
      <c r="V61" s="1"/>
      <c r="W61" s="1">
        <f t="shared" si="6"/>
        <v>12</v>
      </c>
      <c r="X61" s="1">
        <f t="shared" si="7"/>
        <v>8.1620812277746566</v>
      </c>
      <c r="Y61" s="1">
        <v>14.8468</v>
      </c>
      <c r="Z61" s="1">
        <v>12.6408</v>
      </c>
      <c r="AA61" s="1">
        <v>11.1</v>
      </c>
      <c r="AB61" s="1">
        <v>9.9060000000000006</v>
      </c>
      <c r="AC61" s="1">
        <v>10.132</v>
      </c>
      <c r="AD61" s="1">
        <v>11.39216666666667</v>
      </c>
      <c r="AE61" s="1">
        <v>11.128833333333329</v>
      </c>
      <c r="AF61" s="1">
        <v>10.2502</v>
      </c>
      <c r="AG61" s="1"/>
      <c r="AH61" s="1">
        <f>G61*T61</f>
        <v>61.518000000000036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111</v>
      </c>
      <c r="B62" s="1" t="s">
        <v>38</v>
      </c>
      <c r="C62" s="1">
        <v>68.509</v>
      </c>
      <c r="D62" s="1">
        <v>82.227999999999994</v>
      </c>
      <c r="E62" s="1">
        <v>61.847999999999999</v>
      </c>
      <c r="F62" s="1">
        <v>65.168999999999997</v>
      </c>
      <c r="G62" s="8">
        <v>1</v>
      </c>
      <c r="H62" s="1">
        <v>40</v>
      </c>
      <c r="I62" s="1" t="s">
        <v>39</v>
      </c>
      <c r="J62" s="1"/>
      <c r="K62" s="1">
        <v>58.8</v>
      </c>
      <c r="L62" s="1">
        <f t="shared" si="11"/>
        <v>3.0480000000000018</v>
      </c>
      <c r="M62" s="1">
        <f t="shared" si="3"/>
        <v>61.847999999999999</v>
      </c>
      <c r="N62" s="1"/>
      <c r="O62" s="1"/>
      <c r="P62" s="1"/>
      <c r="Q62" s="1">
        <v>70.585999999999984</v>
      </c>
      <c r="R62" s="1"/>
      <c r="S62" s="1">
        <f t="shared" si="4"/>
        <v>12.3696</v>
      </c>
      <c r="T62" s="5">
        <f t="shared" si="13"/>
        <v>12.680200000000028</v>
      </c>
      <c r="U62" s="5"/>
      <c r="V62" s="1"/>
      <c r="W62" s="1">
        <f t="shared" si="6"/>
        <v>12</v>
      </c>
      <c r="X62" s="1">
        <f t="shared" si="7"/>
        <v>10.974890053033242</v>
      </c>
      <c r="Y62" s="1">
        <v>13.7178</v>
      </c>
      <c r="Z62" s="1">
        <v>10.9034</v>
      </c>
      <c r="AA62" s="1">
        <v>9.3065999999999995</v>
      </c>
      <c r="AB62" s="1">
        <v>10.376200000000001</v>
      </c>
      <c r="AC62" s="1">
        <v>9.2058</v>
      </c>
      <c r="AD62" s="1">
        <v>7.9091666666666667</v>
      </c>
      <c r="AE62" s="1">
        <v>8.7806666666666668</v>
      </c>
      <c r="AF62" s="1">
        <v>6.8506</v>
      </c>
      <c r="AG62" s="1"/>
      <c r="AH62" s="1">
        <f>G62*T62</f>
        <v>12.680200000000028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112</v>
      </c>
      <c r="B63" s="1" t="s">
        <v>44</v>
      </c>
      <c r="C63" s="1">
        <v>1227</v>
      </c>
      <c r="D63" s="1">
        <v>1839</v>
      </c>
      <c r="E63" s="1">
        <v>892</v>
      </c>
      <c r="F63" s="1">
        <v>1336</v>
      </c>
      <c r="G63" s="8">
        <v>0.4</v>
      </c>
      <c r="H63" s="1">
        <v>40</v>
      </c>
      <c r="I63" s="1" t="s">
        <v>39</v>
      </c>
      <c r="J63" s="1"/>
      <c r="K63" s="1">
        <v>972</v>
      </c>
      <c r="L63" s="1">
        <f t="shared" si="11"/>
        <v>-80</v>
      </c>
      <c r="M63" s="1">
        <f t="shared" si="3"/>
        <v>850</v>
      </c>
      <c r="N63" s="1">
        <v>42</v>
      </c>
      <c r="O63" s="1"/>
      <c r="P63" s="1"/>
      <c r="Q63" s="1">
        <v>178.75080000000051</v>
      </c>
      <c r="R63" s="1">
        <v>100</v>
      </c>
      <c r="S63" s="1">
        <f t="shared" si="4"/>
        <v>170</v>
      </c>
      <c r="T63" s="5">
        <f t="shared" si="13"/>
        <v>425.24919999999952</v>
      </c>
      <c r="U63" s="5"/>
      <c r="V63" s="1"/>
      <c r="W63" s="1">
        <f t="shared" si="6"/>
        <v>12</v>
      </c>
      <c r="X63" s="1">
        <f t="shared" si="7"/>
        <v>9.4985341176470612</v>
      </c>
      <c r="Y63" s="1">
        <v>186.4</v>
      </c>
      <c r="Z63" s="1">
        <v>204.2</v>
      </c>
      <c r="AA63" s="1">
        <v>201.8</v>
      </c>
      <c r="AB63" s="1">
        <v>197.4</v>
      </c>
      <c r="AC63" s="1">
        <v>167.8</v>
      </c>
      <c r="AD63" s="1">
        <v>175.16666666666671</v>
      </c>
      <c r="AE63" s="1">
        <v>191.33333333333329</v>
      </c>
      <c r="AF63" s="1">
        <v>178.4</v>
      </c>
      <c r="AG63" s="1"/>
      <c r="AH63" s="1">
        <f>G63*T63</f>
        <v>170.09967999999981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113</v>
      </c>
      <c r="B64" s="1" t="s">
        <v>44</v>
      </c>
      <c r="C64" s="1">
        <v>845</v>
      </c>
      <c r="D64" s="1">
        <v>1609</v>
      </c>
      <c r="E64" s="1">
        <v>670</v>
      </c>
      <c r="F64" s="1">
        <v>1145</v>
      </c>
      <c r="G64" s="8">
        <v>0.4</v>
      </c>
      <c r="H64" s="1">
        <v>40</v>
      </c>
      <c r="I64" s="1" t="s">
        <v>39</v>
      </c>
      <c r="J64" s="1"/>
      <c r="K64" s="1">
        <v>745</v>
      </c>
      <c r="L64" s="1">
        <f t="shared" si="11"/>
        <v>-75</v>
      </c>
      <c r="M64" s="1">
        <f t="shared" si="3"/>
        <v>628</v>
      </c>
      <c r="N64" s="1">
        <v>42</v>
      </c>
      <c r="O64" s="1"/>
      <c r="P64" s="1"/>
      <c r="Q64" s="1">
        <v>68.8900000000001</v>
      </c>
      <c r="R64" s="1"/>
      <c r="S64" s="1">
        <f t="shared" si="4"/>
        <v>125.6</v>
      </c>
      <c r="T64" s="5">
        <f t="shared" si="13"/>
        <v>293.30999999999972</v>
      </c>
      <c r="U64" s="5"/>
      <c r="V64" s="1"/>
      <c r="W64" s="1">
        <f t="shared" si="6"/>
        <v>11.999999999999998</v>
      </c>
      <c r="X64" s="1">
        <f t="shared" si="7"/>
        <v>9.6647292993630582</v>
      </c>
      <c r="Y64" s="1">
        <v>136</v>
      </c>
      <c r="Z64" s="1">
        <v>149.6</v>
      </c>
      <c r="AA64" s="1">
        <v>152</v>
      </c>
      <c r="AB64" s="1">
        <v>141</v>
      </c>
      <c r="AC64" s="1">
        <v>114.8</v>
      </c>
      <c r="AD64" s="1">
        <v>113.5</v>
      </c>
      <c r="AE64" s="1">
        <v>126.5</v>
      </c>
      <c r="AF64" s="1">
        <v>126</v>
      </c>
      <c r="AG64" s="1"/>
      <c r="AH64" s="1">
        <f>G64*T64</f>
        <v>117.3239999999999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114</v>
      </c>
      <c r="B65" s="1" t="s">
        <v>38</v>
      </c>
      <c r="C65" s="1">
        <v>576.4</v>
      </c>
      <c r="D65" s="1">
        <v>661.71</v>
      </c>
      <c r="E65" s="1">
        <v>534.43200000000002</v>
      </c>
      <c r="F65" s="1">
        <v>567.19000000000005</v>
      </c>
      <c r="G65" s="8">
        <v>1</v>
      </c>
      <c r="H65" s="1">
        <v>40</v>
      </c>
      <c r="I65" s="1" t="s">
        <v>39</v>
      </c>
      <c r="J65" s="1"/>
      <c r="K65" s="1">
        <v>541.09900000000005</v>
      </c>
      <c r="L65" s="1">
        <f t="shared" si="11"/>
        <v>-6.66700000000003</v>
      </c>
      <c r="M65" s="1">
        <f t="shared" si="3"/>
        <v>496.58300000000003</v>
      </c>
      <c r="N65" s="1">
        <v>37.848999999999997</v>
      </c>
      <c r="O65" s="1"/>
      <c r="P65" s="1">
        <v>100</v>
      </c>
      <c r="Q65" s="1">
        <v>115.1054000000001</v>
      </c>
      <c r="R65" s="1">
        <v>100</v>
      </c>
      <c r="S65" s="1">
        <f t="shared" si="4"/>
        <v>99.316600000000008</v>
      </c>
      <c r="T65" s="5">
        <f t="shared" si="13"/>
        <v>309.50379999999996</v>
      </c>
      <c r="U65" s="5"/>
      <c r="V65" s="1"/>
      <c r="W65" s="1">
        <f t="shared" si="6"/>
        <v>12</v>
      </c>
      <c r="X65" s="1">
        <f t="shared" si="7"/>
        <v>8.8836649663802447</v>
      </c>
      <c r="Y65" s="1">
        <v>100.4734</v>
      </c>
      <c r="Z65" s="1">
        <v>100.384</v>
      </c>
      <c r="AA65" s="1">
        <v>93.133799999999994</v>
      </c>
      <c r="AB65" s="1">
        <v>90.374800000000008</v>
      </c>
      <c r="AC65" s="1">
        <v>74.040199999999999</v>
      </c>
      <c r="AD65" s="1">
        <v>110.36716666666671</v>
      </c>
      <c r="AE65" s="1">
        <v>177.70683333333329</v>
      </c>
      <c r="AF65" s="1">
        <v>162.19739999999999</v>
      </c>
      <c r="AG65" s="1"/>
      <c r="AH65" s="1">
        <f>G65*T65</f>
        <v>309.50379999999996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115</v>
      </c>
      <c r="B66" s="1" t="s">
        <v>38</v>
      </c>
      <c r="C66" s="1">
        <v>377.077</v>
      </c>
      <c r="D66" s="1">
        <v>395.02100000000002</v>
      </c>
      <c r="E66" s="1">
        <v>373.50299999999999</v>
      </c>
      <c r="F66" s="1">
        <v>315.86</v>
      </c>
      <c r="G66" s="8">
        <v>1</v>
      </c>
      <c r="H66" s="1">
        <v>40</v>
      </c>
      <c r="I66" s="1" t="s">
        <v>39</v>
      </c>
      <c r="J66" s="1"/>
      <c r="K66" s="1">
        <v>402.67399999999998</v>
      </c>
      <c r="L66" s="1">
        <f t="shared" si="11"/>
        <v>-29.170999999999992</v>
      </c>
      <c r="M66" s="1">
        <f t="shared" si="3"/>
        <v>335.45</v>
      </c>
      <c r="N66" s="1">
        <v>38.052999999999997</v>
      </c>
      <c r="O66" s="1"/>
      <c r="P66" s="1">
        <v>100</v>
      </c>
      <c r="Q66" s="1">
        <v>99.598000000000013</v>
      </c>
      <c r="R66" s="1">
        <v>100</v>
      </c>
      <c r="S66" s="1">
        <f t="shared" si="4"/>
        <v>67.09</v>
      </c>
      <c r="T66" s="5">
        <f t="shared" si="13"/>
        <v>189.62199999999996</v>
      </c>
      <c r="U66" s="5"/>
      <c r="V66" s="1"/>
      <c r="W66" s="1">
        <f t="shared" si="6"/>
        <v>12</v>
      </c>
      <c r="X66" s="1">
        <f t="shared" si="7"/>
        <v>9.1736175286928017</v>
      </c>
      <c r="Y66" s="1">
        <v>67.821200000000005</v>
      </c>
      <c r="Z66" s="1">
        <v>61.453000000000003</v>
      </c>
      <c r="AA66" s="1">
        <v>63.693599999999989</v>
      </c>
      <c r="AB66" s="1">
        <v>67.308199999999999</v>
      </c>
      <c r="AC66" s="1">
        <v>58.001800000000003</v>
      </c>
      <c r="AD66" s="1">
        <v>71.165833333333339</v>
      </c>
      <c r="AE66" s="1">
        <v>103.0198333333333</v>
      </c>
      <c r="AF66" s="1">
        <v>96.553600000000003</v>
      </c>
      <c r="AG66" s="1"/>
      <c r="AH66" s="1">
        <f>G66*T66</f>
        <v>189.62199999999996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22" t="s">
        <v>116</v>
      </c>
      <c r="B67" s="22" t="s">
        <v>38</v>
      </c>
      <c r="C67" s="22"/>
      <c r="D67" s="22"/>
      <c r="E67" s="22"/>
      <c r="F67" s="22"/>
      <c r="G67" s="23">
        <v>1</v>
      </c>
      <c r="H67" s="22"/>
      <c r="I67" s="22" t="s">
        <v>39</v>
      </c>
      <c r="J67" s="22"/>
      <c r="K67" s="22"/>
      <c r="L67" s="22">
        <f t="shared" si="11"/>
        <v>0</v>
      </c>
      <c r="M67" s="22">
        <f t="shared" si="3"/>
        <v>0</v>
      </c>
      <c r="N67" s="22"/>
      <c r="O67" s="22"/>
      <c r="P67" s="22"/>
      <c r="Q67" s="22">
        <v>150</v>
      </c>
      <c r="R67" s="22">
        <v>150</v>
      </c>
      <c r="S67" s="22">
        <f t="shared" si="4"/>
        <v>0</v>
      </c>
      <c r="T67" s="24">
        <v>300</v>
      </c>
      <c r="U67" s="24"/>
      <c r="V67" s="22"/>
      <c r="W67" s="22" t="e">
        <f t="shared" si="6"/>
        <v>#DIV/0!</v>
      </c>
      <c r="X67" s="22" t="e">
        <f t="shared" si="7"/>
        <v>#DIV/0!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 t="s">
        <v>97</v>
      </c>
      <c r="AH67" s="22">
        <f>G67*T67</f>
        <v>300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117</v>
      </c>
      <c r="B68" s="1" t="s">
        <v>38</v>
      </c>
      <c r="C68" s="1">
        <v>314.25599999999997</v>
      </c>
      <c r="D68" s="1">
        <v>622.39300000000003</v>
      </c>
      <c r="E68" s="1">
        <v>374.31900000000002</v>
      </c>
      <c r="F68" s="1">
        <v>458.17500000000001</v>
      </c>
      <c r="G68" s="8">
        <v>1</v>
      </c>
      <c r="H68" s="1">
        <v>40</v>
      </c>
      <c r="I68" s="1" t="s">
        <v>39</v>
      </c>
      <c r="J68" s="1"/>
      <c r="K68" s="1">
        <v>388.048</v>
      </c>
      <c r="L68" s="1">
        <f t="shared" si="11"/>
        <v>-13.728999999999985</v>
      </c>
      <c r="M68" s="1">
        <f t="shared" si="3"/>
        <v>341.82100000000003</v>
      </c>
      <c r="N68" s="1">
        <v>32.497999999999998</v>
      </c>
      <c r="O68" s="1"/>
      <c r="P68" s="1"/>
      <c r="Q68" s="1">
        <v>119.7333999999998</v>
      </c>
      <c r="R68" s="1">
        <v>100</v>
      </c>
      <c r="S68" s="1">
        <f t="shared" si="4"/>
        <v>68.364200000000011</v>
      </c>
      <c r="T68" s="5">
        <f t="shared" si="13"/>
        <v>142.46200000000027</v>
      </c>
      <c r="U68" s="5"/>
      <c r="V68" s="1"/>
      <c r="W68" s="1">
        <f t="shared" si="6"/>
        <v>11.999999999999998</v>
      </c>
      <c r="X68" s="1">
        <f t="shared" si="7"/>
        <v>9.9161315425324901</v>
      </c>
      <c r="Y68" s="1">
        <v>74.889600000000002</v>
      </c>
      <c r="Z68" s="1">
        <v>75.763200000000012</v>
      </c>
      <c r="AA68" s="1">
        <v>77.224599999999995</v>
      </c>
      <c r="AB68" s="1">
        <v>70.448999999999998</v>
      </c>
      <c r="AC68" s="1">
        <v>64.313800000000001</v>
      </c>
      <c r="AD68" s="1">
        <v>90.017166666666682</v>
      </c>
      <c r="AE68" s="1">
        <v>121.6483333333333</v>
      </c>
      <c r="AF68" s="1">
        <v>102.806</v>
      </c>
      <c r="AG68" s="1"/>
      <c r="AH68" s="1">
        <f>G68*T68</f>
        <v>142.46200000000027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118</v>
      </c>
      <c r="B69" s="1" t="s">
        <v>38</v>
      </c>
      <c r="C69" s="1">
        <v>185.99700000000001</v>
      </c>
      <c r="D69" s="1">
        <v>46.106000000000002</v>
      </c>
      <c r="E69" s="1">
        <v>91.043000000000006</v>
      </c>
      <c r="F69" s="1">
        <v>119.76900000000001</v>
      </c>
      <c r="G69" s="8">
        <v>1</v>
      </c>
      <c r="H69" s="1">
        <v>30</v>
      </c>
      <c r="I69" s="1" t="s">
        <v>39</v>
      </c>
      <c r="J69" s="1"/>
      <c r="K69" s="1">
        <v>99.7</v>
      </c>
      <c r="L69" s="1">
        <f t="shared" si="11"/>
        <v>-8.6569999999999965</v>
      </c>
      <c r="M69" s="1">
        <f t="shared" si="3"/>
        <v>91.043000000000006</v>
      </c>
      <c r="N69" s="1"/>
      <c r="O69" s="1"/>
      <c r="P69" s="1"/>
      <c r="Q69" s="1">
        <v>9.0830000000000268</v>
      </c>
      <c r="R69" s="1"/>
      <c r="S69" s="1">
        <f t="shared" si="4"/>
        <v>18.208600000000001</v>
      </c>
      <c r="T69" s="5">
        <f t="shared" si="13"/>
        <v>89.65119999999996</v>
      </c>
      <c r="U69" s="5"/>
      <c r="V69" s="1"/>
      <c r="W69" s="1">
        <f t="shared" si="6"/>
        <v>12</v>
      </c>
      <c r="X69" s="1">
        <f t="shared" si="7"/>
        <v>7.0764364091692951</v>
      </c>
      <c r="Y69" s="1">
        <v>17.224599999999999</v>
      </c>
      <c r="Z69" s="1">
        <v>20.573599999999999</v>
      </c>
      <c r="AA69" s="1">
        <v>21.076000000000001</v>
      </c>
      <c r="AB69" s="1">
        <v>24.190999999999999</v>
      </c>
      <c r="AC69" s="1">
        <v>22.1416</v>
      </c>
      <c r="AD69" s="1">
        <v>19.448166666666669</v>
      </c>
      <c r="AE69" s="1">
        <v>20.00716666666667</v>
      </c>
      <c r="AF69" s="1">
        <v>20.477</v>
      </c>
      <c r="AG69" s="1" t="s">
        <v>78</v>
      </c>
      <c r="AH69" s="1">
        <f>G69*T69</f>
        <v>89.65119999999996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119</v>
      </c>
      <c r="B70" s="1" t="s">
        <v>44</v>
      </c>
      <c r="C70" s="1">
        <v>121</v>
      </c>
      <c r="D70" s="1">
        <v>96</v>
      </c>
      <c r="E70" s="1">
        <v>78</v>
      </c>
      <c r="F70" s="1">
        <v>128</v>
      </c>
      <c r="G70" s="8">
        <v>0.6</v>
      </c>
      <c r="H70" s="1">
        <v>60</v>
      </c>
      <c r="I70" s="1" t="s">
        <v>39</v>
      </c>
      <c r="J70" s="1"/>
      <c r="K70" s="1">
        <v>86</v>
      </c>
      <c r="L70" s="1">
        <f t="shared" ref="L70:L101" si="14">E70-K70</f>
        <v>-8</v>
      </c>
      <c r="M70" s="1">
        <f t="shared" si="3"/>
        <v>78</v>
      </c>
      <c r="N70" s="1"/>
      <c r="O70" s="1"/>
      <c r="P70" s="1"/>
      <c r="Q70" s="1">
        <v>46.000000000000057</v>
      </c>
      <c r="R70" s="1"/>
      <c r="S70" s="1">
        <f t="shared" si="4"/>
        <v>15.6</v>
      </c>
      <c r="T70" s="5">
        <f t="shared" si="13"/>
        <v>13.199999999999932</v>
      </c>
      <c r="U70" s="5"/>
      <c r="V70" s="1"/>
      <c r="W70" s="1">
        <f t="shared" si="6"/>
        <v>12</v>
      </c>
      <c r="X70" s="1">
        <f t="shared" si="7"/>
        <v>11.153846153846159</v>
      </c>
      <c r="Y70" s="1">
        <v>18.600000000000001</v>
      </c>
      <c r="Z70" s="1">
        <v>15.6</v>
      </c>
      <c r="AA70" s="1">
        <v>17</v>
      </c>
      <c r="AB70" s="1">
        <v>15.2</v>
      </c>
      <c r="AC70" s="1">
        <v>10.6</v>
      </c>
      <c r="AD70" s="1">
        <v>10.866666666666671</v>
      </c>
      <c r="AE70" s="1">
        <v>23.033333333333331</v>
      </c>
      <c r="AF70" s="1">
        <v>25.6</v>
      </c>
      <c r="AG70" s="1" t="s">
        <v>109</v>
      </c>
      <c r="AH70" s="1">
        <f>G70*T70</f>
        <v>7.9199999999999591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120</v>
      </c>
      <c r="B71" s="1" t="s">
        <v>44</v>
      </c>
      <c r="C71" s="1">
        <v>34</v>
      </c>
      <c r="D71" s="1">
        <v>8</v>
      </c>
      <c r="E71" s="1">
        <v>18</v>
      </c>
      <c r="F71" s="1">
        <v>14</v>
      </c>
      <c r="G71" s="8">
        <v>0.6</v>
      </c>
      <c r="H71" s="1">
        <v>60</v>
      </c>
      <c r="I71" s="1" t="s">
        <v>39</v>
      </c>
      <c r="J71" s="1"/>
      <c r="K71" s="1">
        <v>26</v>
      </c>
      <c r="L71" s="1">
        <f t="shared" si="14"/>
        <v>-8</v>
      </c>
      <c r="M71" s="1">
        <f t="shared" ref="M71:M101" si="15">E71-N71</f>
        <v>10</v>
      </c>
      <c r="N71" s="1">
        <v>8</v>
      </c>
      <c r="O71" s="1"/>
      <c r="P71" s="1"/>
      <c r="Q71" s="1">
        <v>0</v>
      </c>
      <c r="R71" s="1"/>
      <c r="S71" s="1">
        <f t="shared" ref="S71:S101" si="16">M71/5</f>
        <v>2</v>
      </c>
      <c r="T71" s="5">
        <f t="shared" si="13"/>
        <v>10</v>
      </c>
      <c r="U71" s="5"/>
      <c r="V71" s="1"/>
      <c r="W71" s="1">
        <f t="shared" ref="W71:W101" si="17">(F71+O71+P71+Q71+R71+T71)/S71</f>
        <v>12</v>
      </c>
      <c r="X71" s="1">
        <f t="shared" ref="X71:X101" si="18">(F71+O71+P71+Q71+R71)/S71</f>
        <v>7</v>
      </c>
      <c r="Y71" s="1">
        <v>1.8</v>
      </c>
      <c r="Z71" s="1">
        <v>1.8</v>
      </c>
      <c r="AA71" s="1">
        <v>2.2000000000000002</v>
      </c>
      <c r="AB71" s="1">
        <v>3</v>
      </c>
      <c r="AC71" s="1">
        <v>3.2</v>
      </c>
      <c r="AD71" s="1">
        <v>2.666666666666667</v>
      </c>
      <c r="AE71" s="1">
        <v>2.5</v>
      </c>
      <c r="AF71" s="1">
        <v>2.8</v>
      </c>
      <c r="AG71" s="1" t="s">
        <v>121</v>
      </c>
      <c r="AH71" s="1">
        <f>G71*T71</f>
        <v>6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122</v>
      </c>
      <c r="B72" s="1" t="s">
        <v>44</v>
      </c>
      <c r="C72" s="1">
        <v>479</v>
      </c>
      <c r="D72" s="1">
        <v>1718</v>
      </c>
      <c r="E72" s="1">
        <v>636</v>
      </c>
      <c r="F72" s="1">
        <v>1481</v>
      </c>
      <c r="G72" s="8">
        <v>0.37</v>
      </c>
      <c r="H72" s="1">
        <v>50</v>
      </c>
      <c r="I72" s="1" t="s">
        <v>39</v>
      </c>
      <c r="J72" s="1"/>
      <c r="K72" s="1">
        <v>648</v>
      </c>
      <c r="L72" s="1">
        <f t="shared" si="14"/>
        <v>-12</v>
      </c>
      <c r="M72" s="1">
        <f t="shared" si="15"/>
        <v>636</v>
      </c>
      <c r="N72" s="1"/>
      <c r="O72" s="1">
        <v>298.24200000000002</v>
      </c>
      <c r="P72" s="1"/>
      <c r="Q72" s="1">
        <v>0</v>
      </c>
      <c r="R72" s="1"/>
      <c r="S72" s="1">
        <f t="shared" si="16"/>
        <v>127.2</v>
      </c>
      <c r="T72" s="5"/>
      <c r="U72" s="5"/>
      <c r="V72" s="1"/>
      <c r="W72" s="1">
        <f t="shared" si="17"/>
        <v>13.987751572327044</v>
      </c>
      <c r="X72" s="1">
        <f t="shared" si="18"/>
        <v>13.987751572327044</v>
      </c>
      <c r="Y72" s="1">
        <v>139.19999999999999</v>
      </c>
      <c r="Z72" s="1">
        <v>157.80000000000001</v>
      </c>
      <c r="AA72" s="1">
        <v>153</v>
      </c>
      <c r="AB72" s="1">
        <v>99.6</v>
      </c>
      <c r="AC72" s="1">
        <v>87.4</v>
      </c>
      <c r="AD72" s="1">
        <v>113.1666666666667</v>
      </c>
      <c r="AE72" s="1">
        <v>145.5</v>
      </c>
      <c r="AF72" s="1">
        <v>125</v>
      </c>
      <c r="AG72" s="1"/>
      <c r="AH72" s="1">
        <f>G72*T72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123</v>
      </c>
      <c r="B73" s="1" t="s">
        <v>44</v>
      </c>
      <c r="C73" s="1">
        <v>52</v>
      </c>
      <c r="D73" s="1">
        <v>84</v>
      </c>
      <c r="E73" s="1">
        <v>47</v>
      </c>
      <c r="F73" s="1">
        <v>80</v>
      </c>
      <c r="G73" s="8">
        <v>0.4</v>
      </c>
      <c r="H73" s="1">
        <v>30</v>
      </c>
      <c r="I73" s="1" t="s">
        <v>39</v>
      </c>
      <c r="J73" s="1"/>
      <c r="K73" s="1">
        <v>48</v>
      </c>
      <c r="L73" s="1">
        <f t="shared" si="14"/>
        <v>-1</v>
      </c>
      <c r="M73" s="1">
        <f t="shared" si="15"/>
        <v>47</v>
      </c>
      <c r="N73" s="1"/>
      <c r="O73" s="1"/>
      <c r="P73" s="1"/>
      <c r="Q73" s="1">
        <v>15</v>
      </c>
      <c r="R73" s="1"/>
      <c r="S73" s="1">
        <f t="shared" si="16"/>
        <v>9.4</v>
      </c>
      <c r="T73" s="5">
        <f t="shared" si="13"/>
        <v>17.800000000000011</v>
      </c>
      <c r="U73" s="5"/>
      <c r="V73" s="1"/>
      <c r="W73" s="1">
        <f t="shared" si="17"/>
        <v>12</v>
      </c>
      <c r="X73" s="1">
        <f t="shared" si="18"/>
        <v>10.106382978723405</v>
      </c>
      <c r="Y73" s="1">
        <v>11.2</v>
      </c>
      <c r="Z73" s="1">
        <v>11</v>
      </c>
      <c r="AA73" s="1">
        <v>10</v>
      </c>
      <c r="AB73" s="1">
        <v>9.1999999999999993</v>
      </c>
      <c r="AC73" s="1">
        <v>7.4</v>
      </c>
      <c r="AD73" s="1">
        <v>7.833333333333333</v>
      </c>
      <c r="AE73" s="1">
        <v>8.3333333333333339</v>
      </c>
      <c r="AF73" s="1">
        <v>9.8000000000000007</v>
      </c>
      <c r="AG73" s="1"/>
      <c r="AH73" s="1">
        <f>G73*T73</f>
        <v>7.1200000000000045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124</v>
      </c>
      <c r="B74" s="1" t="s">
        <v>44</v>
      </c>
      <c r="C74" s="1">
        <v>82</v>
      </c>
      <c r="D74" s="1">
        <v>615</v>
      </c>
      <c r="E74" s="1">
        <v>146</v>
      </c>
      <c r="F74" s="1">
        <v>240</v>
      </c>
      <c r="G74" s="8">
        <v>0.6</v>
      </c>
      <c r="H74" s="1">
        <v>55</v>
      </c>
      <c r="I74" s="1" t="s">
        <v>39</v>
      </c>
      <c r="J74" s="1"/>
      <c r="K74" s="1">
        <v>185</v>
      </c>
      <c r="L74" s="1">
        <f t="shared" si="14"/>
        <v>-39</v>
      </c>
      <c r="M74" s="1">
        <f t="shared" si="15"/>
        <v>146</v>
      </c>
      <c r="N74" s="1"/>
      <c r="O74" s="1"/>
      <c r="P74" s="1"/>
      <c r="Q74" s="1">
        <v>108.52</v>
      </c>
      <c r="R74" s="1">
        <v>80</v>
      </c>
      <c r="S74" s="1">
        <f t="shared" si="16"/>
        <v>29.2</v>
      </c>
      <c r="T74" s="5"/>
      <c r="U74" s="5"/>
      <c r="V74" s="1"/>
      <c r="W74" s="1">
        <f t="shared" si="17"/>
        <v>14.675342465753424</v>
      </c>
      <c r="X74" s="1">
        <f t="shared" si="18"/>
        <v>14.675342465753424</v>
      </c>
      <c r="Y74" s="1">
        <v>41.6</v>
      </c>
      <c r="Z74" s="1">
        <v>36.200000000000003</v>
      </c>
      <c r="AA74" s="1">
        <v>24.2</v>
      </c>
      <c r="AB74" s="1">
        <v>14.8</v>
      </c>
      <c r="AC74" s="1">
        <v>19.399999999999999</v>
      </c>
      <c r="AD74" s="1">
        <v>27.333333333333329</v>
      </c>
      <c r="AE74" s="1">
        <v>35.633333333333333</v>
      </c>
      <c r="AF74" s="1">
        <v>27.76</v>
      </c>
      <c r="AG74" s="1" t="s">
        <v>78</v>
      </c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6" t="s">
        <v>125</v>
      </c>
      <c r="B75" s="1" t="s">
        <v>44</v>
      </c>
      <c r="C75" s="1"/>
      <c r="D75" s="1"/>
      <c r="E75" s="1"/>
      <c r="F75" s="1"/>
      <c r="G75" s="8">
        <v>0.45</v>
      </c>
      <c r="H75" s="1">
        <v>40</v>
      </c>
      <c r="I75" s="1" t="s">
        <v>39</v>
      </c>
      <c r="J75" s="1"/>
      <c r="K75" s="1"/>
      <c r="L75" s="1">
        <f t="shared" si="14"/>
        <v>0</v>
      </c>
      <c r="M75" s="1">
        <f t="shared" si="15"/>
        <v>0</v>
      </c>
      <c r="N75" s="1"/>
      <c r="O75" s="1"/>
      <c r="P75" s="1"/>
      <c r="Q75" s="16"/>
      <c r="R75" s="1"/>
      <c r="S75" s="1">
        <f t="shared" si="16"/>
        <v>0</v>
      </c>
      <c r="T75" s="17">
        <v>10</v>
      </c>
      <c r="U75" s="5"/>
      <c r="V75" s="1"/>
      <c r="W75" s="1" t="e">
        <f t="shared" si="17"/>
        <v>#DIV/0!</v>
      </c>
      <c r="X75" s="1" t="e">
        <f t="shared" si="18"/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6" t="s">
        <v>126</v>
      </c>
      <c r="AH75" s="1">
        <f>G75*T75</f>
        <v>4.5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127</v>
      </c>
      <c r="B76" s="1" t="s">
        <v>44</v>
      </c>
      <c r="C76" s="1">
        <v>872</v>
      </c>
      <c r="D76" s="1">
        <v>512</v>
      </c>
      <c r="E76" s="1">
        <v>435</v>
      </c>
      <c r="F76" s="1">
        <v>912</v>
      </c>
      <c r="G76" s="8">
        <v>0.4</v>
      </c>
      <c r="H76" s="1">
        <v>50</v>
      </c>
      <c r="I76" s="1" t="s">
        <v>39</v>
      </c>
      <c r="J76" s="1"/>
      <c r="K76" s="1">
        <v>447</v>
      </c>
      <c r="L76" s="1">
        <f t="shared" si="14"/>
        <v>-12</v>
      </c>
      <c r="M76" s="1">
        <f t="shared" si="15"/>
        <v>427</v>
      </c>
      <c r="N76" s="1">
        <v>8</v>
      </c>
      <c r="O76" s="1">
        <v>185.976</v>
      </c>
      <c r="P76" s="1"/>
      <c r="Q76" s="1">
        <v>0</v>
      </c>
      <c r="R76" s="1"/>
      <c r="S76" s="1">
        <f t="shared" si="16"/>
        <v>85.4</v>
      </c>
      <c r="T76" s="5"/>
      <c r="U76" s="5"/>
      <c r="V76" s="1"/>
      <c r="W76" s="1">
        <f t="shared" si="17"/>
        <v>12.856861826697893</v>
      </c>
      <c r="X76" s="1">
        <f t="shared" si="18"/>
        <v>12.856861826697893</v>
      </c>
      <c r="Y76" s="1">
        <v>84.2</v>
      </c>
      <c r="Z76" s="1">
        <v>98.4</v>
      </c>
      <c r="AA76" s="1">
        <v>96.2</v>
      </c>
      <c r="AB76" s="1">
        <v>72.599999999999994</v>
      </c>
      <c r="AC76" s="1">
        <v>72.400000000000006</v>
      </c>
      <c r="AD76" s="1">
        <v>114.3333333333333</v>
      </c>
      <c r="AE76" s="1">
        <v>140.66666666666671</v>
      </c>
      <c r="AF76" s="1">
        <v>118.6</v>
      </c>
      <c r="AG76" s="1" t="s">
        <v>78</v>
      </c>
      <c r="AH76" s="1">
        <f>G76*T76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22" t="s">
        <v>128</v>
      </c>
      <c r="B77" s="22" t="s">
        <v>44</v>
      </c>
      <c r="C77" s="22"/>
      <c r="D77" s="22"/>
      <c r="E77" s="22"/>
      <c r="F77" s="22"/>
      <c r="G77" s="23">
        <v>0.35</v>
      </c>
      <c r="H77" s="22"/>
      <c r="I77" s="22" t="s">
        <v>39</v>
      </c>
      <c r="J77" s="22"/>
      <c r="K77" s="22"/>
      <c r="L77" s="22">
        <f t="shared" si="14"/>
        <v>0</v>
      </c>
      <c r="M77" s="22">
        <f t="shared" si="15"/>
        <v>0</v>
      </c>
      <c r="N77" s="22"/>
      <c r="O77" s="22"/>
      <c r="P77" s="22"/>
      <c r="Q77" s="22">
        <v>100</v>
      </c>
      <c r="R77" s="22">
        <v>100</v>
      </c>
      <c r="S77" s="22">
        <f t="shared" si="16"/>
        <v>0</v>
      </c>
      <c r="T77" s="24">
        <v>200</v>
      </c>
      <c r="U77" s="24"/>
      <c r="V77" s="22"/>
      <c r="W77" s="22" t="e">
        <f t="shared" si="17"/>
        <v>#DIV/0!</v>
      </c>
      <c r="X77" s="22" t="e">
        <f t="shared" si="18"/>
        <v>#DIV/0!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 t="s">
        <v>97</v>
      </c>
      <c r="AH77" s="22">
        <f>G77*T77</f>
        <v>70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22" t="s">
        <v>129</v>
      </c>
      <c r="B78" s="22" t="s">
        <v>44</v>
      </c>
      <c r="C78" s="22"/>
      <c r="D78" s="22"/>
      <c r="E78" s="22"/>
      <c r="F78" s="22"/>
      <c r="G78" s="23">
        <v>0.35</v>
      </c>
      <c r="H78" s="22"/>
      <c r="I78" s="22" t="s">
        <v>39</v>
      </c>
      <c r="J78" s="22"/>
      <c r="K78" s="22"/>
      <c r="L78" s="22">
        <f t="shared" si="14"/>
        <v>0</v>
      </c>
      <c r="M78" s="22">
        <f t="shared" si="15"/>
        <v>0</v>
      </c>
      <c r="N78" s="22"/>
      <c r="O78" s="22"/>
      <c r="P78" s="22"/>
      <c r="Q78" s="22">
        <v>150</v>
      </c>
      <c r="R78" s="22">
        <v>150</v>
      </c>
      <c r="S78" s="22">
        <f t="shared" si="16"/>
        <v>0</v>
      </c>
      <c r="T78" s="24">
        <v>300</v>
      </c>
      <c r="U78" s="24"/>
      <c r="V78" s="22"/>
      <c r="W78" s="22" t="e">
        <f t="shared" si="17"/>
        <v>#DIV/0!</v>
      </c>
      <c r="X78" s="22" t="e">
        <f t="shared" si="18"/>
        <v>#DIV/0!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 t="s">
        <v>97</v>
      </c>
      <c r="AH78" s="22">
        <f>G78*T78</f>
        <v>105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130</v>
      </c>
      <c r="B79" s="1" t="s">
        <v>44</v>
      </c>
      <c r="C79" s="1">
        <v>33</v>
      </c>
      <c r="D79" s="1">
        <v>40</v>
      </c>
      <c r="E79" s="1">
        <v>34</v>
      </c>
      <c r="F79" s="1">
        <v>37</v>
      </c>
      <c r="G79" s="8">
        <v>0.4</v>
      </c>
      <c r="H79" s="1">
        <v>55</v>
      </c>
      <c r="I79" s="1" t="s">
        <v>39</v>
      </c>
      <c r="J79" s="1"/>
      <c r="K79" s="1">
        <v>34</v>
      </c>
      <c r="L79" s="1">
        <f t="shared" si="14"/>
        <v>0</v>
      </c>
      <c r="M79" s="1">
        <f t="shared" si="15"/>
        <v>34</v>
      </c>
      <c r="N79" s="1"/>
      <c r="O79" s="1"/>
      <c r="P79" s="1"/>
      <c r="Q79" s="1">
        <v>20.8</v>
      </c>
      <c r="R79" s="1"/>
      <c r="S79" s="1">
        <f t="shared" si="16"/>
        <v>6.8</v>
      </c>
      <c r="T79" s="5">
        <f t="shared" si="13"/>
        <v>23.799999999999997</v>
      </c>
      <c r="U79" s="5"/>
      <c r="V79" s="1"/>
      <c r="W79" s="1">
        <f t="shared" si="17"/>
        <v>12</v>
      </c>
      <c r="X79" s="1">
        <f t="shared" si="18"/>
        <v>8.5</v>
      </c>
      <c r="Y79" s="1">
        <v>6.6</v>
      </c>
      <c r="Z79" s="1">
        <v>5.8</v>
      </c>
      <c r="AA79" s="1">
        <v>5.8</v>
      </c>
      <c r="AB79" s="1">
        <v>4.4000000000000004</v>
      </c>
      <c r="AC79" s="1">
        <v>3.8</v>
      </c>
      <c r="AD79" s="1">
        <v>6.833333333333333</v>
      </c>
      <c r="AE79" s="1">
        <v>7.5</v>
      </c>
      <c r="AF79" s="1">
        <v>6.6</v>
      </c>
      <c r="AG79" s="1"/>
      <c r="AH79" s="1">
        <f>G79*T79</f>
        <v>9.52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131</v>
      </c>
      <c r="B80" s="1" t="s">
        <v>38</v>
      </c>
      <c r="C80" s="1">
        <v>158.31800000000001</v>
      </c>
      <c r="D80" s="1">
        <v>1023.818</v>
      </c>
      <c r="E80" s="1">
        <v>405.49400000000003</v>
      </c>
      <c r="F80" s="1">
        <v>752.22500000000002</v>
      </c>
      <c r="G80" s="8">
        <v>1</v>
      </c>
      <c r="H80" s="1">
        <v>55</v>
      </c>
      <c r="I80" s="1" t="s">
        <v>39</v>
      </c>
      <c r="J80" s="1"/>
      <c r="K80" s="1">
        <v>422</v>
      </c>
      <c r="L80" s="1">
        <f t="shared" si="14"/>
        <v>-16.505999999999972</v>
      </c>
      <c r="M80" s="1">
        <f t="shared" si="15"/>
        <v>405.49400000000003</v>
      </c>
      <c r="N80" s="1"/>
      <c r="O80" s="1">
        <v>157.47744599999999</v>
      </c>
      <c r="P80" s="1"/>
      <c r="Q80" s="1">
        <v>0</v>
      </c>
      <c r="R80" s="1"/>
      <c r="S80" s="1">
        <f t="shared" si="16"/>
        <v>81.098800000000011</v>
      </c>
      <c r="T80" s="5">
        <f t="shared" si="13"/>
        <v>63.483154000000127</v>
      </c>
      <c r="U80" s="5"/>
      <c r="V80" s="1"/>
      <c r="W80" s="1">
        <f t="shared" si="17"/>
        <v>12</v>
      </c>
      <c r="X80" s="1">
        <f t="shared" si="18"/>
        <v>11.217212165901344</v>
      </c>
      <c r="Y80" s="1">
        <v>73.069800000000001</v>
      </c>
      <c r="Z80" s="1">
        <v>83.321400000000011</v>
      </c>
      <c r="AA80" s="1">
        <v>76.307199999999995</v>
      </c>
      <c r="AB80" s="1">
        <v>50.047800000000002</v>
      </c>
      <c r="AC80" s="1">
        <v>41.0852</v>
      </c>
      <c r="AD80" s="1">
        <v>58.197000000000003</v>
      </c>
      <c r="AE80" s="1">
        <v>90.01966666666668</v>
      </c>
      <c r="AF80" s="1">
        <v>65.712800000000001</v>
      </c>
      <c r="AG80" s="1" t="s">
        <v>76</v>
      </c>
      <c r="AH80" s="1">
        <f>G80*T80</f>
        <v>63.483154000000127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22" t="s">
        <v>132</v>
      </c>
      <c r="B81" s="22" t="s">
        <v>38</v>
      </c>
      <c r="C81" s="22">
        <v>1419.961</v>
      </c>
      <c r="D81" s="22">
        <v>481.84199999999998</v>
      </c>
      <c r="E81" s="22">
        <v>629.34799999999996</v>
      </c>
      <c r="F81" s="22">
        <v>1193.146</v>
      </c>
      <c r="G81" s="23">
        <v>1</v>
      </c>
      <c r="H81" s="22">
        <v>60</v>
      </c>
      <c r="I81" s="22" t="s">
        <v>39</v>
      </c>
      <c r="J81" s="22"/>
      <c r="K81" s="22">
        <v>639.90499999999997</v>
      </c>
      <c r="L81" s="22">
        <f t="shared" si="14"/>
        <v>-10.557000000000016</v>
      </c>
      <c r="M81" s="22">
        <f t="shared" si="15"/>
        <v>624.24799999999993</v>
      </c>
      <c r="N81" s="22">
        <v>5.0999999999999996</v>
      </c>
      <c r="O81" s="22">
        <v>252.595854</v>
      </c>
      <c r="P81" s="22">
        <v>150</v>
      </c>
      <c r="Q81" s="22">
        <v>240.79940599999989</v>
      </c>
      <c r="R81" s="22">
        <v>150</v>
      </c>
      <c r="S81" s="22">
        <f t="shared" si="16"/>
        <v>124.84959999999998</v>
      </c>
      <c r="T81" s="24">
        <f t="shared" ref="T81:T84" si="19">11*S81*1.5-R81-Q81-P81-O81-F81</f>
        <v>73.47714000000019</v>
      </c>
      <c r="U81" s="24"/>
      <c r="V81" s="22"/>
      <c r="W81" s="22">
        <f t="shared" si="17"/>
        <v>16.500000000000004</v>
      </c>
      <c r="X81" s="22">
        <f t="shared" si="18"/>
        <v>15.91147476643898</v>
      </c>
      <c r="Y81" s="22">
        <v>135.893</v>
      </c>
      <c r="Z81" s="22">
        <v>133.64859999999999</v>
      </c>
      <c r="AA81" s="22">
        <v>131.27279999999999</v>
      </c>
      <c r="AB81" s="22">
        <v>138.1112</v>
      </c>
      <c r="AC81" s="22">
        <v>134.04859999999999</v>
      </c>
      <c r="AD81" s="22">
        <v>185.8355</v>
      </c>
      <c r="AE81" s="22">
        <v>209.12350000000001</v>
      </c>
      <c r="AF81" s="22">
        <v>170.20240000000001</v>
      </c>
      <c r="AG81" s="22" t="s">
        <v>50</v>
      </c>
      <c r="AH81" s="22">
        <f>G81*T81</f>
        <v>73.47714000000019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22" t="s">
        <v>133</v>
      </c>
      <c r="B82" s="22" t="s">
        <v>38</v>
      </c>
      <c r="C82" s="22">
        <v>1506.4290000000001</v>
      </c>
      <c r="D82" s="22">
        <v>1090.7760000000001</v>
      </c>
      <c r="E82" s="22">
        <v>1002.956</v>
      </c>
      <c r="F82" s="22">
        <v>1394.1510000000001</v>
      </c>
      <c r="G82" s="23">
        <v>1</v>
      </c>
      <c r="H82" s="22">
        <v>60</v>
      </c>
      <c r="I82" s="22" t="s">
        <v>39</v>
      </c>
      <c r="J82" s="22"/>
      <c r="K82" s="22">
        <v>1094.4349999999999</v>
      </c>
      <c r="L82" s="22">
        <f t="shared" si="14"/>
        <v>-91.478999999999928</v>
      </c>
      <c r="M82" s="22">
        <f t="shared" si="15"/>
        <v>957.47699999999998</v>
      </c>
      <c r="N82" s="22">
        <v>45.478999999999999</v>
      </c>
      <c r="O82" s="22">
        <v>333.72107999999997</v>
      </c>
      <c r="P82" s="22">
        <v>350</v>
      </c>
      <c r="Q82" s="22">
        <v>414.57762000000002</v>
      </c>
      <c r="R82" s="22">
        <v>350</v>
      </c>
      <c r="S82" s="22">
        <f t="shared" si="16"/>
        <v>191.49539999999999</v>
      </c>
      <c r="T82" s="24">
        <f t="shared" si="19"/>
        <v>317.22440000000006</v>
      </c>
      <c r="U82" s="24"/>
      <c r="V82" s="22"/>
      <c r="W82" s="22">
        <f t="shared" si="17"/>
        <v>16.500000000000004</v>
      </c>
      <c r="X82" s="22">
        <f t="shared" si="18"/>
        <v>14.843435925876028</v>
      </c>
      <c r="Y82" s="22">
        <v>199.12960000000001</v>
      </c>
      <c r="Z82" s="22">
        <v>176.572</v>
      </c>
      <c r="AA82" s="22">
        <v>180.48439999999999</v>
      </c>
      <c r="AB82" s="22">
        <v>192.92660000000001</v>
      </c>
      <c r="AC82" s="22">
        <v>178.32560000000001</v>
      </c>
      <c r="AD82" s="22">
        <v>184.20500000000001</v>
      </c>
      <c r="AE82" s="22">
        <v>206.04866666666669</v>
      </c>
      <c r="AF82" s="22">
        <v>206.80799999999999</v>
      </c>
      <c r="AG82" s="22" t="s">
        <v>40</v>
      </c>
      <c r="AH82" s="22">
        <f>G82*T82</f>
        <v>317.22440000000006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22" t="s">
        <v>134</v>
      </c>
      <c r="B83" s="22" t="s">
        <v>38</v>
      </c>
      <c r="C83" s="22">
        <v>2694.2930000000001</v>
      </c>
      <c r="D83" s="22">
        <v>1168.6849999999999</v>
      </c>
      <c r="E83" s="22">
        <v>937.70899999999995</v>
      </c>
      <c r="F83" s="22">
        <v>2755.4569999999999</v>
      </c>
      <c r="G83" s="23">
        <v>1</v>
      </c>
      <c r="H83" s="22">
        <v>60</v>
      </c>
      <c r="I83" s="22" t="s">
        <v>39</v>
      </c>
      <c r="J83" s="22"/>
      <c r="K83" s="22">
        <v>938.6</v>
      </c>
      <c r="L83" s="22">
        <f t="shared" si="14"/>
        <v>-0.8910000000000764</v>
      </c>
      <c r="M83" s="22">
        <f t="shared" si="15"/>
        <v>937.70899999999995</v>
      </c>
      <c r="N83" s="22"/>
      <c r="O83" s="22">
        <v>518.65115400000002</v>
      </c>
      <c r="P83" s="22"/>
      <c r="Q83" s="22">
        <v>131.66750599999929</v>
      </c>
      <c r="R83" s="22">
        <v>100</v>
      </c>
      <c r="S83" s="22">
        <f t="shared" si="16"/>
        <v>187.54179999999999</v>
      </c>
      <c r="T83" s="24"/>
      <c r="U83" s="24"/>
      <c r="V83" s="22"/>
      <c r="W83" s="22">
        <f t="shared" si="17"/>
        <v>18.693302826356575</v>
      </c>
      <c r="X83" s="22">
        <f t="shared" si="18"/>
        <v>18.693302826356575</v>
      </c>
      <c r="Y83" s="22">
        <v>237.83260000000001</v>
      </c>
      <c r="Z83" s="22">
        <v>274.41860000000003</v>
      </c>
      <c r="AA83" s="22">
        <v>278.57479999999998</v>
      </c>
      <c r="AB83" s="22">
        <v>331.53820000000002</v>
      </c>
      <c r="AC83" s="22">
        <v>283.67020000000002</v>
      </c>
      <c r="AD83" s="22">
        <v>301.72716666666668</v>
      </c>
      <c r="AE83" s="22">
        <v>379.86399999999998</v>
      </c>
      <c r="AF83" s="22">
        <v>326.0292</v>
      </c>
      <c r="AG83" s="22" t="s">
        <v>50</v>
      </c>
      <c r="AH83" s="22">
        <f>G83*T83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22" t="s">
        <v>135</v>
      </c>
      <c r="B84" s="22" t="s">
        <v>38</v>
      </c>
      <c r="C84" s="22">
        <v>3182.9079999999999</v>
      </c>
      <c r="D84" s="22">
        <v>3873.674</v>
      </c>
      <c r="E84" s="22">
        <v>1548.9829999999999</v>
      </c>
      <c r="F84" s="22">
        <v>3184.9839999999999</v>
      </c>
      <c r="G84" s="23">
        <v>1</v>
      </c>
      <c r="H84" s="22">
        <v>60</v>
      </c>
      <c r="I84" s="22" t="s">
        <v>39</v>
      </c>
      <c r="J84" s="22"/>
      <c r="K84" s="22">
        <v>1591.6289999999999</v>
      </c>
      <c r="L84" s="22">
        <f t="shared" si="14"/>
        <v>-42.645999999999958</v>
      </c>
      <c r="M84" s="22">
        <f t="shared" si="15"/>
        <v>1518.3440000000001</v>
      </c>
      <c r="N84" s="22">
        <v>30.638999999999999</v>
      </c>
      <c r="O84" s="22">
        <v>662.90275800000006</v>
      </c>
      <c r="P84" s="22">
        <v>350</v>
      </c>
      <c r="Q84" s="22">
        <v>355.454162</v>
      </c>
      <c r="R84" s="22">
        <v>350</v>
      </c>
      <c r="S84" s="22">
        <f t="shared" si="16"/>
        <v>303.66880000000003</v>
      </c>
      <c r="T84" s="24">
        <f t="shared" si="19"/>
        <v>107.19428000000016</v>
      </c>
      <c r="U84" s="24"/>
      <c r="V84" s="22"/>
      <c r="W84" s="22">
        <f t="shared" si="17"/>
        <v>16.5</v>
      </c>
      <c r="X84" s="22">
        <f t="shared" si="18"/>
        <v>16.147002655524702</v>
      </c>
      <c r="Y84" s="22">
        <v>337.57600000000002</v>
      </c>
      <c r="Z84" s="22">
        <v>350.74220000000003</v>
      </c>
      <c r="AA84" s="22">
        <v>381.8734</v>
      </c>
      <c r="AB84" s="22">
        <v>388.40460000000002</v>
      </c>
      <c r="AC84" s="22">
        <v>336.00880000000001</v>
      </c>
      <c r="AD84" s="22">
        <v>459.40899999999999</v>
      </c>
      <c r="AE84" s="22">
        <v>519.86833333333334</v>
      </c>
      <c r="AF84" s="22">
        <v>386.87880000000001</v>
      </c>
      <c r="AG84" s="22" t="s">
        <v>50</v>
      </c>
      <c r="AH84" s="22">
        <f>G84*T84</f>
        <v>107.19428000000016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136</v>
      </c>
      <c r="B85" s="1" t="s">
        <v>38</v>
      </c>
      <c r="C85" s="1">
        <v>51.250999999999998</v>
      </c>
      <c r="D85" s="1">
        <v>12.08</v>
      </c>
      <c r="E85" s="1">
        <v>29.661000000000001</v>
      </c>
      <c r="F85" s="1">
        <v>31.263999999999999</v>
      </c>
      <c r="G85" s="8">
        <v>1</v>
      </c>
      <c r="H85" s="1">
        <v>60</v>
      </c>
      <c r="I85" s="1" t="s">
        <v>39</v>
      </c>
      <c r="J85" s="1"/>
      <c r="K85" s="1">
        <v>29.716000000000001</v>
      </c>
      <c r="L85" s="1">
        <f t="shared" si="14"/>
        <v>-5.4999999999999716E-2</v>
      </c>
      <c r="M85" s="1">
        <f t="shared" si="15"/>
        <v>29.661000000000001</v>
      </c>
      <c r="N85" s="1"/>
      <c r="O85" s="1"/>
      <c r="P85" s="1"/>
      <c r="Q85" s="1">
        <v>14.599799999999989</v>
      </c>
      <c r="R85" s="1"/>
      <c r="S85" s="1">
        <f t="shared" si="16"/>
        <v>5.9321999999999999</v>
      </c>
      <c r="T85" s="5">
        <f t="shared" si="13"/>
        <v>25.322600000000005</v>
      </c>
      <c r="U85" s="5"/>
      <c r="V85" s="1"/>
      <c r="W85" s="1">
        <f t="shared" si="17"/>
        <v>11.999999999999998</v>
      </c>
      <c r="X85" s="1">
        <f t="shared" si="18"/>
        <v>7.7313307036175436</v>
      </c>
      <c r="Y85" s="1">
        <v>5.2758000000000003</v>
      </c>
      <c r="Z85" s="1">
        <v>4.6240000000000014</v>
      </c>
      <c r="AA85" s="1">
        <v>5.1020000000000003</v>
      </c>
      <c r="AB85" s="1">
        <v>5.7572000000000001</v>
      </c>
      <c r="AC85" s="1">
        <v>5.8224</v>
      </c>
      <c r="AD85" s="1">
        <v>4.7101666666666659</v>
      </c>
      <c r="AE85" s="1">
        <v>5.1921666666666662</v>
      </c>
      <c r="AF85" s="1">
        <v>6.5578000000000003</v>
      </c>
      <c r="AG85" s="1"/>
      <c r="AH85" s="1">
        <f>G85*T85</f>
        <v>25.322600000000005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22" t="s">
        <v>137</v>
      </c>
      <c r="B86" s="22" t="s">
        <v>44</v>
      </c>
      <c r="C86" s="22">
        <v>225</v>
      </c>
      <c r="D86" s="22">
        <v>508</v>
      </c>
      <c r="E86" s="22">
        <v>240</v>
      </c>
      <c r="F86" s="22">
        <v>383</v>
      </c>
      <c r="G86" s="23">
        <v>0.3</v>
      </c>
      <c r="H86" s="22">
        <v>40</v>
      </c>
      <c r="I86" s="22" t="s">
        <v>39</v>
      </c>
      <c r="J86" s="22"/>
      <c r="K86" s="22">
        <v>260</v>
      </c>
      <c r="L86" s="22">
        <f t="shared" si="14"/>
        <v>-20</v>
      </c>
      <c r="M86" s="22">
        <f t="shared" si="15"/>
        <v>240</v>
      </c>
      <c r="N86" s="22"/>
      <c r="O86" s="22"/>
      <c r="P86" s="22">
        <v>100</v>
      </c>
      <c r="Q86" s="22">
        <v>125.4999999999999</v>
      </c>
      <c r="R86" s="22">
        <v>100</v>
      </c>
      <c r="S86" s="22">
        <f t="shared" si="16"/>
        <v>48</v>
      </c>
      <c r="T86" s="24">
        <f>11*S86*1.5-R86-Q86-P86-O86-F86</f>
        <v>83.500000000000114</v>
      </c>
      <c r="U86" s="24"/>
      <c r="V86" s="22"/>
      <c r="W86" s="22">
        <f t="shared" si="17"/>
        <v>16.5</v>
      </c>
      <c r="X86" s="22">
        <f t="shared" si="18"/>
        <v>14.760416666666664</v>
      </c>
      <c r="Y86" s="22">
        <v>51.4</v>
      </c>
      <c r="Z86" s="22">
        <v>60.2</v>
      </c>
      <c r="AA86" s="22">
        <v>59.4</v>
      </c>
      <c r="AB86" s="22">
        <v>59.4</v>
      </c>
      <c r="AC86" s="22">
        <v>55.4</v>
      </c>
      <c r="AD86" s="22">
        <v>68.5</v>
      </c>
      <c r="AE86" s="22">
        <v>81.166666666666671</v>
      </c>
      <c r="AF86" s="22">
        <v>69.2</v>
      </c>
      <c r="AG86" s="22" t="s">
        <v>40</v>
      </c>
      <c r="AH86" s="22">
        <f>G86*T86</f>
        <v>25.050000000000033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138</v>
      </c>
      <c r="B87" s="1" t="s">
        <v>44</v>
      </c>
      <c r="C87" s="1">
        <v>200</v>
      </c>
      <c r="D87" s="1">
        <v>88</v>
      </c>
      <c r="E87" s="1">
        <v>81</v>
      </c>
      <c r="F87" s="1">
        <v>146</v>
      </c>
      <c r="G87" s="8">
        <v>7.0000000000000007E-2</v>
      </c>
      <c r="H87" s="1">
        <v>90</v>
      </c>
      <c r="I87" s="1" t="s">
        <v>39</v>
      </c>
      <c r="J87" s="1"/>
      <c r="K87" s="1">
        <v>82</v>
      </c>
      <c r="L87" s="1">
        <f t="shared" si="14"/>
        <v>-1</v>
      </c>
      <c r="M87" s="1">
        <f t="shared" si="15"/>
        <v>81</v>
      </c>
      <c r="N87" s="1"/>
      <c r="O87" s="1"/>
      <c r="P87" s="1"/>
      <c r="Q87" s="1">
        <v>11.599999999999991</v>
      </c>
      <c r="R87" s="1"/>
      <c r="S87" s="1">
        <f t="shared" si="16"/>
        <v>16.2</v>
      </c>
      <c r="T87" s="5">
        <f t="shared" si="13"/>
        <v>36.799999999999983</v>
      </c>
      <c r="U87" s="5"/>
      <c r="V87" s="1"/>
      <c r="W87" s="1">
        <f t="shared" si="17"/>
        <v>12</v>
      </c>
      <c r="X87" s="1">
        <f t="shared" si="18"/>
        <v>9.7283950617283956</v>
      </c>
      <c r="Y87" s="1">
        <v>17.399999999999999</v>
      </c>
      <c r="Z87" s="1">
        <v>18.399999999999999</v>
      </c>
      <c r="AA87" s="1">
        <v>17.8</v>
      </c>
      <c r="AB87" s="1">
        <v>20</v>
      </c>
      <c r="AC87" s="1">
        <v>20</v>
      </c>
      <c r="AD87" s="1">
        <v>30.666666666666671</v>
      </c>
      <c r="AE87" s="1">
        <v>36</v>
      </c>
      <c r="AF87" s="1">
        <v>29.8</v>
      </c>
      <c r="AG87" s="1"/>
      <c r="AH87" s="1">
        <f>G87*T87</f>
        <v>2.5759999999999992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139</v>
      </c>
      <c r="B88" s="1" t="s">
        <v>44</v>
      </c>
      <c r="C88" s="1">
        <v>268</v>
      </c>
      <c r="D88" s="1">
        <v>72</v>
      </c>
      <c r="E88" s="1">
        <v>122</v>
      </c>
      <c r="F88" s="1">
        <v>213</v>
      </c>
      <c r="G88" s="8">
        <v>7.0000000000000007E-2</v>
      </c>
      <c r="H88" s="1">
        <v>90</v>
      </c>
      <c r="I88" s="1" t="s">
        <v>39</v>
      </c>
      <c r="J88" s="1"/>
      <c r="K88" s="1">
        <v>123</v>
      </c>
      <c r="L88" s="1">
        <f t="shared" si="14"/>
        <v>-1</v>
      </c>
      <c r="M88" s="1">
        <f t="shared" si="15"/>
        <v>122</v>
      </c>
      <c r="N88" s="1"/>
      <c r="O88" s="1"/>
      <c r="P88" s="1"/>
      <c r="Q88" s="1">
        <v>8.6000000000000227</v>
      </c>
      <c r="R88" s="1"/>
      <c r="S88" s="1">
        <f t="shared" si="16"/>
        <v>24.4</v>
      </c>
      <c r="T88" s="5">
        <f t="shared" si="13"/>
        <v>71.199999999999932</v>
      </c>
      <c r="U88" s="5"/>
      <c r="V88" s="1"/>
      <c r="W88" s="1">
        <f t="shared" si="17"/>
        <v>11.999999999999998</v>
      </c>
      <c r="X88" s="1">
        <f t="shared" si="18"/>
        <v>9.0819672131147549</v>
      </c>
      <c r="Y88" s="1">
        <v>23.6</v>
      </c>
      <c r="Z88" s="1">
        <v>26</v>
      </c>
      <c r="AA88" s="1">
        <v>27.2</v>
      </c>
      <c r="AB88" s="1">
        <v>24.2</v>
      </c>
      <c r="AC88" s="1">
        <v>23</v>
      </c>
      <c r="AD88" s="1">
        <v>40.5</v>
      </c>
      <c r="AE88" s="1">
        <v>46.5</v>
      </c>
      <c r="AF88" s="1">
        <v>45.2</v>
      </c>
      <c r="AG88" s="1"/>
      <c r="AH88" s="1">
        <f>G88*T88</f>
        <v>4.9839999999999955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140</v>
      </c>
      <c r="B89" s="1" t="s">
        <v>44</v>
      </c>
      <c r="C89" s="1">
        <v>302</v>
      </c>
      <c r="D89" s="1">
        <v>72</v>
      </c>
      <c r="E89" s="1">
        <v>78</v>
      </c>
      <c r="F89" s="1">
        <v>217</v>
      </c>
      <c r="G89" s="8">
        <v>7.0000000000000007E-2</v>
      </c>
      <c r="H89" s="1">
        <v>90</v>
      </c>
      <c r="I89" s="1" t="s">
        <v>39</v>
      </c>
      <c r="J89" s="1"/>
      <c r="K89" s="1">
        <v>79</v>
      </c>
      <c r="L89" s="1">
        <f t="shared" si="14"/>
        <v>-1</v>
      </c>
      <c r="M89" s="1">
        <f t="shared" si="15"/>
        <v>78</v>
      </c>
      <c r="N89" s="1"/>
      <c r="O89" s="1"/>
      <c r="P89" s="1"/>
      <c r="Q89" s="1">
        <v>0</v>
      </c>
      <c r="R89" s="1"/>
      <c r="S89" s="1">
        <f t="shared" si="16"/>
        <v>15.6</v>
      </c>
      <c r="T89" s="5"/>
      <c r="U89" s="5"/>
      <c r="V89" s="1"/>
      <c r="W89" s="1">
        <f t="shared" si="17"/>
        <v>13.910256410256411</v>
      </c>
      <c r="X89" s="1">
        <f t="shared" si="18"/>
        <v>13.910256410256411</v>
      </c>
      <c r="Y89" s="1">
        <v>15</v>
      </c>
      <c r="Z89" s="1">
        <v>14.6</v>
      </c>
      <c r="AA89" s="1">
        <v>16.8</v>
      </c>
      <c r="AB89" s="1">
        <v>20.8</v>
      </c>
      <c r="AC89" s="1">
        <v>21</v>
      </c>
      <c r="AD89" s="1">
        <v>35.833333333333343</v>
      </c>
      <c r="AE89" s="1">
        <v>41.166666666666657</v>
      </c>
      <c r="AF89" s="1">
        <v>31</v>
      </c>
      <c r="AG89" s="18" t="s">
        <v>54</v>
      </c>
      <c r="AH89" s="1">
        <f>G89*T89</f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141</v>
      </c>
      <c r="B90" s="1" t="s">
        <v>44</v>
      </c>
      <c r="C90" s="1">
        <v>292</v>
      </c>
      <c r="D90" s="1"/>
      <c r="E90" s="1">
        <v>61</v>
      </c>
      <c r="F90" s="1">
        <v>225</v>
      </c>
      <c r="G90" s="8">
        <v>0.05</v>
      </c>
      <c r="H90" s="1">
        <v>90</v>
      </c>
      <c r="I90" s="1" t="s">
        <v>39</v>
      </c>
      <c r="J90" s="1"/>
      <c r="K90" s="1">
        <v>61</v>
      </c>
      <c r="L90" s="1">
        <f t="shared" si="14"/>
        <v>0</v>
      </c>
      <c r="M90" s="1">
        <f t="shared" si="15"/>
        <v>61</v>
      </c>
      <c r="N90" s="1"/>
      <c r="O90" s="1"/>
      <c r="P90" s="1"/>
      <c r="Q90" s="1">
        <v>0</v>
      </c>
      <c r="R90" s="1"/>
      <c r="S90" s="1">
        <f t="shared" si="16"/>
        <v>12.2</v>
      </c>
      <c r="T90" s="5"/>
      <c r="U90" s="5"/>
      <c r="V90" s="1"/>
      <c r="W90" s="1">
        <f t="shared" si="17"/>
        <v>18.442622950819672</v>
      </c>
      <c r="X90" s="1">
        <f t="shared" si="18"/>
        <v>18.442622950819672</v>
      </c>
      <c r="Y90" s="1">
        <v>11.4</v>
      </c>
      <c r="Z90" s="1">
        <v>8.4</v>
      </c>
      <c r="AA90" s="1">
        <v>11</v>
      </c>
      <c r="AB90" s="1">
        <v>12</v>
      </c>
      <c r="AC90" s="1">
        <v>12.6</v>
      </c>
      <c r="AD90" s="1">
        <v>29.166666666666671</v>
      </c>
      <c r="AE90" s="1">
        <v>32.833333333333343</v>
      </c>
      <c r="AF90" s="1">
        <v>26.2</v>
      </c>
      <c r="AG90" s="18" t="s">
        <v>54</v>
      </c>
      <c r="AH90" s="1">
        <f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142</v>
      </c>
      <c r="B91" s="1" t="s">
        <v>44</v>
      </c>
      <c r="C91" s="1">
        <v>248</v>
      </c>
      <c r="D91" s="1">
        <v>29</v>
      </c>
      <c r="E91" s="1">
        <v>66</v>
      </c>
      <c r="F91" s="1">
        <v>171</v>
      </c>
      <c r="G91" s="8">
        <v>0.05</v>
      </c>
      <c r="H91" s="1">
        <v>90</v>
      </c>
      <c r="I91" s="1" t="s">
        <v>39</v>
      </c>
      <c r="J91" s="1"/>
      <c r="K91" s="1">
        <v>68</v>
      </c>
      <c r="L91" s="1">
        <f t="shared" si="14"/>
        <v>-2</v>
      </c>
      <c r="M91" s="1">
        <f t="shared" si="15"/>
        <v>66</v>
      </c>
      <c r="N91" s="1"/>
      <c r="O91" s="1"/>
      <c r="P91" s="1"/>
      <c r="Q91" s="1">
        <v>0</v>
      </c>
      <c r="R91" s="1"/>
      <c r="S91" s="1">
        <f t="shared" si="16"/>
        <v>13.2</v>
      </c>
      <c r="T91" s="5"/>
      <c r="U91" s="5"/>
      <c r="V91" s="1"/>
      <c r="W91" s="1">
        <f t="shared" si="17"/>
        <v>12.954545454545455</v>
      </c>
      <c r="X91" s="1">
        <f t="shared" si="18"/>
        <v>12.954545454545455</v>
      </c>
      <c r="Y91" s="1">
        <v>11.6</v>
      </c>
      <c r="Z91" s="1">
        <v>13</v>
      </c>
      <c r="AA91" s="1">
        <v>19</v>
      </c>
      <c r="AB91" s="1">
        <v>17.600000000000001</v>
      </c>
      <c r="AC91" s="1">
        <v>15.2</v>
      </c>
      <c r="AD91" s="1">
        <v>30.833333333333329</v>
      </c>
      <c r="AE91" s="1">
        <v>40.833333333333343</v>
      </c>
      <c r="AF91" s="1">
        <v>40.799999999999997</v>
      </c>
      <c r="AG91" s="1"/>
      <c r="AH91" s="1">
        <f>G91*T91</f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143</v>
      </c>
      <c r="B92" s="1" t="s">
        <v>44</v>
      </c>
      <c r="C92" s="1">
        <v>329</v>
      </c>
      <c r="D92" s="1"/>
      <c r="E92" s="1">
        <v>40</v>
      </c>
      <c r="F92" s="1">
        <v>275</v>
      </c>
      <c r="G92" s="8">
        <v>5.5E-2</v>
      </c>
      <c r="H92" s="1">
        <v>90</v>
      </c>
      <c r="I92" s="1" t="s">
        <v>39</v>
      </c>
      <c r="J92" s="1"/>
      <c r="K92" s="1">
        <v>53</v>
      </c>
      <c r="L92" s="1">
        <f t="shared" si="14"/>
        <v>-13</v>
      </c>
      <c r="M92" s="1">
        <f t="shared" si="15"/>
        <v>40</v>
      </c>
      <c r="N92" s="1"/>
      <c r="O92" s="1"/>
      <c r="P92" s="1"/>
      <c r="Q92" s="1">
        <v>0</v>
      </c>
      <c r="R92" s="1"/>
      <c r="S92" s="1">
        <f t="shared" si="16"/>
        <v>8</v>
      </c>
      <c r="T92" s="5"/>
      <c r="U92" s="5"/>
      <c r="V92" s="1"/>
      <c r="W92" s="1">
        <f t="shared" si="17"/>
        <v>34.375</v>
      </c>
      <c r="X92" s="1">
        <f t="shared" si="18"/>
        <v>34.375</v>
      </c>
      <c r="Y92" s="1">
        <v>8.6</v>
      </c>
      <c r="Z92" s="1">
        <v>6.6</v>
      </c>
      <c r="AA92" s="1">
        <v>8.8000000000000007</v>
      </c>
      <c r="AB92" s="1">
        <v>14</v>
      </c>
      <c r="AC92" s="1">
        <v>13.6</v>
      </c>
      <c r="AD92" s="1">
        <v>32.666666666666657</v>
      </c>
      <c r="AE92" s="1">
        <v>36.833333333333343</v>
      </c>
      <c r="AF92" s="1">
        <v>27.8</v>
      </c>
      <c r="AG92" s="25" t="s">
        <v>57</v>
      </c>
      <c r="AH92" s="1">
        <f>G92*T92</f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144</v>
      </c>
      <c r="B93" s="10" t="s">
        <v>44</v>
      </c>
      <c r="C93" s="10">
        <v>120</v>
      </c>
      <c r="D93" s="10"/>
      <c r="E93" s="10">
        <v>19</v>
      </c>
      <c r="F93" s="10">
        <v>97</v>
      </c>
      <c r="G93" s="11">
        <v>0</v>
      </c>
      <c r="H93" s="10" t="e">
        <v>#N/A</v>
      </c>
      <c r="I93" s="10" t="s">
        <v>80</v>
      </c>
      <c r="J93" s="10"/>
      <c r="K93" s="10">
        <v>19</v>
      </c>
      <c r="L93" s="10">
        <f t="shared" si="14"/>
        <v>0</v>
      </c>
      <c r="M93" s="10">
        <f t="shared" si="15"/>
        <v>19</v>
      </c>
      <c r="N93" s="10"/>
      <c r="O93" s="10"/>
      <c r="P93" s="10"/>
      <c r="Q93" s="10">
        <v>0</v>
      </c>
      <c r="R93" s="10"/>
      <c r="S93" s="10">
        <f t="shared" si="16"/>
        <v>3.8</v>
      </c>
      <c r="T93" s="12"/>
      <c r="U93" s="12"/>
      <c r="V93" s="10"/>
      <c r="W93" s="10">
        <f t="shared" si="17"/>
        <v>25.526315789473685</v>
      </c>
      <c r="X93" s="10">
        <f t="shared" si="18"/>
        <v>25.526315789473685</v>
      </c>
      <c r="Y93" s="10">
        <v>3.8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8" t="s">
        <v>154</v>
      </c>
      <c r="AH93" s="10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0" t="s">
        <v>145</v>
      </c>
      <c r="B94" s="10" t="s">
        <v>44</v>
      </c>
      <c r="C94" s="10">
        <v>-3</v>
      </c>
      <c r="D94" s="10">
        <v>30</v>
      </c>
      <c r="E94" s="10"/>
      <c r="F94" s="10"/>
      <c r="G94" s="11">
        <v>0</v>
      </c>
      <c r="H94" s="10" t="e">
        <v>#N/A</v>
      </c>
      <c r="I94" s="10" t="s">
        <v>80</v>
      </c>
      <c r="J94" s="10"/>
      <c r="K94" s="10"/>
      <c r="L94" s="10">
        <f t="shared" si="14"/>
        <v>0</v>
      </c>
      <c r="M94" s="10">
        <f t="shared" si="15"/>
        <v>0</v>
      </c>
      <c r="N94" s="10"/>
      <c r="O94" s="10"/>
      <c r="P94" s="10"/>
      <c r="Q94" s="10">
        <v>0</v>
      </c>
      <c r="R94" s="10"/>
      <c r="S94" s="10">
        <f t="shared" si="16"/>
        <v>0</v>
      </c>
      <c r="T94" s="12"/>
      <c r="U94" s="12"/>
      <c r="V94" s="10"/>
      <c r="W94" s="10" t="e">
        <f t="shared" si="17"/>
        <v>#DIV/0!</v>
      </c>
      <c r="X94" s="10" t="e">
        <f t="shared" si="18"/>
        <v>#DIV/0!</v>
      </c>
      <c r="Y94" s="10">
        <v>0</v>
      </c>
      <c r="Z94" s="10">
        <v>0.6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/>
      <c r="AH94" s="10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22" t="s">
        <v>146</v>
      </c>
      <c r="B95" s="22" t="s">
        <v>38</v>
      </c>
      <c r="C95" s="22">
        <v>3446.241</v>
      </c>
      <c r="D95" s="22">
        <v>1744.462</v>
      </c>
      <c r="E95" s="22">
        <v>2143.2939999999999</v>
      </c>
      <c r="F95" s="22">
        <v>2776.25</v>
      </c>
      <c r="G95" s="23">
        <v>1</v>
      </c>
      <c r="H95" s="22">
        <v>40</v>
      </c>
      <c r="I95" s="22" t="s">
        <v>39</v>
      </c>
      <c r="J95" s="22"/>
      <c r="K95" s="22">
        <v>2120.5059999999999</v>
      </c>
      <c r="L95" s="22">
        <f t="shared" si="14"/>
        <v>22.788000000000011</v>
      </c>
      <c r="M95" s="22">
        <f t="shared" si="15"/>
        <v>2075.576</v>
      </c>
      <c r="N95" s="22">
        <v>67.718000000000004</v>
      </c>
      <c r="O95" s="22"/>
      <c r="P95" s="22">
        <v>1400</v>
      </c>
      <c r="Q95" s="22">
        <v>1513.9214916000001</v>
      </c>
      <c r="R95" s="22">
        <v>1400</v>
      </c>
      <c r="S95" s="22">
        <f t="shared" si="16"/>
        <v>415.11520000000002</v>
      </c>
      <c r="T95" s="24"/>
      <c r="U95" s="24"/>
      <c r="V95" s="22"/>
      <c r="W95" s="22">
        <f t="shared" si="17"/>
        <v>17.080009336203542</v>
      </c>
      <c r="X95" s="22">
        <f t="shared" si="18"/>
        <v>17.080009336203542</v>
      </c>
      <c r="Y95" s="22">
        <v>481.36040000000003</v>
      </c>
      <c r="Z95" s="22">
        <v>449.9452</v>
      </c>
      <c r="AA95" s="22">
        <v>463.87920000000003</v>
      </c>
      <c r="AB95" s="22">
        <v>508.7688</v>
      </c>
      <c r="AC95" s="22">
        <v>393.01440000000002</v>
      </c>
      <c r="AD95" s="22">
        <v>322.64249999999998</v>
      </c>
      <c r="AE95" s="22">
        <v>397.798</v>
      </c>
      <c r="AF95" s="22">
        <v>445.56380000000001</v>
      </c>
      <c r="AG95" s="22" t="s">
        <v>50</v>
      </c>
      <c r="AH95" s="22">
        <f>G95*T95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3" t="s">
        <v>147</v>
      </c>
      <c r="B96" s="13" t="s">
        <v>38</v>
      </c>
      <c r="C96" s="13"/>
      <c r="D96" s="13"/>
      <c r="E96" s="13"/>
      <c r="F96" s="13"/>
      <c r="G96" s="14">
        <v>0</v>
      </c>
      <c r="H96" s="13">
        <v>60</v>
      </c>
      <c r="I96" s="13" t="s">
        <v>39</v>
      </c>
      <c r="J96" s="13"/>
      <c r="K96" s="13"/>
      <c r="L96" s="13">
        <f t="shared" si="14"/>
        <v>0</v>
      </c>
      <c r="M96" s="13">
        <f t="shared" si="15"/>
        <v>0</v>
      </c>
      <c r="N96" s="13"/>
      <c r="O96" s="13"/>
      <c r="P96" s="13"/>
      <c r="Q96" s="13">
        <v>0</v>
      </c>
      <c r="R96" s="13"/>
      <c r="S96" s="13">
        <f t="shared" si="16"/>
        <v>0</v>
      </c>
      <c r="T96" s="15"/>
      <c r="U96" s="15"/>
      <c r="V96" s="13"/>
      <c r="W96" s="13" t="e">
        <f t="shared" si="17"/>
        <v>#DIV/0!</v>
      </c>
      <c r="X96" s="13" t="e">
        <f t="shared" si="18"/>
        <v>#DIV/0!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 t="s">
        <v>148</v>
      </c>
      <c r="AH96" s="13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149</v>
      </c>
      <c r="B97" s="1" t="s">
        <v>44</v>
      </c>
      <c r="C97" s="1">
        <v>441</v>
      </c>
      <c r="D97" s="1">
        <v>460</v>
      </c>
      <c r="E97" s="1">
        <v>374</v>
      </c>
      <c r="F97" s="1">
        <v>470</v>
      </c>
      <c r="G97" s="8">
        <v>0.3</v>
      </c>
      <c r="H97" s="1">
        <v>40</v>
      </c>
      <c r="I97" s="1" t="s">
        <v>39</v>
      </c>
      <c r="J97" s="1"/>
      <c r="K97" s="1">
        <v>396</v>
      </c>
      <c r="L97" s="1">
        <f t="shared" si="14"/>
        <v>-22</v>
      </c>
      <c r="M97" s="1">
        <f t="shared" si="15"/>
        <v>374</v>
      </c>
      <c r="N97" s="1"/>
      <c r="O97" s="1"/>
      <c r="P97" s="1"/>
      <c r="Q97" s="1">
        <v>116</v>
      </c>
      <c r="R97" s="1">
        <v>50</v>
      </c>
      <c r="S97" s="1">
        <f t="shared" si="16"/>
        <v>74.8</v>
      </c>
      <c r="T97" s="5">
        <f t="shared" ref="T97:T101" si="20">12*S97-R97-Q97-P97-O97-F97</f>
        <v>261.59999999999991</v>
      </c>
      <c r="U97" s="5"/>
      <c r="V97" s="1"/>
      <c r="W97" s="1">
        <f t="shared" si="17"/>
        <v>12</v>
      </c>
      <c r="X97" s="1">
        <f t="shared" si="18"/>
        <v>8.502673796791445</v>
      </c>
      <c r="Y97" s="1">
        <v>75.599999999999994</v>
      </c>
      <c r="Z97" s="1">
        <v>77.8</v>
      </c>
      <c r="AA97" s="1">
        <v>77.599999999999994</v>
      </c>
      <c r="AB97" s="1">
        <v>73.8</v>
      </c>
      <c r="AC97" s="1">
        <v>72</v>
      </c>
      <c r="AD97" s="1">
        <v>89.833333333333329</v>
      </c>
      <c r="AE97" s="1">
        <v>98.666666666666671</v>
      </c>
      <c r="AF97" s="1">
        <v>82.6</v>
      </c>
      <c r="AG97" s="1"/>
      <c r="AH97" s="1">
        <f>G97*T97</f>
        <v>78.479999999999976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150</v>
      </c>
      <c r="B98" s="1" t="s">
        <v>44</v>
      </c>
      <c r="C98" s="1">
        <v>356</v>
      </c>
      <c r="D98" s="1">
        <v>411</v>
      </c>
      <c r="E98" s="1">
        <v>276</v>
      </c>
      <c r="F98" s="1">
        <v>315</v>
      </c>
      <c r="G98" s="8">
        <v>0.3</v>
      </c>
      <c r="H98" s="1">
        <v>40</v>
      </c>
      <c r="I98" s="1" t="s">
        <v>39</v>
      </c>
      <c r="J98" s="1"/>
      <c r="K98" s="1">
        <v>302</v>
      </c>
      <c r="L98" s="1">
        <f t="shared" si="14"/>
        <v>-26</v>
      </c>
      <c r="M98" s="1">
        <f t="shared" si="15"/>
        <v>276</v>
      </c>
      <c r="N98" s="1"/>
      <c r="O98" s="1"/>
      <c r="P98" s="1"/>
      <c r="Q98" s="1">
        <v>85.999999999999886</v>
      </c>
      <c r="R98" s="1">
        <v>50</v>
      </c>
      <c r="S98" s="1">
        <f t="shared" si="16"/>
        <v>55.2</v>
      </c>
      <c r="T98" s="5">
        <f t="shared" si="20"/>
        <v>211.4000000000002</v>
      </c>
      <c r="U98" s="5"/>
      <c r="V98" s="1"/>
      <c r="W98" s="1">
        <f t="shared" si="17"/>
        <v>12.000000000000002</v>
      </c>
      <c r="X98" s="1">
        <f t="shared" si="18"/>
        <v>8.1702898550724612</v>
      </c>
      <c r="Y98" s="1">
        <v>55.4</v>
      </c>
      <c r="Z98" s="1">
        <v>56.2</v>
      </c>
      <c r="AA98" s="1">
        <v>57.2</v>
      </c>
      <c r="AB98" s="1">
        <v>58.2</v>
      </c>
      <c r="AC98" s="1">
        <v>53.2</v>
      </c>
      <c r="AD98" s="1">
        <v>67.333333333333329</v>
      </c>
      <c r="AE98" s="1">
        <v>82.166666666666671</v>
      </c>
      <c r="AF98" s="1">
        <v>68.599999999999994</v>
      </c>
      <c r="AG98" s="1"/>
      <c r="AH98" s="1">
        <f>G98*T98</f>
        <v>63.420000000000059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151</v>
      </c>
      <c r="B99" s="1" t="s">
        <v>38</v>
      </c>
      <c r="C99" s="1">
        <v>436.17200000000003</v>
      </c>
      <c r="D99" s="1">
        <v>199.76</v>
      </c>
      <c r="E99" s="1">
        <v>211.001</v>
      </c>
      <c r="F99" s="1">
        <v>398.185</v>
      </c>
      <c r="G99" s="8">
        <v>1</v>
      </c>
      <c r="H99" s="1">
        <v>50</v>
      </c>
      <c r="I99" s="1" t="s">
        <v>39</v>
      </c>
      <c r="J99" s="1"/>
      <c r="K99" s="1">
        <v>208.95</v>
      </c>
      <c r="L99" s="1">
        <f t="shared" si="14"/>
        <v>2.0510000000000161</v>
      </c>
      <c r="M99" s="1">
        <f t="shared" si="15"/>
        <v>211.001</v>
      </c>
      <c r="N99" s="1"/>
      <c r="O99" s="1"/>
      <c r="P99" s="1"/>
      <c r="Q99" s="1">
        <v>46.913040000000052</v>
      </c>
      <c r="R99" s="1">
        <v>50</v>
      </c>
      <c r="S99" s="1">
        <f t="shared" si="16"/>
        <v>42.200200000000002</v>
      </c>
      <c r="T99" s="5">
        <f t="shared" si="20"/>
        <v>11.304360000000031</v>
      </c>
      <c r="U99" s="5"/>
      <c r="V99" s="1"/>
      <c r="W99" s="1">
        <f t="shared" si="17"/>
        <v>12.000000000000002</v>
      </c>
      <c r="X99" s="1">
        <f t="shared" si="18"/>
        <v>11.732125440163792</v>
      </c>
      <c r="Y99" s="1">
        <v>44.520200000000003</v>
      </c>
      <c r="Z99" s="1">
        <v>44.323399999999999</v>
      </c>
      <c r="AA99" s="1">
        <v>43.525599999999997</v>
      </c>
      <c r="AB99" s="1">
        <v>50.857399999999998</v>
      </c>
      <c r="AC99" s="1">
        <v>52.645799999999987</v>
      </c>
      <c r="AD99" s="1">
        <v>50.757833333333338</v>
      </c>
      <c r="AE99" s="1">
        <v>55.884666666666668</v>
      </c>
      <c r="AF99" s="1">
        <v>55.122599999999998</v>
      </c>
      <c r="AG99" s="1"/>
      <c r="AH99" s="1">
        <f>G99*T99</f>
        <v>11.304360000000031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152</v>
      </c>
      <c r="B100" s="1" t="s">
        <v>44</v>
      </c>
      <c r="C100" s="1">
        <v>219</v>
      </c>
      <c r="D100" s="1">
        <v>499</v>
      </c>
      <c r="E100" s="1">
        <v>232</v>
      </c>
      <c r="F100" s="1">
        <v>423</v>
      </c>
      <c r="G100" s="8">
        <v>0.3</v>
      </c>
      <c r="H100" s="1">
        <v>40</v>
      </c>
      <c r="I100" s="1" t="s">
        <v>39</v>
      </c>
      <c r="J100" s="1"/>
      <c r="K100" s="1">
        <v>247</v>
      </c>
      <c r="L100" s="1">
        <f t="shared" si="14"/>
        <v>-15</v>
      </c>
      <c r="M100" s="1">
        <f t="shared" si="15"/>
        <v>232</v>
      </c>
      <c r="N100" s="1"/>
      <c r="O100" s="1"/>
      <c r="P100" s="1"/>
      <c r="Q100" s="1">
        <v>10.599999999999969</v>
      </c>
      <c r="R100" s="1"/>
      <c r="S100" s="1">
        <f t="shared" si="16"/>
        <v>46.4</v>
      </c>
      <c r="T100" s="5">
        <f t="shared" si="20"/>
        <v>123.19999999999993</v>
      </c>
      <c r="U100" s="5"/>
      <c r="V100" s="1"/>
      <c r="W100" s="1">
        <f t="shared" si="17"/>
        <v>12</v>
      </c>
      <c r="X100" s="1">
        <f t="shared" si="18"/>
        <v>9.3448275862068968</v>
      </c>
      <c r="Y100" s="1">
        <v>50.4</v>
      </c>
      <c r="Z100" s="1">
        <v>62</v>
      </c>
      <c r="AA100" s="1">
        <v>66.400000000000006</v>
      </c>
      <c r="AB100" s="1">
        <v>46.8</v>
      </c>
      <c r="AC100" s="1">
        <v>37.6</v>
      </c>
      <c r="AD100" s="1">
        <v>59.333333333333343</v>
      </c>
      <c r="AE100" s="1">
        <v>72</v>
      </c>
      <c r="AF100" s="1">
        <v>64.8</v>
      </c>
      <c r="AG100" s="1"/>
      <c r="AH100" s="1">
        <f>G100*T100</f>
        <v>36.95999999999998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153</v>
      </c>
      <c r="B101" s="1" t="s">
        <v>44</v>
      </c>
      <c r="C101" s="1">
        <v>59</v>
      </c>
      <c r="D101" s="1">
        <v>45</v>
      </c>
      <c r="E101" s="1">
        <v>42</v>
      </c>
      <c r="F101" s="1">
        <v>55</v>
      </c>
      <c r="G101" s="8">
        <v>0.12</v>
      </c>
      <c r="H101" s="1">
        <v>45</v>
      </c>
      <c r="I101" s="1" t="s">
        <v>39</v>
      </c>
      <c r="J101" s="1"/>
      <c r="K101" s="1">
        <v>45</v>
      </c>
      <c r="L101" s="1">
        <f t="shared" si="14"/>
        <v>-3</v>
      </c>
      <c r="M101" s="1">
        <f t="shared" si="15"/>
        <v>42</v>
      </c>
      <c r="N101" s="1"/>
      <c r="O101" s="1"/>
      <c r="P101" s="1"/>
      <c r="Q101" s="1">
        <v>6.2000000000000028</v>
      </c>
      <c r="R101" s="1"/>
      <c r="S101" s="1">
        <f t="shared" si="16"/>
        <v>8.4</v>
      </c>
      <c r="T101" s="5">
        <f t="shared" si="20"/>
        <v>39.600000000000009</v>
      </c>
      <c r="U101" s="5"/>
      <c r="V101" s="1"/>
      <c r="W101" s="1">
        <f t="shared" si="17"/>
        <v>12</v>
      </c>
      <c r="X101" s="1">
        <f t="shared" si="18"/>
        <v>7.2857142857142856</v>
      </c>
      <c r="Y101" s="1">
        <v>7.2</v>
      </c>
      <c r="Z101" s="1">
        <v>6.6</v>
      </c>
      <c r="AA101" s="1">
        <v>9.1999999999999993</v>
      </c>
      <c r="AB101" s="1">
        <v>7.4</v>
      </c>
      <c r="AC101" s="1">
        <v>8</v>
      </c>
      <c r="AD101" s="1">
        <v>10.66666666666667</v>
      </c>
      <c r="AE101" s="1">
        <v>14.33333333333333</v>
      </c>
      <c r="AF101" s="1">
        <v>18</v>
      </c>
      <c r="AG101" s="1"/>
      <c r="AH101" s="1">
        <f>G101*T101</f>
        <v>4.7520000000000007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101" xr:uid="{C021ED2B-A684-43C0-B8A5-1DD4603A19B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2026-01-29T12:45:05Z</dcterms:created>
  <dcterms:modified xsi:type="dcterms:W3CDTF">2026-01-29T12:55:55Z</dcterms:modified>
</cp:coreProperties>
</file>