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2026\ЗАВОДЫ\ПОКОМ\филиалы НВ\01,26\27,01,26 ПОКОМ КИ филиалы\"/>
    </mc:Choice>
  </mc:AlternateContent>
  <xr:revisionPtr revIDLastSave="0" documentId="13_ncr:1_{9F2DEC48-094D-4741-A751-D8CBC597C12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Sheet!$A$3:$AI$101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98" i="1" l="1"/>
  <c r="Y98" i="1" s="1"/>
  <c r="Q99" i="1"/>
  <c r="Y99" i="1" s="1"/>
  <c r="Q100" i="1"/>
  <c r="Y100" i="1" s="1"/>
  <c r="Q101" i="1"/>
  <c r="Y101" i="1" s="1"/>
  <c r="T98" i="1"/>
  <c r="AI98" i="1" s="1"/>
  <c r="T99" i="1"/>
  <c r="AI99" i="1" s="1"/>
  <c r="T100" i="1"/>
  <c r="AI100" i="1" s="1"/>
  <c r="T101" i="1"/>
  <c r="AI101" i="1" s="1"/>
  <c r="X101" i="1" l="1"/>
  <c r="X99" i="1"/>
  <c r="X100" i="1"/>
  <c r="X98" i="1"/>
  <c r="T9" i="1"/>
  <c r="AI9" i="1" s="1"/>
  <c r="T18" i="1"/>
  <c r="T20" i="1"/>
  <c r="T21" i="1"/>
  <c r="AI21" i="1" s="1"/>
  <c r="T22" i="1"/>
  <c r="T24" i="1"/>
  <c r="T25" i="1"/>
  <c r="AI25" i="1" s="1"/>
  <c r="T26" i="1"/>
  <c r="T29" i="1"/>
  <c r="T33" i="1"/>
  <c r="AI33" i="1" s="1"/>
  <c r="T37" i="1"/>
  <c r="AI37" i="1" s="1"/>
  <c r="T38" i="1"/>
  <c r="T41" i="1"/>
  <c r="AI41" i="1" s="1"/>
  <c r="T43" i="1"/>
  <c r="AI43" i="1" s="1"/>
  <c r="T44" i="1"/>
  <c r="T46" i="1"/>
  <c r="T51" i="1"/>
  <c r="T52" i="1"/>
  <c r="AI52" i="1" s="1"/>
  <c r="T54" i="1"/>
  <c r="AI54" i="1" s="1"/>
  <c r="T55" i="1"/>
  <c r="T57" i="1"/>
  <c r="T60" i="1"/>
  <c r="AI60" i="1" s="1"/>
  <c r="T62" i="1"/>
  <c r="AI62" i="1" s="1"/>
  <c r="T67" i="1"/>
  <c r="T68" i="1"/>
  <c r="AI68" i="1" s="1"/>
  <c r="T69" i="1"/>
  <c r="T70" i="1"/>
  <c r="T71" i="1"/>
  <c r="T72" i="1"/>
  <c r="AI72" i="1" s="1"/>
  <c r="T73" i="1"/>
  <c r="T74" i="1"/>
  <c r="T75" i="1"/>
  <c r="T76" i="1"/>
  <c r="AI76" i="1" s="1"/>
  <c r="T77" i="1"/>
  <c r="T82" i="1"/>
  <c r="T84" i="1"/>
  <c r="AI84" i="1" s="1"/>
  <c r="T85" i="1"/>
  <c r="AI85" i="1" s="1"/>
  <c r="T86" i="1"/>
  <c r="AI86" i="1" s="1"/>
  <c r="T87" i="1"/>
  <c r="AI87" i="1" s="1"/>
  <c r="T88" i="1"/>
  <c r="AI88" i="1" s="1"/>
  <c r="T89" i="1"/>
  <c r="AI89" i="1" s="1"/>
  <c r="T90" i="1"/>
  <c r="AI90" i="1" s="1"/>
  <c r="T92" i="1"/>
  <c r="AI92" i="1" s="1"/>
  <c r="T95" i="1"/>
  <c r="AI95" i="1" s="1"/>
  <c r="T97" i="1"/>
  <c r="AI97" i="1" s="1"/>
  <c r="AI29" i="1"/>
  <c r="AI82" i="1" l="1"/>
  <c r="AI74" i="1"/>
  <c r="AI70" i="1"/>
  <c r="AI77" i="1"/>
  <c r="AI75" i="1"/>
  <c r="AI73" i="1"/>
  <c r="AI71" i="1"/>
  <c r="AI69" i="1"/>
  <c r="AI67" i="1"/>
  <c r="AI57" i="1"/>
  <c r="AI55" i="1"/>
  <c r="AI51" i="1"/>
  <c r="AI46" i="1"/>
  <c r="AI44" i="1"/>
  <c r="AI38" i="1"/>
  <c r="AI26" i="1"/>
  <c r="AI24" i="1"/>
  <c r="AI22" i="1"/>
  <c r="AI20" i="1"/>
  <c r="AI18" i="1"/>
  <c r="Q7" i="1"/>
  <c r="Q8" i="1"/>
  <c r="Q9" i="1"/>
  <c r="X9" i="1" s="1"/>
  <c r="Q10" i="1"/>
  <c r="Q11" i="1"/>
  <c r="Q12" i="1"/>
  <c r="R12" i="1" s="1"/>
  <c r="T12" i="1" s="1"/>
  <c r="X12" i="1" s="1"/>
  <c r="Q13" i="1"/>
  <c r="Q14" i="1"/>
  <c r="R14" i="1" s="1"/>
  <c r="T14" i="1" s="1"/>
  <c r="X14" i="1" s="1"/>
  <c r="Q15" i="1"/>
  <c r="Q16" i="1"/>
  <c r="Q17" i="1"/>
  <c r="R17" i="1" s="1"/>
  <c r="T17" i="1" s="1"/>
  <c r="Q18" i="1"/>
  <c r="X18" i="1" s="1"/>
  <c r="Q19" i="1"/>
  <c r="R19" i="1" s="1"/>
  <c r="T19" i="1" s="1"/>
  <c r="Q20" i="1"/>
  <c r="X20" i="1" s="1"/>
  <c r="Q21" i="1"/>
  <c r="X21" i="1" s="1"/>
  <c r="Q22" i="1"/>
  <c r="X22" i="1" s="1"/>
  <c r="Q23" i="1"/>
  <c r="Q24" i="1"/>
  <c r="X24" i="1" s="1"/>
  <c r="Q25" i="1"/>
  <c r="X25" i="1" s="1"/>
  <c r="Q26" i="1"/>
  <c r="X26" i="1" s="1"/>
  <c r="Q27" i="1"/>
  <c r="Q28" i="1"/>
  <c r="Q29" i="1"/>
  <c r="X29" i="1" s="1"/>
  <c r="Q30" i="1"/>
  <c r="R30" i="1" s="1"/>
  <c r="T30" i="1" s="1"/>
  <c r="X30" i="1" s="1"/>
  <c r="Q31" i="1"/>
  <c r="R31" i="1" s="1"/>
  <c r="T31" i="1" s="1"/>
  <c r="Q32" i="1"/>
  <c r="R32" i="1" s="1"/>
  <c r="T32" i="1" s="1"/>
  <c r="X32" i="1" s="1"/>
  <c r="Q33" i="1"/>
  <c r="X33" i="1" s="1"/>
  <c r="Q34" i="1"/>
  <c r="Q35" i="1"/>
  <c r="Q36" i="1"/>
  <c r="Q37" i="1"/>
  <c r="X37" i="1" s="1"/>
  <c r="Q38" i="1"/>
  <c r="X38" i="1" s="1"/>
  <c r="Q39" i="1"/>
  <c r="Q40" i="1"/>
  <c r="Q41" i="1"/>
  <c r="X41" i="1" s="1"/>
  <c r="Q42" i="1"/>
  <c r="Q43" i="1"/>
  <c r="X43" i="1" s="1"/>
  <c r="Q44" i="1"/>
  <c r="X44" i="1" s="1"/>
  <c r="Q45" i="1"/>
  <c r="R45" i="1" s="1"/>
  <c r="T45" i="1" s="1"/>
  <c r="Q46" i="1"/>
  <c r="X46" i="1" s="1"/>
  <c r="Q47" i="1"/>
  <c r="R47" i="1" s="1"/>
  <c r="T47" i="1" s="1"/>
  <c r="Q48" i="1"/>
  <c r="Q49" i="1"/>
  <c r="Q50" i="1"/>
  <c r="Q51" i="1"/>
  <c r="X51" i="1" s="1"/>
  <c r="Q52" i="1"/>
  <c r="X52" i="1" s="1"/>
  <c r="Q53" i="1"/>
  <c r="Q54" i="1"/>
  <c r="X54" i="1" s="1"/>
  <c r="Q55" i="1"/>
  <c r="X55" i="1" s="1"/>
  <c r="Q56" i="1"/>
  <c r="R56" i="1" s="1"/>
  <c r="T56" i="1" s="1"/>
  <c r="Q57" i="1"/>
  <c r="X57" i="1" s="1"/>
  <c r="Q58" i="1"/>
  <c r="Q59" i="1"/>
  <c r="Q60" i="1"/>
  <c r="X60" i="1" s="1"/>
  <c r="Q61" i="1"/>
  <c r="R61" i="1" s="1"/>
  <c r="T61" i="1" s="1"/>
  <c r="X61" i="1" s="1"/>
  <c r="Q62" i="1"/>
  <c r="X62" i="1" s="1"/>
  <c r="Q63" i="1"/>
  <c r="R63" i="1" s="1"/>
  <c r="T63" i="1" s="1"/>
  <c r="X63" i="1" s="1"/>
  <c r="Q64" i="1"/>
  <c r="Q65" i="1"/>
  <c r="R65" i="1" s="1"/>
  <c r="T65" i="1" s="1"/>
  <c r="X65" i="1" s="1"/>
  <c r="Q66" i="1"/>
  <c r="Q67" i="1"/>
  <c r="X67" i="1" s="1"/>
  <c r="Q68" i="1"/>
  <c r="X68" i="1" s="1"/>
  <c r="Q69" i="1"/>
  <c r="X69" i="1" s="1"/>
  <c r="Q70" i="1"/>
  <c r="X70" i="1" s="1"/>
  <c r="Q71" i="1"/>
  <c r="X71" i="1" s="1"/>
  <c r="Q72" i="1"/>
  <c r="X72" i="1" s="1"/>
  <c r="Q73" i="1"/>
  <c r="X73" i="1" s="1"/>
  <c r="Q74" i="1"/>
  <c r="X74" i="1" s="1"/>
  <c r="Q75" i="1"/>
  <c r="X75" i="1" s="1"/>
  <c r="Q76" i="1"/>
  <c r="X76" i="1" s="1"/>
  <c r="Q77" i="1"/>
  <c r="X77" i="1" s="1"/>
  <c r="Q78" i="1"/>
  <c r="Q79" i="1"/>
  <c r="R79" i="1" s="1"/>
  <c r="Q80" i="1"/>
  <c r="Q81" i="1"/>
  <c r="R81" i="1" s="1"/>
  <c r="Q82" i="1"/>
  <c r="X82" i="1" s="1"/>
  <c r="Q83" i="1"/>
  <c r="Q84" i="1"/>
  <c r="X84" i="1" s="1"/>
  <c r="Q85" i="1"/>
  <c r="X85" i="1" s="1"/>
  <c r="Q86" i="1"/>
  <c r="X86" i="1" s="1"/>
  <c r="Q87" i="1"/>
  <c r="X87" i="1" s="1"/>
  <c r="Q88" i="1"/>
  <c r="X88" i="1" s="1"/>
  <c r="Q89" i="1"/>
  <c r="X89" i="1" s="1"/>
  <c r="Q90" i="1"/>
  <c r="X90" i="1" s="1"/>
  <c r="Q91" i="1"/>
  <c r="R91" i="1" s="1"/>
  <c r="Q92" i="1"/>
  <c r="X92" i="1" s="1"/>
  <c r="Q93" i="1"/>
  <c r="Q94" i="1"/>
  <c r="R94" i="1" s="1"/>
  <c r="T94" i="1" s="1"/>
  <c r="Q95" i="1"/>
  <c r="X95" i="1" s="1"/>
  <c r="Q96" i="1"/>
  <c r="Q97" i="1"/>
  <c r="X97" i="1" s="1"/>
  <c r="Q6" i="1"/>
  <c r="R6" i="1" s="1"/>
  <c r="T6" i="1" s="1"/>
  <c r="AI6" i="1" s="1"/>
  <c r="W5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G5" i="1"/>
  <c r="AF5" i="1"/>
  <c r="AE5" i="1"/>
  <c r="AD5" i="1"/>
  <c r="AC5" i="1"/>
  <c r="AB5" i="1"/>
  <c r="AA5" i="1"/>
  <c r="Z5" i="1"/>
  <c r="U5" i="1"/>
  <c r="P5" i="1"/>
  <c r="O5" i="1"/>
  <c r="N5" i="1"/>
  <c r="M5" i="1"/>
  <c r="K5" i="1"/>
  <c r="F5" i="1"/>
  <c r="E5" i="1"/>
  <c r="R36" i="1" l="1"/>
  <c r="S36" i="1"/>
  <c r="S10" i="1"/>
  <c r="S49" i="1"/>
  <c r="T49" i="1" s="1"/>
  <c r="AI49" i="1" s="1"/>
  <c r="S11" i="1"/>
  <c r="T11" i="1" s="1"/>
  <c r="AI11" i="1" s="1"/>
  <c r="R80" i="1"/>
  <c r="T80" i="1" s="1"/>
  <c r="R78" i="1"/>
  <c r="T78" i="1" s="1"/>
  <c r="R23" i="1"/>
  <c r="T23" i="1" s="1"/>
  <c r="R15" i="1"/>
  <c r="T15" i="1" s="1"/>
  <c r="R7" i="1"/>
  <c r="T7" i="1" s="1"/>
  <c r="AI7" i="1" s="1"/>
  <c r="R83" i="1"/>
  <c r="T83" i="1" s="1"/>
  <c r="R34" i="1"/>
  <c r="T34" i="1" s="1"/>
  <c r="AI34" i="1" s="1"/>
  <c r="R28" i="1"/>
  <c r="T28" i="1" s="1"/>
  <c r="AI28" i="1" s="1"/>
  <c r="R16" i="1"/>
  <c r="T16" i="1" s="1"/>
  <c r="R8" i="1"/>
  <c r="T8" i="1" s="1"/>
  <c r="AI12" i="1"/>
  <c r="AI14" i="1"/>
  <c r="AI30" i="1"/>
  <c r="AI32" i="1"/>
  <c r="AI61" i="1"/>
  <c r="AI63" i="1"/>
  <c r="AI65" i="1"/>
  <c r="Y6" i="1"/>
  <c r="X6" i="1"/>
  <c r="AI94" i="1"/>
  <c r="X94" i="1"/>
  <c r="AI56" i="1"/>
  <c r="X56" i="1"/>
  <c r="AI47" i="1"/>
  <c r="X47" i="1"/>
  <c r="X45" i="1"/>
  <c r="AI45" i="1"/>
  <c r="AI31" i="1"/>
  <c r="X31" i="1"/>
  <c r="AI19" i="1"/>
  <c r="X19" i="1"/>
  <c r="AI17" i="1"/>
  <c r="X17" i="1"/>
  <c r="R96" i="1"/>
  <c r="T96" i="1" s="1"/>
  <c r="R39" i="1"/>
  <c r="T39" i="1" s="1"/>
  <c r="R13" i="1"/>
  <c r="T13" i="1" s="1"/>
  <c r="R59" i="1"/>
  <c r="T59" i="1" s="1"/>
  <c r="R93" i="1"/>
  <c r="T93" i="1" s="1"/>
  <c r="T91" i="1"/>
  <c r="T81" i="1"/>
  <c r="T79" i="1"/>
  <c r="R53" i="1"/>
  <c r="T53" i="1" s="1"/>
  <c r="R50" i="1"/>
  <c r="T50" i="1" s="1"/>
  <c r="R48" i="1"/>
  <c r="T48" i="1" s="1"/>
  <c r="R42" i="1"/>
  <c r="T42" i="1" s="1"/>
  <c r="R40" i="1"/>
  <c r="T40" i="1" s="1"/>
  <c r="R27" i="1"/>
  <c r="T27" i="1" s="1"/>
  <c r="R35" i="1"/>
  <c r="T35" i="1" s="1"/>
  <c r="R58" i="1"/>
  <c r="T58" i="1" s="1"/>
  <c r="R64" i="1"/>
  <c r="T64" i="1" s="1"/>
  <c r="R66" i="1"/>
  <c r="T66" i="1" s="1"/>
  <c r="Y96" i="1"/>
  <c r="Y92" i="1"/>
  <c r="Y88" i="1"/>
  <c r="Y84" i="1"/>
  <c r="Y80" i="1"/>
  <c r="Y76" i="1"/>
  <c r="Y72" i="1"/>
  <c r="Y68" i="1"/>
  <c r="Y64" i="1"/>
  <c r="Y60" i="1"/>
  <c r="Y56" i="1"/>
  <c r="Y52" i="1"/>
  <c r="Y49" i="1"/>
  <c r="Y45" i="1"/>
  <c r="Y41" i="1"/>
  <c r="Y37" i="1"/>
  <c r="Y33" i="1"/>
  <c r="Y29" i="1"/>
  <c r="Y25" i="1"/>
  <c r="Y21" i="1"/>
  <c r="Y17" i="1"/>
  <c r="Y13" i="1"/>
  <c r="Y9" i="1"/>
  <c r="L5" i="1"/>
  <c r="Y94" i="1"/>
  <c r="Y90" i="1"/>
  <c r="Y86" i="1"/>
  <c r="Y82" i="1"/>
  <c r="Y78" i="1"/>
  <c r="Y74" i="1"/>
  <c r="Y70" i="1"/>
  <c r="Y66" i="1"/>
  <c r="Y62" i="1"/>
  <c r="Y58" i="1"/>
  <c r="Y54" i="1"/>
  <c r="Y47" i="1"/>
  <c r="Y43" i="1"/>
  <c r="Y39" i="1"/>
  <c r="Y35" i="1"/>
  <c r="Y31" i="1"/>
  <c r="Y27" i="1"/>
  <c r="Y23" i="1"/>
  <c r="Y19" i="1"/>
  <c r="Y15" i="1"/>
  <c r="Y11" i="1"/>
  <c r="Y7" i="1"/>
  <c r="Y97" i="1"/>
  <c r="Y95" i="1"/>
  <c r="Y93" i="1"/>
  <c r="Y91" i="1"/>
  <c r="Y89" i="1"/>
  <c r="Y87" i="1"/>
  <c r="Y85" i="1"/>
  <c r="Y83" i="1"/>
  <c r="Y81" i="1"/>
  <c r="Y79" i="1"/>
  <c r="Y77" i="1"/>
  <c r="Y75" i="1"/>
  <c r="Y73" i="1"/>
  <c r="Y71" i="1"/>
  <c r="Y69" i="1"/>
  <c r="Y67" i="1"/>
  <c r="Y65" i="1"/>
  <c r="Y63" i="1"/>
  <c r="Y61" i="1"/>
  <c r="Y59" i="1"/>
  <c r="Y57" i="1"/>
  <c r="Y55" i="1"/>
  <c r="Y53" i="1"/>
  <c r="Y51" i="1"/>
  <c r="Y50" i="1"/>
  <c r="Y48" i="1"/>
  <c r="Y46" i="1"/>
  <c r="Y44" i="1"/>
  <c r="Y42" i="1"/>
  <c r="Y40" i="1"/>
  <c r="Y38" i="1"/>
  <c r="Y36" i="1"/>
  <c r="Y34" i="1"/>
  <c r="Y32" i="1"/>
  <c r="Y30" i="1"/>
  <c r="Y28" i="1"/>
  <c r="Y26" i="1"/>
  <c r="Y24" i="1"/>
  <c r="Y22" i="1"/>
  <c r="Y20" i="1"/>
  <c r="Y18" i="1"/>
  <c r="Y16" i="1"/>
  <c r="Y14" i="1"/>
  <c r="Y12" i="1"/>
  <c r="Y10" i="1"/>
  <c r="Y8" i="1"/>
  <c r="Q5" i="1"/>
  <c r="T36" i="1" l="1"/>
  <c r="X36" i="1" s="1"/>
  <c r="X11" i="1"/>
  <c r="X49" i="1"/>
  <c r="T10" i="1"/>
  <c r="S5" i="1"/>
  <c r="X16" i="1"/>
  <c r="AI16" i="1"/>
  <c r="X23" i="1"/>
  <c r="AI23" i="1"/>
  <c r="X80" i="1"/>
  <c r="AI80" i="1"/>
  <c r="X8" i="1"/>
  <c r="AI8" i="1"/>
  <c r="X83" i="1"/>
  <c r="AI83" i="1"/>
  <c r="X15" i="1"/>
  <c r="AI15" i="1"/>
  <c r="X78" i="1"/>
  <c r="AI78" i="1"/>
  <c r="X28" i="1"/>
  <c r="X34" i="1"/>
  <c r="X7" i="1"/>
  <c r="AI64" i="1"/>
  <c r="X64" i="1"/>
  <c r="AI35" i="1"/>
  <c r="X35" i="1"/>
  <c r="X40" i="1"/>
  <c r="AI40" i="1"/>
  <c r="X48" i="1"/>
  <c r="AI48" i="1"/>
  <c r="X53" i="1"/>
  <c r="AI53" i="1"/>
  <c r="X81" i="1"/>
  <c r="AI81" i="1"/>
  <c r="AI93" i="1"/>
  <c r="X93" i="1"/>
  <c r="X13" i="1"/>
  <c r="AI13" i="1"/>
  <c r="AI96" i="1"/>
  <c r="X96" i="1"/>
  <c r="AI66" i="1"/>
  <c r="X66" i="1"/>
  <c r="AI58" i="1"/>
  <c r="X58" i="1"/>
  <c r="AI27" i="1"/>
  <c r="X27" i="1"/>
  <c r="X42" i="1"/>
  <c r="AI42" i="1"/>
  <c r="X50" i="1"/>
  <c r="AI50" i="1"/>
  <c r="X79" i="1"/>
  <c r="AI79" i="1"/>
  <c r="AI91" i="1"/>
  <c r="X91" i="1"/>
  <c r="X59" i="1"/>
  <c r="AI59" i="1"/>
  <c r="AI39" i="1"/>
  <c r="X39" i="1"/>
  <c r="R5" i="1"/>
  <c r="AI36" i="1" l="1"/>
  <c r="AI10" i="1"/>
  <c r="X10" i="1"/>
  <c r="T5" i="1"/>
  <c r="AI5" i="1" l="1"/>
</calcChain>
</file>

<file path=xl/sharedStrings.xml><?xml version="1.0" encoding="utf-8"?>
<sst xmlns="http://schemas.openxmlformats.org/spreadsheetml/2006/main" count="389" uniqueCount="160">
  <si>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</si>
  <si>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</si>
  <si>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</si>
  <si>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</si>
  <si>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</si>
  <si>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</si>
  <si>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</si>
  <si>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</si>
  <si>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</si>
  <si>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</si>
  <si>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</si>
  <si>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</si>
  <si>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</si>
  <si>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</si>
  <si>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</si>
  <si>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</si>
  <si>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</si>
  <si>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</si>
  <si>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</si>
  <si>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</si>
  <si>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</si>
  <si>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</si>
  <si>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</si>
  <si>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</si>
  <si>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24,01,</t>
  </si>
  <si>
    <t>26,01,</t>
  </si>
  <si>
    <t>27,01,</t>
  </si>
  <si>
    <t>22,01,</t>
  </si>
  <si>
    <t>20,01,</t>
  </si>
  <si>
    <t>15,01,</t>
  </si>
  <si>
    <t>13,01,</t>
  </si>
  <si>
    <t>08,01,</t>
  </si>
  <si>
    <t>06,01,</t>
  </si>
  <si>
    <t>25,12,</t>
  </si>
  <si>
    <t>18,12,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</si>
  <si>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</si>
  <si>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</si>
  <si>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</si>
  <si>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</si>
  <si>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</si>
  <si>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</si>
  <si>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</si>
  <si>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</si>
  <si>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</si>
  <si>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>перемещение (Новороссийск)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</si>
  <si>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</si>
  <si>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</si>
  <si>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</si>
  <si>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</si>
  <si>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</si>
  <si>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</si>
  <si>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</si>
  <si>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</si>
  <si>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</si>
  <si>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</si>
  <si>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нужно увеличить продажи!!!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</si>
  <si>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</si>
  <si>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</si>
  <si>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</si>
  <si>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</si>
  <si>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</si>
  <si>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</si>
  <si>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</si>
  <si>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</si>
  <si>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</si>
  <si>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</si>
  <si>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</si>
  <si>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</si>
  <si>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</si>
  <si>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</si>
  <si>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</si>
  <si>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</si>
  <si>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</si>
  <si>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</si>
  <si>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</si>
  <si>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</si>
  <si>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</si>
  <si>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</si>
  <si>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</si>
  <si>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>24,12,25 списание 172шт.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</si>
  <si>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</si>
  <si>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</si>
  <si>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</si>
  <si>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</si>
  <si>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</si>
  <si>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</si>
  <si>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</si>
  <si>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</si>
  <si>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</si>
  <si>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</si>
  <si>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</si>
  <si>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</si>
  <si>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</si>
  <si>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</si>
  <si>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</si>
  <si>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</si>
  <si>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</si>
  <si>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</si>
  <si>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</si>
  <si>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</si>
  <si>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</si>
  <si>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</si>
  <si>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</si>
  <si>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</si>
  <si>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</si>
  <si>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</si>
  <si>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</si>
  <si>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</si>
  <si>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</si>
  <si>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</si>
  <si>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</si>
  <si>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</si>
  <si>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</si>
  <si>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</si>
  <si>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</si>
  <si>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</si>
  <si>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</si>
  <si>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</si>
  <si>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</si>
  <si>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</si>
  <si>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</si>
  <si>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</si>
  <si>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</si>
  <si>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</si>
  <si>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</si>
  <si>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</si>
  <si>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</si>
  <si>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</si>
  <si>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</si>
  <si>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</si>
  <si>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</si>
  <si>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</si>
  <si>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</si>
  <si>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</si>
  <si>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</si>
  <si>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</si>
  <si>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</si>
  <si>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560  Сосиски Вязанка Молочные ТМ Вязанка в оболочке амицел в мод. газовой среде 0,37 кг  ПОКОМ</t>
  </si>
  <si>
    <t>помощь заводу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</si>
  <si>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</si>
  <si>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</si>
  <si>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</si>
  <si>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</si>
  <si>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</si>
  <si>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</si>
  <si>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</si>
  <si>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</si>
  <si>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</si>
  <si>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Мера</t>
    </r>
  </si>
  <si>
    <t>до машины</t>
  </si>
  <si>
    <t>ТМА февраль</t>
  </si>
  <si>
    <t>ТМА февраль / Мера</t>
  </si>
  <si>
    <t>ТМА январь_февраль</t>
  </si>
  <si>
    <t>Мера / ТМА январь_февраль</t>
  </si>
  <si>
    <t xml:space="preserve"> 346  Колбаса Сочинка зернистая с сочной грудинкой ТМ Стародворье.ВЕС ПОКОМ</t>
  </si>
  <si>
    <t xml:space="preserve"> 412  Сосиски Баварские ТМ Стародворье 0,35 кг ПОКОМ</t>
  </si>
  <si>
    <t xml:space="preserve"> 410  Сосиски Баварские с сыром ТМ Стародворье 0,35 кг. ПОКОМ</t>
  </si>
  <si>
    <t>новинка / ТМА февраль</t>
  </si>
  <si>
    <t>заказ</t>
  </si>
  <si>
    <t>31,01,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</si>
</sst>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6" borderId="2" xfId="1" applyNumberFormat="1" applyFill="1" applyBorder="1"/>
    <xf numFmtId="164" fontId="6" fillId="9" borderId="1" xfId="1" applyNumberFormat="1" applyFont="1" applyFill="1"/>
    <xf numFmtId="164" fontId="7" fillId="9" borderId="1" xfId="1" applyNumberFormat="1" applyFont="1" applyFill="1"/>
    <xf numFmtId="0" fontId="0" fillId="0" borderId="1" xfId="0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1" fillId="11" borderId="1" xfId="1" applyNumberFormat="1" applyFill="1"/>
    <xf numFmtId="2" fontId="1" fillId="11" borderId="1" xfId="1" applyNumberFormat="1" applyFill="1"/>
    <xf numFmtId="164" fontId="1" fillId="11" borderId="2" xfId="1" applyNumberFormat="1" applyFill="1" applyBorder="1"/>
    <xf numFmtId="164" fontId="1" fillId="12" borderId="2" xfId="1" applyNumberFormat="1" applyFill="1" applyBorder="1"/>
    <xf numFmtId="164" fontId="1" fillId="12" borderId="1" xfId="1" applyNumberFormat="1" applyFill="1"/>
    <xf numFmtId="2" fontId="1" fillId="12" borderId="1" xfId="1" applyNumberForma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11" sqref="V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7" style="22" customWidth="1"/>
    <col min="21" max="21" width="7" customWidth="1"/>
    <col min="22" max="22" width="13.140625" customWidth="1"/>
    <col min="23" max="23" width="7" customWidth="1"/>
    <col min="24" max="25" width="5" customWidth="1"/>
    <col min="26" max="33" width="6" customWidth="1"/>
    <col min="34" max="34" width="48.140625" customWidth="1"/>
    <col min="35" max="35" width="7" customWidth="1"/>
    <col min="36" max="52" width="3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2">
        <v>2.1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149</v>
      </c>
      <c r="T3" s="3" t="s">
        <v>158</v>
      </c>
      <c r="U3" s="7" t="s">
        <v>17</v>
      </c>
      <c r="V3" s="7" t="s">
        <v>18</v>
      </c>
      <c r="W3" s="10" t="s">
        <v>147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 t="s">
        <v>159</v>
      </c>
      <c r="U4" s="1"/>
      <c r="V4" s="1"/>
      <c r="W4" s="1"/>
      <c r="X4" s="1"/>
      <c r="Y4" s="1"/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SUM(E6:E499)</f>
        <v>12098.301999999998</v>
      </c>
      <c r="F5" s="4">
        <f>SUM(F6:F499)</f>
        <v>11661.892999999998</v>
      </c>
      <c r="G5" s="8"/>
      <c r="H5" s="1"/>
      <c r="I5" s="1"/>
      <c r="J5" s="1"/>
      <c r="K5" s="4">
        <f>SUM(K6:K499)</f>
        <v>12659.120999999997</v>
      </c>
      <c r="L5" s="4">
        <f>SUM(L6:L499)</f>
        <v>-562.81900000000007</v>
      </c>
      <c r="M5" s="4">
        <f>SUM(M6:M499)</f>
        <v>0</v>
      </c>
      <c r="N5" s="4">
        <f>SUM(N6:N499)</f>
        <v>0</v>
      </c>
      <c r="O5" s="4">
        <f>SUM(O6:O499)</f>
        <v>9290.3804600000021</v>
      </c>
      <c r="P5" s="4">
        <f>SUM(P6:P499)</f>
        <v>3146.0237999999995</v>
      </c>
      <c r="Q5" s="4">
        <f>SUM(Q6:Q499)</f>
        <v>2419.6603999999998</v>
      </c>
      <c r="R5" s="4">
        <f>SUM(R6:R499)</f>
        <v>12685.636580000002</v>
      </c>
      <c r="S5" s="4">
        <f>SUM(S6:S499)</f>
        <v>611.28395999999998</v>
      </c>
      <c r="T5" s="4">
        <f>SUM(T6:T499)</f>
        <v>13296.920540000003</v>
      </c>
      <c r="U5" s="4">
        <f>SUM(U6:U499)</f>
        <v>0</v>
      </c>
      <c r="V5" s="1"/>
      <c r="W5" s="4">
        <f>SUM(W6:W499)</f>
        <v>0</v>
      </c>
      <c r="X5" s="1"/>
      <c r="Y5" s="1"/>
      <c r="Z5" s="4">
        <f>SUM(Z6:Z499)</f>
        <v>2324.9597999999996</v>
      </c>
      <c r="AA5" s="4">
        <f>SUM(AA6:AA499)</f>
        <v>2587.5682000000006</v>
      </c>
      <c r="AB5" s="4">
        <f>SUM(AB6:AB499)</f>
        <v>2292.3321999999998</v>
      </c>
      <c r="AC5" s="4">
        <f>SUM(AC6:AC499)</f>
        <v>2227.7986000000005</v>
      </c>
      <c r="AD5" s="4">
        <f>SUM(AD6:AD499)</f>
        <v>2515.8498333333341</v>
      </c>
      <c r="AE5" s="4">
        <f>SUM(AE6:AE499)</f>
        <v>2999.6713999999997</v>
      </c>
      <c r="AF5" s="4">
        <f>SUM(AF6:AF499)</f>
        <v>2379.5410000000002</v>
      </c>
      <c r="AG5" s="4">
        <f>SUM(AG6:AG499)</f>
        <v>2623.6326000000004</v>
      </c>
      <c r="AH5" s="1"/>
      <c r="AI5" s="4">
        <f>SUM(AI6:AI499)</f>
        <v>11094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26" t="s">
        <v>35</v>
      </c>
      <c r="B6" s="26" t="s">
        <v>36</v>
      </c>
      <c r="C6" s="26">
        <v>74.712000000000003</v>
      </c>
      <c r="D6" s="26">
        <v>171.1</v>
      </c>
      <c r="E6" s="26">
        <v>148.96</v>
      </c>
      <c r="F6" s="26">
        <v>87.183000000000007</v>
      </c>
      <c r="G6" s="27">
        <v>1</v>
      </c>
      <c r="H6" s="26">
        <v>50</v>
      </c>
      <c r="I6" s="26" t="s">
        <v>37</v>
      </c>
      <c r="J6" s="26"/>
      <c r="K6" s="26">
        <v>146.25200000000001</v>
      </c>
      <c r="L6" s="26">
        <f t="shared" ref="L6:L37" si="0">E6-K6</f>
        <v>2.7079999999999984</v>
      </c>
      <c r="M6" s="26"/>
      <c r="N6" s="26"/>
      <c r="O6" s="26">
        <v>251.87299999999991</v>
      </c>
      <c r="P6" s="26">
        <v>19.250399999999981</v>
      </c>
      <c r="Q6" s="26">
        <f>E6/5</f>
        <v>29.792000000000002</v>
      </c>
      <c r="R6" s="28">
        <f t="shared" ref="R6:R8" si="1">11*Q6*1.5-P6-O6-F6</f>
        <v>133.2616000000001</v>
      </c>
      <c r="S6" s="28"/>
      <c r="T6" s="28">
        <f>S6+R6</f>
        <v>133.2616000000001</v>
      </c>
      <c r="U6" s="28"/>
      <c r="V6" s="26"/>
      <c r="W6" s="26"/>
      <c r="X6" s="26">
        <f>(F6+O6+P6+T6)/Q6</f>
        <v>16.5</v>
      </c>
      <c r="Y6" s="26">
        <f>(F6+O6+P6)/Q6</f>
        <v>12.02693340494092</v>
      </c>
      <c r="Z6" s="26">
        <v>36.093600000000002</v>
      </c>
      <c r="AA6" s="26">
        <v>35.543599999999998</v>
      </c>
      <c r="AB6" s="26">
        <v>27.619399999999999</v>
      </c>
      <c r="AC6" s="26">
        <v>30.043399999999998</v>
      </c>
      <c r="AD6" s="26">
        <v>23.93116666666667</v>
      </c>
      <c r="AE6" s="26">
        <v>29.980599999999999</v>
      </c>
      <c r="AF6" s="26">
        <v>30.4298</v>
      </c>
      <c r="AG6" s="26">
        <v>21.640999999999998</v>
      </c>
      <c r="AH6" s="26" t="s">
        <v>150</v>
      </c>
      <c r="AI6" s="26">
        <f>ROUND(G6*T6,0)</f>
        <v>133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26" t="s">
        <v>38</v>
      </c>
      <c r="B7" s="26" t="s">
        <v>36</v>
      </c>
      <c r="C7" s="26">
        <v>5.1150000000000002</v>
      </c>
      <c r="D7" s="26">
        <v>149.28</v>
      </c>
      <c r="E7" s="26">
        <v>53.122999999999998</v>
      </c>
      <c r="F7" s="26">
        <v>101.27200000000001</v>
      </c>
      <c r="G7" s="27">
        <v>1</v>
      </c>
      <c r="H7" s="26">
        <v>45</v>
      </c>
      <c r="I7" s="26" t="s">
        <v>37</v>
      </c>
      <c r="J7" s="26"/>
      <c r="K7" s="26">
        <v>51.692</v>
      </c>
      <c r="L7" s="26">
        <f t="shared" si="0"/>
        <v>1.4309999999999974</v>
      </c>
      <c r="M7" s="26"/>
      <c r="N7" s="26"/>
      <c r="O7" s="26">
        <v>23.095199999999981</v>
      </c>
      <c r="P7" s="26">
        <v>0</v>
      </c>
      <c r="Q7" s="26">
        <f t="shared" ref="Q7:Q69" si="2">E7/5</f>
        <v>10.624599999999999</v>
      </c>
      <c r="R7" s="28">
        <f t="shared" si="1"/>
        <v>50.938700000000026</v>
      </c>
      <c r="S7" s="28"/>
      <c r="T7" s="28">
        <f t="shared" ref="T7:T69" si="3">S7+R7</f>
        <v>50.938700000000026</v>
      </c>
      <c r="U7" s="28"/>
      <c r="V7" s="26"/>
      <c r="W7" s="26"/>
      <c r="X7" s="26">
        <f t="shared" ref="X7:X69" si="4">(F7+O7+P7+T7)/Q7</f>
        <v>16.500000000000004</v>
      </c>
      <c r="Y7" s="26">
        <f t="shared" ref="Y7:Y69" si="5">(F7+O7+P7)/Q7</f>
        <v>11.705588916288612</v>
      </c>
      <c r="Z7" s="26">
        <v>8.4250000000000007</v>
      </c>
      <c r="AA7" s="26">
        <v>14.954800000000001</v>
      </c>
      <c r="AB7" s="26">
        <v>15.459199999999999</v>
      </c>
      <c r="AC7" s="26">
        <v>12.702</v>
      </c>
      <c r="AD7" s="26">
        <v>6.9579999999999993</v>
      </c>
      <c r="AE7" s="26">
        <v>11.8482</v>
      </c>
      <c r="AF7" s="26">
        <v>12.653600000000001</v>
      </c>
      <c r="AG7" s="26">
        <v>7.6798000000000002</v>
      </c>
      <c r="AH7" s="26" t="s">
        <v>151</v>
      </c>
      <c r="AI7" s="26">
        <f t="shared" ref="AI7:AI69" si="6">ROUND(G7*T7,0)</f>
        <v>51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26" t="s">
        <v>40</v>
      </c>
      <c r="B8" s="26" t="s">
        <v>36</v>
      </c>
      <c r="C8" s="26">
        <v>-3.081</v>
      </c>
      <c r="D8" s="26">
        <v>109.93899999999999</v>
      </c>
      <c r="E8" s="26">
        <v>85.855999999999995</v>
      </c>
      <c r="F8" s="26">
        <v>11.505000000000001</v>
      </c>
      <c r="G8" s="27">
        <v>1</v>
      </c>
      <c r="H8" s="26">
        <v>45</v>
      </c>
      <c r="I8" s="26" t="s">
        <v>37</v>
      </c>
      <c r="J8" s="26"/>
      <c r="K8" s="26">
        <v>84.745999999999995</v>
      </c>
      <c r="L8" s="26">
        <f t="shared" si="0"/>
        <v>1.1099999999999994</v>
      </c>
      <c r="M8" s="26"/>
      <c r="N8" s="26"/>
      <c r="O8" s="26">
        <v>90.153600000000012</v>
      </c>
      <c r="P8" s="26">
        <v>0</v>
      </c>
      <c r="Q8" s="26">
        <f t="shared" si="2"/>
        <v>17.171199999999999</v>
      </c>
      <c r="R8" s="28">
        <f t="shared" si="1"/>
        <v>181.66619999999998</v>
      </c>
      <c r="S8" s="28"/>
      <c r="T8" s="28">
        <f t="shared" si="3"/>
        <v>181.66619999999998</v>
      </c>
      <c r="U8" s="28"/>
      <c r="V8" s="26"/>
      <c r="W8" s="26"/>
      <c r="X8" s="26">
        <f t="shared" si="4"/>
        <v>16.5</v>
      </c>
      <c r="Y8" s="26">
        <f t="shared" si="5"/>
        <v>5.9202967759970191</v>
      </c>
      <c r="Z8" s="26">
        <v>12.0242</v>
      </c>
      <c r="AA8" s="26">
        <v>17.205400000000001</v>
      </c>
      <c r="AB8" s="26">
        <v>12.534000000000001</v>
      </c>
      <c r="AC8" s="26">
        <v>13.5924</v>
      </c>
      <c r="AD8" s="26">
        <v>10.22233333333333</v>
      </c>
      <c r="AE8" s="26">
        <v>11.449199999999999</v>
      </c>
      <c r="AF8" s="26">
        <v>7.1951999999999998</v>
      </c>
      <c r="AG8" s="26">
        <v>15.5526</v>
      </c>
      <c r="AH8" s="26" t="s">
        <v>150</v>
      </c>
      <c r="AI8" s="26">
        <f t="shared" si="6"/>
        <v>182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3" t="s">
        <v>41</v>
      </c>
      <c r="B9" s="13" t="s">
        <v>42</v>
      </c>
      <c r="C9" s="13">
        <v>21</v>
      </c>
      <c r="D9" s="13"/>
      <c r="E9" s="13">
        <v>14</v>
      </c>
      <c r="F9" s="13">
        <v>7</v>
      </c>
      <c r="G9" s="14">
        <v>0</v>
      </c>
      <c r="H9" s="13" t="e">
        <v>#N/A</v>
      </c>
      <c r="I9" s="13" t="s">
        <v>43</v>
      </c>
      <c r="J9" s="13"/>
      <c r="K9" s="13">
        <v>14</v>
      </c>
      <c r="L9" s="13">
        <f t="shared" si="0"/>
        <v>0</v>
      </c>
      <c r="M9" s="13"/>
      <c r="N9" s="13"/>
      <c r="O9" s="13">
        <v>0</v>
      </c>
      <c r="P9" s="13">
        <v>0</v>
      </c>
      <c r="Q9" s="13">
        <f t="shared" si="2"/>
        <v>2.8</v>
      </c>
      <c r="R9" s="15"/>
      <c r="S9" s="15"/>
      <c r="T9" s="5">
        <f t="shared" si="3"/>
        <v>0</v>
      </c>
      <c r="U9" s="15"/>
      <c r="V9" s="1"/>
      <c r="W9" s="13"/>
      <c r="X9" s="1">
        <f t="shared" si="4"/>
        <v>2.5</v>
      </c>
      <c r="Y9" s="13">
        <f t="shared" si="5"/>
        <v>2.5</v>
      </c>
      <c r="Z9" s="13">
        <v>2</v>
      </c>
      <c r="AA9" s="13">
        <v>1.2</v>
      </c>
      <c r="AB9" s="13">
        <v>0.8</v>
      </c>
      <c r="AC9" s="13">
        <v>0.6</v>
      </c>
      <c r="AD9" s="13">
        <v>0.16666666666666671</v>
      </c>
      <c r="AE9" s="13">
        <v>0</v>
      </c>
      <c r="AF9" s="13">
        <v>0</v>
      </c>
      <c r="AG9" s="13">
        <v>0</v>
      </c>
      <c r="AH9" s="13" t="s">
        <v>44</v>
      </c>
      <c r="AI9" s="1">
        <f t="shared" si="6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45</v>
      </c>
      <c r="B10" s="1" t="s">
        <v>42</v>
      </c>
      <c r="C10" s="1">
        <v>223</v>
      </c>
      <c r="D10" s="1">
        <v>355</v>
      </c>
      <c r="E10" s="1">
        <v>322</v>
      </c>
      <c r="F10" s="1">
        <v>242</v>
      </c>
      <c r="G10" s="8">
        <v>0.45</v>
      </c>
      <c r="H10" s="1">
        <v>45</v>
      </c>
      <c r="I10" s="1" t="s">
        <v>37</v>
      </c>
      <c r="J10" s="1"/>
      <c r="K10" s="1">
        <v>341</v>
      </c>
      <c r="L10" s="1">
        <f t="shared" si="0"/>
        <v>-19</v>
      </c>
      <c r="M10" s="1"/>
      <c r="N10" s="1"/>
      <c r="O10" s="1">
        <v>154.40000000000009</v>
      </c>
      <c r="P10" s="1">
        <v>459.79999999999978</v>
      </c>
      <c r="Q10" s="1">
        <f t="shared" si="2"/>
        <v>64.400000000000006</v>
      </c>
      <c r="R10" s="5"/>
      <c r="S10" s="5">
        <f>$S$1*Q10</f>
        <v>135.24</v>
      </c>
      <c r="T10" s="5">
        <f t="shared" si="3"/>
        <v>135.24</v>
      </c>
      <c r="U10" s="5"/>
      <c r="V10" s="1"/>
      <c r="W10" s="1"/>
      <c r="X10" s="1">
        <f t="shared" si="4"/>
        <v>15.395031055900617</v>
      </c>
      <c r="Y10" s="1">
        <f t="shared" si="5"/>
        <v>13.295031055900617</v>
      </c>
      <c r="Z10" s="1">
        <v>80.599999999999994</v>
      </c>
      <c r="AA10" s="1">
        <v>65.400000000000006</v>
      </c>
      <c r="AB10" s="1">
        <v>60</v>
      </c>
      <c r="AC10" s="1">
        <v>54.6</v>
      </c>
      <c r="AD10" s="1">
        <v>56.833333333333343</v>
      </c>
      <c r="AE10" s="1">
        <v>50</v>
      </c>
      <c r="AF10" s="1">
        <v>23.4</v>
      </c>
      <c r="AG10" s="1">
        <v>65.2</v>
      </c>
      <c r="AH10" s="1" t="s">
        <v>39</v>
      </c>
      <c r="AI10" s="1">
        <f t="shared" si="6"/>
        <v>61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46</v>
      </c>
      <c r="B11" s="1" t="s">
        <v>42</v>
      </c>
      <c r="C11" s="1">
        <v>276</v>
      </c>
      <c r="D11" s="1">
        <v>211</v>
      </c>
      <c r="E11" s="1">
        <v>404</v>
      </c>
      <c r="F11" s="1">
        <v>55</v>
      </c>
      <c r="G11" s="8">
        <v>0.45</v>
      </c>
      <c r="H11" s="1">
        <v>45</v>
      </c>
      <c r="I11" s="1" t="s">
        <v>37</v>
      </c>
      <c r="J11" s="1"/>
      <c r="K11" s="1">
        <v>401</v>
      </c>
      <c r="L11" s="1">
        <f t="shared" si="0"/>
        <v>3</v>
      </c>
      <c r="M11" s="1"/>
      <c r="N11" s="1"/>
      <c r="O11" s="1">
        <v>373.19999999999982</v>
      </c>
      <c r="P11" s="1">
        <v>591</v>
      </c>
      <c r="Q11" s="1">
        <f t="shared" si="2"/>
        <v>80.8</v>
      </c>
      <c r="R11" s="5"/>
      <c r="S11" s="5">
        <f>$S$1*Q11</f>
        <v>169.68</v>
      </c>
      <c r="T11" s="5">
        <f t="shared" si="3"/>
        <v>169.68</v>
      </c>
      <c r="U11" s="5"/>
      <c r="V11" s="1"/>
      <c r="W11" s="1"/>
      <c r="X11" s="1">
        <f t="shared" si="4"/>
        <v>14.713861386138612</v>
      </c>
      <c r="Y11" s="1">
        <f t="shared" si="5"/>
        <v>12.613861386138613</v>
      </c>
      <c r="Z11" s="1">
        <v>97.8</v>
      </c>
      <c r="AA11" s="1">
        <v>74.599999999999994</v>
      </c>
      <c r="AB11" s="1">
        <v>55.2</v>
      </c>
      <c r="AC11" s="1">
        <v>62</v>
      </c>
      <c r="AD11" s="1">
        <v>64.5</v>
      </c>
      <c r="AE11" s="1">
        <v>46.6</v>
      </c>
      <c r="AF11" s="1">
        <v>27.4</v>
      </c>
      <c r="AG11" s="1">
        <v>74.8</v>
      </c>
      <c r="AH11" s="1"/>
      <c r="AI11" s="1">
        <f t="shared" si="6"/>
        <v>76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47</v>
      </c>
      <c r="B12" s="1" t="s">
        <v>42</v>
      </c>
      <c r="C12" s="1">
        <v>88</v>
      </c>
      <c r="D12" s="1">
        <v>15</v>
      </c>
      <c r="E12" s="1">
        <v>50</v>
      </c>
      <c r="F12" s="1">
        <v>52</v>
      </c>
      <c r="G12" s="8">
        <v>0.17</v>
      </c>
      <c r="H12" s="1">
        <v>180</v>
      </c>
      <c r="I12" s="1" t="s">
        <v>37</v>
      </c>
      <c r="J12" s="1"/>
      <c r="K12" s="1">
        <v>50</v>
      </c>
      <c r="L12" s="1">
        <f t="shared" si="0"/>
        <v>0</v>
      </c>
      <c r="M12" s="1"/>
      <c r="N12" s="1"/>
      <c r="O12" s="1">
        <v>0</v>
      </c>
      <c r="P12" s="1">
        <v>15.200000000000021</v>
      </c>
      <c r="Q12" s="1">
        <f t="shared" si="2"/>
        <v>10</v>
      </c>
      <c r="R12" s="5">
        <f t="shared" ref="R12:R19" si="7">11*Q12-P12-O12-F12</f>
        <v>42.799999999999983</v>
      </c>
      <c r="S12" s="5"/>
      <c r="T12" s="5">
        <f t="shared" si="3"/>
        <v>42.799999999999983</v>
      </c>
      <c r="U12" s="5"/>
      <c r="V12" s="1"/>
      <c r="W12" s="1"/>
      <c r="X12" s="1">
        <f t="shared" si="4"/>
        <v>11</v>
      </c>
      <c r="Y12" s="1">
        <f t="shared" si="5"/>
        <v>6.7200000000000015</v>
      </c>
      <c r="Z12" s="1">
        <v>7.2</v>
      </c>
      <c r="AA12" s="1">
        <v>8.1999999999999993</v>
      </c>
      <c r="AB12" s="1">
        <v>8</v>
      </c>
      <c r="AC12" s="1">
        <v>9</v>
      </c>
      <c r="AD12" s="1">
        <v>11.16666666666667</v>
      </c>
      <c r="AE12" s="1">
        <v>7.6</v>
      </c>
      <c r="AF12" s="1">
        <v>6.8</v>
      </c>
      <c r="AG12" s="1">
        <v>6</v>
      </c>
      <c r="AH12" s="1"/>
      <c r="AI12" s="1">
        <f t="shared" si="6"/>
        <v>7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48</v>
      </c>
      <c r="B13" s="1" t="s">
        <v>42</v>
      </c>
      <c r="C13" s="1">
        <v>29</v>
      </c>
      <c r="D13" s="1">
        <v>66</v>
      </c>
      <c r="E13" s="1">
        <v>53</v>
      </c>
      <c r="F13" s="1">
        <v>42</v>
      </c>
      <c r="G13" s="8">
        <v>0.3</v>
      </c>
      <c r="H13" s="1">
        <v>40</v>
      </c>
      <c r="I13" s="1" t="s">
        <v>37</v>
      </c>
      <c r="J13" s="1"/>
      <c r="K13" s="1">
        <v>53</v>
      </c>
      <c r="L13" s="1">
        <f t="shared" si="0"/>
        <v>0</v>
      </c>
      <c r="M13" s="1"/>
      <c r="N13" s="1"/>
      <c r="O13" s="1">
        <v>0</v>
      </c>
      <c r="P13" s="1">
        <v>0</v>
      </c>
      <c r="Q13" s="1">
        <f t="shared" si="2"/>
        <v>10.6</v>
      </c>
      <c r="R13" s="5">
        <f>10*Q13-P13-O13-F13</f>
        <v>64</v>
      </c>
      <c r="S13" s="5"/>
      <c r="T13" s="5">
        <f t="shared" si="3"/>
        <v>64</v>
      </c>
      <c r="U13" s="5"/>
      <c r="V13" s="1"/>
      <c r="W13" s="1"/>
      <c r="X13" s="1">
        <f t="shared" si="4"/>
        <v>10</v>
      </c>
      <c r="Y13" s="1">
        <f t="shared" si="5"/>
        <v>3.9622641509433962</v>
      </c>
      <c r="Z13" s="1">
        <v>3.2</v>
      </c>
      <c r="AA13" s="1">
        <v>2.6</v>
      </c>
      <c r="AB13" s="1">
        <v>7.8</v>
      </c>
      <c r="AC13" s="1">
        <v>9.8000000000000007</v>
      </c>
      <c r="AD13" s="1">
        <v>5.833333333333333</v>
      </c>
      <c r="AE13" s="1">
        <v>4.4000000000000004</v>
      </c>
      <c r="AF13" s="1">
        <v>4.8</v>
      </c>
      <c r="AG13" s="1">
        <v>6.8</v>
      </c>
      <c r="AH13" s="1"/>
      <c r="AI13" s="1">
        <f t="shared" si="6"/>
        <v>19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49</v>
      </c>
      <c r="B14" s="1" t="s">
        <v>42</v>
      </c>
      <c r="C14" s="1">
        <v>105</v>
      </c>
      <c r="D14" s="1">
        <v>1</v>
      </c>
      <c r="E14" s="1">
        <v>71</v>
      </c>
      <c r="F14" s="1">
        <v>34</v>
      </c>
      <c r="G14" s="8">
        <v>0.17</v>
      </c>
      <c r="H14" s="1">
        <v>180</v>
      </c>
      <c r="I14" s="1" t="s">
        <v>37</v>
      </c>
      <c r="J14" s="1"/>
      <c r="K14" s="1">
        <v>76</v>
      </c>
      <c r="L14" s="1">
        <f t="shared" si="0"/>
        <v>-5</v>
      </c>
      <c r="M14" s="1"/>
      <c r="N14" s="1"/>
      <c r="O14" s="1">
        <v>11.599999999999991</v>
      </c>
      <c r="P14" s="1">
        <v>92.4</v>
      </c>
      <c r="Q14" s="1">
        <f t="shared" si="2"/>
        <v>14.2</v>
      </c>
      <c r="R14" s="5">
        <f t="shared" si="7"/>
        <v>18.199999999999989</v>
      </c>
      <c r="S14" s="5"/>
      <c r="T14" s="5">
        <f t="shared" si="3"/>
        <v>18.199999999999989</v>
      </c>
      <c r="U14" s="5"/>
      <c r="V14" s="1"/>
      <c r="W14" s="1"/>
      <c r="X14" s="1">
        <f t="shared" si="4"/>
        <v>11</v>
      </c>
      <c r="Y14" s="1">
        <f t="shared" si="5"/>
        <v>9.71830985915493</v>
      </c>
      <c r="Z14" s="1">
        <v>13</v>
      </c>
      <c r="AA14" s="1">
        <v>10.6</v>
      </c>
      <c r="AB14" s="1">
        <v>8.6</v>
      </c>
      <c r="AC14" s="1">
        <v>11</v>
      </c>
      <c r="AD14" s="1">
        <v>13.16666666666667</v>
      </c>
      <c r="AE14" s="1">
        <v>5.4</v>
      </c>
      <c r="AF14" s="1">
        <v>10.6</v>
      </c>
      <c r="AG14" s="1">
        <v>15.8</v>
      </c>
      <c r="AH14" s="1"/>
      <c r="AI14" s="1">
        <f t="shared" si="6"/>
        <v>3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26" t="s">
        <v>50</v>
      </c>
      <c r="B15" s="26" t="s">
        <v>36</v>
      </c>
      <c r="C15" s="26">
        <v>186.042</v>
      </c>
      <c r="D15" s="26">
        <v>44.3</v>
      </c>
      <c r="E15" s="26">
        <v>171.90199999999999</v>
      </c>
      <c r="F15" s="26">
        <v>48.738</v>
      </c>
      <c r="G15" s="27">
        <v>1</v>
      </c>
      <c r="H15" s="26">
        <v>55</v>
      </c>
      <c r="I15" s="26" t="s">
        <v>37</v>
      </c>
      <c r="J15" s="26"/>
      <c r="K15" s="26">
        <v>155.9</v>
      </c>
      <c r="L15" s="26">
        <f t="shared" si="0"/>
        <v>16.001999999999981</v>
      </c>
      <c r="M15" s="26"/>
      <c r="N15" s="26"/>
      <c r="O15" s="26">
        <v>229.30240000000001</v>
      </c>
      <c r="P15" s="26">
        <v>0</v>
      </c>
      <c r="Q15" s="26">
        <f t="shared" si="2"/>
        <v>34.380399999999995</v>
      </c>
      <c r="R15" s="28">
        <f t="shared" ref="R15:R16" si="8">11*Q15*1.5-P15-O15-F15</f>
        <v>289.23619999999988</v>
      </c>
      <c r="S15" s="28"/>
      <c r="T15" s="28">
        <f t="shared" si="3"/>
        <v>289.23619999999988</v>
      </c>
      <c r="U15" s="28"/>
      <c r="V15" s="26"/>
      <c r="W15" s="26"/>
      <c r="X15" s="26">
        <f t="shared" si="4"/>
        <v>16.5</v>
      </c>
      <c r="Y15" s="26">
        <f t="shared" si="5"/>
        <v>8.0871775779223061</v>
      </c>
      <c r="Z15" s="26">
        <v>33.131799999999998</v>
      </c>
      <c r="AA15" s="26">
        <v>34.872599999999998</v>
      </c>
      <c r="AB15" s="26">
        <v>28.722200000000001</v>
      </c>
      <c r="AC15" s="26">
        <v>28.55</v>
      </c>
      <c r="AD15" s="26">
        <v>27.055499999999999</v>
      </c>
      <c r="AE15" s="26">
        <v>36.171599999999998</v>
      </c>
      <c r="AF15" s="26">
        <v>39.584600000000002</v>
      </c>
      <c r="AG15" s="26">
        <v>39.674400000000013</v>
      </c>
      <c r="AH15" s="26" t="s">
        <v>152</v>
      </c>
      <c r="AI15" s="26">
        <f t="shared" si="6"/>
        <v>289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26" t="s">
        <v>52</v>
      </c>
      <c r="B16" s="26" t="s">
        <v>36</v>
      </c>
      <c r="C16" s="26">
        <v>1922.0250000000001</v>
      </c>
      <c r="D16" s="26">
        <v>22.611999999999998</v>
      </c>
      <c r="E16" s="26">
        <v>1185.5509999999999</v>
      </c>
      <c r="F16" s="26">
        <v>738.19899999999996</v>
      </c>
      <c r="G16" s="27">
        <v>1</v>
      </c>
      <c r="H16" s="26">
        <v>50</v>
      </c>
      <c r="I16" s="26" t="s">
        <v>37</v>
      </c>
      <c r="J16" s="26"/>
      <c r="K16" s="26">
        <v>1181.3</v>
      </c>
      <c r="L16" s="26">
        <f t="shared" si="0"/>
        <v>4.2509999999999764</v>
      </c>
      <c r="M16" s="26"/>
      <c r="N16" s="26"/>
      <c r="O16" s="26">
        <v>1031.5634</v>
      </c>
      <c r="P16" s="26">
        <v>0</v>
      </c>
      <c r="Q16" s="26">
        <f t="shared" si="2"/>
        <v>237.11019999999999</v>
      </c>
      <c r="R16" s="28">
        <f t="shared" si="8"/>
        <v>2142.5558999999998</v>
      </c>
      <c r="S16" s="28"/>
      <c r="T16" s="28">
        <f t="shared" si="3"/>
        <v>2142.5558999999998</v>
      </c>
      <c r="U16" s="28"/>
      <c r="V16" s="26"/>
      <c r="W16" s="26"/>
      <c r="X16" s="26">
        <f t="shared" si="4"/>
        <v>16.5</v>
      </c>
      <c r="Y16" s="26">
        <f t="shared" si="5"/>
        <v>7.4638813513716409</v>
      </c>
      <c r="Z16" s="26">
        <v>198.03440000000001</v>
      </c>
      <c r="AA16" s="26">
        <v>227.5068</v>
      </c>
      <c r="AB16" s="26">
        <v>197.92</v>
      </c>
      <c r="AC16" s="26">
        <v>200.38300000000001</v>
      </c>
      <c r="AD16" s="26">
        <v>244.566</v>
      </c>
      <c r="AE16" s="26">
        <v>332.7568</v>
      </c>
      <c r="AF16" s="26">
        <v>240.71799999999999</v>
      </c>
      <c r="AG16" s="26">
        <v>226.48679999999999</v>
      </c>
      <c r="AH16" s="26" t="s">
        <v>152</v>
      </c>
      <c r="AI16" s="26">
        <f t="shared" si="6"/>
        <v>2143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53</v>
      </c>
      <c r="B17" s="1" t="s">
        <v>36</v>
      </c>
      <c r="C17" s="1">
        <v>49.034999999999997</v>
      </c>
      <c r="D17" s="1">
        <v>27.547000000000001</v>
      </c>
      <c r="E17" s="1">
        <v>36.258000000000003</v>
      </c>
      <c r="F17" s="1">
        <v>39.457000000000001</v>
      </c>
      <c r="G17" s="8">
        <v>1</v>
      </c>
      <c r="H17" s="1">
        <v>60</v>
      </c>
      <c r="I17" s="1" t="s">
        <v>37</v>
      </c>
      <c r="J17" s="1"/>
      <c r="K17" s="1">
        <v>31.2</v>
      </c>
      <c r="L17" s="1">
        <f t="shared" si="0"/>
        <v>5.0580000000000034</v>
      </c>
      <c r="M17" s="1"/>
      <c r="N17" s="1"/>
      <c r="O17" s="1">
        <v>24.181000000000012</v>
      </c>
      <c r="P17" s="1">
        <v>0</v>
      </c>
      <c r="Q17" s="1">
        <f t="shared" si="2"/>
        <v>7.2516000000000007</v>
      </c>
      <c r="R17" s="5">
        <f t="shared" si="7"/>
        <v>16.129599999999989</v>
      </c>
      <c r="S17" s="5"/>
      <c r="T17" s="5">
        <f t="shared" si="3"/>
        <v>16.129599999999989</v>
      </c>
      <c r="U17" s="5"/>
      <c r="V17" s="1"/>
      <c r="W17" s="1"/>
      <c r="X17" s="1">
        <f t="shared" si="4"/>
        <v>11</v>
      </c>
      <c r="Y17" s="1">
        <f t="shared" si="5"/>
        <v>8.7757184621324953</v>
      </c>
      <c r="Z17" s="1">
        <v>6.4798</v>
      </c>
      <c r="AA17" s="1">
        <v>8.7683999999999997</v>
      </c>
      <c r="AB17" s="1">
        <v>8.0861999999999998</v>
      </c>
      <c r="AC17" s="1">
        <v>9.6727999999999987</v>
      </c>
      <c r="AD17" s="1">
        <v>9.2493333333333343</v>
      </c>
      <c r="AE17" s="1">
        <v>6.3465999999999996</v>
      </c>
      <c r="AF17" s="1">
        <v>7.9516000000000009</v>
      </c>
      <c r="AG17" s="1">
        <v>8.0396000000000001</v>
      </c>
      <c r="AH17" s="1"/>
      <c r="AI17" s="1">
        <f t="shared" si="6"/>
        <v>16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54</v>
      </c>
      <c r="B18" s="1" t="s">
        <v>36</v>
      </c>
      <c r="C18" s="1">
        <v>1834.4069999999999</v>
      </c>
      <c r="D18" s="1">
        <v>32.276000000000003</v>
      </c>
      <c r="E18" s="1">
        <v>392.65899999999999</v>
      </c>
      <c r="F18" s="1">
        <v>1471.491</v>
      </c>
      <c r="G18" s="8">
        <v>1</v>
      </c>
      <c r="H18" s="1">
        <v>60</v>
      </c>
      <c r="I18" s="1" t="s">
        <v>37</v>
      </c>
      <c r="J18" s="1"/>
      <c r="K18" s="1">
        <v>390.03800000000001</v>
      </c>
      <c r="L18" s="1">
        <f t="shared" si="0"/>
        <v>2.6209999999999809</v>
      </c>
      <c r="M18" s="1"/>
      <c r="N18" s="1"/>
      <c r="O18" s="1">
        <v>0</v>
      </c>
      <c r="P18" s="1">
        <v>0</v>
      </c>
      <c r="Q18" s="1">
        <f t="shared" si="2"/>
        <v>78.531800000000004</v>
      </c>
      <c r="R18" s="5"/>
      <c r="S18" s="5"/>
      <c r="T18" s="5">
        <f t="shared" si="3"/>
        <v>0</v>
      </c>
      <c r="U18" s="5"/>
      <c r="V18" s="1"/>
      <c r="W18" s="1"/>
      <c r="X18" s="1">
        <f t="shared" si="4"/>
        <v>18.737517795338956</v>
      </c>
      <c r="Y18" s="1">
        <f t="shared" si="5"/>
        <v>18.737517795338956</v>
      </c>
      <c r="Z18" s="1">
        <v>56.357399999999998</v>
      </c>
      <c r="AA18" s="1">
        <v>72.817599999999999</v>
      </c>
      <c r="AB18" s="1">
        <v>81.121400000000008</v>
      </c>
      <c r="AC18" s="1">
        <v>96.032600000000002</v>
      </c>
      <c r="AD18" s="1">
        <v>145.94566666666671</v>
      </c>
      <c r="AE18" s="1">
        <v>219.3134</v>
      </c>
      <c r="AF18" s="1">
        <v>182.58320000000001</v>
      </c>
      <c r="AG18" s="1">
        <v>142.5966</v>
      </c>
      <c r="AH18" s="20" t="s">
        <v>55</v>
      </c>
      <c r="AI18" s="1">
        <f t="shared" si="6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56</v>
      </c>
      <c r="B19" s="1" t="s">
        <v>36</v>
      </c>
      <c r="C19" s="1">
        <v>52.396999999999998</v>
      </c>
      <c r="D19" s="1">
        <v>10.489000000000001</v>
      </c>
      <c r="E19" s="1">
        <v>42.264000000000003</v>
      </c>
      <c r="F19" s="1">
        <v>18.847999999999999</v>
      </c>
      <c r="G19" s="8">
        <v>1</v>
      </c>
      <c r="H19" s="1">
        <v>60</v>
      </c>
      <c r="I19" s="1" t="s">
        <v>37</v>
      </c>
      <c r="J19" s="1"/>
      <c r="K19" s="1">
        <v>39.299999999999997</v>
      </c>
      <c r="L19" s="1">
        <f t="shared" si="0"/>
        <v>2.9640000000000057</v>
      </c>
      <c r="M19" s="1"/>
      <c r="N19" s="1"/>
      <c r="O19" s="1">
        <v>0</v>
      </c>
      <c r="P19" s="1">
        <v>64.441000000000017</v>
      </c>
      <c r="Q19" s="1">
        <f t="shared" si="2"/>
        <v>8.4527999999999999</v>
      </c>
      <c r="R19" s="5">
        <f t="shared" si="7"/>
        <v>9.6917999999999864</v>
      </c>
      <c r="S19" s="5"/>
      <c r="T19" s="5">
        <f t="shared" si="3"/>
        <v>9.6917999999999864</v>
      </c>
      <c r="U19" s="5"/>
      <c r="V19" s="1"/>
      <c r="W19" s="1"/>
      <c r="X19" s="1">
        <f t="shared" si="4"/>
        <v>11</v>
      </c>
      <c r="Y19" s="1">
        <f t="shared" si="5"/>
        <v>9.8534213515048297</v>
      </c>
      <c r="Z19" s="1">
        <v>7.7834000000000003</v>
      </c>
      <c r="AA19" s="1">
        <v>4.0612000000000004</v>
      </c>
      <c r="AB19" s="1">
        <v>4.7271999999999998</v>
      </c>
      <c r="AC19" s="1">
        <v>6.8337999999999992</v>
      </c>
      <c r="AD19" s="1">
        <v>6.8871666666666664</v>
      </c>
      <c r="AE19" s="1">
        <v>5.8531999999999993</v>
      </c>
      <c r="AF19" s="1">
        <v>3.4077999999999999</v>
      </c>
      <c r="AG19" s="1">
        <v>5.8864000000000001</v>
      </c>
      <c r="AH19" s="1"/>
      <c r="AI19" s="1">
        <f t="shared" si="6"/>
        <v>10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57</v>
      </c>
      <c r="B20" s="1" t="s">
        <v>36</v>
      </c>
      <c r="C20" s="1">
        <v>4.4740000000000002</v>
      </c>
      <c r="D20" s="1"/>
      <c r="E20" s="1"/>
      <c r="F20" s="1">
        <v>4.4740000000000002</v>
      </c>
      <c r="G20" s="8">
        <v>1</v>
      </c>
      <c r="H20" s="1">
        <v>180</v>
      </c>
      <c r="I20" s="1" t="s">
        <v>37</v>
      </c>
      <c r="J20" s="1"/>
      <c r="K20" s="1"/>
      <c r="L20" s="1">
        <f t="shared" si="0"/>
        <v>0</v>
      </c>
      <c r="M20" s="1"/>
      <c r="N20" s="1"/>
      <c r="O20" s="1">
        <v>0</v>
      </c>
      <c r="P20" s="1">
        <v>0</v>
      </c>
      <c r="Q20" s="1">
        <f t="shared" si="2"/>
        <v>0</v>
      </c>
      <c r="R20" s="5"/>
      <c r="S20" s="5"/>
      <c r="T20" s="5">
        <f t="shared" si="3"/>
        <v>0</v>
      </c>
      <c r="U20" s="5"/>
      <c r="V20" s="1"/>
      <c r="W20" s="1"/>
      <c r="X20" s="1" t="e">
        <f t="shared" si="4"/>
        <v>#DIV/0!</v>
      </c>
      <c r="Y20" s="1" t="e">
        <f t="shared" si="5"/>
        <v>#DIV/0!</v>
      </c>
      <c r="Z20" s="1">
        <v>0.1444</v>
      </c>
      <c r="AA20" s="1">
        <v>0.22</v>
      </c>
      <c r="AB20" s="1">
        <v>7.5600000000000001E-2</v>
      </c>
      <c r="AC20" s="1">
        <v>0.14560000000000001</v>
      </c>
      <c r="AD20" s="1">
        <v>0.1836666666666667</v>
      </c>
      <c r="AE20" s="1">
        <v>0.5292</v>
      </c>
      <c r="AF20" s="1">
        <v>0.68179999999999996</v>
      </c>
      <c r="AG20" s="1">
        <v>0.67999999999999994</v>
      </c>
      <c r="AH20" s="1"/>
      <c r="AI20" s="1">
        <f t="shared" si="6"/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23" t="s">
        <v>58</v>
      </c>
      <c r="B21" s="23" t="s">
        <v>36</v>
      </c>
      <c r="C21" s="23">
        <v>252.63200000000001</v>
      </c>
      <c r="D21" s="23">
        <v>61.695999999999998</v>
      </c>
      <c r="E21" s="23">
        <v>258.45999999999998</v>
      </c>
      <c r="F21" s="23">
        <v>46.198999999999998</v>
      </c>
      <c r="G21" s="24">
        <v>1</v>
      </c>
      <c r="H21" s="23">
        <v>60</v>
      </c>
      <c r="I21" s="23" t="s">
        <v>37</v>
      </c>
      <c r="J21" s="23"/>
      <c r="K21" s="23">
        <v>248.4</v>
      </c>
      <c r="L21" s="23">
        <f t="shared" si="0"/>
        <v>10.059999999999974</v>
      </c>
      <c r="M21" s="23"/>
      <c r="N21" s="23"/>
      <c r="O21" s="23">
        <v>522.38560000000007</v>
      </c>
      <c r="P21" s="23">
        <v>55.759000000000043</v>
      </c>
      <c r="Q21" s="23">
        <f t="shared" si="2"/>
        <v>51.691999999999993</v>
      </c>
      <c r="R21" s="25"/>
      <c r="S21" s="25"/>
      <c r="T21" s="25">
        <f t="shared" si="3"/>
        <v>0</v>
      </c>
      <c r="U21" s="25"/>
      <c r="V21" s="23"/>
      <c r="W21" s="23"/>
      <c r="X21" s="23">
        <f t="shared" si="4"/>
        <v>12.078147488973151</v>
      </c>
      <c r="Y21" s="23">
        <f t="shared" si="5"/>
        <v>12.078147488973151</v>
      </c>
      <c r="Z21" s="23">
        <v>63.988</v>
      </c>
      <c r="AA21" s="23">
        <v>63.500999999999998</v>
      </c>
      <c r="AB21" s="23">
        <v>41.723599999999998</v>
      </c>
      <c r="AC21" s="23">
        <v>45.596600000000002</v>
      </c>
      <c r="AD21" s="23">
        <v>49.124666666666663</v>
      </c>
      <c r="AE21" s="23">
        <v>49.304600000000001</v>
      </c>
      <c r="AF21" s="23">
        <v>49.347999999999999</v>
      </c>
      <c r="AG21" s="23">
        <v>55.198400000000007</v>
      </c>
      <c r="AH21" s="23" t="s">
        <v>51</v>
      </c>
      <c r="AI21" s="23">
        <f t="shared" si="6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59</v>
      </c>
      <c r="B22" s="1" t="s">
        <v>36</v>
      </c>
      <c r="C22" s="1">
        <v>152.58699999999999</v>
      </c>
      <c r="D22" s="1">
        <v>43.301000000000002</v>
      </c>
      <c r="E22" s="1">
        <v>61.598999999999997</v>
      </c>
      <c r="F22" s="1">
        <v>131.65899999999999</v>
      </c>
      <c r="G22" s="8">
        <v>1</v>
      </c>
      <c r="H22" s="1">
        <v>60</v>
      </c>
      <c r="I22" s="1" t="s">
        <v>37</v>
      </c>
      <c r="J22" s="1"/>
      <c r="K22" s="1">
        <v>55.3</v>
      </c>
      <c r="L22" s="1">
        <f t="shared" si="0"/>
        <v>6.2989999999999995</v>
      </c>
      <c r="M22" s="1"/>
      <c r="N22" s="1"/>
      <c r="O22" s="1">
        <v>4.9099500000000091</v>
      </c>
      <c r="P22" s="1">
        <v>13.13759999999994</v>
      </c>
      <c r="Q22" s="1">
        <f t="shared" si="2"/>
        <v>12.319799999999999</v>
      </c>
      <c r="R22" s="5"/>
      <c r="S22" s="5"/>
      <c r="T22" s="5">
        <f t="shared" si="3"/>
        <v>0</v>
      </c>
      <c r="U22" s="5"/>
      <c r="V22" s="1"/>
      <c r="W22" s="1"/>
      <c r="X22" s="1">
        <f t="shared" si="4"/>
        <v>12.151702949723205</v>
      </c>
      <c r="Y22" s="1">
        <f t="shared" si="5"/>
        <v>12.151702949723205</v>
      </c>
      <c r="Z22" s="1">
        <v>14.9748</v>
      </c>
      <c r="AA22" s="1">
        <v>17.693000000000001</v>
      </c>
      <c r="AB22" s="1">
        <v>18.7834</v>
      </c>
      <c r="AC22" s="1">
        <v>19.64</v>
      </c>
      <c r="AD22" s="1">
        <v>21.301833333333331</v>
      </c>
      <c r="AE22" s="1">
        <v>15.8376</v>
      </c>
      <c r="AF22" s="1">
        <v>6.9802000000000008</v>
      </c>
      <c r="AG22" s="1">
        <v>23.1342</v>
      </c>
      <c r="AH22" s="1"/>
      <c r="AI22" s="1">
        <f t="shared" si="6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26" t="s">
        <v>60</v>
      </c>
      <c r="B23" s="26" t="s">
        <v>36</v>
      </c>
      <c r="C23" s="26">
        <v>133.292</v>
      </c>
      <c r="D23" s="26"/>
      <c r="E23" s="26">
        <v>59.667999999999999</v>
      </c>
      <c r="F23" s="26">
        <v>73.623999999999995</v>
      </c>
      <c r="G23" s="27">
        <v>1</v>
      </c>
      <c r="H23" s="26">
        <v>60</v>
      </c>
      <c r="I23" s="26" t="s">
        <v>37</v>
      </c>
      <c r="J23" s="26"/>
      <c r="K23" s="26">
        <v>55.3</v>
      </c>
      <c r="L23" s="26">
        <f t="shared" si="0"/>
        <v>4.3680000000000021</v>
      </c>
      <c r="M23" s="26"/>
      <c r="N23" s="26"/>
      <c r="O23" s="26">
        <v>3.8384000000000071</v>
      </c>
      <c r="P23" s="26">
        <v>37.295399999999972</v>
      </c>
      <c r="Q23" s="26">
        <f t="shared" si="2"/>
        <v>11.9336</v>
      </c>
      <c r="R23" s="28">
        <f t="shared" ref="R23" si="9">11*Q23*1.5-P23-O23-F23</f>
        <v>82.146600000000035</v>
      </c>
      <c r="S23" s="28"/>
      <c r="T23" s="28">
        <f t="shared" si="3"/>
        <v>82.146600000000035</v>
      </c>
      <c r="U23" s="28"/>
      <c r="V23" s="26"/>
      <c r="W23" s="26"/>
      <c r="X23" s="26">
        <f t="shared" si="4"/>
        <v>16.5</v>
      </c>
      <c r="Y23" s="26">
        <f t="shared" si="5"/>
        <v>9.6163605282563491</v>
      </c>
      <c r="Z23" s="26">
        <v>12.115399999999999</v>
      </c>
      <c r="AA23" s="26">
        <v>12.4664</v>
      </c>
      <c r="AB23" s="26">
        <v>12.174200000000001</v>
      </c>
      <c r="AC23" s="26">
        <v>11.984400000000001</v>
      </c>
      <c r="AD23" s="26">
        <v>18.327333333333328</v>
      </c>
      <c r="AE23" s="26">
        <v>15.494400000000001</v>
      </c>
      <c r="AF23" s="26">
        <v>7.3226000000000004</v>
      </c>
      <c r="AG23" s="26">
        <v>17.344200000000001</v>
      </c>
      <c r="AH23" s="26" t="s">
        <v>150</v>
      </c>
      <c r="AI23" s="26">
        <f t="shared" si="6"/>
        <v>82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61</v>
      </c>
      <c r="B24" s="1" t="s">
        <v>36</v>
      </c>
      <c r="C24" s="1">
        <v>13.081</v>
      </c>
      <c r="D24" s="1"/>
      <c r="E24" s="1">
        <v>0.35199999999999998</v>
      </c>
      <c r="F24" s="1">
        <v>12.728999999999999</v>
      </c>
      <c r="G24" s="8">
        <v>1</v>
      </c>
      <c r="H24" s="1">
        <v>180</v>
      </c>
      <c r="I24" s="1" t="s">
        <v>37</v>
      </c>
      <c r="J24" s="1"/>
      <c r="K24" s="1">
        <v>0.35</v>
      </c>
      <c r="L24" s="1">
        <f t="shared" si="0"/>
        <v>2.0000000000000018E-3</v>
      </c>
      <c r="M24" s="1"/>
      <c r="N24" s="1"/>
      <c r="O24" s="1">
        <v>0</v>
      </c>
      <c r="P24" s="1">
        <v>0</v>
      </c>
      <c r="Q24" s="1">
        <f t="shared" si="2"/>
        <v>7.039999999999999E-2</v>
      </c>
      <c r="R24" s="5"/>
      <c r="S24" s="5"/>
      <c r="T24" s="5">
        <f t="shared" si="3"/>
        <v>0</v>
      </c>
      <c r="U24" s="5"/>
      <c r="V24" s="1"/>
      <c r="W24" s="1"/>
      <c r="X24" s="1">
        <f t="shared" si="4"/>
        <v>180.80965909090909</v>
      </c>
      <c r="Y24" s="1">
        <f t="shared" si="5"/>
        <v>180.80965909090909</v>
      </c>
      <c r="Z24" s="1">
        <v>7.8200000000000006E-2</v>
      </c>
      <c r="AA24" s="1">
        <v>0.22459999999999999</v>
      </c>
      <c r="AB24" s="1">
        <v>0.21460000000000001</v>
      </c>
      <c r="AC24" s="1">
        <v>0.20580000000000001</v>
      </c>
      <c r="AD24" s="1">
        <v>0.74783333333333335</v>
      </c>
      <c r="AE24" s="1">
        <v>1.1086</v>
      </c>
      <c r="AF24" s="1">
        <v>0.628</v>
      </c>
      <c r="AG24" s="1">
        <v>7.0199999999999999E-2</v>
      </c>
      <c r="AH24" s="20" t="s">
        <v>55</v>
      </c>
      <c r="AI24" s="1">
        <f t="shared" si="6"/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26" t="s">
        <v>62</v>
      </c>
      <c r="B25" s="26" t="s">
        <v>36</v>
      </c>
      <c r="C25" s="26">
        <v>157.714</v>
      </c>
      <c r="D25" s="26">
        <v>261.09199999999998</v>
      </c>
      <c r="E25" s="26">
        <v>112.443</v>
      </c>
      <c r="F25" s="26">
        <v>304.62099999999998</v>
      </c>
      <c r="G25" s="27">
        <v>1</v>
      </c>
      <c r="H25" s="26">
        <v>60</v>
      </c>
      <c r="I25" s="26" t="s">
        <v>37</v>
      </c>
      <c r="J25" s="26"/>
      <c r="K25" s="26">
        <v>102.881</v>
      </c>
      <c r="L25" s="26">
        <f t="shared" si="0"/>
        <v>9.5619999999999976</v>
      </c>
      <c r="M25" s="26"/>
      <c r="N25" s="26"/>
      <c r="O25" s="26">
        <v>47.618049999999947</v>
      </c>
      <c r="P25" s="26">
        <v>67.605199999999968</v>
      </c>
      <c r="Q25" s="26">
        <f t="shared" si="2"/>
        <v>22.488599999999998</v>
      </c>
      <c r="R25" s="28"/>
      <c r="S25" s="28"/>
      <c r="T25" s="28">
        <f t="shared" si="3"/>
        <v>0</v>
      </c>
      <c r="U25" s="28"/>
      <c r="V25" s="26"/>
      <c r="W25" s="26"/>
      <c r="X25" s="26">
        <f t="shared" si="4"/>
        <v>18.669203507554936</v>
      </c>
      <c r="Y25" s="26">
        <f t="shared" si="5"/>
        <v>18.669203507554936</v>
      </c>
      <c r="Z25" s="26">
        <v>20.178599999999999</v>
      </c>
      <c r="AA25" s="26">
        <v>19.472000000000001</v>
      </c>
      <c r="AB25" s="26">
        <v>18.447600000000001</v>
      </c>
      <c r="AC25" s="26">
        <v>21.787800000000001</v>
      </c>
      <c r="AD25" s="26">
        <v>22.638833333333331</v>
      </c>
      <c r="AE25" s="26">
        <v>17.836600000000001</v>
      </c>
      <c r="AF25" s="26">
        <v>19.833200000000001</v>
      </c>
      <c r="AG25" s="26">
        <v>35.476999999999997</v>
      </c>
      <c r="AH25" s="26" t="s">
        <v>152</v>
      </c>
      <c r="AI25" s="26">
        <f t="shared" si="6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6" t="s">
        <v>63</v>
      </c>
      <c r="B26" s="16" t="s">
        <v>36</v>
      </c>
      <c r="C26" s="16"/>
      <c r="D26" s="16"/>
      <c r="E26" s="16"/>
      <c r="F26" s="16"/>
      <c r="G26" s="17">
        <v>0</v>
      </c>
      <c r="H26" s="16">
        <v>30</v>
      </c>
      <c r="I26" s="16" t="s">
        <v>37</v>
      </c>
      <c r="J26" s="16"/>
      <c r="K26" s="16"/>
      <c r="L26" s="16">
        <f t="shared" si="0"/>
        <v>0</v>
      </c>
      <c r="M26" s="16"/>
      <c r="N26" s="16"/>
      <c r="O26" s="16">
        <v>0</v>
      </c>
      <c r="P26" s="16">
        <v>0</v>
      </c>
      <c r="Q26" s="16">
        <f t="shared" si="2"/>
        <v>0</v>
      </c>
      <c r="R26" s="18"/>
      <c r="S26" s="18"/>
      <c r="T26" s="5">
        <f t="shared" si="3"/>
        <v>0</v>
      </c>
      <c r="U26" s="18"/>
      <c r="V26" s="1"/>
      <c r="W26" s="16"/>
      <c r="X26" s="1" t="e">
        <f t="shared" si="4"/>
        <v>#DIV/0!</v>
      </c>
      <c r="Y26" s="16" t="e">
        <f t="shared" si="5"/>
        <v>#DIV/0!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 t="s">
        <v>64</v>
      </c>
      <c r="AI26" s="1">
        <f t="shared" si="6"/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65</v>
      </c>
      <c r="B27" s="1" t="s">
        <v>36</v>
      </c>
      <c r="C27" s="1">
        <v>46.883000000000003</v>
      </c>
      <c r="D27" s="1">
        <v>115.889</v>
      </c>
      <c r="E27" s="1">
        <v>115.91200000000001</v>
      </c>
      <c r="F27" s="1">
        <v>40.787999999999997</v>
      </c>
      <c r="G27" s="8">
        <v>1</v>
      </c>
      <c r="H27" s="1">
        <v>30</v>
      </c>
      <c r="I27" s="1" t="s">
        <v>37</v>
      </c>
      <c r="J27" s="1"/>
      <c r="K27" s="1">
        <v>106.7</v>
      </c>
      <c r="L27" s="1">
        <f t="shared" si="0"/>
        <v>9.2120000000000033</v>
      </c>
      <c r="M27" s="1"/>
      <c r="N27" s="1"/>
      <c r="O27" s="1">
        <v>70.845799999999997</v>
      </c>
      <c r="P27" s="1">
        <v>69.077600000000075</v>
      </c>
      <c r="Q27" s="1">
        <f t="shared" si="2"/>
        <v>23.182400000000001</v>
      </c>
      <c r="R27" s="5">
        <f t="shared" ref="R27" si="10">11*Q27-P27-O27-F27</f>
        <v>74.294999999999945</v>
      </c>
      <c r="S27" s="5"/>
      <c r="T27" s="5">
        <f t="shared" si="3"/>
        <v>74.294999999999945</v>
      </c>
      <c r="U27" s="5"/>
      <c r="V27" s="1"/>
      <c r="W27" s="1"/>
      <c r="X27" s="1">
        <f t="shared" si="4"/>
        <v>11.000000000000002</v>
      </c>
      <c r="Y27" s="1">
        <f t="shared" si="5"/>
        <v>7.7951980813030604</v>
      </c>
      <c r="Z27" s="1">
        <v>20.777200000000001</v>
      </c>
      <c r="AA27" s="1">
        <v>20.537800000000001</v>
      </c>
      <c r="AB27" s="1">
        <v>17.843</v>
      </c>
      <c r="AC27" s="1">
        <v>15.7944</v>
      </c>
      <c r="AD27" s="1">
        <v>14.419166666666669</v>
      </c>
      <c r="AE27" s="1">
        <v>19.844000000000001</v>
      </c>
      <c r="AF27" s="1">
        <v>17.498000000000001</v>
      </c>
      <c r="AG27" s="1">
        <v>13.9122</v>
      </c>
      <c r="AH27" s="1"/>
      <c r="AI27" s="1">
        <f t="shared" si="6"/>
        <v>74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26" t="s">
        <v>66</v>
      </c>
      <c r="B28" s="26" t="s">
        <v>36</v>
      </c>
      <c r="C28" s="26">
        <v>-2.6379999999999999</v>
      </c>
      <c r="D28" s="26">
        <v>200.69399999999999</v>
      </c>
      <c r="E28" s="26">
        <v>71.025999999999996</v>
      </c>
      <c r="F28" s="26">
        <v>117.23</v>
      </c>
      <c r="G28" s="27">
        <v>1</v>
      </c>
      <c r="H28" s="26">
        <v>30</v>
      </c>
      <c r="I28" s="26" t="s">
        <v>37</v>
      </c>
      <c r="J28" s="26"/>
      <c r="K28" s="26">
        <v>75.400000000000006</v>
      </c>
      <c r="L28" s="26">
        <f t="shared" si="0"/>
        <v>-4.3740000000000094</v>
      </c>
      <c r="M28" s="26"/>
      <c r="N28" s="26"/>
      <c r="O28" s="26">
        <v>24.993800000000011</v>
      </c>
      <c r="P28" s="26">
        <v>0</v>
      </c>
      <c r="Q28" s="26">
        <f t="shared" si="2"/>
        <v>14.2052</v>
      </c>
      <c r="R28" s="29">
        <f>11*Q28*1.2-P28-O28-F28</f>
        <v>45.28483999999996</v>
      </c>
      <c r="S28" s="28"/>
      <c r="T28" s="28">
        <f t="shared" si="3"/>
        <v>45.28483999999996</v>
      </c>
      <c r="U28" s="28"/>
      <c r="V28" s="26"/>
      <c r="W28" s="26"/>
      <c r="X28" s="26">
        <f t="shared" si="4"/>
        <v>13.199999999999998</v>
      </c>
      <c r="Y28" s="26">
        <f t="shared" si="5"/>
        <v>10.012094162700985</v>
      </c>
      <c r="Z28" s="26">
        <v>11.725199999999999</v>
      </c>
      <c r="AA28" s="26">
        <v>18.9116</v>
      </c>
      <c r="AB28" s="26">
        <v>20.006399999999999</v>
      </c>
      <c r="AC28" s="26">
        <v>23.244599999999998</v>
      </c>
      <c r="AD28" s="26">
        <v>12.7905</v>
      </c>
      <c r="AE28" s="26">
        <v>11.502599999999999</v>
      </c>
      <c r="AF28" s="26">
        <v>17.809000000000001</v>
      </c>
      <c r="AG28" s="26">
        <v>18.3062</v>
      </c>
      <c r="AH28" s="26" t="s">
        <v>152</v>
      </c>
      <c r="AI28" s="26">
        <f t="shared" si="6"/>
        <v>45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6" t="s">
        <v>67</v>
      </c>
      <c r="B29" s="16" t="s">
        <v>36</v>
      </c>
      <c r="C29" s="16"/>
      <c r="D29" s="16"/>
      <c r="E29" s="16"/>
      <c r="F29" s="16"/>
      <c r="G29" s="17">
        <v>0</v>
      </c>
      <c r="H29" s="16">
        <v>45</v>
      </c>
      <c r="I29" s="16" t="s">
        <v>37</v>
      </c>
      <c r="J29" s="16"/>
      <c r="K29" s="16"/>
      <c r="L29" s="16">
        <f t="shared" si="0"/>
        <v>0</v>
      </c>
      <c r="M29" s="16"/>
      <c r="N29" s="16"/>
      <c r="O29" s="16">
        <v>0</v>
      </c>
      <c r="P29" s="16">
        <v>0</v>
      </c>
      <c r="Q29" s="16">
        <f t="shared" si="2"/>
        <v>0</v>
      </c>
      <c r="R29" s="18"/>
      <c r="S29" s="18"/>
      <c r="T29" s="5">
        <f t="shared" si="3"/>
        <v>0</v>
      </c>
      <c r="U29" s="18"/>
      <c r="V29" s="1"/>
      <c r="W29" s="16"/>
      <c r="X29" s="1" t="e">
        <f t="shared" si="4"/>
        <v>#DIV/0!</v>
      </c>
      <c r="Y29" s="16" t="e">
        <f t="shared" si="5"/>
        <v>#DIV/0!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 t="s">
        <v>64</v>
      </c>
      <c r="AI29" s="1">
        <f t="shared" si="6"/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68</v>
      </c>
      <c r="B30" s="1" t="s">
        <v>36</v>
      </c>
      <c r="C30" s="1">
        <v>53.134999999999998</v>
      </c>
      <c r="D30" s="1"/>
      <c r="E30" s="1">
        <v>26.032</v>
      </c>
      <c r="F30" s="1">
        <v>27.103000000000002</v>
      </c>
      <c r="G30" s="8">
        <v>1</v>
      </c>
      <c r="H30" s="1">
        <v>40</v>
      </c>
      <c r="I30" s="1" t="s">
        <v>37</v>
      </c>
      <c r="J30" s="1"/>
      <c r="K30" s="1">
        <v>23.6</v>
      </c>
      <c r="L30" s="1">
        <f t="shared" si="0"/>
        <v>2.4319999999999986</v>
      </c>
      <c r="M30" s="1"/>
      <c r="N30" s="1"/>
      <c r="O30" s="1">
        <v>4</v>
      </c>
      <c r="P30" s="1">
        <v>0</v>
      </c>
      <c r="Q30" s="1">
        <f t="shared" si="2"/>
        <v>5.2064000000000004</v>
      </c>
      <c r="R30" s="5">
        <f t="shared" ref="R30:R36" si="11">11*Q30-P30-O30-F30</f>
        <v>26.167400000000001</v>
      </c>
      <c r="S30" s="5"/>
      <c r="T30" s="5">
        <f t="shared" si="3"/>
        <v>26.167400000000001</v>
      </c>
      <c r="U30" s="5"/>
      <c r="V30" s="1"/>
      <c r="W30" s="1"/>
      <c r="X30" s="1">
        <f t="shared" si="4"/>
        <v>11</v>
      </c>
      <c r="Y30" s="1">
        <f t="shared" si="5"/>
        <v>5.9739935464044249</v>
      </c>
      <c r="Z30" s="1">
        <v>3.4771999999999998</v>
      </c>
      <c r="AA30" s="1">
        <v>4.9627999999999997</v>
      </c>
      <c r="AB30" s="1">
        <v>4.1095999999999986</v>
      </c>
      <c r="AC30" s="1">
        <v>5.6880000000000006</v>
      </c>
      <c r="AD30" s="1">
        <v>6.5115000000000007</v>
      </c>
      <c r="AE30" s="1">
        <v>6.5385999999999997</v>
      </c>
      <c r="AF30" s="1">
        <v>5.1761999999999997</v>
      </c>
      <c r="AG30" s="1">
        <v>3.4788000000000001</v>
      </c>
      <c r="AH30" s="1"/>
      <c r="AI30" s="1">
        <f t="shared" si="6"/>
        <v>26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69</v>
      </c>
      <c r="B31" s="1" t="s">
        <v>36</v>
      </c>
      <c r="C31" s="1">
        <v>3.32</v>
      </c>
      <c r="D31" s="1">
        <v>43.451999999999998</v>
      </c>
      <c r="E31" s="1">
        <v>34.826999999999998</v>
      </c>
      <c r="F31" s="1">
        <v>11.945</v>
      </c>
      <c r="G31" s="8">
        <v>1</v>
      </c>
      <c r="H31" s="1">
        <v>30</v>
      </c>
      <c r="I31" s="1" t="s">
        <v>37</v>
      </c>
      <c r="J31" s="1"/>
      <c r="K31" s="1">
        <v>31.4</v>
      </c>
      <c r="L31" s="1">
        <f t="shared" si="0"/>
        <v>3.4269999999999996</v>
      </c>
      <c r="M31" s="1"/>
      <c r="N31" s="1"/>
      <c r="O31" s="1">
        <v>6.2873999999999981</v>
      </c>
      <c r="P31" s="1">
        <v>0</v>
      </c>
      <c r="Q31" s="1">
        <f t="shared" si="2"/>
        <v>6.9653999999999998</v>
      </c>
      <c r="R31" s="5">
        <f>9*Q31-P31-O31-F31</f>
        <v>44.456200000000003</v>
      </c>
      <c r="S31" s="5"/>
      <c r="T31" s="5">
        <f t="shared" si="3"/>
        <v>44.456200000000003</v>
      </c>
      <c r="U31" s="5"/>
      <c r="V31" s="1"/>
      <c r="W31" s="1"/>
      <c r="X31" s="1">
        <f t="shared" si="4"/>
        <v>9</v>
      </c>
      <c r="Y31" s="1">
        <f t="shared" si="5"/>
        <v>2.6175668303327875</v>
      </c>
      <c r="Z31" s="1">
        <v>2.677</v>
      </c>
      <c r="AA31" s="1">
        <v>4.7085999999999997</v>
      </c>
      <c r="AB31" s="1">
        <v>5.4712000000000014</v>
      </c>
      <c r="AC31" s="1">
        <v>1.3692</v>
      </c>
      <c r="AD31" s="1">
        <v>2.761333333333333</v>
      </c>
      <c r="AE31" s="1">
        <v>6.2792000000000003</v>
      </c>
      <c r="AF31" s="1">
        <v>6.8353999999999999</v>
      </c>
      <c r="AG31" s="1">
        <v>4.0375999999999994</v>
      </c>
      <c r="AH31" s="1" t="s">
        <v>70</v>
      </c>
      <c r="AI31" s="1">
        <f t="shared" si="6"/>
        <v>44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71</v>
      </c>
      <c r="B32" s="1" t="s">
        <v>36</v>
      </c>
      <c r="C32" s="1">
        <v>149.02199999999999</v>
      </c>
      <c r="D32" s="1"/>
      <c r="E32" s="1">
        <v>77.744</v>
      </c>
      <c r="F32" s="1">
        <v>70.37</v>
      </c>
      <c r="G32" s="8">
        <v>1</v>
      </c>
      <c r="H32" s="1">
        <v>50</v>
      </c>
      <c r="I32" s="1" t="s">
        <v>37</v>
      </c>
      <c r="J32" s="1"/>
      <c r="K32" s="1">
        <v>69.3</v>
      </c>
      <c r="L32" s="1">
        <f t="shared" si="0"/>
        <v>8.4440000000000026</v>
      </c>
      <c r="M32" s="1"/>
      <c r="N32" s="1"/>
      <c r="O32" s="1">
        <v>54.467000000000041</v>
      </c>
      <c r="P32" s="1">
        <v>0</v>
      </c>
      <c r="Q32" s="1">
        <f t="shared" si="2"/>
        <v>15.5488</v>
      </c>
      <c r="R32" s="5">
        <f t="shared" si="11"/>
        <v>46.199799999999954</v>
      </c>
      <c r="S32" s="5"/>
      <c r="T32" s="5">
        <f t="shared" si="3"/>
        <v>46.199799999999954</v>
      </c>
      <c r="U32" s="5"/>
      <c r="V32" s="1"/>
      <c r="W32" s="1"/>
      <c r="X32" s="1">
        <f t="shared" si="4"/>
        <v>11</v>
      </c>
      <c r="Y32" s="1">
        <f t="shared" si="5"/>
        <v>8.0287224737600358</v>
      </c>
      <c r="Z32" s="1">
        <v>14.262</v>
      </c>
      <c r="AA32" s="1">
        <v>18.498999999999999</v>
      </c>
      <c r="AB32" s="1">
        <v>12.4376</v>
      </c>
      <c r="AC32" s="1">
        <v>10.7364</v>
      </c>
      <c r="AD32" s="1">
        <v>16.374500000000001</v>
      </c>
      <c r="AE32" s="1">
        <v>25.625599999999999</v>
      </c>
      <c r="AF32" s="1">
        <v>24.022400000000001</v>
      </c>
      <c r="AG32" s="1">
        <v>19.895800000000001</v>
      </c>
      <c r="AH32" s="1"/>
      <c r="AI32" s="1">
        <f t="shared" si="6"/>
        <v>46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72</v>
      </c>
      <c r="B33" s="1" t="s">
        <v>36</v>
      </c>
      <c r="C33" s="1">
        <v>165.88800000000001</v>
      </c>
      <c r="D33" s="1"/>
      <c r="E33" s="1">
        <v>48.484999999999999</v>
      </c>
      <c r="F33" s="1">
        <v>117.40300000000001</v>
      </c>
      <c r="G33" s="8">
        <v>1</v>
      </c>
      <c r="H33" s="1">
        <v>50</v>
      </c>
      <c r="I33" s="1" t="s">
        <v>37</v>
      </c>
      <c r="J33" s="1"/>
      <c r="K33" s="1">
        <v>42.7</v>
      </c>
      <c r="L33" s="1">
        <f t="shared" si="0"/>
        <v>5.7849999999999966</v>
      </c>
      <c r="M33" s="1"/>
      <c r="N33" s="1"/>
      <c r="O33" s="1">
        <v>0</v>
      </c>
      <c r="P33" s="1">
        <v>0</v>
      </c>
      <c r="Q33" s="1">
        <f t="shared" si="2"/>
        <v>9.6969999999999992</v>
      </c>
      <c r="R33" s="5"/>
      <c r="S33" s="5"/>
      <c r="T33" s="5">
        <f t="shared" si="3"/>
        <v>0</v>
      </c>
      <c r="U33" s="5"/>
      <c r="V33" s="1"/>
      <c r="W33" s="1"/>
      <c r="X33" s="1">
        <f t="shared" si="4"/>
        <v>12.107146540167063</v>
      </c>
      <c r="Y33" s="1">
        <f t="shared" si="5"/>
        <v>12.107146540167063</v>
      </c>
      <c r="Z33" s="1">
        <v>12.5952</v>
      </c>
      <c r="AA33" s="1">
        <v>14.5916</v>
      </c>
      <c r="AB33" s="1">
        <v>5.2244000000000002</v>
      </c>
      <c r="AC33" s="1">
        <v>0.36820000000000003</v>
      </c>
      <c r="AD33" s="1">
        <v>16.494</v>
      </c>
      <c r="AE33" s="1">
        <v>23.8748</v>
      </c>
      <c r="AF33" s="1">
        <v>12.8446</v>
      </c>
      <c r="AG33" s="1">
        <v>10.7354</v>
      </c>
      <c r="AH33" s="1"/>
      <c r="AI33" s="1">
        <f t="shared" si="6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26" t="s">
        <v>73</v>
      </c>
      <c r="B34" s="26" t="s">
        <v>42</v>
      </c>
      <c r="C34" s="26">
        <v>279</v>
      </c>
      <c r="D34" s="26">
        <v>663</v>
      </c>
      <c r="E34" s="26">
        <v>643</v>
      </c>
      <c r="F34" s="26">
        <v>270</v>
      </c>
      <c r="G34" s="27">
        <v>0.4</v>
      </c>
      <c r="H34" s="26">
        <v>45</v>
      </c>
      <c r="I34" s="26" t="s">
        <v>37</v>
      </c>
      <c r="J34" s="26"/>
      <c r="K34" s="26">
        <v>695</v>
      </c>
      <c r="L34" s="26">
        <f t="shared" si="0"/>
        <v>-52</v>
      </c>
      <c r="M34" s="26"/>
      <c r="N34" s="26"/>
      <c r="O34" s="26">
        <v>779.59999999999991</v>
      </c>
      <c r="P34" s="26">
        <v>431.99999999999977</v>
      </c>
      <c r="Q34" s="26">
        <f t="shared" si="2"/>
        <v>128.6</v>
      </c>
      <c r="R34" s="28">
        <f t="shared" ref="R34" si="12">11*Q34*1.5-P34-O34-F34</f>
        <v>640.29999999999995</v>
      </c>
      <c r="S34" s="28"/>
      <c r="T34" s="28">
        <f t="shared" si="3"/>
        <v>640.29999999999995</v>
      </c>
      <c r="U34" s="28"/>
      <c r="V34" s="26"/>
      <c r="W34" s="26"/>
      <c r="X34" s="26">
        <f t="shared" si="4"/>
        <v>16.499999999999996</v>
      </c>
      <c r="Y34" s="26">
        <f t="shared" si="5"/>
        <v>11.520995334370138</v>
      </c>
      <c r="Z34" s="26">
        <v>154.19999999999999</v>
      </c>
      <c r="AA34" s="26">
        <v>155.4</v>
      </c>
      <c r="AB34" s="26">
        <v>116.4</v>
      </c>
      <c r="AC34" s="26">
        <v>109</v>
      </c>
      <c r="AD34" s="26">
        <v>112</v>
      </c>
      <c r="AE34" s="26">
        <v>117.6</v>
      </c>
      <c r="AF34" s="26">
        <v>98</v>
      </c>
      <c r="AG34" s="26">
        <v>159.19999999999999</v>
      </c>
      <c r="AH34" s="26" t="s">
        <v>153</v>
      </c>
      <c r="AI34" s="26">
        <f t="shared" si="6"/>
        <v>256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74</v>
      </c>
      <c r="B35" s="1" t="s">
        <v>42</v>
      </c>
      <c r="C35" s="1">
        <v>306</v>
      </c>
      <c r="D35" s="1">
        <v>5</v>
      </c>
      <c r="E35" s="1">
        <v>125</v>
      </c>
      <c r="F35" s="1">
        <v>179</v>
      </c>
      <c r="G35" s="8">
        <v>0.45</v>
      </c>
      <c r="H35" s="1">
        <v>50</v>
      </c>
      <c r="I35" s="12" t="s">
        <v>75</v>
      </c>
      <c r="J35" s="1"/>
      <c r="K35" s="1">
        <v>126</v>
      </c>
      <c r="L35" s="1">
        <f t="shared" si="0"/>
        <v>-1</v>
      </c>
      <c r="M35" s="1"/>
      <c r="N35" s="1"/>
      <c r="O35" s="1">
        <v>0</v>
      </c>
      <c r="P35" s="1">
        <v>0</v>
      </c>
      <c r="Q35" s="1">
        <f t="shared" si="2"/>
        <v>25</v>
      </c>
      <c r="R35" s="5">
        <f t="shared" si="11"/>
        <v>96</v>
      </c>
      <c r="S35" s="5"/>
      <c r="T35" s="5">
        <f t="shared" si="3"/>
        <v>96</v>
      </c>
      <c r="U35" s="5"/>
      <c r="V35" s="1"/>
      <c r="W35" s="1"/>
      <c r="X35" s="1">
        <f t="shared" si="4"/>
        <v>11</v>
      </c>
      <c r="Y35" s="1">
        <f t="shared" si="5"/>
        <v>7.16</v>
      </c>
      <c r="Z35" s="1">
        <v>15.8</v>
      </c>
      <c r="AA35" s="1">
        <v>11.6</v>
      </c>
      <c r="AB35" s="1">
        <v>16.2</v>
      </c>
      <c r="AC35" s="1">
        <v>26.6</v>
      </c>
      <c r="AD35" s="1">
        <v>35.333333333333343</v>
      </c>
      <c r="AE35" s="1">
        <v>30.4</v>
      </c>
      <c r="AF35" s="1">
        <v>16.2</v>
      </c>
      <c r="AG35" s="1">
        <v>29.8</v>
      </c>
      <c r="AH35" s="1" t="s">
        <v>39</v>
      </c>
      <c r="AI35" s="1">
        <f t="shared" si="6"/>
        <v>43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76</v>
      </c>
      <c r="B36" s="1" t="s">
        <v>42</v>
      </c>
      <c r="C36" s="1">
        <v>394</v>
      </c>
      <c r="D36" s="1">
        <v>294</v>
      </c>
      <c r="E36" s="1">
        <v>583</v>
      </c>
      <c r="F36" s="1">
        <v>75</v>
      </c>
      <c r="G36" s="8">
        <v>0.4</v>
      </c>
      <c r="H36" s="1">
        <v>45</v>
      </c>
      <c r="I36" s="1" t="s">
        <v>37</v>
      </c>
      <c r="J36" s="1"/>
      <c r="K36" s="1">
        <v>595</v>
      </c>
      <c r="L36" s="1">
        <f t="shared" si="0"/>
        <v>-12</v>
      </c>
      <c r="M36" s="1"/>
      <c r="N36" s="1"/>
      <c r="O36" s="1">
        <v>495.59999999999991</v>
      </c>
      <c r="P36" s="1">
        <v>449.19999999999982</v>
      </c>
      <c r="Q36" s="1">
        <f t="shared" si="2"/>
        <v>116.6</v>
      </c>
      <c r="R36" s="5">
        <f t="shared" si="11"/>
        <v>262.80000000000018</v>
      </c>
      <c r="S36" s="5">
        <f>$S$1*Q36</f>
        <v>244.85999999999999</v>
      </c>
      <c r="T36" s="5">
        <f t="shared" si="3"/>
        <v>507.6600000000002</v>
      </c>
      <c r="U36" s="5"/>
      <c r="V36" s="1"/>
      <c r="W36" s="1"/>
      <c r="X36" s="1">
        <f t="shared" si="4"/>
        <v>13.100000000000001</v>
      </c>
      <c r="Y36" s="1">
        <f t="shared" si="5"/>
        <v>8.7461406518010278</v>
      </c>
      <c r="Z36" s="1">
        <v>114.6</v>
      </c>
      <c r="AA36" s="1">
        <v>105</v>
      </c>
      <c r="AB36" s="1">
        <v>81.2</v>
      </c>
      <c r="AC36" s="1">
        <v>87.8</v>
      </c>
      <c r="AD36" s="1">
        <v>94.5</v>
      </c>
      <c r="AE36" s="1">
        <v>98.4</v>
      </c>
      <c r="AF36" s="1">
        <v>70.599999999999994</v>
      </c>
      <c r="AG36" s="1">
        <v>114.4</v>
      </c>
      <c r="AH36" s="1"/>
      <c r="AI36" s="1">
        <f t="shared" si="6"/>
        <v>203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3" t="s">
        <v>77</v>
      </c>
      <c r="B37" s="13" t="s">
        <v>42</v>
      </c>
      <c r="C37" s="13"/>
      <c r="D37" s="13">
        <v>1</v>
      </c>
      <c r="E37" s="13">
        <v>-2</v>
      </c>
      <c r="F37" s="13">
        <v>1</v>
      </c>
      <c r="G37" s="14">
        <v>0</v>
      </c>
      <c r="H37" s="13" t="e">
        <v>#N/A</v>
      </c>
      <c r="I37" s="13" t="s">
        <v>43</v>
      </c>
      <c r="J37" s="13"/>
      <c r="K37" s="13"/>
      <c r="L37" s="13">
        <f t="shared" si="0"/>
        <v>-2</v>
      </c>
      <c r="M37" s="13"/>
      <c r="N37" s="13"/>
      <c r="O37" s="13">
        <v>0</v>
      </c>
      <c r="P37" s="13">
        <v>0</v>
      </c>
      <c r="Q37" s="13">
        <f t="shared" si="2"/>
        <v>-0.4</v>
      </c>
      <c r="R37" s="15"/>
      <c r="S37" s="15"/>
      <c r="T37" s="5">
        <f t="shared" si="3"/>
        <v>0</v>
      </c>
      <c r="U37" s="15"/>
      <c r="V37" s="1"/>
      <c r="W37" s="13"/>
      <c r="X37" s="1">
        <f t="shared" si="4"/>
        <v>-2.5</v>
      </c>
      <c r="Y37" s="13">
        <f t="shared" si="5"/>
        <v>-2.5</v>
      </c>
      <c r="Z37" s="13">
        <v>3.2</v>
      </c>
      <c r="AA37" s="13">
        <v>4.2</v>
      </c>
      <c r="AB37" s="13">
        <v>2.2000000000000002</v>
      </c>
      <c r="AC37" s="13">
        <v>1.6</v>
      </c>
      <c r="AD37" s="13">
        <v>0.33333333333333331</v>
      </c>
      <c r="AE37" s="13">
        <v>0</v>
      </c>
      <c r="AF37" s="13">
        <v>0</v>
      </c>
      <c r="AG37" s="13">
        <v>0</v>
      </c>
      <c r="AH37" s="13" t="s">
        <v>44</v>
      </c>
      <c r="AI37" s="1">
        <f t="shared" si="6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78</v>
      </c>
      <c r="B38" s="1" t="s">
        <v>42</v>
      </c>
      <c r="C38" s="1"/>
      <c r="D38" s="1">
        <v>78</v>
      </c>
      <c r="E38" s="1">
        <v>5</v>
      </c>
      <c r="F38" s="1">
        <v>72</v>
      </c>
      <c r="G38" s="8">
        <v>0.4</v>
      </c>
      <c r="H38" s="1">
        <v>40</v>
      </c>
      <c r="I38" s="1" t="s">
        <v>37</v>
      </c>
      <c r="J38" s="1"/>
      <c r="K38" s="1">
        <v>48</v>
      </c>
      <c r="L38" s="1">
        <f t="shared" ref="L38:L68" si="13">E38-K38</f>
        <v>-43</v>
      </c>
      <c r="M38" s="1"/>
      <c r="N38" s="1"/>
      <c r="O38" s="1">
        <v>15</v>
      </c>
      <c r="P38" s="1">
        <v>0</v>
      </c>
      <c r="Q38" s="1">
        <f t="shared" si="2"/>
        <v>1</v>
      </c>
      <c r="R38" s="5"/>
      <c r="S38" s="5"/>
      <c r="T38" s="5">
        <f t="shared" si="3"/>
        <v>0</v>
      </c>
      <c r="U38" s="5"/>
      <c r="V38" s="1"/>
      <c r="W38" s="1"/>
      <c r="X38" s="1">
        <f t="shared" si="4"/>
        <v>87</v>
      </c>
      <c r="Y38" s="1">
        <f t="shared" si="5"/>
        <v>87</v>
      </c>
      <c r="Z38" s="1">
        <v>-0.4</v>
      </c>
      <c r="AA38" s="1">
        <v>6.2</v>
      </c>
      <c r="AB38" s="1">
        <v>8.6</v>
      </c>
      <c r="AC38" s="1">
        <v>1.8</v>
      </c>
      <c r="AD38" s="1">
        <v>-1.166666666666667</v>
      </c>
      <c r="AE38" s="1">
        <v>-1.4</v>
      </c>
      <c r="AF38" s="1">
        <v>0.4</v>
      </c>
      <c r="AG38" s="1">
        <v>8.4</v>
      </c>
      <c r="AH38" s="1" t="s">
        <v>79</v>
      </c>
      <c r="AI38" s="1">
        <f t="shared" si="6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80</v>
      </c>
      <c r="B39" s="1" t="s">
        <v>36</v>
      </c>
      <c r="C39" s="1">
        <v>50.003</v>
      </c>
      <c r="D39" s="1"/>
      <c r="E39" s="1">
        <v>38.590000000000003</v>
      </c>
      <c r="F39" s="1">
        <v>11.413</v>
      </c>
      <c r="G39" s="8">
        <v>1</v>
      </c>
      <c r="H39" s="1">
        <v>45</v>
      </c>
      <c r="I39" s="1" t="s">
        <v>37</v>
      </c>
      <c r="J39" s="1"/>
      <c r="K39" s="1">
        <v>35.6</v>
      </c>
      <c r="L39" s="1">
        <f t="shared" si="13"/>
        <v>2.990000000000002</v>
      </c>
      <c r="M39" s="1"/>
      <c r="N39" s="1"/>
      <c r="O39" s="1">
        <v>18.59739999999999</v>
      </c>
      <c r="P39" s="1">
        <v>0</v>
      </c>
      <c r="Q39" s="1">
        <f t="shared" si="2"/>
        <v>7.7180000000000009</v>
      </c>
      <c r="R39" s="5">
        <f>10*Q39-P39-O39-F39</f>
        <v>47.169600000000017</v>
      </c>
      <c r="S39" s="5"/>
      <c r="T39" s="5">
        <f t="shared" si="3"/>
        <v>47.169600000000017</v>
      </c>
      <c r="U39" s="5"/>
      <c r="V39" s="1"/>
      <c r="W39" s="1"/>
      <c r="X39" s="1">
        <f t="shared" si="4"/>
        <v>10</v>
      </c>
      <c r="Y39" s="1">
        <f t="shared" si="5"/>
        <v>3.8883648613630455</v>
      </c>
      <c r="Z39" s="1">
        <v>4.0064000000000002</v>
      </c>
      <c r="AA39" s="1">
        <v>6.2363999999999997</v>
      </c>
      <c r="AB39" s="1">
        <v>5.3280000000000003</v>
      </c>
      <c r="AC39" s="1">
        <v>2.2604000000000002</v>
      </c>
      <c r="AD39" s="1">
        <v>1.162666666666667</v>
      </c>
      <c r="AE39" s="1">
        <v>5.8878000000000004</v>
      </c>
      <c r="AF39" s="1">
        <v>7.9117999999999986</v>
      </c>
      <c r="AG39" s="1">
        <v>5.5939999999999994</v>
      </c>
      <c r="AH39" s="1"/>
      <c r="AI39" s="1">
        <f t="shared" si="6"/>
        <v>47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81</v>
      </c>
      <c r="B40" s="1" t="s">
        <v>42</v>
      </c>
      <c r="C40" s="1">
        <v>54</v>
      </c>
      <c r="D40" s="1">
        <v>20</v>
      </c>
      <c r="E40" s="1">
        <v>35</v>
      </c>
      <c r="F40" s="1">
        <v>39</v>
      </c>
      <c r="G40" s="8">
        <v>0.1</v>
      </c>
      <c r="H40" s="1">
        <v>730</v>
      </c>
      <c r="I40" s="1" t="s">
        <v>37</v>
      </c>
      <c r="J40" s="1"/>
      <c r="K40" s="1">
        <v>35</v>
      </c>
      <c r="L40" s="1">
        <f t="shared" si="13"/>
        <v>0</v>
      </c>
      <c r="M40" s="1"/>
      <c r="N40" s="1"/>
      <c r="O40" s="1">
        <v>0</v>
      </c>
      <c r="P40" s="1">
        <v>0</v>
      </c>
      <c r="Q40" s="1">
        <f t="shared" si="2"/>
        <v>7</v>
      </c>
      <c r="R40" s="5">
        <f t="shared" ref="R40:R50" si="14">11*Q40-P40-O40-F40</f>
        <v>38</v>
      </c>
      <c r="S40" s="5"/>
      <c r="T40" s="5">
        <f t="shared" si="3"/>
        <v>38</v>
      </c>
      <c r="U40" s="5"/>
      <c r="V40" s="1"/>
      <c r="W40" s="1"/>
      <c r="X40" s="1">
        <f t="shared" si="4"/>
        <v>11</v>
      </c>
      <c r="Y40" s="1">
        <f t="shared" si="5"/>
        <v>5.5714285714285712</v>
      </c>
      <c r="Z40" s="1">
        <v>5.4</v>
      </c>
      <c r="AA40" s="1">
        <v>5.2</v>
      </c>
      <c r="AB40" s="1">
        <v>7.4</v>
      </c>
      <c r="AC40" s="1">
        <v>6.4</v>
      </c>
      <c r="AD40" s="1">
        <v>4.5</v>
      </c>
      <c r="AE40" s="1">
        <v>5.6</v>
      </c>
      <c r="AF40" s="1">
        <v>4.8</v>
      </c>
      <c r="AG40" s="1">
        <v>8.8000000000000007</v>
      </c>
      <c r="AH40" s="1"/>
      <c r="AI40" s="1">
        <f t="shared" si="6"/>
        <v>4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82</v>
      </c>
      <c r="B41" s="1" t="s">
        <v>42</v>
      </c>
      <c r="C41" s="1">
        <v>-4</v>
      </c>
      <c r="D41" s="1">
        <v>105</v>
      </c>
      <c r="E41" s="1">
        <v>78</v>
      </c>
      <c r="F41" s="1">
        <v>3</v>
      </c>
      <c r="G41" s="8">
        <v>0.35</v>
      </c>
      <c r="H41" s="1">
        <v>40</v>
      </c>
      <c r="I41" s="1" t="s">
        <v>37</v>
      </c>
      <c r="J41" s="1"/>
      <c r="K41" s="1">
        <v>88</v>
      </c>
      <c r="L41" s="1">
        <f t="shared" si="13"/>
        <v>-10</v>
      </c>
      <c r="M41" s="1"/>
      <c r="N41" s="1"/>
      <c r="O41" s="1">
        <v>208.2800000000002</v>
      </c>
      <c r="P41" s="1">
        <v>4.9999999999999147</v>
      </c>
      <c r="Q41" s="1">
        <f t="shared" si="2"/>
        <v>15.6</v>
      </c>
      <c r="R41" s="5"/>
      <c r="S41" s="5"/>
      <c r="T41" s="5">
        <f t="shared" si="3"/>
        <v>0</v>
      </c>
      <c r="U41" s="5"/>
      <c r="V41" s="1"/>
      <c r="W41" s="1"/>
      <c r="X41" s="1">
        <f t="shared" si="4"/>
        <v>13.864102564102572</v>
      </c>
      <c r="Y41" s="1">
        <f t="shared" si="5"/>
        <v>13.864102564102572</v>
      </c>
      <c r="Z41" s="1">
        <v>25.4</v>
      </c>
      <c r="AA41" s="1">
        <v>33.200000000000003</v>
      </c>
      <c r="AB41" s="1">
        <v>18.399999999999999</v>
      </c>
      <c r="AC41" s="1">
        <v>19.8</v>
      </c>
      <c r="AD41" s="1">
        <v>19.333333333333329</v>
      </c>
      <c r="AE41" s="1">
        <v>20.8</v>
      </c>
      <c r="AF41" s="1">
        <v>22.4</v>
      </c>
      <c r="AG41" s="1">
        <v>18.8</v>
      </c>
      <c r="AH41" s="1" t="s">
        <v>39</v>
      </c>
      <c r="AI41" s="1">
        <f t="shared" si="6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83</v>
      </c>
      <c r="B42" s="1" t="s">
        <v>36</v>
      </c>
      <c r="C42" s="1">
        <v>270.91300000000001</v>
      </c>
      <c r="D42" s="1">
        <v>9.3670000000000009</v>
      </c>
      <c r="E42" s="1">
        <v>137.02799999999999</v>
      </c>
      <c r="F42" s="1">
        <v>130.983</v>
      </c>
      <c r="G42" s="8">
        <v>1</v>
      </c>
      <c r="H42" s="1">
        <v>40</v>
      </c>
      <c r="I42" s="1" t="s">
        <v>37</v>
      </c>
      <c r="J42" s="1"/>
      <c r="K42" s="1">
        <v>147.19999999999999</v>
      </c>
      <c r="L42" s="1">
        <f t="shared" si="13"/>
        <v>-10.171999999999997</v>
      </c>
      <c r="M42" s="1"/>
      <c r="N42" s="1"/>
      <c r="O42" s="1">
        <v>0</v>
      </c>
      <c r="P42" s="1">
        <v>0</v>
      </c>
      <c r="Q42" s="1">
        <f t="shared" si="2"/>
        <v>27.4056</v>
      </c>
      <c r="R42" s="5">
        <f t="shared" si="14"/>
        <v>170.47859999999997</v>
      </c>
      <c r="S42" s="5"/>
      <c r="T42" s="5">
        <f t="shared" si="3"/>
        <v>170.47859999999997</v>
      </c>
      <c r="U42" s="5"/>
      <c r="V42" s="1"/>
      <c r="W42" s="1"/>
      <c r="X42" s="1">
        <f t="shared" si="4"/>
        <v>11</v>
      </c>
      <c r="Y42" s="1">
        <f t="shared" si="5"/>
        <v>4.7794246431386291</v>
      </c>
      <c r="Z42" s="1">
        <v>14.461600000000001</v>
      </c>
      <c r="AA42" s="1">
        <v>18.576599999999999</v>
      </c>
      <c r="AB42" s="1">
        <v>18.746600000000001</v>
      </c>
      <c r="AC42" s="1">
        <v>9.8463999999999992</v>
      </c>
      <c r="AD42" s="1">
        <v>23.373666666666669</v>
      </c>
      <c r="AE42" s="1">
        <v>38.018000000000001</v>
      </c>
      <c r="AF42" s="1">
        <v>29.227399999999999</v>
      </c>
      <c r="AG42" s="1">
        <v>18.8142</v>
      </c>
      <c r="AH42" s="1"/>
      <c r="AI42" s="1">
        <f t="shared" si="6"/>
        <v>170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84</v>
      </c>
      <c r="B43" s="1" t="s">
        <v>42</v>
      </c>
      <c r="C43" s="1">
        <v>88</v>
      </c>
      <c r="D43" s="1">
        <v>5</v>
      </c>
      <c r="E43" s="1">
        <v>26</v>
      </c>
      <c r="F43" s="1">
        <v>62</v>
      </c>
      <c r="G43" s="8">
        <v>0.4</v>
      </c>
      <c r="H43" s="1">
        <v>40</v>
      </c>
      <c r="I43" s="1" t="s">
        <v>37</v>
      </c>
      <c r="J43" s="1"/>
      <c r="K43" s="1">
        <v>171</v>
      </c>
      <c r="L43" s="1">
        <f t="shared" si="13"/>
        <v>-145</v>
      </c>
      <c r="M43" s="1"/>
      <c r="N43" s="1"/>
      <c r="O43" s="1">
        <v>198.4</v>
      </c>
      <c r="P43" s="1">
        <v>51.999999999999972</v>
      </c>
      <c r="Q43" s="1">
        <f t="shared" si="2"/>
        <v>5.2</v>
      </c>
      <c r="R43" s="5"/>
      <c r="S43" s="5"/>
      <c r="T43" s="5">
        <f t="shared" si="3"/>
        <v>0</v>
      </c>
      <c r="U43" s="5"/>
      <c r="V43" s="1"/>
      <c r="W43" s="1"/>
      <c r="X43" s="1">
        <f t="shared" si="4"/>
        <v>60.076923076923073</v>
      </c>
      <c r="Y43" s="1">
        <f t="shared" si="5"/>
        <v>60.076923076923073</v>
      </c>
      <c r="Z43" s="1">
        <v>27.2</v>
      </c>
      <c r="AA43" s="1">
        <v>35.799999999999997</v>
      </c>
      <c r="AB43" s="1">
        <v>10.8</v>
      </c>
      <c r="AC43" s="1">
        <v>8.4</v>
      </c>
      <c r="AD43" s="1">
        <v>16</v>
      </c>
      <c r="AE43" s="1">
        <v>13.2</v>
      </c>
      <c r="AF43" s="1">
        <v>4.5999999999999996</v>
      </c>
      <c r="AG43" s="1">
        <v>34.4</v>
      </c>
      <c r="AH43" s="20" t="s">
        <v>55</v>
      </c>
      <c r="AI43" s="1">
        <f t="shared" si="6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85</v>
      </c>
      <c r="B44" s="1" t="s">
        <v>42</v>
      </c>
      <c r="C44" s="1">
        <v>156</v>
      </c>
      <c r="D44" s="1"/>
      <c r="E44" s="1">
        <v>-2</v>
      </c>
      <c r="F44" s="1">
        <v>155</v>
      </c>
      <c r="G44" s="8">
        <v>0.4</v>
      </c>
      <c r="H44" s="1">
        <v>45</v>
      </c>
      <c r="I44" s="1" t="s">
        <v>37</v>
      </c>
      <c r="J44" s="1"/>
      <c r="K44" s="1">
        <v>147</v>
      </c>
      <c r="L44" s="1">
        <f t="shared" si="13"/>
        <v>-149</v>
      </c>
      <c r="M44" s="1"/>
      <c r="N44" s="1"/>
      <c r="O44" s="1">
        <v>333.6</v>
      </c>
      <c r="P44" s="1">
        <v>0</v>
      </c>
      <c r="Q44" s="1">
        <f t="shared" si="2"/>
        <v>-0.4</v>
      </c>
      <c r="R44" s="5"/>
      <c r="S44" s="5"/>
      <c r="T44" s="5">
        <f t="shared" si="3"/>
        <v>0</v>
      </c>
      <c r="U44" s="5"/>
      <c r="V44" s="1"/>
      <c r="W44" s="1"/>
      <c r="X44" s="1">
        <f t="shared" si="4"/>
        <v>-1221.5</v>
      </c>
      <c r="Y44" s="1">
        <f t="shared" si="5"/>
        <v>-1221.5</v>
      </c>
      <c r="Z44" s="1">
        <v>37.799999999999997</v>
      </c>
      <c r="AA44" s="1">
        <v>54.4</v>
      </c>
      <c r="AB44" s="1">
        <v>26.2</v>
      </c>
      <c r="AC44" s="1">
        <v>26.4</v>
      </c>
      <c r="AD44" s="1">
        <v>38.666666666666657</v>
      </c>
      <c r="AE44" s="1">
        <v>33</v>
      </c>
      <c r="AF44" s="1">
        <v>7.6</v>
      </c>
      <c r="AG44" s="1">
        <v>55</v>
      </c>
      <c r="AH44" s="21" t="s">
        <v>148</v>
      </c>
      <c r="AI44" s="1">
        <f t="shared" si="6"/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86</v>
      </c>
      <c r="B45" s="1" t="s">
        <v>36</v>
      </c>
      <c r="C45" s="1">
        <v>105.345</v>
      </c>
      <c r="D45" s="1">
        <v>195.095</v>
      </c>
      <c r="E45" s="1">
        <v>191.85900000000001</v>
      </c>
      <c r="F45" s="1">
        <v>102.795</v>
      </c>
      <c r="G45" s="8">
        <v>1</v>
      </c>
      <c r="H45" s="1">
        <v>40</v>
      </c>
      <c r="I45" s="1" t="s">
        <v>37</v>
      </c>
      <c r="J45" s="1"/>
      <c r="K45" s="1">
        <v>192.7</v>
      </c>
      <c r="L45" s="1">
        <f t="shared" si="13"/>
        <v>-0.84099999999997976</v>
      </c>
      <c r="M45" s="1"/>
      <c r="N45" s="1"/>
      <c r="O45" s="1">
        <v>49.941600000000022</v>
      </c>
      <c r="P45" s="1">
        <v>70.349599999999981</v>
      </c>
      <c r="Q45" s="1">
        <f t="shared" si="2"/>
        <v>38.3718</v>
      </c>
      <c r="R45" s="5">
        <f t="shared" si="14"/>
        <v>199.00360000000006</v>
      </c>
      <c r="S45" s="5"/>
      <c r="T45" s="5">
        <f t="shared" si="3"/>
        <v>199.00360000000006</v>
      </c>
      <c r="U45" s="5"/>
      <c r="V45" s="1"/>
      <c r="W45" s="1"/>
      <c r="X45" s="1">
        <f t="shared" si="4"/>
        <v>11.000000000000002</v>
      </c>
      <c r="Y45" s="1">
        <f t="shared" si="5"/>
        <v>5.81380597209409</v>
      </c>
      <c r="Z45" s="1">
        <v>28.764199999999999</v>
      </c>
      <c r="AA45" s="1">
        <v>31.2088</v>
      </c>
      <c r="AB45" s="1">
        <v>30.875599999999999</v>
      </c>
      <c r="AC45" s="1">
        <v>32.422199999999997</v>
      </c>
      <c r="AD45" s="1">
        <v>27.6645</v>
      </c>
      <c r="AE45" s="1">
        <v>30.544599999999999</v>
      </c>
      <c r="AF45" s="1">
        <v>41.069400000000002</v>
      </c>
      <c r="AG45" s="1">
        <v>29.6418</v>
      </c>
      <c r="AH45" s="1"/>
      <c r="AI45" s="1">
        <f t="shared" si="6"/>
        <v>199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26" t="s">
        <v>87</v>
      </c>
      <c r="B46" s="26" t="s">
        <v>42</v>
      </c>
      <c r="C46" s="26">
        <v>38</v>
      </c>
      <c r="D46" s="26">
        <v>312</v>
      </c>
      <c r="E46" s="26">
        <v>123</v>
      </c>
      <c r="F46" s="26">
        <v>226</v>
      </c>
      <c r="G46" s="27">
        <v>0.35</v>
      </c>
      <c r="H46" s="26">
        <v>40</v>
      </c>
      <c r="I46" s="26" t="s">
        <v>37</v>
      </c>
      <c r="J46" s="26"/>
      <c r="K46" s="26">
        <v>149</v>
      </c>
      <c r="L46" s="26">
        <f t="shared" si="13"/>
        <v>-26</v>
      </c>
      <c r="M46" s="26"/>
      <c r="N46" s="26"/>
      <c r="O46" s="26">
        <v>282.5199999999997</v>
      </c>
      <c r="P46" s="26">
        <v>0</v>
      </c>
      <c r="Q46" s="26">
        <f t="shared" si="2"/>
        <v>24.6</v>
      </c>
      <c r="R46" s="28"/>
      <c r="S46" s="28"/>
      <c r="T46" s="28">
        <f t="shared" si="3"/>
        <v>0</v>
      </c>
      <c r="U46" s="28"/>
      <c r="V46" s="26"/>
      <c r="W46" s="26"/>
      <c r="X46" s="26">
        <f t="shared" si="4"/>
        <v>20.671544715447141</v>
      </c>
      <c r="Y46" s="26">
        <f t="shared" si="5"/>
        <v>20.671544715447141</v>
      </c>
      <c r="Z46" s="26">
        <v>39</v>
      </c>
      <c r="AA46" s="26">
        <v>56.6</v>
      </c>
      <c r="AB46" s="26">
        <v>41.2</v>
      </c>
      <c r="AC46" s="26">
        <v>27.8</v>
      </c>
      <c r="AD46" s="26">
        <v>32.333333333333343</v>
      </c>
      <c r="AE46" s="26">
        <v>42</v>
      </c>
      <c r="AF46" s="26">
        <v>32.200000000000003</v>
      </c>
      <c r="AG46" s="26">
        <v>40.200000000000003</v>
      </c>
      <c r="AH46" s="26" t="s">
        <v>152</v>
      </c>
      <c r="AI46" s="26">
        <f t="shared" si="6"/>
        <v>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88</v>
      </c>
      <c r="B47" s="1" t="s">
        <v>42</v>
      </c>
      <c r="C47" s="1">
        <v>553</v>
      </c>
      <c r="D47" s="1">
        <v>6</v>
      </c>
      <c r="E47" s="1">
        <v>295</v>
      </c>
      <c r="F47" s="1">
        <v>256</v>
      </c>
      <c r="G47" s="8">
        <v>0.4</v>
      </c>
      <c r="H47" s="1">
        <v>40</v>
      </c>
      <c r="I47" s="1" t="s">
        <v>37</v>
      </c>
      <c r="J47" s="1"/>
      <c r="K47" s="1">
        <v>310</v>
      </c>
      <c r="L47" s="1">
        <f t="shared" si="13"/>
        <v>-15</v>
      </c>
      <c r="M47" s="1"/>
      <c r="N47" s="1"/>
      <c r="O47" s="1">
        <v>0</v>
      </c>
      <c r="P47" s="1">
        <v>116</v>
      </c>
      <c r="Q47" s="1">
        <f t="shared" si="2"/>
        <v>59</v>
      </c>
      <c r="R47" s="5">
        <f t="shared" si="14"/>
        <v>277</v>
      </c>
      <c r="S47" s="5"/>
      <c r="T47" s="5">
        <f t="shared" si="3"/>
        <v>277</v>
      </c>
      <c r="U47" s="5"/>
      <c r="V47" s="1"/>
      <c r="W47" s="1"/>
      <c r="X47" s="1">
        <f t="shared" si="4"/>
        <v>11</v>
      </c>
      <c r="Y47" s="1">
        <f t="shared" si="5"/>
        <v>6.3050847457627119</v>
      </c>
      <c r="Z47" s="1">
        <v>45</v>
      </c>
      <c r="AA47" s="1">
        <v>36.4</v>
      </c>
      <c r="AB47" s="1">
        <v>51.4</v>
      </c>
      <c r="AC47" s="1">
        <v>64</v>
      </c>
      <c r="AD47" s="1">
        <v>74.166666666666671</v>
      </c>
      <c r="AE47" s="1">
        <v>65.2</v>
      </c>
      <c r="AF47" s="1">
        <v>44.6</v>
      </c>
      <c r="AG47" s="1">
        <v>80.400000000000006</v>
      </c>
      <c r="AH47" s="1" t="s">
        <v>39</v>
      </c>
      <c r="AI47" s="1">
        <f t="shared" si="6"/>
        <v>111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89</v>
      </c>
      <c r="B48" s="1" t="s">
        <v>36</v>
      </c>
      <c r="C48" s="1">
        <v>209.273</v>
      </c>
      <c r="D48" s="1">
        <v>1.351</v>
      </c>
      <c r="E48" s="1">
        <v>84.165000000000006</v>
      </c>
      <c r="F48" s="1">
        <v>125.108</v>
      </c>
      <c r="G48" s="8">
        <v>1</v>
      </c>
      <c r="H48" s="1">
        <v>50</v>
      </c>
      <c r="I48" s="1" t="s">
        <v>37</v>
      </c>
      <c r="J48" s="1"/>
      <c r="K48" s="1">
        <v>80.775999999999996</v>
      </c>
      <c r="L48" s="1">
        <f t="shared" si="13"/>
        <v>3.38900000000001</v>
      </c>
      <c r="M48" s="1"/>
      <c r="N48" s="1"/>
      <c r="O48" s="1">
        <v>0</v>
      </c>
      <c r="P48" s="1">
        <v>0</v>
      </c>
      <c r="Q48" s="1">
        <f t="shared" si="2"/>
        <v>16.833000000000002</v>
      </c>
      <c r="R48" s="5">
        <f t="shared" si="14"/>
        <v>60.055000000000007</v>
      </c>
      <c r="S48" s="5"/>
      <c r="T48" s="5">
        <f t="shared" si="3"/>
        <v>60.055000000000007</v>
      </c>
      <c r="U48" s="5"/>
      <c r="V48" s="1"/>
      <c r="W48" s="1"/>
      <c r="X48" s="1">
        <f t="shared" si="4"/>
        <v>11</v>
      </c>
      <c r="Y48" s="1">
        <f t="shared" si="5"/>
        <v>7.4323055902097064</v>
      </c>
      <c r="Z48" s="1">
        <v>12.0632</v>
      </c>
      <c r="AA48" s="1">
        <v>10.709</v>
      </c>
      <c r="AB48" s="1">
        <v>10.829599999999999</v>
      </c>
      <c r="AC48" s="1">
        <v>12.9322</v>
      </c>
      <c r="AD48" s="1">
        <v>20.37316666666667</v>
      </c>
      <c r="AE48" s="1">
        <v>23.681799999999999</v>
      </c>
      <c r="AF48" s="1">
        <v>12.9686</v>
      </c>
      <c r="AG48" s="1">
        <v>13.4724</v>
      </c>
      <c r="AH48" s="1"/>
      <c r="AI48" s="1">
        <f t="shared" si="6"/>
        <v>60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90</v>
      </c>
      <c r="B49" s="1" t="s">
        <v>36</v>
      </c>
      <c r="C49" s="1">
        <v>170.3</v>
      </c>
      <c r="D49" s="1">
        <v>86.293999999999997</v>
      </c>
      <c r="E49" s="1">
        <v>146.43799999999999</v>
      </c>
      <c r="F49" s="1">
        <v>107.408</v>
      </c>
      <c r="G49" s="8">
        <v>1</v>
      </c>
      <c r="H49" s="1">
        <v>50</v>
      </c>
      <c r="I49" s="1" t="s">
        <v>37</v>
      </c>
      <c r="J49" s="1"/>
      <c r="K49" s="1">
        <v>138.69999999999999</v>
      </c>
      <c r="L49" s="1">
        <f t="shared" si="13"/>
        <v>7.7379999999999995</v>
      </c>
      <c r="M49" s="1"/>
      <c r="N49" s="1"/>
      <c r="O49" s="1">
        <v>240.5558</v>
      </c>
      <c r="P49" s="1">
        <v>0</v>
      </c>
      <c r="Q49" s="1">
        <f t="shared" si="2"/>
        <v>29.287599999999998</v>
      </c>
      <c r="R49" s="5"/>
      <c r="S49" s="5">
        <f>$S$1*Q49</f>
        <v>61.503959999999999</v>
      </c>
      <c r="T49" s="5">
        <f t="shared" si="3"/>
        <v>61.503959999999999</v>
      </c>
      <c r="U49" s="5"/>
      <c r="V49" s="1"/>
      <c r="W49" s="1"/>
      <c r="X49" s="1">
        <f t="shared" si="4"/>
        <v>13.980925716002679</v>
      </c>
      <c r="Y49" s="1">
        <f t="shared" si="5"/>
        <v>11.880925716002677</v>
      </c>
      <c r="Z49" s="1">
        <v>32.974400000000003</v>
      </c>
      <c r="AA49" s="1">
        <v>37.6738</v>
      </c>
      <c r="AB49" s="1">
        <v>31.2256</v>
      </c>
      <c r="AC49" s="1">
        <v>30.873799999999999</v>
      </c>
      <c r="AD49" s="1">
        <v>31.46466666666667</v>
      </c>
      <c r="AE49" s="1">
        <v>40.104399999999998</v>
      </c>
      <c r="AF49" s="1">
        <v>36.584200000000003</v>
      </c>
      <c r="AG49" s="1">
        <v>32.971200000000003</v>
      </c>
      <c r="AH49" s="1"/>
      <c r="AI49" s="1">
        <f t="shared" si="6"/>
        <v>62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91</v>
      </c>
      <c r="B50" s="1" t="s">
        <v>36</v>
      </c>
      <c r="C50" s="1">
        <v>-0.16200000000000001</v>
      </c>
      <c r="D50" s="1">
        <v>277.31799999999998</v>
      </c>
      <c r="E50" s="1">
        <v>90.400999999999996</v>
      </c>
      <c r="F50" s="1">
        <v>186.755</v>
      </c>
      <c r="G50" s="8">
        <v>1</v>
      </c>
      <c r="H50" s="1">
        <v>40</v>
      </c>
      <c r="I50" s="11" t="s">
        <v>92</v>
      </c>
      <c r="J50" s="1"/>
      <c r="K50" s="1">
        <v>82.95</v>
      </c>
      <c r="L50" s="1">
        <f t="shared" si="13"/>
        <v>7.4509999999999934</v>
      </c>
      <c r="M50" s="1"/>
      <c r="N50" s="1"/>
      <c r="O50" s="1">
        <v>0</v>
      </c>
      <c r="P50" s="1">
        <v>0</v>
      </c>
      <c r="Q50" s="1">
        <f t="shared" si="2"/>
        <v>18.080199999999998</v>
      </c>
      <c r="R50" s="5">
        <f t="shared" si="14"/>
        <v>12.127199999999988</v>
      </c>
      <c r="S50" s="5"/>
      <c r="T50" s="5">
        <f t="shared" si="3"/>
        <v>12.127199999999988</v>
      </c>
      <c r="U50" s="5"/>
      <c r="V50" s="1"/>
      <c r="W50" s="1"/>
      <c r="X50" s="1">
        <f t="shared" si="4"/>
        <v>11</v>
      </c>
      <c r="Y50" s="1">
        <f t="shared" si="5"/>
        <v>10.329255207353903</v>
      </c>
      <c r="Z50" s="1">
        <v>5.2648000000000001</v>
      </c>
      <c r="AA50" s="1">
        <v>5.2648000000000001</v>
      </c>
      <c r="AB50" s="1">
        <v>20.257999999999999</v>
      </c>
      <c r="AC50" s="1">
        <v>22.395399999999999</v>
      </c>
      <c r="AD50" s="1">
        <v>7.9931666666666672</v>
      </c>
      <c r="AE50" s="1">
        <v>7.4543999999999997</v>
      </c>
      <c r="AF50" s="1">
        <v>7.1261999999999999</v>
      </c>
      <c r="AG50" s="1">
        <v>9.4860000000000007</v>
      </c>
      <c r="AH50" s="1" t="s">
        <v>93</v>
      </c>
      <c r="AI50" s="1">
        <f t="shared" si="6"/>
        <v>12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95</v>
      </c>
      <c r="B51" s="1" t="s">
        <v>42</v>
      </c>
      <c r="C51" s="1">
        <v>65</v>
      </c>
      <c r="D51" s="1">
        <v>220</v>
      </c>
      <c r="E51" s="1">
        <v>93</v>
      </c>
      <c r="F51" s="1">
        <v>182</v>
      </c>
      <c r="G51" s="8">
        <v>0.45</v>
      </c>
      <c r="H51" s="1">
        <v>50</v>
      </c>
      <c r="I51" s="1" t="s">
        <v>37</v>
      </c>
      <c r="J51" s="1"/>
      <c r="K51" s="1">
        <v>121</v>
      </c>
      <c r="L51" s="1">
        <f t="shared" si="13"/>
        <v>-28</v>
      </c>
      <c r="M51" s="1"/>
      <c r="N51" s="1"/>
      <c r="O51" s="1">
        <v>257.3</v>
      </c>
      <c r="P51" s="1">
        <v>0</v>
      </c>
      <c r="Q51" s="1">
        <f t="shared" si="2"/>
        <v>18.600000000000001</v>
      </c>
      <c r="R51" s="5"/>
      <c r="S51" s="5"/>
      <c r="T51" s="5">
        <f t="shared" si="3"/>
        <v>0</v>
      </c>
      <c r="U51" s="5"/>
      <c r="V51" s="1"/>
      <c r="W51" s="1"/>
      <c r="X51" s="1">
        <f t="shared" si="4"/>
        <v>23.618279569892472</v>
      </c>
      <c r="Y51" s="1">
        <f t="shared" si="5"/>
        <v>23.618279569892472</v>
      </c>
      <c r="Z51" s="1">
        <v>34.6</v>
      </c>
      <c r="AA51" s="1">
        <v>41</v>
      </c>
      <c r="AB51" s="1">
        <v>30.6</v>
      </c>
      <c r="AC51" s="1">
        <v>21.013999999999999</v>
      </c>
      <c r="AD51" s="1">
        <v>23</v>
      </c>
      <c r="AE51" s="1">
        <v>24</v>
      </c>
      <c r="AF51" s="1">
        <v>22</v>
      </c>
      <c r="AG51" s="1">
        <v>31.4</v>
      </c>
      <c r="AH51" s="1"/>
      <c r="AI51" s="1">
        <f t="shared" si="6"/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3" t="s">
        <v>96</v>
      </c>
      <c r="B52" s="13" t="s">
        <v>42</v>
      </c>
      <c r="C52" s="13">
        <v>10</v>
      </c>
      <c r="D52" s="13"/>
      <c r="E52" s="13">
        <v>5</v>
      </c>
      <c r="F52" s="13">
        <v>3</v>
      </c>
      <c r="G52" s="14">
        <v>0</v>
      </c>
      <c r="H52" s="13" t="e">
        <v>#N/A</v>
      </c>
      <c r="I52" s="13" t="s">
        <v>43</v>
      </c>
      <c r="J52" s="13"/>
      <c r="K52" s="13">
        <v>17</v>
      </c>
      <c r="L52" s="13">
        <f t="shared" si="13"/>
        <v>-12</v>
      </c>
      <c r="M52" s="13"/>
      <c r="N52" s="13"/>
      <c r="O52" s="13">
        <v>0</v>
      </c>
      <c r="P52" s="13">
        <v>0</v>
      </c>
      <c r="Q52" s="13">
        <f t="shared" si="2"/>
        <v>1</v>
      </c>
      <c r="R52" s="15"/>
      <c r="S52" s="15"/>
      <c r="T52" s="5">
        <f t="shared" si="3"/>
        <v>0</v>
      </c>
      <c r="U52" s="15"/>
      <c r="V52" s="1"/>
      <c r="W52" s="13"/>
      <c r="X52" s="1">
        <f t="shared" si="4"/>
        <v>3</v>
      </c>
      <c r="Y52" s="13">
        <f t="shared" si="5"/>
        <v>3</v>
      </c>
      <c r="Z52" s="13">
        <v>2.8</v>
      </c>
      <c r="AA52" s="13">
        <v>1.8</v>
      </c>
      <c r="AB52" s="13">
        <v>2.2000000000000002</v>
      </c>
      <c r="AC52" s="13">
        <v>2.2000000000000002</v>
      </c>
      <c r="AD52" s="13">
        <v>0.16666666666666671</v>
      </c>
      <c r="AE52" s="13">
        <v>0</v>
      </c>
      <c r="AF52" s="13">
        <v>0</v>
      </c>
      <c r="AG52" s="13">
        <v>0</v>
      </c>
      <c r="AH52" s="13" t="s">
        <v>44</v>
      </c>
      <c r="AI52" s="1">
        <f t="shared" si="6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97</v>
      </c>
      <c r="B53" s="1" t="s">
        <v>42</v>
      </c>
      <c r="C53" s="1">
        <v>28</v>
      </c>
      <c r="D53" s="1">
        <v>30</v>
      </c>
      <c r="E53" s="1">
        <v>20</v>
      </c>
      <c r="F53" s="1">
        <v>35</v>
      </c>
      <c r="G53" s="8">
        <v>0.4</v>
      </c>
      <c r="H53" s="1">
        <v>40</v>
      </c>
      <c r="I53" s="1" t="s">
        <v>37</v>
      </c>
      <c r="J53" s="1"/>
      <c r="K53" s="1">
        <v>23</v>
      </c>
      <c r="L53" s="1">
        <f t="shared" si="13"/>
        <v>-3</v>
      </c>
      <c r="M53" s="1"/>
      <c r="N53" s="1"/>
      <c r="O53" s="1">
        <v>0</v>
      </c>
      <c r="P53" s="1">
        <v>0</v>
      </c>
      <c r="Q53" s="1">
        <f t="shared" si="2"/>
        <v>4</v>
      </c>
      <c r="R53" s="5">
        <f t="shared" ref="R53" si="15">11*Q53-P53-O53-F53</f>
        <v>9</v>
      </c>
      <c r="S53" s="5"/>
      <c r="T53" s="5">
        <f t="shared" si="3"/>
        <v>9</v>
      </c>
      <c r="U53" s="5"/>
      <c r="V53" s="1"/>
      <c r="W53" s="1"/>
      <c r="X53" s="1">
        <f t="shared" si="4"/>
        <v>11</v>
      </c>
      <c r="Y53" s="1">
        <f t="shared" si="5"/>
        <v>8.75</v>
      </c>
      <c r="Z53" s="1">
        <v>2.6</v>
      </c>
      <c r="AA53" s="1">
        <v>3.6</v>
      </c>
      <c r="AB53" s="1">
        <v>5</v>
      </c>
      <c r="AC53" s="1">
        <v>0.8</v>
      </c>
      <c r="AD53" s="1">
        <v>2.166666666666667</v>
      </c>
      <c r="AE53" s="1">
        <v>5.2</v>
      </c>
      <c r="AF53" s="1">
        <v>4.2</v>
      </c>
      <c r="AG53" s="1">
        <v>-0.2</v>
      </c>
      <c r="AH53" s="1"/>
      <c r="AI53" s="1">
        <f t="shared" si="6"/>
        <v>4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23" t="s">
        <v>98</v>
      </c>
      <c r="B54" s="23" t="s">
        <v>42</v>
      </c>
      <c r="C54" s="23">
        <v>2</v>
      </c>
      <c r="D54" s="23">
        <v>120</v>
      </c>
      <c r="E54" s="23">
        <v>10</v>
      </c>
      <c r="F54" s="23">
        <v>107</v>
      </c>
      <c r="G54" s="24">
        <v>0.4</v>
      </c>
      <c r="H54" s="23">
        <v>40</v>
      </c>
      <c r="I54" s="23" t="s">
        <v>37</v>
      </c>
      <c r="J54" s="23"/>
      <c r="K54" s="23">
        <v>38</v>
      </c>
      <c r="L54" s="23">
        <f t="shared" si="13"/>
        <v>-28</v>
      </c>
      <c r="M54" s="23"/>
      <c r="N54" s="23"/>
      <c r="O54" s="23">
        <v>0</v>
      </c>
      <c r="P54" s="23">
        <v>0</v>
      </c>
      <c r="Q54" s="23">
        <f t="shared" si="2"/>
        <v>2</v>
      </c>
      <c r="R54" s="25"/>
      <c r="S54" s="25"/>
      <c r="T54" s="25">
        <f t="shared" si="3"/>
        <v>0</v>
      </c>
      <c r="U54" s="25"/>
      <c r="V54" s="23"/>
      <c r="W54" s="23"/>
      <c r="X54" s="23">
        <f t="shared" si="4"/>
        <v>53.5</v>
      </c>
      <c r="Y54" s="23">
        <f t="shared" si="5"/>
        <v>53.5</v>
      </c>
      <c r="Z54" s="23">
        <v>5.8</v>
      </c>
      <c r="AA54" s="23">
        <v>9.8000000000000007</v>
      </c>
      <c r="AB54" s="23">
        <v>12.4</v>
      </c>
      <c r="AC54" s="23">
        <v>10.199999999999999</v>
      </c>
      <c r="AD54" s="23">
        <v>6.166666666666667</v>
      </c>
      <c r="AE54" s="23">
        <v>6.4</v>
      </c>
      <c r="AF54" s="23">
        <v>6.6</v>
      </c>
      <c r="AG54" s="23">
        <v>14.6</v>
      </c>
      <c r="AH54" s="23" t="s">
        <v>51</v>
      </c>
      <c r="AI54" s="23">
        <f t="shared" si="6"/>
        <v>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6" t="s">
        <v>99</v>
      </c>
      <c r="B55" s="16" t="s">
        <v>36</v>
      </c>
      <c r="C55" s="16"/>
      <c r="D55" s="16"/>
      <c r="E55" s="16"/>
      <c r="F55" s="16"/>
      <c r="G55" s="17">
        <v>0</v>
      </c>
      <c r="H55" s="16">
        <v>50</v>
      </c>
      <c r="I55" s="16" t="s">
        <v>37</v>
      </c>
      <c r="J55" s="16"/>
      <c r="K55" s="16"/>
      <c r="L55" s="16">
        <f t="shared" si="13"/>
        <v>0</v>
      </c>
      <c r="M55" s="16"/>
      <c r="N55" s="16"/>
      <c r="O55" s="16">
        <v>0</v>
      </c>
      <c r="P55" s="16">
        <v>0</v>
      </c>
      <c r="Q55" s="16">
        <f t="shared" si="2"/>
        <v>0</v>
      </c>
      <c r="R55" s="18"/>
      <c r="S55" s="18"/>
      <c r="T55" s="5">
        <f t="shared" si="3"/>
        <v>0</v>
      </c>
      <c r="U55" s="18"/>
      <c r="V55" s="1"/>
      <c r="W55" s="16"/>
      <c r="X55" s="1" t="e">
        <f t="shared" si="4"/>
        <v>#DIV/0!</v>
      </c>
      <c r="Y55" s="16" t="e">
        <f t="shared" si="5"/>
        <v>#DIV/0!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 t="s">
        <v>64</v>
      </c>
      <c r="AI55" s="1">
        <f t="shared" si="6"/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100</v>
      </c>
      <c r="B56" s="1" t="s">
        <v>42</v>
      </c>
      <c r="C56" s="1">
        <v>67</v>
      </c>
      <c r="D56" s="1"/>
      <c r="E56" s="1">
        <v>36</v>
      </c>
      <c r="F56" s="1">
        <v>31</v>
      </c>
      <c r="G56" s="8">
        <v>0.1</v>
      </c>
      <c r="H56" s="1">
        <v>730</v>
      </c>
      <c r="I56" s="1" t="s">
        <v>37</v>
      </c>
      <c r="J56" s="1"/>
      <c r="K56" s="1">
        <v>36</v>
      </c>
      <c r="L56" s="1">
        <f t="shared" si="13"/>
        <v>0</v>
      </c>
      <c r="M56" s="1"/>
      <c r="N56" s="1"/>
      <c r="O56" s="1">
        <v>0</v>
      </c>
      <c r="P56" s="1">
        <v>0</v>
      </c>
      <c r="Q56" s="1">
        <f t="shared" si="2"/>
        <v>7.2</v>
      </c>
      <c r="R56" s="5">
        <f>10*Q56-P56-O56-F56</f>
        <v>41</v>
      </c>
      <c r="S56" s="5"/>
      <c r="T56" s="5">
        <f t="shared" si="3"/>
        <v>41</v>
      </c>
      <c r="U56" s="5"/>
      <c r="V56" s="1"/>
      <c r="W56" s="1"/>
      <c r="X56" s="1">
        <f t="shared" si="4"/>
        <v>10</v>
      </c>
      <c r="Y56" s="1">
        <f t="shared" si="5"/>
        <v>4.3055555555555554</v>
      </c>
      <c r="Z56" s="1">
        <v>4.4000000000000004</v>
      </c>
      <c r="AA56" s="1">
        <v>4.4000000000000004</v>
      </c>
      <c r="AB56" s="1">
        <v>5.6</v>
      </c>
      <c r="AC56" s="1">
        <v>5.4</v>
      </c>
      <c r="AD56" s="1">
        <v>8.6666666666666661</v>
      </c>
      <c r="AE56" s="1">
        <v>10.199999999999999</v>
      </c>
      <c r="AF56" s="1">
        <v>3.8</v>
      </c>
      <c r="AG56" s="1">
        <v>5.6</v>
      </c>
      <c r="AH56" s="1"/>
      <c r="AI56" s="1">
        <f t="shared" si="6"/>
        <v>4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101</v>
      </c>
      <c r="B57" s="1" t="s">
        <v>36</v>
      </c>
      <c r="C57" s="1">
        <v>187.19399999999999</v>
      </c>
      <c r="D57" s="1">
        <v>85.879000000000005</v>
      </c>
      <c r="E57" s="1">
        <v>120.755</v>
      </c>
      <c r="F57" s="1">
        <v>138.47300000000001</v>
      </c>
      <c r="G57" s="8">
        <v>1</v>
      </c>
      <c r="H57" s="1">
        <v>50</v>
      </c>
      <c r="I57" s="1" t="s">
        <v>37</v>
      </c>
      <c r="J57" s="1"/>
      <c r="K57" s="1">
        <v>121.03400000000001</v>
      </c>
      <c r="L57" s="1">
        <f t="shared" si="13"/>
        <v>-0.27900000000001057</v>
      </c>
      <c r="M57" s="1"/>
      <c r="N57" s="1"/>
      <c r="O57" s="1">
        <v>223.79800000000009</v>
      </c>
      <c r="P57" s="1">
        <v>0</v>
      </c>
      <c r="Q57" s="1">
        <f t="shared" si="2"/>
        <v>24.151</v>
      </c>
      <c r="R57" s="5"/>
      <c r="S57" s="5"/>
      <c r="T57" s="5">
        <f t="shared" si="3"/>
        <v>0</v>
      </c>
      <c r="U57" s="5"/>
      <c r="V57" s="1"/>
      <c r="W57" s="1"/>
      <c r="X57" s="1">
        <f t="shared" si="4"/>
        <v>15.00024843691773</v>
      </c>
      <c r="Y57" s="1">
        <f t="shared" si="5"/>
        <v>15.00024843691773</v>
      </c>
      <c r="Z57" s="1">
        <v>31.7056</v>
      </c>
      <c r="AA57" s="1">
        <v>37.438200000000002</v>
      </c>
      <c r="AB57" s="1">
        <v>31.756799999999998</v>
      </c>
      <c r="AC57" s="1">
        <v>30.0944</v>
      </c>
      <c r="AD57" s="1">
        <v>29.36033333333333</v>
      </c>
      <c r="AE57" s="1">
        <v>38.4056</v>
      </c>
      <c r="AF57" s="1">
        <v>41.643000000000001</v>
      </c>
      <c r="AG57" s="1">
        <v>35.771599999999999</v>
      </c>
      <c r="AH57" s="1"/>
      <c r="AI57" s="1">
        <f t="shared" si="6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102</v>
      </c>
      <c r="B58" s="1" t="s">
        <v>36</v>
      </c>
      <c r="C58" s="1">
        <v>61.978999999999999</v>
      </c>
      <c r="D58" s="1">
        <v>21.683</v>
      </c>
      <c r="E58" s="1">
        <v>35.095999999999997</v>
      </c>
      <c r="F58" s="1">
        <v>48.566000000000003</v>
      </c>
      <c r="G58" s="8">
        <v>1</v>
      </c>
      <c r="H58" s="1">
        <v>50</v>
      </c>
      <c r="I58" s="1" t="s">
        <v>37</v>
      </c>
      <c r="J58" s="1"/>
      <c r="K58" s="1">
        <v>33.4</v>
      </c>
      <c r="L58" s="1">
        <f t="shared" si="13"/>
        <v>1.695999999999998</v>
      </c>
      <c r="M58" s="1"/>
      <c r="N58" s="1"/>
      <c r="O58" s="1">
        <v>0</v>
      </c>
      <c r="P58" s="1">
        <v>0</v>
      </c>
      <c r="Q58" s="1">
        <f t="shared" si="2"/>
        <v>7.0191999999999997</v>
      </c>
      <c r="R58" s="5">
        <f t="shared" ref="R58:R66" si="16">11*Q58-P58-O58-F58</f>
        <v>28.645199999999988</v>
      </c>
      <c r="S58" s="5"/>
      <c r="T58" s="5">
        <f t="shared" si="3"/>
        <v>28.645199999999988</v>
      </c>
      <c r="U58" s="5"/>
      <c r="V58" s="1"/>
      <c r="W58" s="1"/>
      <c r="X58" s="1">
        <f t="shared" si="4"/>
        <v>11</v>
      </c>
      <c r="Y58" s="1">
        <f t="shared" si="5"/>
        <v>6.9190221107818566</v>
      </c>
      <c r="Z58" s="1">
        <v>5.3887999999999998</v>
      </c>
      <c r="AA58" s="1">
        <v>5.0316000000000001</v>
      </c>
      <c r="AB58" s="1">
        <v>7.6061999999999994</v>
      </c>
      <c r="AC58" s="1">
        <v>8.5058000000000007</v>
      </c>
      <c r="AD58" s="1">
        <v>4.9453333333333331</v>
      </c>
      <c r="AE58" s="1">
        <v>7.0244</v>
      </c>
      <c r="AF58" s="1">
        <v>6.891</v>
      </c>
      <c r="AG58" s="1">
        <v>10.807600000000001</v>
      </c>
      <c r="AH58" s="1"/>
      <c r="AI58" s="1">
        <f t="shared" si="6"/>
        <v>29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103</v>
      </c>
      <c r="B59" s="1" t="s">
        <v>42</v>
      </c>
      <c r="C59" s="1">
        <v>48</v>
      </c>
      <c r="D59" s="1"/>
      <c r="E59" s="1">
        <v>35</v>
      </c>
      <c r="F59" s="1">
        <v>13</v>
      </c>
      <c r="G59" s="8">
        <v>0.1</v>
      </c>
      <c r="H59" s="1">
        <v>730</v>
      </c>
      <c r="I59" s="1" t="s">
        <v>37</v>
      </c>
      <c r="J59" s="1"/>
      <c r="K59" s="1">
        <v>35</v>
      </c>
      <c r="L59" s="1">
        <f t="shared" si="13"/>
        <v>0</v>
      </c>
      <c r="M59" s="1"/>
      <c r="N59" s="1"/>
      <c r="O59" s="1">
        <v>10</v>
      </c>
      <c r="P59" s="1">
        <v>5.5999999999999943</v>
      </c>
      <c r="Q59" s="1">
        <f t="shared" si="2"/>
        <v>7</v>
      </c>
      <c r="R59" s="5">
        <f>10*Q59-P59-O59-F59</f>
        <v>41.400000000000006</v>
      </c>
      <c r="S59" s="5"/>
      <c r="T59" s="5">
        <f t="shared" si="3"/>
        <v>41.400000000000006</v>
      </c>
      <c r="U59" s="5"/>
      <c r="V59" s="1"/>
      <c r="W59" s="1"/>
      <c r="X59" s="1">
        <f t="shared" si="4"/>
        <v>10</v>
      </c>
      <c r="Y59" s="1">
        <f t="shared" si="5"/>
        <v>4.0857142857142845</v>
      </c>
      <c r="Z59" s="1">
        <v>4.8</v>
      </c>
      <c r="AA59" s="1">
        <v>4.4000000000000004</v>
      </c>
      <c r="AB59" s="1">
        <v>4.5999999999999996</v>
      </c>
      <c r="AC59" s="1">
        <v>4.4000000000000004</v>
      </c>
      <c r="AD59" s="1">
        <v>6</v>
      </c>
      <c r="AE59" s="1">
        <v>7</v>
      </c>
      <c r="AF59" s="1">
        <v>3</v>
      </c>
      <c r="AG59" s="1">
        <v>6.4</v>
      </c>
      <c r="AH59" s="1"/>
      <c r="AI59" s="1">
        <f t="shared" si="6"/>
        <v>4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104</v>
      </c>
      <c r="B60" s="1" t="s">
        <v>42</v>
      </c>
      <c r="C60" s="1">
        <v>26</v>
      </c>
      <c r="D60" s="1">
        <v>1</v>
      </c>
      <c r="E60" s="1">
        <v>25</v>
      </c>
      <c r="F60" s="1">
        <v>-1</v>
      </c>
      <c r="G60" s="8">
        <v>0.4</v>
      </c>
      <c r="H60" s="1">
        <v>50</v>
      </c>
      <c r="I60" s="1" t="s">
        <v>37</v>
      </c>
      <c r="J60" s="1"/>
      <c r="K60" s="1">
        <v>27</v>
      </c>
      <c r="L60" s="1">
        <f t="shared" si="13"/>
        <v>-2</v>
      </c>
      <c r="M60" s="1"/>
      <c r="N60" s="1"/>
      <c r="O60" s="1">
        <v>70</v>
      </c>
      <c r="P60" s="1">
        <v>39</v>
      </c>
      <c r="Q60" s="1">
        <f t="shared" si="2"/>
        <v>5</v>
      </c>
      <c r="R60" s="5"/>
      <c r="S60" s="5"/>
      <c r="T60" s="5">
        <f t="shared" si="3"/>
        <v>0</v>
      </c>
      <c r="U60" s="5"/>
      <c r="V60" s="1"/>
      <c r="W60" s="1"/>
      <c r="X60" s="1">
        <f t="shared" si="4"/>
        <v>21.6</v>
      </c>
      <c r="Y60" s="1">
        <f t="shared" si="5"/>
        <v>21.6</v>
      </c>
      <c r="Z60" s="1">
        <v>11</v>
      </c>
      <c r="AA60" s="1">
        <v>12</v>
      </c>
      <c r="AB60" s="1">
        <v>1.6</v>
      </c>
      <c r="AC60" s="1">
        <v>0.6</v>
      </c>
      <c r="AD60" s="1">
        <v>0.16666666666666671</v>
      </c>
      <c r="AE60" s="1">
        <v>3.4</v>
      </c>
      <c r="AF60" s="1">
        <v>5.8</v>
      </c>
      <c r="AG60" s="1">
        <v>8.4</v>
      </c>
      <c r="AH60" s="1"/>
      <c r="AI60" s="1">
        <f t="shared" si="6"/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105</v>
      </c>
      <c r="B61" s="1" t="s">
        <v>36</v>
      </c>
      <c r="C61" s="1">
        <v>169.71199999999999</v>
      </c>
      <c r="D61" s="1"/>
      <c r="E61" s="1">
        <v>54.430999999999997</v>
      </c>
      <c r="F61" s="1">
        <v>115.28100000000001</v>
      </c>
      <c r="G61" s="8">
        <v>1</v>
      </c>
      <c r="H61" s="1">
        <v>40</v>
      </c>
      <c r="I61" s="1" t="s">
        <v>37</v>
      </c>
      <c r="J61" s="1"/>
      <c r="K61" s="1">
        <v>54.4</v>
      </c>
      <c r="L61" s="1">
        <f t="shared" si="13"/>
        <v>3.0999999999998806E-2</v>
      </c>
      <c r="M61" s="1"/>
      <c r="N61" s="1"/>
      <c r="O61" s="1">
        <v>0</v>
      </c>
      <c r="P61" s="1">
        <v>0</v>
      </c>
      <c r="Q61" s="1">
        <f t="shared" si="2"/>
        <v>10.886199999999999</v>
      </c>
      <c r="R61" s="5">
        <f t="shared" si="16"/>
        <v>4.467199999999977</v>
      </c>
      <c r="S61" s="5"/>
      <c r="T61" s="5">
        <f t="shared" si="3"/>
        <v>4.467199999999977</v>
      </c>
      <c r="U61" s="5"/>
      <c r="V61" s="1"/>
      <c r="W61" s="1"/>
      <c r="X61" s="1">
        <f t="shared" si="4"/>
        <v>11</v>
      </c>
      <c r="Y61" s="1">
        <f t="shared" si="5"/>
        <v>10.589645606364023</v>
      </c>
      <c r="Z61" s="1">
        <v>3.8069999999999999</v>
      </c>
      <c r="AA61" s="1">
        <v>0.54039999999999999</v>
      </c>
      <c r="AB61" s="1">
        <v>7.8994</v>
      </c>
      <c r="AC61" s="1">
        <v>8.966800000000001</v>
      </c>
      <c r="AD61" s="1">
        <v>16.863</v>
      </c>
      <c r="AE61" s="1">
        <v>19.994800000000001</v>
      </c>
      <c r="AF61" s="1">
        <v>9.3117999999999999</v>
      </c>
      <c r="AG61" s="1">
        <v>15.613799999999999</v>
      </c>
      <c r="AH61" s="1"/>
      <c r="AI61" s="1">
        <f t="shared" si="6"/>
        <v>4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106</v>
      </c>
      <c r="B62" s="1" t="s">
        <v>36</v>
      </c>
      <c r="C62" s="1">
        <v>-8.5000000000000006E-2</v>
      </c>
      <c r="D62" s="1">
        <v>24.457000000000001</v>
      </c>
      <c r="E62" s="1">
        <v>10.837999999999999</v>
      </c>
      <c r="F62" s="1">
        <v>13.534000000000001</v>
      </c>
      <c r="G62" s="8">
        <v>1</v>
      </c>
      <c r="H62" s="1">
        <v>40</v>
      </c>
      <c r="I62" s="1" t="s">
        <v>37</v>
      </c>
      <c r="J62" s="1"/>
      <c r="K62" s="1">
        <v>20.6</v>
      </c>
      <c r="L62" s="1">
        <f t="shared" si="13"/>
        <v>-9.7620000000000022</v>
      </c>
      <c r="M62" s="1"/>
      <c r="N62" s="1"/>
      <c r="O62" s="1">
        <v>69.808999999999997</v>
      </c>
      <c r="P62" s="1">
        <v>33.540000000000013</v>
      </c>
      <c r="Q62" s="1">
        <f t="shared" si="2"/>
        <v>2.1675999999999997</v>
      </c>
      <c r="R62" s="5"/>
      <c r="S62" s="5"/>
      <c r="T62" s="5">
        <f t="shared" si="3"/>
        <v>0</v>
      </c>
      <c r="U62" s="5"/>
      <c r="V62" s="1"/>
      <c r="W62" s="1"/>
      <c r="X62" s="1">
        <f t="shared" si="4"/>
        <v>53.922771729101321</v>
      </c>
      <c r="Y62" s="1">
        <f t="shared" si="5"/>
        <v>53.922771729101321</v>
      </c>
      <c r="Z62" s="1">
        <v>10.574199999999999</v>
      </c>
      <c r="AA62" s="1">
        <v>11.668799999999999</v>
      </c>
      <c r="AB62" s="1">
        <v>6.2552000000000003</v>
      </c>
      <c r="AC62" s="1">
        <v>5.9763999999999999</v>
      </c>
      <c r="AD62" s="1">
        <v>2.2364999999999999</v>
      </c>
      <c r="AE62" s="1">
        <v>3.1947999999999999</v>
      </c>
      <c r="AF62" s="1">
        <v>1.8586</v>
      </c>
      <c r="AG62" s="1">
        <v>8.3574000000000002</v>
      </c>
      <c r="AH62" s="1"/>
      <c r="AI62" s="1">
        <f t="shared" si="6"/>
        <v>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107</v>
      </c>
      <c r="B63" s="1" t="s">
        <v>42</v>
      </c>
      <c r="C63" s="1">
        <v>210</v>
      </c>
      <c r="D63" s="1">
        <v>448</v>
      </c>
      <c r="E63" s="1">
        <v>402</v>
      </c>
      <c r="F63" s="1">
        <v>250</v>
      </c>
      <c r="G63" s="8">
        <v>0.4</v>
      </c>
      <c r="H63" s="1">
        <v>40</v>
      </c>
      <c r="I63" s="1" t="s">
        <v>37</v>
      </c>
      <c r="J63" s="1"/>
      <c r="K63" s="1">
        <v>402</v>
      </c>
      <c r="L63" s="1">
        <f t="shared" si="13"/>
        <v>0</v>
      </c>
      <c r="M63" s="1"/>
      <c r="N63" s="1"/>
      <c r="O63" s="1">
        <v>253.19999999999939</v>
      </c>
      <c r="P63" s="1">
        <v>57.599999999999909</v>
      </c>
      <c r="Q63" s="1">
        <f t="shared" si="2"/>
        <v>80.400000000000006</v>
      </c>
      <c r="R63" s="5">
        <f t="shared" si="16"/>
        <v>323.60000000000082</v>
      </c>
      <c r="S63" s="5"/>
      <c r="T63" s="5">
        <f t="shared" si="3"/>
        <v>323.60000000000082</v>
      </c>
      <c r="U63" s="5"/>
      <c r="V63" s="1"/>
      <c r="W63" s="1"/>
      <c r="X63" s="1">
        <f t="shared" si="4"/>
        <v>11</v>
      </c>
      <c r="Y63" s="1">
        <f t="shared" si="5"/>
        <v>6.9751243781094434</v>
      </c>
      <c r="Z63" s="1">
        <v>72.8</v>
      </c>
      <c r="AA63" s="1">
        <v>82</v>
      </c>
      <c r="AB63" s="1">
        <v>76.400000000000006</v>
      </c>
      <c r="AC63" s="1">
        <v>72.2</v>
      </c>
      <c r="AD63" s="1">
        <v>72.666666666666671</v>
      </c>
      <c r="AE63" s="1">
        <v>83.4</v>
      </c>
      <c r="AF63" s="1">
        <v>65.8</v>
      </c>
      <c r="AG63" s="1">
        <v>79.599999999999994</v>
      </c>
      <c r="AH63" s="1"/>
      <c r="AI63" s="1">
        <f t="shared" si="6"/>
        <v>129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108</v>
      </c>
      <c r="B64" s="1" t="s">
        <v>42</v>
      </c>
      <c r="C64" s="1">
        <v>441</v>
      </c>
      <c r="D64" s="1">
        <v>266</v>
      </c>
      <c r="E64" s="1">
        <v>306</v>
      </c>
      <c r="F64" s="1">
        <v>396</v>
      </c>
      <c r="G64" s="8">
        <v>0.4</v>
      </c>
      <c r="H64" s="1">
        <v>40</v>
      </c>
      <c r="I64" s="1" t="s">
        <v>37</v>
      </c>
      <c r="J64" s="1"/>
      <c r="K64" s="1">
        <v>320</v>
      </c>
      <c r="L64" s="1">
        <f t="shared" si="13"/>
        <v>-14</v>
      </c>
      <c r="M64" s="1"/>
      <c r="N64" s="1"/>
      <c r="O64" s="1">
        <v>0</v>
      </c>
      <c r="P64" s="1">
        <v>0</v>
      </c>
      <c r="Q64" s="1">
        <f t="shared" si="2"/>
        <v>61.2</v>
      </c>
      <c r="R64" s="5">
        <f t="shared" si="16"/>
        <v>277.20000000000005</v>
      </c>
      <c r="S64" s="5"/>
      <c r="T64" s="5">
        <f t="shared" si="3"/>
        <v>277.20000000000005</v>
      </c>
      <c r="U64" s="5"/>
      <c r="V64" s="1"/>
      <c r="W64" s="1"/>
      <c r="X64" s="1">
        <f t="shared" si="4"/>
        <v>11</v>
      </c>
      <c r="Y64" s="1">
        <f t="shared" si="5"/>
        <v>6.4705882352941178</v>
      </c>
      <c r="Z64" s="1">
        <v>44.6</v>
      </c>
      <c r="AA64" s="1">
        <v>46.2</v>
      </c>
      <c r="AB64" s="1">
        <v>66</v>
      </c>
      <c r="AC64" s="1">
        <v>63.6</v>
      </c>
      <c r="AD64" s="1">
        <v>72.666666666666671</v>
      </c>
      <c r="AE64" s="1">
        <v>75</v>
      </c>
      <c r="AF64" s="1">
        <v>39.200000000000003</v>
      </c>
      <c r="AG64" s="1">
        <v>83.8</v>
      </c>
      <c r="AH64" s="1" t="s">
        <v>39</v>
      </c>
      <c r="AI64" s="1">
        <f t="shared" si="6"/>
        <v>111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109</v>
      </c>
      <c r="B65" s="1" t="s">
        <v>36</v>
      </c>
      <c r="C65" s="1">
        <v>341.60899999999998</v>
      </c>
      <c r="D65" s="1"/>
      <c r="E65" s="1">
        <v>182.10599999999999</v>
      </c>
      <c r="F65" s="1">
        <v>155.87700000000001</v>
      </c>
      <c r="G65" s="8">
        <v>1</v>
      </c>
      <c r="H65" s="1">
        <v>40</v>
      </c>
      <c r="I65" s="1" t="s">
        <v>37</v>
      </c>
      <c r="J65" s="1"/>
      <c r="K65" s="1">
        <v>162.56</v>
      </c>
      <c r="L65" s="1">
        <f t="shared" si="13"/>
        <v>19.545999999999992</v>
      </c>
      <c r="M65" s="1"/>
      <c r="N65" s="1"/>
      <c r="O65" s="1">
        <v>44.176400000000001</v>
      </c>
      <c r="P65" s="1">
        <v>0</v>
      </c>
      <c r="Q65" s="1">
        <f t="shared" si="2"/>
        <v>36.421199999999999</v>
      </c>
      <c r="R65" s="5">
        <f t="shared" si="16"/>
        <v>200.57979999999998</v>
      </c>
      <c r="S65" s="5"/>
      <c r="T65" s="5">
        <f t="shared" si="3"/>
        <v>200.57979999999998</v>
      </c>
      <c r="U65" s="5"/>
      <c r="V65" s="1"/>
      <c r="W65" s="1"/>
      <c r="X65" s="1">
        <f t="shared" si="4"/>
        <v>11</v>
      </c>
      <c r="Y65" s="1">
        <f t="shared" si="5"/>
        <v>5.4927734396450427</v>
      </c>
      <c r="Z65" s="1">
        <v>27.360600000000002</v>
      </c>
      <c r="AA65" s="1">
        <v>35.071399999999997</v>
      </c>
      <c r="AB65" s="1">
        <v>29.358000000000001</v>
      </c>
      <c r="AC65" s="1">
        <v>26.1556</v>
      </c>
      <c r="AD65" s="1">
        <v>45.908333333333331</v>
      </c>
      <c r="AE65" s="1">
        <v>58.191800000000001</v>
      </c>
      <c r="AF65" s="1">
        <v>43.218000000000004</v>
      </c>
      <c r="AG65" s="1">
        <v>41.256999999999998</v>
      </c>
      <c r="AH65" s="1"/>
      <c r="AI65" s="1">
        <f t="shared" si="6"/>
        <v>201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110</v>
      </c>
      <c r="B66" s="1" t="s">
        <v>36</v>
      </c>
      <c r="C66" s="1">
        <v>300.50400000000002</v>
      </c>
      <c r="D66" s="1"/>
      <c r="E66" s="1">
        <v>186.852</v>
      </c>
      <c r="F66" s="1">
        <v>105.934</v>
      </c>
      <c r="G66" s="8">
        <v>1</v>
      </c>
      <c r="H66" s="1">
        <v>40</v>
      </c>
      <c r="I66" s="1" t="s">
        <v>37</v>
      </c>
      <c r="J66" s="1"/>
      <c r="K66" s="1">
        <v>170.4</v>
      </c>
      <c r="L66" s="1">
        <f t="shared" si="13"/>
        <v>16.451999999999998</v>
      </c>
      <c r="M66" s="1"/>
      <c r="N66" s="1"/>
      <c r="O66" s="1">
        <v>64.060200000000009</v>
      </c>
      <c r="P66" s="1">
        <v>0</v>
      </c>
      <c r="Q66" s="1">
        <f t="shared" si="2"/>
        <v>37.370400000000004</v>
      </c>
      <c r="R66" s="5">
        <f t="shared" si="16"/>
        <v>241.08020000000002</v>
      </c>
      <c r="S66" s="5"/>
      <c r="T66" s="5">
        <f t="shared" si="3"/>
        <v>241.08020000000002</v>
      </c>
      <c r="U66" s="5"/>
      <c r="V66" s="1"/>
      <c r="W66" s="1"/>
      <c r="X66" s="1">
        <f t="shared" si="4"/>
        <v>11</v>
      </c>
      <c r="Y66" s="1">
        <f t="shared" si="5"/>
        <v>4.5488996639051225</v>
      </c>
      <c r="Z66" s="1">
        <v>26.523599999999998</v>
      </c>
      <c r="AA66" s="1">
        <v>33.142200000000003</v>
      </c>
      <c r="AB66" s="1">
        <v>28.8218</v>
      </c>
      <c r="AC66" s="1">
        <v>30.860800000000001</v>
      </c>
      <c r="AD66" s="1">
        <v>45.458833333333331</v>
      </c>
      <c r="AE66" s="1">
        <v>52.653200000000012</v>
      </c>
      <c r="AF66" s="1">
        <v>47.058199999999999</v>
      </c>
      <c r="AG66" s="1">
        <v>39.851399999999998</v>
      </c>
      <c r="AH66" s="1"/>
      <c r="AI66" s="1">
        <f t="shared" si="6"/>
        <v>241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111</v>
      </c>
      <c r="B67" s="1" t="s">
        <v>36</v>
      </c>
      <c r="C67" s="1">
        <v>575.53800000000001</v>
      </c>
      <c r="D67" s="1">
        <v>4.2750000000000004</v>
      </c>
      <c r="E67" s="1">
        <v>218.02500000000001</v>
      </c>
      <c r="F67" s="1">
        <v>359.05</v>
      </c>
      <c r="G67" s="8">
        <v>1</v>
      </c>
      <c r="H67" s="1">
        <v>40</v>
      </c>
      <c r="I67" s="1" t="s">
        <v>37</v>
      </c>
      <c r="J67" s="1"/>
      <c r="K67" s="1">
        <v>238.09899999999999</v>
      </c>
      <c r="L67" s="1">
        <f t="shared" si="13"/>
        <v>-20.073999999999984</v>
      </c>
      <c r="M67" s="1"/>
      <c r="N67" s="1"/>
      <c r="O67" s="1">
        <v>106.0924</v>
      </c>
      <c r="P67" s="1">
        <v>24.037799999999951</v>
      </c>
      <c r="Q67" s="1">
        <f t="shared" si="2"/>
        <v>43.605000000000004</v>
      </c>
      <c r="R67" s="5"/>
      <c r="S67" s="5"/>
      <c r="T67" s="5">
        <f t="shared" si="3"/>
        <v>0</v>
      </c>
      <c r="U67" s="5"/>
      <c r="V67" s="1"/>
      <c r="W67" s="1"/>
      <c r="X67" s="1">
        <f t="shared" si="4"/>
        <v>11.218442839123952</v>
      </c>
      <c r="Y67" s="1">
        <f t="shared" si="5"/>
        <v>11.218442839123952</v>
      </c>
      <c r="Z67" s="1">
        <v>55.186599999999999</v>
      </c>
      <c r="AA67" s="1">
        <v>61.9664</v>
      </c>
      <c r="AB67" s="1">
        <v>45.757399999999997</v>
      </c>
      <c r="AC67" s="1">
        <v>42.098399999999998</v>
      </c>
      <c r="AD67" s="1">
        <v>45.980499999999999</v>
      </c>
      <c r="AE67" s="1">
        <v>63.721799999999988</v>
      </c>
      <c r="AF67" s="1">
        <v>127.86360000000001</v>
      </c>
      <c r="AG67" s="1">
        <v>42.148200000000003</v>
      </c>
      <c r="AH67" s="1"/>
      <c r="AI67" s="1">
        <f t="shared" si="6"/>
        <v>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6" t="s">
        <v>112</v>
      </c>
      <c r="B68" s="16" t="s">
        <v>36</v>
      </c>
      <c r="C68" s="16"/>
      <c r="D68" s="16"/>
      <c r="E68" s="16"/>
      <c r="F68" s="16"/>
      <c r="G68" s="17">
        <v>0</v>
      </c>
      <c r="H68" s="16">
        <v>30</v>
      </c>
      <c r="I68" s="16" t="s">
        <v>37</v>
      </c>
      <c r="J68" s="16"/>
      <c r="K68" s="16"/>
      <c r="L68" s="16">
        <f t="shared" si="13"/>
        <v>0</v>
      </c>
      <c r="M68" s="16"/>
      <c r="N68" s="16"/>
      <c r="O68" s="16">
        <v>0</v>
      </c>
      <c r="P68" s="16">
        <v>0</v>
      </c>
      <c r="Q68" s="16">
        <f t="shared" si="2"/>
        <v>0</v>
      </c>
      <c r="R68" s="18"/>
      <c r="S68" s="18"/>
      <c r="T68" s="5">
        <f t="shared" si="3"/>
        <v>0</v>
      </c>
      <c r="U68" s="18"/>
      <c r="V68" s="1"/>
      <c r="W68" s="16"/>
      <c r="X68" s="1" t="e">
        <f t="shared" si="4"/>
        <v>#DIV/0!</v>
      </c>
      <c r="Y68" s="16" t="e">
        <f t="shared" si="5"/>
        <v>#DIV/0!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 t="s">
        <v>64</v>
      </c>
      <c r="AI68" s="1">
        <f t="shared" si="6"/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113</v>
      </c>
      <c r="B69" s="1" t="s">
        <v>42</v>
      </c>
      <c r="C69" s="1">
        <v>13</v>
      </c>
      <c r="D69" s="1">
        <v>40</v>
      </c>
      <c r="E69" s="1">
        <v>7</v>
      </c>
      <c r="F69" s="1">
        <v>46</v>
      </c>
      <c r="G69" s="8">
        <v>0.6</v>
      </c>
      <c r="H69" s="1">
        <v>60</v>
      </c>
      <c r="I69" s="1" t="s">
        <v>37</v>
      </c>
      <c r="J69" s="1"/>
      <c r="K69" s="1">
        <v>45</v>
      </c>
      <c r="L69" s="1">
        <f t="shared" ref="L69:L97" si="17">E69-K69</f>
        <v>-38</v>
      </c>
      <c r="M69" s="1"/>
      <c r="N69" s="1"/>
      <c r="O69" s="1">
        <v>0</v>
      </c>
      <c r="P69" s="1">
        <v>0</v>
      </c>
      <c r="Q69" s="1">
        <f t="shared" si="2"/>
        <v>1.4</v>
      </c>
      <c r="R69" s="5"/>
      <c r="S69" s="5"/>
      <c r="T69" s="5">
        <f t="shared" si="3"/>
        <v>0</v>
      </c>
      <c r="U69" s="5"/>
      <c r="V69" s="1"/>
      <c r="W69" s="1"/>
      <c r="X69" s="1">
        <f t="shared" si="4"/>
        <v>32.857142857142861</v>
      </c>
      <c r="Y69" s="1">
        <f t="shared" si="5"/>
        <v>32.857142857142861</v>
      </c>
      <c r="Z69" s="1">
        <v>1.6</v>
      </c>
      <c r="AA69" s="1">
        <v>4.2</v>
      </c>
      <c r="AB69" s="1">
        <v>4.4000000000000004</v>
      </c>
      <c r="AC69" s="1">
        <v>2.4</v>
      </c>
      <c r="AD69" s="1">
        <v>1.666666666666667</v>
      </c>
      <c r="AE69" s="1">
        <v>0.4</v>
      </c>
      <c r="AF69" s="1">
        <v>2.2000000000000002</v>
      </c>
      <c r="AG69" s="1">
        <v>17.8</v>
      </c>
      <c r="AH69" s="20" t="s">
        <v>55</v>
      </c>
      <c r="AI69" s="1">
        <f t="shared" si="6"/>
        <v>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114</v>
      </c>
      <c r="B70" s="1" t="s">
        <v>42</v>
      </c>
      <c r="C70" s="1">
        <v>55</v>
      </c>
      <c r="D70" s="1">
        <v>56</v>
      </c>
      <c r="E70" s="1">
        <v>34</v>
      </c>
      <c r="F70" s="1">
        <v>77</v>
      </c>
      <c r="G70" s="8">
        <v>0.6</v>
      </c>
      <c r="H70" s="1">
        <v>60</v>
      </c>
      <c r="I70" s="1" t="s">
        <v>37</v>
      </c>
      <c r="J70" s="1"/>
      <c r="K70" s="1">
        <v>57</v>
      </c>
      <c r="L70" s="1">
        <f t="shared" si="17"/>
        <v>-23</v>
      </c>
      <c r="M70" s="1"/>
      <c r="N70" s="1"/>
      <c r="O70" s="1">
        <v>0</v>
      </c>
      <c r="P70" s="1">
        <v>24.999999999999972</v>
      </c>
      <c r="Q70" s="1">
        <f t="shared" ref="Q70:Q101" si="18">E70/5</f>
        <v>6.8</v>
      </c>
      <c r="R70" s="5"/>
      <c r="S70" s="5"/>
      <c r="T70" s="5">
        <f t="shared" ref="T70:T97" si="19">S70+R70</f>
        <v>0</v>
      </c>
      <c r="U70" s="5"/>
      <c r="V70" s="1"/>
      <c r="W70" s="1"/>
      <c r="X70" s="1">
        <f t="shared" ref="X70:X97" si="20">(F70+O70+P70+T70)/Q70</f>
        <v>14.999999999999996</v>
      </c>
      <c r="Y70" s="1">
        <f t="shared" ref="Y70:Y97" si="21">(F70+O70+P70)/Q70</f>
        <v>14.999999999999996</v>
      </c>
      <c r="Z70" s="1">
        <v>8</v>
      </c>
      <c r="AA70" s="1">
        <v>8.1999999999999993</v>
      </c>
      <c r="AB70" s="1">
        <v>8.8000000000000007</v>
      </c>
      <c r="AC70" s="1">
        <v>1.4</v>
      </c>
      <c r="AD70" s="1">
        <v>4.5</v>
      </c>
      <c r="AE70" s="1">
        <v>8.1999999999999993</v>
      </c>
      <c r="AF70" s="1">
        <v>3.4</v>
      </c>
      <c r="AG70" s="1">
        <v>0</v>
      </c>
      <c r="AH70" s="1" t="s">
        <v>115</v>
      </c>
      <c r="AI70" s="1">
        <f t="shared" ref="AI70:AI101" si="22">ROUND(G70*T70,0)</f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116</v>
      </c>
      <c r="B71" s="1" t="s">
        <v>42</v>
      </c>
      <c r="C71" s="1">
        <v>162</v>
      </c>
      <c r="D71" s="1">
        <v>2</v>
      </c>
      <c r="E71" s="1">
        <v>23</v>
      </c>
      <c r="F71" s="1">
        <v>138</v>
      </c>
      <c r="G71" s="8">
        <v>0.37</v>
      </c>
      <c r="H71" s="1">
        <v>50</v>
      </c>
      <c r="I71" s="12" t="s">
        <v>75</v>
      </c>
      <c r="J71" s="1"/>
      <c r="K71" s="1">
        <v>27</v>
      </c>
      <c r="L71" s="1">
        <f t="shared" si="17"/>
        <v>-4</v>
      </c>
      <c r="M71" s="1"/>
      <c r="N71" s="1"/>
      <c r="O71" s="1">
        <v>0</v>
      </c>
      <c r="P71" s="1">
        <v>0</v>
      </c>
      <c r="Q71" s="1">
        <f t="shared" si="18"/>
        <v>4.5999999999999996</v>
      </c>
      <c r="R71" s="5"/>
      <c r="S71" s="5"/>
      <c r="T71" s="5">
        <f t="shared" si="19"/>
        <v>0</v>
      </c>
      <c r="U71" s="5"/>
      <c r="V71" s="1"/>
      <c r="W71" s="1"/>
      <c r="X71" s="1">
        <f t="shared" si="20"/>
        <v>30.000000000000004</v>
      </c>
      <c r="Y71" s="1">
        <f t="shared" si="21"/>
        <v>30.000000000000004</v>
      </c>
      <c r="Z71" s="1">
        <v>10.6</v>
      </c>
      <c r="AA71" s="1">
        <v>9.6</v>
      </c>
      <c r="AB71" s="1">
        <v>3.2</v>
      </c>
      <c r="AC71" s="1">
        <v>7.8</v>
      </c>
      <c r="AD71" s="1">
        <v>17.333333333333329</v>
      </c>
      <c r="AE71" s="1">
        <v>22</v>
      </c>
      <c r="AF71" s="1">
        <v>9.4</v>
      </c>
      <c r="AG71" s="1">
        <v>9.6</v>
      </c>
      <c r="AH71" s="21" t="s">
        <v>148</v>
      </c>
      <c r="AI71" s="1">
        <f t="shared" si="22"/>
        <v>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6" t="s">
        <v>117</v>
      </c>
      <c r="B72" s="16" t="s">
        <v>42</v>
      </c>
      <c r="C72" s="16"/>
      <c r="D72" s="16"/>
      <c r="E72" s="16"/>
      <c r="F72" s="16"/>
      <c r="G72" s="17">
        <v>0</v>
      </c>
      <c r="H72" s="16">
        <v>30</v>
      </c>
      <c r="I72" s="16" t="s">
        <v>37</v>
      </c>
      <c r="J72" s="16"/>
      <c r="K72" s="16"/>
      <c r="L72" s="16">
        <f t="shared" si="17"/>
        <v>0</v>
      </c>
      <c r="M72" s="16"/>
      <c r="N72" s="16"/>
      <c r="O72" s="16">
        <v>0</v>
      </c>
      <c r="P72" s="16">
        <v>0</v>
      </c>
      <c r="Q72" s="16">
        <f t="shared" si="18"/>
        <v>0</v>
      </c>
      <c r="R72" s="18"/>
      <c r="S72" s="18"/>
      <c r="T72" s="5">
        <f t="shared" si="19"/>
        <v>0</v>
      </c>
      <c r="U72" s="18"/>
      <c r="V72" s="1"/>
      <c r="W72" s="16"/>
      <c r="X72" s="1" t="e">
        <f t="shared" si="20"/>
        <v>#DIV/0!</v>
      </c>
      <c r="Y72" s="16" t="e">
        <f t="shared" si="21"/>
        <v>#DIV/0!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 t="s">
        <v>64</v>
      </c>
      <c r="AI72" s="1">
        <f t="shared" si="22"/>
        <v>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118</v>
      </c>
      <c r="B73" s="1" t="s">
        <v>42</v>
      </c>
      <c r="C73" s="1">
        <v>28</v>
      </c>
      <c r="D73" s="1">
        <v>96</v>
      </c>
      <c r="E73" s="1">
        <v>30</v>
      </c>
      <c r="F73" s="1">
        <v>94</v>
      </c>
      <c r="G73" s="8">
        <v>0.6</v>
      </c>
      <c r="H73" s="1">
        <v>55</v>
      </c>
      <c r="I73" s="12" t="s">
        <v>75</v>
      </c>
      <c r="J73" s="1"/>
      <c r="K73" s="1">
        <v>40</v>
      </c>
      <c r="L73" s="1">
        <f t="shared" si="17"/>
        <v>-10</v>
      </c>
      <c r="M73" s="1"/>
      <c r="N73" s="1"/>
      <c r="O73" s="1">
        <v>28.199999999999989</v>
      </c>
      <c r="P73" s="1">
        <v>0</v>
      </c>
      <c r="Q73" s="1">
        <f t="shared" si="18"/>
        <v>6</v>
      </c>
      <c r="R73" s="5"/>
      <c r="S73" s="5"/>
      <c r="T73" s="5">
        <f t="shared" si="19"/>
        <v>0</v>
      </c>
      <c r="U73" s="5"/>
      <c r="V73" s="1"/>
      <c r="W73" s="1"/>
      <c r="X73" s="1">
        <f t="shared" si="20"/>
        <v>20.366666666666664</v>
      </c>
      <c r="Y73" s="1">
        <f t="shared" si="21"/>
        <v>20.366666666666664</v>
      </c>
      <c r="Z73" s="1">
        <v>8</v>
      </c>
      <c r="AA73" s="1">
        <v>16.600000000000001</v>
      </c>
      <c r="AB73" s="1">
        <v>14.8</v>
      </c>
      <c r="AC73" s="1">
        <v>1.6</v>
      </c>
      <c r="AD73" s="1">
        <v>7.333333333333333</v>
      </c>
      <c r="AE73" s="1">
        <v>7.4</v>
      </c>
      <c r="AF73" s="1">
        <v>2.4</v>
      </c>
      <c r="AG73" s="1">
        <v>12.953200000000001</v>
      </c>
      <c r="AH73" s="1"/>
      <c r="AI73" s="1">
        <f t="shared" si="22"/>
        <v>0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6" t="s">
        <v>119</v>
      </c>
      <c r="B74" s="16" t="s">
        <v>42</v>
      </c>
      <c r="C74" s="16"/>
      <c r="D74" s="16"/>
      <c r="E74" s="16"/>
      <c r="F74" s="16"/>
      <c r="G74" s="17">
        <v>0</v>
      </c>
      <c r="H74" s="16">
        <v>40</v>
      </c>
      <c r="I74" s="16" t="s">
        <v>37</v>
      </c>
      <c r="J74" s="16"/>
      <c r="K74" s="16"/>
      <c r="L74" s="16">
        <f t="shared" si="17"/>
        <v>0</v>
      </c>
      <c r="M74" s="16"/>
      <c r="N74" s="16"/>
      <c r="O74" s="16">
        <v>0</v>
      </c>
      <c r="P74" s="16">
        <v>0</v>
      </c>
      <c r="Q74" s="16">
        <f t="shared" si="18"/>
        <v>0</v>
      </c>
      <c r="R74" s="18"/>
      <c r="S74" s="18"/>
      <c r="T74" s="5">
        <f t="shared" si="19"/>
        <v>0</v>
      </c>
      <c r="U74" s="18"/>
      <c r="V74" s="1"/>
      <c r="W74" s="16"/>
      <c r="X74" s="1" t="e">
        <f t="shared" si="20"/>
        <v>#DIV/0!</v>
      </c>
      <c r="Y74" s="16" t="e">
        <f t="shared" si="21"/>
        <v>#DIV/0!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 t="s">
        <v>120</v>
      </c>
      <c r="AI74" s="1">
        <f t="shared" si="22"/>
        <v>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121</v>
      </c>
      <c r="B75" s="1" t="s">
        <v>42</v>
      </c>
      <c r="C75" s="1">
        <v>132</v>
      </c>
      <c r="D75" s="1">
        <v>2</v>
      </c>
      <c r="E75" s="1">
        <v>12</v>
      </c>
      <c r="F75" s="1">
        <v>118</v>
      </c>
      <c r="G75" s="8">
        <v>0.4</v>
      </c>
      <c r="H75" s="1">
        <v>50</v>
      </c>
      <c r="I75" s="1" t="s">
        <v>37</v>
      </c>
      <c r="J75" s="1"/>
      <c r="K75" s="1">
        <v>14</v>
      </c>
      <c r="L75" s="1">
        <f t="shared" si="17"/>
        <v>-2</v>
      </c>
      <c r="M75" s="1"/>
      <c r="N75" s="1"/>
      <c r="O75" s="1">
        <v>0</v>
      </c>
      <c r="P75" s="1">
        <v>0</v>
      </c>
      <c r="Q75" s="1">
        <f t="shared" si="18"/>
        <v>2.4</v>
      </c>
      <c r="R75" s="5"/>
      <c r="S75" s="5"/>
      <c r="T75" s="5">
        <f t="shared" si="19"/>
        <v>0</v>
      </c>
      <c r="U75" s="5"/>
      <c r="V75" s="1"/>
      <c r="W75" s="1"/>
      <c r="X75" s="1">
        <f t="shared" si="20"/>
        <v>49.166666666666671</v>
      </c>
      <c r="Y75" s="1">
        <f t="shared" si="21"/>
        <v>49.166666666666671</v>
      </c>
      <c r="Z75" s="1">
        <v>2.8</v>
      </c>
      <c r="AA75" s="1">
        <v>2.8</v>
      </c>
      <c r="AB75" s="1">
        <v>4.8</v>
      </c>
      <c r="AC75" s="1">
        <v>8.1999999999999993</v>
      </c>
      <c r="AD75" s="1">
        <v>13.83333333333333</v>
      </c>
      <c r="AE75" s="1">
        <v>14.6</v>
      </c>
      <c r="AF75" s="1">
        <v>3.8</v>
      </c>
      <c r="AG75" s="1">
        <v>10</v>
      </c>
      <c r="AH75" s="20" t="s">
        <v>55</v>
      </c>
      <c r="AI75" s="1">
        <f t="shared" si="22"/>
        <v>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6" t="s">
        <v>122</v>
      </c>
      <c r="B76" s="16" t="s">
        <v>42</v>
      </c>
      <c r="C76" s="16"/>
      <c r="D76" s="16"/>
      <c r="E76" s="16"/>
      <c r="F76" s="16"/>
      <c r="G76" s="17">
        <v>0</v>
      </c>
      <c r="H76" s="16">
        <v>55</v>
      </c>
      <c r="I76" s="16" t="s">
        <v>37</v>
      </c>
      <c r="J76" s="16"/>
      <c r="K76" s="16"/>
      <c r="L76" s="16">
        <f t="shared" si="17"/>
        <v>0</v>
      </c>
      <c r="M76" s="16"/>
      <c r="N76" s="16"/>
      <c r="O76" s="16">
        <v>0</v>
      </c>
      <c r="P76" s="16">
        <v>0</v>
      </c>
      <c r="Q76" s="16">
        <f t="shared" si="18"/>
        <v>0</v>
      </c>
      <c r="R76" s="18"/>
      <c r="S76" s="18"/>
      <c r="T76" s="5">
        <f t="shared" si="19"/>
        <v>0</v>
      </c>
      <c r="U76" s="18"/>
      <c r="V76" s="1"/>
      <c r="W76" s="16"/>
      <c r="X76" s="1" t="e">
        <f t="shared" si="20"/>
        <v>#DIV/0!</v>
      </c>
      <c r="Y76" s="16" t="e">
        <f t="shared" si="21"/>
        <v>#DIV/0!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 t="s">
        <v>64</v>
      </c>
      <c r="AI76" s="1">
        <f t="shared" si="22"/>
        <v>0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6" t="s">
        <v>123</v>
      </c>
      <c r="B77" s="16" t="s">
        <v>36</v>
      </c>
      <c r="C77" s="16"/>
      <c r="D77" s="16"/>
      <c r="E77" s="16"/>
      <c r="F77" s="16"/>
      <c r="G77" s="17">
        <v>0</v>
      </c>
      <c r="H77" s="16">
        <v>55</v>
      </c>
      <c r="I77" s="16" t="s">
        <v>37</v>
      </c>
      <c r="J77" s="16"/>
      <c r="K77" s="16"/>
      <c r="L77" s="16">
        <f t="shared" si="17"/>
        <v>0</v>
      </c>
      <c r="M77" s="16"/>
      <c r="N77" s="16"/>
      <c r="O77" s="16">
        <v>0</v>
      </c>
      <c r="P77" s="16">
        <v>0</v>
      </c>
      <c r="Q77" s="16">
        <f t="shared" si="18"/>
        <v>0</v>
      </c>
      <c r="R77" s="18"/>
      <c r="S77" s="18"/>
      <c r="T77" s="5">
        <f t="shared" si="19"/>
        <v>0</v>
      </c>
      <c r="U77" s="18"/>
      <c r="V77" s="1"/>
      <c r="W77" s="16"/>
      <c r="X77" s="1" t="e">
        <f t="shared" si="20"/>
        <v>#DIV/0!</v>
      </c>
      <c r="Y77" s="16" t="e">
        <f t="shared" si="21"/>
        <v>#DIV/0!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 t="s">
        <v>124</v>
      </c>
      <c r="AI77" s="1">
        <f t="shared" si="22"/>
        <v>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26" t="s">
        <v>125</v>
      </c>
      <c r="B78" s="26" t="s">
        <v>36</v>
      </c>
      <c r="C78" s="26">
        <v>209.858</v>
      </c>
      <c r="D78" s="26">
        <v>4.2510000000000003</v>
      </c>
      <c r="E78" s="26">
        <v>133.81800000000001</v>
      </c>
      <c r="F78" s="26">
        <v>75.197000000000003</v>
      </c>
      <c r="G78" s="27">
        <v>1</v>
      </c>
      <c r="H78" s="26">
        <v>60</v>
      </c>
      <c r="I78" s="26" t="s">
        <v>37</v>
      </c>
      <c r="J78" s="26"/>
      <c r="K78" s="26">
        <v>124.943</v>
      </c>
      <c r="L78" s="26">
        <f t="shared" si="17"/>
        <v>8.8750000000000142</v>
      </c>
      <c r="M78" s="26"/>
      <c r="N78" s="26"/>
      <c r="O78" s="26">
        <v>38.128199999999993</v>
      </c>
      <c r="P78" s="26">
        <v>126.9302</v>
      </c>
      <c r="Q78" s="26">
        <f t="shared" si="18"/>
        <v>26.763600000000004</v>
      </c>
      <c r="R78" s="28">
        <f t="shared" ref="R78:R81" si="23">11*Q78*1.5-P78-O78-F78</f>
        <v>201.34400000000005</v>
      </c>
      <c r="S78" s="28"/>
      <c r="T78" s="28">
        <f t="shared" si="19"/>
        <v>201.34400000000005</v>
      </c>
      <c r="U78" s="28"/>
      <c r="V78" s="26"/>
      <c r="W78" s="26"/>
      <c r="X78" s="26">
        <f t="shared" si="20"/>
        <v>16.5</v>
      </c>
      <c r="Y78" s="26">
        <f t="shared" si="21"/>
        <v>8.9769463001987759</v>
      </c>
      <c r="Z78" s="26">
        <v>25.841200000000001</v>
      </c>
      <c r="AA78" s="26">
        <v>22.5442</v>
      </c>
      <c r="AB78" s="26">
        <v>19.0594</v>
      </c>
      <c r="AC78" s="26">
        <v>20.004200000000001</v>
      </c>
      <c r="AD78" s="26">
        <v>26.745999999999999</v>
      </c>
      <c r="AE78" s="26">
        <v>30.1508</v>
      </c>
      <c r="AF78" s="26">
        <v>19.381</v>
      </c>
      <c r="AG78" s="26">
        <v>25.3506</v>
      </c>
      <c r="AH78" s="26" t="s">
        <v>152</v>
      </c>
      <c r="AI78" s="26">
        <f t="shared" si="22"/>
        <v>201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26" t="s">
        <v>126</v>
      </c>
      <c r="B79" s="26" t="s">
        <v>36</v>
      </c>
      <c r="C79" s="26">
        <v>640.19899999999996</v>
      </c>
      <c r="D79" s="26">
        <v>411.42899999999997</v>
      </c>
      <c r="E79" s="26">
        <v>534.97400000000005</v>
      </c>
      <c r="F79" s="26">
        <v>509.98</v>
      </c>
      <c r="G79" s="27">
        <v>1</v>
      </c>
      <c r="H79" s="26">
        <v>60</v>
      </c>
      <c r="I79" s="26" t="s">
        <v>37</v>
      </c>
      <c r="J79" s="26"/>
      <c r="K79" s="26">
        <v>534</v>
      </c>
      <c r="L79" s="26">
        <f t="shared" si="17"/>
        <v>0.97400000000004638</v>
      </c>
      <c r="M79" s="26"/>
      <c r="N79" s="26"/>
      <c r="O79" s="26">
        <v>463.94605000000018</v>
      </c>
      <c r="P79" s="26">
        <v>0</v>
      </c>
      <c r="Q79" s="26">
        <f t="shared" si="18"/>
        <v>106.99480000000001</v>
      </c>
      <c r="R79" s="28">
        <f t="shared" si="23"/>
        <v>791.48814999999991</v>
      </c>
      <c r="S79" s="28"/>
      <c r="T79" s="28">
        <f t="shared" si="19"/>
        <v>791.48814999999991</v>
      </c>
      <c r="U79" s="28"/>
      <c r="V79" s="26"/>
      <c r="W79" s="26"/>
      <c r="X79" s="26">
        <f t="shared" si="20"/>
        <v>16.5</v>
      </c>
      <c r="Y79" s="26">
        <f t="shared" si="21"/>
        <v>9.1025549839805304</v>
      </c>
      <c r="Z79" s="26">
        <v>90.883600000000001</v>
      </c>
      <c r="AA79" s="26">
        <v>112.3</v>
      </c>
      <c r="AB79" s="26">
        <v>110.97280000000001</v>
      </c>
      <c r="AC79" s="26">
        <v>111.33920000000001</v>
      </c>
      <c r="AD79" s="26">
        <v>109.66516666666671</v>
      </c>
      <c r="AE79" s="26">
        <v>132.04480000000001</v>
      </c>
      <c r="AF79" s="26">
        <v>98.457399999999993</v>
      </c>
      <c r="AG79" s="26">
        <v>111.7734</v>
      </c>
      <c r="AH79" s="26" t="s">
        <v>150</v>
      </c>
      <c r="AI79" s="26">
        <f t="shared" si="22"/>
        <v>791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26" t="s">
        <v>127</v>
      </c>
      <c r="B80" s="26" t="s">
        <v>36</v>
      </c>
      <c r="C80" s="26">
        <v>501.43700000000001</v>
      </c>
      <c r="D80" s="26">
        <v>1033.009</v>
      </c>
      <c r="E80" s="26">
        <v>734.64099999999996</v>
      </c>
      <c r="F80" s="26">
        <v>757.51</v>
      </c>
      <c r="G80" s="27">
        <v>1</v>
      </c>
      <c r="H80" s="26">
        <v>60</v>
      </c>
      <c r="I80" s="26" t="s">
        <v>37</v>
      </c>
      <c r="J80" s="26"/>
      <c r="K80" s="26">
        <v>739</v>
      </c>
      <c r="L80" s="26">
        <f t="shared" si="17"/>
        <v>-4.3590000000000373</v>
      </c>
      <c r="M80" s="26"/>
      <c r="N80" s="26"/>
      <c r="O80" s="26">
        <v>390.38465000000019</v>
      </c>
      <c r="P80" s="26">
        <v>0</v>
      </c>
      <c r="Q80" s="26">
        <f t="shared" si="18"/>
        <v>146.9282</v>
      </c>
      <c r="R80" s="28">
        <f t="shared" si="23"/>
        <v>1276.42065</v>
      </c>
      <c r="S80" s="28"/>
      <c r="T80" s="28">
        <f t="shared" si="19"/>
        <v>1276.42065</v>
      </c>
      <c r="U80" s="28"/>
      <c r="V80" s="26"/>
      <c r="W80" s="26"/>
      <c r="X80" s="26">
        <f t="shared" si="20"/>
        <v>16.5</v>
      </c>
      <c r="Y80" s="26">
        <f t="shared" si="21"/>
        <v>7.8126231043462058</v>
      </c>
      <c r="Z80" s="26">
        <v>116.08580000000001</v>
      </c>
      <c r="AA80" s="26">
        <v>145.57579999999999</v>
      </c>
      <c r="AB80" s="26">
        <v>156.84819999999999</v>
      </c>
      <c r="AC80" s="26">
        <v>141.7116</v>
      </c>
      <c r="AD80" s="26">
        <v>113.6155</v>
      </c>
      <c r="AE80" s="26">
        <v>145.12819999999999</v>
      </c>
      <c r="AF80" s="26">
        <v>136.1464</v>
      </c>
      <c r="AG80" s="26">
        <v>92.448000000000008</v>
      </c>
      <c r="AH80" s="26" t="s">
        <v>152</v>
      </c>
      <c r="AI80" s="26">
        <f t="shared" si="22"/>
        <v>1276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26" t="s">
        <v>128</v>
      </c>
      <c r="B81" s="26" t="s">
        <v>36</v>
      </c>
      <c r="C81" s="26">
        <v>2429.8020000000001</v>
      </c>
      <c r="D81" s="26">
        <v>17.762</v>
      </c>
      <c r="E81" s="26">
        <v>1344.973</v>
      </c>
      <c r="F81" s="26">
        <v>1044</v>
      </c>
      <c r="G81" s="27">
        <v>1</v>
      </c>
      <c r="H81" s="26">
        <v>60</v>
      </c>
      <c r="I81" s="26" t="s">
        <v>37</v>
      </c>
      <c r="J81" s="26"/>
      <c r="K81" s="26">
        <v>1318.5</v>
      </c>
      <c r="L81" s="26">
        <f t="shared" si="17"/>
        <v>26.472999999999956</v>
      </c>
      <c r="M81" s="26"/>
      <c r="N81" s="26"/>
      <c r="O81" s="26">
        <v>958.02140000000031</v>
      </c>
      <c r="P81" s="26">
        <v>0</v>
      </c>
      <c r="Q81" s="26">
        <f t="shared" si="18"/>
        <v>268.99459999999999</v>
      </c>
      <c r="R81" s="28">
        <f t="shared" si="23"/>
        <v>2436.3894999999993</v>
      </c>
      <c r="S81" s="28"/>
      <c r="T81" s="28">
        <f t="shared" si="19"/>
        <v>2436.3894999999993</v>
      </c>
      <c r="U81" s="28"/>
      <c r="V81" s="26"/>
      <c r="W81" s="26"/>
      <c r="X81" s="26">
        <f t="shared" si="20"/>
        <v>16.5</v>
      </c>
      <c r="Y81" s="26">
        <f t="shared" si="21"/>
        <v>7.4426081415760779</v>
      </c>
      <c r="Z81" s="26">
        <v>215.37639999999999</v>
      </c>
      <c r="AA81" s="26">
        <v>260.60180000000003</v>
      </c>
      <c r="AB81" s="26">
        <v>251.7852</v>
      </c>
      <c r="AC81" s="26">
        <v>246.667</v>
      </c>
      <c r="AD81" s="26">
        <v>303.02916666666658</v>
      </c>
      <c r="AE81" s="26">
        <v>407.41539999999998</v>
      </c>
      <c r="AF81" s="26">
        <v>277.85980000000001</v>
      </c>
      <c r="AG81" s="26">
        <v>224.4718</v>
      </c>
      <c r="AH81" s="26" t="s">
        <v>152</v>
      </c>
      <c r="AI81" s="26">
        <f t="shared" si="22"/>
        <v>2436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6" t="s">
        <v>129</v>
      </c>
      <c r="B82" s="16" t="s">
        <v>36</v>
      </c>
      <c r="C82" s="16"/>
      <c r="D82" s="16"/>
      <c r="E82" s="16"/>
      <c r="F82" s="16"/>
      <c r="G82" s="17">
        <v>0</v>
      </c>
      <c r="H82" s="16">
        <v>60</v>
      </c>
      <c r="I82" s="16" t="s">
        <v>37</v>
      </c>
      <c r="J82" s="16"/>
      <c r="K82" s="16"/>
      <c r="L82" s="16">
        <f t="shared" si="17"/>
        <v>0</v>
      </c>
      <c r="M82" s="16"/>
      <c r="N82" s="16"/>
      <c r="O82" s="16">
        <v>0</v>
      </c>
      <c r="P82" s="16">
        <v>0</v>
      </c>
      <c r="Q82" s="16">
        <f t="shared" si="18"/>
        <v>0</v>
      </c>
      <c r="R82" s="18"/>
      <c r="S82" s="18"/>
      <c r="T82" s="5">
        <f t="shared" si="19"/>
        <v>0</v>
      </c>
      <c r="U82" s="18"/>
      <c r="V82" s="1"/>
      <c r="W82" s="16"/>
      <c r="X82" s="1" t="e">
        <f t="shared" si="20"/>
        <v>#DIV/0!</v>
      </c>
      <c r="Y82" s="16" t="e">
        <f t="shared" si="21"/>
        <v>#DIV/0!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 t="s">
        <v>64</v>
      </c>
      <c r="AI82" s="1">
        <f t="shared" si="22"/>
        <v>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26" t="s">
        <v>130</v>
      </c>
      <c r="B83" s="26" t="s">
        <v>42</v>
      </c>
      <c r="C83" s="26">
        <v>110</v>
      </c>
      <c r="D83" s="26">
        <v>3</v>
      </c>
      <c r="E83" s="26">
        <v>105</v>
      </c>
      <c r="F83" s="26">
        <v>4</v>
      </c>
      <c r="G83" s="27">
        <v>0.3</v>
      </c>
      <c r="H83" s="26">
        <v>40</v>
      </c>
      <c r="I83" s="26" t="s">
        <v>37</v>
      </c>
      <c r="J83" s="26"/>
      <c r="K83" s="26">
        <v>119</v>
      </c>
      <c r="L83" s="26">
        <f t="shared" si="17"/>
        <v>-14</v>
      </c>
      <c r="M83" s="26"/>
      <c r="N83" s="26"/>
      <c r="O83" s="26">
        <v>146</v>
      </c>
      <c r="P83" s="26">
        <v>70.200000000000045</v>
      </c>
      <c r="Q83" s="26">
        <f t="shared" si="18"/>
        <v>21</v>
      </c>
      <c r="R83" s="28">
        <f t="shared" ref="R83" si="24">11*Q83*1.5-P83-O83-F83</f>
        <v>126.29999999999995</v>
      </c>
      <c r="S83" s="28"/>
      <c r="T83" s="28">
        <f t="shared" si="19"/>
        <v>126.29999999999995</v>
      </c>
      <c r="U83" s="28"/>
      <c r="V83" s="26"/>
      <c r="W83" s="26"/>
      <c r="X83" s="26">
        <f t="shared" si="20"/>
        <v>16.5</v>
      </c>
      <c r="Y83" s="26">
        <f t="shared" si="21"/>
        <v>10.485714285714288</v>
      </c>
      <c r="Z83" s="26">
        <v>24.6</v>
      </c>
      <c r="AA83" s="26">
        <v>25.6</v>
      </c>
      <c r="AB83" s="26">
        <v>14.8</v>
      </c>
      <c r="AC83" s="26">
        <v>14.3188</v>
      </c>
      <c r="AD83" s="26">
        <v>20.5</v>
      </c>
      <c r="AE83" s="26">
        <v>28.2</v>
      </c>
      <c r="AF83" s="26">
        <v>19.8</v>
      </c>
      <c r="AG83" s="26">
        <v>19.399999999999999</v>
      </c>
      <c r="AH83" s="26" t="s">
        <v>150</v>
      </c>
      <c r="AI83" s="26">
        <f t="shared" si="22"/>
        <v>38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131</v>
      </c>
      <c r="B84" s="1" t="s">
        <v>42</v>
      </c>
      <c r="C84" s="1">
        <v>33</v>
      </c>
      <c r="D84" s="1">
        <v>18</v>
      </c>
      <c r="E84" s="1">
        <v>17</v>
      </c>
      <c r="F84" s="1">
        <v>31</v>
      </c>
      <c r="G84" s="8">
        <v>7.0000000000000007E-2</v>
      </c>
      <c r="H84" s="1">
        <v>90</v>
      </c>
      <c r="I84" s="1" t="s">
        <v>37</v>
      </c>
      <c r="J84" s="1"/>
      <c r="K84" s="1">
        <v>20</v>
      </c>
      <c r="L84" s="1">
        <f t="shared" si="17"/>
        <v>-3</v>
      </c>
      <c r="M84" s="1"/>
      <c r="N84" s="1"/>
      <c r="O84" s="1">
        <v>33.399999999999991</v>
      </c>
      <c r="P84" s="1">
        <v>20.8</v>
      </c>
      <c r="Q84" s="1">
        <f t="shared" si="18"/>
        <v>3.4</v>
      </c>
      <c r="R84" s="5"/>
      <c r="S84" s="5"/>
      <c r="T84" s="5">
        <f t="shared" si="19"/>
        <v>0</v>
      </c>
      <c r="U84" s="5"/>
      <c r="V84" s="1"/>
      <c r="W84" s="1"/>
      <c r="X84" s="1">
        <f t="shared" si="20"/>
        <v>25.058823529411761</v>
      </c>
      <c r="Y84" s="1">
        <f t="shared" si="21"/>
        <v>25.058823529411761</v>
      </c>
      <c r="Z84" s="1">
        <v>6.8</v>
      </c>
      <c r="AA84" s="1">
        <v>6.8</v>
      </c>
      <c r="AB84" s="1">
        <v>5.2</v>
      </c>
      <c r="AC84" s="1">
        <v>3.4</v>
      </c>
      <c r="AD84" s="1">
        <v>3.833333333333333</v>
      </c>
      <c r="AE84" s="1">
        <v>4.4000000000000004</v>
      </c>
      <c r="AF84" s="1">
        <v>6.6</v>
      </c>
      <c r="AG84" s="1">
        <v>6.2</v>
      </c>
      <c r="AH84" s="20" t="s">
        <v>55</v>
      </c>
      <c r="AI84" s="1">
        <f t="shared" si="22"/>
        <v>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132</v>
      </c>
      <c r="B85" s="1" t="s">
        <v>42</v>
      </c>
      <c r="C85" s="1">
        <v>88</v>
      </c>
      <c r="D85" s="1"/>
      <c r="E85" s="1">
        <v>33</v>
      </c>
      <c r="F85" s="1">
        <v>55</v>
      </c>
      <c r="G85" s="8">
        <v>7.0000000000000007E-2</v>
      </c>
      <c r="H85" s="1">
        <v>90</v>
      </c>
      <c r="I85" s="1" t="s">
        <v>37</v>
      </c>
      <c r="J85" s="1"/>
      <c r="K85" s="1">
        <v>33</v>
      </c>
      <c r="L85" s="1">
        <f t="shared" si="17"/>
        <v>0</v>
      </c>
      <c r="M85" s="1"/>
      <c r="N85" s="1"/>
      <c r="O85" s="1">
        <v>0</v>
      </c>
      <c r="P85" s="1">
        <v>22.199999999999989</v>
      </c>
      <c r="Q85" s="1">
        <f t="shared" si="18"/>
        <v>6.6</v>
      </c>
      <c r="R85" s="5"/>
      <c r="S85" s="5"/>
      <c r="T85" s="5">
        <f t="shared" si="19"/>
        <v>0</v>
      </c>
      <c r="U85" s="5"/>
      <c r="V85" s="1"/>
      <c r="W85" s="1"/>
      <c r="X85" s="1">
        <f t="shared" si="20"/>
        <v>11.696969696969695</v>
      </c>
      <c r="Y85" s="1">
        <f t="shared" si="21"/>
        <v>11.696969696969695</v>
      </c>
      <c r="Z85" s="1">
        <v>7.6</v>
      </c>
      <c r="AA85" s="1">
        <v>5.4</v>
      </c>
      <c r="AB85" s="1">
        <v>3.8</v>
      </c>
      <c r="AC85" s="1">
        <v>5.8</v>
      </c>
      <c r="AD85" s="1">
        <v>10.16666666666667</v>
      </c>
      <c r="AE85" s="1">
        <v>12.2</v>
      </c>
      <c r="AF85" s="1">
        <v>9</v>
      </c>
      <c r="AG85" s="1">
        <v>6.6</v>
      </c>
      <c r="AH85" s="1"/>
      <c r="AI85" s="1">
        <f t="shared" si="22"/>
        <v>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133</v>
      </c>
      <c r="B86" s="1" t="s">
        <v>42</v>
      </c>
      <c r="C86" s="1">
        <v>66</v>
      </c>
      <c r="D86" s="1"/>
      <c r="E86" s="1">
        <v>17</v>
      </c>
      <c r="F86" s="1">
        <v>49</v>
      </c>
      <c r="G86" s="8">
        <v>7.0000000000000007E-2</v>
      </c>
      <c r="H86" s="1">
        <v>90</v>
      </c>
      <c r="I86" s="1" t="s">
        <v>37</v>
      </c>
      <c r="J86" s="1"/>
      <c r="K86" s="1">
        <v>17</v>
      </c>
      <c r="L86" s="1">
        <f t="shared" si="17"/>
        <v>0</v>
      </c>
      <c r="M86" s="1"/>
      <c r="N86" s="1"/>
      <c r="O86" s="1">
        <v>0</v>
      </c>
      <c r="P86" s="1">
        <v>12.80000000000001</v>
      </c>
      <c r="Q86" s="1">
        <f t="shared" si="18"/>
        <v>3.4</v>
      </c>
      <c r="R86" s="5"/>
      <c r="S86" s="5"/>
      <c r="T86" s="5">
        <f t="shared" si="19"/>
        <v>0</v>
      </c>
      <c r="U86" s="5"/>
      <c r="V86" s="1"/>
      <c r="W86" s="1"/>
      <c r="X86" s="1">
        <f t="shared" si="20"/>
        <v>18.176470588235297</v>
      </c>
      <c r="Y86" s="1">
        <f t="shared" si="21"/>
        <v>18.176470588235297</v>
      </c>
      <c r="Z86" s="1">
        <v>5.4</v>
      </c>
      <c r="AA86" s="1">
        <v>4.4000000000000004</v>
      </c>
      <c r="AB86" s="1">
        <v>3.8</v>
      </c>
      <c r="AC86" s="1">
        <v>3.8</v>
      </c>
      <c r="AD86" s="1">
        <v>7.833333333333333</v>
      </c>
      <c r="AE86" s="1">
        <v>10</v>
      </c>
      <c r="AF86" s="1">
        <v>6.4</v>
      </c>
      <c r="AG86" s="1">
        <v>3.4</v>
      </c>
      <c r="AH86" s="1"/>
      <c r="AI86" s="1">
        <f t="shared" si="22"/>
        <v>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134</v>
      </c>
      <c r="B87" s="1" t="s">
        <v>42</v>
      </c>
      <c r="C87" s="1">
        <v>122</v>
      </c>
      <c r="D87" s="1"/>
      <c r="E87" s="1">
        <v>25</v>
      </c>
      <c r="F87" s="1">
        <v>90</v>
      </c>
      <c r="G87" s="8">
        <v>0.05</v>
      </c>
      <c r="H87" s="1">
        <v>90</v>
      </c>
      <c r="I87" s="1" t="s">
        <v>37</v>
      </c>
      <c r="J87" s="1"/>
      <c r="K87" s="1">
        <v>32</v>
      </c>
      <c r="L87" s="1">
        <f t="shared" si="17"/>
        <v>-7</v>
      </c>
      <c r="M87" s="1"/>
      <c r="N87" s="1"/>
      <c r="O87" s="1">
        <v>0</v>
      </c>
      <c r="P87" s="1">
        <v>0</v>
      </c>
      <c r="Q87" s="1">
        <f t="shared" si="18"/>
        <v>5</v>
      </c>
      <c r="R87" s="5"/>
      <c r="S87" s="5"/>
      <c r="T87" s="5">
        <f t="shared" si="19"/>
        <v>0</v>
      </c>
      <c r="U87" s="5"/>
      <c r="V87" s="1"/>
      <c r="W87" s="1"/>
      <c r="X87" s="1">
        <f t="shared" si="20"/>
        <v>18</v>
      </c>
      <c r="Y87" s="1">
        <f t="shared" si="21"/>
        <v>18</v>
      </c>
      <c r="Z87" s="1">
        <v>7.8</v>
      </c>
      <c r="AA87" s="1">
        <v>6.4</v>
      </c>
      <c r="AB87" s="1">
        <v>3.6</v>
      </c>
      <c r="AC87" s="1">
        <v>3.8</v>
      </c>
      <c r="AD87" s="1">
        <v>10</v>
      </c>
      <c r="AE87" s="1">
        <v>12</v>
      </c>
      <c r="AF87" s="1">
        <v>8.1999999999999993</v>
      </c>
      <c r="AG87" s="1">
        <v>6.4</v>
      </c>
      <c r="AH87" s="1"/>
      <c r="AI87" s="1">
        <f t="shared" si="22"/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135</v>
      </c>
      <c r="B88" s="1" t="s">
        <v>42</v>
      </c>
      <c r="C88" s="1">
        <v>18</v>
      </c>
      <c r="D88" s="1">
        <v>36</v>
      </c>
      <c r="E88" s="1">
        <v>23</v>
      </c>
      <c r="F88" s="1">
        <v>31</v>
      </c>
      <c r="G88" s="8">
        <v>0.05</v>
      </c>
      <c r="H88" s="1">
        <v>90</v>
      </c>
      <c r="I88" s="1" t="s">
        <v>37</v>
      </c>
      <c r="J88" s="1"/>
      <c r="K88" s="1">
        <v>23</v>
      </c>
      <c r="L88" s="1">
        <f t="shared" si="17"/>
        <v>0</v>
      </c>
      <c r="M88" s="1"/>
      <c r="N88" s="1"/>
      <c r="O88" s="1">
        <v>31</v>
      </c>
      <c r="P88" s="1">
        <v>6.5999999999999979</v>
      </c>
      <c r="Q88" s="1">
        <f t="shared" si="18"/>
        <v>4.5999999999999996</v>
      </c>
      <c r="R88" s="5"/>
      <c r="S88" s="5"/>
      <c r="T88" s="5">
        <f t="shared" si="19"/>
        <v>0</v>
      </c>
      <c r="U88" s="5"/>
      <c r="V88" s="1"/>
      <c r="W88" s="1"/>
      <c r="X88" s="1">
        <f t="shared" si="20"/>
        <v>14.913043478260869</v>
      </c>
      <c r="Y88" s="1">
        <f t="shared" si="21"/>
        <v>14.913043478260869</v>
      </c>
      <c r="Z88" s="1">
        <v>5.6</v>
      </c>
      <c r="AA88" s="1">
        <v>6.6</v>
      </c>
      <c r="AB88" s="1">
        <v>4.8</v>
      </c>
      <c r="AC88" s="1">
        <v>3.2</v>
      </c>
      <c r="AD88" s="1">
        <v>2.166666666666667</v>
      </c>
      <c r="AE88" s="1">
        <v>1</v>
      </c>
      <c r="AF88" s="1">
        <v>4.4000000000000004</v>
      </c>
      <c r="AG88" s="1">
        <v>7.6</v>
      </c>
      <c r="AH88" s="1"/>
      <c r="AI88" s="1">
        <f t="shared" si="22"/>
        <v>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136</v>
      </c>
      <c r="B89" s="1" t="s">
        <v>42</v>
      </c>
      <c r="C89" s="1">
        <v>134</v>
      </c>
      <c r="D89" s="1"/>
      <c r="E89" s="1">
        <v>20</v>
      </c>
      <c r="F89" s="1">
        <v>111</v>
      </c>
      <c r="G89" s="8">
        <v>5.5E-2</v>
      </c>
      <c r="H89" s="1">
        <v>90</v>
      </c>
      <c r="I89" s="1" t="s">
        <v>37</v>
      </c>
      <c r="J89" s="1"/>
      <c r="K89" s="1">
        <v>23</v>
      </c>
      <c r="L89" s="1">
        <f t="shared" si="17"/>
        <v>-3</v>
      </c>
      <c r="M89" s="1"/>
      <c r="N89" s="1"/>
      <c r="O89" s="1">
        <v>0</v>
      </c>
      <c r="P89" s="1">
        <v>0</v>
      </c>
      <c r="Q89" s="1">
        <f t="shared" si="18"/>
        <v>4</v>
      </c>
      <c r="R89" s="5"/>
      <c r="S89" s="5"/>
      <c r="T89" s="5">
        <f t="shared" si="19"/>
        <v>0</v>
      </c>
      <c r="U89" s="5"/>
      <c r="V89" s="1"/>
      <c r="W89" s="1"/>
      <c r="X89" s="1">
        <f t="shared" si="20"/>
        <v>27.75</v>
      </c>
      <c r="Y89" s="1">
        <f t="shared" si="21"/>
        <v>27.75</v>
      </c>
      <c r="Z89" s="1">
        <v>5</v>
      </c>
      <c r="AA89" s="1">
        <v>5.8</v>
      </c>
      <c r="AB89" s="1">
        <v>6.4</v>
      </c>
      <c r="AC89" s="1">
        <v>5.6</v>
      </c>
      <c r="AD89" s="1">
        <v>8.1666666666666661</v>
      </c>
      <c r="AE89" s="1">
        <v>9</v>
      </c>
      <c r="AF89" s="1">
        <v>6.2</v>
      </c>
      <c r="AG89" s="1">
        <v>5.4</v>
      </c>
      <c r="AH89" s="20" t="s">
        <v>55</v>
      </c>
      <c r="AI89" s="1">
        <f t="shared" si="22"/>
        <v>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3" t="s">
        <v>137</v>
      </c>
      <c r="B90" s="13" t="s">
        <v>42</v>
      </c>
      <c r="C90" s="13"/>
      <c r="D90" s="13">
        <v>48</v>
      </c>
      <c r="E90" s="13"/>
      <c r="F90" s="13">
        <v>48</v>
      </c>
      <c r="G90" s="14">
        <v>0</v>
      </c>
      <c r="H90" s="13" t="e">
        <v>#N/A</v>
      </c>
      <c r="I90" s="13" t="s">
        <v>43</v>
      </c>
      <c r="J90" s="13"/>
      <c r="K90" s="13"/>
      <c r="L90" s="13">
        <f t="shared" si="17"/>
        <v>0</v>
      </c>
      <c r="M90" s="13"/>
      <c r="N90" s="13"/>
      <c r="O90" s="13"/>
      <c r="P90" s="13"/>
      <c r="Q90" s="13">
        <f t="shared" si="18"/>
        <v>0</v>
      </c>
      <c r="R90" s="15"/>
      <c r="S90" s="15"/>
      <c r="T90" s="5">
        <f t="shared" si="19"/>
        <v>0</v>
      </c>
      <c r="U90" s="15"/>
      <c r="V90" s="1"/>
      <c r="W90" s="13"/>
      <c r="X90" s="1" t="e">
        <f t="shared" si="20"/>
        <v>#DIV/0!</v>
      </c>
      <c r="Y90" s="13" t="e">
        <f t="shared" si="21"/>
        <v>#DIV/0!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 t="s">
        <v>138</v>
      </c>
      <c r="AI90" s="1">
        <f t="shared" si="22"/>
        <v>0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26" t="s">
        <v>139</v>
      </c>
      <c r="B91" s="26" t="s">
        <v>36</v>
      </c>
      <c r="C91" s="26">
        <v>83.866</v>
      </c>
      <c r="D91" s="26">
        <v>674.19200000000001</v>
      </c>
      <c r="E91" s="26">
        <v>437.89800000000002</v>
      </c>
      <c r="F91" s="26">
        <v>313.64800000000002</v>
      </c>
      <c r="G91" s="27">
        <v>1</v>
      </c>
      <c r="H91" s="26">
        <v>40</v>
      </c>
      <c r="I91" s="26" t="s">
        <v>37</v>
      </c>
      <c r="J91" s="26"/>
      <c r="K91" s="26">
        <v>427.9</v>
      </c>
      <c r="L91" s="26">
        <f t="shared" si="17"/>
        <v>9.9980000000000473</v>
      </c>
      <c r="M91" s="26"/>
      <c r="N91" s="26"/>
      <c r="O91" s="26">
        <v>394.65736000000021</v>
      </c>
      <c r="P91" s="26">
        <v>0</v>
      </c>
      <c r="Q91" s="26">
        <f t="shared" si="18"/>
        <v>87.579599999999999</v>
      </c>
      <c r="R91" s="28">
        <f t="shared" ref="R91" si="25">11*Q91*1.5-P91-O91-F91</f>
        <v>736.75803999999982</v>
      </c>
      <c r="S91" s="28"/>
      <c r="T91" s="28">
        <f t="shared" si="19"/>
        <v>736.75803999999982</v>
      </c>
      <c r="U91" s="28"/>
      <c r="V91" s="26"/>
      <c r="W91" s="26"/>
      <c r="X91" s="26">
        <f t="shared" si="20"/>
        <v>16.5</v>
      </c>
      <c r="Y91" s="26">
        <f t="shared" si="21"/>
        <v>8.0875610301942498</v>
      </c>
      <c r="Z91" s="26">
        <v>77.501599999999996</v>
      </c>
      <c r="AA91" s="26">
        <v>103.2598</v>
      </c>
      <c r="AB91" s="26">
        <v>85.992199999999997</v>
      </c>
      <c r="AC91" s="26">
        <v>65.176999999999992</v>
      </c>
      <c r="AD91" s="26">
        <v>64.354833333333332</v>
      </c>
      <c r="AE91" s="26">
        <v>83.301599999999993</v>
      </c>
      <c r="AF91" s="26">
        <v>65.376999999999995</v>
      </c>
      <c r="AG91" s="26">
        <v>86.279200000000003</v>
      </c>
      <c r="AH91" s="26" t="s">
        <v>152</v>
      </c>
      <c r="AI91" s="26">
        <f t="shared" si="22"/>
        <v>737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2" t="s">
        <v>140</v>
      </c>
      <c r="B92" s="1" t="s">
        <v>36</v>
      </c>
      <c r="C92" s="1"/>
      <c r="D92" s="1"/>
      <c r="E92" s="1"/>
      <c r="F92" s="1"/>
      <c r="G92" s="8">
        <v>1</v>
      </c>
      <c r="H92" s="1">
        <v>60</v>
      </c>
      <c r="I92" s="1" t="s">
        <v>37</v>
      </c>
      <c r="J92" s="1"/>
      <c r="K92" s="1"/>
      <c r="L92" s="1">
        <f t="shared" si="17"/>
        <v>0</v>
      </c>
      <c r="M92" s="1"/>
      <c r="N92" s="1"/>
      <c r="O92" s="1"/>
      <c r="P92" s="12"/>
      <c r="Q92" s="1">
        <f t="shared" si="18"/>
        <v>0</v>
      </c>
      <c r="R92" s="19">
        <v>4</v>
      </c>
      <c r="S92" s="19"/>
      <c r="T92" s="5">
        <f t="shared" si="19"/>
        <v>4</v>
      </c>
      <c r="U92" s="5"/>
      <c r="V92" s="1"/>
      <c r="W92" s="1"/>
      <c r="X92" s="1" t="e">
        <f t="shared" si="20"/>
        <v>#DIV/0!</v>
      </c>
      <c r="Y92" s="1" t="e">
        <f t="shared" si="21"/>
        <v>#DIV/0!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-0.71879999999999999</v>
      </c>
      <c r="AH92" s="12" t="s">
        <v>141</v>
      </c>
      <c r="AI92" s="1">
        <f t="shared" si="22"/>
        <v>4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142</v>
      </c>
      <c r="B93" s="1" t="s">
        <v>42</v>
      </c>
      <c r="C93" s="1">
        <v>14</v>
      </c>
      <c r="D93" s="1">
        <v>157</v>
      </c>
      <c r="E93" s="1">
        <v>101</v>
      </c>
      <c r="F93" s="1">
        <v>65</v>
      </c>
      <c r="G93" s="8">
        <v>0.3</v>
      </c>
      <c r="H93" s="1">
        <v>40</v>
      </c>
      <c r="I93" s="1" t="s">
        <v>37</v>
      </c>
      <c r="J93" s="1"/>
      <c r="K93" s="1">
        <v>129</v>
      </c>
      <c r="L93" s="1">
        <f t="shared" si="17"/>
        <v>-28</v>
      </c>
      <c r="M93" s="1"/>
      <c r="N93" s="1"/>
      <c r="O93" s="1">
        <v>115.6</v>
      </c>
      <c r="P93" s="1">
        <v>0</v>
      </c>
      <c r="Q93" s="1">
        <f t="shared" si="18"/>
        <v>20.2</v>
      </c>
      <c r="R93" s="5">
        <f t="shared" ref="R93:R94" si="26">11*Q93-P93-O93-F93</f>
        <v>41.599999999999994</v>
      </c>
      <c r="S93" s="5"/>
      <c r="T93" s="5">
        <f t="shared" si="19"/>
        <v>41.599999999999994</v>
      </c>
      <c r="U93" s="5"/>
      <c r="V93" s="1"/>
      <c r="W93" s="1"/>
      <c r="X93" s="1">
        <f t="shared" si="20"/>
        <v>11</v>
      </c>
      <c r="Y93" s="1">
        <f t="shared" si="21"/>
        <v>8.9405940594059405</v>
      </c>
      <c r="Z93" s="1">
        <v>21.4</v>
      </c>
      <c r="AA93" s="1">
        <v>25.6</v>
      </c>
      <c r="AB93" s="1">
        <v>21.6</v>
      </c>
      <c r="AC93" s="1">
        <v>22.4</v>
      </c>
      <c r="AD93" s="1">
        <v>18.333333333333329</v>
      </c>
      <c r="AE93" s="1">
        <v>23.2</v>
      </c>
      <c r="AF93" s="1">
        <v>21.4</v>
      </c>
      <c r="AG93" s="1">
        <v>24.8</v>
      </c>
      <c r="AH93" s="1"/>
      <c r="AI93" s="1">
        <f t="shared" si="22"/>
        <v>12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143</v>
      </c>
      <c r="B94" s="1" t="s">
        <v>42</v>
      </c>
      <c r="C94" s="1">
        <v>179</v>
      </c>
      <c r="D94" s="1">
        <v>4</v>
      </c>
      <c r="E94" s="1">
        <v>123</v>
      </c>
      <c r="F94" s="1">
        <v>50</v>
      </c>
      <c r="G94" s="8">
        <v>0.3</v>
      </c>
      <c r="H94" s="1">
        <v>40</v>
      </c>
      <c r="I94" s="1" t="s">
        <v>37</v>
      </c>
      <c r="J94" s="1"/>
      <c r="K94" s="1">
        <v>131</v>
      </c>
      <c r="L94" s="1">
        <f t="shared" si="17"/>
        <v>-8</v>
      </c>
      <c r="M94" s="1"/>
      <c r="N94" s="1"/>
      <c r="O94" s="1">
        <v>0</v>
      </c>
      <c r="P94" s="1">
        <v>77.399999999999977</v>
      </c>
      <c r="Q94" s="1">
        <f t="shared" si="18"/>
        <v>24.6</v>
      </c>
      <c r="R94" s="5">
        <f t="shared" si="26"/>
        <v>143.20000000000005</v>
      </c>
      <c r="S94" s="5"/>
      <c r="T94" s="5">
        <f t="shared" si="19"/>
        <v>143.20000000000005</v>
      </c>
      <c r="U94" s="5"/>
      <c r="V94" s="1"/>
      <c r="W94" s="1"/>
      <c r="X94" s="1">
        <f t="shared" si="20"/>
        <v>11</v>
      </c>
      <c r="Y94" s="1">
        <f t="shared" si="21"/>
        <v>5.1788617886178852</v>
      </c>
      <c r="Z94" s="1">
        <v>18.2</v>
      </c>
      <c r="AA94" s="1">
        <v>15.8</v>
      </c>
      <c r="AB94" s="1">
        <v>15.2</v>
      </c>
      <c r="AC94" s="1">
        <v>18.2</v>
      </c>
      <c r="AD94" s="1">
        <v>26.166666666666671</v>
      </c>
      <c r="AE94" s="1">
        <v>32.4</v>
      </c>
      <c r="AF94" s="1">
        <v>19.399999999999999</v>
      </c>
      <c r="AG94" s="1">
        <v>15.8</v>
      </c>
      <c r="AH94" s="1"/>
      <c r="AI94" s="1">
        <f t="shared" si="22"/>
        <v>43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144</v>
      </c>
      <c r="B95" s="1" t="s">
        <v>36</v>
      </c>
      <c r="C95" s="1">
        <v>29.835999999999999</v>
      </c>
      <c r="D95" s="1"/>
      <c r="E95" s="1">
        <v>16.292999999999999</v>
      </c>
      <c r="F95" s="1">
        <v>13.542999999999999</v>
      </c>
      <c r="G95" s="8">
        <v>1</v>
      </c>
      <c r="H95" s="1">
        <v>50</v>
      </c>
      <c r="I95" s="1" t="s">
        <v>37</v>
      </c>
      <c r="J95" s="1"/>
      <c r="K95" s="1">
        <v>15.6</v>
      </c>
      <c r="L95" s="1">
        <f t="shared" si="17"/>
        <v>0.69299999999999962</v>
      </c>
      <c r="M95" s="1"/>
      <c r="N95" s="1"/>
      <c r="O95" s="1">
        <v>36.597399999999993</v>
      </c>
      <c r="P95" s="1">
        <v>0</v>
      </c>
      <c r="Q95" s="1">
        <f t="shared" si="18"/>
        <v>3.2585999999999999</v>
      </c>
      <c r="R95" s="5"/>
      <c r="S95" s="5"/>
      <c r="T95" s="5">
        <f t="shared" si="19"/>
        <v>0</v>
      </c>
      <c r="U95" s="5"/>
      <c r="V95" s="1"/>
      <c r="W95" s="1"/>
      <c r="X95" s="1">
        <f t="shared" si="20"/>
        <v>15.387098754066161</v>
      </c>
      <c r="Y95" s="1">
        <f t="shared" si="21"/>
        <v>15.387098754066161</v>
      </c>
      <c r="Z95" s="1">
        <v>4.6673999999999998</v>
      </c>
      <c r="AA95" s="1">
        <v>6.0393999999999997</v>
      </c>
      <c r="AB95" s="1">
        <v>2.4554</v>
      </c>
      <c r="AC95" s="1">
        <v>0.80719999999999992</v>
      </c>
      <c r="AD95" s="1">
        <v>1.8308333333333331</v>
      </c>
      <c r="AE95" s="1">
        <v>4.6577999999999999</v>
      </c>
      <c r="AF95" s="1">
        <v>6.2843999999999998</v>
      </c>
      <c r="AG95" s="1">
        <v>2.4613999999999998</v>
      </c>
      <c r="AH95" s="1"/>
      <c r="AI95" s="1">
        <f t="shared" si="22"/>
        <v>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 t="s">
        <v>145</v>
      </c>
      <c r="B96" s="1" t="s">
        <v>42</v>
      </c>
      <c r="C96" s="1">
        <v>39</v>
      </c>
      <c r="D96" s="1">
        <v>102</v>
      </c>
      <c r="E96" s="1">
        <v>80</v>
      </c>
      <c r="F96" s="1">
        <v>60</v>
      </c>
      <c r="G96" s="8">
        <v>0.3</v>
      </c>
      <c r="H96" s="1">
        <v>40</v>
      </c>
      <c r="I96" s="1" t="s">
        <v>37</v>
      </c>
      <c r="J96" s="1"/>
      <c r="K96" s="1">
        <v>81</v>
      </c>
      <c r="L96" s="1">
        <f t="shared" si="17"/>
        <v>-1</v>
      </c>
      <c r="M96" s="1"/>
      <c r="N96" s="1"/>
      <c r="O96" s="1">
        <v>5.1999999999999886</v>
      </c>
      <c r="P96" s="1">
        <v>3.6000000000000232</v>
      </c>
      <c r="Q96" s="1">
        <f t="shared" si="18"/>
        <v>16</v>
      </c>
      <c r="R96" s="5">
        <f>10*Q96-P96-O96-F96</f>
        <v>91.199999999999989</v>
      </c>
      <c r="S96" s="5"/>
      <c r="T96" s="5">
        <f t="shared" si="19"/>
        <v>91.199999999999989</v>
      </c>
      <c r="U96" s="5"/>
      <c r="V96" s="1"/>
      <c r="W96" s="1"/>
      <c r="X96" s="1">
        <f t="shared" si="20"/>
        <v>10</v>
      </c>
      <c r="Y96" s="1">
        <f t="shared" si="21"/>
        <v>4.3000000000000007</v>
      </c>
      <c r="Z96" s="1">
        <v>10.8</v>
      </c>
      <c r="AA96" s="1">
        <v>13</v>
      </c>
      <c r="AB96" s="1">
        <v>14.4</v>
      </c>
      <c r="AC96" s="1">
        <v>13.8</v>
      </c>
      <c r="AD96" s="1">
        <v>9.8333333333333339</v>
      </c>
      <c r="AE96" s="1">
        <v>11.6</v>
      </c>
      <c r="AF96" s="1">
        <v>15.4</v>
      </c>
      <c r="AG96" s="1">
        <v>13.2</v>
      </c>
      <c r="AH96" s="1"/>
      <c r="AI96" s="1">
        <f t="shared" si="22"/>
        <v>27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 t="s">
        <v>146</v>
      </c>
      <c r="B97" s="1" t="s">
        <v>42</v>
      </c>
      <c r="C97" s="1">
        <v>32</v>
      </c>
      <c r="D97" s="1">
        <v>6</v>
      </c>
      <c r="E97" s="1">
        <v>9</v>
      </c>
      <c r="F97" s="1">
        <v>18</v>
      </c>
      <c r="G97" s="8">
        <v>0.12</v>
      </c>
      <c r="H97" s="1">
        <v>45</v>
      </c>
      <c r="I97" s="1" t="s">
        <v>37</v>
      </c>
      <c r="J97" s="1"/>
      <c r="K97" s="1">
        <v>20</v>
      </c>
      <c r="L97" s="1">
        <f t="shared" si="17"/>
        <v>-11</v>
      </c>
      <c r="M97" s="1"/>
      <c r="N97" s="1"/>
      <c r="O97" s="1">
        <v>0</v>
      </c>
      <c r="P97" s="1">
        <v>11.2</v>
      </c>
      <c r="Q97" s="1">
        <f t="shared" si="18"/>
        <v>1.8</v>
      </c>
      <c r="R97" s="5"/>
      <c r="S97" s="5"/>
      <c r="T97" s="5">
        <f t="shared" si="19"/>
        <v>0</v>
      </c>
      <c r="U97" s="5"/>
      <c r="V97" s="1"/>
      <c r="W97" s="1"/>
      <c r="X97" s="1">
        <f t="shared" si="20"/>
        <v>16.222222222222221</v>
      </c>
      <c r="Y97" s="1">
        <f t="shared" si="21"/>
        <v>16.222222222222221</v>
      </c>
      <c r="Z97" s="1">
        <v>2.6</v>
      </c>
      <c r="AA97" s="1">
        <v>2.6</v>
      </c>
      <c r="AB97" s="1">
        <v>3.4</v>
      </c>
      <c r="AC97" s="1">
        <v>1.6</v>
      </c>
      <c r="AD97" s="1">
        <v>6.333333333333333</v>
      </c>
      <c r="AE97" s="1">
        <v>10.6</v>
      </c>
      <c r="AF97" s="1">
        <v>7</v>
      </c>
      <c r="AG97" s="1">
        <v>1.2</v>
      </c>
      <c r="AH97" s="1"/>
      <c r="AI97" s="1">
        <f t="shared" si="22"/>
        <v>0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30" t="s">
        <v>94</v>
      </c>
      <c r="B98" s="30" t="s">
        <v>42</v>
      </c>
      <c r="C98" s="30">
        <v>4</v>
      </c>
      <c r="D98" s="30">
        <v>6</v>
      </c>
      <c r="E98" s="30">
        <v>2</v>
      </c>
      <c r="F98" s="30">
        <v>1</v>
      </c>
      <c r="G98" s="31">
        <v>0.45</v>
      </c>
      <c r="H98" s="30"/>
      <c r="I98" s="30" t="s">
        <v>37</v>
      </c>
      <c r="J98" s="30"/>
      <c r="K98" s="30"/>
      <c r="L98" s="30"/>
      <c r="M98" s="30"/>
      <c r="N98" s="30"/>
      <c r="O98" s="30"/>
      <c r="P98" s="30"/>
      <c r="Q98" s="30">
        <f t="shared" si="18"/>
        <v>0.4</v>
      </c>
      <c r="R98" s="29">
        <v>200</v>
      </c>
      <c r="S98" s="29"/>
      <c r="T98" s="29">
        <f t="shared" ref="T98:T101" si="27">S98+R98</f>
        <v>200</v>
      </c>
      <c r="U98" s="29"/>
      <c r="V98" s="30"/>
      <c r="W98" s="30"/>
      <c r="X98" s="30">
        <f t="shared" ref="X98:X101" si="28">(F98+O98+P98+T98)/Q98</f>
        <v>502.5</v>
      </c>
      <c r="Y98" s="30">
        <f t="shared" ref="Y98:Y101" si="29">(F98+O98+P98)/Q98</f>
        <v>2.5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 t="s">
        <v>157</v>
      </c>
      <c r="AI98" s="30">
        <f t="shared" si="22"/>
        <v>90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30" t="s">
        <v>154</v>
      </c>
      <c r="B99" s="30" t="s">
        <v>36</v>
      </c>
      <c r="C99" s="30"/>
      <c r="D99" s="30"/>
      <c r="E99" s="30"/>
      <c r="F99" s="30"/>
      <c r="G99" s="31">
        <v>1</v>
      </c>
      <c r="H99" s="30"/>
      <c r="I99" s="30" t="s">
        <v>37</v>
      </c>
      <c r="J99" s="30"/>
      <c r="K99" s="30"/>
      <c r="L99" s="30"/>
      <c r="M99" s="30"/>
      <c r="N99" s="30"/>
      <c r="O99" s="30"/>
      <c r="P99" s="30"/>
      <c r="Q99" s="30">
        <f t="shared" si="18"/>
        <v>0</v>
      </c>
      <c r="R99" s="29">
        <v>150</v>
      </c>
      <c r="S99" s="29"/>
      <c r="T99" s="29">
        <f t="shared" si="27"/>
        <v>150</v>
      </c>
      <c r="U99" s="29"/>
      <c r="V99" s="30"/>
      <c r="W99" s="30"/>
      <c r="X99" s="30" t="e">
        <f t="shared" si="28"/>
        <v>#DIV/0!</v>
      </c>
      <c r="Y99" s="30" t="e">
        <f t="shared" si="29"/>
        <v>#DIV/0!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30">
        <v>0</v>
      </c>
      <c r="AF99" s="30">
        <v>0</v>
      </c>
      <c r="AG99" s="30">
        <v>0</v>
      </c>
      <c r="AH99" s="30" t="s">
        <v>157</v>
      </c>
      <c r="AI99" s="30">
        <f t="shared" si="22"/>
        <v>150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30" t="s">
        <v>155</v>
      </c>
      <c r="B100" s="30" t="s">
        <v>42</v>
      </c>
      <c r="C100" s="30"/>
      <c r="D100" s="30"/>
      <c r="E100" s="30"/>
      <c r="F100" s="30"/>
      <c r="G100" s="31">
        <v>0.35</v>
      </c>
      <c r="H100" s="30"/>
      <c r="I100" s="30" t="s">
        <v>37</v>
      </c>
      <c r="J100" s="30"/>
      <c r="K100" s="30"/>
      <c r="L100" s="30"/>
      <c r="M100" s="30"/>
      <c r="N100" s="30"/>
      <c r="O100" s="30"/>
      <c r="P100" s="30"/>
      <c r="Q100" s="30">
        <f t="shared" si="18"/>
        <v>0</v>
      </c>
      <c r="R100" s="29">
        <v>150</v>
      </c>
      <c r="S100" s="29"/>
      <c r="T100" s="29">
        <f t="shared" si="27"/>
        <v>150</v>
      </c>
      <c r="U100" s="29"/>
      <c r="V100" s="30"/>
      <c r="W100" s="30"/>
      <c r="X100" s="30" t="e">
        <f t="shared" si="28"/>
        <v>#DIV/0!</v>
      </c>
      <c r="Y100" s="30" t="e">
        <f t="shared" si="29"/>
        <v>#DIV/0!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 t="s">
        <v>157</v>
      </c>
      <c r="AI100" s="30">
        <f t="shared" si="22"/>
        <v>53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30" t="s">
        <v>156</v>
      </c>
      <c r="B101" s="30" t="s">
        <v>42</v>
      </c>
      <c r="C101" s="30"/>
      <c r="D101" s="30"/>
      <c r="E101" s="30"/>
      <c r="F101" s="30"/>
      <c r="G101" s="31">
        <v>0.35</v>
      </c>
      <c r="H101" s="30"/>
      <c r="I101" s="30" t="s">
        <v>37</v>
      </c>
      <c r="J101" s="30"/>
      <c r="K101" s="30"/>
      <c r="L101" s="30"/>
      <c r="M101" s="30"/>
      <c r="N101" s="30"/>
      <c r="O101" s="30"/>
      <c r="P101" s="30"/>
      <c r="Q101" s="30">
        <f t="shared" si="18"/>
        <v>0</v>
      </c>
      <c r="R101" s="29">
        <v>100</v>
      </c>
      <c r="S101" s="29"/>
      <c r="T101" s="29">
        <f t="shared" si="27"/>
        <v>100</v>
      </c>
      <c r="U101" s="29"/>
      <c r="V101" s="30"/>
      <c r="W101" s="30"/>
      <c r="X101" s="30" t="e">
        <f t="shared" si="28"/>
        <v>#DIV/0!</v>
      </c>
      <c r="Y101" s="30" t="e">
        <f t="shared" si="29"/>
        <v>#DIV/0!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 t="s">
        <v>157</v>
      </c>
      <c r="AI101" s="30">
        <f t="shared" si="22"/>
        <v>35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</sheetData>
  <autoFilter ref="A3:AI101" xr:uid="{12111201-BD03-4D7B-BDF1-5A85243FA73A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2026-01-27T06:48:22Z</dcterms:created>
  <dcterms:modified xsi:type="dcterms:W3CDTF">2026-01-28T10:20:31Z</dcterms:modified>
</cp:coreProperties>
</file>