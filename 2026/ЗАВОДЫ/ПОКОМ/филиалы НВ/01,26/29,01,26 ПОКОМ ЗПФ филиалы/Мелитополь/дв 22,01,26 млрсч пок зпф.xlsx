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EB483BCF-5EDE-4048-B456-0ABBC4F17A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" i="1" l="1"/>
  <c r="U10" i="1"/>
  <c r="AL10" i="1" s="1"/>
  <c r="U14" i="1"/>
  <c r="AL14" i="1" s="1"/>
  <c r="U16" i="1"/>
  <c r="AL16" i="1" s="1"/>
  <c r="U17" i="1"/>
  <c r="U19" i="1"/>
  <c r="AL19" i="1" s="1"/>
  <c r="U20" i="1"/>
  <c r="U21" i="1"/>
  <c r="AL21" i="1" s="1"/>
  <c r="U22" i="1"/>
  <c r="AL22" i="1" s="1"/>
  <c r="U23" i="1"/>
  <c r="U24" i="1"/>
  <c r="AL24" i="1" s="1"/>
  <c r="U25" i="1"/>
  <c r="U26" i="1"/>
  <c r="AL26" i="1" s="1"/>
  <c r="U29" i="1"/>
  <c r="AL29" i="1" s="1"/>
  <c r="U30" i="1"/>
  <c r="AL30" i="1" s="1"/>
  <c r="U31" i="1"/>
  <c r="AL31" i="1" s="1"/>
  <c r="U35" i="1"/>
  <c r="U36" i="1"/>
  <c r="U39" i="1"/>
  <c r="AL39" i="1" s="1"/>
  <c r="U41" i="1"/>
  <c r="AL41" i="1" s="1"/>
  <c r="U44" i="1"/>
  <c r="AL44" i="1" s="1"/>
  <c r="U51" i="1"/>
  <c r="AL51" i="1" s="1"/>
  <c r="U52" i="1"/>
  <c r="AL52" i="1" s="1"/>
  <c r="U53" i="1"/>
  <c r="AL53" i="1" s="1"/>
  <c r="U54" i="1"/>
  <c r="AL54" i="1" s="1"/>
  <c r="U55" i="1"/>
  <c r="AL55" i="1" s="1"/>
  <c r="U60" i="1"/>
  <c r="U61" i="1"/>
  <c r="U62" i="1"/>
  <c r="AL62" i="1" s="1"/>
  <c r="U64" i="1"/>
  <c r="AL64" i="1" s="1"/>
  <c r="U67" i="1"/>
  <c r="AL67" i="1" s="1"/>
  <c r="U70" i="1"/>
  <c r="AL70" i="1" s="1"/>
  <c r="U71" i="1"/>
  <c r="AL71" i="1" s="1"/>
  <c r="U72" i="1"/>
  <c r="U73" i="1"/>
  <c r="AL73" i="1" s="1"/>
  <c r="U6" i="1"/>
  <c r="U7" i="1"/>
  <c r="AJ70" i="1" l="1"/>
  <c r="AJ62" i="1"/>
  <c r="AJ55" i="1"/>
  <c r="AJ53" i="1"/>
  <c r="AJ51" i="1"/>
  <c r="AM39" i="1"/>
  <c r="AM24" i="1"/>
  <c r="AP73" i="1"/>
  <c r="AJ73" i="1"/>
  <c r="V73" i="1"/>
  <c r="R73" i="1"/>
  <c r="Z73" i="1" s="1"/>
  <c r="L73" i="1"/>
  <c r="R72" i="1"/>
  <c r="Y72" i="1" s="1"/>
  <c r="L72" i="1"/>
  <c r="F71" i="1"/>
  <c r="E71" i="1"/>
  <c r="R71" i="1" s="1"/>
  <c r="AP70" i="1"/>
  <c r="R70" i="1"/>
  <c r="Z70" i="1" s="1"/>
  <c r="L70" i="1"/>
  <c r="R69" i="1"/>
  <c r="T69" i="1" s="1"/>
  <c r="L69" i="1"/>
  <c r="R68" i="1"/>
  <c r="L68" i="1"/>
  <c r="R67" i="1"/>
  <c r="L67" i="1"/>
  <c r="R66" i="1"/>
  <c r="L66" i="1"/>
  <c r="R65" i="1"/>
  <c r="T65" i="1" s="1"/>
  <c r="L65" i="1"/>
  <c r="AJ64" i="1"/>
  <c r="R64" i="1"/>
  <c r="Z64" i="1" s="1"/>
  <c r="L64" i="1"/>
  <c r="R63" i="1"/>
  <c r="T63" i="1" s="1"/>
  <c r="L63" i="1"/>
  <c r="AP62" i="1"/>
  <c r="R62" i="1"/>
  <c r="Z62" i="1" s="1"/>
  <c r="L62" i="1"/>
  <c r="R61" i="1"/>
  <c r="Y61" i="1" s="1"/>
  <c r="L61" i="1"/>
  <c r="R60" i="1"/>
  <c r="Y60" i="1" s="1"/>
  <c r="L60" i="1"/>
  <c r="R59" i="1"/>
  <c r="L59" i="1"/>
  <c r="R58" i="1"/>
  <c r="L58" i="1"/>
  <c r="R57" i="1"/>
  <c r="Z57" i="1" s="1"/>
  <c r="L57" i="1"/>
  <c r="R56" i="1"/>
  <c r="Z56" i="1" s="1"/>
  <c r="L56" i="1"/>
  <c r="AM55" i="1"/>
  <c r="R55" i="1"/>
  <c r="Z55" i="1" s="1"/>
  <c r="L55" i="1"/>
  <c r="R54" i="1"/>
  <c r="Z54" i="1" s="1"/>
  <c r="L54" i="1"/>
  <c r="AM53" i="1"/>
  <c r="R53" i="1"/>
  <c r="Z53" i="1" s="1"/>
  <c r="L53" i="1"/>
  <c r="AJ52" i="1"/>
  <c r="V52" i="1"/>
  <c r="R52" i="1"/>
  <c r="Z52" i="1" s="1"/>
  <c r="L52" i="1"/>
  <c r="AM51" i="1"/>
  <c r="R51" i="1"/>
  <c r="Z51" i="1" s="1"/>
  <c r="L51" i="1"/>
  <c r="R50" i="1"/>
  <c r="T50" i="1" s="1"/>
  <c r="L50" i="1"/>
  <c r="F49" i="1"/>
  <c r="E49" i="1"/>
  <c r="R49" i="1" s="1"/>
  <c r="T49" i="1" s="1"/>
  <c r="R48" i="1"/>
  <c r="T48" i="1" s="1"/>
  <c r="L48" i="1"/>
  <c r="R47" i="1"/>
  <c r="L47" i="1"/>
  <c r="R46" i="1"/>
  <c r="L46" i="1"/>
  <c r="R45" i="1"/>
  <c r="L45" i="1"/>
  <c r="R44" i="1"/>
  <c r="Z44" i="1" s="1"/>
  <c r="L44" i="1"/>
  <c r="R43" i="1"/>
  <c r="L43" i="1"/>
  <c r="R42" i="1"/>
  <c r="L42" i="1"/>
  <c r="AJ41" i="1"/>
  <c r="R41" i="1"/>
  <c r="Z41" i="1" s="1"/>
  <c r="L41" i="1"/>
  <c r="R40" i="1"/>
  <c r="T40" i="1" s="1"/>
  <c r="L40" i="1"/>
  <c r="AJ39" i="1"/>
  <c r="R39" i="1"/>
  <c r="Z39" i="1" s="1"/>
  <c r="L39" i="1"/>
  <c r="R38" i="1"/>
  <c r="L38" i="1"/>
  <c r="R37" i="1"/>
  <c r="Z37" i="1" s="1"/>
  <c r="L37" i="1"/>
  <c r="R36" i="1"/>
  <c r="Z36" i="1" s="1"/>
  <c r="L36" i="1"/>
  <c r="R35" i="1"/>
  <c r="Z35" i="1" s="1"/>
  <c r="L35" i="1"/>
  <c r="R34" i="1"/>
  <c r="L34" i="1"/>
  <c r="R33" i="1"/>
  <c r="L33" i="1"/>
  <c r="R32" i="1"/>
  <c r="T32" i="1" s="1"/>
  <c r="L32" i="1"/>
  <c r="R31" i="1"/>
  <c r="Z31" i="1" s="1"/>
  <c r="L31" i="1"/>
  <c r="R30" i="1"/>
  <c r="Z30" i="1" s="1"/>
  <c r="L30" i="1"/>
  <c r="R29" i="1"/>
  <c r="Z29" i="1" s="1"/>
  <c r="L29" i="1"/>
  <c r="R28" i="1"/>
  <c r="L28" i="1"/>
  <c r="R27" i="1"/>
  <c r="S27" i="1" s="1"/>
  <c r="U27" i="1" s="1"/>
  <c r="AL27" i="1" s="1"/>
  <c r="L27" i="1"/>
  <c r="R26" i="1"/>
  <c r="L26" i="1"/>
  <c r="R25" i="1"/>
  <c r="Y25" i="1" s="1"/>
  <c r="L25" i="1"/>
  <c r="AJ24" i="1"/>
  <c r="R24" i="1"/>
  <c r="Z24" i="1" s="1"/>
  <c r="L24" i="1"/>
  <c r="R23" i="1"/>
  <c r="L23" i="1"/>
  <c r="R22" i="1"/>
  <c r="Z22" i="1" s="1"/>
  <c r="L22" i="1"/>
  <c r="R21" i="1"/>
  <c r="Z21" i="1" s="1"/>
  <c r="L21" i="1"/>
  <c r="R20" i="1"/>
  <c r="Z20" i="1" s="1"/>
  <c r="L20" i="1"/>
  <c r="R19" i="1"/>
  <c r="L19" i="1"/>
  <c r="R18" i="1"/>
  <c r="L18" i="1"/>
  <c r="R17" i="1"/>
  <c r="L17" i="1"/>
  <c r="R16" i="1"/>
  <c r="Z16" i="1" s="1"/>
  <c r="L16" i="1"/>
  <c r="F15" i="1"/>
  <c r="E15" i="1"/>
  <c r="R14" i="1"/>
  <c r="Z14" i="1" s="1"/>
  <c r="L14" i="1"/>
  <c r="R13" i="1"/>
  <c r="L13" i="1"/>
  <c r="R12" i="1"/>
  <c r="Z12" i="1" s="1"/>
  <c r="L12" i="1"/>
  <c r="R11" i="1"/>
  <c r="T11" i="1" s="1"/>
  <c r="L11" i="1"/>
  <c r="R10" i="1"/>
  <c r="L10" i="1"/>
  <c r="R9" i="1"/>
  <c r="Y9" i="1" s="1"/>
  <c r="L9" i="1"/>
  <c r="R8" i="1"/>
  <c r="S8" i="1" s="1"/>
  <c r="U8" i="1" s="1"/>
  <c r="AL8" i="1" s="1"/>
  <c r="L8" i="1"/>
  <c r="R7" i="1"/>
  <c r="Z7" i="1" s="1"/>
  <c r="L7" i="1"/>
  <c r="R6" i="1"/>
  <c r="Z6" i="1" s="1"/>
  <c r="L6" i="1"/>
  <c r="AH5" i="1"/>
  <c r="AG5" i="1"/>
  <c r="AF5" i="1"/>
  <c r="AE5" i="1"/>
  <c r="AD5" i="1"/>
  <c r="AC5" i="1"/>
  <c r="AB5" i="1"/>
  <c r="AA5" i="1"/>
  <c r="W5" i="1"/>
  <c r="Q5" i="1"/>
  <c r="P5" i="1"/>
  <c r="O5" i="1"/>
  <c r="N5" i="1"/>
  <c r="M5" i="1"/>
  <c r="K5" i="1"/>
  <c r="Z28" i="1" l="1"/>
  <c r="T28" i="1"/>
  <c r="Z33" i="1"/>
  <c r="T33" i="1"/>
  <c r="Z34" i="1"/>
  <c r="T34" i="1"/>
  <c r="Z43" i="1"/>
  <c r="T43" i="1"/>
  <c r="Z45" i="1"/>
  <c r="T45" i="1"/>
  <c r="U45" i="1" s="1"/>
  <c r="AL45" i="1" s="1"/>
  <c r="Z47" i="1"/>
  <c r="T47" i="1"/>
  <c r="Z13" i="1"/>
  <c r="T13" i="1"/>
  <c r="Z18" i="1"/>
  <c r="T18" i="1"/>
  <c r="Z58" i="1"/>
  <c r="T58" i="1"/>
  <c r="S59" i="1"/>
  <c r="T59" i="1"/>
  <c r="Z66" i="1"/>
  <c r="T66" i="1"/>
  <c r="Z68" i="1"/>
  <c r="T68" i="1"/>
  <c r="Y20" i="1"/>
  <c r="Z27" i="1"/>
  <c r="S49" i="1"/>
  <c r="Z32" i="1"/>
  <c r="S32" i="1"/>
  <c r="U32" i="1" s="1"/>
  <c r="AL32" i="1" s="1"/>
  <c r="Z11" i="1"/>
  <c r="S11" i="1"/>
  <c r="Z8" i="1"/>
  <c r="F5" i="1"/>
  <c r="S37" i="1"/>
  <c r="U37" i="1" s="1"/>
  <c r="AL37" i="1" s="1"/>
  <c r="S56" i="1"/>
  <c r="U56" i="1" s="1"/>
  <c r="AL56" i="1" s="1"/>
  <c r="Z59" i="1"/>
  <c r="S18" i="1"/>
  <c r="S47" i="1"/>
  <c r="S66" i="1"/>
  <c r="AM8" i="1"/>
  <c r="AJ8" i="1"/>
  <c r="Z19" i="1"/>
  <c r="Z23" i="1"/>
  <c r="Y23" i="1"/>
  <c r="Z38" i="1"/>
  <c r="S38" i="1"/>
  <c r="U38" i="1" s="1"/>
  <c r="AL38" i="1" s="1"/>
  <c r="Z40" i="1"/>
  <c r="S40" i="1"/>
  <c r="U40" i="1" s="1"/>
  <c r="AL40" i="1" s="1"/>
  <c r="Z42" i="1"/>
  <c r="S42" i="1"/>
  <c r="U42" i="1" s="1"/>
  <c r="AL42" i="1" s="1"/>
  <c r="S63" i="1"/>
  <c r="U63" i="1" s="1"/>
  <c r="AL63" i="1" s="1"/>
  <c r="Z63" i="1"/>
  <c r="Z69" i="1"/>
  <c r="S69" i="1"/>
  <c r="U69" i="1" s="1"/>
  <c r="AL69" i="1" s="1"/>
  <c r="AM27" i="1"/>
  <c r="AJ27" i="1"/>
  <c r="AM31" i="1"/>
  <c r="AJ31" i="1"/>
  <c r="S58" i="1"/>
  <c r="AP64" i="1"/>
  <c r="V64" i="1"/>
  <c r="Y64" i="1" s="1"/>
  <c r="S68" i="1"/>
  <c r="U68" i="1" s="1"/>
  <c r="AL68" i="1" s="1"/>
  <c r="Z10" i="1"/>
  <c r="Z17" i="1"/>
  <c r="Y17" i="1"/>
  <c r="Z26" i="1"/>
  <c r="Z46" i="1"/>
  <c r="S46" i="1"/>
  <c r="U46" i="1" s="1"/>
  <c r="AL46" i="1" s="1"/>
  <c r="Z48" i="1"/>
  <c r="S48" i="1"/>
  <c r="U48" i="1" s="1"/>
  <c r="AL48" i="1" s="1"/>
  <c r="Z50" i="1"/>
  <c r="S50" i="1"/>
  <c r="U50" i="1" s="1"/>
  <c r="AL50" i="1" s="1"/>
  <c r="AP52" i="1"/>
  <c r="AM52" i="1"/>
  <c r="AJ59" i="1"/>
  <c r="V62" i="1"/>
  <c r="Y62" i="1" s="1"/>
  <c r="AM64" i="1"/>
  <c r="Z65" i="1"/>
  <c r="S65" i="1"/>
  <c r="U65" i="1" s="1"/>
  <c r="AL65" i="1" s="1"/>
  <c r="Z67" i="1"/>
  <c r="V70" i="1"/>
  <c r="Y70" i="1" s="1"/>
  <c r="S13" i="1"/>
  <c r="U13" i="1" s="1"/>
  <c r="AL13" i="1" s="1"/>
  <c r="S33" i="1"/>
  <c r="S43" i="1"/>
  <c r="U43" i="1" s="1"/>
  <c r="AL43" i="1" s="1"/>
  <c r="Z71" i="1"/>
  <c r="S12" i="1"/>
  <c r="U12" i="1" s="1"/>
  <c r="AL12" i="1" s="1"/>
  <c r="S28" i="1"/>
  <c r="S34" i="1"/>
  <c r="U34" i="1" s="1"/>
  <c r="AL34" i="1" s="1"/>
  <c r="S57" i="1"/>
  <c r="U57" i="1" s="1"/>
  <c r="AL57" i="1" s="1"/>
  <c r="AM41" i="1"/>
  <c r="V41" i="1"/>
  <c r="Y41" i="1" s="1"/>
  <c r="AP41" i="1"/>
  <c r="AL2" i="1"/>
  <c r="Y6" i="1"/>
  <c r="Y35" i="1"/>
  <c r="Z49" i="1"/>
  <c r="Y7" i="1"/>
  <c r="Z9" i="1"/>
  <c r="V24" i="1"/>
  <c r="Y24" i="1" s="1"/>
  <c r="AP24" i="1"/>
  <c r="Y36" i="1"/>
  <c r="V39" i="1"/>
  <c r="Y39" i="1" s="1"/>
  <c r="AP39" i="1"/>
  <c r="Z60" i="1"/>
  <c r="AM62" i="1"/>
  <c r="AM70" i="1"/>
  <c r="AM73" i="1"/>
  <c r="R15" i="1"/>
  <c r="E5" i="1"/>
  <c r="L15" i="1"/>
  <c r="Z25" i="1"/>
  <c r="L49" i="1"/>
  <c r="V51" i="1"/>
  <c r="Y51" i="1" s="1"/>
  <c r="AP51" i="1"/>
  <c r="Y52" i="1"/>
  <c r="V53" i="1"/>
  <c r="Y53" i="1" s="1"/>
  <c r="AP53" i="1"/>
  <c r="V55" i="1"/>
  <c r="Y55" i="1" s="1"/>
  <c r="AP55" i="1"/>
  <c r="Z61" i="1"/>
  <c r="L71" i="1"/>
  <c r="Z72" i="1"/>
  <c r="Y73" i="1"/>
  <c r="U58" i="1" l="1"/>
  <c r="AL58" i="1" s="1"/>
  <c r="U66" i="1"/>
  <c r="AL66" i="1" s="1"/>
  <c r="U18" i="1"/>
  <c r="AL18" i="1" s="1"/>
  <c r="U59" i="1"/>
  <c r="AL59" i="1" s="1"/>
  <c r="AM59" i="1" s="1"/>
  <c r="R5" i="1"/>
  <c r="T15" i="1"/>
  <c r="T5" i="1" s="1"/>
  <c r="U28" i="1"/>
  <c r="AL28" i="1" s="1"/>
  <c r="U33" i="1"/>
  <c r="AL33" i="1" s="1"/>
  <c r="U47" i="1"/>
  <c r="AL47" i="1" s="1"/>
  <c r="AJ11" i="1"/>
  <c r="U11" i="1"/>
  <c r="AL11" i="1" s="1"/>
  <c r="AM11" i="1" s="1"/>
  <c r="AJ49" i="1"/>
  <c r="U49" i="1"/>
  <c r="AL49" i="1" s="1"/>
  <c r="AM49" i="1" s="1"/>
  <c r="V27" i="1"/>
  <c r="Y27" i="1" s="1"/>
  <c r="AP31" i="1"/>
  <c r="V31" i="1"/>
  <c r="Y31" i="1" s="1"/>
  <c r="AP59" i="1"/>
  <c r="AP27" i="1"/>
  <c r="AM2" i="1"/>
  <c r="V8" i="1"/>
  <c r="AJ47" i="1"/>
  <c r="AJ37" i="1"/>
  <c r="AP8" i="1"/>
  <c r="AJ66" i="1"/>
  <c r="AJ18" i="1"/>
  <c r="AJ56" i="1"/>
  <c r="Z15" i="1"/>
  <c r="S15" i="1"/>
  <c r="U15" i="1" s="1"/>
  <c r="AL15" i="1" s="1"/>
  <c r="AJ71" i="1"/>
  <c r="AJ44" i="1"/>
  <c r="AJ32" i="1"/>
  <c r="AJ28" i="1"/>
  <c r="AJ16" i="1"/>
  <c r="AJ12" i="1"/>
  <c r="AJ54" i="1"/>
  <c r="AJ33" i="1"/>
  <c r="AJ13" i="1"/>
  <c r="AJ65" i="1"/>
  <c r="AJ50" i="1"/>
  <c r="AJ58" i="1"/>
  <c r="AJ21" i="1"/>
  <c r="AJ63" i="1"/>
  <c r="V59" i="1"/>
  <c r="Y59" i="1" s="1"/>
  <c r="AJ57" i="1"/>
  <c r="AJ34" i="1"/>
  <c r="AJ30" i="1"/>
  <c r="AJ22" i="1"/>
  <c r="AJ14" i="1"/>
  <c r="AJ43" i="1"/>
  <c r="AJ29" i="1"/>
  <c r="AJ67" i="1"/>
  <c r="AJ48" i="1"/>
  <c r="AJ46" i="1"/>
  <c r="AJ26" i="1"/>
  <c r="AJ10" i="1"/>
  <c r="AJ68" i="1"/>
  <c r="AJ45" i="1"/>
  <c r="AJ69" i="1"/>
  <c r="AJ42" i="1"/>
  <c r="AJ40" i="1"/>
  <c r="AJ38" i="1"/>
  <c r="AJ19" i="1"/>
  <c r="L5" i="1"/>
  <c r="Y8" i="1"/>
  <c r="AP2" i="1"/>
  <c r="AP49" i="1" l="1"/>
  <c r="V49" i="1"/>
  <c r="Y49" i="1" s="1"/>
  <c r="AP11" i="1"/>
  <c r="V11" i="1"/>
  <c r="Y11" i="1" s="1"/>
  <c r="U5" i="1"/>
  <c r="V56" i="1"/>
  <c r="Y56" i="1" s="1"/>
  <c r="AM56" i="1"/>
  <c r="AP56" i="1"/>
  <c r="AP66" i="1"/>
  <c r="V66" i="1"/>
  <c r="Y66" i="1" s="1"/>
  <c r="AM66" i="1"/>
  <c r="AM47" i="1"/>
  <c r="AP47" i="1"/>
  <c r="V47" i="1"/>
  <c r="Y47" i="1" s="1"/>
  <c r="AM18" i="1"/>
  <c r="V18" i="1"/>
  <c r="Y18" i="1" s="1"/>
  <c r="AP18" i="1"/>
  <c r="AM37" i="1"/>
  <c r="V37" i="1"/>
  <c r="Y37" i="1" s="1"/>
  <c r="AP37" i="1"/>
  <c r="AM69" i="1"/>
  <c r="AP69" i="1"/>
  <c r="V69" i="1"/>
  <c r="Y69" i="1" s="1"/>
  <c r="AM45" i="1"/>
  <c r="V45" i="1"/>
  <c r="Y45" i="1" s="1"/>
  <c r="AP45" i="1"/>
  <c r="AP10" i="1"/>
  <c r="V10" i="1"/>
  <c r="AM10" i="1"/>
  <c r="AM67" i="1"/>
  <c r="V67" i="1"/>
  <c r="Y67" i="1" s="1"/>
  <c r="AP67" i="1"/>
  <c r="AM43" i="1"/>
  <c r="V43" i="1"/>
  <c r="Y43" i="1" s="1"/>
  <c r="AP43" i="1"/>
  <c r="AP14" i="1"/>
  <c r="V14" i="1"/>
  <c r="Y14" i="1" s="1"/>
  <c r="AM14" i="1"/>
  <c r="AP22" i="1"/>
  <c r="V22" i="1"/>
  <c r="Y22" i="1" s="1"/>
  <c r="AM22" i="1"/>
  <c r="AP30" i="1"/>
  <c r="V30" i="1"/>
  <c r="Y30" i="1" s="1"/>
  <c r="AM30" i="1"/>
  <c r="AP34" i="1"/>
  <c r="V34" i="1"/>
  <c r="Y34" i="1" s="1"/>
  <c r="AM34" i="1"/>
  <c r="AM57" i="1"/>
  <c r="AP57" i="1"/>
  <c r="V57" i="1"/>
  <c r="Y57" i="1" s="1"/>
  <c r="AM63" i="1"/>
  <c r="V63" i="1"/>
  <c r="Y63" i="1" s="1"/>
  <c r="AP63" i="1"/>
  <c r="AM65" i="1"/>
  <c r="AP65" i="1"/>
  <c r="V65" i="1"/>
  <c r="Y65" i="1" s="1"/>
  <c r="AM13" i="1"/>
  <c r="V13" i="1"/>
  <c r="Y13" i="1" s="1"/>
  <c r="AP13" i="1"/>
  <c r="AM33" i="1"/>
  <c r="AP33" i="1"/>
  <c r="V33" i="1"/>
  <c r="Y33" i="1" s="1"/>
  <c r="AP12" i="1"/>
  <c r="V12" i="1"/>
  <c r="Y12" i="1" s="1"/>
  <c r="AM12" i="1"/>
  <c r="AP16" i="1"/>
  <c r="V16" i="1"/>
  <c r="Y16" i="1" s="1"/>
  <c r="AM16" i="1"/>
  <c r="AP28" i="1"/>
  <c r="V28" i="1"/>
  <c r="Y28" i="1" s="1"/>
  <c r="AM28" i="1"/>
  <c r="AP32" i="1"/>
  <c r="V32" i="1"/>
  <c r="Y32" i="1" s="1"/>
  <c r="AM32" i="1"/>
  <c r="AP44" i="1"/>
  <c r="V44" i="1"/>
  <c r="Y44" i="1" s="1"/>
  <c r="AM44" i="1"/>
  <c r="AM71" i="1"/>
  <c r="V71" i="1"/>
  <c r="Y71" i="1" s="1"/>
  <c r="AP71" i="1"/>
  <c r="AL5" i="1"/>
  <c r="AL1" i="1" s="1"/>
  <c r="AJ15" i="1"/>
  <c r="AJ5" i="1" s="1"/>
  <c r="S5" i="1"/>
  <c r="AP19" i="1"/>
  <c r="V19" i="1"/>
  <c r="Y19" i="1" s="1"/>
  <c r="AM19" i="1"/>
  <c r="AP38" i="1"/>
  <c r="V38" i="1"/>
  <c r="Y38" i="1" s="1"/>
  <c r="AM38" i="1"/>
  <c r="AP40" i="1"/>
  <c r="V40" i="1"/>
  <c r="Y40" i="1" s="1"/>
  <c r="AM40" i="1"/>
  <c r="AP42" i="1"/>
  <c r="V42" i="1"/>
  <c r="Y42" i="1" s="1"/>
  <c r="AM42" i="1"/>
  <c r="AP68" i="1"/>
  <c r="V68" i="1"/>
  <c r="Y68" i="1" s="1"/>
  <c r="AM68" i="1"/>
  <c r="AP26" i="1"/>
  <c r="V26" i="1"/>
  <c r="Y26" i="1" s="1"/>
  <c r="AM26" i="1"/>
  <c r="AP46" i="1"/>
  <c r="V46" i="1"/>
  <c r="Y46" i="1" s="1"/>
  <c r="AM46" i="1"/>
  <c r="AP48" i="1"/>
  <c r="V48" i="1"/>
  <c r="Y48" i="1" s="1"/>
  <c r="AM48" i="1"/>
  <c r="AM29" i="1"/>
  <c r="V29" i="1"/>
  <c r="Y29" i="1" s="1"/>
  <c r="AP29" i="1"/>
  <c r="AM21" i="1"/>
  <c r="V21" i="1"/>
  <c r="Y21" i="1" s="1"/>
  <c r="AP21" i="1"/>
  <c r="AP58" i="1"/>
  <c r="V58" i="1"/>
  <c r="Y58" i="1" s="1"/>
  <c r="AM58" i="1"/>
  <c r="AP50" i="1"/>
  <c r="V50" i="1"/>
  <c r="Y50" i="1" s="1"/>
  <c r="AM50" i="1"/>
  <c r="AP54" i="1"/>
  <c r="V54" i="1"/>
  <c r="Y54" i="1" s="1"/>
  <c r="AM54" i="1"/>
  <c r="AM15" i="1" l="1"/>
  <c r="AM5" i="1" s="1"/>
  <c r="AM1" i="1" s="1"/>
  <c r="AP15" i="1"/>
  <c r="AP5" i="1" s="1"/>
  <c r="AP1" i="1" s="1"/>
  <c r="V15" i="1"/>
  <c r="Y15" i="1" s="1"/>
  <c r="Y10" i="1"/>
  <c r="V5" i="1"/>
</calcChain>
</file>

<file path=xl/sharedStrings.xml><?xml version="1.0" encoding="utf-8"?>
<sst xmlns="http://schemas.openxmlformats.org/spreadsheetml/2006/main" count="293" uniqueCount="128">
  <si>
    <t>6 -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</si>
  <si>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</si>
  <si>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</si>
  <si>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</si>
  <si>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</si>
  <si>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</si>
  <si>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</si>
  <si>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</si>
  <si>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</si>
  <si>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</si>
  <si>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</si>
  <si>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</si>
  <si>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</si>
  <si>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</si>
  <si>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</si>
  <si>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</si>
  <si>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</si>
  <si>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</si>
  <si>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</si>
  <si>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</si>
  <si>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</si>
  <si>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</si>
  <si>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</si>
  <si>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</si>
  <si>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</si>
  <si>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</si>
  <si>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</si>
  <si>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</si>
  <si>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</si>
  <si>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</si>
  <si>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</si>
  <si>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</si>
  <si>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</si>
  <si>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19,01,(1)</t>
  </si>
  <si>
    <t>19,01,(2)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</si>
  <si>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</si>
  <si>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</si>
  <si>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</si>
  <si>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</si>
  <si>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</si>
  <si>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</si>
  <si>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</si>
  <si>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</si>
  <si>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</si>
  <si>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</si>
  <si>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</si>
  <si>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</si>
  <si>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</si>
  <si>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</si>
  <si>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</si>
  <si>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</si>
  <si>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</si>
  <si>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</si>
  <si>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</si>
  <si>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</si>
  <si>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</si>
  <si>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</si>
  <si>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</si>
  <si>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</si>
  <si>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</si>
  <si>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</si>
  <si>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</si>
  <si>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</si>
  <si>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</si>
  <si>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</si>
  <si>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</si>
  <si>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</si>
  <si>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</si>
  <si>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</si>
  <si>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</si>
  <si>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</si>
  <si>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</si>
  <si>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</si>
  <si>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</si>
  <si>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</si>
  <si>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</si>
  <si>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</si>
  <si>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</si>
  <si>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</si>
  <si>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</si>
  <si>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</si>
  <si>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</si>
  <si>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</si>
  <si>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</si>
  <si>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</si>
  <si>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</si>
  <si>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</si>
  <si>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</si>
  <si>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</si>
  <si>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</si>
  <si>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</si>
  <si>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</si>
  <si>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</si>
  <si>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</si>
  <si>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</si>
  <si>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</si>
  <si>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</si>
  <si>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</si>
  <si>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</si>
  <si>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</si>
  <si>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</si>
  <si>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</si>
  <si>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</si>
  <si>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</si>
  <si>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</si>
  <si>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</si>
  <si>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</si>
  <si>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</si>
  <si>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</si>
  <si>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</si>
  <si>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</si>
  <si>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</si>
  <si>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</si>
  <si>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</si>
  <si>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</si>
  <si>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</si>
  <si>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</si>
  <si>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</si>
  <si>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</si>
  <si>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</si>
  <si>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</si>
  <si>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</si>
  <si>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</si>
  <si>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</si>
  <si>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есть ли потребность??? мин. заказ 420 шт.</t>
    </r>
  </si>
  <si>
    <t>до машины</t>
  </si>
  <si>
    <t>итого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</si>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</sst>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8" width="6" customWidth="1"/>
    <col min="19" max="19" width="7" customWidth="1"/>
    <col min="20" max="21" width="7" style="29" customWidth="1"/>
    <col min="22" max="23" width="7" customWidth="1"/>
    <col min="24" max="24" width="11.140625" customWidth="1"/>
    <col min="25" max="26" width="5" customWidth="1"/>
    <col min="27" max="34" width="6" customWidth="1"/>
    <col min="35" max="35" width="20.85546875" customWidth="1"/>
    <col min="36" max="36" width="6" customWidth="1"/>
    <col min="37" max="37" width="6" style="6" customWidth="1"/>
    <col min="38" max="38" width="7" style="13" customWidth="1"/>
    <col min="39" max="39" width="6" customWidth="1"/>
    <col min="40" max="41" width="5" customWidth="1"/>
    <col min="42" max="42" width="6" style="13" customWidth="1"/>
    <col min="43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0">
        <v>1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4" t="s">
        <v>0</v>
      </c>
      <c r="AJ1" s="1"/>
      <c r="AK1" s="8"/>
      <c r="AL1" s="10">
        <f>AL5-AL2</f>
        <v>1284</v>
      </c>
      <c r="AM1" s="1">
        <f>AM5-AM2</f>
        <v>5992.32</v>
      </c>
      <c r="AN1" s="1"/>
      <c r="AO1" s="1"/>
      <c r="AP1" s="10">
        <f>AP5-AP2</f>
        <v>15.958730158730155</v>
      </c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8"/>
      <c r="AL2" s="10">
        <f>AL41+AL51+AL52+AL53+AL55+AL73</f>
        <v>72</v>
      </c>
      <c r="AM2" s="1">
        <f>AM41+AM51+AM52+AM53+AM55+AM73</f>
        <v>382.55999999999995</v>
      </c>
      <c r="AN2" s="1"/>
      <c r="AO2" s="1"/>
      <c r="AP2" s="10">
        <f>AP41+AP51+AP52+AP53+AP55+AP73</f>
        <v>0.85714285714285698</v>
      </c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125</v>
      </c>
      <c r="U3" s="3" t="s">
        <v>126</v>
      </c>
      <c r="V3" s="3" t="s">
        <v>18</v>
      </c>
      <c r="W3" s="7" t="s">
        <v>19</v>
      </c>
      <c r="X3" s="7" t="s">
        <v>20</v>
      </c>
      <c r="Y3" s="2" t="s">
        <v>21</v>
      </c>
      <c r="Z3" s="2" t="s">
        <v>22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24</v>
      </c>
      <c r="AJ3" s="2" t="s">
        <v>25</v>
      </c>
      <c r="AK3" s="9" t="s">
        <v>26</v>
      </c>
      <c r="AL3" s="11" t="s">
        <v>27</v>
      </c>
      <c r="AM3" s="2" t="s">
        <v>28</v>
      </c>
      <c r="AN3" s="2" t="s">
        <v>29</v>
      </c>
      <c r="AO3" s="2" t="s">
        <v>30</v>
      </c>
      <c r="AP3" s="11" t="s">
        <v>31</v>
      </c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 t="s">
        <v>34</v>
      </c>
      <c r="R4" s="1" t="s">
        <v>35</v>
      </c>
      <c r="S4" s="1"/>
      <c r="T4" s="1"/>
      <c r="U4" s="1"/>
      <c r="V4" s="1"/>
      <c r="W4" s="1"/>
      <c r="X4" s="1"/>
      <c r="Y4" s="1"/>
      <c r="Z4" s="1"/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 t="s">
        <v>41</v>
      </c>
      <c r="AG4" s="1" t="s">
        <v>42</v>
      </c>
      <c r="AH4" s="1" t="s">
        <v>43</v>
      </c>
      <c r="AI4" s="1"/>
      <c r="AJ4" s="1"/>
      <c r="AK4" s="8"/>
      <c r="AL4" s="10" t="s">
        <v>127</v>
      </c>
      <c r="AM4" s="1"/>
      <c r="AN4" s="1"/>
      <c r="AO4" s="1"/>
      <c r="AP4" s="10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15501.4</v>
      </c>
      <c r="F5" s="4">
        <f>SUM(F6:F499)</f>
        <v>24899.5</v>
      </c>
      <c r="G5" s="8"/>
      <c r="H5" s="1"/>
      <c r="I5" s="1"/>
      <c r="J5" s="1"/>
      <c r="K5" s="4">
        <f t="shared" ref="K5:W5" si="0">SUM(K6:K499)</f>
        <v>15993.6</v>
      </c>
      <c r="L5" s="4">
        <f t="shared" si="0"/>
        <v>-492.20000000000005</v>
      </c>
      <c r="M5" s="4">
        <f t="shared" si="0"/>
        <v>0</v>
      </c>
      <c r="N5" s="4">
        <f t="shared" si="0"/>
        <v>0</v>
      </c>
      <c r="O5" s="4">
        <f t="shared" si="0"/>
        <v>1751</v>
      </c>
      <c r="P5" s="4">
        <f t="shared" si="0"/>
        <v>3694</v>
      </c>
      <c r="Q5" s="4">
        <f t="shared" si="0"/>
        <v>5382.4</v>
      </c>
      <c r="R5" s="4">
        <f t="shared" si="0"/>
        <v>3100.2799999999988</v>
      </c>
      <c r="S5" s="4">
        <f t="shared" si="0"/>
        <v>11269.599999999999</v>
      </c>
      <c r="T5" s="4">
        <f t="shared" si="0"/>
        <v>2324.9999999999995</v>
      </c>
      <c r="U5" s="4">
        <f t="shared" si="0"/>
        <v>13594.6</v>
      </c>
      <c r="V5" s="4">
        <f t="shared" si="0"/>
        <v>13894</v>
      </c>
      <c r="W5" s="4">
        <f t="shared" si="0"/>
        <v>0</v>
      </c>
      <c r="X5" s="1"/>
      <c r="Y5" s="1"/>
      <c r="Z5" s="1"/>
      <c r="AA5" s="4">
        <f t="shared" ref="AA5:AH5" si="1">SUM(AA6:AA499)</f>
        <v>3255.7600000000007</v>
      </c>
      <c r="AB5" s="4">
        <f t="shared" si="1"/>
        <v>4051.4333333333334</v>
      </c>
      <c r="AC5" s="4">
        <f t="shared" si="1"/>
        <v>3535.8399999999997</v>
      </c>
      <c r="AD5" s="4">
        <f t="shared" si="1"/>
        <v>3763.48</v>
      </c>
      <c r="AE5" s="4">
        <f t="shared" si="1"/>
        <v>2932.5799999999995</v>
      </c>
      <c r="AF5" s="4">
        <f t="shared" si="1"/>
        <v>3551.68</v>
      </c>
      <c r="AG5" s="4">
        <f t="shared" si="1"/>
        <v>2871.9399999999996</v>
      </c>
      <c r="AH5" s="4">
        <f t="shared" si="1"/>
        <v>2825.1200000000003</v>
      </c>
      <c r="AI5" s="1"/>
      <c r="AJ5" s="4">
        <f>SUM(AJ6:AJ499)</f>
        <v>5242.801999999997</v>
      </c>
      <c r="AK5" s="8"/>
      <c r="AL5" s="12">
        <f>SUM(AL6:AL499)</f>
        <v>1356</v>
      </c>
      <c r="AM5" s="4">
        <f>SUM(AM6:AM499)</f>
        <v>6374.88</v>
      </c>
      <c r="AN5" s="1"/>
      <c r="AO5" s="1"/>
      <c r="AP5" s="12">
        <f>SUM(AP6:AP499)</f>
        <v>16.815873015873013</v>
      </c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8" t="s">
        <v>44</v>
      </c>
      <c r="B6" s="18" t="s">
        <v>45</v>
      </c>
      <c r="C6" s="18">
        <v>44</v>
      </c>
      <c r="D6" s="18">
        <v>55</v>
      </c>
      <c r="E6" s="25">
        <v>57</v>
      </c>
      <c r="F6" s="25">
        <v>40</v>
      </c>
      <c r="G6" s="19">
        <v>0</v>
      </c>
      <c r="H6" s="18">
        <v>180</v>
      </c>
      <c r="I6" s="18" t="s">
        <v>46</v>
      </c>
      <c r="J6" s="18" t="s">
        <v>47</v>
      </c>
      <c r="K6" s="18">
        <v>59</v>
      </c>
      <c r="L6" s="18">
        <f t="shared" ref="L6:L37" si="2">E6-K6</f>
        <v>-2</v>
      </c>
      <c r="M6" s="18"/>
      <c r="N6" s="18"/>
      <c r="O6" s="18"/>
      <c r="P6" s="18"/>
      <c r="Q6" s="18"/>
      <c r="R6" s="18">
        <f t="shared" ref="R6:R37" si="3">E6/5</f>
        <v>11.4</v>
      </c>
      <c r="S6" s="20"/>
      <c r="T6" s="20"/>
      <c r="U6" s="5">
        <f t="shared" ref="U6:U7" si="4">T6+S6</f>
        <v>0</v>
      </c>
      <c r="V6" s="20"/>
      <c r="W6" s="20"/>
      <c r="X6" s="18"/>
      <c r="Y6" s="18">
        <f t="shared" ref="Y6:Y37" si="5">(F6+O6+P6+Q6+V6)/R6</f>
        <v>3.5087719298245612</v>
      </c>
      <c r="Z6" s="18">
        <f t="shared" ref="Z6:Z37" si="6">(F6+O6+P6+Q6)/R6</f>
        <v>3.5087719298245612</v>
      </c>
      <c r="AA6" s="18">
        <v>0.8</v>
      </c>
      <c r="AB6" s="18">
        <v>25.333333333333329</v>
      </c>
      <c r="AC6" s="18">
        <v>48.2</v>
      </c>
      <c r="AD6" s="18">
        <v>36.4</v>
      </c>
      <c r="AE6" s="18">
        <v>0</v>
      </c>
      <c r="AF6" s="18">
        <v>0</v>
      </c>
      <c r="AG6" s="18">
        <v>0</v>
      </c>
      <c r="AH6" s="18">
        <v>0</v>
      </c>
      <c r="AI6" s="18"/>
      <c r="AJ6" s="18"/>
      <c r="AK6" s="19"/>
      <c r="AL6" s="21"/>
      <c r="AM6" s="18"/>
      <c r="AN6" s="18"/>
      <c r="AO6" s="18"/>
      <c r="AP6" s="2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8" t="s">
        <v>48</v>
      </c>
      <c r="B7" s="18" t="s">
        <v>45</v>
      </c>
      <c r="C7" s="18">
        <v>16</v>
      </c>
      <c r="D7" s="18">
        <v>58</v>
      </c>
      <c r="E7" s="25">
        <v>30</v>
      </c>
      <c r="F7" s="25">
        <v>43</v>
      </c>
      <c r="G7" s="19">
        <v>0</v>
      </c>
      <c r="H7" s="18">
        <v>180</v>
      </c>
      <c r="I7" s="18" t="s">
        <v>46</v>
      </c>
      <c r="J7" s="18" t="s">
        <v>49</v>
      </c>
      <c r="K7" s="18">
        <v>32</v>
      </c>
      <c r="L7" s="18">
        <f t="shared" si="2"/>
        <v>-2</v>
      </c>
      <c r="M7" s="18"/>
      <c r="N7" s="18"/>
      <c r="O7" s="18"/>
      <c r="P7" s="18"/>
      <c r="Q7" s="18"/>
      <c r="R7" s="18">
        <f t="shared" si="3"/>
        <v>6</v>
      </c>
      <c r="S7" s="20"/>
      <c r="T7" s="20"/>
      <c r="U7" s="5">
        <f t="shared" si="4"/>
        <v>0</v>
      </c>
      <c r="V7" s="20"/>
      <c r="W7" s="20"/>
      <c r="X7" s="18"/>
      <c r="Y7" s="18">
        <f t="shared" si="5"/>
        <v>7.166666666666667</v>
      </c>
      <c r="Z7" s="18">
        <f t="shared" si="6"/>
        <v>7.166666666666667</v>
      </c>
      <c r="AA7" s="18">
        <v>14.6</v>
      </c>
      <c r="AB7" s="18">
        <v>7.333333333333333</v>
      </c>
      <c r="AC7" s="18">
        <v>30</v>
      </c>
      <c r="AD7" s="18">
        <v>9.1999999999999993</v>
      </c>
      <c r="AE7" s="18">
        <v>0</v>
      </c>
      <c r="AF7" s="18">
        <v>0</v>
      </c>
      <c r="AG7" s="18">
        <v>0</v>
      </c>
      <c r="AH7" s="18">
        <v>0</v>
      </c>
      <c r="AI7" s="18"/>
      <c r="AJ7" s="18"/>
      <c r="AK7" s="19"/>
      <c r="AL7" s="21"/>
      <c r="AM7" s="18"/>
      <c r="AN7" s="18"/>
      <c r="AO7" s="18"/>
      <c r="AP7" s="2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50</v>
      </c>
      <c r="B8" s="1" t="s">
        <v>45</v>
      </c>
      <c r="C8" s="1">
        <v>289</v>
      </c>
      <c r="D8" s="1">
        <v>18</v>
      </c>
      <c r="E8" s="1">
        <v>86</v>
      </c>
      <c r="F8" s="1">
        <v>203</v>
      </c>
      <c r="G8" s="8">
        <v>0.22</v>
      </c>
      <c r="H8" s="1">
        <v>180</v>
      </c>
      <c r="I8" s="1" t="s">
        <v>51</v>
      </c>
      <c r="J8" s="1"/>
      <c r="K8" s="1">
        <v>92</v>
      </c>
      <c r="L8" s="1">
        <f t="shared" si="2"/>
        <v>-6</v>
      </c>
      <c r="M8" s="1"/>
      <c r="N8" s="1"/>
      <c r="O8" s="1"/>
      <c r="P8" s="1">
        <v>0</v>
      </c>
      <c r="Q8" s="1"/>
      <c r="R8" s="1">
        <f t="shared" si="3"/>
        <v>17.2</v>
      </c>
      <c r="S8" s="5">
        <f>17*R8-Q8-P8-O8-F8</f>
        <v>89.399999999999977</v>
      </c>
      <c r="T8" s="5"/>
      <c r="U8" s="5">
        <f>T8+S8</f>
        <v>89.399999999999977</v>
      </c>
      <c r="V8" s="5">
        <f>AK8*AL8</f>
        <v>168</v>
      </c>
      <c r="W8" s="5"/>
      <c r="X8" s="1"/>
      <c r="Y8" s="1">
        <f t="shared" si="5"/>
        <v>21.569767441860467</v>
      </c>
      <c r="Z8" s="1">
        <f t="shared" si="6"/>
        <v>11.802325581395349</v>
      </c>
      <c r="AA8" s="1">
        <v>14.2</v>
      </c>
      <c r="AB8" s="1">
        <v>22.333333333333329</v>
      </c>
      <c r="AC8" s="1">
        <v>29.8</v>
      </c>
      <c r="AD8" s="1">
        <v>16.2</v>
      </c>
      <c r="AE8" s="1">
        <v>16.399999999999999</v>
      </c>
      <c r="AF8" s="1">
        <v>14</v>
      </c>
      <c r="AG8" s="1">
        <v>19.8</v>
      </c>
      <c r="AH8" s="1">
        <v>19.2</v>
      </c>
      <c r="AI8" s="1"/>
      <c r="AJ8" s="1">
        <f>G8*S8</f>
        <v>19.667999999999996</v>
      </c>
      <c r="AK8" s="8">
        <v>12</v>
      </c>
      <c r="AL8" s="10">
        <f>MROUND(U8, AK8*AN8)/AK8</f>
        <v>14</v>
      </c>
      <c r="AM8" s="1">
        <f>AL8*AK8*G8</f>
        <v>36.96</v>
      </c>
      <c r="AN8" s="1">
        <v>14</v>
      </c>
      <c r="AO8" s="1">
        <v>70</v>
      </c>
      <c r="AP8" s="10">
        <f>AL8/AO8</f>
        <v>0.2</v>
      </c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8" t="s">
        <v>52</v>
      </c>
      <c r="B9" s="18" t="s">
        <v>53</v>
      </c>
      <c r="C9" s="18"/>
      <c r="D9" s="18"/>
      <c r="E9" s="18"/>
      <c r="F9" s="18"/>
      <c r="G9" s="19">
        <v>0</v>
      </c>
      <c r="H9" s="18">
        <v>90</v>
      </c>
      <c r="I9" s="18" t="s">
        <v>51</v>
      </c>
      <c r="J9" s="18"/>
      <c r="K9" s="18"/>
      <c r="L9" s="18">
        <f t="shared" si="2"/>
        <v>0</v>
      </c>
      <c r="M9" s="18"/>
      <c r="N9" s="18"/>
      <c r="O9" s="18"/>
      <c r="P9" s="18"/>
      <c r="Q9" s="18"/>
      <c r="R9" s="18">
        <f t="shared" si="3"/>
        <v>0</v>
      </c>
      <c r="S9" s="20"/>
      <c r="T9" s="20"/>
      <c r="U9" s="5">
        <f t="shared" ref="U9:U72" si="7">T9+S9</f>
        <v>0</v>
      </c>
      <c r="V9" s="20"/>
      <c r="W9" s="20"/>
      <c r="X9" s="18"/>
      <c r="Y9" s="18" t="e">
        <f t="shared" si="5"/>
        <v>#DIV/0!</v>
      </c>
      <c r="Z9" s="18" t="e">
        <f t="shared" si="6"/>
        <v>#DIV/0!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 t="s">
        <v>54</v>
      </c>
      <c r="AJ9" s="18"/>
      <c r="AK9" s="19">
        <v>5</v>
      </c>
      <c r="AL9" s="21"/>
      <c r="AM9" s="18"/>
      <c r="AN9" s="18">
        <v>12</v>
      </c>
      <c r="AO9" s="18">
        <v>144</v>
      </c>
      <c r="AP9" s="2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55</v>
      </c>
      <c r="B10" s="1" t="s">
        <v>45</v>
      </c>
      <c r="C10" s="1">
        <v>125</v>
      </c>
      <c r="D10" s="1">
        <v>504</v>
      </c>
      <c r="E10" s="1">
        <v>150</v>
      </c>
      <c r="F10" s="1">
        <v>479</v>
      </c>
      <c r="G10" s="8">
        <v>0.3</v>
      </c>
      <c r="H10" s="1">
        <v>180</v>
      </c>
      <c r="I10" s="1" t="s">
        <v>51</v>
      </c>
      <c r="J10" s="1"/>
      <c r="K10" s="1">
        <v>154</v>
      </c>
      <c r="L10" s="1">
        <f t="shared" si="2"/>
        <v>-4</v>
      </c>
      <c r="M10" s="1"/>
      <c r="N10" s="1"/>
      <c r="O10" s="1"/>
      <c r="P10" s="1">
        <v>0</v>
      </c>
      <c r="Q10" s="1"/>
      <c r="R10" s="1">
        <f t="shared" si="3"/>
        <v>30</v>
      </c>
      <c r="S10" s="5"/>
      <c r="T10" s="5"/>
      <c r="U10" s="5">
        <f t="shared" si="7"/>
        <v>0</v>
      </c>
      <c r="V10" s="5">
        <f t="shared" ref="V10:V16" si="8">AK10*AL10</f>
        <v>0</v>
      </c>
      <c r="W10" s="5"/>
      <c r="X10" s="1"/>
      <c r="Y10" s="1">
        <f t="shared" si="5"/>
        <v>15.966666666666667</v>
      </c>
      <c r="Z10" s="1">
        <f t="shared" si="6"/>
        <v>15.966666666666667</v>
      </c>
      <c r="AA10" s="1">
        <v>42.8</v>
      </c>
      <c r="AB10" s="1">
        <v>65.666666666666671</v>
      </c>
      <c r="AC10" s="1">
        <v>49</v>
      </c>
      <c r="AD10" s="1">
        <v>40.200000000000003</v>
      </c>
      <c r="AE10" s="1">
        <v>39.200000000000003</v>
      </c>
      <c r="AF10" s="1">
        <v>54.8</v>
      </c>
      <c r="AG10" s="1">
        <v>39.4</v>
      </c>
      <c r="AH10" s="1">
        <v>40.200000000000003</v>
      </c>
      <c r="AI10" s="1"/>
      <c r="AJ10" s="1">
        <f t="shared" ref="AJ10:AJ16" si="9">G10*S10</f>
        <v>0</v>
      </c>
      <c r="AK10" s="8">
        <v>12</v>
      </c>
      <c r="AL10" s="10">
        <f t="shared" ref="AL10:AL16" si="10">MROUND(U10, AK10*AN10)/AK10</f>
        <v>0</v>
      </c>
      <c r="AM10" s="1">
        <f t="shared" ref="AM10:AM16" si="11">AL10*AK10*G10</f>
        <v>0</v>
      </c>
      <c r="AN10" s="1">
        <v>14</v>
      </c>
      <c r="AO10" s="1">
        <v>70</v>
      </c>
      <c r="AP10" s="10">
        <f t="shared" ref="AP10:AP16" si="12">AL10/AO10</f>
        <v>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56</v>
      </c>
      <c r="B11" s="1" t="s">
        <v>45</v>
      </c>
      <c r="C11" s="1">
        <v>247</v>
      </c>
      <c r="D11" s="1">
        <v>594</v>
      </c>
      <c r="E11" s="1">
        <v>313</v>
      </c>
      <c r="F11" s="1">
        <v>522</v>
      </c>
      <c r="G11" s="8">
        <v>0.28000000000000003</v>
      </c>
      <c r="H11" s="1">
        <v>180</v>
      </c>
      <c r="I11" s="1" t="s">
        <v>51</v>
      </c>
      <c r="J11" s="1"/>
      <c r="K11" s="1">
        <v>312</v>
      </c>
      <c r="L11" s="1">
        <f t="shared" si="2"/>
        <v>1</v>
      </c>
      <c r="M11" s="1"/>
      <c r="N11" s="1"/>
      <c r="O11" s="1"/>
      <c r="P11" s="1">
        <v>336</v>
      </c>
      <c r="Q11" s="1"/>
      <c r="R11" s="1">
        <f t="shared" si="3"/>
        <v>62.6</v>
      </c>
      <c r="S11" s="5">
        <f>15*R11-Q11-P11-O11-F11</f>
        <v>81</v>
      </c>
      <c r="T11" s="5">
        <f>$T$1*R11</f>
        <v>62.6</v>
      </c>
      <c r="U11" s="5">
        <f t="shared" si="7"/>
        <v>143.6</v>
      </c>
      <c r="V11" s="5">
        <f t="shared" si="8"/>
        <v>168</v>
      </c>
      <c r="W11" s="5"/>
      <c r="X11" s="1"/>
      <c r="Y11" s="1">
        <f t="shared" si="5"/>
        <v>16.389776357827476</v>
      </c>
      <c r="Z11" s="1">
        <f t="shared" si="6"/>
        <v>13.706070287539935</v>
      </c>
      <c r="AA11" s="1">
        <v>82</v>
      </c>
      <c r="AB11" s="1">
        <v>88.666666666666671</v>
      </c>
      <c r="AC11" s="1">
        <v>83.6</v>
      </c>
      <c r="AD11" s="1">
        <v>90.8</v>
      </c>
      <c r="AE11" s="1">
        <v>71</v>
      </c>
      <c r="AF11" s="1">
        <v>79.400000000000006</v>
      </c>
      <c r="AG11" s="1">
        <v>61.8</v>
      </c>
      <c r="AH11" s="1">
        <v>74.8</v>
      </c>
      <c r="AI11" s="1"/>
      <c r="AJ11" s="1">
        <f t="shared" si="9"/>
        <v>22.680000000000003</v>
      </c>
      <c r="AK11" s="8">
        <v>6</v>
      </c>
      <c r="AL11" s="10">
        <f t="shared" si="10"/>
        <v>28</v>
      </c>
      <c r="AM11" s="1">
        <f t="shared" si="11"/>
        <v>47.040000000000006</v>
      </c>
      <c r="AN11" s="1">
        <v>14</v>
      </c>
      <c r="AO11" s="1">
        <v>140</v>
      </c>
      <c r="AP11" s="10">
        <f t="shared" si="12"/>
        <v>0.2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57</v>
      </c>
      <c r="B12" s="1" t="s">
        <v>45</v>
      </c>
      <c r="C12" s="1">
        <v>276</v>
      </c>
      <c r="D12" s="1">
        <v>512</v>
      </c>
      <c r="E12" s="1">
        <v>234</v>
      </c>
      <c r="F12" s="1">
        <v>553</v>
      </c>
      <c r="G12" s="8">
        <v>0.24</v>
      </c>
      <c r="H12" s="1">
        <v>180</v>
      </c>
      <c r="I12" s="1" t="s">
        <v>51</v>
      </c>
      <c r="J12" s="1"/>
      <c r="K12" s="1">
        <v>240</v>
      </c>
      <c r="L12" s="1">
        <f t="shared" si="2"/>
        <v>-6</v>
      </c>
      <c r="M12" s="1"/>
      <c r="N12" s="1"/>
      <c r="O12" s="1"/>
      <c r="P12" s="1">
        <v>0</v>
      </c>
      <c r="Q12" s="1"/>
      <c r="R12" s="1">
        <f t="shared" si="3"/>
        <v>46.8</v>
      </c>
      <c r="S12" s="5">
        <f t="shared" ref="S12:S15" si="13">14*R12-Q12-P12-O12-F12</f>
        <v>102.19999999999993</v>
      </c>
      <c r="T12" s="5"/>
      <c r="U12" s="5">
        <f t="shared" si="7"/>
        <v>102.19999999999993</v>
      </c>
      <c r="V12" s="5">
        <f t="shared" si="8"/>
        <v>168</v>
      </c>
      <c r="W12" s="5"/>
      <c r="X12" s="1"/>
      <c r="Y12" s="1">
        <f t="shared" si="5"/>
        <v>15.405982905982906</v>
      </c>
      <c r="Z12" s="1">
        <f t="shared" si="6"/>
        <v>11.816239316239317</v>
      </c>
      <c r="AA12" s="1">
        <v>56.6</v>
      </c>
      <c r="AB12" s="1">
        <v>71.166666666666671</v>
      </c>
      <c r="AC12" s="1">
        <v>46.6</v>
      </c>
      <c r="AD12" s="1">
        <v>73.8</v>
      </c>
      <c r="AE12" s="1">
        <v>35.6</v>
      </c>
      <c r="AF12" s="1">
        <v>70.2</v>
      </c>
      <c r="AG12" s="1">
        <v>41.4</v>
      </c>
      <c r="AH12" s="1">
        <v>51.6</v>
      </c>
      <c r="AI12" s="1"/>
      <c r="AJ12" s="1">
        <f t="shared" si="9"/>
        <v>24.527999999999984</v>
      </c>
      <c r="AK12" s="8">
        <v>12</v>
      </c>
      <c r="AL12" s="10">
        <f t="shared" si="10"/>
        <v>14</v>
      </c>
      <c r="AM12" s="1">
        <f t="shared" si="11"/>
        <v>40.32</v>
      </c>
      <c r="AN12" s="1">
        <v>14</v>
      </c>
      <c r="AO12" s="1">
        <v>70</v>
      </c>
      <c r="AP12" s="10">
        <f t="shared" si="12"/>
        <v>0.2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58</v>
      </c>
      <c r="B13" s="1" t="s">
        <v>45</v>
      </c>
      <c r="C13" s="1">
        <v>368</v>
      </c>
      <c r="D13" s="1">
        <v>1020</v>
      </c>
      <c r="E13" s="1">
        <v>516</v>
      </c>
      <c r="F13" s="1">
        <v>865</v>
      </c>
      <c r="G13" s="8">
        <v>0.24</v>
      </c>
      <c r="H13" s="1">
        <v>180</v>
      </c>
      <c r="I13" s="1" t="s">
        <v>51</v>
      </c>
      <c r="J13" s="1"/>
      <c r="K13" s="1">
        <v>516</v>
      </c>
      <c r="L13" s="1">
        <f t="shared" si="2"/>
        <v>0</v>
      </c>
      <c r="M13" s="1"/>
      <c r="N13" s="1"/>
      <c r="O13" s="1"/>
      <c r="P13" s="1">
        <v>336</v>
      </c>
      <c r="Q13" s="1"/>
      <c r="R13" s="1">
        <f t="shared" si="3"/>
        <v>103.2</v>
      </c>
      <c r="S13" s="5">
        <f t="shared" si="13"/>
        <v>243.79999999999995</v>
      </c>
      <c r="T13" s="5">
        <f>$T$1*R13</f>
        <v>103.2</v>
      </c>
      <c r="U13" s="5">
        <f t="shared" si="7"/>
        <v>346.99999999999994</v>
      </c>
      <c r="V13" s="5">
        <f t="shared" si="8"/>
        <v>336</v>
      </c>
      <c r="W13" s="5"/>
      <c r="X13" s="1"/>
      <c r="Y13" s="1">
        <f t="shared" si="5"/>
        <v>14.893410852713178</v>
      </c>
      <c r="Z13" s="1">
        <f t="shared" si="6"/>
        <v>11.637596899224805</v>
      </c>
      <c r="AA13" s="1">
        <v>116.4</v>
      </c>
      <c r="AB13" s="1">
        <v>136.33333333333329</v>
      </c>
      <c r="AC13" s="1">
        <v>120</v>
      </c>
      <c r="AD13" s="1">
        <v>132</v>
      </c>
      <c r="AE13" s="1">
        <v>91.4</v>
      </c>
      <c r="AF13" s="1">
        <v>122.4</v>
      </c>
      <c r="AG13" s="1">
        <v>70.400000000000006</v>
      </c>
      <c r="AH13" s="1">
        <v>86.8</v>
      </c>
      <c r="AI13" s="1"/>
      <c r="AJ13" s="1">
        <f t="shared" si="9"/>
        <v>58.511999999999986</v>
      </c>
      <c r="AK13" s="8">
        <v>12</v>
      </c>
      <c r="AL13" s="10">
        <f t="shared" si="10"/>
        <v>28</v>
      </c>
      <c r="AM13" s="1">
        <f t="shared" si="11"/>
        <v>80.64</v>
      </c>
      <c r="AN13" s="1">
        <v>14</v>
      </c>
      <c r="AO13" s="1">
        <v>70</v>
      </c>
      <c r="AP13" s="10">
        <f t="shared" si="12"/>
        <v>0.4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59</v>
      </c>
      <c r="B14" s="1" t="s">
        <v>45</v>
      </c>
      <c r="C14" s="1">
        <v>1</v>
      </c>
      <c r="D14" s="1">
        <v>504</v>
      </c>
      <c r="E14" s="1">
        <v>111</v>
      </c>
      <c r="F14" s="1">
        <v>394</v>
      </c>
      <c r="G14" s="8">
        <v>0.24</v>
      </c>
      <c r="H14" s="1">
        <v>180</v>
      </c>
      <c r="I14" s="1" t="s">
        <v>51</v>
      </c>
      <c r="J14" s="1"/>
      <c r="K14" s="1">
        <v>116</v>
      </c>
      <c r="L14" s="1">
        <f t="shared" si="2"/>
        <v>-5</v>
      </c>
      <c r="M14" s="1"/>
      <c r="N14" s="1"/>
      <c r="O14" s="1"/>
      <c r="P14" s="1">
        <v>336</v>
      </c>
      <c r="Q14" s="1"/>
      <c r="R14" s="1">
        <f t="shared" si="3"/>
        <v>22.2</v>
      </c>
      <c r="S14" s="5"/>
      <c r="T14" s="5"/>
      <c r="U14" s="5">
        <f t="shared" si="7"/>
        <v>0</v>
      </c>
      <c r="V14" s="5">
        <f t="shared" si="8"/>
        <v>0</v>
      </c>
      <c r="W14" s="5"/>
      <c r="X14" s="1"/>
      <c r="Y14" s="1">
        <f t="shared" si="5"/>
        <v>32.882882882882882</v>
      </c>
      <c r="Z14" s="1">
        <f t="shared" si="6"/>
        <v>32.882882882882882</v>
      </c>
      <c r="AA14" s="1">
        <v>56.6</v>
      </c>
      <c r="AB14" s="1">
        <v>53.666666666666657</v>
      </c>
      <c r="AC14" s="1">
        <v>43</v>
      </c>
      <c r="AD14" s="1">
        <v>40.4</v>
      </c>
      <c r="AE14" s="1">
        <v>46</v>
      </c>
      <c r="AF14" s="1">
        <v>45.6</v>
      </c>
      <c r="AG14" s="1">
        <v>29.6</v>
      </c>
      <c r="AH14" s="1">
        <v>45.2</v>
      </c>
      <c r="AI14" s="1"/>
      <c r="AJ14" s="1">
        <f t="shared" si="9"/>
        <v>0</v>
      </c>
      <c r="AK14" s="8">
        <v>12</v>
      </c>
      <c r="AL14" s="10">
        <f t="shared" si="10"/>
        <v>0</v>
      </c>
      <c r="AM14" s="1">
        <f t="shared" si="11"/>
        <v>0</v>
      </c>
      <c r="AN14" s="1">
        <v>14</v>
      </c>
      <c r="AO14" s="1">
        <v>70</v>
      </c>
      <c r="AP14" s="10">
        <f t="shared" si="12"/>
        <v>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47</v>
      </c>
      <c r="B15" s="1" t="s">
        <v>45</v>
      </c>
      <c r="C15" s="1">
        <v>647</v>
      </c>
      <c r="D15" s="1">
        <v>1812</v>
      </c>
      <c r="E15" s="25">
        <f>646+E6</f>
        <v>703</v>
      </c>
      <c r="F15" s="25">
        <f>1631+F6</f>
        <v>1671</v>
      </c>
      <c r="G15" s="8">
        <v>0.24</v>
      </c>
      <c r="H15" s="1">
        <v>180</v>
      </c>
      <c r="I15" s="1" t="s">
        <v>51</v>
      </c>
      <c r="J15" s="1"/>
      <c r="K15" s="1">
        <v>766</v>
      </c>
      <c r="L15" s="1">
        <f t="shared" si="2"/>
        <v>-63</v>
      </c>
      <c r="M15" s="1"/>
      <c r="N15" s="1"/>
      <c r="O15" s="1"/>
      <c r="P15" s="1">
        <v>0</v>
      </c>
      <c r="Q15" s="1"/>
      <c r="R15" s="1">
        <f t="shared" si="3"/>
        <v>140.6</v>
      </c>
      <c r="S15" s="5">
        <f t="shared" si="13"/>
        <v>297.39999999999986</v>
      </c>
      <c r="T15" s="5">
        <f>$T$1*R15</f>
        <v>140.6</v>
      </c>
      <c r="U15" s="5">
        <f t="shared" si="7"/>
        <v>437.99999999999989</v>
      </c>
      <c r="V15" s="5">
        <f t="shared" si="8"/>
        <v>504</v>
      </c>
      <c r="W15" s="5"/>
      <c r="X15" s="1"/>
      <c r="Y15" s="1">
        <f t="shared" si="5"/>
        <v>15.46941678520626</v>
      </c>
      <c r="Z15" s="1">
        <f t="shared" si="6"/>
        <v>11.884779516358464</v>
      </c>
      <c r="AA15" s="1">
        <v>141.4</v>
      </c>
      <c r="AB15" s="1">
        <v>221.33333333333329</v>
      </c>
      <c r="AC15" s="1">
        <v>190.2</v>
      </c>
      <c r="AD15" s="1">
        <v>193.2</v>
      </c>
      <c r="AE15" s="1">
        <v>137.19999999999999</v>
      </c>
      <c r="AF15" s="1">
        <v>120.4</v>
      </c>
      <c r="AG15" s="1">
        <v>139.6</v>
      </c>
      <c r="AH15" s="1">
        <v>94.6</v>
      </c>
      <c r="AI15" s="1"/>
      <c r="AJ15" s="1">
        <f t="shared" si="9"/>
        <v>71.375999999999962</v>
      </c>
      <c r="AK15" s="8">
        <v>12</v>
      </c>
      <c r="AL15" s="10">
        <f t="shared" si="10"/>
        <v>42</v>
      </c>
      <c r="AM15" s="1">
        <f t="shared" si="11"/>
        <v>120.96</v>
      </c>
      <c r="AN15" s="1">
        <v>14</v>
      </c>
      <c r="AO15" s="1">
        <v>70</v>
      </c>
      <c r="AP15" s="10">
        <f t="shared" si="12"/>
        <v>0.6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60</v>
      </c>
      <c r="B16" s="1" t="s">
        <v>45</v>
      </c>
      <c r="C16" s="1">
        <v>33</v>
      </c>
      <c r="D16" s="1">
        <v>112</v>
      </c>
      <c r="E16" s="1">
        <v>122</v>
      </c>
      <c r="F16" s="1">
        <v>26</v>
      </c>
      <c r="G16" s="8">
        <v>0.48</v>
      </c>
      <c r="H16" s="1">
        <v>180</v>
      </c>
      <c r="I16" s="1" t="s">
        <v>51</v>
      </c>
      <c r="J16" s="1"/>
      <c r="K16" s="1">
        <v>126</v>
      </c>
      <c r="L16" s="1">
        <f t="shared" si="2"/>
        <v>-4</v>
      </c>
      <c r="M16" s="1"/>
      <c r="N16" s="1"/>
      <c r="O16" s="1">
        <v>137</v>
      </c>
      <c r="P16" s="1">
        <v>0</v>
      </c>
      <c r="Q16" s="1">
        <v>336</v>
      </c>
      <c r="R16" s="1">
        <f t="shared" si="3"/>
        <v>24.4</v>
      </c>
      <c r="S16" s="5"/>
      <c r="T16" s="5"/>
      <c r="U16" s="5">
        <f t="shared" si="7"/>
        <v>0</v>
      </c>
      <c r="V16" s="5">
        <f t="shared" si="8"/>
        <v>0</v>
      </c>
      <c r="W16" s="5"/>
      <c r="X16" s="1"/>
      <c r="Y16" s="1">
        <f t="shared" si="5"/>
        <v>20.45081967213115</v>
      </c>
      <c r="Z16" s="1">
        <f t="shared" si="6"/>
        <v>20.45081967213115</v>
      </c>
      <c r="AA16" s="1">
        <v>33.799999999999997</v>
      </c>
      <c r="AB16" s="1">
        <v>30</v>
      </c>
      <c r="AC16" s="1">
        <v>27.2</v>
      </c>
      <c r="AD16" s="1">
        <v>23.2</v>
      </c>
      <c r="AE16" s="1">
        <v>25</v>
      </c>
      <c r="AF16" s="1">
        <v>32.6</v>
      </c>
      <c r="AG16" s="1">
        <v>15.4</v>
      </c>
      <c r="AH16" s="1">
        <v>22</v>
      </c>
      <c r="AI16" s="1"/>
      <c r="AJ16" s="1">
        <f t="shared" si="9"/>
        <v>0</v>
      </c>
      <c r="AK16" s="8">
        <v>8</v>
      </c>
      <c r="AL16" s="10">
        <f t="shared" si="10"/>
        <v>0</v>
      </c>
      <c r="AM16" s="1">
        <f t="shared" si="11"/>
        <v>0</v>
      </c>
      <c r="AN16" s="1">
        <v>14</v>
      </c>
      <c r="AO16" s="1">
        <v>70</v>
      </c>
      <c r="AP16" s="10">
        <f t="shared" si="12"/>
        <v>0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8" t="s">
        <v>61</v>
      </c>
      <c r="B17" s="18" t="s">
        <v>45</v>
      </c>
      <c r="C17" s="18"/>
      <c r="D17" s="18"/>
      <c r="E17" s="18"/>
      <c r="F17" s="18"/>
      <c r="G17" s="19">
        <v>0</v>
      </c>
      <c r="H17" s="18">
        <v>180</v>
      </c>
      <c r="I17" s="18" t="s">
        <v>51</v>
      </c>
      <c r="J17" s="18"/>
      <c r="K17" s="18"/>
      <c r="L17" s="18">
        <f t="shared" si="2"/>
        <v>0</v>
      </c>
      <c r="M17" s="18"/>
      <c r="N17" s="18"/>
      <c r="O17" s="18"/>
      <c r="P17" s="18"/>
      <c r="Q17" s="18"/>
      <c r="R17" s="18">
        <f t="shared" si="3"/>
        <v>0</v>
      </c>
      <c r="S17" s="20"/>
      <c r="T17" s="20"/>
      <c r="U17" s="5">
        <f t="shared" si="7"/>
        <v>0</v>
      </c>
      <c r="V17" s="20"/>
      <c r="W17" s="20"/>
      <c r="X17" s="18"/>
      <c r="Y17" s="18" t="e">
        <f t="shared" si="5"/>
        <v>#DIV/0!</v>
      </c>
      <c r="Z17" s="18" t="e">
        <f t="shared" si="6"/>
        <v>#DIV/0!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 t="s">
        <v>62</v>
      </c>
      <c r="AJ17" s="18"/>
      <c r="AK17" s="19">
        <v>24</v>
      </c>
      <c r="AL17" s="21"/>
      <c r="AM17" s="18"/>
      <c r="AN17" s="18">
        <v>14</v>
      </c>
      <c r="AO17" s="18">
        <v>126</v>
      </c>
      <c r="AP17" s="2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63</v>
      </c>
      <c r="B18" s="1" t="s">
        <v>45</v>
      </c>
      <c r="C18" s="1">
        <v>397</v>
      </c>
      <c r="D18" s="1">
        <v>430</v>
      </c>
      <c r="E18" s="1">
        <v>281</v>
      </c>
      <c r="F18" s="1">
        <v>536</v>
      </c>
      <c r="G18" s="8">
        <v>0.36</v>
      </c>
      <c r="H18" s="1">
        <v>180</v>
      </c>
      <c r="I18" s="1" t="s">
        <v>51</v>
      </c>
      <c r="J18" s="1"/>
      <c r="K18" s="1">
        <v>287</v>
      </c>
      <c r="L18" s="1">
        <f t="shared" si="2"/>
        <v>-6</v>
      </c>
      <c r="M18" s="1"/>
      <c r="N18" s="1"/>
      <c r="O18" s="1"/>
      <c r="P18" s="1">
        <v>0</v>
      </c>
      <c r="Q18" s="1"/>
      <c r="R18" s="1">
        <f t="shared" si="3"/>
        <v>56.2</v>
      </c>
      <c r="S18" s="5">
        <f t="shared" ref="S18" si="14">14*R18-Q18-P18-O18-F18</f>
        <v>250.80000000000007</v>
      </c>
      <c r="T18" s="5">
        <f>$T$1*R18</f>
        <v>56.2</v>
      </c>
      <c r="U18" s="5">
        <f t="shared" si="7"/>
        <v>307.00000000000006</v>
      </c>
      <c r="V18" s="5">
        <f>AK18*AL18</f>
        <v>280</v>
      </c>
      <c r="W18" s="5"/>
      <c r="X18" s="1"/>
      <c r="Y18" s="1">
        <f t="shared" si="5"/>
        <v>14.519572953736654</v>
      </c>
      <c r="Z18" s="1">
        <f t="shared" si="6"/>
        <v>9.537366548042705</v>
      </c>
      <c r="AA18" s="1">
        <v>34.799999999999997</v>
      </c>
      <c r="AB18" s="1">
        <v>73.166666666666671</v>
      </c>
      <c r="AC18" s="1">
        <v>63.4</v>
      </c>
      <c r="AD18" s="1">
        <v>71</v>
      </c>
      <c r="AE18" s="1">
        <v>45.4</v>
      </c>
      <c r="AF18" s="1">
        <v>71.599999999999994</v>
      </c>
      <c r="AG18" s="1">
        <v>37.4</v>
      </c>
      <c r="AH18" s="1">
        <v>40.4</v>
      </c>
      <c r="AI18" s="1"/>
      <c r="AJ18" s="1">
        <f>G18*S18</f>
        <v>90.288000000000025</v>
      </c>
      <c r="AK18" s="8">
        <v>10</v>
      </c>
      <c r="AL18" s="10">
        <f t="shared" ref="AL18:AL19" si="15">MROUND(U18, AK18*AN18)/AK18</f>
        <v>28</v>
      </c>
      <c r="AM18" s="1">
        <f>AL18*AK18*G18</f>
        <v>100.8</v>
      </c>
      <c r="AN18" s="1">
        <v>14</v>
      </c>
      <c r="AO18" s="1">
        <v>70</v>
      </c>
      <c r="AP18" s="10">
        <f>AL18/AO18</f>
        <v>0.4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45</v>
      </c>
      <c r="C19" s="1">
        <v>57</v>
      </c>
      <c r="D19" s="1"/>
      <c r="E19" s="1">
        <v>2</v>
      </c>
      <c r="F19" s="1">
        <v>52</v>
      </c>
      <c r="G19" s="8">
        <v>0.2</v>
      </c>
      <c r="H19" s="1">
        <v>180</v>
      </c>
      <c r="I19" s="1" t="s">
        <v>51</v>
      </c>
      <c r="J19" s="1"/>
      <c r="K19" s="1">
        <v>5</v>
      </c>
      <c r="L19" s="1">
        <f t="shared" si="2"/>
        <v>-3</v>
      </c>
      <c r="M19" s="1"/>
      <c r="N19" s="1"/>
      <c r="O19" s="1"/>
      <c r="P19" s="1">
        <v>0</v>
      </c>
      <c r="Q19" s="1"/>
      <c r="R19" s="1">
        <f t="shared" si="3"/>
        <v>0.4</v>
      </c>
      <c r="S19" s="5"/>
      <c r="T19" s="5"/>
      <c r="U19" s="5">
        <f t="shared" si="7"/>
        <v>0</v>
      </c>
      <c r="V19" s="5">
        <f>AK19*AL19</f>
        <v>0</v>
      </c>
      <c r="W19" s="5"/>
      <c r="X19" s="1"/>
      <c r="Y19" s="1">
        <f t="shared" si="5"/>
        <v>130</v>
      </c>
      <c r="Z19" s="1">
        <f t="shared" si="6"/>
        <v>130</v>
      </c>
      <c r="AA19" s="1">
        <v>2.4</v>
      </c>
      <c r="AB19" s="1">
        <v>1.666666666666667</v>
      </c>
      <c r="AC19" s="1">
        <v>0.4</v>
      </c>
      <c r="AD19" s="1">
        <v>1.2</v>
      </c>
      <c r="AE19" s="1">
        <v>2</v>
      </c>
      <c r="AF19" s="1">
        <v>1.6</v>
      </c>
      <c r="AG19" s="1">
        <v>4.2</v>
      </c>
      <c r="AH19" s="1">
        <v>2.4</v>
      </c>
      <c r="AI19" s="27" t="s">
        <v>65</v>
      </c>
      <c r="AJ19" s="1">
        <f>G19*S19</f>
        <v>0</v>
      </c>
      <c r="AK19" s="8">
        <v>12</v>
      </c>
      <c r="AL19" s="10">
        <f t="shared" si="15"/>
        <v>0</v>
      </c>
      <c r="AM19" s="1">
        <f>AL19*AK19*G19</f>
        <v>0</v>
      </c>
      <c r="AN19" s="1">
        <v>14</v>
      </c>
      <c r="AO19" s="1">
        <v>70</v>
      </c>
      <c r="AP19" s="10">
        <f>AL19/AO19</f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8" t="s">
        <v>66</v>
      </c>
      <c r="B20" s="18" t="s">
        <v>45</v>
      </c>
      <c r="C20" s="18"/>
      <c r="D20" s="18"/>
      <c r="E20" s="18"/>
      <c r="F20" s="18"/>
      <c r="G20" s="19">
        <v>0</v>
      </c>
      <c r="H20" s="18">
        <v>180</v>
      </c>
      <c r="I20" s="18" t="s">
        <v>51</v>
      </c>
      <c r="J20" s="18"/>
      <c r="K20" s="18"/>
      <c r="L20" s="18">
        <f t="shared" si="2"/>
        <v>0</v>
      </c>
      <c r="M20" s="18"/>
      <c r="N20" s="18"/>
      <c r="O20" s="18"/>
      <c r="P20" s="18"/>
      <c r="Q20" s="18"/>
      <c r="R20" s="18">
        <f t="shared" si="3"/>
        <v>0</v>
      </c>
      <c r="S20" s="20"/>
      <c r="T20" s="20"/>
      <c r="U20" s="5">
        <f t="shared" si="7"/>
        <v>0</v>
      </c>
      <c r="V20" s="20"/>
      <c r="W20" s="20"/>
      <c r="X20" s="18"/>
      <c r="Y20" s="18" t="e">
        <f t="shared" si="5"/>
        <v>#DIV/0!</v>
      </c>
      <c r="Z20" s="18" t="e">
        <f t="shared" si="6"/>
        <v>#DIV/0!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 t="s">
        <v>62</v>
      </c>
      <c r="AJ20" s="18"/>
      <c r="AK20" s="19">
        <v>12</v>
      </c>
      <c r="AL20" s="21"/>
      <c r="AM20" s="18"/>
      <c r="AN20" s="18">
        <v>14</v>
      </c>
      <c r="AO20" s="18">
        <v>70</v>
      </c>
      <c r="AP20" s="2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67</v>
      </c>
      <c r="B21" s="1" t="s">
        <v>45</v>
      </c>
      <c r="C21" s="1">
        <v>17</v>
      </c>
      <c r="D21" s="1">
        <v>341</v>
      </c>
      <c r="E21" s="1">
        <v>74</v>
      </c>
      <c r="F21" s="1">
        <v>279</v>
      </c>
      <c r="G21" s="8">
        <v>0.2</v>
      </c>
      <c r="H21" s="1">
        <v>180</v>
      </c>
      <c r="I21" s="1" t="s">
        <v>51</v>
      </c>
      <c r="J21" s="1"/>
      <c r="K21" s="1">
        <v>80</v>
      </c>
      <c r="L21" s="1">
        <f t="shared" si="2"/>
        <v>-6</v>
      </c>
      <c r="M21" s="1"/>
      <c r="N21" s="1"/>
      <c r="O21" s="1"/>
      <c r="P21" s="1">
        <v>0</v>
      </c>
      <c r="Q21" s="1"/>
      <c r="R21" s="1">
        <f t="shared" si="3"/>
        <v>14.8</v>
      </c>
      <c r="S21" s="5"/>
      <c r="T21" s="5"/>
      <c r="U21" s="5">
        <f t="shared" si="7"/>
        <v>0</v>
      </c>
      <c r="V21" s="5">
        <f>AK21*AL21</f>
        <v>0</v>
      </c>
      <c r="W21" s="5"/>
      <c r="X21" s="1"/>
      <c r="Y21" s="1">
        <f t="shared" si="5"/>
        <v>18.851351351351351</v>
      </c>
      <c r="Z21" s="1">
        <f t="shared" si="6"/>
        <v>18.851351351351351</v>
      </c>
      <c r="AA21" s="1">
        <v>19.8</v>
      </c>
      <c r="AB21" s="1">
        <v>29.833333333333329</v>
      </c>
      <c r="AC21" s="1">
        <v>19.2</v>
      </c>
      <c r="AD21" s="1">
        <v>11.4</v>
      </c>
      <c r="AE21" s="1">
        <v>30.6</v>
      </c>
      <c r="AF21" s="1">
        <v>21.4</v>
      </c>
      <c r="AG21" s="1">
        <v>20.399999999999999</v>
      </c>
      <c r="AH21" s="1">
        <v>28.4</v>
      </c>
      <c r="AI21" s="1"/>
      <c r="AJ21" s="1">
        <f>G21*S21</f>
        <v>0</v>
      </c>
      <c r="AK21" s="8">
        <v>12</v>
      </c>
      <c r="AL21" s="10">
        <f t="shared" ref="AL21:AL22" si="16">MROUND(U21, AK21*AN21)/AK21</f>
        <v>0</v>
      </c>
      <c r="AM21" s="1">
        <f>AL21*AK21*G21</f>
        <v>0</v>
      </c>
      <c r="AN21" s="1">
        <v>14</v>
      </c>
      <c r="AO21" s="1">
        <v>70</v>
      </c>
      <c r="AP21" s="10">
        <f>AL21/AO21</f>
        <v>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68</v>
      </c>
      <c r="B22" s="1" t="s">
        <v>45</v>
      </c>
      <c r="C22" s="1"/>
      <c r="D22" s="1">
        <v>1368</v>
      </c>
      <c r="E22" s="1">
        <v>112</v>
      </c>
      <c r="F22" s="1">
        <v>1232</v>
      </c>
      <c r="G22" s="8">
        <v>0.2</v>
      </c>
      <c r="H22" s="1">
        <v>180</v>
      </c>
      <c r="I22" s="1" t="s">
        <v>51</v>
      </c>
      <c r="J22" s="1"/>
      <c r="K22" s="1">
        <v>124</v>
      </c>
      <c r="L22" s="1">
        <f t="shared" si="2"/>
        <v>-12</v>
      </c>
      <c r="M22" s="1"/>
      <c r="N22" s="1"/>
      <c r="O22" s="1"/>
      <c r="P22" s="1">
        <v>0</v>
      </c>
      <c r="Q22" s="1"/>
      <c r="R22" s="1">
        <f t="shared" si="3"/>
        <v>22.4</v>
      </c>
      <c r="S22" s="5"/>
      <c r="T22" s="5"/>
      <c r="U22" s="5">
        <f t="shared" si="7"/>
        <v>0</v>
      </c>
      <c r="V22" s="5">
        <f>AK22*AL22</f>
        <v>0</v>
      </c>
      <c r="W22" s="5"/>
      <c r="X22" s="1"/>
      <c r="Y22" s="1">
        <f t="shared" si="5"/>
        <v>55</v>
      </c>
      <c r="Z22" s="1">
        <f t="shared" si="6"/>
        <v>55</v>
      </c>
      <c r="AA22" s="1">
        <v>32.200000000000003</v>
      </c>
      <c r="AB22" s="1">
        <v>107</v>
      </c>
      <c r="AC22" s="1">
        <v>48</v>
      </c>
      <c r="AD22" s="1">
        <v>63.6</v>
      </c>
      <c r="AE22" s="1">
        <v>63.6</v>
      </c>
      <c r="AF22" s="1">
        <v>81.2</v>
      </c>
      <c r="AG22" s="1">
        <v>66</v>
      </c>
      <c r="AH22" s="1">
        <v>79.599999999999994</v>
      </c>
      <c r="AI22" s="1"/>
      <c r="AJ22" s="1">
        <f>G22*S22</f>
        <v>0</v>
      </c>
      <c r="AK22" s="8">
        <v>12</v>
      </c>
      <c r="AL22" s="10">
        <f t="shared" si="16"/>
        <v>0</v>
      </c>
      <c r="AM22" s="1">
        <f>AL22*AK22*G22</f>
        <v>0</v>
      </c>
      <c r="AN22" s="1">
        <v>14</v>
      </c>
      <c r="AO22" s="1">
        <v>70</v>
      </c>
      <c r="AP22" s="10">
        <f>AL22/AO22</f>
        <v>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8" t="s">
        <v>69</v>
      </c>
      <c r="B23" s="18" t="s">
        <v>45</v>
      </c>
      <c r="C23" s="18"/>
      <c r="D23" s="18"/>
      <c r="E23" s="18"/>
      <c r="F23" s="18"/>
      <c r="G23" s="19">
        <v>0</v>
      </c>
      <c r="H23" s="18">
        <v>180</v>
      </c>
      <c r="I23" s="18" t="s">
        <v>51</v>
      </c>
      <c r="J23" s="18"/>
      <c r="K23" s="18"/>
      <c r="L23" s="18">
        <f t="shared" si="2"/>
        <v>0</v>
      </c>
      <c r="M23" s="18"/>
      <c r="N23" s="18"/>
      <c r="O23" s="18"/>
      <c r="P23" s="18"/>
      <c r="Q23" s="18"/>
      <c r="R23" s="18">
        <f t="shared" si="3"/>
        <v>0</v>
      </c>
      <c r="S23" s="20"/>
      <c r="T23" s="20"/>
      <c r="U23" s="5">
        <f t="shared" si="7"/>
        <v>0</v>
      </c>
      <c r="V23" s="20"/>
      <c r="W23" s="20"/>
      <c r="X23" s="18"/>
      <c r="Y23" s="18" t="e">
        <f t="shared" si="5"/>
        <v>#DIV/0!</v>
      </c>
      <c r="Z23" s="18" t="e">
        <f t="shared" si="6"/>
        <v>#DIV/0!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 t="s">
        <v>62</v>
      </c>
      <c r="AJ23" s="18"/>
      <c r="AK23" s="19">
        <v>12</v>
      </c>
      <c r="AL23" s="21"/>
      <c r="AM23" s="18"/>
      <c r="AN23" s="18">
        <v>14</v>
      </c>
      <c r="AO23" s="18">
        <v>70</v>
      </c>
      <c r="AP23" s="2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70</v>
      </c>
      <c r="B24" s="1" t="s">
        <v>53</v>
      </c>
      <c r="C24" s="1">
        <v>81.3</v>
      </c>
      <c r="D24" s="1">
        <v>103.6</v>
      </c>
      <c r="E24" s="1">
        <v>118.4</v>
      </c>
      <c r="F24" s="1">
        <v>66.5</v>
      </c>
      <c r="G24" s="8">
        <v>1</v>
      </c>
      <c r="H24" s="1">
        <v>180</v>
      </c>
      <c r="I24" s="1" t="s">
        <v>51</v>
      </c>
      <c r="J24" s="1"/>
      <c r="K24" s="1">
        <v>117.7</v>
      </c>
      <c r="L24" s="1">
        <f t="shared" si="2"/>
        <v>0.70000000000000284</v>
      </c>
      <c r="M24" s="1"/>
      <c r="N24" s="1"/>
      <c r="O24" s="1"/>
      <c r="P24" s="1">
        <v>0</v>
      </c>
      <c r="Q24" s="1">
        <v>414.4</v>
      </c>
      <c r="R24" s="1">
        <f t="shared" si="3"/>
        <v>23.68</v>
      </c>
      <c r="S24" s="5"/>
      <c r="T24" s="5"/>
      <c r="U24" s="5">
        <f t="shared" si="7"/>
        <v>0</v>
      </c>
      <c r="V24" s="5">
        <f>AK24*AL24</f>
        <v>0</v>
      </c>
      <c r="W24" s="5"/>
      <c r="X24" s="1"/>
      <c r="Y24" s="1">
        <f t="shared" si="5"/>
        <v>20.308277027027028</v>
      </c>
      <c r="Z24" s="1">
        <f t="shared" si="6"/>
        <v>20.308277027027028</v>
      </c>
      <c r="AA24" s="1">
        <v>42.94</v>
      </c>
      <c r="AB24" s="1">
        <v>28.36666666666666</v>
      </c>
      <c r="AC24" s="1">
        <v>32.56</v>
      </c>
      <c r="AD24" s="1">
        <v>34.78</v>
      </c>
      <c r="AE24" s="1">
        <v>35.04</v>
      </c>
      <c r="AF24" s="1">
        <v>25.9</v>
      </c>
      <c r="AG24" s="1">
        <v>33.299999999999997</v>
      </c>
      <c r="AH24" s="1">
        <v>34.840000000000003</v>
      </c>
      <c r="AI24" s="1"/>
      <c r="AJ24" s="1">
        <f>G24*S24</f>
        <v>0</v>
      </c>
      <c r="AK24" s="8">
        <v>3.7</v>
      </c>
      <c r="AL24" s="10">
        <f>MROUND(U24, AK24*AN24)/AK24</f>
        <v>0</v>
      </c>
      <c r="AM24" s="1">
        <f>AL24*AK24*G24</f>
        <v>0</v>
      </c>
      <c r="AN24" s="1">
        <v>14</v>
      </c>
      <c r="AO24" s="1">
        <v>126</v>
      </c>
      <c r="AP24" s="10">
        <f>AL24/AO24</f>
        <v>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8" t="s">
        <v>71</v>
      </c>
      <c r="B25" s="18" t="s">
        <v>45</v>
      </c>
      <c r="C25" s="18"/>
      <c r="D25" s="18"/>
      <c r="E25" s="18"/>
      <c r="F25" s="18"/>
      <c r="G25" s="19">
        <v>0</v>
      </c>
      <c r="H25" s="18">
        <v>180</v>
      </c>
      <c r="I25" s="18" t="s">
        <v>72</v>
      </c>
      <c r="J25" s="18"/>
      <c r="K25" s="18"/>
      <c r="L25" s="18">
        <f t="shared" si="2"/>
        <v>0</v>
      </c>
      <c r="M25" s="18"/>
      <c r="N25" s="18"/>
      <c r="O25" s="18"/>
      <c r="P25" s="18"/>
      <c r="Q25" s="18"/>
      <c r="R25" s="18">
        <f t="shared" si="3"/>
        <v>0</v>
      </c>
      <c r="S25" s="20"/>
      <c r="T25" s="20"/>
      <c r="U25" s="5">
        <f t="shared" si="7"/>
        <v>0</v>
      </c>
      <c r="V25" s="20"/>
      <c r="W25" s="20"/>
      <c r="X25" s="18"/>
      <c r="Y25" s="18" t="e">
        <f t="shared" si="5"/>
        <v>#DIV/0!</v>
      </c>
      <c r="Z25" s="18" t="e">
        <f t="shared" si="6"/>
        <v>#DIV/0!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 t="s">
        <v>62</v>
      </c>
      <c r="AJ25" s="18"/>
      <c r="AK25" s="19">
        <v>9</v>
      </c>
      <c r="AL25" s="21"/>
      <c r="AM25" s="18"/>
      <c r="AN25" s="18">
        <v>14</v>
      </c>
      <c r="AO25" s="18">
        <v>126</v>
      </c>
      <c r="AP25" s="2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73</v>
      </c>
      <c r="B26" s="1" t="s">
        <v>53</v>
      </c>
      <c r="C26" s="1">
        <v>22</v>
      </c>
      <c r="D26" s="1">
        <v>132</v>
      </c>
      <c r="E26" s="1">
        <v>38.5</v>
      </c>
      <c r="F26" s="1">
        <v>115.5</v>
      </c>
      <c r="G26" s="8">
        <v>1</v>
      </c>
      <c r="H26" s="1">
        <v>180</v>
      </c>
      <c r="I26" s="1" t="s">
        <v>51</v>
      </c>
      <c r="J26" s="1"/>
      <c r="K26" s="1">
        <v>38</v>
      </c>
      <c r="L26" s="1">
        <f t="shared" si="2"/>
        <v>0.5</v>
      </c>
      <c r="M26" s="1"/>
      <c r="N26" s="1"/>
      <c r="O26" s="1"/>
      <c r="P26" s="1">
        <v>0</v>
      </c>
      <c r="Q26" s="1"/>
      <c r="R26" s="1">
        <f t="shared" si="3"/>
        <v>7.7</v>
      </c>
      <c r="S26" s="5"/>
      <c r="T26" s="5"/>
      <c r="U26" s="5">
        <f t="shared" si="7"/>
        <v>0</v>
      </c>
      <c r="V26" s="5">
        <f t="shared" ref="V26:V34" si="17">AK26*AL26</f>
        <v>0</v>
      </c>
      <c r="W26" s="5"/>
      <c r="X26" s="1"/>
      <c r="Y26" s="1">
        <f t="shared" si="5"/>
        <v>15</v>
      </c>
      <c r="Z26" s="1">
        <f t="shared" si="6"/>
        <v>15</v>
      </c>
      <c r="AA26" s="1">
        <v>11</v>
      </c>
      <c r="AB26" s="1">
        <v>13.75</v>
      </c>
      <c r="AC26" s="1">
        <v>8.8000000000000007</v>
      </c>
      <c r="AD26" s="1">
        <v>13.2</v>
      </c>
      <c r="AE26" s="1">
        <v>10.9</v>
      </c>
      <c r="AF26" s="1">
        <v>5.5</v>
      </c>
      <c r="AG26" s="1">
        <v>14.3</v>
      </c>
      <c r="AH26" s="1">
        <v>11.8</v>
      </c>
      <c r="AI26" s="1" t="s">
        <v>74</v>
      </c>
      <c r="AJ26" s="1">
        <f t="shared" ref="AJ26:AJ34" si="18">G26*S26</f>
        <v>0</v>
      </c>
      <c r="AK26" s="8">
        <v>5.5</v>
      </c>
      <c r="AL26" s="10">
        <f t="shared" ref="AL26:AL34" si="19">MROUND(U26, AK26*AN26)/AK26</f>
        <v>0</v>
      </c>
      <c r="AM26" s="1">
        <f t="shared" ref="AM26:AM34" si="20">AL26*AK26*G26</f>
        <v>0</v>
      </c>
      <c r="AN26" s="1">
        <v>12</v>
      </c>
      <c r="AO26" s="1">
        <v>84</v>
      </c>
      <c r="AP26" s="10">
        <f t="shared" ref="AP26:AP34" si="21">AL26/AO26</f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75</v>
      </c>
      <c r="B27" s="1" t="s">
        <v>53</v>
      </c>
      <c r="C27" s="1">
        <v>102</v>
      </c>
      <c r="D27" s="1">
        <v>42</v>
      </c>
      <c r="E27" s="1">
        <v>57</v>
      </c>
      <c r="F27" s="1">
        <v>87</v>
      </c>
      <c r="G27" s="8">
        <v>1</v>
      </c>
      <c r="H27" s="1">
        <v>180</v>
      </c>
      <c r="I27" s="1" t="s">
        <v>51</v>
      </c>
      <c r="J27" s="1"/>
      <c r="K27" s="1">
        <v>56.8</v>
      </c>
      <c r="L27" s="1">
        <f t="shared" si="2"/>
        <v>0.20000000000000284</v>
      </c>
      <c r="M27" s="1"/>
      <c r="N27" s="1"/>
      <c r="O27" s="1"/>
      <c r="P27" s="1">
        <v>42</v>
      </c>
      <c r="Q27" s="1"/>
      <c r="R27" s="1">
        <f t="shared" si="3"/>
        <v>11.4</v>
      </c>
      <c r="S27" s="5">
        <f t="shared" ref="S27:S34" si="22">14*R27-Q27-P27-O27-F27</f>
        <v>30.599999999999994</v>
      </c>
      <c r="T27" s="5"/>
      <c r="U27" s="5">
        <f t="shared" si="7"/>
        <v>30.599999999999994</v>
      </c>
      <c r="V27" s="5">
        <f t="shared" si="17"/>
        <v>42</v>
      </c>
      <c r="W27" s="5"/>
      <c r="X27" s="1"/>
      <c r="Y27" s="1">
        <f t="shared" si="5"/>
        <v>15</v>
      </c>
      <c r="Z27" s="1">
        <f t="shared" si="6"/>
        <v>11.315789473684211</v>
      </c>
      <c r="AA27" s="1">
        <v>12.6</v>
      </c>
      <c r="AB27" s="1">
        <v>12.5</v>
      </c>
      <c r="AC27" s="1">
        <v>17.399999999999999</v>
      </c>
      <c r="AD27" s="1">
        <v>13.8</v>
      </c>
      <c r="AE27" s="1">
        <v>12</v>
      </c>
      <c r="AF27" s="1">
        <v>10.199999999999999</v>
      </c>
      <c r="AG27" s="1">
        <v>13.2</v>
      </c>
      <c r="AH27" s="1">
        <v>15</v>
      </c>
      <c r="AI27" s="1"/>
      <c r="AJ27" s="1">
        <f t="shared" si="18"/>
        <v>30.599999999999994</v>
      </c>
      <c r="AK27" s="8">
        <v>3</v>
      </c>
      <c r="AL27" s="10">
        <f t="shared" si="19"/>
        <v>14</v>
      </c>
      <c r="AM27" s="1">
        <f t="shared" si="20"/>
        <v>42</v>
      </c>
      <c r="AN27" s="1">
        <v>14</v>
      </c>
      <c r="AO27" s="1">
        <v>126</v>
      </c>
      <c r="AP27" s="10">
        <f t="shared" si="21"/>
        <v>0.1111111111111111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76</v>
      </c>
      <c r="B28" s="1" t="s">
        <v>45</v>
      </c>
      <c r="C28" s="1">
        <v>235</v>
      </c>
      <c r="D28" s="1">
        <v>1274</v>
      </c>
      <c r="E28" s="1">
        <v>447</v>
      </c>
      <c r="F28" s="1">
        <v>1045</v>
      </c>
      <c r="G28" s="8">
        <v>0.25</v>
      </c>
      <c r="H28" s="1">
        <v>180</v>
      </c>
      <c r="I28" s="1" t="s">
        <v>51</v>
      </c>
      <c r="J28" s="1"/>
      <c r="K28" s="1">
        <v>450</v>
      </c>
      <c r="L28" s="1">
        <f t="shared" si="2"/>
        <v>-3</v>
      </c>
      <c r="M28" s="1"/>
      <c r="N28" s="1"/>
      <c r="O28" s="1"/>
      <c r="P28" s="1">
        <v>0</v>
      </c>
      <c r="Q28" s="1"/>
      <c r="R28" s="1">
        <f t="shared" si="3"/>
        <v>89.4</v>
      </c>
      <c r="S28" s="5">
        <f t="shared" si="22"/>
        <v>206.60000000000014</v>
      </c>
      <c r="T28" s="5">
        <f>$T$1*R28</f>
        <v>89.4</v>
      </c>
      <c r="U28" s="5">
        <f t="shared" si="7"/>
        <v>296.00000000000011</v>
      </c>
      <c r="V28" s="5">
        <f t="shared" si="17"/>
        <v>336</v>
      </c>
      <c r="W28" s="5"/>
      <c r="X28" s="1"/>
      <c r="Y28" s="1">
        <f t="shared" si="5"/>
        <v>15.447427293064877</v>
      </c>
      <c r="Z28" s="1">
        <f t="shared" si="6"/>
        <v>11.68903803131991</v>
      </c>
      <c r="AA28" s="1">
        <v>93</v>
      </c>
      <c r="AB28" s="1">
        <v>139</v>
      </c>
      <c r="AC28" s="1">
        <v>106</v>
      </c>
      <c r="AD28" s="1">
        <v>121.8</v>
      </c>
      <c r="AE28" s="1">
        <v>90</v>
      </c>
      <c r="AF28" s="1">
        <v>145</v>
      </c>
      <c r="AG28" s="1">
        <v>109.8</v>
      </c>
      <c r="AH28" s="1">
        <v>85.6</v>
      </c>
      <c r="AI28" s="1" t="s">
        <v>77</v>
      </c>
      <c r="AJ28" s="1">
        <f t="shared" si="18"/>
        <v>51.650000000000034</v>
      </c>
      <c r="AK28" s="8">
        <v>6</v>
      </c>
      <c r="AL28" s="10">
        <f t="shared" si="19"/>
        <v>56</v>
      </c>
      <c r="AM28" s="1">
        <f t="shared" si="20"/>
        <v>84</v>
      </c>
      <c r="AN28" s="1">
        <v>14</v>
      </c>
      <c r="AO28" s="1">
        <v>140</v>
      </c>
      <c r="AP28" s="10">
        <f t="shared" si="21"/>
        <v>0.4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78</v>
      </c>
      <c r="B29" s="1" t="s">
        <v>45</v>
      </c>
      <c r="C29" s="1">
        <v>192</v>
      </c>
      <c r="D29" s="1">
        <v>2</v>
      </c>
      <c r="E29" s="1">
        <v>88</v>
      </c>
      <c r="F29" s="1">
        <v>104</v>
      </c>
      <c r="G29" s="8">
        <v>0.25</v>
      </c>
      <c r="H29" s="1">
        <v>180</v>
      </c>
      <c r="I29" s="1" t="s">
        <v>51</v>
      </c>
      <c r="J29" s="1"/>
      <c r="K29" s="1">
        <v>90</v>
      </c>
      <c r="L29" s="1">
        <f t="shared" si="2"/>
        <v>-2</v>
      </c>
      <c r="M29" s="1"/>
      <c r="N29" s="1"/>
      <c r="O29" s="1"/>
      <c r="P29" s="1">
        <v>0</v>
      </c>
      <c r="Q29" s="1">
        <v>252</v>
      </c>
      <c r="R29" s="1">
        <f t="shared" si="3"/>
        <v>17.600000000000001</v>
      </c>
      <c r="S29" s="5"/>
      <c r="T29" s="5"/>
      <c r="U29" s="5">
        <f t="shared" si="7"/>
        <v>0</v>
      </c>
      <c r="V29" s="5">
        <f t="shared" si="17"/>
        <v>0</v>
      </c>
      <c r="W29" s="5"/>
      <c r="X29" s="1"/>
      <c r="Y29" s="1">
        <f t="shared" si="5"/>
        <v>20.227272727272727</v>
      </c>
      <c r="Z29" s="1">
        <f t="shared" si="6"/>
        <v>20.227272727272727</v>
      </c>
      <c r="AA29" s="1">
        <v>28.8</v>
      </c>
      <c r="AB29" s="1">
        <v>16.833333333333329</v>
      </c>
      <c r="AC29" s="1">
        <v>31</v>
      </c>
      <c r="AD29" s="1">
        <v>14</v>
      </c>
      <c r="AE29" s="1">
        <v>22.8</v>
      </c>
      <c r="AF29" s="1">
        <v>23</v>
      </c>
      <c r="AG29" s="1">
        <v>28.4</v>
      </c>
      <c r="AH29" s="1">
        <v>23.4</v>
      </c>
      <c r="AI29" s="1"/>
      <c r="AJ29" s="1">
        <f t="shared" si="18"/>
        <v>0</v>
      </c>
      <c r="AK29" s="8">
        <v>6</v>
      </c>
      <c r="AL29" s="10">
        <f t="shared" si="19"/>
        <v>0</v>
      </c>
      <c r="AM29" s="1">
        <f t="shared" si="20"/>
        <v>0</v>
      </c>
      <c r="AN29" s="1">
        <v>14</v>
      </c>
      <c r="AO29" s="1">
        <v>140</v>
      </c>
      <c r="AP29" s="10">
        <f t="shared" si="21"/>
        <v>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79</v>
      </c>
      <c r="B30" s="1" t="s">
        <v>53</v>
      </c>
      <c r="C30" s="1">
        <v>522</v>
      </c>
      <c r="D30" s="1">
        <v>6</v>
      </c>
      <c r="E30" s="1">
        <v>204</v>
      </c>
      <c r="F30" s="1">
        <v>318</v>
      </c>
      <c r="G30" s="8">
        <v>1</v>
      </c>
      <c r="H30" s="1">
        <v>180</v>
      </c>
      <c r="I30" s="1" t="s">
        <v>51</v>
      </c>
      <c r="J30" s="1"/>
      <c r="K30" s="1">
        <v>209</v>
      </c>
      <c r="L30" s="1">
        <f t="shared" si="2"/>
        <v>-5</v>
      </c>
      <c r="M30" s="1"/>
      <c r="N30" s="1"/>
      <c r="O30" s="1"/>
      <c r="P30" s="1">
        <v>432</v>
      </c>
      <c r="Q30" s="1"/>
      <c r="R30" s="1">
        <f t="shared" si="3"/>
        <v>40.799999999999997</v>
      </c>
      <c r="S30" s="5"/>
      <c r="T30" s="5"/>
      <c r="U30" s="5">
        <f t="shared" si="7"/>
        <v>0</v>
      </c>
      <c r="V30" s="5">
        <f t="shared" si="17"/>
        <v>0</v>
      </c>
      <c r="W30" s="5"/>
      <c r="X30" s="1"/>
      <c r="Y30" s="1">
        <f t="shared" si="5"/>
        <v>18.382352941176471</v>
      </c>
      <c r="Z30" s="1">
        <f t="shared" si="6"/>
        <v>18.382352941176471</v>
      </c>
      <c r="AA30" s="1">
        <v>66</v>
      </c>
      <c r="AB30" s="1">
        <v>52</v>
      </c>
      <c r="AC30" s="1">
        <v>80.400000000000006</v>
      </c>
      <c r="AD30" s="1">
        <v>56.2</v>
      </c>
      <c r="AE30" s="1">
        <v>54</v>
      </c>
      <c r="AF30" s="1">
        <v>44.4</v>
      </c>
      <c r="AG30" s="1">
        <v>43.2</v>
      </c>
      <c r="AH30" s="1">
        <v>55.2</v>
      </c>
      <c r="AI30" s="1"/>
      <c r="AJ30" s="1">
        <f t="shared" si="18"/>
        <v>0</v>
      </c>
      <c r="AK30" s="8">
        <v>6</v>
      </c>
      <c r="AL30" s="10">
        <f t="shared" si="19"/>
        <v>0</v>
      </c>
      <c r="AM30" s="1">
        <f t="shared" si="20"/>
        <v>0</v>
      </c>
      <c r="AN30" s="1">
        <v>12</v>
      </c>
      <c r="AO30" s="1">
        <v>84</v>
      </c>
      <c r="AP30" s="10">
        <f t="shared" si="21"/>
        <v>0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80</v>
      </c>
      <c r="B31" s="1" t="s">
        <v>45</v>
      </c>
      <c r="C31" s="1">
        <v>314</v>
      </c>
      <c r="D31" s="1"/>
      <c r="E31" s="1">
        <v>64</v>
      </c>
      <c r="F31" s="1">
        <v>250</v>
      </c>
      <c r="G31" s="8">
        <v>0.23</v>
      </c>
      <c r="H31" s="1">
        <v>180</v>
      </c>
      <c r="I31" s="1" t="s">
        <v>51</v>
      </c>
      <c r="J31" s="1"/>
      <c r="K31" s="1">
        <v>64</v>
      </c>
      <c r="L31" s="1">
        <f t="shared" si="2"/>
        <v>0</v>
      </c>
      <c r="M31" s="1"/>
      <c r="N31" s="1"/>
      <c r="O31" s="1"/>
      <c r="P31" s="1">
        <v>0</v>
      </c>
      <c r="Q31" s="1"/>
      <c r="R31" s="1">
        <f t="shared" si="3"/>
        <v>12.8</v>
      </c>
      <c r="S31" s="5"/>
      <c r="T31" s="5"/>
      <c r="U31" s="5">
        <f t="shared" si="7"/>
        <v>0</v>
      </c>
      <c r="V31" s="5">
        <f t="shared" si="17"/>
        <v>0</v>
      </c>
      <c r="W31" s="5"/>
      <c r="X31" s="1"/>
      <c r="Y31" s="1">
        <f t="shared" si="5"/>
        <v>19.53125</v>
      </c>
      <c r="Z31" s="1">
        <f t="shared" si="6"/>
        <v>19.53125</v>
      </c>
      <c r="AA31" s="1">
        <v>5.6</v>
      </c>
      <c r="AB31" s="1">
        <v>15.33333333333333</v>
      </c>
      <c r="AC31" s="1">
        <v>28</v>
      </c>
      <c r="AD31" s="1">
        <v>11.6</v>
      </c>
      <c r="AE31" s="1">
        <v>19.600000000000001</v>
      </c>
      <c r="AF31" s="1">
        <v>11.4</v>
      </c>
      <c r="AG31" s="1">
        <v>11.4</v>
      </c>
      <c r="AH31" s="1">
        <v>18.600000000000001</v>
      </c>
      <c r="AI31" s="1"/>
      <c r="AJ31" s="1">
        <f t="shared" si="18"/>
        <v>0</v>
      </c>
      <c r="AK31" s="8">
        <v>12</v>
      </c>
      <c r="AL31" s="10">
        <f t="shared" si="19"/>
        <v>0</v>
      </c>
      <c r="AM31" s="1">
        <f t="shared" si="20"/>
        <v>0</v>
      </c>
      <c r="AN31" s="1">
        <v>14</v>
      </c>
      <c r="AO31" s="1">
        <v>70</v>
      </c>
      <c r="AP31" s="10">
        <f t="shared" si="21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81</v>
      </c>
      <c r="B32" s="1" t="s">
        <v>45</v>
      </c>
      <c r="C32" s="1">
        <v>187</v>
      </c>
      <c r="D32" s="1">
        <v>1010</v>
      </c>
      <c r="E32" s="1">
        <v>329</v>
      </c>
      <c r="F32" s="1">
        <v>866</v>
      </c>
      <c r="G32" s="8">
        <v>0.25</v>
      </c>
      <c r="H32" s="1">
        <v>365</v>
      </c>
      <c r="I32" s="1" t="s">
        <v>51</v>
      </c>
      <c r="J32" s="1"/>
      <c r="K32" s="1">
        <v>331</v>
      </c>
      <c r="L32" s="1">
        <f t="shared" si="2"/>
        <v>-2</v>
      </c>
      <c r="M32" s="1"/>
      <c r="N32" s="1"/>
      <c r="O32" s="1"/>
      <c r="P32" s="1">
        <v>0</v>
      </c>
      <c r="Q32" s="1"/>
      <c r="R32" s="1">
        <f t="shared" si="3"/>
        <v>65.8</v>
      </c>
      <c r="S32" s="5">
        <f>15*R32-Q32-P32-O32-F32</f>
        <v>121</v>
      </c>
      <c r="T32" s="5">
        <f t="shared" ref="T32:T34" si="23">$T$1*R32</f>
        <v>65.8</v>
      </c>
      <c r="U32" s="5">
        <f t="shared" si="7"/>
        <v>186.8</v>
      </c>
      <c r="V32" s="5">
        <f t="shared" si="17"/>
        <v>168</v>
      </c>
      <c r="W32" s="5"/>
      <c r="X32" s="1"/>
      <c r="Y32" s="1">
        <f t="shared" si="5"/>
        <v>15.714285714285715</v>
      </c>
      <c r="Z32" s="1">
        <f t="shared" si="6"/>
        <v>13.161094224924012</v>
      </c>
      <c r="AA32" s="1">
        <v>72</v>
      </c>
      <c r="AB32" s="1">
        <v>107</v>
      </c>
      <c r="AC32" s="1">
        <v>83.8</v>
      </c>
      <c r="AD32" s="1">
        <v>86.4</v>
      </c>
      <c r="AE32" s="1">
        <v>80.2</v>
      </c>
      <c r="AF32" s="1">
        <v>85.8</v>
      </c>
      <c r="AG32" s="1">
        <v>68</v>
      </c>
      <c r="AH32" s="1">
        <v>62.6</v>
      </c>
      <c r="AI32" s="1"/>
      <c r="AJ32" s="1">
        <f t="shared" si="18"/>
        <v>30.25</v>
      </c>
      <c r="AK32" s="8">
        <v>12</v>
      </c>
      <c r="AL32" s="10">
        <f t="shared" si="19"/>
        <v>14</v>
      </c>
      <c r="AM32" s="1">
        <f t="shared" si="20"/>
        <v>42</v>
      </c>
      <c r="AN32" s="1">
        <v>14</v>
      </c>
      <c r="AO32" s="1">
        <v>70</v>
      </c>
      <c r="AP32" s="10">
        <f t="shared" si="21"/>
        <v>0.2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82</v>
      </c>
      <c r="B33" s="1" t="s">
        <v>45</v>
      </c>
      <c r="C33" s="1">
        <v>392</v>
      </c>
      <c r="D33" s="1">
        <v>1092</v>
      </c>
      <c r="E33" s="1">
        <v>501</v>
      </c>
      <c r="F33" s="1">
        <v>899</v>
      </c>
      <c r="G33" s="8">
        <v>0.25</v>
      </c>
      <c r="H33" s="1">
        <v>365</v>
      </c>
      <c r="I33" s="1" t="s">
        <v>51</v>
      </c>
      <c r="J33" s="1"/>
      <c r="K33" s="1">
        <v>585</v>
      </c>
      <c r="L33" s="1">
        <f t="shared" si="2"/>
        <v>-84</v>
      </c>
      <c r="M33" s="1"/>
      <c r="N33" s="1"/>
      <c r="O33" s="1"/>
      <c r="P33" s="1">
        <v>0</v>
      </c>
      <c r="Q33" s="1"/>
      <c r="R33" s="1">
        <f t="shared" si="3"/>
        <v>100.2</v>
      </c>
      <c r="S33" s="5">
        <f t="shared" si="22"/>
        <v>503.79999999999995</v>
      </c>
      <c r="T33" s="5">
        <f t="shared" si="23"/>
        <v>100.2</v>
      </c>
      <c r="U33" s="5">
        <f t="shared" si="7"/>
        <v>604</v>
      </c>
      <c r="V33" s="5">
        <f t="shared" si="17"/>
        <v>672</v>
      </c>
      <c r="W33" s="5"/>
      <c r="X33" s="1"/>
      <c r="Y33" s="1">
        <f t="shared" si="5"/>
        <v>15.678642714570858</v>
      </c>
      <c r="Z33" s="1">
        <f t="shared" si="6"/>
        <v>8.9720558882235526</v>
      </c>
      <c r="AA33" s="1">
        <v>68.400000000000006</v>
      </c>
      <c r="AB33" s="1">
        <v>123</v>
      </c>
      <c r="AC33" s="1">
        <v>79</v>
      </c>
      <c r="AD33" s="1">
        <v>110.8</v>
      </c>
      <c r="AE33" s="1">
        <v>87</v>
      </c>
      <c r="AF33" s="1">
        <v>103.4</v>
      </c>
      <c r="AG33" s="1">
        <v>68.400000000000006</v>
      </c>
      <c r="AH33" s="1">
        <v>84.2</v>
      </c>
      <c r="AI33" s="1"/>
      <c r="AJ33" s="1">
        <f t="shared" si="18"/>
        <v>125.94999999999999</v>
      </c>
      <c r="AK33" s="8">
        <v>12</v>
      </c>
      <c r="AL33" s="10">
        <f t="shared" si="19"/>
        <v>56</v>
      </c>
      <c r="AM33" s="1">
        <f t="shared" si="20"/>
        <v>168</v>
      </c>
      <c r="AN33" s="1">
        <v>14</v>
      </c>
      <c r="AO33" s="1">
        <v>70</v>
      </c>
      <c r="AP33" s="10">
        <f t="shared" si="21"/>
        <v>0.8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83</v>
      </c>
      <c r="B34" s="1" t="s">
        <v>45</v>
      </c>
      <c r="C34" s="1">
        <v>524</v>
      </c>
      <c r="D34" s="1">
        <v>918</v>
      </c>
      <c r="E34" s="1">
        <v>512</v>
      </c>
      <c r="F34" s="1">
        <v>857</v>
      </c>
      <c r="G34" s="8">
        <v>0.25</v>
      </c>
      <c r="H34" s="1">
        <v>180</v>
      </c>
      <c r="I34" s="1" t="s">
        <v>51</v>
      </c>
      <c r="J34" s="1"/>
      <c r="K34" s="1">
        <v>582</v>
      </c>
      <c r="L34" s="1">
        <f t="shared" si="2"/>
        <v>-70</v>
      </c>
      <c r="M34" s="1"/>
      <c r="N34" s="1"/>
      <c r="O34" s="1"/>
      <c r="P34" s="1">
        <v>0</v>
      </c>
      <c r="Q34" s="1"/>
      <c r="R34" s="1">
        <f t="shared" si="3"/>
        <v>102.4</v>
      </c>
      <c r="S34" s="5">
        <f t="shared" si="22"/>
        <v>576.60000000000014</v>
      </c>
      <c r="T34" s="5">
        <f t="shared" si="23"/>
        <v>102.4</v>
      </c>
      <c r="U34" s="5">
        <f t="shared" si="7"/>
        <v>679.00000000000011</v>
      </c>
      <c r="V34" s="5">
        <f t="shared" si="17"/>
        <v>672</v>
      </c>
      <c r="W34" s="5"/>
      <c r="X34" s="1"/>
      <c r="Y34" s="1">
        <f t="shared" si="5"/>
        <v>14.931640625</v>
      </c>
      <c r="Z34" s="1">
        <f t="shared" si="6"/>
        <v>8.369140625</v>
      </c>
      <c r="AA34" s="1">
        <v>64.400000000000006</v>
      </c>
      <c r="AB34" s="1">
        <v>122.8333333333333</v>
      </c>
      <c r="AC34" s="1">
        <v>78.2</v>
      </c>
      <c r="AD34" s="1">
        <v>115</v>
      </c>
      <c r="AE34" s="1">
        <v>67.8</v>
      </c>
      <c r="AF34" s="1">
        <v>124.4</v>
      </c>
      <c r="AG34" s="1">
        <v>94.6</v>
      </c>
      <c r="AH34" s="1">
        <v>84.4</v>
      </c>
      <c r="AI34" s="1" t="s">
        <v>74</v>
      </c>
      <c r="AJ34" s="1">
        <f t="shared" si="18"/>
        <v>144.15000000000003</v>
      </c>
      <c r="AK34" s="8">
        <v>12</v>
      </c>
      <c r="AL34" s="10">
        <f t="shared" si="19"/>
        <v>56</v>
      </c>
      <c r="AM34" s="1">
        <f t="shared" si="20"/>
        <v>168</v>
      </c>
      <c r="AN34" s="1">
        <v>14</v>
      </c>
      <c r="AO34" s="1">
        <v>70</v>
      </c>
      <c r="AP34" s="10">
        <f t="shared" si="21"/>
        <v>0.8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8" t="s">
        <v>84</v>
      </c>
      <c r="B35" s="18" t="s">
        <v>45</v>
      </c>
      <c r="C35" s="18"/>
      <c r="D35" s="18"/>
      <c r="E35" s="18"/>
      <c r="F35" s="18"/>
      <c r="G35" s="19">
        <v>0</v>
      </c>
      <c r="H35" s="18">
        <v>180</v>
      </c>
      <c r="I35" s="18" t="s">
        <v>51</v>
      </c>
      <c r="J35" s="18"/>
      <c r="K35" s="18"/>
      <c r="L35" s="18">
        <f t="shared" si="2"/>
        <v>0</v>
      </c>
      <c r="M35" s="18"/>
      <c r="N35" s="18"/>
      <c r="O35" s="18"/>
      <c r="P35" s="18"/>
      <c r="Q35" s="18"/>
      <c r="R35" s="18">
        <f t="shared" si="3"/>
        <v>0</v>
      </c>
      <c r="S35" s="20"/>
      <c r="T35" s="20"/>
      <c r="U35" s="5">
        <f t="shared" si="7"/>
        <v>0</v>
      </c>
      <c r="V35" s="20"/>
      <c r="W35" s="20"/>
      <c r="X35" s="18"/>
      <c r="Y35" s="18" t="e">
        <f t="shared" si="5"/>
        <v>#DIV/0!</v>
      </c>
      <c r="Z35" s="18" t="e">
        <f t="shared" si="6"/>
        <v>#DIV/0!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 t="s">
        <v>54</v>
      </c>
      <c r="AJ35" s="18"/>
      <c r="AK35" s="19">
        <v>6</v>
      </c>
      <c r="AL35" s="21"/>
      <c r="AM35" s="18"/>
      <c r="AN35" s="18">
        <v>14</v>
      </c>
      <c r="AO35" s="18">
        <v>126</v>
      </c>
      <c r="AP35" s="2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8" t="s">
        <v>85</v>
      </c>
      <c r="B36" s="18" t="s">
        <v>45</v>
      </c>
      <c r="C36" s="18"/>
      <c r="D36" s="18"/>
      <c r="E36" s="18"/>
      <c r="F36" s="18"/>
      <c r="G36" s="19">
        <v>0</v>
      </c>
      <c r="H36" s="18">
        <v>180</v>
      </c>
      <c r="I36" s="18" t="s">
        <v>51</v>
      </c>
      <c r="J36" s="18"/>
      <c r="K36" s="18"/>
      <c r="L36" s="18">
        <f t="shared" si="2"/>
        <v>0</v>
      </c>
      <c r="M36" s="18"/>
      <c r="N36" s="18"/>
      <c r="O36" s="18"/>
      <c r="P36" s="18"/>
      <c r="Q36" s="18"/>
      <c r="R36" s="18">
        <f t="shared" si="3"/>
        <v>0</v>
      </c>
      <c r="S36" s="20"/>
      <c r="T36" s="20"/>
      <c r="U36" s="5">
        <f t="shared" si="7"/>
        <v>0</v>
      </c>
      <c r="V36" s="20"/>
      <c r="W36" s="20"/>
      <c r="X36" s="18"/>
      <c r="Y36" s="18" t="e">
        <f t="shared" si="5"/>
        <v>#DIV/0!</v>
      </c>
      <c r="Z36" s="18" t="e">
        <f t="shared" si="6"/>
        <v>#DIV/0!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 t="s">
        <v>62</v>
      </c>
      <c r="AJ36" s="18"/>
      <c r="AK36" s="19">
        <v>12</v>
      </c>
      <c r="AL36" s="21"/>
      <c r="AM36" s="18"/>
      <c r="AN36" s="18">
        <v>14</v>
      </c>
      <c r="AO36" s="18">
        <v>70</v>
      </c>
      <c r="AP36" s="2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86</v>
      </c>
      <c r="B37" s="1" t="s">
        <v>45</v>
      </c>
      <c r="C37" s="1">
        <v>210</v>
      </c>
      <c r="D37" s="1">
        <v>8</v>
      </c>
      <c r="E37" s="1">
        <v>133</v>
      </c>
      <c r="F37" s="1">
        <v>77</v>
      </c>
      <c r="G37" s="8">
        <v>0.7</v>
      </c>
      <c r="H37" s="1">
        <v>180</v>
      </c>
      <c r="I37" s="1" t="s">
        <v>51</v>
      </c>
      <c r="J37" s="1"/>
      <c r="K37" s="1">
        <v>133</v>
      </c>
      <c r="L37" s="1">
        <f t="shared" si="2"/>
        <v>0</v>
      </c>
      <c r="M37" s="1"/>
      <c r="N37" s="1"/>
      <c r="O37" s="1"/>
      <c r="P37" s="1">
        <v>192</v>
      </c>
      <c r="Q37" s="1"/>
      <c r="R37" s="1">
        <f t="shared" si="3"/>
        <v>26.6</v>
      </c>
      <c r="S37" s="5">
        <f t="shared" ref="S37:S59" si="24">14*R37-Q37-P37-O37-F37</f>
        <v>103.40000000000003</v>
      </c>
      <c r="T37" s="5"/>
      <c r="U37" s="5">
        <f t="shared" si="7"/>
        <v>103.40000000000003</v>
      </c>
      <c r="V37" s="5">
        <f t="shared" ref="V37:V59" si="25">AK37*AL37</f>
        <v>96</v>
      </c>
      <c r="W37" s="5"/>
      <c r="X37" s="1"/>
      <c r="Y37" s="1">
        <f t="shared" si="5"/>
        <v>13.721804511278195</v>
      </c>
      <c r="Z37" s="1">
        <f t="shared" si="6"/>
        <v>10.112781954887218</v>
      </c>
      <c r="AA37" s="1">
        <v>26</v>
      </c>
      <c r="AB37" s="1">
        <v>23.333333333333329</v>
      </c>
      <c r="AC37" s="1">
        <v>8.4</v>
      </c>
      <c r="AD37" s="1">
        <v>35.6</v>
      </c>
      <c r="AE37" s="1">
        <v>13.8</v>
      </c>
      <c r="AF37" s="1">
        <v>16.399999999999999</v>
      </c>
      <c r="AG37" s="1">
        <v>14.4</v>
      </c>
      <c r="AH37" s="1">
        <v>14.2</v>
      </c>
      <c r="AI37" s="1"/>
      <c r="AJ37" s="1">
        <f t="shared" ref="AJ37:AJ59" si="26">G37*S37</f>
        <v>72.380000000000024</v>
      </c>
      <c r="AK37" s="8">
        <v>8</v>
      </c>
      <c r="AL37" s="10">
        <f t="shared" ref="AL37:AL59" si="27">MROUND(U37, AK37*AN37)/AK37</f>
        <v>12</v>
      </c>
      <c r="AM37" s="1">
        <f t="shared" ref="AM37:AM59" si="28">AL37*AK37*G37</f>
        <v>67.199999999999989</v>
      </c>
      <c r="AN37" s="1">
        <v>12</v>
      </c>
      <c r="AO37" s="1">
        <v>84</v>
      </c>
      <c r="AP37" s="10">
        <f t="shared" ref="AP37:AP59" si="29">AL37/AO37</f>
        <v>0.14285714285714285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87</v>
      </c>
      <c r="B38" s="1" t="s">
        <v>45</v>
      </c>
      <c r="C38" s="1">
        <v>135</v>
      </c>
      <c r="D38" s="1">
        <v>96</v>
      </c>
      <c r="E38" s="1">
        <v>90</v>
      </c>
      <c r="F38" s="1">
        <v>141</v>
      </c>
      <c r="G38" s="8">
        <v>0.7</v>
      </c>
      <c r="H38" s="1">
        <v>180</v>
      </c>
      <c r="I38" s="1" t="s">
        <v>51</v>
      </c>
      <c r="J38" s="1"/>
      <c r="K38" s="1">
        <v>90</v>
      </c>
      <c r="L38" s="1">
        <f t="shared" ref="L38:L69" si="30">E38-K38</f>
        <v>0</v>
      </c>
      <c r="M38" s="1"/>
      <c r="N38" s="1"/>
      <c r="O38" s="1"/>
      <c r="P38" s="1">
        <v>0</v>
      </c>
      <c r="Q38" s="1"/>
      <c r="R38" s="1">
        <f t="shared" ref="R38:R73" si="31">E38/5</f>
        <v>18</v>
      </c>
      <c r="S38" s="5">
        <f t="shared" si="24"/>
        <v>111</v>
      </c>
      <c r="T38" s="5"/>
      <c r="U38" s="5">
        <f t="shared" si="7"/>
        <v>111</v>
      </c>
      <c r="V38" s="5">
        <f t="shared" si="25"/>
        <v>96</v>
      </c>
      <c r="W38" s="5"/>
      <c r="X38" s="1"/>
      <c r="Y38" s="1">
        <f t="shared" ref="Y38:Y73" si="32">(F38+O38+P38+Q38+V38)/R38</f>
        <v>13.166666666666666</v>
      </c>
      <c r="Z38" s="1">
        <f t="shared" ref="Z38:Z73" si="33">(F38+O38+P38+Q38)/R38</f>
        <v>7.833333333333333</v>
      </c>
      <c r="AA38" s="1">
        <v>12</v>
      </c>
      <c r="AB38" s="1">
        <v>21.666666666666671</v>
      </c>
      <c r="AC38" s="1">
        <v>15.8</v>
      </c>
      <c r="AD38" s="1">
        <v>25.8</v>
      </c>
      <c r="AE38" s="1">
        <v>18.600000000000001</v>
      </c>
      <c r="AF38" s="1">
        <v>12.6</v>
      </c>
      <c r="AG38" s="1">
        <v>12.8</v>
      </c>
      <c r="AH38" s="1">
        <v>16</v>
      </c>
      <c r="AI38" s="1"/>
      <c r="AJ38" s="1">
        <f t="shared" si="26"/>
        <v>77.699999999999989</v>
      </c>
      <c r="AK38" s="8">
        <v>8</v>
      </c>
      <c r="AL38" s="10">
        <f t="shared" si="27"/>
        <v>12</v>
      </c>
      <c r="AM38" s="1">
        <f t="shared" si="28"/>
        <v>67.199999999999989</v>
      </c>
      <c r="AN38" s="1">
        <v>12</v>
      </c>
      <c r="AO38" s="1">
        <v>84</v>
      </c>
      <c r="AP38" s="10">
        <f t="shared" si="29"/>
        <v>0.14285714285714285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88</v>
      </c>
      <c r="B39" s="1" t="s">
        <v>45</v>
      </c>
      <c r="C39" s="1">
        <v>294</v>
      </c>
      <c r="D39" s="1">
        <v>104</v>
      </c>
      <c r="E39" s="1">
        <v>100</v>
      </c>
      <c r="F39" s="1">
        <v>290</v>
      </c>
      <c r="G39" s="8">
        <v>0.7</v>
      </c>
      <c r="H39" s="1">
        <v>180</v>
      </c>
      <c r="I39" s="1" t="s">
        <v>51</v>
      </c>
      <c r="J39" s="1"/>
      <c r="K39" s="1">
        <v>100</v>
      </c>
      <c r="L39" s="1">
        <f t="shared" si="30"/>
        <v>0</v>
      </c>
      <c r="M39" s="1"/>
      <c r="N39" s="1"/>
      <c r="O39" s="1"/>
      <c r="P39" s="1">
        <v>0</v>
      </c>
      <c r="Q39" s="1"/>
      <c r="R39" s="1">
        <f t="shared" si="31"/>
        <v>20</v>
      </c>
      <c r="S39" s="5"/>
      <c r="T39" s="5"/>
      <c r="U39" s="5">
        <f t="shared" si="7"/>
        <v>0</v>
      </c>
      <c r="V39" s="5">
        <f t="shared" si="25"/>
        <v>0</v>
      </c>
      <c r="W39" s="5"/>
      <c r="X39" s="1"/>
      <c r="Y39" s="1">
        <f t="shared" si="32"/>
        <v>14.5</v>
      </c>
      <c r="Z39" s="1">
        <f t="shared" si="33"/>
        <v>14.5</v>
      </c>
      <c r="AA39" s="1">
        <v>18.2</v>
      </c>
      <c r="AB39" s="1">
        <v>32.5</v>
      </c>
      <c r="AC39" s="1">
        <v>36.799999999999997</v>
      </c>
      <c r="AD39" s="1">
        <v>23.2</v>
      </c>
      <c r="AE39" s="1">
        <v>24.2</v>
      </c>
      <c r="AF39" s="1">
        <v>29</v>
      </c>
      <c r="AG39" s="1">
        <v>13.4</v>
      </c>
      <c r="AH39" s="1">
        <v>19</v>
      </c>
      <c r="AI39" s="1"/>
      <c r="AJ39" s="1">
        <f t="shared" si="26"/>
        <v>0</v>
      </c>
      <c r="AK39" s="8">
        <v>8</v>
      </c>
      <c r="AL39" s="10">
        <f t="shared" si="27"/>
        <v>0</v>
      </c>
      <c r="AM39" s="1">
        <f t="shared" si="28"/>
        <v>0</v>
      </c>
      <c r="AN39" s="1">
        <v>12</v>
      </c>
      <c r="AO39" s="1">
        <v>84</v>
      </c>
      <c r="AP39" s="10">
        <f t="shared" si="29"/>
        <v>0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89</v>
      </c>
      <c r="B40" s="1" t="s">
        <v>45</v>
      </c>
      <c r="C40" s="1">
        <v>143</v>
      </c>
      <c r="D40" s="1">
        <v>600</v>
      </c>
      <c r="E40" s="1">
        <v>297</v>
      </c>
      <c r="F40" s="1">
        <v>446</v>
      </c>
      <c r="G40" s="8">
        <v>0.7</v>
      </c>
      <c r="H40" s="1">
        <v>180</v>
      </c>
      <c r="I40" s="1" t="s">
        <v>51</v>
      </c>
      <c r="J40" s="1"/>
      <c r="K40" s="1">
        <v>289</v>
      </c>
      <c r="L40" s="1">
        <f t="shared" si="30"/>
        <v>8</v>
      </c>
      <c r="M40" s="1"/>
      <c r="N40" s="1"/>
      <c r="O40" s="1">
        <v>70</v>
      </c>
      <c r="P40" s="1">
        <v>0</v>
      </c>
      <c r="Q40" s="1"/>
      <c r="R40" s="1">
        <f t="shared" si="31"/>
        <v>59.4</v>
      </c>
      <c r="S40" s="5">
        <f t="shared" si="24"/>
        <v>315.60000000000002</v>
      </c>
      <c r="T40" s="5">
        <f>$T$1*R40</f>
        <v>59.4</v>
      </c>
      <c r="U40" s="5">
        <f t="shared" si="7"/>
        <v>375</v>
      </c>
      <c r="V40" s="5">
        <f t="shared" si="25"/>
        <v>360</v>
      </c>
      <c r="W40" s="5"/>
      <c r="X40" s="1"/>
      <c r="Y40" s="1">
        <f t="shared" si="32"/>
        <v>14.747474747474747</v>
      </c>
      <c r="Z40" s="1">
        <f t="shared" si="33"/>
        <v>8.6868686868686869</v>
      </c>
      <c r="AA40" s="1">
        <v>44.6</v>
      </c>
      <c r="AB40" s="1">
        <v>75.333333333333329</v>
      </c>
      <c r="AC40" s="1">
        <v>35.200000000000003</v>
      </c>
      <c r="AD40" s="1">
        <v>58.2</v>
      </c>
      <c r="AE40" s="1">
        <v>24.8</v>
      </c>
      <c r="AF40" s="1">
        <v>59</v>
      </c>
      <c r="AG40" s="1">
        <v>45</v>
      </c>
      <c r="AH40" s="1">
        <v>23.6</v>
      </c>
      <c r="AI40" s="1"/>
      <c r="AJ40" s="1">
        <f t="shared" si="26"/>
        <v>220.92000000000002</v>
      </c>
      <c r="AK40" s="8">
        <v>10</v>
      </c>
      <c r="AL40" s="10">
        <f t="shared" si="27"/>
        <v>36</v>
      </c>
      <c r="AM40" s="1">
        <f t="shared" si="28"/>
        <v>251.99999999999997</v>
      </c>
      <c r="AN40" s="1">
        <v>12</v>
      </c>
      <c r="AO40" s="1">
        <v>84</v>
      </c>
      <c r="AP40" s="10">
        <f t="shared" si="29"/>
        <v>0.42857142857142855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22" t="s">
        <v>90</v>
      </c>
      <c r="B41" s="1" t="s">
        <v>45</v>
      </c>
      <c r="C41" s="1"/>
      <c r="D41" s="1"/>
      <c r="E41" s="1"/>
      <c r="F41" s="1"/>
      <c r="G41" s="8">
        <v>0.4</v>
      </c>
      <c r="H41" s="1">
        <v>180</v>
      </c>
      <c r="I41" s="1" t="s">
        <v>51</v>
      </c>
      <c r="J41" s="1"/>
      <c r="K41" s="1"/>
      <c r="L41" s="1">
        <f t="shared" si="30"/>
        <v>0</v>
      </c>
      <c r="M41" s="1"/>
      <c r="N41" s="1"/>
      <c r="O41" s="1"/>
      <c r="P41" s="22"/>
      <c r="Q41" s="1"/>
      <c r="R41" s="1">
        <f t="shared" si="31"/>
        <v>0</v>
      </c>
      <c r="S41" s="23">
        <v>192</v>
      </c>
      <c r="T41" s="23"/>
      <c r="U41" s="5">
        <f t="shared" si="7"/>
        <v>192</v>
      </c>
      <c r="V41" s="5">
        <f t="shared" si="25"/>
        <v>192</v>
      </c>
      <c r="W41" s="5"/>
      <c r="X41" s="1"/>
      <c r="Y41" s="1" t="e">
        <f t="shared" si="32"/>
        <v>#DIV/0!</v>
      </c>
      <c r="Z41" s="1" t="e">
        <f t="shared" si="33"/>
        <v>#DIV/0!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22" t="s">
        <v>91</v>
      </c>
      <c r="AJ41" s="1">
        <f t="shared" si="26"/>
        <v>76.800000000000011</v>
      </c>
      <c r="AK41" s="8">
        <v>16</v>
      </c>
      <c r="AL41" s="10">
        <f t="shared" si="27"/>
        <v>12</v>
      </c>
      <c r="AM41" s="1">
        <f t="shared" si="28"/>
        <v>76.800000000000011</v>
      </c>
      <c r="AN41" s="1">
        <v>12</v>
      </c>
      <c r="AO41" s="1">
        <v>84</v>
      </c>
      <c r="AP41" s="10">
        <f t="shared" si="29"/>
        <v>0.14285714285714285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92</v>
      </c>
      <c r="B42" s="1" t="s">
        <v>45</v>
      </c>
      <c r="C42" s="1">
        <v>327</v>
      </c>
      <c r="D42" s="1"/>
      <c r="E42" s="1">
        <v>122</v>
      </c>
      <c r="F42" s="1">
        <v>205</v>
      </c>
      <c r="G42" s="8">
        <v>0.7</v>
      </c>
      <c r="H42" s="1">
        <v>180</v>
      </c>
      <c r="I42" s="1" t="s">
        <v>51</v>
      </c>
      <c r="J42" s="1"/>
      <c r="K42" s="1">
        <v>118</v>
      </c>
      <c r="L42" s="1">
        <f t="shared" si="30"/>
        <v>4</v>
      </c>
      <c r="M42" s="1"/>
      <c r="N42" s="1"/>
      <c r="O42" s="1"/>
      <c r="P42" s="1">
        <v>0</v>
      </c>
      <c r="Q42" s="1"/>
      <c r="R42" s="1">
        <f t="shared" si="31"/>
        <v>24.4</v>
      </c>
      <c r="S42" s="5">
        <f t="shared" si="24"/>
        <v>136.59999999999997</v>
      </c>
      <c r="T42" s="5"/>
      <c r="U42" s="5">
        <f t="shared" si="7"/>
        <v>136.59999999999997</v>
      </c>
      <c r="V42" s="5">
        <f t="shared" si="25"/>
        <v>120</v>
      </c>
      <c r="W42" s="5"/>
      <c r="X42" s="1"/>
      <c r="Y42" s="1">
        <f t="shared" si="32"/>
        <v>13.319672131147541</v>
      </c>
      <c r="Z42" s="1">
        <f t="shared" si="33"/>
        <v>8.4016393442622963</v>
      </c>
      <c r="AA42" s="1">
        <v>20.399999999999999</v>
      </c>
      <c r="AB42" s="1">
        <v>17.166666666666671</v>
      </c>
      <c r="AC42" s="1">
        <v>37.6</v>
      </c>
      <c r="AD42" s="1">
        <v>15.8</v>
      </c>
      <c r="AE42" s="1">
        <v>25.2</v>
      </c>
      <c r="AF42" s="1">
        <v>10.4</v>
      </c>
      <c r="AG42" s="1">
        <v>18.399999999999999</v>
      </c>
      <c r="AH42" s="1">
        <v>20.8</v>
      </c>
      <c r="AI42" s="1"/>
      <c r="AJ42" s="1">
        <f t="shared" si="26"/>
        <v>95.619999999999976</v>
      </c>
      <c r="AK42" s="8">
        <v>10</v>
      </c>
      <c r="AL42" s="10">
        <f t="shared" si="27"/>
        <v>12</v>
      </c>
      <c r="AM42" s="1">
        <f t="shared" si="28"/>
        <v>84</v>
      </c>
      <c r="AN42" s="1">
        <v>12</v>
      </c>
      <c r="AO42" s="1">
        <v>84</v>
      </c>
      <c r="AP42" s="10">
        <f t="shared" si="29"/>
        <v>0.14285714285714285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93</v>
      </c>
      <c r="B43" s="1" t="s">
        <v>45</v>
      </c>
      <c r="C43" s="1">
        <v>400</v>
      </c>
      <c r="D43" s="1">
        <v>240</v>
      </c>
      <c r="E43" s="1">
        <v>284</v>
      </c>
      <c r="F43" s="1">
        <v>356</v>
      </c>
      <c r="G43" s="8">
        <v>0.7</v>
      </c>
      <c r="H43" s="1">
        <v>180</v>
      </c>
      <c r="I43" s="1" t="s">
        <v>51</v>
      </c>
      <c r="J43" s="1"/>
      <c r="K43" s="1">
        <v>284</v>
      </c>
      <c r="L43" s="1">
        <f t="shared" si="30"/>
        <v>0</v>
      </c>
      <c r="M43" s="1"/>
      <c r="N43" s="1"/>
      <c r="O43" s="1"/>
      <c r="P43" s="1">
        <v>0</v>
      </c>
      <c r="Q43" s="1"/>
      <c r="R43" s="1">
        <f t="shared" si="31"/>
        <v>56.8</v>
      </c>
      <c r="S43" s="5">
        <f t="shared" si="24"/>
        <v>439.19999999999993</v>
      </c>
      <c r="T43" s="5">
        <f>$T$1*R43</f>
        <v>56.8</v>
      </c>
      <c r="U43" s="5">
        <f t="shared" si="7"/>
        <v>495.99999999999994</v>
      </c>
      <c r="V43" s="5">
        <f t="shared" si="25"/>
        <v>480</v>
      </c>
      <c r="W43" s="5"/>
      <c r="X43" s="1"/>
      <c r="Y43" s="1">
        <f t="shared" si="32"/>
        <v>14.71830985915493</v>
      </c>
      <c r="Z43" s="1">
        <f t="shared" si="33"/>
        <v>6.267605633802817</v>
      </c>
      <c r="AA43" s="1">
        <v>33.200000000000003</v>
      </c>
      <c r="AB43" s="1">
        <v>56.5</v>
      </c>
      <c r="AC43" s="1">
        <v>34.200000000000003</v>
      </c>
      <c r="AD43" s="1">
        <v>66.599999999999994</v>
      </c>
      <c r="AE43" s="1">
        <v>20.8</v>
      </c>
      <c r="AF43" s="1">
        <v>66.400000000000006</v>
      </c>
      <c r="AG43" s="1">
        <v>37</v>
      </c>
      <c r="AH43" s="1">
        <v>29</v>
      </c>
      <c r="AI43" s="1"/>
      <c r="AJ43" s="1">
        <f t="shared" si="26"/>
        <v>307.43999999999994</v>
      </c>
      <c r="AK43" s="8">
        <v>10</v>
      </c>
      <c r="AL43" s="10">
        <f t="shared" si="27"/>
        <v>48</v>
      </c>
      <c r="AM43" s="1">
        <f t="shared" si="28"/>
        <v>336</v>
      </c>
      <c r="AN43" s="1">
        <v>12</v>
      </c>
      <c r="AO43" s="1">
        <v>84</v>
      </c>
      <c r="AP43" s="10">
        <f t="shared" si="29"/>
        <v>0.5714285714285714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94</v>
      </c>
      <c r="B44" s="1" t="s">
        <v>45</v>
      </c>
      <c r="C44" s="1">
        <v>4</v>
      </c>
      <c r="D44" s="1">
        <v>130</v>
      </c>
      <c r="E44" s="1">
        <v>38</v>
      </c>
      <c r="F44" s="1">
        <v>96</v>
      </c>
      <c r="G44" s="8">
        <v>0.7</v>
      </c>
      <c r="H44" s="1">
        <v>180</v>
      </c>
      <c r="I44" s="1" t="s">
        <v>51</v>
      </c>
      <c r="J44" s="1"/>
      <c r="K44" s="1">
        <v>41</v>
      </c>
      <c r="L44" s="1">
        <f t="shared" si="30"/>
        <v>-3</v>
      </c>
      <c r="M44" s="1"/>
      <c r="N44" s="1"/>
      <c r="O44" s="1"/>
      <c r="P44" s="1">
        <v>120</v>
      </c>
      <c r="Q44" s="1"/>
      <c r="R44" s="1">
        <f t="shared" si="31"/>
        <v>7.6</v>
      </c>
      <c r="S44" s="5"/>
      <c r="T44" s="5"/>
      <c r="U44" s="5">
        <f t="shared" si="7"/>
        <v>0</v>
      </c>
      <c r="V44" s="5">
        <f t="shared" si="25"/>
        <v>0</v>
      </c>
      <c r="W44" s="5"/>
      <c r="X44" s="1"/>
      <c r="Y44" s="1">
        <f t="shared" si="32"/>
        <v>28.421052631578949</v>
      </c>
      <c r="Z44" s="1">
        <f t="shared" si="33"/>
        <v>28.421052631578949</v>
      </c>
      <c r="AA44" s="1">
        <v>14</v>
      </c>
      <c r="AB44" s="1">
        <v>15</v>
      </c>
      <c r="AC44" s="1">
        <v>11.4</v>
      </c>
      <c r="AD44" s="1">
        <v>9.8000000000000007</v>
      </c>
      <c r="AE44" s="1">
        <v>15</v>
      </c>
      <c r="AF44" s="1">
        <v>7.8</v>
      </c>
      <c r="AG44" s="1">
        <v>16.399999999999999</v>
      </c>
      <c r="AH44" s="1">
        <v>7.8</v>
      </c>
      <c r="AI44" s="1"/>
      <c r="AJ44" s="1">
        <f t="shared" si="26"/>
        <v>0</v>
      </c>
      <c r="AK44" s="8">
        <v>10</v>
      </c>
      <c r="AL44" s="10">
        <f t="shared" si="27"/>
        <v>0</v>
      </c>
      <c r="AM44" s="1">
        <f t="shared" si="28"/>
        <v>0</v>
      </c>
      <c r="AN44" s="1">
        <v>12</v>
      </c>
      <c r="AO44" s="1">
        <v>84</v>
      </c>
      <c r="AP44" s="10">
        <f t="shared" si="29"/>
        <v>0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95</v>
      </c>
      <c r="B45" s="1" t="s">
        <v>53</v>
      </c>
      <c r="C45" s="1">
        <v>320</v>
      </c>
      <c r="D45" s="1">
        <v>250</v>
      </c>
      <c r="E45" s="1">
        <v>385</v>
      </c>
      <c r="F45" s="1">
        <v>175</v>
      </c>
      <c r="G45" s="8">
        <v>1</v>
      </c>
      <c r="H45" s="1">
        <v>180</v>
      </c>
      <c r="I45" s="1" t="s">
        <v>51</v>
      </c>
      <c r="J45" s="1"/>
      <c r="K45" s="1">
        <v>393</v>
      </c>
      <c r="L45" s="1">
        <f t="shared" si="30"/>
        <v>-8</v>
      </c>
      <c r="M45" s="1"/>
      <c r="N45" s="1"/>
      <c r="O45" s="1"/>
      <c r="P45" s="1">
        <v>0</v>
      </c>
      <c r="Q45" s="1">
        <v>960</v>
      </c>
      <c r="R45" s="1">
        <f t="shared" si="31"/>
        <v>77</v>
      </c>
      <c r="S45" s="5"/>
      <c r="T45" s="5">
        <f>$T$1*R45</f>
        <v>77</v>
      </c>
      <c r="U45" s="5">
        <f t="shared" si="7"/>
        <v>77</v>
      </c>
      <c r="V45" s="5">
        <f t="shared" si="25"/>
        <v>60</v>
      </c>
      <c r="W45" s="5"/>
      <c r="X45" s="1"/>
      <c r="Y45" s="1">
        <f t="shared" si="32"/>
        <v>15.519480519480519</v>
      </c>
      <c r="Z45" s="1">
        <f t="shared" si="33"/>
        <v>14.74025974025974</v>
      </c>
      <c r="AA45" s="1">
        <v>108</v>
      </c>
      <c r="AB45" s="1">
        <v>80</v>
      </c>
      <c r="AC45" s="1">
        <v>93</v>
      </c>
      <c r="AD45" s="1">
        <v>75</v>
      </c>
      <c r="AE45" s="1">
        <v>78</v>
      </c>
      <c r="AF45" s="1">
        <v>68</v>
      </c>
      <c r="AG45" s="1">
        <v>72</v>
      </c>
      <c r="AH45" s="1">
        <v>81</v>
      </c>
      <c r="AI45" s="1" t="s">
        <v>74</v>
      </c>
      <c r="AJ45" s="1">
        <f t="shared" si="26"/>
        <v>0</v>
      </c>
      <c r="AK45" s="8">
        <v>5</v>
      </c>
      <c r="AL45" s="10">
        <f t="shared" si="27"/>
        <v>12</v>
      </c>
      <c r="AM45" s="1">
        <f t="shared" si="28"/>
        <v>60</v>
      </c>
      <c r="AN45" s="1">
        <v>12</v>
      </c>
      <c r="AO45" s="1">
        <v>144</v>
      </c>
      <c r="AP45" s="10">
        <f t="shared" si="29"/>
        <v>8.3333333333333329E-2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96</v>
      </c>
      <c r="B46" s="1" t="s">
        <v>45</v>
      </c>
      <c r="C46" s="1">
        <v>123</v>
      </c>
      <c r="D46" s="1">
        <v>384</v>
      </c>
      <c r="E46" s="1">
        <v>243</v>
      </c>
      <c r="F46" s="1">
        <v>264</v>
      </c>
      <c r="G46" s="8">
        <v>0.4</v>
      </c>
      <c r="H46" s="1">
        <v>180</v>
      </c>
      <c r="I46" s="1" t="s">
        <v>51</v>
      </c>
      <c r="J46" s="1"/>
      <c r="K46" s="1">
        <v>237</v>
      </c>
      <c r="L46" s="1">
        <f t="shared" si="30"/>
        <v>6</v>
      </c>
      <c r="M46" s="1"/>
      <c r="N46" s="1"/>
      <c r="O46" s="1"/>
      <c r="P46" s="1">
        <v>0</v>
      </c>
      <c r="Q46" s="1"/>
      <c r="R46" s="1">
        <f t="shared" si="31"/>
        <v>48.6</v>
      </c>
      <c r="S46" s="5">
        <f t="shared" si="24"/>
        <v>416.4</v>
      </c>
      <c r="T46" s="5"/>
      <c r="U46" s="5">
        <f t="shared" si="7"/>
        <v>416.4</v>
      </c>
      <c r="V46" s="5">
        <f t="shared" si="25"/>
        <v>384</v>
      </c>
      <c r="W46" s="5"/>
      <c r="X46" s="1"/>
      <c r="Y46" s="1">
        <f t="shared" si="32"/>
        <v>13.333333333333332</v>
      </c>
      <c r="Z46" s="1">
        <f t="shared" si="33"/>
        <v>5.4320987654320989</v>
      </c>
      <c r="AA46" s="1">
        <v>36.6</v>
      </c>
      <c r="AB46" s="1">
        <v>52.5</v>
      </c>
      <c r="AC46" s="1">
        <v>26.4</v>
      </c>
      <c r="AD46" s="1">
        <v>20.2</v>
      </c>
      <c r="AE46" s="1">
        <v>15.8</v>
      </c>
      <c r="AF46" s="1">
        <v>65</v>
      </c>
      <c r="AG46" s="1">
        <v>38.200000000000003</v>
      </c>
      <c r="AH46" s="1">
        <v>31.2</v>
      </c>
      <c r="AI46" s="1"/>
      <c r="AJ46" s="1">
        <f t="shared" si="26"/>
        <v>166.56</v>
      </c>
      <c r="AK46" s="8">
        <v>16</v>
      </c>
      <c r="AL46" s="10">
        <f t="shared" si="27"/>
        <v>24</v>
      </c>
      <c r="AM46" s="1">
        <f t="shared" si="28"/>
        <v>153.60000000000002</v>
      </c>
      <c r="AN46" s="1">
        <v>12</v>
      </c>
      <c r="AO46" s="1">
        <v>84</v>
      </c>
      <c r="AP46" s="10">
        <f t="shared" si="29"/>
        <v>0.2857142857142857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97</v>
      </c>
      <c r="B47" s="1" t="s">
        <v>45</v>
      </c>
      <c r="C47" s="1">
        <v>599</v>
      </c>
      <c r="D47" s="1">
        <v>745</v>
      </c>
      <c r="E47" s="1">
        <v>588</v>
      </c>
      <c r="F47" s="1">
        <v>741</v>
      </c>
      <c r="G47" s="8">
        <v>0.7</v>
      </c>
      <c r="H47" s="1">
        <v>180</v>
      </c>
      <c r="I47" s="1" t="s">
        <v>51</v>
      </c>
      <c r="J47" s="1"/>
      <c r="K47" s="1">
        <v>593</v>
      </c>
      <c r="L47" s="1">
        <f t="shared" si="30"/>
        <v>-5</v>
      </c>
      <c r="M47" s="1"/>
      <c r="N47" s="1"/>
      <c r="O47" s="1"/>
      <c r="P47" s="1">
        <v>240</v>
      </c>
      <c r="Q47" s="1"/>
      <c r="R47" s="1">
        <f t="shared" si="31"/>
        <v>117.6</v>
      </c>
      <c r="S47" s="5">
        <f t="shared" si="24"/>
        <v>665.39999999999986</v>
      </c>
      <c r="T47" s="5">
        <f t="shared" ref="T47:T50" si="34">$T$1*R47</f>
        <v>117.6</v>
      </c>
      <c r="U47" s="5">
        <f t="shared" si="7"/>
        <v>782.99999999999989</v>
      </c>
      <c r="V47" s="5">
        <f t="shared" si="25"/>
        <v>840</v>
      </c>
      <c r="W47" s="5"/>
      <c r="X47" s="1"/>
      <c r="Y47" s="1">
        <f t="shared" si="32"/>
        <v>15.48469387755102</v>
      </c>
      <c r="Z47" s="1">
        <f t="shared" si="33"/>
        <v>8.341836734693878</v>
      </c>
      <c r="AA47" s="1">
        <v>113</v>
      </c>
      <c r="AB47" s="1">
        <v>134.83333333333329</v>
      </c>
      <c r="AC47" s="1">
        <v>141.19999999999999</v>
      </c>
      <c r="AD47" s="1">
        <v>122.4</v>
      </c>
      <c r="AE47" s="1">
        <v>117</v>
      </c>
      <c r="AF47" s="1">
        <v>136.6</v>
      </c>
      <c r="AG47" s="1">
        <v>87.8</v>
      </c>
      <c r="AH47" s="1">
        <v>90.2</v>
      </c>
      <c r="AI47" s="1" t="s">
        <v>77</v>
      </c>
      <c r="AJ47" s="1">
        <f t="shared" si="26"/>
        <v>465.77999999999986</v>
      </c>
      <c r="AK47" s="8">
        <v>10</v>
      </c>
      <c r="AL47" s="10">
        <f t="shared" si="27"/>
        <v>84</v>
      </c>
      <c r="AM47" s="1">
        <f t="shared" si="28"/>
        <v>588</v>
      </c>
      <c r="AN47" s="1">
        <v>12</v>
      </c>
      <c r="AO47" s="1">
        <v>84</v>
      </c>
      <c r="AP47" s="10">
        <f t="shared" si="29"/>
        <v>1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98</v>
      </c>
      <c r="B48" s="1" t="s">
        <v>45</v>
      </c>
      <c r="C48" s="1">
        <v>225</v>
      </c>
      <c r="D48" s="1">
        <v>384</v>
      </c>
      <c r="E48" s="1">
        <v>264</v>
      </c>
      <c r="F48" s="1">
        <v>345</v>
      </c>
      <c r="G48" s="8">
        <v>0.4</v>
      </c>
      <c r="H48" s="1">
        <v>180</v>
      </c>
      <c r="I48" s="1" t="s">
        <v>51</v>
      </c>
      <c r="J48" s="1"/>
      <c r="K48" s="1">
        <v>258</v>
      </c>
      <c r="L48" s="1">
        <f t="shared" si="30"/>
        <v>6</v>
      </c>
      <c r="M48" s="1"/>
      <c r="N48" s="1"/>
      <c r="O48" s="1"/>
      <c r="P48" s="1">
        <v>0</v>
      </c>
      <c r="Q48" s="1"/>
      <c r="R48" s="1">
        <f t="shared" si="31"/>
        <v>52.8</v>
      </c>
      <c r="S48" s="5">
        <f t="shared" si="24"/>
        <v>394.19999999999993</v>
      </c>
      <c r="T48" s="5">
        <f t="shared" si="34"/>
        <v>52.8</v>
      </c>
      <c r="U48" s="5">
        <f t="shared" si="7"/>
        <v>446.99999999999994</v>
      </c>
      <c r="V48" s="5">
        <f t="shared" si="25"/>
        <v>384</v>
      </c>
      <c r="W48" s="5"/>
      <c r="X48" s="1"/>
      <c r="Y48" s="1">
        <f t="shared" si="32"/>
        <v>13.806818181818183</v>
      </c>
      <c r="Z48" s="1">
        <f t="shared" si="33"/>
        <v>6.5340909090909092</v>
      </c>
      <c r="AA48" s="1">
        <v>37.4</v>
      </c>
      <c r="AB48" s="1">
        <v>52.833333333333343</v>
      </c>
      <c r="AC48" s="1">
        <v>32</v>
      </c>
      <c r="AD48" s="1">
        <v>22.6</v>
      </c>
      <c r="AE48" s="1">
        <v>17.8</v>
      </c>
      <c r="AF48" s="1">
        <v>70.2</v>
      </c>
      <c r="AG48" s="1">
        <v>37</v>
      </c>
      <c r="AH48" s="1">
        <v>25.6</v>
      </c>
      <c r="AI48" s="1"/>
      <c r="AJ48" s="1">
        <f t="shared" si="26"/>
        <v>157.67999999999998</v>
      </c>
      <c r="AK48" s="8">
        <v>16</v>
      </c>
      <c r="AL48" s="10">
        <f t="shared" si="27"/>
        <v>24</v>
      </c>
      <c r="AM48" s="1">
        <f t="shared" si="28"/>
        <v>153.60000000000002</v>
      </c>
      <c r="AN48" s="1">
        <v>12</v>
      </c>
      <c r="AO48" s="1">
        <v>84</v>
      </c>
      <c r="AP48" s="10">
        <f t="shared" si="29"/>
        <v>0.2857142857142857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49</v>
      </c>
      <c r="B49" s="1" t="s">
        <v>45</v>
      </c>
      <c r="C49" s="1">
        <v>1046</v>
      </c>
      <c r="D49" s="1">
        <v>1095</v>
      </c>
      <c r="E49" s="25">
        <f>1043+E7</f>
        <v>1073</v>
      </c>
      <c r="F49" s="25">
        <f>1026+F7</f>
        <v>1069</v>
      </c>
      <c r="G49" s="8">
        <v>0.7</v>
      </c>
      <c r="H49" s="1">
        <v>180</v>
      </c>
      <c r="I49" s="1" t="s">
        <v>51</v>
      </c>
      <c r="J49" s="1"/>
      <c r="K49" s="1">
        <v>1047</v>
      </c>
      <c r="L49" s="1">
        <f t="shared" si="30"/>
        <v>26</v>
      </c>
      <c r="M49" s="1"/>
      <c r="N49" s="1"/>
      <c r="O49" s="1"/>
      <c r="P49" s="1">
        <v>0</v>
      </c>
      <c r="Q49" s="1">
        <v>720</v>
      </c>
      <c r="R49" s="1">
        <f t="shared" si="31"/>
        <v>214.6</v>
      </c>
      <c r="S49" s="5">
        <f t="shared" si="24"/>
        <v>1215.4000000000001</v>
      </c>
      <c r="T49" s="5">
        <f t="shared" si="34"/>
        <v>214.6</v>
      </c>
      <c r="U49" s="5">
        <f t="shared" si="7"/>
        <v>1430</v>
      </c>
      <c r="V49" s="5">
        <f t="shared" si="25"/>
        <v>1440</v>
      </c>
      <c r="W49" s="5"/>
      <c r="X49" s="1"/>
      <c r="Y49" s="1">
        <f t="shared" si="32"/>
        <v>15.046598322460392</v>
      </c>
      <c r="Z49" s="1">
        <f t="shared" si="33"/>
        <v>8.3364398881640263</v>
      </c>
      <c r="AA49" s="1">
        <v>202.2</v>
      </c>
      <c r="AB49" s="1">
        <v>228.33333333333329</v>
      </c>
      <c r="AC49" s="1">
        <v>246.4</v>
      </c>
      <c r="AD49" s="1">
        <v>224.2</v>
      </c>
      <c r="AE49" s="1">
        <v>178.6</v>
      </c>
      <c r="AF49" s="1">
        <v>206.2</v>
      </c>
      <c r="AG49" s="1">
        <v>177.6</v>
      </c>
      <c r="AH49" s="1">
        <v>172.4</v>
      </c>
      <c r="AI49" s="1" t="s">
        <v>77</v>
      </c>
      <c r="AJ49" s="1">
        <f t="shared" si="26"/>
        <v>850.78</v>
      </c>
      <c r="AK49" s="8">
        <v>10</v>
      </c>
      <c r="AL49" s="10">
        <f t="shared" si="27"/>
        <v>144</v>
      </c>
      <c r="AM49" s="1">
        <f t="shared" si="28"/>
        <v>1007.9999999999999</v>
      </c>
      <c r="AN49" s="1">
        <v>12</v>
      </c>
      <c r="AO49" s="1">
        <v>84</v>
      </c>
      <c r="AP49" s="10">
        <f t="shared" si="29"/>
        <v>1.7142857142857142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99</v>
      </c>
      <c r="B50" s="1" t="s">
        <v>45</v>
      </c>
      <c r="C50" s="1">
        <v>18</v>
      </c>
      <c r="D50" s="1">
        <v>840</v>
      </c>
      <c r="E50" s="1">
        <v>338</v>
      </c>
      <c r="F50" s="1">
        <v>520</v>
      </c>
      <c r="G50" s="8">
        <v>0.7</v>
      </c>
      <c r="H50" s="1">
        <v>180</v>
      </c>
      <c r="I50" s="1" t="s">
        <v>51</v>
      </c>
      <c r="J50" s="1"/>
      <c r="K50" s="1">
        <v>336</v>
      </c>
      <c r="L50" s="1">
        <f t="shared" si="30"/>
        <v>2</v>
      </c>
      <c r="M50" s="1"/>
      <c r="N50" s="1"/>
      <c r="O50" s="1"/>
      <c r="P50" s="1">
        <v>120</v>
      </c>
      <c r="Q50" s="1"/>
      <c r="R50" s="1">
        <f t="shared" si="31"/>
        <v>67.599999999999994</v>
      </c>
      <c r="S50" s="5">
        <f t="shared" si="24"/>
        <v>306.39999999999986</v>
      </c>
      <c r="T50" s="5">
        <f t="shared" si="34"/>
        <v>67.599999999999994</v>
      </c>
      <c r="U50" s="5">
        <f t="shared" si="7"/>
        <v>373.99999999999989</v>
      </c>
      <c r="V50" s="5">
        <f t="shared" si="25"/>
        <v>360</v>
      </c>
      <c r="W50" s="5"/>
      <c r="X50" s="1"/>
      <c r="Y50" s="1">
        <f t="shared" si="32"/>
        <v>14.792899408284025</v>
      </c>
      <c r="Z50" s="1">
        <f t="shared" si="33"/>
        <v>9.4674556213017755</v>
      </c>
      <c r="AA50" s="1">
        <v>72.2</v>
      </c>
      <c r="AB50" s="1">
        <v>83.833333333333329</v>
      </c>
      <c r="AC50" s="1">
        <v>66.599999999999994</v>
      </c>
      <c r="AD50" s="1">
        <v>57</v>
      </c>
      <c r="AE50" s="1">
        <v>58.2</v>
      </c>
      <c r="AF50" s="1">
        <v>52</v>
      </c>
      <c r="AG50" s="1">
        <v>49</v>
      </c>
      <c r="AH50" s="1">
        <v>57.6</v>
      </c>
      <c r="AI50" s="1"/>
      <c r="AJ50" s="1">
        <f t="shared" si="26"/>
        <v>214.4799999999999</v>
      </c>
      <c r="AK50" s="8">
        <v>10</v>
      </c>
      <c r="AL50" s="10">
        <f t="shared" si="27"/>
        <v>36</v>
      </c>
      <c r="AM50" s="1">
        <f t="shared" si="28"/>
        <v>251.99999999999997</v>
      </c>
      <c r="AN50" s="1">
        <v>12</v>
      </c>
      <c r="AO50" s="1">
        <v>84</v>
      </c>
      <c r="AP50" s="10">
        <f t="shared" si="29"/>
        <v>0.42857142857142855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22" t="s">
        <v>100</v>
      </c>
      <c r="B51" s="1" t="s">
        <v>45</v>
      </c>
      <c r="C51" s="1"/>
      <c r="D51" s="1"/>
      <c r="E51" s="1"/>
      <c r="F51" s="1"/>
      <c r="G51" s="8">
        <v>0.7</v>
      </c>
      <c r="H51" s="1">
        <v>180</v>
      </c>
      <c r="I51" s="1" t="s">
        <v>51</v>
      </c>
      <c r="J51" s="1"/>
      <c r="K51" s="1"/>
      <c r="L51" s="1">
        <f t="shared" si="30"/>
        <v>0</v>
      </c>
      <c r="M51" s="1"/>
      <c r="N51" s="1"/>
      <c r="O51" s="1"/>
      <c r="P51" s="22"/>
      <c r="Q51" s="1"/>
      <c r="R51" s="1">
        <f t="shared" si="31"/>
        <v>0</v>
      </c>
      <c r="S51" s="23">
        <v>96</v>
      </c>
      <c r="T51" s="23"/>
      <c r="U51" s="5">
        <f t="shared" si="7"/>
        <v>96</v>
      </c>
      <c r="V51" s="5">
        <f t="shared" si="25"/>
        <v>96</v>
      </c>
      <c r="W51" s="5"/>
      <c r="X51" s="1"/>
      <c r="Y51" s="1" t="e">
        <f t="shared" si="32"/>
        <v>#DIV/0!</v>
      </c>
      <c r="Z51" s="1" t="e">
        <f t="shared" si="33"/>
        <v>#DIV/0!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22" t="s">
        <v>91</v>
      </c>
      <c r="AJ51" s="1">
        <f t="shared" si="26"/>
        <v>67.199999999999989</v>
      </c>
      <c r="AK51" s="8">
        <v>8</v>
      </c>
      <c r="AL51" s="10">
        <f t="shared" si="27"/>
        <v>12</v>
      </c>
      <c r="AM51" s="1">
        <f t="shared" si="28"/>
        <v>67.199999999999989</v>
      </c>
      <c r="AN51" s="1">
        <v>12</v>
      </c>
      <c r="AO51" s="1">
        <v>84</v>
      </c>
      <c r="AP51" s="10">
        <f t="shared" si="29"/>
        <v>0.14285714285714285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22" t="s">
        <v>101</v>
      </c>
      <c r="B52" s="1" t="s">
        <v>45</v>
      </c>
      <c r="C52" s="1"/>
      <c r="D52" s="1"/>
      <c r="E52" s="1"/>
      <c r="F52" s="1"/>
      <c r="G52" s="8">
        <v>0.7</v>
      </c>
      <c r="H52" s="1">
        <v>180</v>
      </c>
      <c r="I52" s="1" t="s">
        <v>51</v>
      </c>
      <c r="J52" s="1"/>
      <c r="K52" s="1"/>
      <c r="L52" s="1">
        <f t="shared" si="30"/>
        <v>0</v>
      </c>
      <c r="M52" s="1"/>
      <c r="N52" s="1"/>
      <c r="O52" s="1"/>
      <c r="P52" s="22"/>
      <c r="Q52" s="1"/>
      <c r="R52" s="1">
        <f t="shared" si="31"/>
        <v>0</v>
      </c>
      <c r="S52" s="23">
        <v>96</v>
      </c>
      <c r="T52" s="23"/>
      <c r="U52" s="5">
        <f t="shared" si="7"/>
        <v>96</v>
      </c>
      <c r="V52" s="5">
        <f t="shared" si="25"/>
        <v>96</v>
      </c>
      <c r="W52" s="5"/>
      <c r="X52" s="1"/>
      <c r="Y52" s="1" t="e">
        <f t="shared" si="32"/>
        <v>#DIV/0!</v>
      </c>
      <c r="Z52" s="1" t="e">
        <f t="shared" si="33"/>
        <v>#DIV/0!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22" t="s">
        <v>91</v>
      </c>
      <c r="AJ52" s="1">
        <f t="shared" si="26"/>
        <v>67.199999999999989</v>
      </c>
      <c r="AK52" s="8">
        <v>8</v>
      </c>
      <c r="AL52" s="10">
        <f t="shared" si="27"/>
        <v>12</v>
      </c>
      <c r="AM52" s="1">
        <f t="shared" si="28"/>
        <v>67.199999999999989</v>
      </c>
      <c r="AN52" s="1">
        <v>12</v>
      </c>
      <c r="AO52" s="1">
        <v>84</v>
      </c>
      <c r="AP52" s="10">
        <f t="shared" si="29"/>
        <v>0.14285714285714285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22" t="s">
        <v>102</v>
      </c>
      <c r="B53" s="1" t="s">
        <v>45</v>
      </c>
      <c r="C53" s="1"/>
      <c r="D53" s="1"/>
      <c r="E53" s="1"/>
      <c r="F53" s="1"/>
      <c r="G53" s="8">
        <v>0.7</v>
      </c>
      <c r="H53" s="1">
        <v>180</v>
      </c>
      <c r="I53" s="1" t="s">
        <v>51</v>
      </c>
      <c r="J53" s="1"/>
      <c r="K53" s="1"/>
      <c r="L53" s="1">
        <f t="shared" si="30"/>
        <v>0</v>
      </c>
      <c r="M53" s="1"/>
      <c r="N53" s="1"/>
      <c r="O53" s="1"/>
      <c r="P53" s="22"/>
      <c r="Q53" s="1"/>
      <c r="R53" s="1">
        <f t="shared" si="31"/>
        <v>0</v>
      </c>
      <c r="S53" s="23">
        <v>96</v>
      </c>
      <c r="T53" s="23"/>
      <c r="U53" s="5">
        <f t="shared" si="7"/>
        <v>96</v>
      </c>
      <c r="V53" s="5">
        <f t="shared" si="25"/>
        <v>96</v>
      </c>
      <c r="W53" s="5"/>
      <c r="X53" s="1"/>
      <c r="Y53" s="1" t="e">
        <f t="shared" si="32"/>
        <v>#DIV/0!</v>
      </c>
      <c r="Z53" s="1" t="e">
        <f t="shared" si="33"/>
        <v>#DIV/0!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22" t="s">
        <v>91</v>
      </c>
      <c r="AJ53" s="1">
        <f t="shared" si="26"/>
        <v>67.199999999999989</v>
      </c>
      <c r="AK53" s="8">
        <v>8</v>
      </c>
      <c r="AL53" s="10">
        <f t="shared" si="27"/>
        <v>12</v>
      </c>
      <c r="AM53" s="1">
        <f t="shared" si="28"/>
        <v>67.199999999999989</v>
      </c>
      <c r="AN53" s="1">
        <v>12</v>
      </c>
      <c r="AO53" s="1">
        <v>84</v>
      </c>
      <c r="AP53" s="10">
        <f t="shared" si="29"/>
        <v>0.14285714285714285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103</v>
      </c>
      <c r="B54" s="1" t="s">
        <v>45</v>
      </c>
      <c r="C54" s="1"/>
      <c r="D54" s="1">
        <v>605</v>
      </c>
      <c r="E54" s="1">
        <v>151</v>
      </c>
      <c r="F54" s="1">
        <v>434</v>
      </c>
      <c r="G54" s="8">
        <v>1</v>
      </c>
      <c r="H54" s="1">
        <v>180</v>
      </c>
      <c r="I54" s="1" t="s">
        <v>51</v>
      </c>
      <c r="J54" s="1"/>
      <c r="K54" s="1">
        <v>188</v>
      </c>
      <c r="L54" s="1">
        <f t="shared" si="30"/>
        <v>-37</v>
      </c>
      <c r="M54" s="1"/>
      <c r="N54" s="1"/>
      <c r="O54" s="1"/>
      <c r="P54" s="1">
        <v>0</v>
      </c>
      <c r="Q54" s="1"/>
      <c r="R54" s="1">
        <f t="shared" si="31"/>
        <v>30.2</v>
      </c>
      <c r="S54" s="5"/>
      <c r="T54" s="5"/>
      <c r="U54" s="5">
        <f t="shared" si="7"/>
        <v>0</v>
      </c>
      <c r="V54" s="5">
        <f t="shared" si="25"/>
        <v>0</v>
      </c>
      <c r="W54" s="5"/>
      <c r="X54" s="1"/>
      <c r="Y54" s="1">
        <f t="shared" si="32"/>
        <v>14.370860927152318</v>
      </c>
      <c r="Z54" s="1">
        <f t="shared" si="33"/>
        <v>14.370860927152318</v>
      </c>
      <c r="AA54" s="1">
        <v>41.6</v>
      </c>
      <c r="AB54" s="1">
        <v>57</v>
      </c>
      <c r="AC54" s="1">
        <v>32.200000000000003</v>
      </c>
      <c r="AD54" s="1">
        <v>40.4</v>
      </c>
      <c r="AE54" s="1">
        <v>45.4</v>
      </c>
      <c r="AF54" s="1">
        <v>41.6</v>
      </c>
      <c r="AG54" s="1">
        <v>32.799999999999997</v>
      </c>
      <c r="AH54" s="1">
        <v>38</v>
      </c>
      <c r="AI54" s="1"/>
      <c r="AJ54" s="1">
        <f t="shared" si="26"/>
        <v>0</v>
      </c>
      <c r="AK54" s="8">
        <v>5</v>
      </c>
      <c r="AL54" s="10">
        <f t="shared" si="27"/>
        <v>0</v>
      </c>
      <c r="AM54" s="1">
        <f t="shared" si="28"/>
        <v>0</v>
      </c>
      <c r="AN54" s="1">
        <v>12</v>
      </c>
      <c r="AO54" s="1">
        <v>84</v>
      </c>
      <c r="AP54" s="10">
        <f t="shared" si="29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22" t="s">
        <v>104</v>
      </c>
      <c r="B55" s="1" t="s">
        <v>45</v>
      </c>
      <c r="C55" s="1"/>
      <c r="D55" s="1"/>
      <c r="E55" s="1"/>
      <c r="F55" s="1"/>
      <c r="G55" s="8">
        <v>0.7</v>
      </c>
      <c r="H55" s="1">
        <v>180</v>
      </c>
      <c r="I55" s="1" t="s">
        <v>51</v>
      </c>
      <c r="J55" s="1"/>
      <c r="K55" s="1"/>
      <c r="L55" s="1">
        <f t="shared" si="30"/>
        <v>0</v>
      </c>
      <c r="M55" s="1"/>
      <c r="N55" s="1"/>
      <c r="O55" s="1"/>
      <c r="P55" s="22"/>
      <c r="Q55" s="1"/>
      <c r="R55" s="1">
        <f t="shared" si="31"/>
        <v>0</v>
      </c>
      <c r="S55" s="23">
        <v>96</v>
      </c>
      <c r="T55" s="23"/>
      <c r="U55" s="5">
        <f t="shared" si="7"/>
        <v>96</v>
      </c>
      <c r="V55" s="5">
        <f t="shared" si="25"/>
        <v>96</v>
      </c>
      <c r="W55" s="5"/>
      <c r="X55" s="1"/>
      <c r="Y55" s="1" t="e">
        <f t="shared" si="32"/>
        <v>#DIV/0!</v>
      </c>
      <c r="Z55" s="1" t="e">
        <f t="shared" si="33"/>
        <v>#DIV/0!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22" t="s">
        <v>91</v>
      </c>
      <c r="AJ55" s="1">
        <f t="shared" si="26"/>
        <v>67.199999999999989</v>
      </c>
      <c r="AK55" s="8">
        <v>8</v>
      </c>
      <c r="AL55" s="10">
        <f t="shared" si="27"/>
        <v>12</v>
      </c>
      <c r="AM55" s="1">
        <f t="shared" si="28"/>
        <v>67.199999999999989</v>
      </c>
      <c r="AN55" s="1">
        <v>12</v>
      </c>
      <c r="AO55" s="1">
        <v>84</v>
      </c>
      <c r="AP55" s="10">
        <f t="shared" si="29"/>
        <v>0.14285714285714285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105</v>
      </c>
      <c r="B56" s="1" t="s">
        <v>45</v>
      </c>
      <c r="C56" s="1">
        <v>409</v>
      </c>
      <c r="D56" s="1"/>
      <c r="E56" s="1">
        <v>212</v>
      </c>
      <c r="F56" s="1">
        <v>189</v>
      </c>
      <c r="G56" s="8">
        <v>0.9</v>
      </c>
      <c r="H56" s="1">
        <v>180</v>
      </c>
      <c r="I56" s="1" t="s">
        <v>51</v>
      </c>
      <c r="J56" s="1"/>
      <c r="K56" s="1">
        <v>220</v>
      </c>
      <c r="L56" s="1">
        <f t="shared" si="30"/>
        <v>-8</v>
      </c>
      <c r="M56" s="1"/>
      <c r="N56" s="1"/>
      <c r="O56" s="1">
        <v>66</v>
      </c>
      <c r="P56" s="1">
        <v>0</v>
      </c>
      <c r="Q56" s="1"/>
      <c r="R56" s="1">
        <f t="shared" si="31"/>
        <v>42.4</v>
      </c>
      <c r="S56" s="5">
        <f t="shared" si="24"/>
        <v>338.6</v>
      </c>
      <c r="T56" s="5"/>
      <c r="U56" s="5">
        <f t="shared" si="7"/>
        <v>338.6</v>
      </c>
      <c r="V56" s="5">
        <f t="shared" si="25"/>
        <v>384</v>
      </c>
      <c r="W56" s="5"/>
      <c r="X56" s="1"/>
      <c r="Y56" s="1">
        <f t="shared" si="32"/>
        <v>15.070754716981133</v>
      </c>
      <c r="Z56" s="1">
        <f t="shared" si="33"/>
        <v>6.0141509433962268</v>
      </c>
      <c r="AA56" s="1">
        <v>27.4</v>
      </c>
      <c r="AB56" s="1">
        <v>36</v>
      </c>
      <c r="AC56" s="1">
        <v>17.8</v>
      </c>
      <c r="AD56" s="1">
        <v>49.6</v>
      </c>
      <c r="AE56" s="1">
        <v>10.6</v>
      </c>
      <c r="AF56" s="1">
        <v>40.799999999999997</v>
      </c>
      <c r="AG56" s="1">
        <v>28</v>
      </c>
      <c r="AH56" s="1">
        <v>23.2</v>
      </c>
      <c r="AI56" s="1" t="s">
        <v>74</v>
      </c>
      <c r="AJ56" s="1">
        <f t="shared" si="26"/>
        <v>304.74</v>
      </c>
      <c r="AK56" s="8">
        <v>8</v>
      </c>
      <c r="AL56" s="10">
        <f t="shared" si="27"/>
        <v>48</v>
      </c>
      <c r="AM56" s="1">
        <f t="shared" si="28"/>
        <v>345.6</v>
      </c>
      <c r="AN56" s="1">
        <v>12</v>
      </c>
      <c r="AO56" s="1">
        <v>84</v>
      </c>
      <c r="AP56" s="10">
        <f t="shared" si="29"/>
        <v>0.5714285714285714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106</v>
      </c>
      <c r="B57" s="1" t="s">
        <v>45</v>
      </c>
      <c r="C57" s="1">
        <v>277</v>
      </c>
      <c r="D57" s="1">
        <v>288</v>
      </c>
      <c r="E57" s="1">
        <v>195</v>
      </c>
      <c r="F57" s="1">
        <v>370</v>
      </c>
      <c r="G57" s="8">
        <v>0.9</v>
      </c>
      <c r="H57" s="1">
        <v>180</v>
      </c>
      <c r="I57" s="1" t="s">
        <v>51</v>
      </c>
      <c r="J57" s="1"/>
      <c r="K57" s="1">
        <v>191</v>
      </c>
      <c r="L57" s="1">
        <f t="shared" si="30"/>
        <v>4</v>
      </c>
      <c r="M57" s="1"/>
      <c r="N57" s="1"/>
      <c r="O57" s="1"/>
      <c r="P57" s="1">
        <v>0</v>
      </c>
      <c r="Q57" s="1"/>
      <c r="R57" s="1">
        <f t="shared" si="31"/>
        <v>39</v>
      </c>
      <c r="S57" s="5">
        <f t="shared" si="24"/>
        <v>176</v>
      </c>
      <c r="T57" s="5"/>
      <c r="U57" s="5">
        <f t="shared" si="7"/>
        <v>176</v>
      </c>
      <c r="V57" s="5">
        <f t="shared" si="25"/>
        <v>192</v>
      </c>
      <c r="W57" s="5"/>
      <c r="X57" s="1"/>
      <c r="Y57" s="1">
        <f t="shared" si="32"/>
        <v>14.410256410256411</v>
      </c>
      <c r="Z57" s="1">
        <f t="shared" si="33"/>
        <v>9.4871794871794872</v>
      </c>
      <c r="AA57" s="1">
        <v>22</v>
      </c>
      <c r="AB57" s="1">
        <v>47.666666666666657</v>
      </c>
      <c r="AC57" s="1">
        <v>43</v>
      </c>
      <c r="AD57" s="1">
        <v>46.8</v>
      </c>
      <c r="AE57" s="1">
        <v>6</v>
      </c>
      <c r="AF57" s="1">
        <v>38.6</v>
      </c>
      <c r="AG57" s="1">
        <v>31.2</v>
      </c>
      <c r="AH57" s="1">
        <v>17</v>
      </c>
      <c r="AI57" s="1" t="s">
        <v>74</v>
      </c>
      <c r="AJ57" s="1">
        <f t="shared" si="26"/>
        <v>158.4</v>
      </c>
      <c r="AK57" s="8">
        <v>8</v>
      </c>
      <c r="AL57" s="10">
        <f t="shared" si="27"/>
        <v>24</v>
      </c>
      <c r="AM57" s="1">
        <f t="shared" si="28"/>
        <v>172.8</v>
      </c>
      <c r="AN57" s="1">
        <v>12</v>
      </c>
      <c r="AO57" s="1">
        <v>84</v>
      </c>
      <c r="AP57" s="10">
        <f t="shared" si="29"/>
        <v>0.2857142857142857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107</v>
      </c>
      <c r="B58" s="1" t="s">
        <v>53</v>
      </c>
      <c r="C58" s="1">
        <v>525</v>
      </c>
      <c r="D58" s="1">
        <v>70</v>
      </c>
      <c r="E58" s="1">
        <v>400</v>
      </c>
      <c r="F58" s="1">
        <v>185</v>
      </c>
      <c r="G58" s="8">
        <v>1</v>
      </c>
      <c r="H58" s="1">
        <v>180</v>
      </c>
      <c r="I58" s="1" t="s">
        <v>51</v>
      </c>
      <c r="J58" s="1"/>
      <c r="K58" s="1">
        <v>410</v>
      </c>
      <c r="L58" s="1">
        <f t="shared" si="30"/>
        <v>-10</v>
      </c>
      <c r="M58" s="1"/>
      <c r="N58" s="1"/>
      <c r="O58" s="1"/>
      <c r="P58" s="1">
        <v>0</v>
      </c>
      <c r="Q58" s="1">
        <v>840</v>
      </c>
      <c r="R58" s="1">
        <f t="shared" si="31"/>
        <v>80</v>
      </c>
      <c r="S58" s="5">
        <f t="shared" si="24"/>
        <v>95</v>
      </c>
      <c r="T58" s="5">
        <f t="shared" ref="T58:T59" si="35">$T$1*R58</f>
        <v>80</v>
      </c>
      <c r="U58" s="5">
        <f t="shared" si="7"/>
        <v>175</v>
      </c>
      <c r="V58" s="5">
        <f t="shared" si="25"/>
        <v>180</v>
      </c>
      <c r="W58" s="5"/>
      <c r="X58" s="1"/>
      <c r="Y58" s="1">
        <f t="shared" si="32"/>
        <v>15.0625</v>
      </c>
      <c r="Z58" s="1">
        <f t="shared" si="33"/>
        <v>12.8125</v>
      </c>
      <c r="AA58" s="1">
        <v>100</v>
      </c>
      <c r="AB58" s="1">
        <v>76.666666666666671</v>
      </c>
      <c r="AC58" s="1">
        <v>104</v>
      </c>
      <c r="AD58" s="1">
        <v>100</v>
      </c>
      <c r="AE58" s="1">
        <v>116</v>
      </c>
      <c r="AF58" s="1">
        <v>79</v>
      </c>
      <c r="AG58" s="1">
        <v>84</v>
      </c>
      <c r="AH58" s="1">
        <v>104</v>
      </c>
      <c r="AI58" s="1" t="s">
        <v>74</v>
      </c>
      <c r="AJ58" s="1">
        <f t="shared" si="26"/>
        <v>95</v>
      </c>
      <c r="AK58" s="8">
        <v>5</v>
      </c>
      <c r="AL58" s="10">
        <f t="shared" si="27"/>
        <v>36</v>
      </c>
      <c r="AM58" s="1">
        <f t="shared" si="28"/>
        <v>180</v>
      </c>
      <c r="AN58" s="1">
        <v>12</v>
      </c>
      <c r="AO58" s="1">
        <v>144</v>
      </c>
      <c r="AP58" s="10">
        <f t="shared" si="29"/>
        <v>0.25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108</v>
      </c>
      <c r="B59" s="1" t="s">
        <v>45</v>
      </c>
      <c r="C59" s="1">
        <v>770</v>
      </c>
      <c r="D59" s="1">
        <v>20</v>
      </c>
      <c r="E59" s="1">
        <v>698</v>
      </c>
      <c r="F59" s="1">
        <v>62</v>
      </c>
      <c r="G59" s="8">
        <v>1</v>
      </c>
      <c r="H59" s="1">
        <v>180</v>
      </c>
      <c r="I59" s="1" t="s">
        <v>51</v>
      </c>
      <c r="J59" s="1"/>
      <c r="K59" s="1">
        <v>714</v>
      </c>
      <c r="L59" s="1">
        <f t="shared" si="30"/>
        <v>-16</v>
      </c>
      <c r="M59" s="1"/>
      <c r="N59" s="1"/>
      <c r="O59" s="1">
        <v>625</v>
      </c>
      <c r="P59" s="1">
        <v>0</v>
      </c>
      <c r="Q59" s="1">
        <v>1080</v>
      </c>
      <c r="R59" s="1">
        <f t="shared" si="31"/>
        <v>139.6</v>
      </c>
      <c r="S59" s="5">
        <f t="shared" si="24"/>
        <v>187.39999999999986</v>
      </c>
      <c r="T59" s="5">
        <f t="shared" si="35"/>
        <v>139.6</v>
      </c>
      <c r="U59" s="5">
        <f t="shared" si="7"/>
        <v>326.99999999999989</v>
      </c>
      <c r="V59" s="5">
        <f t="shared" si="25"/>
        <v>300</v>
      </c>
      <c r="W59" s="5"/>
      <c r="X59" s="1"/>
      <c r="Y59" s="1">
        <f t="shared" si="32"/>
        <v>14.806590257879657</v>
      </c>
      <c r="Z59" s="1">
        <f t="shared" si="33"/>
        <v>12.657593123209169</v>
      </c>
      <c r="AA59" s="1">
        <v>155</v>
      </c>
      <c r="AB59" s="1">
        <v>143.66666666666671</v>
      </c>
      <c r="AC59" s="1">
        <v>167.2</v>
      </c>
      <c r="AD59" s="1">
        <v>154.6</v>
      </c>
      <c r="AE59" s="1">
        <v>131</v>
      </c>
      <c r="AF59" s="1">
        <v>153.6</v>
      </c>
      <c r="AG59" s="1">
        <v>113.6</v>
      </c>
      <c r="AH59" s="1">
        <v>116.4</v>
      </c>
      <c r="AI59" s="1" t="s">
        <v>74</v>
      </c>
      <c r="AJ59" s="1">
        <f t="shared" si="26"/>
        <v>187.39999999999986</v>
      </c>
      <c r="AK59" s="8">
        <v>5</v>
      </c>
      <c r="AL59" s="10">
        <f t="shared" si="27"/>
        <v>60</v>
      </c>
      <c r="AM59" s="1">
        <f t="shared" si="28"/>
        <v>300</v>
      </c>
      <c r="AN59" s="1">
        <v>12</v>
      </c>
      <c r="AO59" s="1">
        <v>84</v>
      </c>
      <c r="AP59" s="10">
        <f t="shared" si="29"/>
        <v>0.7142857142857143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8" t="s">
        <v>109</v>
      </c>
      <c r="B60" s="18" t="s">
        <v>45</v>
      </c>
      <c r="C60" s="18"/>
      <c r="D60" s="18"/>
      <c r="E60" s="18"/>
      <c r="F60" s="18"/>
      <c r="G60" s="19">
        <v>0</v>
      </c>
      <c r="H60" s="18">
        <v>180</v>
      </c>
      <c r="I60" s="18" t="s">
        <v>51</v>
      </c>
      <c r="J60" s="18"/>
      <c r="K60" s="18"/>
      <c r="L60" s="18">
        <f t="shared" si="30"/>
        <v>0</v>
      </c>
      <c r="M60" s="18"/>
      <c r="N60" s="18"/>
      <c r="O60" s="18"/>
      <c r="P60" s="18"/>
      <c r="Q60" s="18"/>
      <c r="R60" s="18">
        <f t="shared" si="31"/>
        <v>0</v>
      </c>
      <c r="S60" s="20"/>
      <c r="T60" s="20"/>
      <c r="U60" s="5">
        <f t="shared" si="7"/>
        <v>0</v>
      </c>
      <c r="V60" s="20"/>
      <c r="W60" s="20"/>
      <c r="X60" s="18"/>
      <c r="Y60" s="18" t="e">
        <f t="shared" si="32"/>
        <v>#DIV/0!</v>
      </c>
      <c r="Z60" s="18" t="e">
        <f t="shared" si="33"/>
        <v>#DIV/0!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 t="s">
        <v>62</v>
      </c>
      <c r="AJ60" s="18"/>
      <c r="AK60" s="19">
        <v>8</v>
      </c>
      <c r="AL60" s="21"/>
      <c r="AM60" s="18"/>
      <c r="AN60" s="18">
        <v>6</v>
      </c>
      <c r="AO60" s="18">
        <v>72</v>
      </c>
      <c r="AP60" s="2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8" t="s">
        <v>110</v>
      </c>
      <c r="B61" s="18" t="s">
        <v>53</v>
      </c>
      <c r="C61" s="18"/>
      <c r="D61" s="18"/>
      <c r="E61" s="18"/>
      <c r="F61" s="18"/>
      <c r="G61" s="19">
        <v>0</v>
      </c>
      <c r="H61" s="18">
        <v>180</v>
      </c>
      <c r="I61" s="18" t="s">
        <v>51</v>
      </c>
      <c r="J61" s="18"/>
      <c r="K61" s="18"/>
      <c r="L61" s="18">
        <f t="shared" si="30"/>
        <v>0</v>
      </c>
      <c r="M61" s="18"/>
      <c r="N61" s="18"/>
      <c r="O61" s="18"/>
      <c r="P61" s="18"/>
      <c r="Q61" s="18"/>
      <c r="R61" s="18">
        <f t="shared" si="31"/>
        <v>0</v>
      </c>
      <c r="S61" s="20"/>
      <c r="T61" s="20"/>
      <c r="U61" s="5">
        <f t="shared" si="7"/>
        <v>0</v>
      </c>
      <c r="V61" s="20"/>
      <c r="W61" s="20"/>
      <c r="X61" s="18"/>
      <c r="Y61" s="18" t="e">
        <f t="shared" si="32"/>
        <v>#DIV/0!</v>
      </c>
      <c r="Z61" s="18" t="e">
        <f t="shared" si="33"/>
        <v>#DIV/0!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 t="s">
        <v>62</v>
      </c>
      <c r="AJ61" s="18"/>
      <c r="AK61" s="19">
        <v>3.7</v>
      </c>
      <c r="AL61" s="21"/>
      <c r="AM61" s="18"/>
      <c r="AN61" s="18">
        <v>14</v>
      </c>
      <c r="AO61" s="18">
        <v>126</v>
      </c>
      <c r="AP61" s="2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111</v>
      </c>
      <c r="B62" s="1" t="s">
        <v>45</v>
      </c>
      <c r="C62" s="1">
        <v>136</v>
      </c>
      <c r="D62" s="1"/>
      <c r="E62" s="1">
        <v>15</v>
      </c>
      <c r="F62" s="1">
        <v>121</v>
      </c>
      <c r="G62" s="8">
        <v>0.09</v>
      </c>
      <c r="H62" s="1">
        <v>180</v>
      </c>
      <c r="I62" s="1" t="s">
        <v>51</v>
      </c>
      <c r="J62" s="1"/>
      <c r="K62" s="1">
        <v>15</v>
      </c>
      <c r="L62" s="1">
        <f t="shared" si="30"/>
        <v>0</v>
      </c>
      <c r="M62" s="1"/>
      <c r="N62" s="1"/>
      <c r="O62" s="1"/>
      <c r="P62" s="1">
        <v>0</v>
      </c>
      <c r="Q62" s="1"/>
      <c r="R62" s="1">
        <f t="shared" si="31"/>
        <v>3</v>
      </c>
      <c r="S62" s="5"/>
      <c r="T62" s="5"/>
      <c r="U62" s="5">
        <f t="shared" si="7"/>
        <v>0</v>
      </c>
      <c r="V62" s="5">
        <f t="shared" ref="V62:V71" si="36">AK62*AL62</f>
        <v>0</v>
      </c>
      <c r="W62" s="5"/>
      <c r="X62" s="1"/>
      <c r="Y62" s="1">
        <f t="shared" si="32"/>
        <v>40.333333333333336</v>
      </c>
      <c r="Z62" s="1">
        <f t="shared" si="33"/>
        <v>40.333333333333336</v>
      </c>
      <c r="AA62" s="1">
        <v>3</v>
      </c>
      <c r="AB62" s="1">
        <v>4.833333333333333</v>
      </c>
      <c r="AC62" s="1">
        <v>3</v>
      </c>
      <c r="AD62" s="1">
        <v>3.6</v>
      </c>
      <c r="AE62" s="1">
        <v>8.4</v>
      </c>
      <c r="AF62" s="1">
        <v>1.2</v>
      </c>
      <c r="AG62" s="1">
        <v>2.4</v>
      </c>
      <c r="AH62" s="1">
        <v>7.8</v>
      </c>
      <c r="AI62" s="28" t="s">
        <v>124</v>
      </c>
      <c r="AJ62" s="1">
        <f t="shared" ref="AJ62:AJ71" si="37">G62*S62</f>
        <v>0</v>
      </c>
      <c r="AK62" s="8">
        <v>30</v>
      </c>
      <c r="AL62" s="10">
        <f t="shared" ref="AL62:AL71" si="38">MROUND(U62, AK62*AN62)/AK62</f>
        <v>0</v>
      </c>
      <c r="AM62" s="1">
        <f t="shared" ref="AM62:AM71" si="39">AL62*AK62*G62</f>
        <v>0</v>
      </c>
      <c r="AN62" s="1">
        <v>14</v>
      </c>
      <c r="AO62" s="1">
        <v>126</v>
      </c>
      <c r="AP62" s="10">
        <f t="shared" ref="AP62:AP71" si="40">AL62/AO62</f>
        <v>0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112</v>
      </c>
      <c r="B63" s="1" t="s">
        <v>45</v>
      </c>
      <c r="C63" s="1">
        <v>373</v>
      </c>
      <c r="D63" s="1">
        <v>1644</v>
      </c>
      <c r="E63" s="1">
        <v>677</v>
      </c>
      <c r="F63" s="1">
        <v>1208</v>
      </c>
      <c r="G63" s="8">
        <v>0.25</v>
      </c>
      <c r="H63" s="1">
        <v>180</v>
      </c>
      <c r="I63" s="1" t="s">
        <v>51</v>
      </c>
      <c r="J63" s="1"/>
      <c r="K63" s="1">
        <v>797</v>
      </c>
      <c r="L63" s="1">
        <f t="shared" si="30"/>
        <v>-120</v>
      </c>
      <c r="M63" s="1"/>
      <c r="N63" s="1"/>
      <c r="O63" s="1"/>
      <c r="P63" s="1">
        <v>0</v>
      </c>
      <c r="Q63" s="1"/>
      <c r="R63" s="1">
        <f t="shared" si="31"/>
        <v>135.4</v>
      </c>
      <c r="S63" s="5">
        <f t="shared" ref="S63:S69" si="41">14*R63-Q63-P63-O63-F63</f>
        <v>687.60000000000014</v>
      </c>
      <c r="T63" s="5">
        <f>$T$1*R63</f>
        <v>135.4</v>
      </c>
      <c r="U63" s="5">
        <f t="shared" si="7"/>
        <v>823.00000000000011</v>
      </c>
      <c r="V63" s="5">
        <f t="shared" si="36"/>
        <v>840</v>
      </c>
      <c r="W63" s="5"/>
      <c r="X63" s="1"/>
      <c r="Y63" s="1">
        <f t="shared" si="32"/>
        <v>15.125553914327917</v>
      </c>
      <c r="Z63" s="1">
        <f t="shared" si="33"/>
        <v>8.9217134416543562</v>
      </c>
      <c r="AA63" s="1">
        <v>115.4</v>
      </c>
      <c r="AB63" s="1">
        <v>178.33333333333329</v>
      </c>
      <c r="AC63" s="1">
        <v>118.4</v>
      </c>
      <c r="AD63" s="1">
        <v>157.4</v>
      </c>
      <c r="AE63" s="1">
        <v>108.6</v>
      </c>
      <c r="AF63" s="1">
        <v>136</v>
      </c>
      <c r="AG63" s="1">
        <v>155</v>
      </c>
      <c r="AH63" s="1">
        <v>125.6</v>
      </c>
      <c r="AI63" s="1" t="s">
        <v>77</v>
      </c>
      <c r="AJ63" s="1">
        <f t="shared" si="37"/>
        <v>171.90000000000003</v>
      </c>
      <c r="AK63" s="8">
        <v>12</v>
      </c>
      <c r="AL63" s="10">
        <f t="shared" si="38"/>
        <v>70</v>
      </c>
      <c r="AM63" s="1">
        <f t="shared" si="39"/>
        <v>210</v>
      </c>
      <c r="AN63" s="1">
        <v>14</v>
      </c>
      <c r="AO63" s="1">
        <v>70</v>
      </c>
      <c r="AP63" s="10">
        <f t="shared" si="40"/>
        <v>1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113</v>
      </c>
      <c r="B64" s="1" t="s">
        <v>45</v>
      </c>
      <c r="C64" s="1">
        <v>190</v>
      </c>
      <c r="D64" s="1">
        <v>180</v>
      </c>
      <c r="E64" s="1">
        <v>196</v>
      </c>
      <c r="F64" s="1">
        <v>162</v>
      </c>
      <c r="G64" s="8">
        <v>0.25</v>
      </c>
      <c r="H64" s="1">
        <v>180</v>
      </c>
      <c r="I64" s="1" t="s">
        <v>51</v>
      </c>
      <c r="J64" s="1"/>
      <c r="K64" s="1">
        <v>195</v>
      </c>
      <c r="L64" s="1">
        <f t="shared" si="30"/>
        <v>1</v>
      </c>
      <c r="M64" s="1"/>
      <c r="N64" s="1"/>
      <c r="O64" s="1"/>
      <c r="P64" s="1">
        <v>504</v>
      </c>
      <c r="Q64" s="1"/>
      <c r="R64" s="1">
        <f t="shared" si="31"/>
        <v>39.200000000000003</v>
      </c>
      <c r="S64" s="5"/>
      <c r="T64" s="5"/>
      <c r="U64" s="5">
        <f t="shared" si="7"/>
        <v>0</v>
      </c>
      <c r="V64" s="5">
        <f t="shared" si="36"/>
        <v>0</v>
      </c>
      <c r="W64" s="5"/>
      <c r="X64" s="1"/>
      <c r="Y64" s="1">
        <f t="shared" si="32"/>
        <v>16.989795918367346</v>
      </c>
      <c r="Z64" s="1">
        <f t="shared" si="33"/>
        <v>16.989795918367346</v>
      </c>
      <c r="AA64" s="1">
        <v>57</v>
      </c>
      <c r="AB64" s="1">
        <v>44.333333333333343</v>
      </c>
      <c r="AC64" s="1">
        <v>42</v>
      </c>
      <c r="AD64" s="1">
        <v>55.2</v>
      </c>
      <c r="AE64" s="1">
        <v>32</v>
      </c>
      <c r="AF64" s="1">
        <v>38.4</v>
      </c>
      <c r="AG64" s="1">
        <v>29.6</v>
      </c>
      <c r="AH64" s="1">
        <v>58.8</v>
      </c>
      <c r="AI64" s="1"/>
      <c r="AJ64" s="1">
        <f t="shared" si="37"/>
        <v>0</v>
      </c>
      <c r="AK64" s="8">
        <v>12</v>
      </c>
      <c r="AL64" s="10">
        <f t="shared" si="38"/>
        <v>0</v>
      </c>
      <c r="AM64" s="1">
        <f t="shared" si="39"/>
        <v>0</v>
      </c>
      <c r="AN64" s="1">
        <v>14</v>
      </c>
      <c r="AO64" s="1">
        <v>70</v>
      </c>
      <c r="AP64" s="10">
        <f t="shared" si="40"/>
        <v>0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114</v>
      </c>
      <c r="B65" s="1" t="s">
        <v>45</v>
      </c>
      <c r="C65" s="1">
        <v>546</v>
      </c>
      <c r="D65" s="1">
        <v>984</v>
      </c>
      <c r="E65" s="1">
        <v>726</v>
      </c>
      <c r="F65" s="1">
        <v>675</v>
      </c>
      <c r="G65" s="8">
        <v>0.3</v>
      </c>
      <c r="H65" s="1">
        <v>180</v>
      </c>
      <c r="I65" s="1" t="s">
        <v>51</v>
      </c>
      <c r="J65" s="1"/>
      <c r="K65" s="1">
        <v>848</v>
      </c>
      <c r="L65" s="1">
        <f t="shared" si="30"/>
        <v>-122</v>
      </c>
      <c r="M65" s="1"/>
      <c r="N65" s="1"/>
      <c r="O65" s="1">
        <v>318</v>
      </c>
      <c r="P65" s="1">
        <v>504</v>
      </c>
      <c r="Q65" s="1"/>
      <c r="R65" s="1">
        <f t="shared" si="31"/>
        <v>145.19999999999999</v>
      </c>
      <c r="S65" s="5">
        <f t="shared" si="41"/>
        <v>535.79999999999973</v>
      </c>
      <c r="T65" s="5">
        <f t="shared" ref="T65:T66" si="42">$T$1*R65</f>
        <v>145.19999999999999</v>
      </c>
      <c r="U65" s="5">
        <f t="shared" si="7"/>
        <v>680.99999999999977</v>
      </c>
      <c r="V65" s="5">
        <f t="shared" si="36"/>
        <v>672</v>
      </c>
      <c r="W65" s="5"/>
      <c r="X65" s="1"/>
      <c r="Y65" s="1">
        <f t="shared" si="32"/>
        <v>14.938016528925621</v>
      </c>
      <c r="Z65" s="1">
        <f t="shared" si="33"/>
        <v>10.309917355371901</v>
      </c>
      <c r="AA65" s="1">
        <v>132.80000000000001</v>
      </c>
      <c r="AB65" s="1">
        <v>173.66666666666671</v>
      </c>
      <c r="AC65" s="1">
        <v>137.6</v>
      </c>
      <c r="AD65" s="1">
        <v>169.8</v>
      </c>
      <c r="AE65" s="1">
        <v>116.4</v>
      </c>
      <c r="AF65" s="1">
        <v>177.4</v>
      </c>
      <c r="AG65" s="1">
        <v>136</v>
      </c>
      <c r="AH65" s="1">
        <v>134.4</v>
      </c>
      <c r="AI65" s="1"/>
      <c r="AJ65" s="1">
        <f t="shared" si="37"/>
        <v>160.73999999999992</v>
      </c>
      <c r="AK65" s="8">
        <v>12</v>
      </c>
      <c r="AL65" s="10">
        <f t="shared" si="38"/>
        <v>56</v>
      </c>
      <c r="AM65" s="1">
        <f t="shared" si="39"/>
        <v>201.6</v>
      </c>
      <c r="AN65" s="1">
        <v>14</v>
      </c>
      <c r="AO65" s="1">
        <v>70</v>
      </c>
      <c r="AP65" s="10">
        <f t="shared" si="40"/>
        <v>0.8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115</v>
      </c>
      <c r="B66" s="1" t="s">
        <v>45</v>
      </c>
      <c r="C66" s="1">
        <v>920</v>
      </c>
      <c r="D66" s="1">
        <v>816</v>
      </c>
      <c r="E66" s="1">
        <v>638</v>
      </c>
      <c r="F66" s="1">
        <v>969</v>
      </c>
      <c r="G66" s="8">
        <v>0.3</v>
      </c>
      <c r="H66" s="1">
        <v>180</v>
      </c>
      <c r="I66" s="1" t="s">
        <v>51</v>
      </c>
      <c r="J66" s="1"/>
      <c r="K66" s="1">
        <v>768</v>
      </c>
      <c r="L66" s="1">
        <f t="shared" si="30"/>
        <v>-130</v>
      </c>
      <c r="M66" s="1"/>
      <c r="N66" s="1"/>
      <c r="O66" s="1"/>
      <c r="P66" s="1">
        <v>168</v>
      </c>
      <c r="Q66" s="1"/>
      <c r="R66" s="1">
        <f t="shared" si="31"/>
        <v>127.6</v>
      </c>
      <c r="S66" s="5">
        <f t="shared" si="41"/>
        <v>649.39999999999986</v>
      </c>
      <c r="T66" s="5">
        <f t="shared" si="42"/>
        <v>127.6</v>
      </c>
      <c r="U66" s="5">
        <f t="shared" si="7"/>
        <v>776.99999999999989</v>
      </c>
      <c r="V66" s="5">
        <f t="shared" si="36"/>
        <v>840</v>
      </c>
      <c r="W66" s="5"/>
      <c r="X66" s="1"/>
      <c r="Y66" s="1">
        <f t="shared" si="32"/>
        <v>15.493730407523511</v>
      </c>
      <c r="Z66" s="1">
        <f t="shared" si="33"/>
        <v>8.9106583072100314</v>
      </c>
      <c r="AA66" s="1">
        <v>127.8</v>
      </c>
      <c r="AB66" s="1">
        <v>155</v>
      </c>
      <c r="AC66" s="1">
        <v>119.2</v>
      </c>
      <c r="AD66" s="1">
        <v>184.6</v>
      </c>
      <c r="AE66" s="1">
        <v>96.6</v>
      </c>
      <c r="AF66" s="1">
        <v>135.4</v>
      </c>
      <c r="AG66" s="1">
        <v>144.4</v>
      </c>
      <c r="AH66" s="1">
        <v>81.599999999999994</v>
      </c>
      <c r="AI66" s="1"/>
      <c r="AJ66" s="1">
        <f t="shared" si="37"/>
        <v>194.81999999999996</v>
      </c>
      <c r="AK66" s="8">
        <v>12</v>
      </c>
      <c r="AL66" s="10">
        <f t="shared" si="38"/>
        <v>70</v>
      </c>
      <c r="AM66" s="1">
        <f t="shared" si="39"/>
        <v>252</v>
      </c>
      <c r="AN66" s="1">
        <v>14</v>
      </c>
      <c r="AO66" s="1">
        <v>70</v>
      </c>
      <c r="AP66" s="10">
        <f t="shared" si="40"/>
        <v>1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116</v>
      </c>
      <c r="B67" s="1" t="s">
        <v>45</v>
      </c>
      <c r="C67" s="1">
        <v>106</v>
      </c>
      <c r="D67" s="1">
        <v>14</v>
      </c>
      <c r="E67" s="1">
        <v>60</v>
      </c>
      <c r="F67" s="1">
        <v>60</v>
      </c>
      <c r="G67" s="8">
        <v>0.3</v>
      </c>
      <c r="H67" s="1">
        <v>180</v>
      </c>
      <c r="I67" s="1" t="s">
        <v>51</v>
      </c>
      <c r="J67" s="1"/>
      <c r="K67" s="1">
        <v>88</v>
      </c>
      <c r="L67" s="1">
        <f t="shared" si="30"/>
        <v>-28</v>
      </c>
      <c r="M67" s="1"/>
      <c r="N67" s="1"/>
      <c r="O67" s="1">
        <v>400</v>
      </c>
      <c r="P67" s="1">
        <v>196</v>
      </c>
      <c r="Q67" s="1"/>
      <c r="R67" s="1">
        <f t="shared" si="31"/>
        <v>12</v>
      </c>
      <c r="S67" s="5"/>
      <c r="T67" s="5"/>
      <c r="U67" s="5">
        <f t="shared" si="7"/>
        <v>0</v>
      </c>
      <c r="V67" s="5">
        <f t="shared" si="36"/>
        <v>0</v>
      </c>
      <c r="W67" s="5"/>
      <c r="X67" s="1"/>
      <c r="Y67" s="1">
        <f t="shared" si="32"/>
        <v>54.666666666666664</v>
      </c>
      <c r="Z67" s="1">
        <f t="shared" si="33"/>
        <v>54.666666666666664</v>
      </c>
      <c r="AA67" s="1">
        <v>21.4</v>
      </c>
      <c r="AB67" s="1">
        <v>22.166666666666671</v>
      </c>
      <c r="AC67" s="1">
        <v>16.600000000000001</v>
      </c>
      <c r="AD67" s="1">
        <v>13.8</v>
      </c>
      <c r="AE67" s="1">
        <v>12.2</v>
      </c>
      <c r="AF67" s="1">
        <v>18.2</v>
      </c>
      <c r="AG67" s="1">
        <v>13.2</v>
      </c>
      <c r="AH67" s="1">
        <v>33</v>
      </c>
      <c r="AI67" s="1"/>
      <c r="AJ67" s="1">
        <f t="shared" si="37"/>
        <v>0</v>
      </c>
      <c r="AK67" s="8">
        <v>14</v>
      </c>
      <c r="AL67" s="10">
        <f t="shared" si="38"/>
        <v>0</v>
      </c>
      <c r="AM67" s="1">
        <f t="shared" si="39"/>
        <v>0</v>
      </c>
      <c r="AN67" s="1">
        <v>14</v>
      </c>
      <c r="AO67" s="1">
        <v>70</v>
      </c>
      <c r="AP67" s="10">
        <f t="shared" si="40"/>
        <v>0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117</v>
      </c>
      <c r="B68" s="1" t="s">
        <v>45</v>
      </c>
      <c r="C68" s="1">
        <v>619</v>
      </c>
      <c r="D68" s="1">
        <v>1734</v>
      </c>
      <c r="E68" s="1">
        <v>787</v>
      </c>
      <c r="F68" s="1">
        <v>1527</v>
      </c>
      <c r="G68" s="8">
        <v>0.25</v>
      </c>
      <c r="H68" s="1">
        <v>180</v>
      </c>
      <c r="I68" s="1" t="s">
        <v>51</v>
      </c>
      <c r="J68" s="1"/>
      <c r="K68" s="1">
        <v>807</v>
      </c>
      <c r="L68" s="1">
        <f t="shared" si="30"/>
        <v>-20</v>
      </c>
      <c r="M68" s="1"/>
      <c r="N68" s="1"/>
      <c r="O68" s="1"/>
      <c r="P68" s="1">
        <v>168</v>
      </c>
      <c r="Q68" s="1"/>
      <c r="R68" s="1">
        <f t="shared" si="31"/>
        <v>157.4</v>
      </c>
      <c r="S68" s="5">
        <f t="shared" si="41"/>
        <v>508.59999999999991</v>
      </c>
      <c r="T68" s="5">
        <f t="shared" ref="T68:T69" si="43">$T$1*R68</f>
        <v>157.4</v>
      </c>
      <c r="U68" s="5">
        <f t="shared" si="7"/>
        <v>665.99999999999989</v>
      </c>
      <c r="V68" s="5">
        <f t="shared" si="36"/>
        <v>672</v>
      </c>
      <c r="W68" s="5"/>
      <c r="X68" s="1"/>
      <c r="Y68" s="1">
        <f t="shared" si="32"/>
        <v>15.038119440914866</v>
      </c>
      <c r="Z68" s="1">
        <f t="shared" si="33"/>
        <v>10.768742058449808</v>
      </c>
      <c r="AA68" s="1">
        <v>178.2</v>
      </c>
      <c r="AB68" s="1">
        <v>229.5</v>
      </c>
      <c r="AC68" s="1">
        <v>170.6</v>
      </c>
      <c r="AD68" s="1">
        <v>218.2</v>
      </c>
      <c r="AE68" s="1">
        <v>174.4</v>
      </c>
      <c r="AF68" s="1">
        <v>189</v>
      </c>
      <c r="AG68" s="1">
        <v>174.2</v>
      </c>
      <c r="AH68" s="1">
        <v>151.6</v>
      </c>
      <c r="AI68" s="1"/>
      <c r="AJ68" s="1">
        <f t="shared" si="37"/>
        <v>127.14999999999998</v>
      </c>
      <c r="AK68" s="8">
        <v>12</v>
      </c>
      <c r="AL68" s="10">
        <f t="shared" si="38"/>
        <v>56</v>
      </c>
      <c r="AM68" s="1">
        <f t="shared" si="39"/>
        <v>168</v>
      </c>
      <c r="AN68" s="1">
        <v>14</v>
      </c>
      <c r="AO68" s="1">
        <v>70</v>
      </c>
      <c r="AP68" s="10">
        <f t="shared" si="40"/>
        <v>0.8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118</v>
      </c>
      <c r="B69" s="1" t="s">
        <v>45</v>
      </c>
      <c r="C69" s="1">
        <v>792</v>
      </c>
      <c r="D69" s="1">
        <v>2022</v>
      </c>
      <c r="E69" s="1">
        <v>868</v>
      </c>
      <c r="F69" s="1">
        <v>1786</v>
      </c>
      <c r="G69" s="8">
        <v>0.25</v>
      </c>
      <c r="H69" s="1">
        <v>180</v>
      </c>
      <c r="I69" s="1" t="s">
        <v>51</v>
      </c>
      <c r="J69" s="1"/>
      <c r="K69" s="1">
        <v>1008</v>
      </c>
      <c r="L69" s="1">
        <f t="shared" si="30"/>
        <v>-140</v>
      </c>
      <c r="M69" s="1"/>
      <c r="N69" s="1"/>
      <c r="O69" s="1"/>
      <c r="P69" s="1">
        <v>0</v>
      </c>
      <c r="Q69" s="1"/>
      <c r="R69" s="1">
        <f t="shared" si="31"/>
        <v>173.6</v>
      </c>
      <c r="S69" s="5">
        <f t="shared" si="41"/>
        <v>644.40000000000009</v>
      </c>
      <c r="T69" s="5">
        <f t="shared" si="43"/>
        <v>173.6</v>
      </c>
      <c r="U69" s="5">
        <f t="shared" si="7"/>
        <v>818.00000000000011</v>
      </c>
      <c r="V69" s="5">
        <f t="shared" si="36"/>
        <v>840</v>
      </c>
      <c r="W69" s="5"/>
      <c r="X69" s="1"/>
      <c r="Y69" s="1">
        <f t="shared" si="32"/>
        <v>15.126728110599078</v>
      </c>
      <c r="Z69" s="1">
        <f t="shared" si="33"/>
        <v>10.288018433179724</v>
      </c>
      <c r="AA69" s="1">
        <v>188</v>
      </c>
      <c r="AB69" s="1">
        <v>259.83333333333331</v>
      </c>
      <c r="AC69" s="1">
        <v>171</v>
      </c>
      <c r="AD69" s="1">
        <v>242</v>
      </c>
      <c r="AE69" s="1">
        <v>155.19999999999999</v>
      </c>
      <c r="AF69" s="1">
        <v>221.6</v>
      </c>
      <c r="AG69" s="1">
        <v>169.2</v>
      </c>
      <c r="AH69" s="1">
        <v>178</v>
      </c>
      <c r="AI69" s="1" t="s">
        <v>74</v>
      </c>
      <c r="AJ69" s="1">
        <f t="shared" si="37"/>
        <v>161.10000000000002</v>
      </c>
      <c r="AK69" s="8">
        <v>12</v>
      </c>
      <c r="AL69" s="10">
        <f t="shared" si="38"/>
        <v>70</v>
      </c>
      <c r="AM69" s="1">
        <f t="shared" si="39"/>
        <v>210</v>
      </c>
      <c r="AN69" s="1">
        <v>14</v>
      </c>
      <c r="AO69" s="1">
        <v>70</v>
      </c>
      <c r="AP69" s="10">
        <f t="shared" si="40"/>
        <v>1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119</v>
      </c>
      <c r="B70" s="1" t="s">
        <v>53</v>
      </c>
      <c r="C70" s="1">
        <v>167</v>
      </c>
      <c r="D70" s="1"/>
      <c r="E70" s="1">
        <v>13.5</v>
      </c>
      <c r="F70" s="1">
        <v>153.5</v>
      </c>
      <c r="G70" s="8">
        <v>1</v>
      </c>
      <c r="H70" s="1">
        <v>180</v>
      </c>
      <c r="I70" s="1" t="s">
        <v>51</v>
      </c>
      <c r="J70" s="1"/>
      <c r="K70" s="1">
        <v>13.1</v>
      </c>
      <c r="L70" s="1">
        <f t="shared" ref="L70:L73" si="44">E70-K70</f>
        <v>0.40000000000000036</v>
      </c>
      <c r="M70" s="1"/>
      <c r="N70" s="1"/>
      <c r="O70" s="1"/>
      <c r="P70" s="1">
        <v>0</v>
      </c>
      <c r="Q70" s="1"/>
      <c r="R70" s="1">
        <f t="shared" si="31"/>
        <v>2.7</v>
      </c>
      <c r="S70" s="5"/>
      <c r="T70" s="5"/>
      <c r="U70" s="5">
        <f t="shared" si="7"/>
        <v>0</v>
      </c>
      <c r="V70" s="5">
        <f t="shared" si="36"/>
        <v>0</v>
      </c>
      <c r="W70" s="5"/>
      <c r="X70" s="1"/>
      <c r="Y70" s="1">
        <f t="shared" si="32"/>
        <v>56.851851851851848</v>
      </c>
      <c r="Z70" s="1">
        <f t="shared" si="33"/>
        <v>56.851851851851848</v>
      </c>
      <c r="AA70" s="1">
        <v>9.2200000000000006</v>
      </c>
      <c r="AB70" s="1">
        <v>3.15</v>
      </c>
      <c r="AC70" s="1">
        <v>6.48</v>
      </c>
      <c r="AD70" s="1">
        <v>18.899999999999999</v>
      </c>
      <c r="AE70" s="1">
        <v>3.24</v>
      </c>
      <c r="AF70" s="1">
        <v>1.08</v>
      </c>
      <c r="AG70" s="1">
        <v>11.34</v>
      </c>
      <c r="AH70" s="1">
        <v>6.48</v>
      </c>
      <c r="AI70" s="28" t="s">
        <v>124</v>
      </c>
      <c r="AJ70" s="1">
        <f t="shared" si="37"/>
        <v>0</v>
      </c>
      <c r="AK70" s="8">
        <v>2.7</v>
      </c>
      <c r="AL70" s="10">
        <f t="shared" si="38"/>
        <v>0</v>
      </c>
      <c r="AM70" s="1">
        <f t="shared" si="39"/>
        <v>0</v>
      </c>
      <c r="AN70" s="1">
        <v>14</v>
      </c>
      <c r="AO70" s="1">
        <v>126</v>
      </c>
      <c r="AP70" s="10">
        <f t="shared" si="40"/>
        <v>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26" t="s">
        <v>120</v>
      </c>
      <c r="B71" s="1" t="s">
        <v>53</v>
      </c>
      <c r="C71" s="1"/>
      <c r="D71" s="1"/>
      <c r="E71" s="25">
        <f>0+E72</f>
        <v>380</v>
      </c>
      <c r="F71" s="25">
        <f>0+F72</f>
        <v>385</v>
      </c>
      <c r="G71" s="8">
        <v>1</v>
      </c>
      <c r="H71" s="1">
        <v>180</v>
      </c>
      <c r="I71" s="1" t="s">
        <v>51</v>
      </c>
      <c r="J71" s="1"/>
      <c r="K71" s="1"/>
      <c r="L71" s="1">
        <f t="shared" si="44"/>
        <v>380</v>
      </c>
      <c r="M71" s="1"/>
      <c r="N71" s="1"/>
      <c r="O71" s="1">
        <v>135</v>
      </c>
      <c r="P71" s="1">
        <v>0</v>
      </c>
      <c r="Q71" s="1">
        <v>780</v>
      </c>
      <c r="R71" s="1">
        <f t="shared" si="31"/>
        <v>76</v>
      </c>
      <c r="S71" s="5"/>
      <c r="T71" s="5"/>
      <c r="U71" s="5">
        <f t="shared" si="7"/>
        <v>0</v>
      </c>
      <c r="V71" s="5">
        <f t="shared" si="36"/>
        <v>0</v>
      </c>
      <c r="W71" s="5"/>
      <c r="X71" s="1"/>
      <c r="Y71" s="1">
        <f t="shared" si="32"/>
        <v>17.105263157894736</v>
      </c>
      <c r="Z71" s="1">
        <f t="shared" si="33"/>
        <v>17.105263157894736</v>
      </c>
      <c r="AA71" s="1">
        <v>113</v>
      </c>
      <c r="AB71" s="1">
        <v>90.833333333333329</v>
      </c>
      <c r="AC71" s="1">
        <v>129</v>
      </c>
      <c r="AD71" s="1">
        <v>86</v>
      </c>
      <c r="AE71" s="1">
        <v>113</v>
      </c>
      <c r="AF71" s="1">
        <v>93</v>
      </c>
      <c r="AG71" s="1">
        <v>70</v>
      </c>
      <c r="AH71" s="1">
        <v>89</v>
      </c>
      <c r="AI71" s="1"/>
      <c r="AJ71" s="1">
        <f t="shared" si="37"/>
        <v>0</v>
      </c>
      <c r="AK71" s="8">
        <v>5</v>
      </c>
      <c r="AL71" s="10">
        <f t="shared" si="38"/>
        <v>0</v>
      </c>
      <c r="AM71" s="1">
        <f t="shared" si="39"/>
        <v>0</v>
      </c>
      <c r="AN71" s="1">
        <v>12</v>
      </c>
      <c r="AO71" s="1">
        <v>84</v>
      </c>
      <c r="AP71" s="10">
        <f t="shared" si="40"/>
        <v>0</v>
      </c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4" t="s">
        <v>121</v>
      </c>
      <c r="B72" s="14" t="s">
        <v>53</v>
      </c>
      <c r="C72" s="14">
        <v>765</v>
      </c>
      <c r="D72" s="14"/>
      <c r="E72" s="25">
        <v>380</v>
      </c>
      <c r="F72" s="25">
        <v>385</v>
      </c>
      <c r="G72" s="15">
        <v>0</v>
      </c>
      <c r="H72" s="14">
        <v>180</v>
      </c>
      <c r="I72" s="14" t="s">
        <v>122</v>
      </c>
      <c r="J72" s="14" t="s">
        <v>120</v>
      </c>
      <c r="K72" s="14">
        <v>380</v>
      </c>
      <c r="L72" s="14">
        <f t="shared" si="44"/>
        <v>0</v>
      </c>
      <c r="M72" s="14"/>
      <c r="N72" s="14"/>
      <c r="O72" s="14"/>
      <c r="P72" s="14"/>
      <c r="Q72" s="14"/>
      <c r="R72" s="14">
        <f t="shared" si="31"/>
        <v>76</v>
      </c>
      <c r="S72" s="16"/>
      <c r="T72" s="16"/>
      <c r="U72" s="5">
        <f t="shared" si="7"/>
        <v>0</v>
      </c>
      <c r="V72" s="16"/>
      <c r="W72" s="16"/>
      <c r="X72" s="14"/>
      <c r="Y72" s="14">
        <f t="shared" si="32"/>
        <v>5.0657894736842106</v>
      </c>
      <c r="Z72" s="14">
        <f t="shared" si="33"/>
        <v>5.0657894736842106</v>
      </c>
      <c r="AA72" s="14">
        <v>113</v>
      </c>
      <c r="AB72" s="14">
        <v>90.833333333333329</v>
      </c>
      <c r="AC72" s="14">
        <v>129</v>
      </c>
      <c r="AD72" s="14">
        <v>86</v>
      </c>
      <c r="AE72" s="14">
        <v>113</v>
      </c>
      <c r="AF72" s="14">
        <v>93</v>
      </c>
      <c r="AG72" s="14">
        <v>28</v>
      </c>
      <c r="AH72" s="14">
        <v>11</v>
      </c>
      <c r="AI72" s="14"/>
      <c r="AJ72" s="14"/>
      <c r="AK72" s="15"/>
      <c r="AL72" s="17"/>
      <c r="AM72" s="14"/>
      <c r="AN72" s="14"/>
      <c r="AO72" s="14"/>
      <c r="AP72" s="17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22" t="s">
        <v>123</v>
      </c>
      <c r="B73" s="1" t="s">
        <v>45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51</v>
      </c>
      <c r="J73" s="1"/>
      <c r="K73" s="1"/>
      <c r="L73" s="1">
        <f t="shared" si="44"/>
        <v>0</v>
      </c>
      <c r="M73" s="1"/>
      <c r="N73" s="1"/>
      <c r="O73" s="1"/>
      <c r="P73" s="22"/>
      <c r="Q73" s="1"/>
      <c r="R73" s="1">
        <f t="shared" si="31"/>
        <v>0</v>
      </c>
      <c r="S73" s="23">
        <v>264</v>
      </c>
      <c r="T73" s="23"/>
      <c r="U73" s="5">
        <f t="shared" ref="U73" si="45">T73+S73</f>
        <v>264</v>
      </c>
      <c r="V73" s="5">
        <f>AK73*AL73</f>
        <v>264</v>
      </c>
      <c r="W73" s="5"/>
      <c r="X73" s="1"/>
      <c r="Y73" s="1" t="e">
        <f t="shared" si="32"/>
        <v>#DIV/0!</v>
      </c>
      <c r="Z73" s="1" t="e">
        <f t="shared" si="33"/>
        <v>#DIV/0!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22" t="s">
        <v>91</v>
      </c>
      <c r="AJ73" s="1">
        <f>G73*S73</f>
        <v>36.96</v>
      </c>
      <c r="AK73" s="8">
        <v>22</v>
      </c>
      <c r="AL73" s="10">
        <f>MROUND(U73, AK73*AN73)/AK73</f>
        <v>12</v>
      </c>
      <c r="AM73" s="1">
        <f>AL73*AK73*G73</f>
        <v>36.96</v>
      </c>
      <c r="AN73" s="1">
        <v>12</v>
      </c>
      <c r="AO73" s="1">
        <v>84</v>
      </c>
      <c r="AP73" s="10">
        <f>AL73/AO73</f>
        <v>0.14285714285714285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8"/>
      <c r="AL74" s="10"/>
      <c r="AM74" s="1"/>
      <c r="AN74" s="1"/>
      <c r="AO74" s="1"/>
      <c r="AP74" s="10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8"/>
      <c r="AL75" s="10"/>
      <c r="AM75" s="1"/>
      <c r="AN75" s="1"/>
      <c r="AO75" s="1"/>
      <c r="AP75" s="10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8"/>
      <c r="AL76" s="10"/>
      <c r="AM76" s="1"/>
      <c r="AN76" s="1"/>
      <c r="AO76" s="1"/>
      <c r="AP76" s="10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8"/>
      <c r="AL77" s="10"/>
      <c r="AM77" s="1"/>
      <c r="AN77" s="1"/>
      <c r="AO77" s="1"/>
      <c r="AP77" s="10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8"/>
      <c r="AL78" s="10"/>
      <c r="AM78" s="1"/>
      <c r="AN78" s="1"/>
      <c r="AO78" s="1"/>
      <c r="AP78" s="10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8"/>
      <c r="AL79" s="10"/>
      <c r="AM79" s="1"/>
      <c r="AN79" s="1"/>
      <c r="AO79" s="1"/>
      <c r="AP79" s="10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8"/>
      <c r="AL80" s="10"/>
      <c r="AM80" s="1"/>
      <c r="AN80" s="1"/>
      <c r="AO80" s="1"/>
      <c r="AP80" s="10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8"/>
      <c r="AL81" s="10"/>
      <c r="AM81" s="1"/>
      <c r="AN81" s="1"/>
      <c r="AO81" s="1"/>
      <c r="AP81" s="10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8"/>
      <c r="AL82" s="10"/>
      <c r="AM82" s="1"/>
      <c r="AN82" s="1"/>
      <c r="AO82" s="1"/>
      <c r="AP82" s="10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8"/>
      <c r="AL83" s="10"/>
      <c r="AM83" s="1"/>
      <c r="AN83" s="1"/>
      <c r="AO83" s="1"/>
      <c r="AP83" s="10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8"/>
      <c r="AL84" s="10"/>
      <c r="AM84" s="1"/>
      <c r="AN84" s="1"/>
      <c r="AO84" s="1"/>
      <c r="AP84" s="10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8"/>
      <c r="AL85" s="10"/>
      <c r="AM85" s="1"/>
      <c r="AN85" s="1"/>
      <c r="AO85" s="1"/>
      <c r="AP85" s="10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8"/>
      <c r="AL86" s="10"/>
      <c r="AM86" s="1"/>
      <c r="AN86" s="1"/>
      <c r="AO86" s="1"/>
      <c r="AP86" s="10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8"/>
      <c r="AL87" s="10"/>
      <c r="AM87" s="1"/>
      <c r="AN87" s="1"/>
      <c r="AO87" s="1"/>
      <c r="AP87" s="10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8"/>
      <c r="AL88" s="10"/>
      <c r="AM88" s="1"/>
      <c r="AN88" s="1"/>
      <c r="AO88" s="1"/>
      <c r="AP88" s="10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8"/>
      <c r="AL89" s="10"/>
      <c r="AM89" s="1"/>
      <c r="AN89" s="1"/>
      <c r="AO89" s="1"/>
      <c r="AP89" s="10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8"/>
      <c r="AL90" s="10"/>
      <c r="AM90" s="1"/>
      <c r="AN90" s="1"/>
      <c r="AO90" s="1"/>
      <c r="AP90" s="10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8"/>
      <c r="AL91" s="10"/>
      <c r="AM91" s="1"/>
      <c r="AN91" s="1"/>
      <c r="AO91" s="1"/>
      <c r="AP91" s="10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8"/>
      <c r="AL92" s="10"/>
      <c r="AM92" s="1"/>
      <c r="AN92" s="1"/>
      <c r="AO92" s="1"/>
      <c r="AP92" s="10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8"/>
      <c r="AL93" s="10"/>
      <c r="AM93" s="1"/>
      <c r="AN93" s="1"/>
      <c r="AO93" s="1"/>
      <c r="AP93" s="10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8"/>
      <c r="AL94" s="10"/>
      <c r="AM94" s="1"/>
      <c r="AN94" s="1"/>
      <c r="AO94" s="1"/>
      <c r="AP94" s="10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8"/>
      <c r="AL95" s="10"/>
      <c r="AM95" s="1"/>
      <c r="AN95" s="1"/>
      <c r="AO95" s="1"/>
      <c r="AP95" s="10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8"/>
      <c r="AL96" s="10"/>
      <c r="AM96" s="1"/>
      <c r="AN96" s="1"/>
      <c r="AO96" s="1"/>
      <c r="AP96" s="10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8"/>
      <c r="AL97" s="10"/>
      <c r="AM97" s="1"/>
      <c r="AN97" s="1"/>
      <c r="AO97" s="1"/>
      <c r="AP97" s="10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8"/>
      <c r="AL98" s="10"/>
      <c r="AM98" s="1"/>
      <c r="AN98" s="1"/>
      <c r="AO98" s="1"/>
      <c r="AP98" s="10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8"/>
      <c r="AL99" s="10"/>
      <c r="AM99" s="1"/>
      <c r="AN99" s="1"/>
      <c r="AO99" s="1"/>
      <c r="AP99" s="10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8"/>
      <c r="AL100" s="10"/>
      <c r="AM100" s="1"/>
      <c r="AN100" s="1"/>
      <c r="AO100" s="1"/>
      <c r="AP100" s="10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8"/>
      <c r="AL101" s="10"/>
      <c r="AM101" s="1"/>
      <c r="AN101" s="1"/>
      <c r="AO101" s="1"/>
      <c r="AP101" s="10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8"/>
      <c r="AL102" s="10"/>
      <c r="AM102" s="1"/>
      <c r="AN102" s="1"/>
      <c r="AO102" s="1"/>
      <c r="AP102" s="10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8"/>
      <c r="AL103" s="10"/>
      <c r="AM103" s="1"/>
      <c r="AN103" s="1"/>
      <c r="AO103" s="1"/>
      <c r="AP103" s="10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8"/>
      <c r="AL104" s="10"/>
      <c r="AM104" s="1"/>
      <c r="AN104" s="1"/>
      <c r="AO104" s="1"/>
      <c r="AP104" s="10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8"/>
      <c r="AL105" s="10"/>
      <c r="AM105" s="1"/>
      <c r="AN105" s="1"/>
      <c r="AO105" s="1"/>
      <c r="AP105" s="10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8"/>
      <c r="AL106" s="10"/>
      <c r="AM106" s="1"/>
      <c r="AN106" s="1"/>
      <c r="AO106" s="1"/>
      <c r="AP106" s="10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8"/>
      <c r="AL107" s="10"/>
      <c r="AM107" s="1"/>
      <c r="AN107" s="1"/>
      <c r="AO107" s="1"/>
      <c r="AP107" s="10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8"/>
      <c r="AL108" s="10"/>
      <c r="AM108" s="1"/>
      <c r="AN108" s="1"/>
      <c r="AO108" s="1"/>
      <c r="AP108" s="10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8"/>
      <c r="AL109" s="10"/>
      <c r="AM109" s="1"/>
      <c r="AN109" s="1"/>
      <c r="AO109" s="1"/>
      <c r="AP109" s="10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8"/>
      <c r="AL110" s="10"/>
      <c r="AM110" s="1"/>
      <c r="AN110" s="1"/>
      <c r="AO110" s="1"/>
      <c r="AP110" s="10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8"/>
      <c r="AL111" s="10"/>
      <c r="AM111" s="1"/>
      <c r="AN111" s="1"/>
      <c r="AO111" s="1"/>
      <c r="AP111" s="10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8"/>
      <c r="AL112" s="10"/>
      <c r="AM112" s="1"/>
      <c r="AN112" s="1"/>
      <c r="AO112" s="1"/>
      <c r="AP112" s="10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8"/>
      <c r="AL113" s="10"/>
      <c r="AM113" s="1"/>
      <c r="AN113" s="1"/>
      <c r="AO113" s="1"/>
      <c r="AP113" s="10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8"/>
      <c r="AL114" s="10"/>
      <c r="AM114" s="1"/>
      <c r="AN114" s="1"/>
      <c r="AO114" s="1"/>
      <c r="AP114" s="10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8"/>
      <c r="AL115" s="10"/>
      <c r="AM115" s="1"/>
      <c r="AN115" s="1"/>
      <c r="AO115" s="1"/>
      <c r="AP115" s="10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8"/>
      <c r="AL116" s="10"/>
      <c r="AM116" s="1"/>
      <c r="AN116" s="1"/>
      <c r="AO116" s="1"/>
      <c r="AP116" s="10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8"/>
      <c r="AL117" s="10"/>
      <c r="AM117" s="1"/>
      <c r="AN117" s="1"/>
      <c r="AO117" s="1"/>
      <c r="AP117" s="10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8"/>
      <c r="AL118" s="10"/>
      <c r="AM118" s="1"/>
      <c r="AN118" s="1"/>
      <c r="AO118" s="1"/>
      <c r="AP118" s="10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8"/>
      <c r="AL119" s="10"/>
      <c r="AM119" s="1"/>
      <c r="AN119" s="1"/>
      <c r="AO119" s="1"/>
      <c r="AP119" s="10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8"/>
      <c r="AL120" s="10"/>
      <c r="AM120" s="1"/>
      <c r="AN120" s="1"/>
      <c r="AO120" s="1"/>
      <c r="AP120" s="10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8"/>
      <c r="AL121" s="10"/>
      <c r="AM121" s="1"/>
      <c r="AN121" s="1"/>
      <c r="AO121" s="1"/>
      <c r="AP121" s="10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8"/>
      <c r="AL122" s="10"/>
      <c r="AM122" s="1"/>
      <c r="AN122" s="1"/>
      <c r="AO122" s="1"/>
      <c r="AP122" s="10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8"/>
      <c r="AL123" s="10"/>
      <c r="AM123" s="1"/>
      <c r="AN123" s="1"/>
      <c r="AO123" s="1"/>
      <c r="AP123" s="10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8"/>
      <c r="AL124" s="10"/>
      <c r="AM124" s="1"/>
      <c r="AN124" s="1"/>
      <c r="AO124" s="1"/>
      <c r="AP124" s="10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8"/>
      <c r="AL125" s="10"/>
      <c r="AM125" s="1"/>
      <c r="AN125" s="1"/>
      <c r="AO125" s="1"/>
      <c r="AP125" s="10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8"/>
      <c r="AL126" s="10"/>
      <c r="AM126" s="1"/>
      <c r="AN126" s="1"/>
      <c r="AO126" s="1"/>
      <c r="AP126" s="10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8"/>
      <c r="AL127" s="10"/>
      <c r="AM127" s="1"/>
      <c r="AN127" s="1"/>
      <c r="AO127" s="1"/>
      <c r="AP127" s="10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8"/>
      <c r="AL128" s="10"/>
      <c r="AM128" s="1"/>
      <c r="AN128" s="1"/>
      <c r="AO128" s="1"/>
      <c r="AP128" s="10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8"/>
      <c r="AL129" s="10"/>
      <c r="AM129" s="1"/>
      <c r="AN129" s="1"/>
      <c r="AO129" s="1"/>
      <c r="AP129" s="10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8"/>
      <c r="AL130" s="10"/>
      <c r="AM130" s="1"/>
      <c r="AN130" s="1"/>
      <c r="AO130" s="1"/>
      <c r="AP130" s="10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8"/>
      <c r="AL131" s="10"/>
      <c r="AM131" s="1"/>
      <c r="AN131" s="1"/>
      <c r="AO131" s="1"/>
      <c r="AP131" s="10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8"/>
      <c r="AL132" s="10"/>
      <c r="AM132" s="1"/>
      <c r="AN132" s="1"/>
      <c r="AO132" s="1"/>
      <c r="AP132" s="10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8"/>
      <c r="AL133" s="10"/>
      <c r="AM133" s="1"/>
      <c r="AN133" s="1"/>
      <c r="AO133" s="1"/>
      <c r="AP133" s="10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8"/>
      <c r="AL134" s="10"/>
      <c r="AM134" s="1"/>
      <c r="AN134" s="1"/>
      <c r="AO134" s="1"/>
      <c r="AP134" s="10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8"/>
      <c r="AL135" s="10"/>
      <c r="AM135" s="1"/>
      <c r="AN135" s="1"/>
      <c r="AO135" s="1"/>
      <c r="AP135" s="10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8"/>
      <c r="AL136" s="10"/>
      <c r="AM136" s="1"/>
      <c r="AN136" s="1"/>
      <c r="AO136" s="1"/>
      <c r="AP136" s="10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8"/>
      <c r="AL137" s="10"/>
      <c r="AM137" s="1"/>
      <c r="AN137" s="1"/>
      <c r="AO137" s="1"/>
      <c r="AP137" s="10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8"/>
      <c r="AL138" s="10"/>
      <c r="AM138" s="1"/>
      <c r="AN138" s="1"/>
      <c r="AO138" s="1"/>
      <c r="AP138" s="10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8"/>
      <c r="AL139" s="10"/>
      <c r="AM139" s="1"/>
      <c r="AN139" s="1"/>
      <c r="AO139" s="1"/>
      <c r="AP139" s="10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8"/>
      <c r="AL140" s="10"/>
      <c r="AM140" s="1"/>
      <c r="AN140" s="1"/>
      <c r="AO140" s="1"/>
      <c r="AP140" s="10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8"/>
      <c r="AL141" s="10"/>
      <c r="AM141" s="1"/>
      <c r="AN141" s="1"/>
      <c r="AO141" s="1"/>
      <c r="AP141" s="10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8"/>
      <c r="AL142" s="10"/>
      <c r="AM142" s="1"/>
      <c r="AN142" s="1"/>
      <c r="AO142" s="1"/>
      <c r="AP142" s="10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8"/>
      <c r="AL143" s="10"/>
      <c r="AM143" s="1"/>
      <c r="AN143" s="1"/>
      <c r="AO143" s="1"/>
      <c r="AP143" s="10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8"/>
      <c r="AL144" s="10"/>
      <c r="AM144" s="1"/>
      <c r="AN144" s="1"/>
      <c r="AO144" s="1"/>
      <c r="AP144" s="10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8"/>
      <c r="AL145" s="10"/>
      <c r="AM145" s="1"/>
      <c r="AN145" s="1"/>
      <c r="AO145" s="1"/>
      <c r="AP145" s="10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8"/>
      <c r="AL146" s="10"/>
      <c r="AM146" s="1"/>
      <c r="AN146" s="1"/>
      <c r="AO146" s="1"/>
      <c r="AP146" s="10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8"/>
      <c r="AL147" s="10"/>
      <c r="AM147" s="1"/>
      <c r="AN147" s="1"/>
      <c r="AO147" s="1"/>
      <c r="AP147" s="10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8"/>
      <c r="AL148" s="10"/>
      <c r="AM148" s="1"/>
      <c r="AN148" s="1"/>
      <c r="AO148" s="1"/>
      <c r="AP148" s="10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8"/>
      <c r="AL149" s="10"/>
      <c r="AM149" s="1"/>
      <c r="AN149" s="1"/>
      <c r="AO149" s="1"/>
      <c r="AP149" s="10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8"/>
      <c r="AL150" s="10"/>
      <c r="AM150" s="1"/>
      <c r="AN150" s="1"/>
      <c r="AO150" s="1"/>
      <c r="AP150" s="10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8"/>
      <c r="AL151" s="10"/>
      <c r="AM151" s="1"/>
      <c r="AN151" s="1"/>
      <c r="AO151" s="1"/>
      <c r="AP151" s="10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8"/>
      <c r="AL152" s="10"/>
      <c r="AM152" s="1"/>
      <c r="AN152" s="1"/>
      <c r="AO152" s="1"/>
      <c r="AP152" s="10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8"/>
      <c r="AL153" s="10"/>
      <c r="AM153" s="1"/>
      <c r="AN153" s="1"/>
      <c r="AO153" s="1"/>
      <c r="AP153" s="10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8"/>
      <c r="AL154" s="10"/>
      <c r="AM154" s="1"/>
      <c r="AN154" s="1"/>
      <c r="AO154" s="1"/>
      <c r="AP154" s="10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8"/>
      <c r="AL155" s="10"/>
      <c r="AM155" s="1"/>
      <c r="AN155" s="1"/>
      <c r="AO155" s="1"/>
      <c r="AP155" s="10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8"/>
      <c r="AL156" s="10"/>
      <c r="AM156" s="1"/>
      <c r="AN156" s="1"/>
      <c r="AO156" s="1"/>
      <c r="AP156" s="10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8"/>
      <c r="AL157" s="10"/>
      <c r="AM157" s="1"/>
      <c r="AN157" s="1"/>
      <c r="AO157" s="1"/>
      <c r="AP157" s="10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8"/>
      <c r="AL158" s="10"/>
      <c r="AM158" s="1"/>
      <c r="AN158" s="1"/>
      <c r="AO158" s="1"/>
      <c r="AP158" s="10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8"/>
      <c r="AL159" s="10"/>
      <c r="AM159" s="1"/>
      <c r="AN159" s="1"/>
      <c r="AO159" s="1"/>
      <c r="AP159" s="10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8"/>
      <c r="AL160" s="10"/>
      <c r="AM160" s="1"/>
      <c r="AN160" s="1"/>
      <c r="AO160" s="1"/>
      <c r="AP160" s="10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8"/>
      <c r="AL161" s="10"/>
      <c r="AM161" s="1"/>
      <c r="AN161" s="1"/>
      <c r="AO161" s="1"/>
      <c r="AP161" s="10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8"/>
      <c r="AL162" s="10"/>
      <c r="AM162" s="1"/>
      <c r="AN162" s="1"/>
      <c r="AO162" s="1"/>
      <c r="AP162" s="10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8"/>
      <c r="AL163" s="10"/>
      <c r="AM163" s="1"/>
      <c r="AN163" s="1"/>
      <c r="AO163" s="1"/>
      <c r="AP163" s="10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8"/>
      <c r="AL164" s="10"/>
      <c r="AM164" s="1"/>
      <c r="AN164" s="1"/>
      <c r="AO164" s="1"/>
      <c r="AP164" s="10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8"/>
      <c r="AL165" s="10"/>
      <c r="AM165" s="1"/>
      <c r="AN165" s="1"/>
      <c r="AO165" s="1"/>
      <c r="AP165" s="10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8"/>
      <c r="AL166" s="10"/>
      <c r="AM166" s="1"/>
      <c r="AN166" s="1"/>
      <c r="AO166" s="1"/>
      <c r="AP166" s="10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8"/>
      <c r="AL167" s="10"/>
      <c r="AM167" s="1"/>
      <c r="AN167" s="1"/>
      <c r="AO167" s="1"/>
      <c r="AP167" s="10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8"/>
      <c r="AL168" s="10"/>
      <c r="AM168" s="1"/>
      <c r="AN168" s="1"/>
      <c r="AO168" s="1"/>
      <c r="AP168" s="10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8"/>
      <c r="AL169" s="10"/>
      <c r="AM169" s="1"/>
      <c r="AN169" s="1"/>
      <c r="AO169" s="1"/>
      <c r="AP169" s="10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8"/>
      <c r="AL170" s="10"/>
      <c r="AM170" s="1"/>
      <c r="AN170" s="1"/>
      <c r="AO170" s="1"/>
      <c r="AP170" s="10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8"/>
      <c r="AL171" s="10"/>
      <c r="AM171" s="1"/>
      <c r="AN171" s="1"/>
      <c r="AO171" s="1"/>
      <c r="AP171" s="10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8"/>
      <c r="AL172" s="10"/>
      <c r="AM172" s="1"/>
      <c r="AN172" s="1"/>
      <c r="AO172" s="1"/>
      <c r="AP172" s="10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8"/>
      <c r="AL173" s="10"/>
      <c r="AM173" s="1"/>
      <c r="AN173" s="1"/>
      <c r="AO173" s="1"/>
      <c r="AP173" s="10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8"/>
      <c r="AL174" s="10"/>
      <c r="AM174" s="1"/>
      <c r="AN174" s="1"/>
      <c r="AO174" s="1"/>
      <c r="AP174" s="10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8"/>
      <c r="AL175" s="10"/>
      <c r="AM175" s="1"/>
      <c r="AN175" s="1"/>
      <c r="AO175" s="1"/>
      <c r="AP175" s="10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8"/>
      <c r="AL176" s="10"/>
      <c r="AM176" s="1"/>
      <c r="AN176" s="1"/>
      <c r="AO176" s="1"/>
      <c r="AP176" s="10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8"/>
      <c r="AL177" s="10"/>
      <c r="AM177" s="1"/>
      <c r="AN177" s="1"/>
      <c r="AO177" s="1"/>
      <c r="AP177" s="10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8"/>
      <c r="AL178" s="10"/>
      <c r="AM178" s="1"/>
      <c r="AN178" s="1"/>
      <c r="AO178" s="1"/>
      <c r="AP178" s="10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8"/>
      <c r="AL179" s="10"/>
      <c r="AM179" s="1"/>
      <c r="AN179" s="1"/>
      <c r="AO179" s="1"/>
      <c r="AP179" s="10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8"/>
      <c r="AL180" s="10"/>
      <c r="AM180" s="1"/>
      <c r="AN180" s="1"/>
      <c r="AO180" s="1"/>
      <c r="AP180" s="10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8"/>
      <c r="AL181" s="10"/>
      <c r="AM181" s="1"/>
      <c r="AN181" s="1"/>
      <c r="AO181" s="1"/>
      <c r="AP181" s="10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8"/>
      <c r="AL182" s="10"/>
      <c r="AM182" s="1"/>
      <c r="AN182" s="1"/>
      <c r="AO182" s="1"/>
      <c r="AP182" s="10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8"/>
      <c r="AL183" s="10"/>
      <c r="AM183" s="1"/>
      <c r="AN183" s="1"/>
      <c r="AO183" s="1"/>
      <c r="AP183" s="10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8"/>
      <c r="AL184" s="10"/>
      <c r="AM184" s="1"/>
      <c r="AN184" s="1"/>
      <c r="AO184" s="1"/>
      <c r="AP184" s="10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8"/>
      <c r="AL185" s="10"/>
      <c r="AM185" s="1"/>
      <c r="AN185" s="1"/>
      <c r="AO185" s="1"/>
      <c r="AP185" s="10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8"/>
      <c r="AL186" s="10"/>
      <c r="AM186" s="1"/>
      <c r="AN186" s="1"/>
      <c r="AO186" s="1"/>
      <c r="AP186" s="10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8"/>
      <c r="AL187" s="10"/>
      <c r="AM187" s="1"/>
      <c r="AN187" s="1"/>
      <c r="AO187" s="1"/>
      <c r="AP187" s="10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8"/>
      <c r="AL188" s="10"/>
      <c r="AM188" s="1"/>
      <c r="AN188" s="1"/>
      <c r="AO188" s="1"/>
      <c r="AP188" s="10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8"/>
      <c r="AL189" s="10"/>
      <c r="AM189" s="1"/>
      <c r="AN189" s="1"/>
      <c r="AO189" s="1"/>
      <c r="AP189" s="10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8"/>
      <c r="AL190" s="10"/>
      <c r="AM190" s="1"/>
      <c r="AN190" s="1"/>
      <c r="AO190" s="1"/>
      <c r="AP190" s="10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8"/>
      <c r="AL191" s="10"/>
      <c r="AM191" s="1"/>
      <c r="AN191" s="1"/>
      <c r="AO191" s="1"/>
      <c r="AP191" s="10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8"/>
      <c r="AL192" s="10"/>
      <c r="AM192" s="1"/>
      <c r="AN192" s="1"/>
      <c r="AO192" s="1"/>
      <c r="AP192" s="10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8"/>
      <c r="AL193" s="10"/>
      <c r="AM193" s="1"/>
      <c r="AN193" s="1"/>
      <c r="AO193" s="1"/>
      <c r="AP193" s="10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8"/>
      <c r="AL194" s="10"/>
      <c r="AM194" s="1"/>
      <c r="AN194" s="1"/>
      <c r="AO194" s="1"/>
      <c r="AP194" s="10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8"/>
      <c r="AL195" s="10"/>
      <c r="AM195" s="1"/>
      <c r="AN195" s="1"/>
      <c r="AO195" s="1"/>
      <c r="AP195" s="10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8"/>
      <c r="AL196" s="10"/>
      <c r="AM196" s="1"/>
      <c r="AN196" s="1"/>
      <c r="AO196" s="1"/>
      <c r="AP196" s="10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8"/>
      <c r="AL197" s="10"/>
      <c r="AM197" s="1"/>
      <c r="AN197" s="1"/>
      <c r="AO197" s="1"/>
      <c r="AP197" s="10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8"/>
      <c r="AL198" s="10"/>
      <c r="AM198" s="1"/>
      <c r="AN198" s="1"/>
      <c r="AO198" s="1"/>
      <c r="AP198" s="10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8"/>
      <c r="AL199" s="10"/>
      <c r="AM199" s="1"/>
      <c r="AN199" s="1"/>
      <c r="AO199" s="1"/>
      <c r="AP199" s="10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8"/>
      <c r="AL200" s="10"/>
      <c r="AM200" s="1"/>
      <c r="AN200" s="1"/>
      <c r="AO200" s="1"/>
      <c r="AP200" s="10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8"/>
      <c r="AL201" s="10"/>
      <c r="AM201" s="1"/>
      <c r="AN201" s="1"/>
      <c r="AO201" s="1"/>
      <c r="AP201" s="10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8"/>
      <c r="AL202" s="10"/>
      <c r="AM202" s="1"/>
      <c r="AN202" s="1"/>
      <c r="AO202" s="1"/>
      <c r="AP202" s="10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8"/>
      <c r="AL203" s="10"/>
      <c r="AM203" s="1"/>
      <c r="AN203" s="1"/>
      <c r="AO203" s="1"/>
      <c r="AP203" s="10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8"/>
      <c r="AL204" s="10"/>
      <c r="AM204" s="1"/>
      <c r="AN204" s="1"/>
      <c r="AO204" s="1"/>
      <c r="AP204" s="10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8"/>
      <c r="AL205" s="10"/>
      <c r="AM205" s="1"/>
      <c r="AN205" s="1"/>
      <c r="AO205" s="1"/>
      <c r="AP205" s="10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8"/>
      <c r="AL206" s="10"/>
      <c r="AM206" s="1"/>
      <c r="AN206" s="1"/>
      <c r="AO206" s="1"/>
      <c r="AP206" s="10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8"/>
      <c r="AL207" s="10"/>
      <c r="AM207" s="1"/>
      <c r="AN207" s="1"/>
      <c r="AO207" s="1"/>
      <c r="AP207" s="10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8"/>
      <c r="AL208" s="10"/>
      <c r="AM208" s="1"/>
      <c r="AN208" s="1"/>
      <c r="AO208" s="1"/>
      <c r="AP208" s="10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8"/>
      <c r="AL209" s="10"/>
      <c r="AM209" s="1"/>
      <c r="AN209" s="1"/>
      <c r="AO209" s="1"/>
      <c r="AP209" s="10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8"/>
      <c r="AL210" s="10"/>
      <c r="AM210" s="1"/>
      <c r="AN210" s="1"/>
      <c r="AO210" s="1"/>
      <c r="AP210" s="10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8"/>
      <c r="AL211" s="10"/>
      <c r="AM211" s="1"/>
      <c r="AN211" s="1"/>
      <c r="AO211" s="1"/>
      <c r="AP211" s="10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8"/>
      <c r="AL212" s="10"/>
      <c r="AM212" s="1"/>
      <c r="AN212" s="1"/>
      <c r="AO212" s="1"/>
      <c r="AP212" s="10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8"/>
      <c r="AL213" s="10"/>
      <c r="AM213" s="1"/>
      <c r="AN213" s="1"/>
      <c r="AO213" s="1"/>
      <c r="AP213" s="10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8"/>
      <c r="AL214" s="10"/>
      <c r="AM214" s="1"/>
      <c r="AN214" s="1"/>
      <c r="AO214" s="1"/>
      <c r="AP214" s="10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8"/>
      <c r="AL215" s="10"/>
      <c r="AM215" s="1"/>
      <c r="AN215" s="1"/>
      <c r="AO215" s="1"/>
      <c r="AP215" s="10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8"/>
      <c r="AL216" s="10"/>
      <c r="AM216" s="1"/>
      <c r="AN216" s="1"/>
      <c r="AO216" s="1"/>
      <c r="AP216" s="10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8"/>
      <c r="AL217" s="10"/>
      <c r="AM217" s="1"/>
      <c r="AN217" s="1"/>
      <c r="AO217" s="1"/>
      <c r="AP217" s="10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8"/>
      <c r="AL218" s="10"/>
      <c r="AM218" s="1"/>
      <c r="AN218" s="1"/>
      <c r="AO218" s="1"/>
      <c r="AP218" s="10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8"/>
      <c r="AL219" s="10"/>
      <c r="AM219" s="1"/>
      <c r="AN219" s="1"/>
      <c r="AO219" s="1"/>
      <c r="AP219" s="10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8"/>
      <c r="AL220" s="10"/>
      <c r="AM220" s="1"/>
      <c r="AN220" s="1"/>
      <c r="AO220" s="1"/>
      <c r="AP220" s="10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8"/>
      <c r="AL221" s="10"/>
      <c r="AM221" s="1"/>
      <c r="AN221" s="1"/>
      <c r="AO221" s="1"/>
      <c r="AP221" s="10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8"/>
      <c r="AL222" s="10"/>
      <c r="AM222" s="1"/>
      <c r="AN222" s="1"/>
      <c r="AO222" s="1"/>
      <c r="AP222" s="10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8"/>
      <c r="AL223" s="10"/>
      <c r="AM223" s="1"/>
      <c r="AN223" s="1"/>
      <c r="AO223" s="1"/>
      <c r="AP223" s="10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8"/>
      <c r="AL224" s="10"/>
      <c r="AM224" s="1"/>
      <c r="AN224" s="1"/>
      <c r="AO224" s="1"/>
      <c r="AP224" s="10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8"/>
      <c r="AL225" s="10"/>
      <c r="AM225" s="1"/>
      <c r="AN225" s="1"/>
      <c r="AO225" s="1"/>
      <c r="AP225" s="10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8"/>
      <c r="AL226" s="10"/>
      <c r="AM226" s="1"/>
      <c r="AN226" s="1"/>
      <c r="AO226" s="1"/>
      <c r="AP226" s="10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8"/>
      <c r="AL227" s="10"/>
      <c r="AM227" s="1"/>
      <c r="AN227" s="1"/>
      <c r="AO227" s="1"/>
      <c r="AP227" s="10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8"/>
      <c r="AL228" s="10"/>
      <c r="AM228" s="1"/>
      <c r="AN228" s="1"/>
      <c r="AO228" s="1"/>
      <c r="AP228" s="10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8"/>
      <c r="AL229" s="10"/>
      <c r="AM229" s="1"/>
      <c r="AN229" s="1"/>
      <c r="AO229" s="1"/>
      <c r="AP229" s="10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8"/>
      <c r="AL230" s="10"/>
      <c r="AM230" s="1"/>
      <c r="AN230" s="1"/>
      <c r="AO230" s="1"/>
      <c r="AP230" s="10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8"/>
      <c r="AL231" s="10"/>
      <c r="AM231" s="1"/>
      <c r="AN231" s="1"/>
      <c r="AO231" s="1"/>
      <c r="AP231" s="10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8"/>
      <c r="AL232" s="10"/>
      <c r="AM232" s="1"/>
      <c r="AN232" s="1"/>
      <c r="AO232" s="1"/>
      <c r="AP232" s="10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8"/>
      <c r="AL233" s="10"/>
      <c r="AM233" s="1"/>
      <c r="AN233" s="1"/>
      <c r="AO233" s="1"/>
      <c r="AP233" s="10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8"/>
      <c r="AL234" s="10"/>
      <c r="AM234" s="1"/>
      <c r="AN234" s="1"/>
      <c r="AO234" s="1"/>
      <c r="AP234" s="10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8"/>
      <c r="AL235" s="10"/>
      <c r="AM235" s="1"/>
      <c r="AN235" s="1"/>
      <c r="AO235" s="1"/>
      <c r="AP235" s="10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8"/>
      <c r="AL236" s="10"/>
      <c r="AM236" s="1"/>
      <c r="AN236" s="1"/>
      <c r="AO236" s="1"/>
      <c r="AP236" s="10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8"/>
      <c r="AL237" s="10"/>
      <c r="AM237" s="1"/>
      <c r="AN237" s="1"/>
      <c r="AO237" s="1"/>
      <c r="AP237" s="10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8"/>
      <c r="AL238" s="10"/>
      <c r="AM238" s="1"/>
      <c r="AN238" s="1"/>
      <c r="AO238" s="1"/>
      <c r="AP238" s="10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8"/>
      <c r="AL239" s="10"/>
      <c r="AM239" s="1"/>
      <c r="AN239" s="1"/>
      <c r="AO239" s="1"/>
      <c r="AP239" s="10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8"/>
      <c r="AL240" s="10"/>
      <c r="AM240" s="1"/>
      <c r="AN240" s="1"/>
      <c r="AO240" s="1"/>
      <c r="AP240" s="10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8"/>
      <c r="AL241" s="10"/>
      <c r="AM241" s="1"/>
      <c r="AN241" s="1"/>
      <c r="AO241" s="1"/>
      <c r="AP241" s="10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8"/>
      <c r="AL242" s="10"/>
      <c r="AM242" s="1"/>
      <c r="AN242" s="1"/>
      <c r="AO242" s="1"/>
      <c r="AP242" s="10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8"/>
      <c r="AL243" s="10"/>
      <c r="AM243" s="1"/>
      <c r="AN243" s="1"/>
      <c r="AO243" s="1"/>
      <c r="AP243" s="10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8"/>
      <c r="AL244" s="10"/>
      <c r="AM244" s="1"/>
      <c r="AN244" s="1"/>
      <c r="AO244" s="1"/>
      <c r="AP244" s="10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8"/>
      <c r="AL245" s="10"/>
      <c r="AM245" s="1"/>
      <c r="AN245" s="1"/>
      <c r="AO245" s="1"/>
      <c r="AP245" s="10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8"/>
      <c r="AL246" s="10"/>
      <c r="AM246" s="1"/>
      <c r="AN246" s="1"/>
      <c r="AO246" s="1"/>
      <c r="AP246" s="10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8"/>
      <c r="AL247" s="10"/>
      <c r="AM247" s="1"/>
      <c r="AN247" s="1"/>
      <c r="AO247" s="1"/>
      <c r="AP247" s="10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8"/>
      <c r="AL248" s="10"/>
      <c r="AM248" s="1"/>
      <c r="AN248" s="1"/>
      <c r="AO248" s="1"/>
      <c r="AP248" s="10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8"/>
      <c r="AL249" s="10"/>
      <c r="AM249" s="1"/>
      <c r="AN249" s="1"/>
      <c r="AO249" s="1"/>
      <c r="AP249" s="10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8"/>
      <c r="AL250" s="10"/>
      <c r="AM250" s="1"/>
      <c r="AN250" s="1"/>
      <c r="AO250" s="1"/>
      <c r="AP250" s="10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8"/>
      <c r="AL251" s="10"/>
      <c r="AM251" s="1"/>
      <c r="AN251" s="1"/>
      <c r="AO251" s="1"/>
      <c r="AP251" s="10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8"/>
      <c r="AL252" s="10"/>
      <c r="AM252" s="1"/>
      <c r="AN252" s="1"/>
      <c r="AO252" s="1"/>
      <c r="AP252" s="10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8"/>
      <c r="AL253" s="10"/>
      <c r="AM253" s="1"/>
      <c r="AN253" s="1"/>
      <c r="AO253" s="1"/>
      <c r="AP253" s="10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8"/>
      <c r="AL254" s="10"/>
      <c r="AM254" s="1"/>
      <c r="AN254" s="1"/>
      <c r="AO254" s="1"/>
      <c r="AP254" s="10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8"/>
      <c r="AL255" s="10"/>
      <c r="AM255" s="1"/>
      <c r="AN255" s="1"/>
      <c r="AO255" s="1"/>
      <c r="AP255" s="10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8"/>
      <c r="AL256" s="10"/>
      <c r="AM256" s="1"/>
      <c r="AN256" s="1"/>
      <c r="AO256" s="1"/>
      <c r="AP256" s="10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8"/>
      <c r="AL257" s="10"/>
      <c r="AM257" s="1"/>
      <c r="AN257" s="1"/>
      <c r="AO257" s="1"/>
      <c r="AP257" s="10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8"/>
      <c r="AL258" s="10"/>
      <c r="AM258" s="1"/>
      <c r="AN258" s="1"/>
      <c r="AO258" s="1"/>
      <c r="AP258" s="10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8"/>
      <c r="AL259" s="10"/>
      <c r="AM259" s="1"/>
      <c r="AN259" s="1"/>
      <c r="AO259" s="1"/>
      <c r="AP259" s="10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8"/>
      <c r="AL260" s="10"/>
      <c r="AM260" s="1"/>
      <c r="AN260" s="1"/>
      <c r="AO260" s="1"/>
      <c r="AP260" s="10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8"/>
      <c r="AL261" s="10"/>
      <c r="AM261" s="1"/>
      <c r="AN261" s="1"/>
      <c r="AO261" s="1"/>
      <c r="AP261" s="10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8"/>
      <c r="AL262" s="10"/>
      <c r="AM262" s="1"/>
      <c r="AN262" s="1"/>
      <c r="AO262" s="1"/>
      <c r="AP262" s="10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8"/>
      <c r="AL263" s="10"/>
      <c r="AM263" s="1"/>
      <c r="AN263" s="1"/>
      <c r="AO263" s="1"/>
      <c r="AP263" s="10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8"/>
      <c r="AL264" s="10"/>
      <c r="AM264" s="1"/>
      <c r="AN264" s="1"/>
      <c r="AO264" s="1"/>
      <c r="AP264" s="10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8"/>
      <c r="AL265" s="10"/>
      <c r="AM265" s="1"/>
      <c r="AN265" s="1"/>
      <c r="AO265" s="1"/>
      <c r="AP265" s="10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8"/>
      <c r="AL266" s="10"/>
      <c r="AM266" s="1"/>
      <c r="AN266" s="1"/>
      <c r="AO266" s="1"/>
      <c r="AP266" s="10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8"/>
      <c r="AL267" s="10"/>
      <c r="AM267" s="1"/>
      <c r="AN267" s="1"/>
      <c r="AO267" s="1"/>
      <c r="AP267" s="10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8"/>
      <c r="AL268" s="10"/>
      <c r="AM268" s="1"/>
      <c r="AN268" s="1"/>
      <c r="AO268" s="1"/>
      <c r="AP268" s="10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8"/>
      <c r="AL269" s="10"/>
      <c r="AM269" s="1"/>
      <c r="AN269" s="1"/>
      <c r="AO269" s="1"/>
      <c r="AP269" s="10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8"/>
      <c r="AL270" s="10"/>
      <c r="AM270" s="1"/>
      <c r="AN270" s="1"/>
      <c r="AO270" s="1"/>
      <c r="AP270" s="10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8"/>
      <c r="AL271" s="10"/>
      <c r="AM271" s="1"/>
      <c r="AN271" s="1"/>
      <c r="AO271" s="1"/>
      <c r="AP271" s="10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8"/>
      <c r="AL272" s="10"/>
      <c r="AM272" s="1"/>
      <c r="AN272" s="1"/>
      <c r="AO272" s="1"/>
      <c r="AP272" s="10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8"/>
      <c r="AL273" s="10"/>
      <c r="AM273" s="1"/>
      <c r="AN273" s="1"/>
      <c r="AO273" s="1"/>
      <c r="AP273" s="10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8"/>
      <c r="AL274" s="10"/>
      <c r="AM274" s="1"/>
      <c r="AN274" s="1"/>
      <c r="AO274" s="1"/>
      <c r="AP274" s="10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8"/>
      <c r="AL275" s="10"/>
      <c r="AM275" s="1"/>
      <c r="AN275" s="1"/>
      <c r="AO275" s="1"/>
      <c r="AP275" s="10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8"/>
      <c r="AL276" s="10"/>
      <c r="AM276" s="1"/>
      <c r="AN276" s="1"/>
      <c r="AO276" s="1"/>
      <c r="AP276" s="10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8"/>
      <c r="AL277" s="10"/>
      <c r="AM277" s="1"/>
      <c r="AN277" s="1"/>
      <c r="AO277" s="1"/>
      <c r="AP277" s="10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8"/>
      <c r="AL278" s="10"/>
      <c r="AM278" s="1"/>
      <c r="AN278" s="1"/>
      <c r="AO278" s="1"/>
      <c r="AP278" s="10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8"/>
      <c r="AL279" s="10"/>
      <c r="AM279" s="1"/>
      <c r="AN279" s="1"/>
      <c r="AO279" s="1"/>
      <c r="AP279" s="10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8"/>
      <c r="AL280" s="10"/>
      <c r="AM280" s="1"/>
      <c r="AN280" s="1"/>
      <c r="AO280" s="1"/>
      <c r="AP280" s="10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8"/>
      <c r="AL281" s="10"/>
      <c r="AM281" s="1"/>
      <c r="AN281" s="1"/>
      <c r="AO281" s="1"/>
      <c r="AP281" s="10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8"/>
      <c r="AL282" s="10"/>
      <c r="AM282" s="1"/>
      <c r="AN282" s="1"/>
      <c r="AO282" s="1"/>
      <c r="AP282" s="10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8"/>
      <c r="AL283" s="10"/>
      <c r="AM283" s="1"/>
      <c r="AN283" s="1"/>
      <c r="AO283" s="1"/>
      <c r="AP283" s="10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8"/>
      <c r="AL284" s="10"/>
      <c r="AM284" s="1"/>
      <c r="AN284" s="1"/>
      <c r="AO284" s="1"/>
      <c r="AP284" s="10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8"/>
      <c r="AL285" s="10"/>
      <c r="AM285" s="1"/>
      <c r="AN285" s="1"/>
      <c r="AO285" s="1"/>
      <c r="AP285" s="10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8"/>
      <c r="AL286" s="10"/>
      <c r="AM286" s="1"/>
      <c r="AN286" s="1"/>
      <c r="AO286" s="1"/>
      <c r="AP286" s="10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8"/>
      <c r="AL287" s="10"/>
      <c r="AM287" s="1"/>
      <c r="AN287" s="1"/>
      <c r="AO287" s="1"/>
      <c r="AP287" s="10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8"/>
      <c r="AL288" s="10"/>
      <c r="AM288" s="1"/>
      <c r="AN288" s="1"/>
      <c r="AO288" s="1"/>
      <c r="AP288" s="10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8"/>
      <c r="AL289" s="10"/>
      <c r="AM289" s="1"/>
      <c r="AN289" s="1"/>
      <c r="AO289" s="1"/>
      <c r="AP289" s="10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8"/>
      <c r="AL290" s="10"/>
      <c r="AM290" s="1"/>
      <c r="AN290" s="1"/>
      <c r="AO290" s="1"/>
      <c r="AP290" s="10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8"/>
      <c r="AL291" s="10"/>
      <c r="AM291" s="1"/>
      <c r="AN291" s="1"/>
      <c r="AO291" s="1"/>
      <c r="AP291" s="10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8"/>
      <c r="AL292" s="10"/>
      <c r="AM292" s="1"/>
      <c r="AN292" s="1"/>
      <c r="AO292" s="1"/>
      <c r="AP292" s="10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8"/>
      <c r="AL293" s="10"/>
      <c r="AM293" s="1"/>
      <c r="AN293" s="1"/>
      <c r="AO293" s="1"/>
      <c r="AP293" s="10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8"/>
      <c r="AL294" s="10"/>
      <c r="AM294" s="1"/>
      <c r="AN294" s="1"/>
      <c r="AO294" s="1"/>
      <c r="AP294" s="10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8"/>
      <c r="AL295" s="10"/>
      <c r="AM295" s="1"/>
      <c r="AN295" s="1"/>
      <c r="AO295" s="1"/>
      <c r="AP295" s="10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8"/>
      <c r="AL296" s="10"/>
      <c r="AM296" s="1"/>
      <c r="AN296" s="1"/>
      <c r="AO296" s="1"/>
      <c r="AP296" s="10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8"/>
      <c r="AL297" s="10"/>
      <c r="AM297" s="1"/>
      <c r="AN297" s="1"/>
      <c r="AO297" s="1"/>
      <c r="AP297" s="10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8"/>
      <c r="AL298" s="10"/>
      <c r="AM298" s="1"/>
      <c r="AN298" s="1"/>
      <c r="AO298" s="1"/>
      <c r="AP298" s="10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8"/>
      <c r="AL299" s="10"/>
      <c r="AM299" s="1"/>
      <c r="AN299" s="1"/>
      <c r="AO299" s="1"/>
      <c r="AP299" s="10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8"/>
      <c r="AL300" s="10"/>
      <c r="AM300" s="1"/>
      <c r="AN300" s="1"/>
      <c r="AO300" s="1"/>
      <c r="AP300" s="10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8"/>
      <c r="AL301" s="10"/>
      <c r="AM301" s="1"/>
      <c r="AN301" s="1"/>
      <c r="AO301" s="1"/>
      <c r="AP301" s="10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8"/>
      <c r="AL302" s="10"/>
      <c r="AM302" s="1"/>
      <c r="AN302" s="1"/>
      <c r="AO302" s="1"/>
      <c r="AP302" s="10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8"/>
      <c r="AL303" s="10"/>
      <c r="AM303" s="1"/>
      <c r="AN303" s="1"/>
      <c r="AO303" s="1"/>
      <c r="AP303" s="10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8"/>
      <c r="AL304" s="10"/>
      <c r="AM304" s="1"/>
      <c r="AN304" s="1"/>
      <c r="AO304" s="1"/>
      <c r="AP304" s="10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8"/>
      <c r="AL305" s="10"/>
      <c r="AM305" s="1"/>
      <c r="AN305" s="1"/>
      <c r="AO305" s="1"/>
      <c r="AP305" s="10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8"/>
      <c r="AL306" s="10"/>
      <c r="AM306" s="1"/>
      <c r="AN306" s="1"/>
      <c r="AO306" s="1"/>
      <c r="AP306" s="10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8"/>
      <c r="AL307" s="10"/>
      <c r="AM307" s="1"/>
      <c r="AN307" s="1"/>
      <c r="AO307" s="1"/>
      <c r="AP307" s="10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8"/>
      <c r="AL308" s="10"/>
      <c r="AM308" s="1"/>
      <c r="AN308" s="1"/>
      <c r="AO308" s="1"/>
      <c r="AP308" s="10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8"/>
      <c r="AL309" s="10"/>
      <c r="AM309" s="1"/>
      <c r="AN309" s="1"/>
      <c r="AO309" s="1"/>
      <c r="AP309" s="10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8"/>
      <c r="AL310" s="10"/>
      <c r="AM310" s="1"/>
      <c r="AN310" s="1"/>
      <c r="AO310" s="1"/>
      <c r="AP310" s="10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8"/>
      <c r="AL311" s="10"/>
      <c r="AM311" s="1"/>
      <c r="AN311" s="1"/>
      <c r="AO311" s="1"/>
      <c r="AP311" s="10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8"/>
      <c r="AL312" s="10"/>
      <c r="AM312" s="1"/>
      <c r="AN312" s="1"/>
      <c r="AO312" s="1"/>
      <c r="AP312" s="10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8"/>
      <c r="AL313" s="10"/>
      <c r="AM313" s="1"/>
      <c r="AN313" s="1"/>
      <c r="AO313" s="1"/>
      <c r="AP313" s="10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8"/>
      <c r="AL314" s="10"/>
      <c r="AM314" s="1"/>
      <c r="AN314" s="1"/>
      <c r="AO314" s="1"/>
      <c r="AP314" s="10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8"/>
      <c r="AL315" s="10"/>
      <c r="AM315" s="1"/>
      <c r="AN315" s="1"/>
      <c r="AO315" s="1"/>
      <c r="AP315" s="10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8"/>
      <c r="AL316" s="10"/>
      <c r="AM316" s="1"/>
      <c r="AN316" s="1"/>
      <c r="AO316" s="1"/>
      <c r="AP316" s="10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8"/>
      <c r="AL317" s="10"/>
      <c r="AM317" s="1"/>
      <c r="AN317" s="1"/>
      <c r="AO317" s="1"/>
      <c r="AP317" s="10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8"/>
      <c r="AL318" s="10"/>
      <c r="AM318" s="1"/>
      <c r="AN318" s="1"/>
      <c r="AO318" s="1"/>
      <c r="AP318" s="10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8"/>
      <c r="AL319" s="10"/>
      <c r="AM319" s="1"/>
      <c r="AN319" s="1"/>
      <c r="AO319" s="1"/>
      <c r="AP319" s="10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8"/>
      <c r="AL320" s="10"/>
      <c r="AM320" s="1"/>
      <c r="AN320" s="1"/>
      <c r="AO320" s="1"/>
      <c r="AP320" s="10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8"/>
      <c r="AL321" s="10"/>
      <c r="AM321" s="1"/>
      <c r="AN321" s="1"/>
      <c r="AO321" s="1"/>
      <c r="AP321" s="10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8"/>
      <c r="AL322" s="10"/>
      <c r="AM322" s="1"/>
      <c r="AN322" s="1"/>
      <c r="AO322" s="1"/>
      <c r="AP322" s="10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8"/>
      <c r="AL323" s="10"/>
      <c r="AM323" s="1"/>
      <c r="AN323" s="1"/>
      <c r="AO323" s="1"/>
      <c r="AP323" s="10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8"/>
      <c r="AL324" s="10"/>
      <c r="AM324" s="1"/>
      <c r="AN324" s="1"/>
      <c r="AO324" s="1"/>
      <c r="AP324" s="10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8"/>
      <c r="AL325" s="10"/>
      <c r="AM325" s="1"/>
      <c r="AN325" s="1"/>
      <c r="AO325" s="1"/>
      <c r="AP325" s="10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8"/>
      <c r="AL326" s="10"/>
      <c r="AM326" s="1"/>
      <c r="AN326" s="1"/>
      <c r="AO326" s="1"/>
      <c r="AP326" s="10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8"/>
      <c r="AL327" s="10"/>
      <c r="AM327" s="1"/>
      <c r="AN327" s="1"/>
      <c r="AO327" s="1"/>
      <c r="AP327" s="10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8"/>
      <c r="AL328" s="10"/>
      <c r="AM328" s="1"/>
      <c r="AN328" s="1"/>
      <c r="AO328" s="1"/>
      <c r="AP328" s="10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8"/>
      <c r="AL329" s="10"/>
      <c r="AM329" s="1"/>
      <c r="AN329" s="1"/>
      <c r="AO329" s="1"/>
      <c r="AP329" s="10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8"/>
      <c r="AL330" s="10"/>
      <c r="AM330" s="1"/>
      <c r="AN330" s="1"/>
      <c r="AO330" s="1"/>
      <c r="AP330" s="10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8"/>
      <c r="AL331" s="10"/>
      <c r="AM331" s="1"/>
      <c r="AN331" s="1"/>
      <c r="AO331" s="1"/>
      <c r="AP331" s="10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8"/>
      <c r="AL332" s="10"/>
      <c r="AM332" s="1"/>
      <c r="AN332" s="1"/>
      <c r="AO332" s="1"/>
      <c r="AP332" s="10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8"/>
      <c r="AL333" s="10"/>
      <c r="AM333" s="1"/>
      <c r="AN333" s="1"/>
      <c r="AO333" s="1"/>
      <c r="AP333" s="10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8"/>
      <c r="AL334" s="10"/>
      <c r="AM334" s="1"/>
      <c r="AN334" s="1"/>
      <c r="AO334" s="1"/>
      <c r="AP334" s="10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8"/>
      <c r="AL335" s="10"/>
      <c r="AM335" s="1"/>
      <c r="AN335" s="1"/>
      <c r="AO335" s="1"/>
      <c r="AP335" s="10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8"/>
      <c r="AL336" s="10"/>
      <c r="AM336" s="1"/>
      <c r="AN336" s="1"/>
      <c r="AO336" s="1"/>
      <c r="AP336" s="10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8"/>
      <c r="AL337" s="10"/>
      <c r="AM337" s="1"/>
      <c r="AN337" s="1"/>
      <c r="AO337" s="1"/>
      <c r="AP337" s="10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8"/>
      <c r="AL338" s="10"/>
      <c r="AM338" s="1"/>
      <c r="AN338" s="1"/>
      <c r="AO338" s="1"/>
      <c r="AP338" s="10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8"/>
      <c r="AL339" s="10"/>
      <c r="AM339" s="1"/>
      <c r="AN339" s="1"/>
      <c r="AO339" s="1"/>
      <c r="AP339" s="10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8"/>
      <c r="AL340" s="10"/>
      <c r="AM340" s="1"/>
      <c r="AN340" s="1"/>
      <c r="AO340" s="1"/>
      <c r="AP340" s="10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8"/>
      <c r="AL341" s="10"/>
      <c r="AM341" s="1"/>
      <c r="AN341" s="1"/>
      <c r="AO341" s="1"/>
      <c r="AP341" s="10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8"/>
      <c r="AL342" s="10"/>
      <c r="AM342" s="1"/>
      <c r="AN342" s="1"/>
      <c r="AO342" s="1"/>
      <c r="AP342" s="10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8"/>
      <c r="AL343" s="10"/>
      <c r="AM343" s="1"/>
      <c r="AN343" s="1"/>
      <c r="AO343" s="1"/>
      <c r="AP343" s="10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8"/>
      <c r="AL344" s="10"/>
      <c r="AM344" s="1"/>
      <c r="AN344" s="1"/>
      <c r="AO344" s="1"/>
      <c r="AP344" s="10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8"/>
      <c r="AL345" s="10"/>
      <c r="AM345" s="1"/>
      <c r="AN345" s="1"/>
      <c r="AO345" s="1"/>
      <c r="AP345" s="10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8"/>
      <c r="AL346" s="10"/>
      <c r="AM346" s="1"/>
      <c r="AN346" s="1"/>
      <c r="AO346" s="1"/>
      <c r="AP346" s="10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8"/>
      <c r="AL347" s="10"/>
      <c r="AM347" s="1"/>
      <c r="AN347" s="1"/>
      <c r="AO347" s="1"/>
      <c r="AP347" s="10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8"/>
      <c r="AL348" s="10"/>
      <c r="AM348" s="1"/>
      <c r="AN348" s="1"/>
      <c r="AO348" s="1"/>
      <c r="AP348" s="10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8"/>
      <c r="AL349" s="10"/>
      <c r="AM349" s="1"/>
      <c r="AN349" s="1"/>
      <c r="AO349" s="1"/>
      <c r="AP349" s="10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8"/>
      <c r="AL350" s="10"/>
      <c r="AM350" s="1"/>
      <c r="AN350" s="1"/>
      <c r="AO350" s="1"/>
      <c r="AP350" s="10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8"/>
      <c r="AL351" s="10"/>
      <c r="AM351" s="1"/>
      <c r="AN351" s="1"/>
      <c r="AO351" s="1"/>
      <c r="AP351" s="10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8"/>
      <c r="AL352" s="10"/>
      <c r="AM352" s="1"/>
      <c r="AN352" s="1"/>
      <c r="AO352" s="1"/>
      <c r="AP352" s="10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8"/>
      <c r="AL353" s="10"/>
      <c r="AM353" s="1"/>
      <c r="AN353" s="1"/>
      <c r="AO353" s="1"/>
      <c r="AP353" s="10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8"/>
      <c r="AL354" s="10"/>
      <c r="AM354" s="1"/>
      <c r="AN354" s="1"/>
      <c r="AO354" s="1"/>
      <c r="AP354" s="10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8"/>
      <c r="AL355" s="10"/>
      <c r="AM355" s="1"/>
      <c r="AN355" s="1"/>
      <c r="AO355" s="1"/>
      <c r="AP355" s="10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8"/>
      <c r="AL356" s="10"/>
      <c r="AM356" s="1"/>
      <c r="AN356" s="1"/>
      <c r="AO356" s="1"/>
      <c r="AP356" s="10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8"/>
      <c r="AL357" s="10"/>
      <c r="AM357" s="1"/>
      <c r="AN357" s="1"/>
      <c r="AO357" s="1"/>
      <c r="AP357" s="10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8"/>
      <c r="AL358" s="10"/>
      <c r="AM358" s="1"/>
      <c r="AN358" s="1"/>
      <c r="AO358" s="1"/>
      <c r="AP358" s="10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8"/>
      <c r="AL359" s="10"/>
      <c r="AM359" s="1"/>
      <c r="AN359" s="1"/>
      <c r="AO359" s="1"/>
      <c r="AP359" s="10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8"/>
      <c r="AL360" s="10"/>
      <c r="AM360" s="1"/>
      <c r="AN360" s="1"/>
      <c r="AO360" s="1"/>
      <c r="AP360" s="10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8"/>
      <c r="AL361" s="10"/>
      <c r="AM361" s="1"/>
      <c r="AN361" s="1"/>
      <c r="AO361" s="1"/>
      <c r="AP361" s="10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8"/>
      <c r="AL362" s="10"/>
      <c r="AM362" s="1"/>
      <c r="AN362" s="1"/>
      <c r="AO362" s="1"/>
      <c r="AP362" s="10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8"/>
      <c r="AL363" s="10"/>
      <c r="AM363" s="1"/>
      <c r="AN363" s="1"/>
      <c r="AO363" s="1"/>
      <c r="AP363" s="10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8"/>
      <c r="AL364" s="10"/>
      <c r="AM364" s="1"/>
      <c r="AN364" s="1"/>
      <c r="AO364" s="1"/>
      <c r="AP364" s="10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8"/>
      <c r="AL365" s="10"/>
      <c r="AM365" s="1"/>
      <c r="AN365" s="1"/>
      <c r="AO365" s="1"/>
      <c r="AP365" s="10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8"/>
      <c r="AL366" s="10"/>
      <c r="AM366" s="1"/>
      <c r="AN366" s="1"/>
      <c r="AO366" s="1"/>
      <c r="AP366" s="10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8"/>
      <c r="AL367" s="10"/>
      <c r="AM367" s="1"/>
      <c r="AN367" s="1"/>
      <c r="AO367" s="1"/>
      <c r="AP367" s="10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8"/>
      <c r="AL368" s="10"/>
      <c r="AM368" s="1"/>
      <c r="AN368" s="1"/>
      <c r="AO368" s="1"/>
      <c r="AP368" s="10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8"/>
      <c r="AL369" s="10"/>
      <c r="AM369" s="1"/>
      <c r="AN369" s="1"/>
      <c r="AO369" s="1"/>
      <c r="AP369" s="10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8"/>
      <c r="AL370" s="10"/>
      <c r="AM370" s="1"/>
      <c r="AN370" s="1"/>
      <c r="AO370" s="1"/>
      <c r="AP370" s="10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8"/>
      <c r="AL371" s="10"/>
      <c r="AM371" s="1"/>
      <c r="AN371" s="1"/>
      <c r="AO371" s="1"/>
      <c r="AP371" s="10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8"/>
      <c r="AL372" s="10"/>
      <c r="AM372" s="1"/>
      <c r="AN372" s="1"/>
      <c r="AO372" s="1"/>
      <c r="AP372" s="10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8"/>
      <c r="AL373" s="10"/>
      <c r="AM373" s="1"/>
      <c r="AN373" s="1"/>
      <c r="AO373" s="1"/>
      <c r="AP373" s="10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8"/>
      <c r="AL374" s="10"/>
      <c r="AM374" s="1"/>
      <c r="AN374" s="1"/>
      <c r="AO374" s="1"/>
      <c r="AP374" s="10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8"/>
      <c r="AL375" s="10"/>
      <c r="AM375" s="1"/>
      <c r="AN375" s="1"/>
      <c r="AO375" s="1"/>
      <c r="AP375" s="10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8"/>
      <c r="AL376" s="10"/>
      <c r="AM376" s="1"/>
      <c r="AN376" s="1"/>
      <c r="AO376" s="1"/>
      <c r="AP376" s="10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8"/>
      <c r="AL377" s="10"/>
      <c r="AM377" s="1"/>
      <c r="AN377" s="1"/>
      <c r="AO377" s="1"/>
      <c r="AP377" s="10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8"/>
      <c r="AL378" s="10"/>
      <c r="AM378" s="1"/>
      <c r="AN378" s="1"/>
      <c r="AO378" s="1"/>
      <c r="AP378" s="10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8"/>
      <c r="AL379" s="10"/>
      <c r="AM379" s="1"/>
      <c r="AN379" s="1"/>
      <c r="AO379" s="1"/>
      <c r="AP379" s="10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8"/>
      <c r="AL380" s="10"/>
      <c r="AM380" s="1"/>
      <c r="AN380" s="1"/>
      <c r="AO380" s="1"/>
      <c r="AP380" s="10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8"/>
      <c r="AL381" s="10"/>
      <c r="AM381" s="1"/>
      <c r="AN381" s="1"/>
      <c r="AO381" s="1"/>
      <c r="AP381" s="10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8"/>
      <c r="AL382" s="10"/>
      <c r="AM382" s="1"/>
      <c r="AN382" s="1"/>
      <c r="AO382" s="1"/>
      <c r="AP382" s="10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8"/>
      <c r="AL383" s="10"/>
      <c r="AM383" s="1"/>
      <c r="AN383" s="1"/>
      <c r="AO383" s="1"/>
      <c r="AP383" s="10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8"/>
      <c r="AL384" s="10"/>
      <c r="AM384" s="1"/>
      <c r="AN384" s="1"/>
      <c r="AO384" s="1"/>
      <c r="AP384" s="10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8"/>
      <c r="AL385" s="10"/>
      <c r="AM385" s="1"/>
      <c r="AN385" s="1"/>
      <c r="AO385" s="1"/>
      <c r="AP385" s="10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8"/>
      <c r="AL386" s="10"/>
      <c r="AM386" s="1"/>
      <c r="AN386" s="1"/>
      <c r="AO386" s="1"/>
      <c r="AP386" s="10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8"/>
      <c r="AL387" s="10"/>
      <c r="AM387" s="1"/>
      <c r="AN387" s="1"/>
      <c r="AO387" s="1"/>
      <c r="AP387" s="10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8"/>
      <c r="AL388" s="10"/>
      <c r="AM388" s="1"/>
      <c r="AN388" s="1"/>
      <c r="AO388" s="1"/>
      <c r="AP388" s="10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8"/>
      <c r="AL389" s="10"/>
      <c r="AM389" s="1"/>
      <c r="AN389" s="1"/>
      <c r="AO389" s="1"/>
      <c r="AP389" s="10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8"/>
      <c r="AL390" s="10"/>
      <c r="AM390" s="1"/>
      <c r="AN390" s="1"/>
      <c r="AO390" s="1"/>
      <c r="AP390" s="10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8"/>
      <c r="AL391" s="10"/>
      <c r="AM391" s="1"/>
      <c r="AN391" s="1"/>
      <c r="AO391" s="1"/>
      <c r="AP391" s="10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8"/>
      <c r="AL392" s="10"/>
      <c r="AM392" s="1"/>
      <c r="AN392" s="1"/>
      <c r="AO392" s="1"/>
      <c r="AP392" s="10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8"/>
      <c r="AL393" s="10"/>
      <c r="AM393" s="1"/>
      <c r="AN393" s="1"/>
      <c r="AO393" s="1"/>
      <c r="AP393" s="10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8"/>
      <c r="AL394" s="10"/>
      <c r="AM394" s="1"/>
      <c r="AN394" s="1"/>
      <c r="AO394" s="1"/>
      <c r="AP394" s="10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8"/>
      <c r="AL395" s="10"/>
      <c r="AM395" s="1"/>
      <c r="AN395" s="1"/>
      <c r="AO395" s="1"/>
      <c r="AP395" s="10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8"/>
      <c r="AL396" s="10"/>
      <c r="AM396" s="1"/>
      <c r="AN396" s="1"/>
      <c r="AO396" s="1"/>
      <c r="AP396" s="10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8"/>
      <c r="AL397" s="10"/>
      <c r="AM397" s="1"/>
      <c r="AN397" s="1"/>
      <c r="AO397" s="1"/>
      <c r="AP397" s="10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8"/>
      <c r="AL398" s="10"/>
      <c r="AM398" s="1"/>
      <c r="AN398" s="1"/>
      <c r="AO398" s="1"/>
      <c r="AP398" s="10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8"/>
      <c r="AL399" s="10"/>
      <c r="AM399" s="1"/>
      <c r="AN399" s="1"/>
      <c r="AO399" s="1"/>
      <c r="AP399" s="10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8"/>
      <c r="AL400" s="10"/>
      <c r="AM400" s="1"/>
      <c r="AN400" s="1"/>
      <c r="AO400" s="1"/>
      <c r="AP400" s="10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8"/>
      <c r="AL401" s="10"/>
      <c r="AM401" s="1"/>
      <c r="AN401" s="1"/>
      <c r="AO401" s="1"/>
      <c r="AP401" s="10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8"/>
      <c r="AL402" s="10"/>
      <c r="AM402" s="1"/>
      <c r="AN402" s="1"/>
      <c r="AO402" s="1"/>
      <c r="AP402" s="10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8"/>
      <c r="AL403" s="10"/>
      <c r="AM403" s="1"/>
      <c r="AN403" s="1"/>
      <c r="AO403" s="1"/>
      <c r="AP403" s="10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8"/>
      <c r="AL404" s="10"/>
      <c r="AM404" s="1"/>
      <c r="AN404" s="1"/>
      <c r="AO404" s="1"/>
      <c r="AP404" s="10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8"/>
      <c r="AL405" s="10"/>
      <c r="AM405" s="1"/>
      <c r="AN405" s="1"/>
      <c r="AO405" s="1"/>
      <c r="AP405" s="10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8"/>
      <c r="AL406" s="10"/>
      <c r="AM406" s="1"/>
      <c r="AN406" s="1"/>
      <c r="AO406" s="1"/>
      <c r="AP406" s="10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8"/>
      <c r="AL407" s="10"/>
      <c r="AM407" s="1"/>
      <c r="AN407" s="1"/>
      <c r="AO407" s="1"/>
      <c r="AP407" s="10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8"/>
      <c r="AL408" s="10"/>
      <c r="AM408" s="1"/>
      <c r="AN408" s="1"/>
      <c r="AO408" s="1"/>
      <c r="AP408" s="10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8"/>
      <c r="AL409" s="10"/>
      <c r="AM409" s="1"/>
      <c r="AN409" s="1"/>
      <c r="AO409" s="1"/>
      <c r="AP409" s="10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8"/>
      <c r="AL410" s="10"/>
      <c r="AM410" s="1"/>
      <c r="AN410" s="1"/>
      <c r="AO410" s="1"/>
      <c r="AP410" s="10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8"/>
      <c r="AL411" s="10"/>
      <c r="AM411" s="1"/>
      <c r="AN411" s="1"/>
      <c r="AO411" s="1"/>
      <c r="AP411" s="10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8"/>
      <c r="AL412" s="10"/>
      <c r="AM412" s="1"/>
      <c r="AN412" s="1"/>
      <c r="AO412" s="1"/>
      <c r="AP412" s="10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8"/>
      <c r="AL413" s="10"/>
      <c r="AM413" s="1"/>
      <c r="AN413" s="1"/>
      <c r="AO413" s="1"/>
      <c r="AP413" s="10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8"/>
      <c r="AL414" s="10"/>
      <c r="AM414" s="1"/>
      <c r="AN414" s="1"/>
      <c r="AO414" s="1"/>
      <c r="AP414" s="10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8"/>
      <c r="AL415" s="10"/>
      <c r="AM415" s="1"/>
      <c r="AN415" s="1"/>
      <c r="AO415" s="1"/>
      <c r="AP415" s="10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8"/>
      <c r="AL416" s="10"/>
      <c r="AM416" s="1"/>
      <c r="AN416" s="1"/>
      <c r="AO416" s="1"/>
      <c r="AP416" s="10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8"/>
      <c r="AL417" s="10"/>
      <c r="AM417" s="1"/>
      <c r="AN417" s="1"/>
      <c r="AO417" s="1"/>
      <c r="AP417" s="10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8"/>
      <c r="AL418" s="10"/>
      <c r="AM418" s="1"/>
      <c r="AN418" s="1"/>
      <c r="AO418" s="1"/>
      <c r="AP418" s="10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8"/>
      <c r="AL419" s="10"/>
      <c r="AM419" s="1"/>
      <c r="AN419" s="1"/>
      <c r="AO419" s="1"/>
      <c r="AP419" s="10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8"/>
      <c r="AL420" s="10"/>
      <c r="AM420" s="1"/>
      <c r="AN420" s="1"/>
      <c r="AO420" s="1"/>
      <c r="AP420" s="10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8"/>
      <c r="AL421" s="10"/>
      <c r="AM421" s="1"/>
      <c r="AN421" s="1"/>
      <c r="AO421" s="1"/>
      <c r="AP421" s="10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8"/>
      <c r="AL422" s="10"/>
      <c r="AM422" s="1"/>
      <c r="AN422" s="1"/>
      <c r="AO422" s="1"/>
      <c r="AP422" s="10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8"/>
      <c r="AL423" s="10"/>
      <c r="AM423" s="1"/>
      <c r="AN423" s="1"/>
      <c r="AO423" s="1"/>
      <c r="AP423" s="10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8"/>
      <c r="AL424" s="10"/>
      <c r="AM424" s="1"/>
      <c r="AN424" s="1"/>
      <c r="AO424" s="1"/>
      <c r="AP424" s="10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8"/>
      <c r="AL425" s="10"/>
      <c r="AM425" s="1"/>
      <c r="AN425" s="1"/>
      <c r="AO425" s="1"/>
      <c r="AP425" s="10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8"/>
      <c r="AL426" s="10"/>
      <c r="AM426" s="1"/>
      <c r="AN426" s="1"/>
      <c r="AO426" s="1"/>
      <c r="AP426" s="10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8"/>
      <c r="AL427" s="10"/>
      <c r="AM427" s="1"/>
      <c r="AN427" s="1"/>
      <c r="AO427" s="1"/>
      <c r="AP427" s="10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8"/>
      <c r="AL428" s="10"/>
      <c r="AM428" s="1"/>
      <c r="AN428" s="1"/>
      <c r="AO428" s="1"/>
      <c r="AP428" s="10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8"/>
      <c r="AL429" s="10"/>
      <c r="AM429" s="1"/>
      <c r="AN429" s="1"/>
      <c r="AO429" s="1"/>
      <c r="AP429" s="10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8"/>
      <c r="AL430" s="10"/>
      <c r="AM430" s="1"/>
      <c r="AN430" s="1"/>
      <c r="AO430" s="1"/>
      <c r="AP430" s="10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8"/>
      <c r="AL431" s="10"/>
      <c r="AM431" s="1"/>
      <c r="AN431" s="1"/>
      <c r="AO431" s="1"/>
      <c r="AP431" s="10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8"/>
      <c r="AL432" s="10"/>
      <c r="AM432" s="1"/>
      <c r="AN432" s="1"/>
      <c r="AO432" s="1"/>
      <c r="AP432" s="10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8"/>
      <c r="AL433" s="10"/>
      <c r="AM433" s="1"/>
      <c r="AN433" s="1"/>
      <c r="AO433" s="1"/>
      <c r="AP433" s="10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8"/>
      <c r="AL434" s="10"/>
      <c r="AM434" s="1"/>
      <c r="AN434" s="1"/>
      <c r="AO434" s="1"/>
      <c r="AP434" s="10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8"/>
      <c r="AL435" s="10"/>
      <c r="AM435" s="1"/>
      <c r="AN435" s="1"/>
      <c r="AO435" s="1"/>
      <c r="AP435" s="10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8"/>
      <c r="AL436" s="10"/>
      <c r="AM436" s="1"/>
      <c r="AN436" s="1"/>
      <c r="AO436" s="1"/>
      <c r="AP436" s="10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8"/>
      <c r="AL437" s="10"/>
      <c r="AM437" s="1"/>
      <c r="AN437" s="1"/>
      <c r="AO437" s="1"/>
      <c r="AP437" s="10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8"/>
      <c r="AL438" s="10"/>
      <c r="AM438" s="1"/>
      <c r="AN438" s="1"/>
      <c r="AO438" s="1"/>
      <c r="AP438" s="10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8"/>
      <c r="AL439" s="10"/>
      <c r="AM439" s="1"/>
      <c r="AN439" s="1"/>
      <c r="AO439" s="1"/>
      <c r="AP439" s="10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8"/>
      <c r="AL440" s="10"/>
      <c r="AM440" s="1"/>
      <c r="AN440" s="1"/>
      <c r="AO440" s="1"/>
      <c r="AP440" s="10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8"/>
      <c r="AL441" s="10"/>
      <c r="AM441" s="1"/>
      <c r="AN441" s="1"/>
      <c r="AO441" s="1"/>
      <c r="AP441" s="10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8"/>
      <c r="AL442" s="10"/>
      <c r="AM442" s="1"/>
      <c r="AN442" s="1"/>
      <c r="AO442" s="1"/>
      <c r="AP442" s="10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8"/>
      <c r="AL443" s="10"/>
      <c r="AM443" s="1"/>
      <c r="AN443" s="1"/>
      <c r="AO443" s="1"/>
      <c r="AP443" s="10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8"/>
      <c r="AL444" s="10"/>
      <c r="AM444" s="1"/>
      <c r="AN444" s="1"/>
      <c r="AO444" s="1"/>
      <c r="AP444" s="10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8"/>
      <c r="AL445" s="10"/>
      <c r="AM445" s="1"/>
      <c r="AN445" s="1"/>
      <c r="AO445" s="1"/>
      <c r="AP445" s="10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8"/>
      <c r="AL446" s="10"/>
      <c r="AM446" s="1"/>
      <c r="AN446" s="1"/>
      <c r="AO446" s="1"/>
      <c r="AP446" s="10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8"/>
      <c r="AL447" s="10"/>
      <c r="AM447" s="1"/>
      <c r="AN447" s="1"/>
      <c r="AO447" s="1"/>
      <c r="AP447" s="10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8"/>
      <c r="AL448" s="10"/>
      <c r="AM448" s="1"/>
      <c r="AN448" s="1"/>
      <c r="AO448" s="1"/>
      <c r="AP448" s="10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8"/>
      <c r="AL449" s="10"/>
      <c r="AM449" s="1"/>
      <c r="AN449" s="1"/>
      <c r="AO449" s="1"/>
      <c r="AP449" s="10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8"/>
      <c r="AL450" s="10"/>
      <c r="AM450" s="1"/>
      <c r="AN450" s="1"/>
      <c r="AO450" s="1"/>
      <c r="AP450" s="10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8"/>
      <c r="AL451" s="10"/>
      <c r="AM451" s="1"/>
      <c r="AN451" s="1"/>
      <c r="AO451" s="1"/>
      <c r="AP451" s="10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8"/>
      <c r="AL452" s="10"/>
      <c r="AM452" s="1"/>
      <c r="AN452" s="1"/>
      <c r="AO452" s="1"/>
      <c r="AP452" s="10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8"/>
      <c r="AL453" s="10"/>
      <c r="AM453" s="1"/>
      <c r="AN453" s="1"/>
      <c r="AO453" s="1"/>
      <c r="AP453" s="10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8"/>
      <c r="AL454" s="10"/>
      <c r="AM454" s="1"/>
      <c r="AN454" s="1"/>
      <c r="AO454" s="1"/>
      <c r="AP454" s="10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8"/>
      <c r="AL455" s="10"/>
      <c r="AM455" s="1"/>
      <c r="AN455" s="1"/>
      <c r="AO455" s="1"/>
      <c r="AP455" s="10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8"/>
      <c r="AL456" s="10"/>
      <c r="AM456" s="1"/>
      <c r="AN456" s="1"/>
      <c r="AO456" s="1"/>
      <c r="AP456" s="10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8"/>
      <c r="AL457" s="10"/>
      <c r="AM457" s="1"/>
      <c r="AN457" s="1"/>
      <c r="AO457" s="1"/>
      <c r="AP457" s="10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8"/>
      <c r="AL458" s="10"/>
      <c r="AM458" s="1"/>
      <c r="AN458" s="1"/>
      <c r="AO458" s="1"/>
      <c r="AP458" s="10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8"/>
      <c r="AL459" s="10"/>
      <c r="AM459" s="1"/>
      <c r="AN459" s="1"/>
      <c r="AO459" s="1"/>
      <c r="AP459" s="10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8"/>
      <c r="AL460" s="10"/>
      <c r="AM460" s="1"/>
      <c r="AN460" s="1"/>
      <c r="AO460" s="1"/>
      <c r="AP460" s="10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8"/>
      <c r="AL461" s="10"/>
      <c r="AM461" s="1"/>
      <c r="AN461" s="1"/>
      <c r="AO461" s="1"/>
      <c r="AP461" s="10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8"/>
      <c r="AL462" s="10"/>
      <c r="AM462" s="1"/>
      <c r="AN462" s="1"/>
      <c r="AO462" s="1"/>
      <c r="AP462" s="10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8"/>
      <c r="AL463" s="10"/>
      <c r="AM463" s="1"/>
      <c r="AN463" s="1"/>
      <c r="AO463" s="1"/>
      <c r="AP463" s="10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8"/>
      <c r="AL464" s="10"/>
      <c r="AM464" s="1"/>
      <c r="AN464" s="1"/>
      <c r="AO464" s="1"/>
      <c r="AP464" s="10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8"/>
      <c r="AL465" s="10"/>
      <c r="AM465" s="1"/>
      <c r="AN465" s="1"/>
      <c r="AO465" s="1"/>
      <c r="AP465" s="10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8"/>
      <c r="AL466" s="10"/>
      <c r="AM466" s="1"/>
      <c r="AN466" s="1"/>
      <c r="AO466" s="1"/>
      <c r="AP466" s="10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8"/>
      <c r="AL467" s="10"/>
      <c r="AM467" s="1"/>
      <c r="AN467" s="1"/>
      <c r="AO467" s="1"/>
      <c r="AP467" s="10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8"/>
      <c r="AL468" s="10"/>
      <c r="AM468" s="1"/>
      <c r="AN468" s="1"/>
      <c r="AO468" s="1"/>
      <c r="AP468" s="10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8"/>
      <c r="AL469" s="10"/>
      <c r="AM469" s="1"/>
      <c r="AN469" s="1"/>
      <c r="AO469" s="1"/>
      <c r="AP469" s="10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8"/>
      <c r="AL470" s="10"/>
      <c r="AM470" s="1"/>
      <c r="AN470" s="1"/>
      <c r="AO470" s="1"/>
      <c r="AP470" s="10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8"/>
      <c r="AL471" s="10"/>
      <c r="AM471" s="1"/>
      <c r="AN471" s="1"/>
      <c r="AO471" s="1"/>
      <c r="AP471" s="10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8"/>
      <c r="AL472" s="10"/>
      <c r="AM472" s="1"/>
      <c r="AN472" s="1"/>
      <c r="AO472" s="1"/>
      <c r="AP472" s="10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8"/>
      <c r="AL473" s="10"/>
      <c r="AM473" s="1"/>
      <c r="AN473" s="1"/>
      <c r="AO473" s="1"/>
      <c r="AP473" s="10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8"/>
      <c r="AL474" s="10"/>
      <c r="AM474" s="1"/>
      <c r="AN474" s="1"/>
      <c r="AO474" s="1"/>
      <c r="AP474" s="10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8"/>
      <c r="AL475" s="10"/>
      <c r="AM475" s="1"/>
      <c r="AN475" s="1"/>
      <c r="AO475" s="1"/>
      <c r="AP475" s="10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8"/>
      <c r="AL476" s="10"/>
      <c r="AM476" s="1"/>
      <c r="AN476" s="1"/>
      <c r="AO476" s="1"/>
      <c r="AP476" s="10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8"/>
      <c r="AL477" s="10"/>
      <c r="AM477" s="1"/>
      <c r="AN477" s="1"/>
      <c r="AO477" s="1"/>
      <c r="AP477" s="10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8"/>
      <c r="AL478" s="10"/>
      <c r="AM478" s="1"/>
      <c r="AN478" s="1"/>
      <c r="AO478" s="1"/>
      <c r="AP478" s="10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8"/>
      <c r="AL479" s="10"/>
      <c r="AM479" s="1"/>
      <c r="AN479" s="1"/>
      <c r="AO479" s="1"/>
      <c r="AP479" s="10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8"/>
      <c r="AL480" s="10"/>
      <c r="AM480" s="1"/>
      <c r="AN480" s="1"/>
      <c r="AO480" s="1"/>
      <c r="AP480" s="10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8"/>
      <c r="AL481" s="10"/>
      <c r="AM481" s="1"/>
      <c r="AN481" s="1"/>
      <c r="AO481" s="1"/>
      <c r="AP481" s="10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8"/>
      <c r="AL482" s="10"/>
      <c r="AM482" s="1"/>
      <c r="AN482" s="1"/>
      <c r="AO482" s="1"/>
      <c r="AP482" s="10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8"/>
      <c r="AL483" s="10"/>
      <c r="AM483" s="1"/>
      <c r="AN483" s="1"/>
      <c r="AO483" s="1"/>
      <c r="AP483" s="10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8"/>
      <c r="AL484" s="10"/>
      <c r="AM484" s="1"/>
      <c r="AN484" s="1"/>
      <c r="AO484" s="1"/>
      <c r="AP484" s="10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8"/>
      <c r="AL485" s="10"/>
      <c r="AM485" s="1"/>
      <c r="AN485" s="1"/>
      <c r="AO485" s="1"/>
      <c r="AP485" s="10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8"/>
      <c r="AL486" s="10"/>
      <c r="AM486" s="1"/>
      <c r="AN486" s="1"/>
      <c r="AO486" s="1"/>
      <c r="AP486" s="10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8"/>
      <c r="AL487" s="10"/>
      <c r="AM487" s="1"/>
      <c r="AN487" s="1"/>
      <c r="AO487" s="1"/>
      <c r="AP487" s="10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8"/>
      <c r="AL488" s="10"/>
      <c r="AM488" s="1"/>
      <c r="AN488" s="1"/>
      <c r="AO488" s="1"/>
      <c r="AP488" s="10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8"/>
      <c r="AL489" s="10"/>
      <c r="AM489" s="1"/>
      <c r="AN489" s="1"/>
      <c r="AO489" s="1"/>
      <c r="AP489" s="10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8"/>
      <c r="AL490" s="10"/>
      <c r="AM490" s="1"/>
      <c r="AN490" s="1"/>
      <c r="AO490" s="1"/>
      <c r="AP490" s="10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8"/>
      <c r="AL491" s="10"/>
      <c r="AM491" s="1"/>
      <c r="AN491" s="1"/>
      <c r="AO491" s="1"/>
      <c r="AP491" s="10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8"/>
      <c r="AL492" s="10"/>
      <c r="AM492" s="1"/>
      <c r="AN492" s="1"/>
      <c r="AO492" s="1"/>
      <c r="AP492" s="10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8"/>
      <c r="AL493" s="10"/>
      <c r="AM493" s="1"/>
      <c r="AN493" s="1"/>
      <c r="AO493" s="1"/>
      <c r="AP493" s="10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8"/>
      <c r="AL494" s="10"/>
      <c r="AM494" s="1"/>
      <c r="AN494" s="1"/>
      <c r="AO494" s="1"/>
      <c r="AP494" s="10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8"/>
      <c r="AL495" s="10"/>
      <c r="AM495" s="1"/>
      <c r="AN495" s="1"/>
      <c r="AO495" s="1"/>
      <c r="AP495" s="10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8"/>
      <c r="AL496" s="10"/>
      <c r="AM496" s="1"/>
      <c r="AN496" s="1"/>
      <c r="AO496" s="1"/>
      <c r="AP496" s="10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8"/>
      <c r="AL497" s="10"/>
      <c r="AM497" s="1"/>
      <c r="AN497" s="1"/>
      <c r="AO497" s="1"/>
      <c r="AP497" s="10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8"/>
      <c r="AL498" s="10"/>
      <c r="AM498" s="1"/>
      <c r="AN498" s="1"/>
      <c r="AO498" s="1"/>
      <c r="AP498" s="10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8"/>
      <c r="AL499" s="10"/>
      <c r="AM499" s="1"/>
      <c r="AN499" s="1"/>
      <c r="AO499" s="1"/>
      <c r="AP499" s="10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P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2026-01-22T08:42:20Z</dcterms:created>
  <dcterms:modified xsi:type="dcterms:W3CDTF">2026-01-23T11:25:50Z</dcterms:modified>
</cp:coreProperties>
</file>