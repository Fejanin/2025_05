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05,10 Горняк(Луганск) КИ НВ с филиалами на 10,10\"/>
    </mc:Choice>
  </mc:AlternateContent>
  <xr:revisionPtr revIDLastSave="0" documentId="13_ncr:1_{004745C0-940E-4D40-8F47-9E436E779F4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BP493" i="2" l="1"/>
  <c r="BN493" i="2"/>
  <c r="Z493" i="2"/>
  <c r="Z491" i="2"/>
  <c r="Y495" i="2"/>
  <c r="BN481" i="2"/>
  <c r="Z481" i="2"/>
  <c r="BN475" i="2"/>
  <c r="Z475" i="2"/>
  <c r="BN401" i="2"/>
  <c r="Z401" i="2"/>
  <c r="BN395" i="2"/>
  <c r="Z395" i="2"/>
  <c r="BP380" i="2"/>
  <c r="BN380" i="2"/>
  <c r="Z380" i="2"/>
  <c r="BP342" i="2"/>
  <c r="Z342" i="2"/>
  <c r="BP341" i="2"/>
  <c r="BN341" i="2"/>
  <c r="Z341" i="2"/>
  <c r="BN324" i="2"/>
  <c r="BP324" i="2"/>
  <c r="BP256" i="2"/>
  <c r="BN256" i="2"/>
  <c r="Z256" i="2"/>
  <c r="BN251" i="2"/>
  <c r="Z251" i="2"/>
  <c r="Z252" i="2" s="1"/>
  <c r="BP151" i="2"/>
  <c r="BN151" i="2"/>
  <c r="Z151" i="2"/>
  <c r="BN143" i="2"/>
  <c r="Z143" i="2"/>
  <c r="BP133" i="2"/>
  <c r="Z133" i="2"/>
  <c r="Z134" i="2" s="1"/>
  <c r="BP38" i="2"/>
  <c r="Z38" i="2"/>
  <c r="Y32" i="2"/>
  <c r="BP27" i="2"/>
  <c r="BN27" i="2"/>
  <c r="Z27" i="2"/>
  <c r="Y25" i="2"/>
  <c r="BN520" i="2"/>
  <c r="Z520" i="2"/>
  <c r="BP522" i="2"/>
  <c r="Z522" i="2"/>
  <c r="BP505" i="2"/>
  <c r="BN505" i="2"/>
  <c r="Z505" i="2"/>
  <c r="BP506" i="2"/>
  <c r="BN506" i="2"/>
  <c r="Z506" i="2"/>
  <c r="BN444" i="2"/>
  <c r="Z444" i="2"/>
  <c r="Z446" i="2" s="1"/>
  <c r="BN427" i="2"/>
  <c r="Z427" i="2"/>
  <c r="BP432" i="2"/>
  <c r="BN432" i="2"/>
  <c r="Z432" i="2"/>
  <c r="BN433" i="2"/>
  <c r="BP433" i="2"/>
  <c r="BP420" i="2"/>
  <c r="BN420" i="2"/>
  <c r="Z420" i="2"/>
  <c r="BN372" i="2"/>
  <c r="Z372" i="2"/>
  <c r="BN374" i="2"/>
  <c r="Z374" i="2"/>
  <c r="BP360" i="2"/>
  <c r="BN360" i="2"/>
  <c r="Z360" i="2"/>
  <c r="BP354" i="2"/>
  <c r="BN354" i="2"/>
  <c r="Z354" i="2"/>
  <c r="Z355" i="2" s="1"/>
  <c r="Z298" i="2"/>
  <c r="Y306" i="2"/>
  <c r="BP299" i="2"/>
  <c r="BN299" i="2"/>
  <c r="Z299" i="2"/>
  <c r="BP269" i="2"/>
  <c r="BN269" i="2"/>
  <c r="Z269" i="2"/>
  <c r="BN273" i="2"/>
  <c r="BP273" i="2"/>
  <c r="BN233" i="2"/>
  <c r="Z233" i="2"/>
  <c r="BP236" i="2"/>
  <c r="BN236" i="2"/>
  <c r="Z236" i="2"/>
  <c r="BP215" i="2"/>
  <c r="BN215" i="2"/>
  <c r="Z215" i="2"/>
  <c r="BP217" i="2"/>
  <c r="BN217" i="2"/>
  <c r="Z217" i="2"/>
  <c r="BN221" i="2"/>
  <c r="Z221" i="2"/>
  <c r="BN223" i="2"/>
  <c r="Z223" i="2"/>
  <c r="BP225" i="2"/>
  <c r="BN225" i="2"/>
  <c r="Z225" i="2"/>
  <c r="BP226" i="2"/>
  <c r="BN226" i="2"/>
  <c r="Z226" i="2"/>
  <c r="BN200" i="2"/>
  <c r="Z200" i="2"/>
  <c r="BP203" i="2"/>
  <c r="BN203" i="2"/>
  <c r="Z203" i="2"/>
  <c r="BP205" i="2"/>
  <c r="BN205" i="2"/>
  <c r="Z205" i="2"/>
  <c r="BP189" i="2"/>
  <c r="BN189" i="2"/>
  <c r="Z189" i="2"/>
  <c r="BP173" i="2"/>
  <c r="BN173" i="2"/>
  <c r="Z173" i="2"/>
  <c r="BN177" i="2"/>
  <c r="Z177" i="2"/>
  <c r="BN179" i="2"/>
  <c r="Z179" i="2"/>
  <c r="BP180" i="2"/>
  <c r="BN180" i="2"/>
  <c r="Z180" i="2"/>
  <c r="BN181" i="2"/>
  <c r="BP181" i="2"/>
  <c r="BP184" i="2"/>
  <c r="BN184" i="2"/>
  <c r="Z184" i="2"/>
  <c r="BN120" i="2"/>
  <c r="Z120" i="2"/>
  <c r="BP113" i="2"/>
  <c r="BN113" i="2"/>
  <c r="Z113" i="2"/>
  <c r="BP114" i="2"/>
  <c r="BN114" i="2"/>
  <c r="Z114" i="2"/>
  <c r="BP115" i="2"/>
  <c r="BN115" i="2"/>
  <c r="Z115" i="2"/>
  <c r="Y109" i="2"/>
  <c r="BP86" i="2"/>
  <c r="Z86" i="2"/>
  <c r="BP78" i="2"/>
  <c r="BN78" i="2"/>
  <c r="Z78" i="2"/>
  <c r="BN79" i="2"/>
  <c r="Z79" i="2"/>
  <c r="BP72" i="2"/>
  <c r="BN72" i="2"/>
  <c r="Z72" i="2"/>
  <c r="BN66" i="2"/>
  <c r="Z66" i="2"/>
  <c r="BP58" i="2"/>
  <c r="BN58" i="2"/>
  <c r="Z58" i="2"/>
  <c r="BP48" i="2"/>
  <c r="BN48" i="2"/>
  <c r="Z48" i="2"/>
  <c r="BP49" i="2"/>
  <c r="BN49" i="2"/>
  <c r="Z49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Z117" i="2" s="1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BN386" i="2"/>
  <c r="Z386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Z207" i="2" s="1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478" i="2" l="1"/>
  <c r="Z440" i="2"/>
  <c r="Z230" i="2"/>
  <c r="Z51" i="2"/>
  <c r="Z263" i="2"/>
  <c r="Z343" i="2"/>
  <c r="Z494" i="2"/>
  <c r="Z414" i="2"/>
  <c r="Z81" i="2"/>
  <c r="Z185" i="2"/>
  <c r="Z524" i="2"/>
  <c r="Z154" i="2"/>
  <c r="Z305" i="2"/>
  <c r="Z62" i="2"/>
  <c r="Z289" i="2"/>
  <c r="Z242" i="2"/>
  <c r="Z376" i="2"/>
  <c r="Z32" i="2"/>
  <c r="Z514" i="2"/>
  <c r="Z334" i="2"/>
  <c r="Z97" i="2"/>
  <c r="Z508" i="2"/>
  <c r="Z421" i="2"/>
  <c r="Z90" i="2"/>
  <c r="Z547" i="2"/>
  <c r="Z366" i="2"/>
  <c r="Z383" i="2"/>
  <c r="Z408" i="2"/>
  <c r="Z348" i="2"/>
  <c r="Z327" i="2"/>
  <c r="Z294" i="2"/>
  <c r="Z165" i="2"/>
  <c r="Z109" i="2"/>
  <c r="Z42" i="2"/>
  <c r="Z274" i="2"/>
  <c r="Z434" i="2"/>
  <c r="X390" i="2" l="1"/>
  <c r="X554" i="2" s="1"/>
  <c r="X389" i="2"/>
  <c r="X558" i="2" s="1"/>
  <c r="BO388" i="2"/>
  <c r="X556" i="2" s="1"/>
  <c r="BM388" i="2"/>
  <c r="X555" i="2" s="1"/>
  <c r="Y388" i="2"/>
  <c r="X557" i="2" l="1"/>
  <c r="Y389" i="2"/>
  <c r="Y558" i="2" s="1"/>
  <c r="BP388" i="2"/>
  <c r="Y556" i="2" s="1"/>
  <c r="BN388" i="2"/>
  <c r="Y555" i="2" s="1"/>
  <c r="Z388" i="2"/>
  <c r="Z389" i="2" s="1"/>
  <c r="Z559" i="2" s="1"/>
  <c r="T564" i="2"/>
  <c r="Y390" i="2"/>
  <c r="Y554" i="2" s="1"/>
  <c r="Y557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<sst xmlns="http://schemas.openxmlformats.org/spreadsheetml/2006/main" count="4296" uniqueCount="915">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</sst>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/>
      <c r="I5" s="648"/>
      <c r="J5" s="648"/>
      <c r="K5" s="648"/>
      <c r="L5" s="648"/>
      <c r="M5" s="648"/>
      <c r="N5" s="69"/>
      <c r="P5" s="26" t="s">
        <v>4</v>
      </c>
      <c r="Q5" s="650"/>
      <c r="R5" s="650"/>
      <c r="T5" s="651" t="s">
        <v>3</v>
      </c>
      <c r="U5" s="652"/>
      <c r="V5" s="653" t="s">
        <v>874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 xml:space="preserve"> </v>
      </c>
      <c r="R6" s="656"/>
      <c r="T6" s="657" t="s">
        <v>5</v>
      </c>
      <c r="U6" s="658"/>
      <c r="V6" s="659" t="s">
        <v>70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>
        <f>IFERROR(VLOOKUP(DeliveryAddress,Table,3,0),1)</f>
        <v>1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58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/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>
        <v>46308</v>
      </c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>
        <v>0.54166666666666663</v>
      </c>
      <c r="R10" s="677"/>
      <c r="U10" s="26" t="s">
        <v>12</v>
      </c>
      <c r="V10" s="678" t="s">
        <v>71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55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61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77"/>
      <c r="BD17" s="76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86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104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86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120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121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122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777.6</v>
      </c>
      <c r="Y47" s="53">
        <f>IFERROR(IF(X47="",0,CEILING((X47/$H47),1)*$H47),"")</f>
        <v>777.6</v>
      </c>
      <c r="Z47" s="39">
        <f>IFERROR(IF(Y47=0,"",ROUNDUP(Y47/H47,0)*0.01898),"")</f>
        <v>1.36656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807.12</v>
      </c>
      <c r="BN47" s="75">
        <f>IFERROR(Y47*I47/H47,"0")</f>
        <v>807.12</v>
      </c>
      <c r="BO47" s="75">
        <f>IFERROR(1/J47*(X47/H47),"0")</f>
        <v>1.125</v>
      </c>
      <c r="BP47" s="75">
        <f>IFERROR(1/J47*(Y47/H47),"0")</f>
        <v>1.125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72</v>
      </c>
      <c r="Y51" s="41">
        <f>IFERROR(Y47/H47,"0")+IFERROR(Y48/H48,"0")+IFERROR(Y49/H49,"0")+IFERROR(Y50/H50,"0")</f>
        <v>72</v>
      </c>
      <c r="Z51" s="41">
        <f>IFERROR(IF(Z47="",0,Z47),"0")+IFERROR(IF(Z48="",0,Z48),"0")+IFERROR(IF(Z49="",0,Z49),"0")+IFERROR(IF(Z50="",0,Z50),"0")</f>
        <v>1.36656</v>
      </c>
      <c r="AA51" s="64"/>
      <c r="AB51" s="64"/>
      <c r="AC51" s="64"/>
    </row>
    <row r="52" spans="1:68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777.6</v>
      </c>
      <c r="Y52" s="41">
        <f>IFERROR(SUM(Y47:Y50),"0")</f>
        <v>777.6</v>
      </c>
      <c r="Z52" s="40"/>
      <c r="AA52" s="64"/>
      <c r="AB52" s="64"/>
      <c r="AC52" s="64"/>
    </row>
    <row r="53" spans="1:68" ht="16.5" hidden="1" customHeight="1" x14ac:dyDescent="0.25">
      <c r="A53" s="712" t="s">
        <v>137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122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179.2</v>
      </c>
      <c r="Y55" s="53">
        <f t="shared" ref="Y55:Y61" si="0">IFERROR(IF(X55="",0,CEILING((X55/$H55),1)*$H55),"")</f>
        <v>179.2</v>
      </c>
      <c r="Z55" s="39">
        <f>IFERROR(IF(Y55=0,"",ROUNDUP(Y55/H55,0)*0.01898),"")</f>
        <v>0.30368000000000001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185.76</v>
      </c>
      <c r="BN55" s="75">
        <f t="shared" ref="BN55:BN61" si="2">IFERROR(Y55*I55/H55,"0")</f>
        <v>185.76</v>
      </c>
      <c r="BO55" s="75">
        <f t="shared" ref="BO55:BO61" si="3">IFERROR(1/J55*(X55/H55),"0")</f>
        <v>0.25</v>
      </c>
      <c r="BP55" s="75">
        <f t="shared" ref="BP55:BP61" si="4">IFERROR(1/J55*(Y55/H55),"0")</f>
        <v>0.25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172.8</v>
      </c>
      <c r="Y56" s="53">
        <f t="shared" si="0"/>
        <v>172.8</v>
      </c>
      <c r="Z56" s="39">
        <f>IFERROR(IF(Y56=0,"",ROUNDUP(Y56/H56,0)*0.01898),"")</f>
        <v>0.30368000000000001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179.36</v>
      </c>
      <c r="BN56" s="75">
        <f t="shared" si="2"/>
        <v>179.36</v>
      </c>
      <c r="BO56" s="75">
        <f t="shared" si="3"/>
        <v>0.25</v>
      </c>
      <c r="BP56" s="75">
        <f t="shared" si="4"/>
        <v>0.25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32</v>
      </c>
      <c r="Y62" s="41">
        <f>IFERROR(Y55/H55,"0")+IFERROR(Y56/H56,"0")+IFERROR(Y57/H57,"0")+IFERROR(Y58/H58,"0")+IFERROR(Y59/H59,"0")+IFERROR(Y60/H60,"0")+IFERROR(Y61/H61,"0")</f>
        <v>32</v>
      </c>
      <c r="Z62" s="41">
        <f>IFERROR(IF(Z55="",0,Z55),"0")+IFERROR(IF(Z56="",0,Z56),"0")+IFERROR(IF(Z57="",0,Z57),"0")+IFERROR(IF(Z58="",0,Z58),"0")+IFERROR(IF(Z59="",0,Z59),"0")+IFERROR(IF(Z60="",0,Z60),"0")+IFERROR(IF(Z61="",0,Z61),"0")</f>
        <v>0.60736000000000001</v>
      </c>
      <c r="AA62" s="64"/>
      <c r="AB62" s="64"/>
      <c r="AC62" s="64"/>
    </row>
    <row r="63" spans="1:68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352</v>
      </c>
      <c r="Y63" s="41">
        <f>IFERROR(SUM(Y55:Y61),"0")</f>
        <v>352</v>
      </c>
      <c r="Z63" s="40"/>
      <c r="AA63" s="64"/>
      <c r="AB63" s="64"/>
      <c r="AC63" s="64"/>
    </row>
    <row r="64" spans="1:68" ht="14.25" hidden="1" customHeight="1" x14ac:dyDescent="0.25">
      <c r="A64" s="713" t="s">
        <v>157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172.8</v>
      </c>
      <c r="Y65" s="53">
        <f>IFERROR(IF(X65="",0,CEILING((X65/$H65),1)*$H65),"")</f>
        <v>172.8</v>
      </c>
      <c r="Z65" s="39">
        <f>IFERROR(IF(Y65=0,"",ROUNDUP(Y65/H65,0)*0.01898),"")</f>
        <v>0.30368000000000001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179.36</v>
      </c>
      <c r="BN65" s="75">
        <f>IFERROR(Y65*I65/H65,"0")</f>
        <v>179.36</v>
      </c>
      <c r="BO65" s="75">
        <f>IFERROR(1/J65*(X65/H65),"0")</f>
        <v>0.25</v>
      </c>
      <c r="BP65" s="75">
        <f>IFERROR(1/J65*(Y65/H65),"0")</f>
        <v>0.25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16</v>
      </c>
      <c r="Y69" s="41">
        <f>IFERROR(Y65/H65,"0")+IFERROR(Y66/H66,"0")+IFERROR(Y67/H67,"0")+IFERROR(Y68/H68,"0")</f>
        <v>16</v>
      </c>
      <c r="Z69" s="41">
        <f>IFERROR(IF(Z65="",0,Z65),"0")+IFERROR(IF(Z66="",0,Z66),"0")+IFERROR(IF(Z67="",0,Z67),"0")+IFERROR(IF(Z68="",0,Z68),"0")</f>
        <v>0.30368000000000001</v>
      </c>
      <c r="AA69" s="64"/>
      <c r="AB69" s="64"/>
      <c r="AC69" s="64"/>
    </row>
    <row r="70" spans="1:68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172.8</v>
      </c>
      <c r="Y70" s="41">
        <f>IFERROR(SUM(Y65:Y68),"0")</f>
        <v>172.8</v>
      </c>
      <c r="Z70" s="40"/>
      <c r="AA70" s="64"/>
      <c r="AB70" s="64"/>
      <c r="AC70" s="64"/>
    </row>
    <row r="71" spans="1:68" ht="14.25" hidden="1" customHeight="1" x14ac:dyDescent="0.25">
      <c r="A71" s="713" t="s">
        <v>86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183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122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259.2</v>
      </c>
      <c r="Y85" s="53">
        <f>IFERROR(IF(X85="",0,CEILING((X85/$H85),1)*$H85),"")</f>
        <v>259.20000000000005</v>
      </c>
      <c r="Z85" s="39">
        <f>IFERROR(IF(Y85=0,"",ROUNDUP(Y85/H85,0)*0.01898),"")</f>
        <v>0.45552000000000004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269.03999999999996</v>
      </c>
      <c r="BN85" s="75">
        <f>IFERROR(Y85*I85/H85,"0")</f>
        <v>269.04000000000002</v>
      </c>
      <c r="BO85" s="75">
        <f>IFERROR(1/J85*(X85/H85),"0")</f>
        <v>0.37499999999999994</v>
      </c>
      <c r="BP85" s="75">
        <f>IFERROR(1/J85*(Y85/H85),"0")</f>
        <v>0.37500000000000006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23.999999999999996</v>
      </c>
      <c r="Y90" s="41">
        <f>IFERROR(Y85/H85,"0")+IFERROR(Y86/H86,"0")+IFERROR(Y87/H87,"0")+IFERROR(Y88/H88,"0")+IFERROR(Y89/H89,"0")</f>
        <v>24.000000000000004</v>
      </c>
      <c r="Z90" s="41">
        <f>IFERROR(IF(Z85="",0,Z85),"0")+IFERROR(IF(Z86="",0,Z86),"0")+IFERROR(IF(Z87="",0,Z87),"0")+IFERROR(IF(Z88="",0,Z88),"0")+IFERROR(IF(Z89="",0,Z89),"0")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259.2</v>
      </c>
      <c r="Y91" s="41">
        <f>IFERROR(SUM(Y85:Y89),"0")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713" t="s">
        <v>86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64.8</v>
      </c>
      <c r="Y93" s="53">
        <f>IFERROR(IF(X93="",0,CEILING((X93/$H93),1)*$H93),"")</f>
        <v>64.8</v>
      </c>
      <c r="Z93" s="39">
        <f>IFERROR(IF(Y93=0,"",ROUNDUP(Y93/H93,0)*0.01898),"")</f>
        <v>0.15184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68.751999999999995</v>
      </c>
      <c r="BN93" s="75">
        <f>IFERROR(Y93*I93/H93,"0")</f>
        <v>68.751999999999995</v>
      </c>
      <c r="BO93" s="75">
        <f>IFERROR(1/J93*(X93/H93),"0")</f>
        <v>0.125</v>
      </c>
      <c r="BP93" s="75">
        <f>IFERROR(1/J93*(Y93/H93),"0")</f>
        <v>0.125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8</v>
      </c>
      <c r="Y97" s="41">
        <f>IFERROR(Y93/H93,"0")+IFERROR(Y94/H94,"0")+IFERROR(Y95/H95,"0")+IFERROR(Y96/H96,"0")</f>
        <v>8</v>
      </c>
      <c r="Z97" s="41">
        <f>IFERROR(IF(Z93="",0,Z93),"0")+IFERROR(IF(Z94="",0,Z94),"0")+IFERROR(IF(Z95="",0,Z95),"0")+IFERROR(IF(Z96="",0,Z96),"0")</f>
        <v>0.15184</v>
      </c>
      <c r="AA97" s="64"/>
      <c r="AB97" s="64"/>
      <c r="AC97" s="64"/>
    </row>
    <row r="98" spans="1:68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64.8</v>
      </c>
      <c r="Y98" s="41">
        <f>IFERROR(SUM(Y93:Y96),"0")</f>
        <v>64.8</v>
      </c>
      <c r="Z98" s="40"/>
      <c r="AA98" s="64"/>
      <c r="AB98" s="64"/>
      <c r="AC98" s="64"/>
    </row>
    <row r="99" spans="1:68" ht="16.5" hidden="1" customHeight="1" x14ac:dyDescent="0.25">
      <c r="A99" s="712" t="s">
        <v>206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122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customHeight="1" x14ac:dyDescent="0.25">
      <c r="A101" s="60" t="s">
        <v>207</v>
      </c>
      <c r="B101" s="60" t="s">
        <v>208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432</v>
      </c>
      <c r="Y101" s="53">
        <f t="shared" ref="Y101:Y108" si="5">IFERROR(IF(X101="",0,CEILING((X101/$H101),1)*$H101),"")</f>
        <v>432</v>
      </c>
      <c r="Z101" s="39">
        <f>IFERROR(IF(Y101=0,"",ROUNDUP(Y101/H101,0)*0.01898),"")</f>
        <v>0.75919999999999999</v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448.4</v>
      </c>
      <c r="BN101" s="75">
        <f t="shared" ref="BN101:BN108" si="7">IFERROR(Y101*I101/H101,"0")</f>
        <v>448.4</v>
      </c>
      <c r="BO101" s="75">
        <f t="shared" ref="BO101:BO108" si="8">IFERROR(1/J101*(X101/H101),"0")</f>
        <v>0.625</v>
      </c>
      <c r="BP101" s="75">
        <f t="shared" ref="BP101:BP108" si="9">IFERROR(1/J101*(Y101/H101),"0")</f>
        <v>0.625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40</v>
      </c>
      <c r="Y109" s="41">
        <f>IFERROR(Y101/H101,"0")+IFERROR(Y102/H102,"0")+IFERROR(Y103/H103,"0")+IFERROR(Y104/H104,"0")+IFERROR(Y105/H105,"0")+IFERROR(Y106/H106,"0")+IFERROR(Y107/H107,"0")+IFERROR(Y108/H108,"0")</f>
        <v>40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0.75919999999999999</v>
      </c>
      <c r="AA109" s="64"/>
      <c r="AB109" s="64"/>
      <c r="AC109" s="64"/>
    </row>
    <row r="110" spans="1:68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432</v>
      </c>
      <c r="Y110" s="41">
        <f>IFERROR(SUM(Y101:Y108),"0")</f>
        <v>432</v>
      </c>
      <c r="Z110" s="40"/>
      <c r="AA110" s="64"/>
      <c r="AB110" s="64"/>
      <c r="AC110" s="64"/>
    </row>
    <row r="111" spans="1:68" ht="14.25" hidden="1" customHeight="1" x14ac:dyDescent="0.25">
      <c r="A111" s="713" t="s">
        <v>157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86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customHeight="1" x14ac:dyDescent="0.25">
      <c r="A120" s="60" t="s">
        <v>237</v>
      </c>
      <c r="B120" s="60" t="s">
        <v>238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194.4</v>
      </c>
      <c r="Y120" s="53">
        <f>IFERROR(IF(X120="",0,CEILING((X120/$H120),1)*$H120),"")</f>
        <v>194.39999999999998</v>
      </c>
      <c r="Z120" s="39">
        <f>IFERROR(IF(Y120=0,"",ROUNDUP(Y120/H120,0)*0.01898),"")</f>
        <v>0.45552000000000004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206.11199999999999</v>
      </c>
      <c r="BN120" s="75">
        <f>IFERROR(Y120*I120/H120,"0")</f>
        <v>206.11199999999997</v>
      </c>
      <c r="BO120" s="75">
        <f>IFERROR(1/J120*(X120/H120),"0")</f>
        <v>0.375</v>
      </c>
      <c r="BP120" s="75">
        <f>IFERROR(1/J120*(Y120/H120),"0")</f>
        <v>0.375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24</v>
      </c>
      <c r="Y124" s="41">
        <f>IFERROR(Y120/H120,"0")+IFERROR(Y121/H121,"0")+IFERROR(Y122/H122,"0")+IFERROR(Y123/H123,"0")</f>
        <v>24</v>
      </c>
      <c r="Z124" s="41">
        <f>IFERROR(IF(Z120="",0,Z120),"0")+IFERROR(IF(Z121="",0,Z121),"0")+IFERROR(IF(Z122="",0,Z122),"0")+IFERROR(IF(Z123="",0,Z123),"0")</f>
        <v>0.45552000000000004</v>
      </c>
      <c r="AA124" s="64"/>
      <c r="AB124" s="64"/>
      <c r="AC124" s="64"/>
    </row>
    <row r="125" spans="1:68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194.4</v>
      </c>
      <c r="Y125" s="41">
        <f>IFERROR(SUM(Y120:Y123),"0")</f>
        <v>194.39999999999998</v>
      </c>
      <c r="Z125" s="40"/>
      <c r="AA125" s="64"/>
      <c r="AB125" s="64"/>
      <c r="AC125" s="64"/>
    </row>
    <row r="126" spans="1:68" ht="14.25" hidden="1" customHeight="1" x14ac:dyDescent="0.25">
      <c r="A126" s="713" t="s">
        <v>175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250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122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77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86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263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86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278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120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122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157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77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86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339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344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345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122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366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157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77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customHeight="1" x14ac:dyDescent="0.25">
      <c r="A215" s="60" t="s">
        <v>370</v>
      </c>
      <c r="B215" s="60" t="s">
        <v>371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50.4</v>
      </c>
      <c r="Y215" s="53">
        <f t="shared" ref="Y215:Y229" si="27">IFERROR(IF(X215="",0,CEILING((X215/$H215),1)*$H215),"")</f>
        <v>50.400000000000006</v>
      </c>
      <c r="Z215" s="39">
        <f>IFERROR(IF(Y215=0,"",ROUNDUP(Y215/H215,0)*0.00902),"")</f>
        <v>0.10824</v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53.4</v>
      </c>
      <c r="BN215" s="75">
        <f t="shared" ref="BN215:BN229" si="29">IFERROR(Y215*I215/H215,"0")</f>
        <v>53.400000000000006</v>
      </c>
      <c r="BO215" s="75">
        <f t="shared" ref="BO215:BO229" si="30">IFERROR(1/J215*(X215/H215),"0")</f>
        <v>9.0909090909090912E-2</v>
      </c>
      <c r="BP215" s="75">
        <f t="shared" ref="BP215:BP229" si="31">IFERROR(1/J215*(Y215/H215),"0")</f>
        <v>9.0909090909090912E-2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customHeight="1" x14ac:dyDescent="0.25">
      <c r="A226" s="60" t="s">
        <v>401</v>
      </c>
      <c r="B226" s="60" t="s">
        <v>402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75.599999999999994</v>
      </c>
      <c r="Y226" s="53">
        <f t="shared" si="27"/>
        <v>75.600000000000009</v>
      </c>
      <c r="Z226" s="39">
        <f>IFERROR(IF(Y226=0,"",ROUNDUP(Y226/H226,0)*0.00502),"")</f>
        <v>0.18071999999999999</v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79.199999999999989</v>
      </c>
      <c r="BN226" s="75">
        <f t="shared" si="29"/>
        <v>79.2</v>
      </c>
      <c r="BO226" s="75">
        <f t="shared" si="30"/>
        <v>0.15384615384615383</v>
      </c>
      <c r="BP226" s="75">
        <f t="shared" si="31"/>
        <v>0.15384615384615385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47.999999999999993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48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0.28895999999999999</v>
      </c>
      <c r="AA230" s="64"/>
      <c r="AB230" s="64"/>
      <c r="AC230" s="64"/>
    </row>
    <row r="231" spans="1:68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126</v>
      </c>
      <c r="Y231" s="41">
        <f>IFERROR(SUM(Y215:Y229),"0")</f>
        <v>126.00000000000001</v>
      </c>
      <c r="Z231" s="40"/>
      <c r="AA231" s="64"/>
      <c r="AB231" s="64"/>
      <c r="AC231" s="64"/>
    </row>
    <row r="232" spans="1:68" ht="14.25" hidden="1" customHeight="1" x14ac:dyDescent="0.25">
      <c r="A232" s="713" t="s">
        <v>86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278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437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440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157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77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129.6</v>
      </c>
      <c r="Y266" s="53">
        <f t="shared" ref="Y266:Y273" si="38">IFERROR(IF(X266="",0,CEILING((X266/$H266),1)*$H266),"")</f>
        <v>129.60000000000002</v>
      </c>
      <c r="Z266" s="39">
        <f>IFERROR(IF(Y266=0,"",ROUNDUP(Y266/H266,0)*0.00902),"")</f>
        <v>0.21648000000000001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134.15999999999997</v>
      </c>
      <c r="BN266" s="75">
        <f t="shared" ref="BN266:BN273" si="40">IFERROR(Y266*I266/H266,"0")</f>
        <v>134.16</v>
      </c>
      <c r="BO266" s="75">
        <f t="shared" ref="BO266:BO273" si="41">IFERROR(1/J266*(X266/H266),"0")</f>
        <v>0.1818181818181818</v>
      </c>
      <c r="BP266" s="75">
        <f t="shared" ref="BP266:BP273" si="42">IFERROR(1/J266*(Y266/H266),"0")</f>
        <v>0.18181818181818185</v>
      </c>
    </row>
    <row r="267" spans="1:68" ht="27" customHeight="1" x14ac:dyDescent="0.25">
      <c r="A267" s="60" t="s">
        <v>454</v>
      </c>
      <c r="B267" s="60" t="s">
        <v>455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194.4</v>
      </c>
      <c r="Y267" s="53">
        <f t="shared" si="38"/>
        <v>194.4</v>
      </c>
      <c r="Z267" s="39">
        <f>IFERROR(IF(Y267=0,"",ROUNDUP(Y267/H267,0)*0.00902),"")</f>
        <v>0.32472000000000001</v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201.23999999999998</v>
      </c>
      <c r="BN267" s="75">
        <f t="shared" si="40"/>
        <v>201.23999999999998</v>
      </c>
      <c r="BO267" s="75">
        <f t="shared" si="41"/>
        <v>0.27272727272727271</v>
      </c>
      <c r="BP267" s="75">
        <f t="shared" si="42"/>
        <v>0.27272727272727271</v>
      </c>
    </row>
    <row r="268" spans="1:68" ht="27" customHeight="1" x14ac:dyDescent="0.25">
      <c r="A268" s="60" t="s">
        <v>457</v>
      </c>
      <c r="B268" s="60" t="s">
        <v>458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194.4</v>
      </c>
      <c r="Y268" s="53">
        <f t="shared" si="38"/>
        <v>194.4</v>
      </c>
      <c r="Z268" s="39">
        <f>IFERROR(IF(Y268=0,"",ROUNDUP(Y268/H268,0)*0.00902),"")</f>
        <v>0.32472000000000001</v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201.23999999999998</v>
      </c>
      <c r="BN268" s="75">
        <f t="shared" si="40"/>
        <v>201.23999999999998</v>
      </c>
      <c r="BO268" s="75">
        <f t="shared" si="41"/>
        <v>0.27272727272727271</v>
      </c>
      <c r="BP268" s="75">
        <f t="shared" si="42"/>
        <v>0.27272727272727271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96</v>
      </c>
      <c r="Y274" s="41">
        <f>IFERROR(Y266/H266,"0")+IFERROR(Y267/H267,"0")+IFERROR(Y268/H268,"0")+IFERROR(Y269/H269,"0")+IFERROR(Y270/H270,"0")+IFERROR(Y271/H271,"0")+IFERROR(Y272/H272,"0")+IFERROR(Y273/H273,"0")</f>
        <v>96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0.86592000000000002</v>
      </c>
      <c r="AA274" s="64"/>
      <c r="AB274" s="64"/>
      <c r="AC274" s="64"/>
    </row>
    <row r="275" spans="1:68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518.4</v>
      </c>
      <c r="Y275" s="41">
        <f>IFERROR(SUM(Y266:Y273),"0")</f>
        <v>518.4</v>
      </c>
      <c r="Z275" s="40"/>
      <c r="AA275" s="64"/>
      <c r="AB275" s="64"/>
      <c r="AC275" s="64"/>
    </row>
    <row r="276" spans="1:68" ht="14.25" hidden="1" customHeight="1" x14ac:dyDescent="0.25">
      <c r="A276" s="713" t="s">
        <v>86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customHeight="1" x14ac:dyDescent="0.25">
      <c r="A280" s="60" t="s">
        <v>480</v>
      </c>
      <c r="B280" s="60" t="s">
        <v>481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86.4</v>
      </c>
      <c r="Y280" s="53">
        <f t="shared" si="43"/>
        <v>86.399999999999991</v>
      </c>
      <c r="Z280" s="39">
        <f>IFERROR(IF(Y280=0,"",ROUNDUP(Y280/H280,0)*0.00651),"")</f>
        <v>0.23436000000000001</v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96.12</v>
      </c>
      <c r="BN280" s="75">
        <f t="shared" si="45"/>
        <v>96.11999999999999</v>
      </c>
      <c r="BO280" s="75">
        <f t="shared" si="46"/>
        <v>0.19780219780219785</v>
      </c>
      <c r="BP280" s="75">
        <f t="shared" si="47"/>
        <v>0.19780219780219782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28.8</v>
      </c>
      <c r="Y283" s="53">
        <f t="shared" si="43"/>
        <v>28.799999999999997</v>
      </c>
      <c r="Z283" s="39">
        <f>IFERROR(IF(Y283=0,"",ROUNDUP(Y283/H283,0)*0.00651),"")</f>
        <v>7.8119999999999995E-2</v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31.824000000000002</v>
      </c>
      <c r="BN283" s="75">
        <f t="shared" si="45"/>
        <v>31.824000000000002</v>
      </c>
      <c r="BO283" s="75">
        <f t="shared" si="46"/>
        <v>6.5934065934065936E-2</v>
      </c>
      <c r="BP283" s="75">
        <f t="shared" si="47"/>
        <v>6.5934065934065936E-2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28.8</v>
      </c>
      <c r="Y285" s="53">
        <f t="shared" si="43"/>
        <v>28.799999999999997</v>
      </c>
      <c r="Z285" s="39">
        <f>IFERROR(IF(Y285=0,"",ROUNDUP(Y285/H285,0)*0.00651),"")</f>
        <v>7.8119999999999995E-2</v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31.824000000000002</v>
      </c>
      <c r="BN285" s="75">
        <f t="shared" si="45"/>
        <v>31.824000000000002</v>
      </c>
      <c r="BO285" s="75">
        <f t="shared" si="46"/>
        <v>6.5934065934065936E-2</v>
      </c>
      <c r="BP285" s="75">
        <f t="shared" si="47"/>
        <v>6.5934065934065936E-2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28.8</v>
      </c>
      <c r="Y287" s="53">
        <f t="shared" si="43"/>
        <v>28.799999999999997</v>
      </c>
      <c r="Z287" s="39">
        <f>IFERROR(IF(Y287=0,"",ROUNDUP(Y287/H287,0)*0.00651),"")</f>
        <v>7.8119999999999995E-2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31.896000000000001</v>
      </c>
      <c r="BN287" s="75">
        <f t="shared" si="45"/>
        <v>31.896000000000001</v>
      </c>
      <c r="BO287" s="75">
        <f t="shared" si="46"/>
        <v>6.5934065934065936E-2</v>
      </c>
      <c r="BP287" s="75">
        <f t="shared" si="47"/>
        <v>6.5934065934065936E-2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72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72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0.46871999999999991</v>
      </c>
      <c r="AA289" s="64"/>
      <c r="AB289" s="64"/>
      <c r="AC289" s="64"/>
    </row>
    <row r="290" spans="1:68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172.8</v>
      </c>
      <c r="Y290" s="41">
        <f>IFERROR(SUM(Y277:Y288),"0")</f>
        <v>172.8</v>
      </c>
      <c r="Z290" s="40"/>
      <c r="AA290" s="64"/>
      <c r="AB290" s="64"/>
      <c r="AC290" s="64"/>
    </row>
    <row r="291" spans="1:68" ht="14.25" hidden="1" customHeight="1" x14ac:dyDescent="0.25">
      <c r="A291" s="713" t="s">
        <v>175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508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122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157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530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339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537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122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88" t="s">
        <v>540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558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86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567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77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86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588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122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597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122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7" t="s">
        <v>600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77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175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customHeight="1" x14ac:dyDescent="0.25">
      <c r="A386" s="60" t="s">
        <v>648</v>
      </c>
      <c r="B386" s="60" t="s">
        <v>649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134.4</v>
      </c>
      <c r="Y386" s="53">
        <f>IFERROR(IF(X386="",0,CEILING((X386/$H386),1)*$H386),"")</f>
        <v>134.4</v>
      </c>
      <c r="Z386" s="39">
        <f>IFERROR(IF(Y386=0,"",ROUNDUP(Y386/H386,0)*0.01898),"")</f>
        <v>0.30368000000000001</v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142.304</v>
      </c>
      <c r="BN386" s="75">
        <f>IFERROR(Y386*I386/H386,"0")</f>
        <v>142.304</v>
      </c>
      <c r="BO386" s="75">
        <f>IFERROR(1/J386*(X386/H386),"0")</f>
        <v>0.25</v>
      </c>
      <c r="BP386" s="75">
        <f>IFERROR(1/J386*(Y386/H386),"0")</f>
        <v>0.25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187.2</v>
      </c>
      <c r="Y387" s="53">
        <f>IFERROR(IF(X387="",0,CEILING((X387/$H387),1)*$H387),"")</f>
        <v>187.2</v>
      </c>
      <c r="Z387" s="39">
        <f>IFERROR(IF(Y387=0,"",ROUNDUP(Y387/H387,0)*0.01898),"")</f>
        <v>0.45552000000000004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199.05600000000001</v>
      </c>
      <c r="BN387" s="75">
        <f>IFERROR(Y387*I387/H387,"0")</f>
        <v>199.05600000000001</v>
      </c>
      <c r="BO387" s="75">
        <f>IFERROR(1/J387*(X387/H387),"0")</f>
        <v>0.375</v>
      </c>
      <c r="BP387" s="75">
        <f>IFERROR(1/J387*(Y387/H387),"0")</f>
        <v>0.375</v>
      </c>
    </row>
    <row r="388" spans="1:68" ht="27" customHeight="1" x14ac:dyDescent="0.25">
      <c r="A388" s="60" t="s">
        <v>654</v>
      </c>
      <c r="B388" s="60" t="s">
        <v>655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134.4</v>
      </c>
      <c r="Y388" s="53">
        <f>IFERROR(IF(X388="",0,CEILING((X388/$H388),1)*$H388),"")</f>
        <v>134.4</v>
      </c>
      <c r="Z388" s="39">
        <f>IFERROR(IF(Y388=0,"",ROUNDUP(Y388/H388,0)*0.01898),"")</f>
        <v>0.30368000000000001</v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142.304</v>
      </c>
      <c r="BN388" s="75">
        <f>IFERROR(Y388*I388/H388,"0")</f>
        <v>142.304</v>
      </c>
      <c r="BO388" s="75">
        <f>IFERROR(1/J388*(X388/H388),"0")</f>
        <v>0.25</v>
      </c>
      <c r="BP388" s="75">
        <f>IFERROR(1/J388*(Y388/H388),"0")</f>
        <v>0.25</v>
      </c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56</v>
      </c>
      <c r="Y389" s="41">
        <f>IFERROR(Y386/H386,"0")+IFERROR(Y387/H387,"0")+IFERROR(Y388/H388,"0")</f>
        <v>56</v>
      </c>
      <c r="Z389" s="41">
        <f>IFERROR(IF(Z386="",0,Z386),"0")+IFERROR(IF(Z387="",0,Z387),"0")+IFERROR(IF(Z388="",0,Z388),"0")</f>
        <v>1.06288</v>
      </c>
      <c r="AA389" s="64"/>
      <c r="AB389" s="64"/>
      <c r="AC389" s="64"/>
    </row>
    <row r="390" spans="1:68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456</v>
      </c>
      <c r="Y390" s="41">
        <f>IFERROR(SUM(Y386:Y388),"0")</f>
        <v>456</v>
      </c>
      <c r="Z390" s="40"/>
      <c r="AA390" s="64"/>
      <c r="AB390" s="64"/>
      <c r="AC390" s="64"/>
    </row>
    <row r="391" spans="1:68" ht="14.25" hidden="1" customHeight="1" x14ac:dyDescent="0.25">
      <c r="A391" s="713" t="s">
        <v>278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666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675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684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86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691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86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701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122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720</v>
      </c>
      <c r="Y427" s="53">
        <f t="shared" si="68"/>
        <v>720</v>
      </c>
      <c r="Z427" s="39">
        <f>IFERROR(IF(Y427=0,"",ROUNDUP(Y427/H427,0)*0.02175),"")</f>
        <v>1.044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742.56</v>
      </c>
      <c r="BN427" s="75">
        <f t="shared" si="70"/>
        <v>742.56</v>
      </c>
      <c r="BO427" s="75">
        <f t="shared" si="71"/>
        <v>1</v>
      </c>
      <c r="BP427" s="75">
        <f t="shared" si="72"/>
        <v>1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240</v>
      </c>
      <c r="Y428" s="53">
        <f t="shared" si="68"/>
        <v>240</v>
      </c>
      <c r="Z428" s="39">
        <f>IFERROR(IF(Y428=0,"",ROUNDUP(Y428/H428,0)*0.02175),"")</f>
        <v>0.34799999999999998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247.52</v>
      </c>
      <c r="BN428" s="75">
        <f t="shared" si="70"/>
        <v>247.52</v>
      </c>
      <c r="BO428" s="75">
        <f t="shared" si="71"/>
        <v>0.33333333333333331</v>
      </c>
      <c r="BP428" s="75">
        <f t="shared" si="72"/>
        <v>0.33333333333333331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540</v>
      </c>
      <c r="Y429" s="53">
        <f t="shared" si="68"/>
        <v>540</v>
      </c>
      <c r="Z429" s="39">
        <f>IFERROR(IF(Y429=0,"",ROUNDUP(Y429/H429,0)*0.02175),"")</f>
        <v>0.78299999999999992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556.92000000000007</v>
      </c>
      <c r="BN429" s="75">
        <f t="shared" si="70"/>
        <v>556.92000000000007</v>
      </c>
      <c r="BO429" s="75">
        <f t="shared" si="71"/>
        <v>0.75</v>
      </c>
      <c r="BP429" s="75">
        <f t="shared" si="72"/>
        <v>0.75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100</v>
      </c>
      <c r="Y434" s="41">
        <f>IFERROR(Y426/H426,"0")+IFERROR(Y427/H427,"0")+IFERROR(Y428/H428,"0")+IFERROR(Y429/H429,"0")+IFERROR(Y430/H430,"0")+IFERROR(Y431/H431,"0")+IFERROR(Y432/H432,"0")+IFERROR(Y433/H433,"0")</f>
        <v>100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2.1749999999999998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1500</v>
      </c>
      <c r="Y435" s="41">
        <f>IFERROR(SUM(Y426:Y433),"0")</f>
        <v>1500</v>
      </c>
      <c r="Z435" s="40"/>
      <c r="AA435" s="64"/>
      <c r="AB435" s="64"/>
      <c r="AC435" s="64"/>
    </row>
    <row r="436" spans="1:68" ht="14.25" hidden="1" customHeight="1" x14ac:dyDescent="0.25">
      <c r="A436" s="713" t="s">
        <v>157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120</v>
      </c>
      <c r="Y437" s="53">
        <f>IFERROR(IF(X437="",0,CEILING((X437/$H437),1)*$H437),"")</f>
        <v>120</v>
      </c>
      <c r="Z437" s="39">
        <f>IFERROR(IF(Y437=0,"",ROUNDUP(Y437/H437,0)*0.02175),"")</f>
        <v>0.17399999999999999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123.76</v>
      </c>
      <c r="BN437" s="75">
        <f>IFERROR(Y437*I437/H437,"0")</f>
        <v>123.76</v>
      </c>
      <c r="BO437" s="75">
        <f>IFERROR(1/J437*(X437/H437),"0")</f>
        <v>0.16666666666666666</v>
      </c>
      <c r="BP437" s="75">
        <f>IFERROR(1/J437*(Y437/H437),"0")</f>
        <v>0.16666666666666666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8</v>
      </c>
      <c r="Y440" s="41">
        <f>IFERROR(Y437/H437,"0")+IFERROR(Y438/H438,"0")+IFERROR(Y439/H439,"0")</f>
        <v>8</v>
      </c>
      <c r="Z440" s="41">
        <f>IFERROR(IF(Z437="",0,Z437),"0")+IFERROR(IF(Z438="",0,Z438),"0")+IFERROR(IF(Z439="",0,Z439),"0")</f>
        <v>0.17399999999999999</v>
      </c>
      <c r="AA440" s="64"/>
      <c r="AB440" s="64"/>
      <c r="AC440" s="64"/>
    </row>
    <row r="441" spans="1:68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120</v>
      </c>
      <c r="Y441" s="41">
        <f>IFERROR(SUM(Y437:Y439),"0")</f>
        <v>120</v>
      </c>
      <c r="Z441" s="40"/>
      <c r="AA441" s="64"/>
      <c r="AB441" s="64"/>
      <c r="AC441" s="64"/>
    </row>
    <row r="442" spans="1:68" ht="14.25" hidden="1" customHeight="1" x14ac:dyDescent="0.25">
      <c r="A442" s="713" t="s">
        <v>86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748</v>
      </c>
      <c r="B450" s="60" t="s">
        <v>749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72</v>
      </c>
      <c r="Y450" s="53">
        <f>IFERROR(IF(X450="",0,CEILING((X450/$H450),1)*$H450),"")</f>
        <v>72</v>
      </c>
      <c r="Z450" s="39">
        <f>IFERROR(IF(Y450=0,"",ROUNDUP(Y450/H450,0)*0.01898),"")</f>
        <v>0.15184</v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75.951999999999998</v>
      </c>
      <c r="BN450" s="75">
        <f>IFERROR(Y450*I450/H450,"0")</f>
        <v>75.951999999999998</v>
      </c>
      <c r="BO450" s="75">
        <f>IFERROR(1/J450*(X450/H450),"0")</f>
        <v>0.125</v>
      </c>
      <c r="BP450" s="75">
        <f>IFERROR(1/J450*(Y450/H450),"0")</f>
        <v>0.125</v>
      </c>
    </row>
    <row r="451" spans="1:68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8</v>
      </c>
      <c r="Y451" s="41">
        <f>IFERROR(Y449/H449,"0")+IFERROR(Y450/H450,"0")</f>
        <v>8</v>
      </c>
      <c r="Z451" s="41">
        <f>IFERROR(IF(Z449="",0,Z449),"0")+IFERROR(IF(Z450="",0,Z450),"0")</f>
        <v>0.15184</v>
      </c>
      <c r="AA451" s="64"/>
      <c r="AB451" s="64"/>
      <c r="AC451" s="64"/>
    </row>
    <row r="452" spans="1:68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72</v>
      </c>
      <c r="Y452" s="41">
        <f>IFERROR(SUM(Y449:Y450),"0")</f>
        <v>72</v>
      </c>
      <c r="Z452" s="40"/>
      <c r="AA452" s="64"/>
      <c r="AB452" s="64"/>
      <c r="AC452" s="64"/>
    </row>
    <row r="453" spans="1:68" ht="16.5" hidden="1" customHeight="1" x14ac:dyDescent="0.25">
      <c r="A453" s="712" t="s">
        <v>751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customHeight="1" x14ac:dyDescent="0.25">
      <c r="A455" s="60" t="s">
        <v>752</v>
      </c>
      <c r="B455" s="60" t="s">
        <v>753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120</v>
      </c>
      <c r="Y455" s="53">
        <f>IFERROR(IF(X455="",0,CEILING((X455/$H455),1)*$H455),"")</f>
        <v>120</v>
      </c>
      <c r="Z455" s="39">
        <f>IFERROR(IF(Y455=0,"",ROUNDUP(Y455/H455,0)*0.01898),"")</f>
        <v>0.1898</v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124.10000000000001</v>
      </c>
      <c r="BN455" s="75">
        <f>IFERROR(Y455*I455/H455,"0")</f>
        <v>124.10000000000001</v>
      </c>
      <c r="BO455" s="75">
        <f>IFERROR(1/J455*(X455/H455),"0")</f>
        <v>0.15625</v>
      </c>
      <c r="BP455" s="75">
        <f>IFERROR(1/J455*(Y455/H455),"0")</f>
        <v>0.15625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10</v>
      </c>
      <c r="Y457" s="41">
        <f>IFERROR(Y455/H455,"0")+IFERROR(Y456/H456,"0")</f>
        <v>10</v>
      </c>
      <c r="Z457" s="41">
        <f>IFERROR(IF(Z455="",0,Z455),"0")+IFERROR(IF(Z456="",0,Z456),"0")</f>
        <v>0.1898</v>
      </c>
      <c r="AA457" s="64"/>
      <c r="AB457" s="64"/>
      <c r="AC457" s="64"/>
    </row>
    <row r="458" spans="1:68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120</v>
      </c>
      <c r="Y458" s="41">
        <f>IFERROR(SUM(Y455:Y456),"0")</f>
        <v>120</v>
      </c>
      <c r="Z458" s="40"/>
      <c r="AA458" s="64"/>
      <c r="AB458" s="64"/>
      <c r="AC458" s="64"/>
    </row>
    <row r="459" spans="1:68" ht="14.25" hidden="1" customHeight="1" x14ac:dyDescent="0.25">
      <c r="A459" s="713" t="s">
        <v>77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86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customHeight="1" x14ac:dyDescent="0.25">
      <c r="A464" s="60" t="s">
        <v>760</v>
      </c>
      <c r="B464" s="60" t="s">
        <v>761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216</v>
      </c>
      <c r="Y464" s="53">
        <f>IFERROR(IF(X464="",0,CEILING((X464/$H464),1)*$H464),"")</f>
        <v>216</v>
      </c>
      <c r="Z464" s="39">
        <f>IFERROR(IF(Y464=0,"",ROUNDUP(Y464/H464,0)*0.01898),"")</f>
        <v>0.45552000000000004</v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227.85599999999997</v>
      </c>
      <c r="BN464" s="75">
        <f>IFERROR(Y464*I464/H464,"0")</f>
        <v>227.85599999999997</v>
      </c>
      <c r="BO464" s="75">
        <f>IFERROR(1/J464*(X464/H464),"0")</f>
        <v>0.375</v>
      </c>
      <c r="BP464" s="75">
        <f>IFERROR(1/J464*(Y464/H464),"0")</f>
        <v>0.375</v>
      </c>
    </row>
    <row r="465" spans="1:68" ht="27" customHeight="1" x14ac:dyDescent="0.25">
      <c r="A465" s="60" t="s">
        <v>763</v>
      </c>
      <c r="B465" s="60" t="s">
        <v>764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28.8</v>
      </c>
      <c r="Y465" s="53">
        <f>IFERROR(IF(X465="",0,CEILING((X465/$H465),1)*$H465),"")</f>
        <v>28.799999999999997</v>
      </c>
      <c r="Z465" s="39">
        <f>IFERROR(IF(Y465=0,"",ROUNDUP(Y465/H465,0)*0.00651),"")</f>
        <v>7.8119999999999995E-2</v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31.968000000000004</v>
      </c>
      <c r="BN465" s="75">
        <f>IFERROR(Y465*I465/H465,"0")</f>
        <v>31.967999999999996</v>
      </c>
      <c r="BO465" s="75">
        <f>IFERROR(1/J465*(X465/H465),"0")</f>
        <v>6.5934065934065936E-2</v>
      </c>
      <c r="BP465" s="75">
        <f>IFERROR(1/J465*(Y465/H465),"0")</f>
        <v>6.5934065934065936E-2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36</v>
      </c>
      <c r="Y467" s="41">
        <f>IFERROR(Y464/H464,"0")+IFERROR(Y465/H465,"0")+IFERROR(Y466/H466,"0")</f>
        <v>36</v>
      </c>
      <c r="Z467" s="41">
        <f>IFERROR(IF(Z464="",0,Z464),"0")+IFERROR(IF(Z465="",0,Z465),"0")+IFERROR(IF(Z466="",0,Z466),"0")</f>
        <v>0.53364</v>
      </c>
      <c r="AA467" s="64"/>
      <c r="AB467" s="64"/>
      <c r="AC467" s="64"/>
    </row>
    <row r="468" spans="1:68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244.8</v>
      </c>
      <c r="Y468" s="41">
        <f>IFERROR(SUM(Y464:Y466),"0")</f>
        <v>244.8</v>
      </c>
      <c r="Z468" s="40"/>
      <c r="AA468" s="64"/>
      <c r="AB468" s="64"/>
      <c r="AC468" s="64"/>
    </row>
    <row r="469" spans="1:68" ht="27.75" hidden="1" customHeight="1" x14ac:dyDescent="0.2">
      <c r="A469" s="711" t="s">
        <v>767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86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791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157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77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803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803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122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157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77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850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850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122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157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77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175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869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157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5582.8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5582.8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5819.1080000000002</v>
      </c>
      <c r="Y555" s="41">
        <f>IFERROR(SUM(BN22:BN551),"0")</f>
        <v>5819.1080000000002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9</v>
      </c>
      <c r="Y556" s="42">
        <f>ROUNDUP(SUM(BP22:BP551),0)</f>
        <v>9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6044.1080000000002</v>
      </c>
      <c r="Y557" s="41">
        <f>GrossWeightTotalR+PalletQtyTotalR*25</f>
        <v>6044.1080000000002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650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650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10.010439999999999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7" t="s">
        <v>120</v>
      </c>
      <c r="E561" s="1007" t="s">
        <v>120</v>
      </c>
      <c r="F561" s="1007" t="s">
        <v>120</v>
      </c>
      <c r="G561" s="1007" t="s">
        <v>120</v>
      </c>
      <c r="H561" s="1007" t="s">
        <v>120</v>
      </c>
      <c r="I561" s="1007" t="s">
        <v>120</v>
      </c>
      <c r="J561" s="1007" t="s">
        <v>120</v>
      </c>
      <c r="K561" s="1007" t="s">
        <v>344</v>
      </c>
      <c r="L561" s="1007" t="s">
        <v>344</v>
      </c>
      <c r="M561" s="1007" t="s">
        <v>344</v>
      </c>
      <c r="N561" s="1008"/>
      <c r="O561" s="1007" t="s">
        <v>344</v>
      </c>
      <c r="P561" s="1007" t="s">
        <v>344</v>
      </c>
      <c r="Q561" s="1007" t="s">
        <v>344</v>
      </c>
      <c r="R561" s="1007" t="s">
        <v>344</v>
      </c>
      <c r="S561" s="1007" t="s">
        <v>344</v>
      </c>
      <c r="T561" s="1007" t="s">
        <v>344</v>
      </c>
      <c r="U561" s="1007" t="s">
        <v>344</v>
      </c>
      <c r="V561" s="1007" t="s">
        <v>344</v>
      </c>
      <c r="W561" s="1007" t="s">
        <v>701</v>
      </c>
      <c r="X561" s="1007" t="s">
        <v>701</v>
      </c>
      <c r="Y561" s="1007" t="s">
        <v>767</v>
      </c>
      <c r="Z561" s="1007" t="s">
        <v>767</v>
      </c>
      <c r="AA561" s="80" t="s">
        <v>803</v>
      </c>
      <c r="AB561" s="1007" t="s">
        <v>850</v>
      </c>
      <c r="AC561" s="1007" t="s">
        <v>850</v>
      </c>
      <c r="AF561" s="1"/>
    </row>
    <row r="562" spans="1:32" ht="14.25" customHeight="1" thickTop="1" x14ac:dyDescent="0.2">
      <c r="A562" s="1009" t="s">
        <v>10</v>
      </c>
      <c r="B562" s="1007" t="s">
        <v>76</v>
      </c>
      <c r="C562" s="1007" t="s">
        <v>104</v>
      </c>
      <c r="D562" s="1007" t="s">
        <v>121</v>
      </c>
      <c r="E562" s="1007" t="s">
        <v>137</v>
      </c>
      <c r="F562" s="1007" t="s">
        <v>183</v>
      </c>
      <c r="G562" s="1007" t="s">
        <v>206</v>
      </c>
      <c r="H562" s="1007" t="s">
        <v>250</v>
      </c>
      <c r="I562" s="1007" t="s">
        <v>263</v>
      </c>
      <c r="J562" s="1007" t="s">
        <v>120</v>
      </c>
      <c r="K562" s="1007" t="s">
        <v>345</v>
      </c>
      <c r="L562" s="1007" t="s">
        <v>366</v>
      </c>
      <c r="M562" s="1007" t="s">
        <v>440</v>
      </c>
      <c r="N562" s="1"/>
      <c r="O562" s="1007" t="s">
        <v>508</v>
      </c>
      <c r="P562" s="1007" t="s">
        <v>537</v>
      </c>
      <c r="Q562" s="1007" t="s">
        <v>558</v>
      </c>
      <c r="R562" s="1007" t="s">
        <v>567</v>
      </c>
      <c r="S562" s="1007" t="s">
        <v>588</v>
      </c>
      <c r="T562" s="1007" t="s">
        <v>597</v>
      </c>
      <c r="U562" s="1007" t="s">
        <v>684</v>
      </c>
      <c r="V562" s="1007" t="s">
        <v>691</v>
      </c>
      <c r="W562" s="1007" t="s">
        <v>702</v>
      </c>
      <c r="X562" s="1007" t="s">
        <v>751</v>
      </c>
      <c r="Y562" s="1007" t="s">
        <v>768</v>
      </c>
      <c r="Z562" s="1007" t="s">
        <v>791</v>
      </c>
      <c r="AA562" s="1007" t="s">
        <v>803</v>
      </c>
      <c r="AB562" s="1007" t="s">
        <v>850</v>
      </c>
      <c r="AC562" s="1007" t="s">
        <v>869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777.6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524.79999999999995</v>
      </c>
      <c r="F564" s="50">
        <f>IFERROR(Y85*1,"0")+IFERROR(Y86*1,"0")+IFERROR(Y87*1,"0")+IFERROR(Y88*1,"0")+IFERROR(Y89*1,"0")+IFERROR(Y93*1,"0")+IFERROR(Y94*1,"0")+IFERROR(Y95*1,"0")+IFERROR(Y96*1,"0")</f>
        <v>324.00000000000006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626.4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126.00000000000001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691.19999999999982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456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1692</v>
      </c>
      <c r="X564" s="50">
        <f>IFERROR(Y455*1,"0")+IFERROR(Y456*1,"0")+IFERROR(Y460*1,"0")+IFERROR(Y464*1,"0")+IFERROR(Y465*1,"0")+IFERROR(Y466*1,"0")</f>
        <v>364.8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,00"/>
        <filter val="100,00"/>
        <filter val="120,00"/>
        <filter val="126,00"/>
        <filter val="129,60"/>
        <filter val="134,40"/>
        <filter val="16,00"/>
        <filter val="172,80"/>
        <filter val="179,20"/>
        <filter val="187,20"/>
        <filter val="194,40"/>
        <filter val="216,00"/>
        <filter val="24,00"/>
        <filter val="240,00"/>
        <filter val="244,80"/>
        <filter val="259,20"/>
        <filter val="28,80"/>
        <filter val="32,00"/>
        <filter val="352,00"/>
        <filter val="36,00"/>
        <filter val="40,00"/>
        <filter val="432,00"/>
        <filter val="456,00"/>
        <filter val="48,00"/>
        <filter val="5 582,80"/>
        <filter val="5 819,11"/>
        <filter val="50,40"/>
        <filter val="518,40"/>
        <filter val="540,00"/>
        <filter val="56,00"/>
        <filter val="6 044,11"/>
        <filter val="64,80"/>
        <filter val="650,00"/>
        <filter val="72,00"/>
        <filter val="720,00"/>
        <filter val="75,60"/>
        <filter val="777,60"/>
        <filter val="8,00"/>
        <filter val="86,40"/>
        <filter val="9"/>
        <filter val="96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2026-10-07T07:19:14Z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