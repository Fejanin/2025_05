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3B7D437-181E-4439-A916-A1C63DF4621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X544" i="1"/>
  <c r="BO543" i="1"/>
  <c r="BM543" i="1"/>
  <c r="Y543" i="1"/>
  <c r="AC556" i="1" s="1"/>
  <c r="P543" i="1"/>
  <c r="X540" i="1"/>
  <c r="X539" i="1"/>
  <c r="BO538" i="1"/>
  <c r="BM538" i="1"/>
  <c r="Y538" i="1"/>
  <c r="BP538" i="1" s="1"/>
  <c r="P538" i="1"/>
  <c r="BO537" i="1"/>
  <c r="BM537" i="1"/>
  <c r="Y537" i="1"/>
  <c r="Y539" i="1" s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BP512" i="1" s="1"/>
  <c r="P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BP504" i="1" s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O496" i="1"/>
  <c r="BM496" i="1"/>
  <c r="Y496" i="1"/>
  <c r="BP496" i="1" s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BP492" i="1" s="1"/>
  <c r="P492" i="1"/>
  <c r="X488" i="1"/>
  <c r="X487" i="1"/>
  <c r="BO486" i="1"/>
  <c r="BM486" i="1"/>
  <c r="Y486" i="1"/>
  <c r="BP486" i="1" s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BP467" i="1" s="1"/>
  <c r="P467" i="1"/>
  <c r="BO466" i="1"/>
  <c r="BM466" i="1"/>
  <c r="Y466" i="1"/>
  <c r="P466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Y451" i="1" s="1"/>
  <c r="P449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BP426" i="1" s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O422" i="1"/>
  <c r="BM422" i="1"/>
  <c r="Y422" i="1"/>
  <c r="BP422" i="1" s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X416" i="1"/>
  <c r="X415" i="1"/>
  <c r="BO414" i="1"/>
  <c r="BM414" i="1"/>
  <c r="Y414" i="1"/>
  <c r="P414" i="1"/>
  <c r="BO413" i="1"/>
  <c r="BM413" i="1"/>
  <c r="Y413" i="1"/>
  <c r="BP413" i="1" s="1"/>
  <c r="P413" i="1"/>
  <c r="BO412" i="1"/>
  <c r="BM412" i="1"/>
  <c r="Y412" i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Y403" i="1" s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BP393" i="1" s="1"/>
  <c r="P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BP375" i="1" s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BP369" i="1" s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1" i="1"/>
  <c r="X360" i="1"/>
  <c r="BO359" i="1"/>
  <c r="BM359" i="1"/>
  <c r="Y359" i="1"/>
  <c r="BP359" i="1" s="1"/>
  <c r="P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Y349" i="1" s="1"/>
  <c r="P346" i="1"/>
  <c r="X343" i="1"/>
  <c r="X342" i="1"/>
  <c r="BO341" i="1"/>
  <c r="BN341" i="1"/>
  <c r="BM341" i="1"/>
  <c r="Z341" i="1"/>
  <c r="Y341" i="1"/>
  <c r="BP341" i="1" s="1"/>
  <c r="P341" i="1"/>
  <c r="BO340" i="1"/>
  <c r="BM340" i="1"/>
  <c r="Y340" i="1"/>
  <c r="P340" i="1"/>
  <c r="BO339" i="1"/>
  <c r="BM339" i="1"/>
  <c r="Y339" i="1"/>
  <c r="BP339" i="1" s="1"/>
  <c r="P339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N326" i="1"/>
  <c r="BM326" i="1"/>
  <c r="Z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N317" i="1"/>
  <c r="BM317" i="1"/>
  <c r="Z317" i="1"/>
  <c r="Y317" i="1"/>
  <c r="BP317" i="1" s="1"/>
  <c r="P317" i="1"/>
  <c r="BO316" i="1"/>
  <c r="BM316" i="1"/>
  <c r="Y316" i="1"/>
  <c r="P316" i="1"/>
  <c r="BO315" i="1"/>
  <c r="BN315" i="1"/>
  <c r="BM315" i="1"/>
  <c r="Z315" i="1"/>
  <c r="Y315" i="1"/>
  <c r="P315" i="1"/>
  <c r="X312" i="1"/>
  <c r="X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Y299" i="1" s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Y285" i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O275" i="1"/>
  <c r="BM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P185" i="1"/>
  <c r="BO184" i="1"/>
  <c r="BM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BO166" i="1"/>
  <c r="BM166" i="1"/>
  <c r="Y166" i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P161" i="1"/>
  <c r="BO160" i="1"/>
  <c r="BM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O147" i="1"/>
  <c r="BM147" i="1"/>
  <c r="Y147" i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O111" i="1"/>
  <c r="BM111" i="1"/>
  <c r="Y111" i="1"/>
  <c r="P111" i="1"/>
  <c r="X109" i="1"/>
  <c r="X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Y98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E556" i="1" s="1"/>
  <c r="P54" i="1"/>
  <c r="X51" i="1"/>
  <c r="X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BP47" i="1" s="1"/>
  <c r="P47" i="1"/>
  <c r="BO46" i="1"/>
  <c r="BM46" i="1"/>
  <c r="Y46" i="1"/>
  <c r="BP46" i="1" s="1"/>
  <c r="P46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546" i="1" s="1"/>
  <c r="X23" i="1"/>
  <c r="X550" i="1" s="1"/>
  <c r="BO22" i="1"/>
  <c r="BM22" i="1"/>
  <c r="Y22" i="1"/>
  <c r="Y23" i="1" s="1"/>
  <c r="P22" i="1"/>
  <c r="H10" i="1"/>
  <c r="F10" i="1"/>
  <c r="J9" i="1"/>
  <c r="F9" i="1"/>
  <c r="A9" i="1"/>
  <c r="A10" i="1" s="1"/>
  <c r="D7" i="1"/>
  <c r="Q6" i="1"/>
  <c r="P2" i="1"/>
  <c r="BP101" i="1" l="1"/>
  <c r="BN101" i="1"/>
  <c r="Z101" i="1"/>
  <c r="Y117" i="1"/>
  <c r="BP111" i="1"/>
  <c r="BN111" i="1"/>
  <c r="Z111" i="1"/>
  <c r="BP121" i="1"/>
  <c r="BN121" i="1"/>
  <c r="Z121" i="1"/>
  <c r="BP147" i="1"/>
  <c r="BN147" i="1"/>
  <c r="Z147" i="1"/>
  <c r="Y168" i="1"/>
  <c r="BP166" i="1"/>
  <c r="BN166" i="1"/>
  <c r="Z166" i="1"/>
  <c r="BP178" i="1"/>
  <c r="BN178" i="1"/>
  <c r="Z178" i="1"/>
  <c r="BP202" i="1"/>
  <c r="BN202" i="1"/>
  <c r="Z202" i="1"/>
  <c r="BP219" i="1"/>
  <c r="BN219" i="1"/>
  <c r="Z219" i="1"/>
  <c r="BP231" i="1"/>
  <c r="BN231" i="1"/>
  <c r="Z231" i="1"/>
  <c r="Y256" i="1"/>
  <c r="BP254" i="1"/>
  <c r="BN254" i="1"/>
  <c r="Z254" i="1"/>
  <c r="BP271" i="1"/>
  <c r="BN271" i="1"/>
  <c r="Z271" i="1"/>
  <c r="BP279" i="1"/>
  <c r="BN279" i="1"/>
  <c r="Z279" i="1"/>
  <c r="BP294" i="1"/>
  <c r="BN294" i="1"/>
  <c r="Z294" i="1"/>
  <c r="Z22" i="1"/>
  <c r="Z23" i="1" s="1"/>
  <c r="BN22" i="1"/>
  <c r="BP22" i="1"/>
  <c r="Z26" i="1"/>
  <c r="BN26" i="1"/>
  <c r="BP26" i="1"/>
  <c r="Z30" i="1"/>
  <c r="BN30" i="1"/>
  <c r="Z38" i="1"/>
  <c r="BN38" i="1"/>
  <c r="Z46" i="1"/>
  <c r="BN46" i="1"/>
  <c r="Z55" i="1"/>
  <c r="BN55" i="1"/>
  <c r="Z59" i="1"/>
  <c r="BN59" i="1"/>
  <c r="Z65" i="1"/>
  <c r="BN65" i="1"/>
  <c r="BP65" i="1"/>
  <c r="Z73" i="1"/>
  <c r="BN73" i="1"/>
  <c r="Y81" i="1"/>
  <c r="Z79" i="1"/>
  <c r="BN79" i="1"/>
  <c r="Z86" i="1"/>
  <c r="BN86" i="1"/>
  <c r="BP94" i="1"/>
  <c r="BN94" i="1"/>
  <c r="Z94" i="1"/>
  <c r="BP105" i="1"/>
  <c r="BN105" i="1"/>
  <c r="Z105" i="1"/>
  <c r="BP115" i="1"/>
  <c r="BN115" i="1"/>
  <c r="Z115" i="1"/>
  <c r="Y138" i="1"/>
  <c r="BP136" i="1"/>
  <c r="BN136" i="1"/>
  <c r="Z136" i="1"/>
  <c r="BP160" i="1"/>
  <c r="BN160" i="1"/>
  <c r="Z160" i="1"/>
  <c r="BP174" i="1"/>
  <c r="BN174" i="1"/>
  <c r="Z174" i="1"/>
  <c r="BP184" i="1"/>
  <c r="BN184" i="1"/>
  <c r="Z184" i="1"/>
  <c r="BP215" i="1"/>
  <c r="BN215" i="1"/>
  <c r="Z215" i="1"/>
  <c r="BP223" i="1"/>
  <c r="BN223" i="1"/>
  <c r="Z223" i="1"/>
  <c r="BP239" i="1"/>
  <c r="BN239" i="1"/>
  <c r="Z239" i="1"/>
  <c r="BP262" i="1"/>
  <c r="BN262" i="1"/>
  <c r="Z262" i="1"/>
  <c r="BP275" i="1"/>
  <c r="BN275" i="1"/>
  <c r="Z275" i="1"/>
  <c r="Y287" i="1"/>
  <c r="BP285" i="1"/>
  <c r="BN285" i="1"/>
  <c r="Z285" i="1"/>
  <c r="BP310" i="1"/>
  <c r="BN310" i="1"/>
  <c r="Z310" i="1"/>
  <c r="Y123" i="1"/>
  <c r="H556" i="1"/>
  <c r="Y187" i="1"/>
  <c r="Y321" i="1"/>
  <c r="P556" i="1"/>
  <c r="BP315" i="1"/>
  <c r="Z319" i="1"/>
  <c r="BN319" i="1"/>
  <c r="Z333" i="1"/>
  <c r="BN333" i="1"/>
  <c r="Z339" i="1"/>
  <c r="BN339" i="1"/>
  <c r="Z346" i="1"/>
  <c r="BN346" i="1"/>
  <c r="BP346" i="1"/>
  <c r="Z355" i="1"/>
  <c r="BN355" i="1"/>
  <c r="Z359" i="1"/>
  <c r="BN359" i="1"/>
  <c r="Y371" i="1"/>
  <c r="Z365" i="1"/>
  <c r="BN365" i="1"/>
  <c r="Z369" i="1"/>
  <c r="BN369" i="1"/>
  <c r="Z375" i="1"/>
  <c r="BN375" i="1"/>
  <c r="Z387" i="1"/>
  <c r="BN387" i="1"/>
  <c r="Z393" i="1"/>
  <c r="BN393" i="1"/>
  <c r="Z399" i="1"/>
  <c r="BN399" i="1"/>
  <c r="BP399" i="1"/>
  <c r="Z413" i="1"/>
  <c r="BN413" i="1"/>
  <c r="Z422" i="1"/>
  <c r="BN422" i="1"/>
  <c r="Z426" i="1"/>
  <c r="BN426" i="1"/>
  <c r="Z438" i="1"/>
  <c r="BN438" i="1"/>
  <c r="Z449" i="1"/>
  <c r="BN449" i="1"/>
  <c r="BP449" i="1"/>
  <c r="Z467" i="1"/>
  <c r="BN467" i="1"/>
  <c r="Z471" i="1"/>
  <c r="BN471" i="1"/>
  <c r="Y488" i="1"/>
  <c r="Z486" i="1"/>
  <c r="BN486" i="1"/>
  <c r="Y487" i="1"/>
  <c r="Z492" i="1"/>
  <c r="BN492" i="1"/>
  <c r="Z496" i="1"/>
  <c r="BN496" i="1"/>
  <c r="Z504" i="1"/>
  <c r="BN504" i="1"/>
  <c r="Z512" i="1"/>
  <c r="BN512" i="1"/>
  <c r="Z538" i="1"/>
  <c r="BN538" i="1"/>
  <c r="Z543" i="1"/>
  <c r="Z544" i="1" s="1"/>
  <c r="BN543" i="1"/>
  <c r="BP543" i="1"/>
  <c r="Y544" i="1"/>
  <c r="Z335" i="1"/>
  <c r="BN335" i="1"/>
  <c r="Y402" i="1"/>
  <c r="Y31" i="1"/>
  <c r="Y41" i="1"/>
  <c r="Y74" i="1"/>
  <c r="Y91" i="1"/>
  <c r="Y97" i="1"/>
  <c r="Y108" i="1"/>
  <c r="Y116" i="1"/>
  <c r="Y124" i="1"/>
  <c r="BP161" i="1"/>
  <c r="BN161" i="1"/>
  <c r="Z161" i="1"/>
  <c r="BP173" i="1"/>
  <c r="BN173" i="1"/>
  <c r="Z173" i="1"/>
  <c r="Y181" i="1"/>
  <c r="K556" i="1"/>
  <c r="Y206" i="1"/>
  <c r="BP199" i="1"/>
  <c r="BN199" i="1"/>
  <c r="Z199" i="1"/>
  <c r="BP216" i="1"/>
  <c r="BN216" i="1"/>
  <c r="Z216" i="1"/>
  <c r="BP224" i="1"/>
  <c r="BN224" i="1"/>
  <c r="Z224" i="1"/>
  <c r="BP232" i="1"/>
  <c r="BN232" i="1"/>
  <c r="Z232" i="1"/>
  <c r="Y245" i="1"/>
  <c r="BP244" i="1"/>
  <c r="BN244" i="1"/>
  <c r="Z244" i="1"/>
  <c r="Z245" i="1" s="1"/>
  <c r="M556" i="1"/>
  <c r="Y252" i="1"/>
  <c r="BP249" i="1"/>
  <c r="BN249" i="1"/>
  <c r="Z249" i="1"/>
  <c r="Z251" i="1" s="1"/>
  <c r="BP265" i="1"/>
  <c r="BN265" i="1"/>
  <c r="Z265" i="1"/>
  <c r="Y302" i="1"/>
  <c r="BP301" i="1"/>
  <c r="BN301" i="1"/>
  <c r="Z301" i="1"/>
  <c r="Z302" i="1" s="1"/>
  <c r="Y303" i="1"/>
  <c r="Y312" i="1"/>
  <c r="BP309" i="1"/>
  <c r="BN309" i="1"/>
  <c r="Z309" i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Y51" i="1"/>
  <c r="Y62" i="1"/>
  <c r="Y70" i="1"/>
  <c r="Y80" i="1"/>
  <c r="Y128" i="1"/>
  <c r="Y133" i="1"/>
  <c r="Y139" i="1"/>
  <c r="Y143" i="1"/>
  <c r="BP177" i="1"/>
  <c r="BN177" i="1"/>
  <c r="Z177" i="1"/>
  <c r="BP185" i="1"/>
  <c r="BN185" i="1"/>
  <c r="Z185" i="1"/>
  <c r="Y190" i="1"/>
  <c r="BP189" i="1"/>
  <c r="BN189" i="1"/>
  <c r="Z189" i="1"/>
  <c r="Z190" i="1" s="1"/>
  <c r="Y194" i="1"/>
  <c r="BP193" i="1"/>
  <c r="BN193" i="1"/>
  <c r="Z193" i="1"/>
  <c r="Z194" i="1" s="1"/>
  <c r="Y195" i="1"/>
  <c r="BP203" i="1"/>
  <c r="BN203" i="1"/>
  <c r="Z203" i="1"/>
  <c r="BP220" i="1"/>
  <c r="BN220" i="1"/>
  <c r="Z220" i="1"/>
  <c r="BP240" i="1"/>
  <c r="BN240" i="1"/>
  <c r="Z240" i="1"/>
  <c r="Y242" i="1"/>
  <c r="Y246" i="1"/>
  <c r="BP261" i="1"/>
  <c r="BN261" i="1"/>
  <c r="Z261" i="1"/>
  <c r="BP293" i="1"/>
  <c r="BN293" i="1"/>
  <c r="Z293" i="1"/>
  <c r="BP297" i="1"/>
  <c r="BN297" i="1"/>
  <c r="Z297" i="1"/>
  <c r="Y306" i="1"/>
  <c r="BP305" i="1"/>
  <c r="BN305" i="1"/>
  <c r="Z305" i="1"/>
  <c r="Z306" i="1" s="1"/>
  <c r="Y307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BN72" i="1"/>
  <c r="BP72" i="1"/>
  <c r="Z78" i="1"/>
  <c r="Z80" i="1" s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Z342" i="1"/>
  <c r="BP340" i="1"/>
  <c r="BN340" i="1"/>
  <c r="Z340" i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Z298" i="1" s="1"/>
  <c r="BP295" i="1"/>
  <c r="BN295" i="1"/>
  <c r="Z295" i="1"/>
  <c r="BP316" i="1"/>
  <c r="BN316" i="1"/>
  <c r="Z316" i="1"/>
  <c r="Z321" i="1" s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Z349" i="1"/>
  <c r="BP347" i="1"/>
  <c r="BN347" i="1"/>
  <c r="Z347" i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Z383" i="1" s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Z461" i="1" s="1"/>
  <c r="BP468" i="1"/>
  <c r="BN468" i="1"/>
  <c r="Z468" i="1"/>
  <c r="W556" i="1"/>
  <c r="Y428" i="1"/>
  <c r="Z487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108" i="1" l="1"/>
  <c r="Y550" i="1"/>
  <c r="Z50" i="1"/>
  <c r="Z41" i="1"/>
  <c r="Y547" i="1"/>
  <c r="Z500" i="1"/>
  <c r="Z440" i="1"/>
  <c r="Z370" i="1"/>
  <c r="Z360" i="1"/>
  <c r="Z328" i="1"/>
  <c r="Z377" i="1"/>
  <c r="Z163" i="1"/>
  <c r="Z151" i="1"/>
  <c r="Z123" i="1"/>
  <c r="Z116" i="1"/>
  <c r="Z90" i="1"/>
  <c r="Z74" i="1"/>
  <c r="Z69" i="1"/>
  <c r="Y548" i="1"/>
  <c r="Z31" i="1"/>
  <c r="Z186" i="1"/>
  <c r="Z311" i="1"/>
  <c r="Z428" i="1"/>
  <c r="Z516" i="1"/>
  <c r="Z390" i="1"/>
  <c r="Z267" i="1"/>
  <c r="Z235" i="1"/>
  <c r="Z227" i="1"/>
  <c r="Z181" i="1"/>
  <c r="Z97" i="1"/>
  <c r="Y546" i="1"/>
  <c r="X549" i="1"/>
  <c r="Z472" i="1"/>
  <c r="Z206" i="1"/>
  <c r="Z434" i="1"/>
  <c r="Z282" i="1"/>
  <c r="Z336" i="1"/>
  <c r="Z62" i="1"/>
  <c r="Z551" i="1" s="1"/>
  <c r="Z415" i="1"/>
  <c r="Y549" i="1" l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<sst xmlns="http://schemas.openxmlformats.org/spreadsheetml/2006/main" count="2462" uniqueCount="893">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</sst>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43</v>
      </c>
      <c r="Y46" s="618">
        <f>IFERROR(IF(X46="",0,CEILING((X46/$H46),1)*$H46),"")</f>
        <v>43.2</v>
      </c>
      <c r="Z46" s="36">
        <f>IFERROR(IF(Y46=0,"",ROUNDUP(Y46/H46,0)*0.01898),"")</f>
        <v>7.5920000000000001E-2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44.632407407407406</v>
      </c>
      <c r="BN46" s="64">
        <f>IFERROR(Y46*I46/H46,"0")</f>
        <v>44.84</v>
      </c>
      <c r="BO46" s="64">
        <f>IFERROR(1/J46*(X46/H46),"0")</f>
        <v>6.2210648148148147E-2</v>
      </c>
      <c r="BP46" s="64">
        <f>IFERROR(1/J46*(Y46/H46),"0")</f>
        <v>6.25E-2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3.9814814814814814</v>
      </c>
      <c r="Y50" s="619">
        <f>IFERROR(Y46/H46,"0")+IFERROR(Y47/H47,"0")+IFERROR(Y48/H48,"0")+IFERROR(Y49/H49,"0")</f>
        <v>4</v>
      </c>
      <c r="Z50" s="619">
        <f>IFERROR(IF(Z46="",0,Z46),"0")+IFERROR(IF(Z47="",0,Z47),"0")+IFERROR(IF(Z48="",0,Z48),"0")+IFERROR(IF(Z49="",0,Z49),"0")</f>
        <v>7.5920000000000001E-2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43</v>
      </c>
      <c r="Y51" s="619">
        <f>IFERROR(SUM(Y46:Y49),"0")</f>
        <v>43.2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100</v>
      </c>
      <c r="Y55" s="618">
        <f t="shared" si="0"/>
        <v>108</v>
      </c>
      <c r="Z55" s="36">
        <f>IFERROR(IF(Y55=0,"",ROUNDUP(Y55/H55,0)*0.01898),"")</f>
        <v>0.1898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103.79629629629629</v>
      </c>
      <c r="BN55" s="64">
        <f t="shared" si="2"/>
        <v>112.1</v>
      </c>
      <c r="BO55" s="64">
        <f t="shared" si="3"/>
        <v>0.14467592592592593</v>
      </c>
      <c r="BP55" s="64">
        <f t="shared" si="4"/>
        <v>0.15625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9.2592592592592595</v>
      </c>
      <c r="Y62" s="619">
        <f>IFERROR(Y54/H54,"0")+IFERROR(Y55/H55,"0")+IFERROR(Y56/H56,"0")+IFERROR(Y57/H57,"0")+IFERROR(Y58/H58,"0")+IFERROR(Y59/H59,"0")+IFERROR(Y60/H60,"0")+IFERROR(Y61/H61,"0")</f>
        <v>10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0.1898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100</v>
      </c>
      <c r="Y63" s="619">
        <f>IFERROR(SUM(Y54:Y61),"0")</f>
        <v>108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150</v>
      </c>
      <c r="Y84" s="618">
        <f t="shared" ref="Y84:Y89" si="5">IFERROR(IF(X84="",0,CEILING((X84/$H84),1)*$H84),"")</f>
        <v>151.20000000000002</v>
      </c>
      <c r="Z84" s="36">
        <f>IFERROR(IF(Y84=0,"",ROUNDUP(Y84/H84,0)*0.01898),"")</f>
        <v>0.26572000000000001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155.69444444444446</v>
      </c>
      <c r="BN84" s="64">
        <f t="shared" ref="BN84:BN89" si="7">IFERROR(Y84*I84/H84,"0")</f>
        <v>156.94</v>
      </c>
      <c r="BO84" s="64">
        <f t="shared" ref="BO84:BO89" si="8">IFERROR(1/J84*(X84/H84),"0")</f>
        <v>0.21701388888888887</v>
      </c>
      <c r="BP84" s="64">
        <f t="shared" ref="BP84:BP89" si="9">IFERROR(1/J84*(Y84/H84),"0")</f>
        <v>0.21875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23</v>
      </c>
      <c r="Y89" s="618">
        <f t="shared" si="5"/>
        <v>27</v>
      </c>
      <c r="Z89" s="36">
        <f>IFERROR(IF(Y89=0,"",ROUNDUP(Y89/H89,0)*0.00902),"")</f>
        <v>5.4120000000000001E-2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23.971111111111114</v>
      </c>
      <c r="BN89" s="64">
        <f t="shared" si="7"/>
        <v>28.14</v>
      </c>
      <c r="BO89" s="64">
        <f t="shared" si="8"/>
        <v>3.8720538720538718E-2</v>
      </c>
      <c r="BP89" s="64">
        <f t="shared" si="9"/>
        <v>4.5454545454545456E-2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19</v>
      </c>
      <c r="Y90" s="619">
        <f>IFERROR(Y84/H84,"0")+IFERROR(Y85/H85,"0")+IFERROR(Y86/H86,"0")+IFERROR(Y87/H87,"0")+IFERROR(Y88/H88,"0")+IFERROR(Y89/H89,"0")</f>
        <v>20</v>
      </c>
      <c r="Z90" s="619">
        <f>IFERROR(IF(Z84="",0,Z84),"0")+IFERROR(IF(Z85="",0,Z85),"0")+IFERROR(IF(Z86="",0,Z86),"0")+IFERROR(IF(Z87="",0,Z87),"0")+IFERROR(IF(Z88="",0,Z88),"0")+IFERROR(IF(Z89="",0,Z89),"0")</f>
        <v>0.31984000000000001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173</v>
      </c>
      <c r="Y91" s="619">
        <f>IFERROR(SUM(Y84:Y89),"0")</f>
        <v>178.20000000000002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0</v>
      </c>
      <c r="Y97" s="619">
        <f>IFERROR(Y93/H93,"0")+IFERROR(Y94/H94,"0")+IFERROR(Y95/H95,"0")+IFERROR(Y96/H96,"0")</f>
        <v>0</v>
      </c>
      <c r="Z97" s="619">
        <f>IFERROR(IF(Z93="",0,Z93),"0")+IFERROR(IF(Z94="",0,Z94),"0")+IFERROR(IF(Z95="",0,Z95),"0")+IFERROR(IF(Z96="",0,Z96),"0")</f>
        <v>0</v>
      </c>
      <c r="AA97" s="620"/>
      <c r="AB97" s="620"/>
      <c r="AC97" s="620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0</v>
      </c>
      <c r="Y98" s="619">
        <f>IFERROR(SUM(Y93:Y96),"0")</f>
        <v>0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150</v>
      </c>
      <c r="Y101" s="618">
        <f t="shared" ref="Y101:Y107" si="10">IFERROR(IF(X101="",0,CEILING((X101/$H101),1)*$H101),"")</f>
        <v>151.20000000000002</v>
      </c>
      <c r="Z101" s="36">
        <f>IFERROR(IF(Y101=0,"",ROUNDUP(Y101/H101,0)*0.01898),"")</f>
        <v>0.26572000000000001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155.69444444444446</v>
      </c>
      <c r="BN101" s="64">
        <f t="shared" ref="BN101:BN107" si="12">IFERROR(Y101*I101/H101,"0")</f>
        <v>156.94</v>
      </c>
      <c r="BO101" s="64">
        <f t="shared" ref="BO101:BO107" si="13">IFERROR(1/J101*(X101/H101),"0")</f>
        <v>0.21701388888888887</v>
      </c>
      <c r="BP101" s="64">
        <f t="shared" ref="BP101:BP107" si="14">IFERROR(1/J101*(Y101/H101),"0")</f>
        <v>0.21875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13.888888888888888</v>
      </c>
      <c r="Y108" s="619">
        <f>IFERROR(Y101/H101,"0")+IFERROR(Y102/H102,"0")+IFERROR(Y103/H103,"0")+IFERROR(Y104/H104,"0")+IFERROR(Y105/H105,"0")+IFERROR(Y106/H106,"0")+IFERROR(Y107/H107,"0")</f>
        <v>14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0.26572000000000001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150</v>
      </c>
      <c r="Y109" s="619">
        <f>IFERROR(SUM(Y101:Y107),"0")</f>
        <v>151.20000000000002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10</v>
      </c>
      <c r="Y111" s="618">
        <f>IFERROR(IF(X111="",0,CEILING((X111/$H111),1)*$H111),"")</f>
        <v>10.8</v>
      </c>
      <c r="Z111" s="36">
        <f>IFERROR(IF(Y111=0,"",ROUNDUP(Y111/H111,0)*0.01898),"")</f>
        <v>1.898E-2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10.37962962962963</v>
      </c>
      <c r="BN111" s="64">
        <f>IFERROR(Y111*I111/H111,"0")</f>
        <v>11.21</v>
      </c>
      <c r="BO111" s="64">
        <f>IFERROR(1/J111*(X111/H111),"0")</f>
        <v>1.4467592592592591E-2</v>
      </c>
      <c r="BP111" s="64">
        <f>IFERROR(1/J111*(Y111/H111),"0")</f>
        <v>1.5625E-2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0.92592592592592582</v>
      </c>
      <c r="Y116" s="619">
        <f>IFERROR(Y111/H111,"0")+IFERROR(Y112/H112,"0")+IFERROR(Y113/H113,"0")+IFERROR(Y114/H114,"0")+IFERROR(Y115/H115,"0")</f>
        <v>1</v>
      </c>
      <c r="Z116" s="619">
        <f>IFERROR(IF(Z111="",0,Z111),"0")+IFERROR(IF(Z112="",0,Z112),"0")+IFERROR(IF(Z113="",0,Z113),"0")+IFERROR(IF(Z114="",0,Z114),"0")+IFERROR(IF(Z115="",0,Z115),"0")</f>
        <v>1.898E-2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10</v>
      </c>
      <c r="Y117" s="619">
        <f>IFERROR(SUM(Y111:Y115),"0")</f>
        <v>10.8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200</v>
      </c>
      <c r="Y119" s="618">
        <f>IFERROR(IF(X119="",0,CEILING((X119/$H119),1)*$H119),"")</f>
        <v>202.5</v>
      </c>
      <c r="Z119" s="36">
        <f>IFERROR(IF(Y119=0,"",ROUNDUP(Y119/H119,0)*0.01898),"")</f>
        <v>0.47450000000000003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212.04938271604939</v>
      </c>
      <c r="BN119" s="64">
        <f>IFERROR(Y119*I119/H119,"0")</f>
        <v>214.7</v>
      </c>
      <c r="BO119" s="64">
        <f>IFERROR(1/J119*(X119/H119),"0")</f>
        <v>0.38580246913580246</v>
      </c>
      <c r="BP119" s="64">
        <f>IFERROR(1/J119*(Y119/H119),"0")</f>
        <v>0.390625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90</v>
      </c>
      <c r="Y121" s="618">
        <f>IFERROR(IF(X121="",0,CEILING((X121/$H121),1)*$H121),"")</f>
        <v>91.800000000000011</v>
      </c>
      <c r="Z121" s="36">
        <f>IFERROR(IF(Y121=0,"",ROUNDUP(Y121/H121,0)*0.00651),"")</f>
        <v>0.22134000000000001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98.399999999999991</v>
      </c>
      <c r="BN121" s="64">
        <f>IFERROR(Y121*I121/H121,"0")</f>
        <v>100.36799999999999</v>
      </c>
      <c r="BO121" s="64">
        <f>IFERROR(1/J121*(X121/H121),"0")</f>
        <v>0.18315018315018314</v>
      </c>
      <c r="BP121" s="64">
        <f>IFERROR(1/J121*(Y121/H121),"0")</f>
        <v>0.18681318681318682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58.024691358024683</v>
      </c>
      <c r="Y123" s="619">
        <f>IFERROR(Y119/H119,"0")+IFERROR(Y120/H120,"0")+IFERROR(Y121/H121,"0")+IFERROR(Y122/H122,"0")</f>
        <v>59</v>
      </c>
      <c r="Z123" s="619">
        <f>IFERROR(IF(Z119="",0,Z119),"0")+IFERROR(IF(Z120="",0,Z120),"0")+IFERROR(IF(Z121="",0,Z121),"0")+IFERROR(IF(Z122="",0,Z122),"0")</f>
        <v>0.69584000000000001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290</v>
      </c>
      <c r="Y124" s="619">
        <f>IFERROR(SUM(Y119:Y122),"0")</f>
        <v>294.3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24</v>
      </c>
      <c r="Y126" s="618">
        <f>IFERROR(IF(X126="",0,CEILING((X126/$H126),1)*$H126),"")</f>
        <v>25.74</v>
      </c>
      <c r="Z126" s="36">
        <f>IFERROR(IF(Y126=0,"",ROUNDUP(Y126/H126,0)*0.00651),"")</f>
        <v>8.4629999999999997E-2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27.127272727272729</v>
      </c>
      <c r="BN126" s="64">
        <f>IFERROR(Y126*I126/H126,"0")</f>
        <v>29.093999999999998</v>
      </c>
      <c r="BO126" s="64">
        <f>IFERROR(1/J126*(X126/H126),"0")</f>
        <v>6.6600066600066607E-2</v>
      </c>
      <c r="BP126" s="64">
        <f>IFERROR(1/J126*(Y126/H126),"0")</f>
        <v>7.1428571428571438E-2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12.121212121212121</v>
      </c>
      <c r="Y127" s="619">
        <f>IFERROR(Y126/H126,"0")</f>
        <v>13</v>
      </c>
      <c r="Z127" s="619">
        <f>IFERROR(IF(Z126="",0,Z126),"0")</f>
        <v>8.4629999999999997E-2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24</v>
      </c>
      <c r="Y128" s="619">
        <f>IFERROR(SUM(Y126:Y126),"0")</f>
        <v>25.74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70</v>
      </c>
      <c r="Y171" s="618">
        <f t="shared" ref="Y171:Y180" si="15">IFERROR(IF(X171="",0,CEILING((X171/$H171),1)*$H171),"")</f>
        <v>70</v>
      </c>
      <c r="Z171" s="36">
        <f>IFERROR(IF(Y171=0,"",ROUNDUP(Y171/H171,0)*0.00902),"")</f>
        <v>0.1804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73.8</v>
      </c>
      <c r="BN171" s="64">
        <f t="shared" ref="BN171:BN180" si="17">IFERROR(Y171*I171/H171,"0")</f>
        <v>73.8</v>
      </c>
      <c r="BO171" s="64">
        <f t="shared" ref="BO171:BO180" si="18">IFERROR(1/J171*(X171/H171),"0")</f>
        <v>0.15151515151515152</v>
      </c>
      <c r="BP171" s="64">
        <f t="shared" ref="BP171:BP180" si="19">IFERROR(1/J171*(Y171/H171),"0")</f>
        <v>0.15151515151515152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70</v>
      </c>
      <c r="Y173" s="618">
        <f t="shared" si="15"/>
        <v>70</v>
      </c>
      <c r="Z173" s="36">
        <f>IFERROR(IF(Y173=0,"",ROUNDUP(Y173/H173,0)*0.00902),"")</f>
        <v>0.1804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73.8</v>
      </c>
      <c r="BN173" s="64">
        <f t="shared" si="17"/>
        <v>73.8</v>
      </c>
      <c r="BO173" s="64">
        <f t="shared" si="18"/>
        <v>0.15151515151515152</v>
      </c>
      <c r="BP173" s="64">
        <f t="shared" si="19"/>
        <v>0.15151515151515152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20</v>
      </c>
      <c r="Y174" s="618">
        <f t="shared" si="15"/>
        <v>21</v>
      </c>
      <c r="Z174" s="36">
        <f>IFERROR(IF(Y174=0,"",ROUNDUP(Y174/H174,0)*0.00902),"")</f>
        <v>5.4120000000000001E-2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21.085714285714285</v>
      </c>
      <c r="BN174" s="64">
        <f t="shared" si="17"/>
        <v>22.139999999999997</v>
      </c>
      <c r="BO174" s="64">
        <f t="shared" si="18"/>
        <v>4.3290043290043295E-2</v>
      </c>
      <c r="BP174" s="64">
        <f t="shared" si="19"/>
        <v>4.5454545454545456E-2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8</v>
      </c>
      <c r="Y176" s="618">
        <f t="shared" si="15"/>
        <v>8.4</v>
      </c>
      <c r="Z176" s="36">
        <f>IFERROR(IF(Y176=0,"",ROUNDUP(Y176/H176,0)*0.00502),"")</f>
        <v>2.5100000000000001E-2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8.4761904761904763</v>
      </c>
      <c r="BN176" s="64">
        <f t="shared" si="17"/>
        <v>8.9000000000000021</v>
      </c>
      <c r="BO176" s="64">
        <f t="shared" si="18"/>
        <v>2.0350020350020353E-2</v>
      </c>
      <c r="BP176" s="64">
        <f t="shared" si="19"/>
        <v>2.1367521367521368E-2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42</v>
      </c>
      <c r="Y178" s="618">
        <f t="shared" si="15"/>
        <v>42</v>
      </c>
      <c r="Z178" s="36">
        <f>IFERROR(IF(Y178=0,"",ROUNDUP(Y178/H178,0)*0.00502),"")</f>
        <v>0.1255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44.500000000000007</v>
      </c>
      <c r="BN178" s="64">
        <f t="shared" si="17"/>
        <v>44.500000000000007</v>
      </c>
      <c r="BO178" s="64">
        <f t="shared" si="18"/>
        <v>0.10683760683760685</v>
      </c>
      <c r="BP178" s="64">
        <f t="shared" si="19"/>
        <v>0.10683760683760685</v>
      </c>
    </row>
    <row r="179" spans="1:68" ht="27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2</v>
      </c>
      <c r="Y179" s="618">
        <f t="shared" si="15"/>
        <v>2.7</v>
      </c>
      <c r="Z179" s="36">
        <f>IFERROR(IF(Y179=0,"",ROUNDUP(Y179/H179,0)*0.00417),"")</f>
        <v>1.251E-2</v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2.2222222222222223</v>
      </c>
      <c r="BN179" s="64">
        <f t="shared" si="17"/>
        <v>3</v>
      </c>
      <c r="BO179" s="64">
        <f t="shared" si="18"/>
        <v>6.6137566137566134E-3</v>
      </c>
      <c r="BP179" s="64">
        <f t="shared" si="19"/>
        <v>8.9285714285714281E-3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56</v>
      </c>
      <c r="Y180" s="618">
        <f t="shared" si="15"/>
        <v>57.12</v>
      </c>
      <c r="Z180" s="36">
        <f>IFERROR(IF(Y180=0,"",ROUNDUP(Y180/H180,0)*0.00502),"")</f>
        <v>0.17068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59.333333333333343</v>
      </c>
      <c r="BN180" s="64">
        <f t="shared" si="17"/>
        <v>60.519999999999996</v>
      </c>
      <c r="BO180" s="64">
        <f t="shared" si="18"/>
        <v>0.14245014245014248</v>
      </c>
      <c r="BP180" s="64">
        <f t="shared" si="19"/>
        <v>0.14529914529914531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111.03174603174605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113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0.74870999999999999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268</v>
      </c>
      <c r="Y182" s="619">
        <f>IFERROR(SUM(Y171:Y180),"0")</f>
        <v>271.21999999999997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30</v>
      </c>
      <c r="Y214" s="618">
        <f t="shared" ref="Y214:Y226" si="26">IFERROR(IF(X214="",0,CEILING((X214/$H214),1)*$H214),"")</f>
        <v>33.6</v>
      </c>
      <c r="Z214" s="36">
        <f>IFERROR(IF(Y214=0,"",ROUNDUP(Y214/H214,0)*0.00902),"")</f>
        <v>7.2160000000000002E-2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31.785714285714285</v>
      </c>
      <c r="BN214" s="64">
        <f t="shared" ref="BN214:BN226" si="28">IFERROR(Y214*I214/H214,"0")</f>
        <v>35.6</v>
      </c>
      <c r="BO214" s="64">
        <f t="shared" ref="BO214:BO226" si="29">IFERROR(1/J214*(X214/H214),"0")</f>
        <v>5.4112554112554112E-2</v>
      </c>
      <c r="BP214" s="64">
        <f t="shared" ref="BP214:BP226" si="30">IFERROR(1/J214*(Y214/H214),"0")</f>
        <v>6.0606060606060608E-2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100</v>
      </c>
      <c r="Y216" s="618">
        <f t="shared" si="26"/>
        <v>100.80000000000001</v>
      </c>
      <c r="Z216" s="36">
        <f>IFERROR(IF(Y216=0,"",ROUNDUP(Y216/H216,0)*0.00902),"")</f>
        <v>0.21648000000000001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104.5238095238095</v>
      </c>
      <c r="BN216" s="64">
        <f t="shared" si="28"/>
        <v>105.36</v>
      </c>
      <c r="BO216" s="64">
        <f t="shared" si="29"/>
        <v>0.18037518037518038</v>
      </c>
      <c r="BP216" s="64">
        <f t="shared" si="30"/>
        <v>0.18181818181818182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4</v>
      </c>
      <c r="Y217" s="618">
        <f t="shared" si="26"/>
        <v>4</v>
      </c>
      <c r="Z217" s="36">
        <f>IFERROR(IF(Y217=0,"",ROUNDUP(Y217/H217,0)*0.00556),"")</f>
        <v>2.7799999999999998E-2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4.6500000000000004</v>
      </c>
      <c r="BN217" s="64">
        <f t="shared" si="28"/>
        <v>4.6500000000000004</v>
      </c>
      <c r="BO217" s="64">
        <f t="shared" si="29"/>
        <v>1.984126984126984E-2</v>
      </c>
      <c r="BP217" s="64">
        <f t="shared" si="30"/>
        <v>1.984126984126984E-2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46</v>
      </c>
      <c r="Y218" s="618">
        <f t="shared" si="26"/>
        <v>46.2</v>
      </c>
      <c r="Z218" s="36">
        <f>IFERROR(IF(Y218=0,"",ROUNDUP(Y218/H218,0)*0.00502),"")</f>
        <v>0.11044000000000001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48.847619047619048</v>
      </c>
      <c r="BN218" s="64">
        <f t="shared" si="28"/>
        <v>49.06</v>
      </c>
      <c r="BO218" s="64">
        <f t="shared" si="29"/>
        <v>9.361009361009362E-2</v>
      </c>
      <c r="BP218" s="64">
        <f t="shared" si="30"/>
        <v>9.401709401709403E-2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30</v>
      </c>
      <c r="Y222" s="618">
        <f t="shared" si="26"/>
        <v>30.6</v>
      </c>
      <c r="Z222" s="36">
        <f>IFERROR(IF(Y222=0,"",ROUNDUP(Y222/H222,0)*0.00502),"")</f>
        <v>8.5339999999999999E-2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32.166666666666664</v>
      </c>
      <c r="BN222" s="64">
        <f t="shared" si="28"/>
        <v>32.81</v>
      </c>
      <c r="BO222" s="64">
        <f t="shared" si="29"/>
        <v>7.122507122507124E-2</v>
      </c>
      <c r="BP222" s="64">
        <f t="shared" si="30"/>
        <v>7.2649572649572655E-2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5</v>
      </c>
      <c r="Y223" s="618">
        <f t="shared" si="26"/>
        <v>5.6000000000000005</v>
      </c>
      <c r="Z223" s="36">
        <f>IFERROR(IF(Y223=0,"",ROUNDUP(Y223/H223,0)*0.00417),"")</f>
        <v>2.9190000000000001E-2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6.3124999999999991</v>
      </c>
      <c r="BN223" s="64">
        <f t="shared" si="28"/>
        <v>7.07</v>
      </c>
      <c r="BO223" s="64">
        <f t="shared" si="29"/>
        <v>1.8601190476190476E-2</v>
      </c>
      <c r="BP223" s="64">
        <f t="shared" si="30"/>
        <v>2.0833333333333332E-2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80.773809523809518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83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0.54141000000000006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215</v>
      </c>
      <c r="Y228" s="619">
        <f>IFERROR(SUM(Y214:Y226),"0")</f>
        <v>220.8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4</v>
      </c>
      <c r="Y239" s="618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2</v>
      </c>
      <c r="Y240" s="618">
        <f>IFERROR(IF(X240="",0,CEILING((X240/$H240),1)*$H240),"")</f>
        <v>2.52</v>
      </c>
      <c r="Z240" s="36">
        <f>IFERROR(IF(Y240=0,"",ROUNDUP(Y240/H240,0)*0.0059),"")</f>
        <v>1.18E-2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2.3015873015873014</v>
      </c>
      <c r="BN240" s="64">
        <f>IFERROR(Y240*I240/H240,"0")</f>
        <v>2.9</v>
      </c>
      <c r="BO240" s="64">
        <f>IFERROR(1/J240*(X240/H240),"0")</f>
        <v>7.3486184597295699E-3</v>
      </c>
      <c r="BP240" s="64">
        <f>IFERROR(1/J240*(Y240/H240),"0")</f>
        <v>9.2592592592592587E-3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4.7619047619047619</v>
      </c>
      <c r="Y241" s="619">
        <f>IFERROR(Y238/H238,"0")+IFERROR(Y239/H239,"0")+IFERROR(Y240/H240,"0")</f>
        <v>6</v>
      </c>
      <c r="Z241" s="619">
        <f>IFERROR(IF(Z238="",0,Z238),"0")+IFERROR(IF(Z239="",0,Z239),"0")+IFERROR(IF(Z240="",0,Z240),"0")</f>
        <v>3.5400000000000001E-2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6</v>
      </c>
      <c r="Y242" s="619">
        <f>IFERROR(SUM(Y238:Y240),"0")</f>
        <v>7.5600000000000005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4</v>
      </c>
      <c r="Y244" s="618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3.1746031746031744</v>
      </c>
      <c r="Y245" s="619">
        <f>IFERROR(Y244/H244,"0")</f>
        <v>4</v>
      </c>
      <c r="Z245" s="619">
        <f>IFERROR(IF(Z244="",0,Z244),"0")</f>
        <v>2.3599999999999999E-2</v>
      </c>
      <c r="AA245" s="620"/>
      <c r="AB245" s="620"/>
      <c r="AC245" s="620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4</v>
      </c>
      <c r="Y246" s="619">
        <f>IFERROR(SUM(Y244:Y244),"0")</f>
        <v>5.04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10</v>
      </c>
      <c r="Y259" s="618">
        <f t="shared" ref="Y259:Y266" si="31">IFERROR(IF(X259="",0,CEILING((X259/$H259),1)*$H259),"")</f>
        <v>10.8</v>
      </c>
      <c r="Z259" s="36">
        <f>IFERROR(IF(Y259=0,"",ROUNDUP(Y259/H259,0)*0.00902),"")</f>
        <v>1.804E-2</v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10.351851851851851</v>
      </c>
      <c r="BN259" s="64">
        <f t="shared" ref="BN259:BN266" si="33">IFERROR(Y259*I259/H259,"0")</f>
        <v>11.18</v>
      </c>
      <c r="BO259" s="64">
        <f t="shared" ref="BO259:BO266" si="34">IFERROR(1/J259*(X259/H259),"0")</f>
        <v>1.4029180695847361E-2</v>
      </c>
      <c r="BP259" s="64">
        <f t="shared" ref="BP259:BP266" si="35">IFERROR(1/J259*(Y259/H259),"0")</f>
        <v>1.5151515151515152E-2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120</v>
      </c>
      <c r="Y260" s="618">
        <f t="shared" si="31"/>
        <v>124.2</v>
      </c>
      <c r="Z260" s="36">
        <f>IFERROR(IF(Y260=0,"",ROUNDUP(Y260/H260,0)*0.00902),"")</f>
        <v>0.20746000000000001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124.2222222222222</v>
      </c>
      <c r="BN260" s="64">
        <f t="shared" si="33"/>
        <v>128.57</v>
      </c>
      <c r="BO260" s="64">
        <f t="shared" si="34"/>
        <v>0.16835016835016836</v>
      </c>
      <c r="BP260" s="64">
        <f t="shared" si="35"/>
        <v>0.17424242424242425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30</v>
      </c>
      <c r="Y261" s="618">
        <f t="shared" si="31"/>
        <v>32.400000000000006</v>
      </c>
      <c r="Z261" s="36">
        <f>IFERROR(IF(Y261=0,"",ROUNDUP(Y261/H261,0)*0.00902),"")</f>
        <v>5.4120000000000001E-2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31.05555555555555</v>
      </c>
      <c r="BN261" s="64">
        <f t="shared" si="33"/>
        <v>33.54</v>
      </c>
      <c r="BO261" s="64">
        <f t="shared" si="34"/>
        <v>4.208754208754209E-2</v>
      </c>
      <c r="BP261" s="64">
        <f t="shared" si="35"/>
        <v>4.5454545454545463E-2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40</v>
      </c>
      <c r="Y262" s="618">
        <f t="shared" si="31"/>
        <v>43.2</v>
      </c>
      <c r="Z262" s="36">
        <f>IFERROR(IF(Y262=0,"",ROUNDUP(Y262/H262,0)*0.00902),"")</f>
        <v>7.2160000000000002E-2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41.407407407407405</v>
      </c>
      <c r="BN262" s="64">
        <f t="shared" si="33"/>
        <v>44.72</v>
      </c>
      <c r="BO262" s="64">
        <f t="shared" si="34"/>
        <v>5.6116722783389444E-2</v>
      </c>
      <c r="BP262" s="64">
        <f t="shared" si="35"/>
        <v>6.0606060606060608E-2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24</v>
      </c>
      <c r="Y263" s="618">
        <f t="shared" si="31"/>
        <v>25.2</v>
      </c>
      <c r="Z263" s="36">
        <f>IFERROR(IF(Y263=0,"",ROUNDUP(Y263/H263,0)*0.00502),"")</f>
        <v>7.0280000000000009E-2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25.733333333333334</v>
      </c>
      <c r="BN263" s="64">
        <f t="shared" si="33"/>
        <v>27.019999999999996</v>
      </c>
      <c r="BO263" s="64">
        <f t="shared" si="34"/>
        <v>5.6980056980056981E-2</v>
      </c>
      <c r="BP263" s="64">
        <f t="shared" si="35"/>
        <v>5.9829059829059839E-2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24</v>
      </c>
      <c r="Y264" s="618">
        <f t="shared" si="31"/>
        <v>25.2</v>
      </c>
      <c r="Z264" s="36">
        <f>IFERROR(IF(Y264=0,"",ROUNDUP(Y264/H264,0)*0.00502),"")</f>
        <v>7.0280000000000009E-2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25.333333333333329</v>
      </c>
      <c r="BN264" s="64">
        <f t="shared" si="33"/>
        <v>26.599999999999998</v>
      </c>
      <c r="BO264" s="64">
        <f t="shared" si="34"/>
        <v>5.6980056980056981E-2</v>
      </c>
      <c r="BP264" s="64">
        <f t="shared" si="35"/>
        <v>5.9829059829059839E-2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15</v>
      </c>
      <c r="Y266" s="618">
        <f t="shared" si="31"/>
        <v>16.2</v>
      </c>
      <c r="Z266" s="36">
        <f>IFERROR(IF(Y266=0,"",ROUNDUP(Y266/H266,0)*0.00502),"")</f>
        <v>4.5179999999999998E-2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15.833333333333332</v>
      </c>
      <c r="BN266" s="64">
        <f t="shared" si="33"/>
        <v>17.099999999999998</v>
      </c>
      <c r="BO266" s="64">
        <f t="shared" si="34"/>
        <v>3.561253561253562E-2</v>
      </c>
      <c r="BP266" s="64">
        <f t="shared" si="35"/>
        <v>3.8461538461538464E-2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72.037037037037024</v>
      </c>
      <c r="Y267" s="619">
        <f>IFERROR(Y259/H259,"0")+IFERROR(Y260/H260,"0")+IFERROR(Y261/H261,"0")+IFERROR(Y262/H262,"0")+IFERROR(Y263/H263,"0")+IFERROR(Y264/H264,"0")+IFERROR(Y265/H265,"0")+IFERROR(Y266/H266,"0")</f>
        <v>76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0.53752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263</v>
      </c>
      <c r="Y268" s="619">
        <f>IFERROR(SUM(Y259:Y266),"0")</f>
        <v>277.2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40</v>
      </c>
      <c r="Y270" s="618">
        <f t="shared" ref="Y270:Y281" si="36">IFERROR(IF(X270="",0,CEILING((X270/$H270),1)*$H270),"")</f>
        <v>40.5</v>
      </c>
      <c r="Z270" s="36">
        <f>IFERROR(IF(Y270=0,"",ROUNDUP(Y270/H270,0)*0.01898),"")</f>
        <v>9.4899999999999998E-2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42.439506172839508</v>
      </c>
      <c r="BN270" s="64">
        <f t="shared" ref="BN270:BN281" si="38">IFERROR(Y270*I270/H270,"0")</f>
        <v>42.97</v>
      </c>
      <c r="BO270" s="64">
        <f t="shared" ref="BO270:BO281" si="39">IFERROR(1/J270*(X270/H270),"0")</f>
        <v>7.7160493827160503E-2</v>
      </c>
      <c r="BP270" s="64">
        <f t="shared" ref="BP270:BP281" si="40">IFERROR(1/J270*(Y270/H270),"0")</f>
        <v>7.8125E-2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72</v>
      </c>
      <c r="Y273" s="618">
        <f t="shared" si="36"/>
        <v>72</v>
      </c>
      <c r="Z273" s="36">
        <f>IFERROR(IF(Y273=0,"",ROUNDUP(Y273/H273,0)*0.00651),"")</f>
        <v>0.1953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80.100000000000009</v>
      </c>
      <c r="BN273" s="64">
        <f t="shared" si="38"/>
        <v>80.100000000000009</v>
      </c>
      <c r="BO273" s="64">
        <f t="shared" si="39"/>
        <v>0.16483516483516486</v>
      </c>
      <c r="BP273" s="64">
        <f t="shared" si="40"/>
        <v>0.16483516483516486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120</v>
      </c>
      <c r="Y276" s="618">
        <f t="shared" si="36"/>
        <v>120</v>
      </c>
      <c r="Z276" s="36">
        <f>IFERROR(IF(Y276=0,"",ROUNDUP(Y276/H276,0)*0.00651),"")</f>
        <v>0.32550000000000001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132.60000000000002</v>
      </c>
      <c r="BN276" s="64">
        <f t="shared" si="38"/>
        <v>132.60000000000002</v>
      </c>
      <c r="BO276" s="64">
        <f t="shared" si="39"/>
        <v>0.27472527472527475</v>
      </c>
      <c r="BP276" s="64">
        <f t="shared" si="40"/>
        <v>0.27472527472527475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40</v>
      </c>
      <c r="Y278" s="618">
        <f t="shared" si="36"/>
        <v>40.799999999999997</v>
      </c>
      <c r="Z278" s="36">
        <f>IFERROR(IF(Y278=0,"",ROUNDUP(Y278/H278,0)*0.00651),"")</f>
        <v>0.11067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44.20000000000001</v>
      </c>
      <c r="BN278" s="64">
        <f t="shared" si="38"/>
        <v>45.084000000000003</v>
      </c>
      <c r="BO278" s="64">
        <f t="shared" si="39"/>
        <v>9.1575091575091583E-2</v>
      </c>
      <c r="BP278" s="64">
        <f t="shared" si="40"/>
        <v>9.3406593406593408E-2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0</v>
      </c>
      <c r="Y280" s="618">
        <f t="shared" si="36"/>
        <v>0</v>
      </c>
      <c r="Z280" s="36" t="str">
        <f>IFERROR(IF(Y280=0,"",ROUNDUP(Y280/H280,0)*0.00651),"")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101.60493827160495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102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0.72637000000000007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272</v>
      </c>
      <c r="Y283" s="619">
        <f>IFERROR(SUM(Y270:Y281),"0")</f>
        <v>273.3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16</v>
      </c>
      <c r="Y285" s="618">
        <f>IFERROR(IF(X285="",0,CEILING((X285/$H285),1)*$H285),"")</f>
        <v>16.8</v>
      </c>
      <c r="Z285" s="36">
        <f>IFERROR(IF(Y285=0,"",ROUNDUP(Y285/H285,0)*0.00651),"")</f>
        <v>4.5569999999999999E-2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17.680000000000003</v>
      </c>
      <c r="BN285" s="64">
        <f>IFERROR(Y285*I285/H285,"0")</f>
        <v>18.564000000000004</v>
      </c>
      <c r="BO285" s="64">
        <f>IFERROR(1/J285*(X285/H285),"0")</f>
        <v>3.6630036630036632E-2</v>
      </c>
      <c r="BP285" s="64">
        <f>IFERROR(1/J285*(Y285/H285),"0")</f>
        <v>3.8461538461538471E-2</v>
      </c>
    </row>
    <row r="286" spans="1:68" ht="27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16</v>
      </c>
      <c r="Y286" s="618">
        <f>IFERROR(IF(X286="",0,CEILING((X286/$H286),1)*$H286),"")</f>
        <v>16.8</v>
      </c>
      <c r="Z286" s="36">
        <f>IFERROR(IF(Y286=0,"",ROUNDUP(Y286/H286,0)*0.00651),"")</f>
        <v>4.5569999999999999E-2</v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17.680000000000003</v>
      </c>
      <c r="BN286" s="64">
        <f>IFERROR(Y286*I286/H286,"0")</f>
        <v>18.564000000000004</v>
      </c>
      <c r="BO286" s="64">
        <f>IFERROR(1/J286*(X286/H286),"0")</f>
        <v>3.6630036630036632E-2</v>
      </c>
      <c r="BP286" s="64">
        <f>IFERROR(1/J286*(Y286/H286),"0")</f>
        <v>3.8461538461538471E-2</v>
      </c>
    </row>
    <row r="287" spans="1:68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13.333333333333334</v>
      </c>
      <c r="Y287" s="619">
        <f>IFERROR(Y285/H285,"0")+IFERROR(Y286/H286,"0")</f>
        <v>14.000000000000002</v>
      </c>
      <c r="Z287" s="619">
        <f>IFERROR(IF(Z285="",0,Z285),"0")+IFERROR(IF(Z286="",0,Z286),"0")</f>
        <v>9.1139999999999999E-2</v>
      </c>
      <c r="AA287" s="620"/>
      <c r="AB287" s="620"/>
      <c r="AC287" s="620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32</v>
      </c>
      <c r="Y288" s="619">
        <f>IFERROR(SUM(Y285:Y286),"0")</f>
        <v>33.6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4</v>
      </c>
      <c r="Y305" s="618">
        <f>IFERROR(IF(X305="",0,CEILING((X305/$H305),1)*$H305),"")</f>
        <v>5.4</v>
      </c>
      <c r="Z305" s="36">
        <f>IFERROR(IF(Y305=0,"",ROUNDUP(Y305/H305,0)*0.0059),"")</f>
        <v>1.77E-2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4.3888888888888893</v>
      </c>
      <c r="BN305" s="64">
        <f>IFERROR(Y305*I305/H305,"0")</f>
        <v>5.9250000000000007</v>
      </c>
      <c r="BO305" s="64">
        <f>IFERROR(1/J305*(X305/H305),"0")</f>
        <v>1.0288065843621399E-2</v>
      </c>
      <c r="BP305" s="64">
        <f>IFERROR(1/J305*(Y305/H305),"0")</f>
        <v>1.3888888888888888E-2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2.2222222222222223</v>
      </c>
      <c r="Y306" s="619">
        <f>IFERROR(Y305/H305,"0")</f>
        <v>3</v>
      </c>
      <c r="Z306" s="619">
        <f>IFERROR(IF(Z305="",0,Z305),"0")</f>
        <v>1.77E-2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4</v>
      </c>
      <c r="Y307" s="619">
        <f>IFERROR(SUM(Y305:Y305),"0")</f>
        <v>5.4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0</v>
      </c>
      <c r="Y326" s="618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8</v>
      </c>
      <c r="Y327" s="618">
        <f>IFERROR(IF(X327="",0,CEILING((X327/$H327),1)*$H327),"")</f>
        <v>9.6</v>
      </c>
      <c r="Z327" s="36">
        <f>IFERROR(IF(Y327=0,"",ROUNDUP(Y327/H327,0)*0.00651),"")</f>
        <v>2.6040000000000001E-2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8.6000000000000014</v>
      </c>
      <c r="BN327" s="64">
        <f>IFERROR(Y327*I327/H327,"0")</f>
        <v>10.32</v>
      </c>
      <c r="BO327" s="64">
        <f>IFERROR(1/J327*(X327/H327),"0")</f>
        <v>1.8315018315018316E-2</v>
      </c>
      <c r="BP327" s="64">
        <f>IFERROR(1/J327*(Y327/H327),"0")</f>
        <v>2.197802197802198E-2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3.3333333333333335</v>
      </c>
      <c r="Y328" s="619">
        <f>IFERROR(Y325/H325,"0")+IFERROR(Y326/H326,"0")+IFERROR(Y327/H327,"0")</f>
        <v>4</v>
      </c>
      <c r="Z328" s="619">
        <f>IFERROR(IF(Z325="",0,Z325),"0")+IFERROR(IF(Z326="",0,Z326),"0")+IFERROR(IF(Z327="",0,Z327),"0")</f>
        <v>2.6040000000000001E-2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8</v>
      </c>
      <c r="Y329" s="619">
        <f>IFERROR(SUM(Y325:Y327),"0")</f>
        <v>9.6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0</v>
      </c>
      <c r="Y347" s="618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20</v>
      </c>
      <c r="Y348" s="618">
        <f>IFERROR(IF(X348="",0,CEILING((X348/$H348),1)*$H348),"")</f>
        <v>23.4</v>
      </c>
      <c r="Z348" s="36">
        <f>IFERROR(IF(Y348=0,"",ROUNDUP(Y348/H348,0)*0.01898),"")</f>
        <v>5.6940000000000004E-2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21.051282051282055</v>
      </c>
      <c r="BN348" s="64">
        <f>IFERROR(Y348*I348/H348,"0")</f>
        <v>24.630000000000003</v>
      </c>
      <c r="BO348" s="64">
        <f>IFERROR(1/J348*(X348/H348),"0")</f>
        <v>4.0064102564102567E-2</v>
      </c>
      <c r="BP348" s="64">
        <f>IFERROR(1/J348*(Y348/H348),"0")</f>
        <v>4.6875E-2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2.5641025641025643</v>
      </c>
      <c r="Y349" s="619">
        <f>IFERROR(Y346/H346,"0")+IFERROR(Y347/H347,"0")+IFERROR(Y348/H348,"0")</f>
        <v>3</v>
      </c>
      <c r="Z349" s="619">
        <f>IFERROR(IF(Z346="",0,Z346),"0")+IFERROR(IF(Z347="",0,Z347),"0")+IFERROR(IF(Z348="",0,Z348),"0")</f>
        <v>5.6940000000000004E-2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20</v>
      </c>
      <c r="Y350" s="619">
        <f>IFERROR(SUM(Y346:Y348),"0")</f>
        <v>23.4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21</v>
      </c>
      <c r="Y369" s="618">
        <f t="shared" si="56"/>
        <v>21.6</v>
      </c>
      <c r="Z369" s="36">
        <f>IFERROR(IF(Y369=0,"",ROUNDUP(Y369/H369,0)*0.00651),"")</f>
        <v>7.8119999999999995E-2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23.66</v>
      </c>
      <c r="BN369" s="64">
        <f t="shared" si="58"/>
        <v>24.335999999999999</v>
      </c>
      <c r="BO369" s="64">
        <f t="shared" si="59"/>
        <v>6.4102564102564111E-2</v>
      </c>
      <c r="BP369" s="64">
        <f t="shared" si="60"/>
        <v>6.5934065934065936E-2</v>
      </c>
    </row>
    <row r="370" spans="1:68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11.666666666666666</v>
      </c>
      <c r="Y370" s="619">
        <f>IFERROR(Y363/H363,"0")+IFERROR(Y364/H364,"0")+IFERROR(Y365/H365,"0")+IFERROR(Y366/H366,"0")+IFERROR(Y367/H367,"0")+IFERROR(Y368/H368,"0")+IFERROR(Y369/H369,"0")</f>
        <v>12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7.8119999999999995E-2</v>
      </c>
      <c r="AA370" s="620"/>
      <c r="AB370" s="620"/>
      <c r="AC370" s="620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21</v>
      </c>
      <c r="Y371" s="619">
        <f>IFERROR(SUM(Y363:Y369),"0")</f>
        <v>21.6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49</v>
      </c>
      <c r="Y380" s="618">
        <f>IFERROR(IF(X380="",0,CEILING((X380/$H380),1)*$H380),"")</f>
        <v>50.400000000000006</v>
      </c>
      <c r="Z380" s="36">
        <f>IFERROR(IF(Y380=0,"",ROUNDUP(Y380/H380,0)*0.01898),"")</f>
        <v>0.11388000000000001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51.881666666666661</v>
      </c>
      <c r="BN380" s="64">
        <f>IFERROR(Y380*I380/H380,"0")</f>
        <v>53.364000000000004</v>
      </c>
      <c r="BO380" s="64">
        <f>IFERROR(1/J380*(X380/H380),"0")</f>
        <v>9.1145833333333329E-2</v>
      </c>
      <c r="BP380" s="64">
        <f>IFERROR(1/J380*(Y380/H380),"0")</f>
        <v>9.375E-2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50</v>
      </c>
      <c r="Y381" s="618">
        <f>IFERROR(IF(X381="",0,CEILING((X381/$H381),1)*$H381),"")</f>
        <v>54.6</v>
      </c>
      <c r="Z381" s="36">
        <f>IFERROR(IF(Y381=0,"",ROUNDUP(Y381/H381,0)*0.01898),"")</f>
        <v>0.13286000000000001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53.166666666666671</v>
      </c>
      <c r="BN381" s="64">
        <f>IFERROR(Y381*I381/H381,"0")</f>
        <v>58.058000000000007</v>
      </c>
      <c r="BO381" s="64">
        <f>IFERROR(1/J381*(X381/H381),"0")</f>
        <v>0.10016025641025642</v>
      </c>
      <c r="BP381" s="64">
        <f>IFERROR(1/J381*(Y381/H381),"0")</f>
        <v>0.109375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12.243589743589745</v>
      </c>
      <c r="Y383" s="619">
        <f>IFERROR(Y380/H380,"0")+IFERROR(Y381/H381,"0")+IFERROR(Y382/H382,"0")</f>
        <v>13</v>
      </c>
      <c r="Z383" s="619">
        <f>IFERROR(IF(Z380="",0,Z380),"0")+IFERROR(IF(Z381="",0,Z381),"0")+IFERROR(IF(Z382="",0,Z382),"0")</f>
        <v>0.24674000000000001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99</v>
      </c>
      <c r="Y384" s="619">
        <f>IFERROR(SUM(Y380:Y382),"0")</f>
        <v>105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12</v>
      </c>
      <c r="Y389" s="618">
        <f>IFERROR(IF(X389="",0,CEILING((X389/$H389),1)*$H389),"")</f>
        <v>12.75</v>
      </c>
      <c r="Z389" s="36">
        <f>IFERROR(IF(Y389=0,"",ROUNDUP(Y389/H389,0)*0.00651),"")</f>
        <v>3.2550000000000003E-2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13.55294117647059</v>
      </c>
      <c r="BN389" s="64">
        <f>IFERROR(Y389*I389/H389,"0")</f>
        <v>14.4</v>
      </c>
      <c r="BO389" s="64">
        <f>IFERROR(1/J389*(X389/H389),"0")</f>
        <v>2.5856496444731741E-2</v>
      </c>
      <c r="BP389" s="64">
        <f>IFERROR(1/J389*(Y389/H389),"0")</f>
        <v>2.7472527472527476E-2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4.7058823529411766</v>
      </c>
      <c r="Y390" s="619">
        <f>IFERROR(Y386/H386,"0")+IFERROR(Y387/H387,"0")+IFERROR(Y388/H388,"0")+IFERROR(Y389/H389,"0")</f>
        <v>5</v>
      </c>
      <c r="Z390" s="619">
        <f>IFERROR(IF(Z386="",0,Z386),"0")+IFERROR(IF(Z387="",0,Z387),"0")+IFERROR(IF(Z388="",0,Z388),"0")+IFERROR(IF(Z389="",0,Z389),"0")</f>
        <v>3.2550000000000003E-2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12</v>
      </c>
      <c r="Y391" s="619">
        <f>IFERROR(SUM(Y386:Y389),"0")</f>
        <v>12.75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20</v>
      </c>
      <c r="Y393" s="618">
        <f>IFERROR(IF(X393="",0,CEILING((X393/$H393),1)*$H393),"")</f>
        <v>20</v>
      </c>
      <c r="Z393" s="36">
        <f>IFERROR(IF(Y393=0,"",ROUNDUP(Y393/H393,0)*0.00474),"")</f>
        <v>4.7400000000000005E-2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22.400000000000002</v>
      </c>
      <c r="BN393" s="64">
        <f>IFERROR(Y393*I393/H393,"0")</f>
        <v>22.400000000000002</v>
      </c>
      <c r="BO393" s="64">
        <f>IFERROR(1/J393*(X393/H393),"0")</f>
        <v>4.2016806722689072E-2</v>
      </c>
      <c r="BP393" s="64">
        <f>IFERROR(1/J393*(Y393/H393),"0")</f>
        <v>4.2016806722689072E-2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5</v>
      </c>
      <c r="Y394" s="618">
        <f>IFERROR(IF(X394="",0,CEILING((X394/$H394),1)*$H394),"")</f>
        <v>6</v>
      </c>
      <c r="Z394" s="36">
        <f>IFERROR(IF(Y394=0,"",ROUNDUP(Y394/H394,0)*0.00474),"")</f>
        <v>1.422E-2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5.6000000000000005</v>
      </c>
      <c r="BN394" s="64">
        <f>IFERROR(Y394*I394/H394,"0")</f>
        <v>6.7200000000000006</v>
      </c>
      <c r="BO394" s="64">
        <f>IFERROR(1/J394*(X394/H394),"0")</f>
        <v>1.0504201680672268E-2</v>
      </c>
      <c r="BP394" s="64">
        <f>IFERROR(1/J394*(Y394/H394),"0")</f>
        <v>1.2605042016806723E-2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0</v>
      </c>
      <c r="Y395" s="618">
        <f>IFERROR(IF(X395="",0,CEILING((X395/$H395),1)*$H395),"")</f>
        <v>0</v>
      </c>
      <c r="Z395" s="36" t="str">
        <f>IFERROR(IF(Y395=0,"",ROUNDUP(Y395/H395,0)*0.00474),"")</f>
        <v/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12.5</v>
      </c>
      <c r="Y396" s="619">
        <f>IFERROR(Y393/H393,"0")+IFERROR(Y394/H394,"0")+IFERROR(Y395/H395,"0")</f>
        <v>13</v>
      </c>
      <c r="Z396" s="619">
        <f>IFERROR(IF(Z393="",0,Z393),"0")+IFERROR(IF(Z394="",0,Z394),"0")+IFERROR(IF(Z395="",0,Z395),"0")</f>
        <v>6.1620000000000008E-2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25</v>
      </c>
      <c r="Y397" s="619">
        <f>IFERROR(SUM(Y393:Y395),"0")</f>
        <v>26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16</v>
      </c>
      <c r="Y400" s="618">
        <f>IFERROR(IF(X400="",0,CEILING((X400/$H400),1)*$H400),"")</f>
        <v>19.5</v>
      </c>
      <c r="Z400" s="36">
        <f>IFERROR(IF(Y400=0,"",ROUNDUP(Y400/H400,0)*0.006),"")</f>
        <v>0.03</v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17.107692307692307</v>
      </c>
      <c r="BN400" s="64">
        <f>IFERROR(Y400*I400/H400,"0")</f>
        <v>20.85</v>
      </c>
      <c r="BO400" s="64">
        <f>IFERROR(1/J400*(X400/H400),"0")</f>
        <v>2.8490028490028491E-2</v>
      </c>
      <c r="BP400" s="64">
        <f>IFERROR(1/J400*(Y400/H400),"0")</f>
        <v>3.4722222222222224E-2</v>
      </c>
    </row>
    <row r="401" spans="1:68" ht="27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13</v>
      </c>
      <c r="Y401" s="618">
        <f>IFERROR(IF(X401="",0,CEILING((X401/$H401),1)*$H401),"")</f>
        <v>15</v>
      </c>
      <c r="Z401" s="36">
        <f>IFERROR(IF(Y401=0,"",ROUNDUP(Y401/H401,0)*0.0045),"")</f>
        <v>2.2499999999999999E-2</v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13.953333333333333</v>
      </c>
      <c r="BN401" s="64">
        <f>IFERROR(Y401*I401/H401,"0")</f>
        <v>16.100000000000001</v>
      </c>
      <c r="BO401" s="64">
        <f>IFERROR(1/J401*(X401/H401),"0")</f>
        <v>1.9345238095238092E-2</v>
      </c>
      <c r="BP401" s="64">
        <f>IFERROR(1/J401*(Y401/H401),"0")</f>
        <v>2.2321428571428568E-2</v>
      </c>
    </row>
    <row r="402" spans="1:68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8.4358974358974361</v>
      </c>
      <c r="Y402" s="619">
        <f>IFERROR(Y399/H399,"0")+IFERROR(Y400/H400,"0")+IFERROR(Y401/H401,"0")</f>
        <v>10</v>
      </c>
      <c r="Z402" s="619">
        <f>IFERROR(IF(Z399="",0,Z399),"0")+IFERROR(IF(Z400="",0,Z400),"0")+IFERROR(IF(Z401="",0,Z401),"0")</f>
        <v>5.2499999999999998E-2</v>
      </c>
      <c r="AA402" s="620"/>
      <c r="AB402" s="620"/>
      <c r="AC402" s="620"/>
    </row>
    <row r="403" spans="1:68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29</v>
      </c>
      <c r="Y403" s="619">
        <f>IFERROR(SUM(Y399:Y401),"0")</f>
        <v>34.5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0</v>
      </c>
      <c r="Y415" s="619">
        <f>IFERROR(Y412/H412,"0")+IFERROR(Y413/H413,"0")+IFERROR(Y414/H414,"0")</f>
        <v>0</v>
      </c>
      <c r="Z415" s="619">
        <f>IFERROR(IF(Z412="",0,Z412),"0")+IFERROR(IF(Z413="",0,Z413),"0")+IFERROR(IF(Z414="",0,Z414),"0")</f>
        <v>0</v>
      </c>
      <c r="AA415" s="620"/>
      <c r="AB415" s="620"/>
      <c r="AC415" s="620"/>
    </row>
    <row r="416" spans="1:68" hidden="1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0</v>
      </c>
      <c r="Y416" s="619">
        <f>IFERROR(SUM(Y412:Y414),"0")</f>
        <v>0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50</v>
      </c>
      <c r="Y420" s="618">
        <f t="shared" ref="Y420:Y427" si="61">IFERROR(IF(X420="",0,CEILING((X420/$H420),1)*$H420),"")</f>
        <v>60</v>
      </c>
      <c r="Z420" s="36">
        <f>IFERROR(IF(Y420=0,"",ROUNDUP(Y420/H420,0)*0.02175),"")</f>
        <v>8.6999999999999994E-2</v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51.56666666666667</v>
      </c>
      <c r="BN420" s="64">
        <f t="shared" ref="BN420:BN427" si="63">IFERROR(Y420*I420/H420,"0")</f>
        <v>61.88</v>
      </c>
      <c r="BO420" s="64">
        <f t="shared" ref="BO420:BO427" si="64">IFERROR(1/J420*(X420/H420),"0")</f>
        <v>6.9444444444444448E-2</v>
      </c>
      <c r="BP420" s="64">
        <f t="shared" ref="BP420:BP427" si="65">IFERROR(1/J420*(Y420/H420),"0")</f>
        <v>8.3333333333333329E-2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589</v>
      </c>
      <c r="Y421" s="618">
        <f t="shared" si="61"/>
        <v>600</v>
      </c>
      <c r="Z421" s="36">
        <f>IFERROR(IF(Y421=0,"",ROUNDUP(Y421/H421,0)*0.02175),"")</f>
        <v>0.86999999999999988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607.45533333333333</v>
      </c>
      <c r="BN421" s="64">
        <f t="shared" si="63"/>
        <v>618.79999999999995</v>
      </c>
      <c r="BO421" s="64">
        <f t="shared" si="64"/>
        <v>0.81805555555555554</v>
      </c>
      <c r="BP421" s="64">
        <f t="shared" si="65"/>
        <v>0.83333333333333326</v>
      </c>
    </row>
    <row r="422" spans="1:68" ht="27" hidden="1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0</v>
      </c>
      <c r="Y422" s="618">
        <f t="shared" si="61"/>
        <v>0</v>
      </c>
      <c r="Z422" s="36" t="str">
        <f>IFERROR(IF(Y422=0,"",ROUNDUP(Y422/H422,0)*0.02175),"")</f>
        <v/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0</v>
      </c>
      <c r="BN422" s="64">
        <f t="shared" si="63"/>
        <v>0</v>
      </c>
      <c r="BO422" s="64">
        <f t="shared" si="64"/>
        <v>0</v>
      </c>
      <c r="BP422" s="64">
        <f t="shared" si="65"/>
        <v>0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42.6</v>
      </c>
      <c r="Y428" s="619">
        <f>IFERROR(Y420/H420,"0")+IFERROR(Y421/H421,"0")+IFERROR(Y422/H422,"0")+IFERROR(Y423/H423,"0")+IFERROR(Y424/H424,"0")+IFERROR(Y425/H425,"0")+IFERROR(Y426/H426,"0")+IFERROR(Y427/H427,"0")</f>
        <v>44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0.95699999999999985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639</v>
      </c>
      <c r="Y429" s="619">
        <f>IFERROR(SUM(Y420:Y427),"0")</f>
        <v>660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hidden="1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0</v>
      </c>
      <c r="Y431" s="618">
        <f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0</v>
      </c>
      <c r="Y434" s="619">
        <f>IFERROR(Y431/H431,"0")+IFERROR(Y432/H432,"0")+IFERROR(Y433/H433,"0")</f>
        <v>0</v>
      </c>
      <c r="Z434" s="619">
        <f>IFERROR(IF(Z431="",0,Z431),"0")+IFERROR(IF(Z432="",0,Z432),"0")+IFERROR(IF(Z433="",0,Z433),"0")</f>
        <v>0</v>
      </c>
      <c r="AA434" s="620"/>
      <c r="AB434" s="620"/>
      <c r="AC434" s="620"/>
    </row>
    <row r="435" spans="1:68" hidden="1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0</v>
      </c>
      <c r="Y435" s="619">
        <f>IFERROR(SUM(Y431:Y433),"0")</f>
        <v>0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30</v>
      </c>
      <c r="Y444" s="618">
        <f>IFERROR(IF(X444="",0,CEILING((X444/$H444),1)*$H444),"")</f>
        <v>36</v>
      </c>
      <c r="Z444" s="36">
        <f>IFERROR(IF(Y444=0,"",ROUNDUP(Y444/H444,0)*0.01898),"")</f>
        <v>7.5920000000000001E-2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31.646666666666665</v>
      </c>
      <c r="BN444" s="64">
        <f>IFERROR(Y444*I444/H444,"0")</f>
        <v>37.975999999999999</v>
      </c>
      <c r="BO444" s="64">
        <f>IFERROR(1/J444*(X444/H444),"0")</f>
        <v>5.2083333333333336E-2</v>
      </c>
      <c r="BP444" s="64">
        <f>IFERROR(1/J444*(Y444/H444),"0")</f>
        <v>6.25E-2</v>
      </c>
    </row>
    <row r="445" spans="1:68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3.3333333333333335</v>
      </c>
      <c r="Y445" s="619">
        <f>IFERROR(Y443/H443,"0")+IFERROR(Y444/H444,"0")</f>
        <v>4</v>
      </c>
      <c r="Z445" s="619">
        <f>IFERROR(IF(Z443="",0,Z443),"0")+IFERROR(IF(Z444="",0,Z444),"0")</f>
        <v>7.5920000000000001E-2</v>
      </c>
      <c r="AA445" s="620"/>
      <c r="AB445" s="620"/>
      <c r="AC445" s="620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30</v>
      </c>
      <c r="Y446" s="619">
        <f>IFERROR(SUM(Y443:Y444),"0")</f>
        <v>36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12</v>
      </c>
      <c r="Y459" s="618">
        <f>IFERROR(IF(X459="",0,CEILING((X459/$H459),1)*$H459),"")</f>
        <v>12</v>
      </c>
      <c r="Z459" s="36">
        <f>IFERROR(IF(Y459=0,"",ROUNDUP(Y459/H459,0)*0.00651),"")</f>
        <v>3.2550000000000003E-2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13.320000000000002</v>
      </c>
      <c r="BN459" s="64">
        <f>IFERROR(Y459*I459/H459,"0")</f>
        <v>13.320000000000002</v>
      </c>
      <c r="BO459" s="64">
        <f>IFERROR(1/J459*(X459/H459),"0")</f>
        <v>2.7472527472527476E-2</v>
      </c>
      <c r="BP459" s="64">
        <f>IFERROR(1/J459*(Y459/H459),"0")</f>
        <v>2.7472527472527476E-2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5</v>
      </c>
      <c r="Y461" s="619">
        <f>IFERROR(Y458/H458,"0")+IFERROR(Y459/H459,"0")+IFERROR(Y460/H460,"0")</f>
        <v>5</v>
      </c>
      <c r="Z461" s="619">
        <f>IFERROR(IF(Z458="",0,Z458),"0")+IFERROR(IF(Z459="",0,Z459),"0")+IFERROR(IF(Z460="",0,Z460),"0")</f>
        <v>3.2550000000000003E-2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12</v>
      </c>
      <c r="Y462" s="619">
        <f>IFERROR(SUM(Y458:Y460),"0")</f>
        <v>12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85</v>
      </c>
      <c r="Y495" s="618">
        <f t="shared" si="71"/>
        <v>89.76</v>
      </c>
      <c r="Z495" s="36">
        <f>IFERROR(IF(Y495=0,"",ROUNDUP(Y495/H495,0)*0.01196),"")</f>
        <v>0.20332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90.634469696969688</v>
      </c>
      <c r="BN495" s="64">
        <f t="shared" si="73"/>
        <v>95.710000000000008</v>
      </c>
      <c r="BO495" s="64">
        <f t="shared" si="74"/>
        <v>0.15479312354312355</v>
      </c>
      <c r="BP495" s="64">
        <f t="shared" si="75"/>
        <v>0.16346153846153846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100</v>
      </c>
      <c r="Y496" s="618">
        <f t="shared" si="71"/>
        <v>100.32000000000001</v>
      </c>
      <c r="Z496" s="36">
        <f>IFERROR(IF(Y496=0,"",ROUNDUP(Y496/H496,0)*0.01196),"")</f>
        <v>0.22724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106.62878787878788</v>
      </c>
      <c r="BN496" s="64">
        <f t="shared" si="73"/>
        <v>106.97</v>
      </c>
      <c r="BO496" s="64">
        <f t="shared" si="74"/>
        <v>0.18210955710955709</v>
      </c>
      <c r="BP496" s="64">
        <f t="shared" si="75"/>
        <v>0.18269230769230771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35.037878787878782</v>
      </c>
      <c r="Y500" s="619">
        <f>IFERROR(Y492/H492,"0")+IFERROR(Y493/H493,"0")+IFERROR(Y494/H494,"0")+IFERROR(Y495/H495,"0")+IFERROR(Y496/H496,"0")+IFERROR(Y497/H497,"0")+IFERROR(Y498/H498,"0")+IFERROR(Y499/H499,"0")</f>
        <v>36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0.43056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185</v>
      </c>
      <c r="Y501" s="619">
        <f>IFERROR(SUM(Y492:Y499),"0")</f>
        <v>190.08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150</v>
      </c>
      <c r="Y503" s="618">
        <f>IFERROR(IF(X503="",0,CEILING((X503/$H503),1)*$H503),"")</f>
        <v>153.12</v>
      </c>
      <c r="Z503" s="36">
        <f>IFERROR(IF(Y503=0,"",ROUNDUP(Y503/H503,0)*0.01196),"")</f>
        <v>0.34683999999999998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159.94318181818181</v>
      </c>
      <c r="BN503" s="64">
        <f>IFERROR(Y503*I503/H503,"0")</f>
        <v>163.26999999999998</v>
      </c>
      <c r="BO503" s="64">
        <f>IFERROR(1/J503*(X503/H503),"0")</f>
        <v>0.27316433566433568</v>
      </c>
      <c r="BP503" s="64">
        <f>IFERROR(1/J503*(Y503/H503),"0")</f>
        <v>0.27884615384615385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28.409090909090907</v>
      </c>
      <c r="Y506" s="619">
        <f>IFERROR(Y503/H503,"0")+IFERROR(Y504/H504,"0")+IFERROR(Y505/H505,"0")</f>
        <v>29</v>
      </c>
      <c r="Z506" s="619">
        <f>IFERROR(IF(Z503="",0,Z503),"0")+IFERROR(IF(Z504="",0,Z504),"0")+IFERROR(IF(Z505="",0,Z505),"0")</f>
        <v>0.34683999999999998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150</v>
      </c>
      <c r="Y507" s="619">
        <f>IFERROR(SUM(Y503:Y505),"0")</f>
        <v>153.12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150</v>
      </c>
      <c r="Y509" s="618">
        <f t="shared" ref="Y509:Y515" si="76">IFERROR(IF(X509="",0,CEILING((X509/$H509),1)*$H509),"")</f>
        <v>153.12</v>
      </c>
      <c r="Z509" s="36">
        <f>IFERROR(IF(Y509=0,"",ROUNDUP(Y509/H509,0)*0.01196),"")</f>
        <v>0.34683999999999998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159.94318181818181</v>
      </c>
      <c r="BN509" s="64">
        <f t="shared" ref="BN509:BN515" si="78">IFERROR(Y509*I509/H509,"0")</f>
        <v>163.26999999999998</v>
      </c>
      <c r="BO509" s="64">
        <f t="shared" ref="BO509:BO515" si="79">IFERROR(1/J509*(X509/H509),"0")</f>
        <v>0.27316433566433568</v>
      </c>
      <c r="BP509" s="64">
        <f t="shared" ref="BP509:BP515" si="80">IFERROR(1/J509*(Y509/H509),"0")</f>
        <v>0.27884615384615385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100</v>
      </c>
      <c r="Y510" s="618">
        <f t="shared" si="76"/>
        <v>100.32000000000001</v>
      </c>
      <c r="Z510" s="36">
        <f>IFERROR(IF(Y510=0,"",ROUNDUP(Y510/H510,0)*0.01196),"")</f>
        <v>0.22724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106.62878787878788</v>
      </c>
      <c r="BN510" s="64">
        <f t="shared" si="78"/>
        <v>106.97</v>
      </c>
      <c r="BO510" s="64">
        <f t="shared" si="79"/>
        <v>0.18210955710955709</v>
      </c>
      <c r="BP510" s="64">
        <f t="shared" si="80"/>
        <v>0.18269230769230771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250</v>
      </c>
      <c r="Y511" s="618">
        <f t="shared" si="76"/>
        <v>253.44</v>
      </c>
      <c r="Z511" s="36">
        <f>IFERROR(IF(Y511=0,"",ROUNDUP(Y511/H511,0)*0.01196),"")</f>
        <v>0.57408000000000003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266.57196969696969</v>
      </c>
      <c r="BN511" s="64">
        <f t="shared" si="78"/>
        <v>270.23999999999995</v>
      </c>
      <c r="BO511" s="64">
        <f t="shared" si="79"/>
        <v>0.45527389277389274</v>
      </c>
      <c r="BP511" s="64">
        <f t="shared" si="80"/>
        <v>0.46153846153846156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94.696969696969688</v>
      </c>
      <c r="Y516" s="619">
        <f>IFERROR(Y509/H509,"0")+IFERROR(Y510/H510,"0")+IFERROR(Y511/H511,"0")+IFERROR(Y512/H512,"0")+IFERROR(Y513/H513,"0")+IFERROR(Y514/H514,"0")+IFERROR(Y515/H515,"0")</f>
        <v>96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1.1481599999999998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500</v>
      </c>
      <c r="Y517" s="619">
        <f>IFERROR(SUM(Y509:Y515),"0")</f>
        <v>506.88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3584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3696.49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3793.0947548812837</v>
      </c>
      <c r="Y547" s="619">
        <f>IFERROR(SUM(BN22:BN543),"0")</f>
        <v>3912.1629999999986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7</v>
      </c>
      <c r="Y548" s="38">
        <f>ROUNDUP(SUM(BP22:BP543),0)</f>
        <v>7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3968.0947548812837</v>
      </c>
      <c r="Y549" s="619">
        <f>GrossWeightTotalR+PalletQtyTotalR*25</f>
        <v>4087.1629999999986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770.66779821485693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796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7.9181199999999992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43.2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108</v>
      </c>
      <c r="F556" s="46">
        <f>IFERROR(Y84*1,"0")+IFERROR(Y85*1,"0")+IFERROR(Y86*1,"0")+IFERROR(Y87*1,"0")+IFERROR(Y88*1,"0")+IFERROR(Y89*1,"0")+IFERROR(Y93*1,"0")+IFERROR(Y94*1,"0")+IFERROR(Y95*1,"0")+IFERROR(Y96*1,"0")</f>
        <v>178.20000000000002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482.04</v>
      </c>
      <c r="H556" s="46">
        <f>IFERROR(Y131*1,"0")+IFERROR(Y132*1,"0")+IFERROR(Y136*1,"0")+IFERROR(Y137*1,"0")+IFERROR(Y141*1,"0")+IFERROR(Y142*1,"0")</f>
        <v>0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271.21999999999997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233.4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584.09999999999991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5.4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9.6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23.4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199.85</v>
      </c>
      <c r="U556" s="46">
        <f>IFERROR(Y406*1,"0")+IFERROR(Y407*1,"0")</f>
        <v>0</v>
      </c>
      <c r="V556" s="46">
        <f>IFERROR(Y412*1,"0")+IFERROR(Y413*1,"0")+IFERROR(Y414*1,"0")</f>
        <v>0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696</v>
      </c>
      <c r="X556" s="46">
        <f>IFERROR(Y449*1,"0")+IFERROR(Y450*1,"0")+IFERROR(Y454*1,"0")+IFERROR(Y458*1,"0")+IFERROR(Y459*1,"0")+IFERROR(Y460*1,"0")</f>
        <v>12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850.08000000000015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0,00"/>
        <filter val="100,00"/>
        <filter val="101,60"/>
        <filter val="11,67"/>
        <filter val="111,03"/>
        <filter val="12,00"/>
        <filter val="12,12"/>
        <filter val="12,24"/>
        <filter val="12,50"/>
        <filter val="120,00"/>
        <filter val="13,00"/>
        <filter val="13,33"/>
        <filter val="13,89"/>
        <filter val="15,00"/>
        <filter val="150,00"/>
        <filter val="16,00"/>
        <filter val="173,00"/>
        <filter val="185,00"/>
        <filter val="19,00"/>
        <filter val="2,00"/>
        <filter val="2,22"/>
        <filter val="2,56"/>
        <filter val="20,00"/>
        <filter val="200,00"/>
        <filter val="21,00"/>
        <filter val="215,00"/>
        <filter val="23,00"/>
        <filter val="24,00"/>
        <filter val="25,00"/>
        <filter val="250,00"/>
        <filter val="263,00"/>
        <filter val="268,00"/>
        <filter val="272,00"/>
        <filter val="28,41"/>
        <filter val="29,00"/>
        <filter val="290,00"/>
        <filter val="3 584,00"/>
        <filter val="3 793,09"/>
        <filter val="3 968,09"/>
        <filter val="3,17"/>
        <filter val="3,33"/>
        <filter val="3,98"/>
        <filter val="30,00"/>
        <filter val="32,00"/>
        <filter val="35,04"/>
        <filter val="4,00"/>
        <filter val="4,71"/>
        <filter val="4,76"/>
        <filter val="40,00"/>
        <filter val="42,00"/>
        <filter val="42,60"/>
        <filter val="43,00"/>
        <filter val="46,00"/>
        <filter val="49,00"/>
        <filter val="5,00"/>
        <filter val="50,00"/>
        <filter val="500,00"/>
        <filter val="56,00"/>
        <filter val="58,02"/>
        <filter val="589,00"/>
        <filter val="6,00"/>
        <filter val="639,00"/>
        <filter val="7"/>
        <filter val="70,00"/>
        <filter val="72,00"/>
        <filter val="72,04"/>
        <filter val="770,67"/>
        <filter val="8,00"/>
        <filter val="8,44"/>
        <filter val="80,77"/>
        <filter val="85,00"/>
        <filter val="9,26"/>
        <filter val="90,00"/>
        <filter val="94,70"/>
        <filter val="99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2026-10-07T09:36:17Z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