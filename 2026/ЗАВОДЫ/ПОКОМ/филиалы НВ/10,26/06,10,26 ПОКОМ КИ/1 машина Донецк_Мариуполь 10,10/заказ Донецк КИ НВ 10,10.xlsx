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3BB5D27-A131-47CC-BB26-2032E77957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X539" i="1"/>
  <c r="BO538" i="1"/>
  <c r="BM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9" i="1"/>
  <c r="X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Y396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BO339" i="1"/>
  <c r="BM339" i="1"/>
  <c r="Y339" i="1"/>
  <c r="Y343" i="1" s="1"/>
  <c r="P339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BP315" i="1" s="1"/>
  <c r="P315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4" i="1"/>
  <c r="Y143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P126" i="1"/>
  <c r="X124" i="1"/>
  <c r="X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BO111" i="1"/>
  <c r="BM111" i="1"/>
  <c r="Y111" i="1"/>
  <c r="Y117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P59" i="1"/>
  <c r="BO59" i="1"/>
  <c r="BN59" i="1"/>
  <c r="BM59" i="1"/>
  <c r="Z59" i="1"/>
  <c r="Y59" i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P49" i="1"/>
  <c r="BO48" i="1"/>
  <c r="BM48" i="1"/>
  <c r="Y48" i="1"/>
  <c r="BP48" i="1" s="1"/>
  <c r="P48" i="1"/>
  <c r="BO47" i="1"/>
  <c r="BM47" i="1"/>
  <c r="Y47" i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P39" i="1"/>
  <c r="BP38" i="1"/>
  <c r="BO38" i="1"/>
  <c r="BN38" i="1"/>
  <c r="BM38" i="1"/>
  <c r="Z38" i="1"/>
  <c r="Y38" i="1"/>
  <c r="P38" i="1"/>
  <c r="BO37" i="1"/>
  <c r="BM37" i="1"/>
  <c r="Y37" i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Y80" i="1" l="1"/>
  <c r="Y342" i="1"/>
  <c r="BP348" i="1"/>
  <c r="BN348" i="1"/>
  <c r="Z348" i="1"/>
  <c r="BP359" i="1"/>
  <c r="BN359" i="1"/>
  <c r="Z359" i="1"/>
  <c r="BP369" i="1"/>
  <c r="BN369" i="1"/>
  <c r="Z369" i="1"/>
  <c r="BP387" i="1"/>
  <c r="BN387" i="1"/>
  <c r="Z387" i="1"/>
  <c r="BP401" i="1"/>
  <c r="BN401" i="1"/>
  <c r="Z401" i="1"/>
  <c r="BP423" i="1"/>
  <c r="BN423" i="1"/>
  <c r="Z423" i="1"/>
  <c r="BP433" i="1"/>
  <c r="BN433" i="1"/>
  <c r="Z433" i="1"/>
  <c r="Y456" i="1"/>
  <c r="Y455" i="1"/>
  <c r="BP454" i="1"/>
  <c r="BN454" i="1"/>
  <c r="Z454" i="1"/>
  <c r="Z455" i="1" s="1"/>
  <c r="Y462" i="1"/>
  <c r="BP458" i="1"/>
  <c r="BN458" i="1"/>
  <c r="Z458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BP484" i="1"/>
  <c r="BN484" i="1"/>
  <c r="Z484" i="1"/>
  <c r="BP496" i="1"/>
  <c r="BN496" i="1"/>
  <c r="Z496" i="1"/>
  <c r="BP512" i="1"/>
  <c r="BN512" i="1"/>
  <c r="Z512" i="1"/>
  <c r="X546" i="1"/>
  <c r="Y32" i="1"/>
  <c r="Z28" i="1"/>
  <c r="BN28" i="1"/>
  <c r="Z36" i="1"/>
  <c r="BN36" i="1"/>
  <c r="Z40" i="1"/>
  <c r="BN40" i="1"/>
  <c r="Z48" i="1"/>
  <c r="BN48" i="1"/>
  <c r="Z57" i="1"/>
  <c r="BN57" i="1"/>
  <c r="Z61" i="1"/>
  <c r="BN61" i="1"/>
  <c r="Y69" i="1"/>
  <c r="Z67" i="1"/>
  <c r="BN67" i="1"/>
  <c r="Z77" i="1"/>
  <c r="BN77" i="1"/>
  <c r="BP77" i="1"/>
  <c r="Z86" i="1"/>
  <c r="BN86" i="1"/>
  <c r="Z94" i="1"/>
  <c r="BN94" i="1"/>
  <c r="Z101" i="1"/>
  <c r="BN101" i="1"/>
  <c r="Z105" i="1"/>
  <c r="BN105" i="1"/>
  <c r="Z111" i="1"/>
  <c r="BN111" i="1"/>
  <c r="BP111" i="1"/>
  <c r="Z115" i="1"/>
  <c r="BN115" i="1"/>
  <c r="Y123" i="1"/>
  <c r="Z121" i="1"/>
  <c r="BN121" i="1"/>
  <c r="Z136" i="1"/>
  <c r="BN136" i="1"/>
  <c r="BP136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0" i="1"/>
  <c r="BN270" i="1"/>
  <c r="BP270" i="1"/>
  <c r="Z274" i="1"/>
  <c r="BN274" i="1"/>
  <c r="Z278" i="1"/>
  <c r="BN278" i="1"/>
  <c r="Z286" i="1"/>
  <c r="BN286" i="1"/>
  <c r="Z293" i="1"/>
  <c r="BN293" i="1"/>
  <c r="Z297" i="1"/>
  <c r="BN297" i="1"/>
  <c r="Z315" i="1"/>
  <c r="BN315" i="1"/>
  <c r="Z319" i="1"/>
  <c r="BN319" i="1"/>
  <c r="Z333" i="1"/>
  <c r="BN333" i="1"/>
  <c r="Z339" i="1"/>
  <c r="BN339" i="1"/>
  <c r="BP339" i="1"/>
  <c r="BP355" i="1"/>
  <c r="BN355" i="1"/>
  <c r="Z355" i="1"/>
  <c r="BP365" i="1"/>
  <c r="BN365" i="1"/>
  <c r="Z365" i="1"/>
  <c r="BP375" i="1"/>
  <c r="BN375" i="1"/>
  <c r="Z375" i="1"/>
  <c r="Y397" i="1"/>
  <c r="BP393" i="1"/>
  <c r="BN393" i="1"/>
  <c r="Z393" i="1"/>
  <c r="BP413" i="1"/>
  <c r="BN413" i="1"/>
  <c r="Z413" i="1"/>
  <c r="BP427" i="1"/>
  <c r="BN427" i="1"/>
  <c r="Z427" i="1"/>
  <c r="BP439" i="1"/>
  <c r="BN439" i="1"/>
  <c r="Z439" i="1"/>
  <c r="BP443" i="1"/>
  <c r="BN443" i="1"/>
  <c r="Z443" i="1"/>
  <c r="Y461" i="1"/>
  <c r="BP468" i="1"/>
  <c r="BN468" i="1"/>
  <c r="Z468" i="1"/>
  <c r="AA556" i="1"/>
  <c r="BP492" i="1"/>
  <c r="BN492" i="1"/>
  <c r="Z492" i="1"/>
  <c r="BP504" i="1"/>
  <c r="BN504" i="1"/>
  <c r="Z504" i="1"/>
  <c r="BP538" i="1"/>
  <c r="BN538" i="1"/>
  <c r="Z538" i="1"/>
  <c r="T556" i="1"/>
  <c r="Y377" i="1"/>
  <c r="Y441" i="1"/>
  <c r="Y440" i="1"/>
  <c r="F9" i="1"/>
  <c r="J9" i="1"/>
  <c r="F10" i="1"/>
  <c r="Y31" i="1"/>
  <c r="BP37" i="1"/>
  <c r="BN37" i="1"/>
  <c r="Z37" i="1"/>
  <c r="Y41" i="1"/>
  <c r="BP47" i="1"/>
  <c r="BN47" i="1"/>
  <c r="Z47" i="1"/>
  <c r="Z50" i="1" s="1"/>
  <c r="BP56" i="1"/>
  <c r="BN56" i="1"/>
  <c r="Z56" i="1"/>
  <c r="BP60" i="1"/>
  <c r="BN60" i="1"/>
  <c r="Z60" i="1"/>
  <c r="BP68" i="1"/>
  <c r="BN68" i="1"/>
  <c r="Z68" i="1"/>
  <c r="Y70" i="1"/>
  <c r="Y75" i="1"/>
  <c r="BP72" i="1"/>
  <c r="BN72" i="1"/>
  <c r="Z72" i="1"/>
  <c r="Z74" i="1" s="1"/>
  <c r="BP85" i="1"/>
  <c r="BN85" i="1"/>
  <c r="Z85" i="1"/>
  <c r="BP89" i="1"/>
  <c r="BN89" i="1"/>
  <c r="Z89" i="1"/>
  <c r="Y91" i="1"/>
  <c r="Y98" i="1"/>
  <c r="BP93" i="1"/>
  <c r="BN93" i="1"/>
  <c r="Z93" i="1"/>
  <c r="Y97" i="1"/>
  <c r="BP102" i="1"/>
  <c r="BN102" i="1"/>
  <c r="Z102" i="1"/>
  <c r="BP106" i="1"/>
  <c r="BN106" i="1"/>
  <c r="Z106" i="1"/>
  <c r="BP114" i="1"/>
  <c r="BN114" i="1"/>
  <c r="Z114" i="1"/>
  <c r="BP122" i="1"/>
  <c r="BN122" i="1"/>
  <c r="Z122" i="1"/>
  <c r="Y124" i="1"/>
  <c r="Y127" i="1"/>
  <c r="BP126" i="1"/>
  <c r="BN126" i="1"/>
  <c r="Z126" i="1"/>
  <c r="Z127" i="1" s="1"/>
  <c r="Y128" i="1"/>
  <c r="H556" i="1"/>
  <c r="Y134" i="1"/>
  <c r="BP131" i="1"/>
  <c r="BN131" i="1"/>
  <c r="Z131" i="1"/>
  <c r="Z133" i="1" s="1"/>
  <c r="BP148" i="1"/>
  <c r="BN148" i="1"/>
  <c r="Z148" i="1"/>
  <c r="Z151" i="1" s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Y252" i="1"/>
  <c r="BP249" i="1"/>
  <c r="BN249" i="1"/>
  <c r="Z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BP294" i="1"/>
  <c r="BN294" i="1"/>
  <c r="Z294" i="1"/>
  <c r="Y298" i="1"/>
  <c r="BP310" i="1"/>
  <c r="BN310" i="1"/>
  <c r="Z310" i="1"/>
  <c r="Z311" i="1" s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Y329" i="1"/>
  <c r="BP334" i="1"/>
  <c r="BN334" i="1"/>
  <c r="Z334" i="1"/>
  <c r="BP356" i="1"/>
  <c r="BN356" i="1"/>
  <c r="Z356" i="1"/>
  <c r="Y360" i="1"/>
  <c r="BP364" i="1"/>
  <c r="BN364" i="1"/>
  <c r="Z364" i="1"/>
  <c r="Y370" i="1"/>
  <c r="BP368" i="1"/>
  <c r="BN368" i="1"/>
  <c r="Z368" i="1"/>
  <c r="Z402" i="1"/>
  <c r="BP400" i="1"/>
  <c r="BN400" i="1"/>
  <c r="Z400" i="1"/>
  <c r="Y402" i="1"/>
  <c r="BP444" i="1"/>
  <c r="BN444" i="1"/>
  <c r="Z444" i="1"/>
  <c r="Z445" i="1" s="1"/>
  <c r="Y446" i="1"/>
  <c r="X556" i="1"/>
  <c r="Y452" i="1"/>
  <c r="BP449" i="1"/>
  <c r="BN449" i="1"/>
  <c r="Z449" i="1"/>
  <c r="Z451" i="1" s="1"/>
  <c r="Y451" i="1"/>
  <c r="M556" i="1"/>
  <c r="H9" i="1"/>
  <c r="B556" i="1"/>
  <c r="X547" i="1"/>
  <c r="X548" i="1"/>
  <c r="X550" i="1"/>
  <c r="Y24" i="1"/>
  <c r="Z27" i="1"/>
  <c r="BN27" i="1"/>
  <c r="Z29" i="1"/>
  <c r="BN29" i="1"/>
  <c r="BP39" i="1"/>
  <c r="BN39" i="1"/>
  <c r="Z39" i="1"/>
  <c r="BP49" i="1"/>
  <c r="BN49" i="1"/>
  <c r="Z49" i="1"/>
  <c r="Y51" i="1"/>
  <c r="Y63" i="1"/>
  <c r="BP54" i="1"/>
  <c r="BN54" i="1"/>
  <c r="Z54" i="1"/>
  <c r="BP58" i="1"/>
  <c r="BN58" i="1"/>
  <c r="Z58" i="1"/>
  <c r="Y62" i="1"/>
  <c r="BP66" i="1"/>
  <c r="BN66" i="1"/>
  <c r="Z66" i="1"/>
  <c r="Z69" i="1" s="1"/>
  <c r="Y74" i="1"/>
  <c r="BP78" i="1"/>
  <c r="BN78" i="1"/>
  <c r="Z78" i="1"/>
  <c r="Z80" i="1" s="1"/>
  <c r="BP87" i="1"/>
  <c r="BN87" i="1"/>
  <c r="Z87" i="1"/>
  <c r="BP95" i="1"/>
  <c r="BN95" i="1"/>
  <c r="Z95" i="1"/>
  <c r="BP104" i="1"/>
  <c r="BN104" i="1"/>
  <c r="Z104" i="1"/>
  <c r="Y108" i="1"/>
  <c r="BP112" i="1"/>
  <c r="BN112" i="1"/>
  <c r="Z112" i="1"/>
  <c r="Z116" i="1" s="1"/>
  <c r="Y116" i="1"/>
  <c r="BP120" i="1"/>
  <c r="BN120" i="1"/>
  <c r="Z120" i="1"/>
  <c r="Z123" i="1" s="1"/>
  <c r="Y133" i="1"/>
  <c r="BP137" i="1"/>
  <c r="BN137" i="1"/>
  <c r="Z137" i="1"/>
  <c r="Z138" i="1" s="1"/>
  <c r="Y139" i="1"/>
  <c r="Y144" i="1"/>
  <c r="BP141" i="1"/>
  <c r="BN141" i="1"/>
  <c r="Z141" i="1"/>
  <c r="Z143" i="1" s="1"/>
  <c r="I556" i="1"/>
  <c r="BP150" i="1"/>
  <c r="BN150" i="1"/>
  <c r="Z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8" i="1"/>
  <c r="BP259" i="1"/>
  <c r="BN259" i="1"/>
  <c r="Z259" i="1"/>
  <c r="Z267" i="1" s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BP347" i="1"/>
  <c r="BN347" i="1"/>
  <c r="Z347" i="1"/>
  <c r="Z349" i="1" s="1"/>
  <c r="Y349" i="1"/>
  <c r="BP376" i="1"/>
  <c r="BN376" i="1"/>
  <c r="Z376" i="1"/>
  <c r="Y378" i="1"/>
  <c r="Y383" i="1"/>
  <c r="BP380" i="1"/>
  <c r="BN380" i="1"/>
  <c r="Z380" i="1"/>
  <c r="Y384" i="1"/>
  <c r="BP388" i="1"/>
  <c r="BN388" i="1"/>
  <c r="Z388" i="1"/>
  <c r="BP414" i="1"/>
  <c r="BN414" i="1"/>
  <c r="Z414" i="1"/>
  <c r="Y416" i="1"/>
  <c r="W556" i="1"/>
  <c r="Y429" i="1"/>
  <c r="BP420" i="1"/>
  <c r="BN420" i="1"/>
  <c r="Z420" i="1"/>
  <c r="BP424" i="1"/>
  <c r="BN424" i="1"/>
  <c r="Z424" i="1"/>
  <c r="Y428" i="1"/>
  <c r="BP432" i="1"/>
  <c r="BN432" i="1"/>
  <c r="Z432" i="1"/>
  <c r="Z434" i="1" s="1"/>
  <c r="Y434" i="1"/>
  <c r="BP467" i="1"/>
  <c r="BN467" i="1"/>
  <c r="Z467" i="1"/>
  <c r="Z472" i="1" s="1"/>
  <c r="BP471" i="1"/>
  <c r="BN471" i="1"/>
  <c r="Z471" i="1"/>
  <c r="BP485" i="1"/>
  <c r="BN485" i="1"/>
  <c r="Z485" i="1"/>
  <c r="Z487" i="1" s="1"/>
  <c r="Y487" i="1"/>
  <c r="Z556" i="1"/>
  <c r="E556" i="1"/>
  <c r="V556" i="1"/>
  <c r="C556" i="1"/>
  <c r="Y42" i="1"/>
  <c r="D556" i="1"/>
  <c r="Y50" i="1"/>
  <c r="F556" i="1"/>
  <c r="Y90" i="1"/>
  <c r="G556" i="1"/>
  <c r="Y109" i="1"/>
  <c r="Y151" i="1"/>
  <c r="O556" i="1"/>
  <c r="Y299" i="1"/>
  <c r="Y312" i="1"/>
  <c r="Y311" i="1"/>
  <c r="P556" i="1"/>
  <c r="BP318" i="1"/>
  <c r="BN318" i="1"/>
  <c r="Z318" i="1"/>
  <c r="BP327" i="1"/>
  <c r="BN327" i="1"/>
  <c r="Z327" i="1"/>
  <c r="Y337" i="1"/>
  <c r="BP332" i="1"/>
  <c r="BN332" i="1"/>
  <c r="Z332" i="1"/>
  <c r="Z336" i="1" s="1"/>
  <c r="Y336" i="1"/>
  <c r="Z342" i="1"/>
  <c r="BP340" i="1"/>
  <c r="BN340" i="1"/>
  <c r="Z340" i="1"/>
  <c r="BP354" i="1"/>
  <c r="BN354" i="1"/>
  <c r="Z354" i="1"/>
  <c r="BP358" i="1"/>
  <c r="BN358" i="1"/>
  <c r="Z358" i="1"/>
  <c r="Y371" i="1"/>
  <c r="BP366" i="1"/>
  <c r="BN366" i="1"/>
  <c r="Z366" i="1"/>
  <c r="BP374" i="1"/>
  <c r="BN374" i="1"/>
  <c r="Z374" i="1"/>
  <c r="Z377" i="1" s="1"/>
  <c r="BP382" i="1"/>
  <c r="BN382" i="1"/>
  <c r="Z382" i="1"/>
  <c r="Y391" i="1"/>
  <c r="BP386" i="1"/>
  <c r="BN386" i="1"/>
  <c r="Z386" i="1"/>
  <c r="Y390" i="1"/>
  <c r="BP394" i="1"/>
  <c r="BN394" i="1"/>
  <c r="Z394" i="1"/>
  <c r="Z396" i="1" s="1"/>
  <c r="Y403" i="1"/>
  <c r="BP407" i="1"/>
  <c r="BN407" i="1"/>
  <c r="Z407" i="1"/>
  <c r="Z408" i="1" s="1"/>
  <c r="Y409" i="1"/>
  <c r="Y415" i="1"/>
  <c r="BP412" i="1"/>
  <c r="BN412" i="1"/>
  <c r="Z412" i="1"/>
  <c r="BP422" i="1"/>
  <c r="BN422" i="1"/>
  <c r="Z422" i="1"/>
  <c r="BP426" i="1"/>
  <c r="BN426" i="1"/>
  <c r="Z426" i="1"/>
  <c r="Y435" i="1"/>
  <c r="BP438" i="1"/>
  <c r="BN438" i="1"/>
  <c r="Z438" i="1"/>
  <c r="Z440" i="1" s="1"/>
  <c r="Y445" i="1"/>
  <c r="BP459" i="1"/>
  <c r="BN459" i="1"/>
  <c r="Z459" i="1"/>
  <c r="Z461" i="1" s="1"/>
  <c r="BP469" i="1"/>
  <c r="BN469" i="1"/>
  <c r="Z469" i="1"/>
  <c r="BP495" i="1"/>
  <c r="BN495" i="1"/>
  <c r="Z495" i="1"/>
  <c r="BP499" i="1"/>
  <c r="BN499" i="1"/>
  <c r="Z499" i="1"/>
  <c r="Y501" i="1"/>
  <c r="Y506" i="1"/>
  <c r="BP503" i="1"/>
  <c r="BN503" i="1"/>
  <c r="Z503" i="1"/>
  <c r="Y507" i="1"/>
  <c r="BP511" i="1"/>
  <c r="BN511" i="1"/>
  <c r="Z511" i="1"/>
  <c r="BP515" i="1"/>
  <c r="BN515" i="1"/>
  <c r="Z515" i="1"/>
  <c r="Y517" i="1"/>
  <c r="Y522" i="1"/>
  <c r="BP521" i="1"/>
  <c r="BN521" i="1"/>
  <c r="Z521" i="1"/>
  <c r="Z522" i="1" s="1"/>
  <c r="AB556" i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Y539" i="1"/>
  <c r="R556" i="1"/>
  <c r="Y321" i="1"/>
  <c r="S556" i="1"/>
  <c r="Y350" i="1"/>
  <c r="Y361" i="1"/>
  <c r="U556" i="1"/>
  <c r="Y408" i="1"/>
  <c r="Y556" i="1"/>
  <c r="Y473" i="1"/>
  <c r="Y472" i="1"/>
  <c r="Y488" i="1"/>
  <c r="BP493" i="1"/>
  <c r="BN493" i="1"/>
  <c r="Z493" i="1"/>
  <c r="Z500" i="1" s="1"/>
  <c r="BP497" i="1"/>
  <c r="BN497" i="1"/>
  <c r="Z497" i="1"/>
  <c r="BP505" i="1"/>
  <c r="BN505" i="1"/>
  <c r="Z505" i="1"/>
  <c r="Y516" i="1"/>
  <c r="BP509" i="1"/>
  <c r="BN509" i="1"/>
  <c r="Z509" i="1"/>
  <c r="Z516" i="1" s="1"/>
  <c r="BP513" i="1"/>
  <c r="BN513" i="1"/>
  <c r="Z513" i="1"/>
  <c r="Y500" i="1"/>
  <c r="Y545" i="1"/>
  <c r="Z31" i="1" l="1"/>
  <c r="Z41" i="1"/>
  <c r="Y548" i="1"/>
  <c r="Z415" i="1"/>
  <c r="Z390" i="1"/>
  <c r="Z370" i="1"/>
  <c r="Z360" i="1"/>
  <c r="Z298" i="1"/>
  <c r="Y547" i="1"/>
  <c r="Y549" i="1" s="1"/>
  <c r="Z321" i="1"/>
  <c r="Z287" i="1"/>
  <c r="Z251" i="1"/>
  <c r="Z108" i="1"/>
  <c r="Z90" i="1"/>
  <c r="Y550" i="1"/>
  <c r="Z428" i="1"/>
  <c r="Z282" i="1"/>
  <c r="Z235" i="1"/>
  <c r="Z227" i="1"/>
  <c r="Z181" i="1"/>
  <c r="Y546" i="1"/>
  <c r="Z206" i="1"/>
  <c r="Z506" i="1"/>
  <c r="Z383" i="1"/>
  <c r="Z62" i="1"/>
  <c r="X549" i="1"/>
  <c r="Z328" i="1"/>
  <c r="Z97" i="1"/>
  <c r="Z551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<sst xmlns="http://schemas.openxmlformats.org/spreadsheetml/2006/main" count="2462" uniqueCount="893">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</sst>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1698</v>
      </c>
      <c r="Y46" s="618">
        <f>IFERROR(IF(X46="",0,CEILING((X46/$H46),1)*$H46),"")</f>
        <v>1706.4</v>
      </c>
      <c r="Z46" s="36">
        <f>IFERROR(IF(Y46=0,"",ROUNDUP(Y46/H46,0)*0.01898),"")</f>
        <v>2.99884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1762.4611111111112</v>
      </c>
      <c r="BN46" s="64">
        <f>IFERROR(Y46*I46/H46,"0")</f>
        <v>1771.18</v>
      </c>
      <c r="BO46" s="64">
        <f>IFERROR(1/J46*(X46/H46),"0")</f>
        <v>2.4565972222222219</v>
      </c>
      <c r="BP46" s="64">
        <f>IFERROR(1/J46*(Y46/H46),"0")</f>
        <v>2.46875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157.2222222222222</v>
      </c>
      <c r="Y50" s="619">
        <f>IFERROR(Y46/H46,"0")+IFERROR(Y47/H47,"0")+IFERROR(Y48/H48,"0")+IFERROR(Y49/H49,"0")</f>
        <v>158</v>
      </c>
      <c r="Z50" s="619">
        <f>IFERROR(IF(Z46="",0,Z46),"0")+IFERROR(IF(Z47="",0,Z47),"0")+IFERROR(IF(Z48="",0,Z48),"0")+IFERROR(IF(Z49="",0,Z49),"0")</f>
        <v>2.99884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1698</v>
      </c>
      <c r="Y51" s="619">
        <f>IFERROR(SUM(Y46:Y49),"0")</f>
        <v>1706.4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36</v>
      </c>
      <c r="Y54" s="618">
        <f t="shared" ref="Y54:Y61" si="0">IFERROR(IF(X54="",0,CEILING((X54/$H54),1)*$H54),"")</f>
        <v>44.8</v>
      </c>
      <c r="Z54" s="36">
        <f>IFERROR(IF(Y54=0,"",ROUNDUP(Y54/H54,0)*0.01898),"")</f>
        <v>7.5920000000000001E-2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37.317857142857143</v>
      </c>
      <c r="BN54" s="64">
        <f t="shared" ref="BN54:BN61" si="2">IFERROR(Y54*I54/H54,"0")</f>
        <v>46.44</v>
      </c>
      <c r="BO54" s="64">
        <f t="shared" ref="BO54:BO61" si="3">IFERROR(1/J54*(X54/H54),"0")</f>
        <v>5.0223214285714288E-2</v>
      </c>
      <c r="BP54" s="64">
        <f t="shared" ref="BP54:BP61" si="4">IFERROR(1/J54*(Y54/H54),"0")</f>
        <v>6.25E-2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121</v>
      </c>
      <c r="Y55" s="618">
        <f t="shared" si="0"/>
        <v>129.60000000000002</v>
      </c>
      <c r="Z55" s="36">
        <f>IFERROR(IF(Y55=0,"",ROUNDUP(Y55/H55,0)*0.01898),"")</f>
        <v>0.22776000000000002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125.59351851851852</v>
      </c>
      <c r="BN55" s="64">
        <f t="shared" si="2"/>
        <v>134.52000000000001</v>
      </c>
      <c r="BO55" s="64">
        <f t="shared" si="3"/>
        <v>0.17505787037037035</v>
      </c>
      <c r="BP55" s="64">
        <f t="shared" si="4"/>
        <v>0.18750000000000003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4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43</v>
      </c>
      <c r="Y61" s="618">
        <f t="shared" si="0"/>
        <v>45</v>
      </c>
      <c r="Z61" s="36">
        <f>IFERROR(IF(Y61=0,"",ROUNDUP(Y61/H61,0)*0.00902),"")</f>
        <v>9.0200000000000002E-2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44.815555555555562</v>
      </c>
      <c r="BN61" s="64">
        <f t="shared" si="2"/>
        <v>46.900000000000006</v>
      </c>
      <c r="BO61" s="64">
        <f t="shared" si="3"/>
        <v>7.2390572390572394E-2</v>
      </c>
      <c r="BP61" s="64">
        <f t="shared" si="4"/>
        <v>7.575757575757576E-2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24.973544973544975</v>
      </c>
      <c r="Y62" s="619">
        <f>IFERROR(Y54/H54,"0")+IFERROR(Y55/H55,"0")+IFERROR(Y56/H56,"0")+IFERROR(Y57/H57,"0")+IFERROR(Y58/H58,"0")+IFERROR(Y59/H59,"0")+IFERROR(Y60/H60,"0")+IFERROR(Y61/H61,"0")</f>
        <v>27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0.40289999999999998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204</v>
      </c>
      <c r="Y63" s="619">
        <f>IFERROR(SUM(Y54:Y61),"0")</f>
        <v>223.40000000000003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53</v>
      </c>
      <c r="Y77" s="618">
        <f>IFERROR(IF(X77="",0,CEILING((X77/$H77),1)*$H77),"")</f>
        <v>54.6</v>
      </c>
      <c r="Z77" s="36">
        <f>IFERROR(IF(Y77=0,"",ROUNDUP(Y77/H77,0)*0.01898),"")</f>
        <v>0.13286000000000001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55.785897435897446</v>
      </c>
      <c r="BN77" s="64">
        <f>IFERROR(Y77*I77/H77,"0")</f>
        <v>57.470000000000013</v>
      </c>
      <c r="BO77" s="64">
        <f>IFERROR(1/J77*(X77/H77),"0")</f>
        <v>0.10616987179487179</v>
      </c>
      <c r="BP77" s="64">
        <f>IFERROR(1/J77*(Y77/H77),"0")</f>
        <v>0.109375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6.7948717948717947</v>
      </c>
      <c r="Y80" s="619">
        <f>IFERROR(Y77/H77,"0")+IFERROR(Y78/H78,"0")+IFERROR(Y79/H79,"0")</f>
        <v>7</v>
      </c>
      <c r="Z80" s="619">
        <f>IFERROR(IF(Z77="",0,Z77),"0")+IFERROR(IF(Z78="",0,Z78),"0")+IFERROR(IF(Z79="",0,Z79),"0")</f>
        <v>0.13286000000000001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53</v>
      </c>
      <c r="Y81" s="619">
        <f>IFERROR(SUM(Y77:Y79),"0")</f>
        <v>54.6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340</v>
      </c>
      <c r="Y93" s="618">
        <f>IFERROR(IF(X93="",0,CEILING((X93/$H93),1)*$H93),"")</f>
        <v>340.2</v>
      </c>
      <c r="Z93" s="36">
        <f>IFERROR(IF(Y93=0,"",ROUNDUP(Y93/H93,0)*0.01898),"")</f>
        <v>0.79715999999999998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360.73580246913576</v>
      </c>
      <c r="BN93" s="64">
        <f>IFERROR(Y93*I93/H93,"0")</f>
        <v>360.94799999999998</v>
      </c>
      <c r="BO93" s="64">
        <f>IFERROR(1/J93*(X93/H93),"0")</f>
        <v>0.65586419753086422</v>
      </c>
      <c r="BP93" s="64">
        <f>IFERROR(1/J93*(Y93/H93),"0")</f>
        <v>0.65625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41.97530864197531</v>
      </c>
      <c r="Y97" s="619">
        <f>IFERROR(Y93/H93,"0")+IFERROR(Y94/H94,"0")+IFERROR(Y95/H95,"0")+IFERROR(Y96/H96,"0")</f>
        <v>42</v>
      </c>
      <c r="Z97" s="619">
        <f>IFERROR(IF(Z93="",0,Z93),"0")+IFERROR(IF(Z94="",0,Z94),"0")+IFERROR(IF(Z95="",0,Z95),"0")+IFERROR(IF(Z96="",0,Z96),"0")</f>
        <v>0.79715999999999998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340</v>
      </c>
      <c r="Y98" s="619">
        <f>IFERROR(SUM(Y93:Y96),"0")</f>
        <v>340.2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194</v>
      </c>
      <c r="Y101" s="618">
        <f t="shared" ref="Y101:Y107" si="10">IFERROR(IF(X101="",0,CEILING((X101/$H101),1)*$H101),"")</f>
        <v>194.4</v>
      </c>
      <c r="Z101" s="36">
        <f>IFERROR(IF(Y101=0,"",ROUNDUP(Y101/H101,0)*0.01898),"")</f>
        <v>0.34164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201.36481481481482</v>
      </c>
      <c r="BN101" s="64">
        <f t="shared" ref="BN101:BN107" si="12">IFERROR(Y101*I101/H101,"0")</f>
        <v>201.78</v>
      </c>
      <c r="BO101" s="64">
        <f t="shared" ref="BO101:BO107" si="13">IFERROR(1/J101*(X101/H101),"0")</f>
        <v>0.28067129629629628</v>
      </c>
      <c r="BP101" s="64">
        <f t="shared" ref="BP101:BP107" si="14">IFERROR(1/J101*(Y101/H101),"0")</f>
        <v>0.28125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149</v>
      </c>
      <c r="Y105" s="618">
        <f t="shared" si="10"/>
        <v>153</v>
      </c>
      <c r="Z105" s="36">
        <f>IFERROR(IF(Y105=0,"",ROUNDUP(Y105/H105,0)*0.00902),"")</f>
        <v>0.30668000000000001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155.29111111111112</v>
      </c>
      <c r="BN105" s="64">
        <f t="shared" si="12"/>
        <v>159.46</v>
      </c>
      <c r="BO105" s="64">
        <f t="shared" si="13"/>
        <v>0.25084175084175087</v>
      </c>
      <c r="BP105" s="64">
        <f t="shared" si="14"/>
        <v>0.25757575757575757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51.074074074074076</v>
      </c>
      <c r="Y108" s="619">
        <f>IFERROR(Y101/H101,"0")+IFERROR(Y102/H102,"0")+IFERROR(Y103/H103,"0")+IFERROR(Y104/H104,"0")+IFERROR(Y105/H105,"0")+IFERROR(Y106/H106,"0")+IFERROR(Y107/H107,"0")</f>
        <v>52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0.64832000000000001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343</v>
      </c>
      <c r="Y109" s="619">
        <f>IFERROR(SUM(Y101:Y107),"0")</f>
        <v>347.4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509</v>
      </c>
      <c r="Y119" s="618">
        <f>IFERROR(IF(X119="",0,CEILING((X119/$H119),1)*$H119),"")</f>
        <v>510.29999999999995</v>
      </c>
      <c r="Z119" s="36">
        <f>IFERROR(IF(Y119=0,"",ROUNDUP(Y119/H119,0)*0.01898),"")</f>
        <v>1.19574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539.66567901234566</v>
      </c>
      <c r="BN119" s="64">
        <f>IFERROR(Y119*I119/H119,"0")</f>
        <v>541.04399999999987</v>
      </c>
      <c r="BO119" s="64">
        <f>IFERROR(1/J119*(X119/H119),"0")</f>
        <v>0.98186728395061729</v>
      </c>
      <c r="BP119" s="64">
        <f>IFERROR(1/J119*(Y119/H119),"0")</f>
        <v>0.984375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62.839506172839506</v>
      </c>
      <c r="Y123" s="619">
        <f>IFERROR(Y119/H119,"0")+IFERROR(Y120/H120,"0")+IFERROR(Y121/H121,"0")+IFERROR(Y122/H122,"0")</f>
        <v>63</v>
      </c>
      <c r="Z123" s="619">
        <f>IFERROR(IF(Z119="",0,Z119),"0")+IFERROR(IF(Z120="",0,Z120),"0")+IFERROR(IF(Z121="",0,Z121),"0")+IFERROR(IF(Z122="",0,Z122),"0")</f>
        <v>1.19574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509</v>
      </c>
      <c r="Y124" s="619">
        <f>IFERROR(SUM(Y119:Y122),"0")</f>
        <v>510.29999999999995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47</v>
      </c>
      <c r="Y126" s="618">
        <f>IFERROR(IF(X126="",0,CEILING((X126/$H126),1)*$H126),"")</f>
        <v>47.519999999999996</v>
      </c>
      <c r="Z126" s="36">
        <f>IFERROR(IF(Y126=0,"",ROUNDUP(Y126/H126,0)*0.00651),"")</f>
        <v>0.15623999999999999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53.124242424242418</v>
      </c>
      <c r="BN126" s="64">
        <f>IFERROR(Y126*I126/H126,"0")</f>
        <v>53.711999999999996</v>
      </c>
      <c r="BO126" s="64">
        <f>IFERROR(1/J126*(X126/H126),"0")</f>
        <v>0.13042513042513043</v>
      </c>
      <c r="BP126" s="64">
        <f>IFERROR(1/J126*(Y126/H126),"0")</f>
        <v>0.13186813186813187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23.737373737373737</v>
      </c>
      <c r="Y127" s="619">
        <f>IFERROR(Y126/H126,"0")</f>
        <v>23.999999999999996</v>
      </c>
      <c r="Z127" s="619">
        <f>IFERROR(IF(Z126="",0,Z126),"0")</f>
        <v>0.15623999999999999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47</v>
      </c>
      <c r="Y128" s="619">
        <f>IFERROR(SUM(Y126:Y126),"0")</f>
        <v>47.519999999999996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9</v>
      </c>
      <c r="Y131" s="618">
        <f>IFERROR(IF(X131="",0,CEILING((X131/$H131),1)*$H131),"")</f>
        <v>9.6000000000000014</v>
      </c>
      <c r="Z131" s="36">
        <f>IFERROR(IF(Y131=0,"",ROUNDUP(Y131/H131,0)*0.00651),"")</f>
        <v>1.9529999999999999E-2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9.5062499999999996</v>
      </c>
      <c r="BN131" s="64">
        <f>IFERROR(Y131*I131/H131,"0")</f>
        <v>10.139999999999999</v>
      </c>
      <c r="BO131" s="64">
        <f>IFERROR(1/J131*(X131/H131),"0")</f>
        <v>1.5453296703296704E-2</v>
      </c>
      <c r="BP131" s="64">
        <f>IFERROR(1/J131*(Y131/H131),"0")</f>
        <v>1.6483516483516487E-2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2.8125</v>
      </c>
      <c r="Y133" s="619">
        <f>IFERROR(Y131/H131,"0")+IFERROR(Y132/H132,"0")</f>
        <v>3.0000000000000004</v>
      </c>
      <c r="Z133" s="619">
        <f>IFERROR(IF(Z131="",0,Z131),"0")+IFERROR(IF(Z132="",0,Z132),"0")</f>
        <v>1.9529999999999999E-2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9</v>
      </c>
      <c r="Y134" s="619">
        <f>IFERROR(SUM(Y131:Y132),"0")</f>
        <v>9.6000000000000014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20</v>
      </c>
      <c r="Y171" s="618">
        <f t="shared" ref="Y171:Y180" si="15">IFERROR(IF(X171="",0,CEILING((X171/$H171),1)*$H171),"")</f>
        <v>21</v>
      </c>
      <c r="Z171" s="36">
        <f>IFERROR(IF(Y171=0,"",ROUNDUP(Y171/H171,0)*0.00902),"")</f>
        <v>5.4120000000000001E-2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21.085714285714285</v>
      </c>
      <c r="BN171" s="64">
        <f t="shared" ref="BN171:BN180" si="17">IFERROR(Y171*I171/H171,"0")</f>
        <v>22.139999999999997</v>
      </c>
      <c r="BO171" s="64">
        <f t="shared" ref="BO171:BO180" si="18">IFERROR(1/J171*(X171/H171),"0")</f>
        <v>4.3290043290043295E-2</v>
      </c>
      <c r="BP171" s="64">
        <f t="shared" ref="BP171:BP180" si="19">IFERROR(1/J171*(Y171/H171),"0")</f>
        <v>4.5454545454545456E-2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14</v>
      </c>
      <c r="Y176" s="618">
        <f t="shared" si="15"/>
        <v>15.12</v>
      </c>
      <c r="Z176" s="36">
        <f>IFERROR(IF(Y176=0,"",ROUNDUP(Y176/H176,0)*0.00502),"")</f>
        <v>4.5179999999999998E-2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14.833333333333336</v>
      </c>
      <c r="BN176" s="64">
        <f t="shared" si="17"/>
        <v>16.02</v>
      </c>
      <c r="BO176" s="64">
        <f t="shared" si="18"/>
        <v>3.561253561253562E-2</v>
      </c>
      <c r="BP176" s="64">
        <f t="shared" si="19"/>
        <v>3.8461538461538464E-2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14</v>
      </c>
      <c r="Y180" s="618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22.38095238095238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24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0.14448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48</v>
      </c>
      <c r="Y182" s="619">
        <f>IFERROR(SUM(Y171:Y180),"0")</f>
        <v>51.239999999999995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4</v>
      </c>
      <c r="Y217" s="618">
        <f t="shared" si="26"/>
        <v>4</v>
      </c>
      <c r="Z217" s="36">
        <f>IFERROR(IF(Y217=0,"",ROUNDUP(Y217/H217,0)*0.00556),"")</f>
        <v>2.7799999999999998E-2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4.6500000000000004</v>
      </c>
      <c r="BN217" s="64">
        <f t="shared" si="28"/>
        <v>4.6500000000000004</v>
      </c>
      <c r="BO217" s="64">
        <f t="shared" si="29"/>
        <v>1.984126984126984E-2</v>
      </c>
      <c r="BP217" s="64">
        <f t="shared" si="30"/>
        <v>1.984126984126984E-2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14</v>
      </c>
      <c r="Y218" s="618">
        <f t="shared" si="26"/>
        <v>14.700000000000001</v>
      </c>
      <c r="Z218" s="36">
        <f>IFERROR(IF(Y218=0,"",ROUNDUP(Y218/H218,0)*0.00502),"")</f>
        <v>3.5140000000000005E-2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14.866666666666665</v>
      </c>
      <c r="BN218" s="64">
        <f t="shared" si="28"/>
        <v>15.61</v>
      </c>
      <c r="BO218" s="64">
        <f t="shared" si="29"/>
        <v>2.8490028490028491E-2</v>
      </c>
      <c r="BP218" s="64">
        <f t="shared" si="30"/>
        <v>2.9914529914529919E-2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3</v>
      </c>
      <c r="Y222" s="618">
        <f t="shared" si="26"/>
        <v>3.6</v>
      </c>
      <c r="Z222" s="36">
        <f>IFERROR(IF(Y222=0,"",ROUNDUP(Y222/H222,0)*0.00502),"")</f>
        <v>1.004E-2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3.2166666666666668</v>
      </c>
      <c r="BN222" s="64">
        <f t="shared" si="28"/>
        <v>3.8599999999999994</v>
      </c>
      <c r="BO222" s="64">
        <f t="shared" si="29"/>
        <v>7.1225071225071226E-3</v>
      </c>
      <c r="BP222" s="64">
        <f t="shared" si="30"/>
        <v>8.5470085470085479E-3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13.333333333333332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7.2979999999999989E-2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21</v>
      </c>
      <c r="Y228" s="619">
        <f>IFERROR(SUM(Y214:Y226),"0")</f>
        <v>22.300000000000004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4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3.1746031746031744</v>
      </c>
      <c r="Y241" s="619">
        <f>IFERROR(Y238/H238,"0")+IFERROR(Y239/H239,"0")+IFERROR(Y240/H240,"0")</f>
        <v>4</v>
      </c>
      <c r="Z241" s="619">
        <f>IFERROR(IF(Z238="",0,Z238),"0")+IFERROR(IF(Z239="",0,Z239),"0")+IFERROR(IF(Z240="",0,Z240),"0")</f>
        <v>2.3599999999999999E-2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4</v>
      </c>
      <c r="Y242" s="619">
        <f>IFERROR(SUM(Y238:Y240),"0")</f>
        <v>5.04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30</v>
      </c>
      <c r="Y259" s="618">
        <f t="shared" ref="Y259:Y266" si="31">IFERROR(IF(X259="",0,CEILING((X259/$H259),1)*$H259),"")</f>
        <v>32.400000000000006</v>
      </c>
      <c r="Z259" s="36">
        <f>IFERROR(IF(Y259=0,"",ROUNDUP(Y259/H259,0)*0.00902),"")</f>
        <v>5.4120000000000001E-2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31.05555555555555</v>
      </c>
      <c r="BN259" s="64">
        <f t="shared" ref="BN259:BN266" si="33">IFERROR(Y259*I259/H259,"0")</f>
        <v>33.54</v>
      </c>
      <c r="BO259" s="64">
        <f t="shared" ref="BO259:BO266" si="34">IFERROR(1/J259*(X259/H259),"0")</f>
        <v>4.208754208754209E-2</v>
      </c>
      <c r="BP259" s="64">
        <f t="shared" ref="BP259:BP266" si="35">IFERROR(1/J259*(Y259/H259),"0")</f>
        <v>4.5454545454545463E-2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121</v>
      </c>
      <c r="Y261" s="618">
        <f t="shared" si="31"/>
        <v>124.2</v>
      </c>
      <c r="Z261" s="36">
        <f>IFERROR(IF(Y261=0,"",ROUNDUP(Y261/H261,0)*0.00902),"")</f>
        <v>0.20746000000000001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125.2574074074074</v>
      </c>
      <c r="BN261" s="64">
        <f t="shared" si="33"/>
        <v>128.57</v>
      </c>
      <c r="BO261" s="64">
        <f t="shared" si="34"/>
        <v>0.16975308641975306</v>
      </c>
      <c r="BP261" s="64">
        <f t="shared" si="35"/>
        <v>0.17424242424242425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9</v>
      </c>
      <c r="Y263" s="618">
        <f t="shared" si="31"/>
        <v>9</v>
      </c>
      <c r="Z263" s="36">
        <f>IFERROR(IF(Y263=0,"",ROUNDUP(Y263/H263,0)*0.00502),"")</f>
        <v>2.5100000000000001E-2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9.65</v>
      </c>
      <c r="BN263" s="64">
        <f t="shared" si="33"/>
        <v>9.65</v>
      </c>
      <c r="BO263" s="64">
        <f t="shared" si="34"/>
        <v>2.1367521367521368E-2</v>
      </c>
      <c r="BP263" s="64">
        <f t="shared" si="35"/>
        <v>2.1367521367521368E-2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3</v>
      </c>
      <c r="Y264" s="618">
        <f t="shared" si="31"/>
        <v>3.6</v>
      </c>
      <c r="Z264" s="36">
        <f>IFERROR(IF(Y264=0,"",ROUNDUP(Y264/H264,0)*0.00502),"")</f>
        <v>1.004E-2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3.1666666666666661</v>
      </c>
      <c r="BN264" s="64">
        <f t="shared" si="33"/>
        <v>3.8</v>
      </c>
      <c r="BO264" s="64">
        <f t="shared" si="34"/>
        <v>7.1225071225071226E-3</v>
      </c>
      <c r="BP264" s="64">
        <f t="shared" si="35"/>
        <v>8.5470085470085479E-3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15</v>
      </c>
      <c r="Y266" s="618">
        <f t="shared" si="31"/>
        <v>16.2</v>
      </c>
      <c r="Z266" s="36">
        <f>IFERROR(IF(Y266=0,"",ROUNDUP(Y266/H266,0)*0.00502),"")</f>
        <v>4.5179999999999998E-2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15.833333333333332</v>
      </c>
      <c r="BN266" s="64">
        <f t="shared" si="33"/>
        <v>17.099999999999998</v>
      </c>
      <c r="BO266" s="64">
        <f t="shared" si="34"/>
        <v>3.561253561253562E-2</v>
      </c>
      <c r="BP266" s="64">
        <f t="shared" si="35"/>
        <v>3.8461538461538464E-2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42.962962962962962</v>
      </c>
      <c r="Y267" s="619">
        <f>IFERROR(Y259/H259,"0")+IFERROR(Y260/H260,"0")+IFERROR(Y261/H261,"0")+IFERROR(Y262/H262,"0")+IFERROR(Y263/H263,"0")+IFERROR(Y264/H264,"0")+IFERROR(Y265/H265,"0")+IFERROR(Y266/H266,"0")</f>
        <v>45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0.34190000000000004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178</v>
      </c>
      <c r="Y268" s="619">
        <f>IFERROR(SUM(Y259:Y266),"0")</f>
        <v>185.4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97</v>
      </c>
      <c r="Y271" s="618">
        <f t="shared" si="36"/>
        <v>97.199999999999989</v>
      </c>
      <c r="Z271" s="36">
        <f>IFERROR(IF(Y271=0,"",ROUNDUP(Y271/H271,0)*0.01898),"")</f>
        <v>0.22776000000000002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102.70024691358026</v>
      </c>
      <c r="BN271" s="64">
        <f t="shared" si="38"/>
        <v>102.91199999999999</v>
      </c>
      <c r="BO271" s="64">
        <f t="shared" si="39"/>
        <v>0.1871141975308642</v>
      </c>
      <c r="BP271" s="64">
        <f t="shared" si="40"/>
        <v>0.1875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78</v>
      </c>
      <c r="Y273" s="618">
        <f t="shared" si="36"/>
        <v>79.2</v>
      </c>
      <c r="Z273" s="36">
        <f>IFERROR(IF(Y273=0,"",ROUNDUP(Y273/H273,0)*0.00651),"")</f>
        <v>0.21482999999999999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86.775000000000006</v>
      </c>
      <c r="BN273" s="64">
        <f t="shared" si="38"/>
        <v>88.11</v>
      </c>
      <c r="BO273" s="64">
        <f t="shared" si="39"/>
        <v>0.17857142857142858</v>
      </c>
      <c r="BP273" s="64">
        <f t="shared" si="40"/>
        <v>0.18131868131868134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457</v>
      </c>
      <c r="Y276" s="618">
        <f t="shared" si="36"/>
        <v>458.4</v>
      </c>
      <c r="Z276" s="36">
        <f>IFERROR(IF(Y276=0,"",ROUNDUP(Y276/H276,0)*0.00651),"")</f>
        <v>1.2434100000000001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504.98500000000007</v>
      </c>
      <c r="BN276" s="64">
        <f t="shared" si="38"/>
        <v>506.53199999999998</v>
      </c>
      <c r="BO276" s="64">
        <f t="shared" si="39"/>
        <v>1.0462454212454215</v>
      </c>
      <c r="BP276" s="64">
        <f t="shared" si="40"/>
        <v>1.0494505494505495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176</v>
      </c>
      <c r="Y278" s="618">
        <f t="shared" si="36"/>
        <v>177.6</v>
      </c>
      <c r="Z278" s="36">
        <f>IFERROR(IF(Y278=0,"",ROUNDUP(Y278/H278,0)*0.00651),"")</f>
        <v>0.48174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194.48000000000002</v>
      </c>
      <c r="BN278" s="64">
        <f t="shared" si="38"/>
        <v>196.24800000000002</v>
      </c>
      <c r="BO278" s="64">
        <f t="shared" si="39"/>
        <v>0.402930402930403</v>
      </c>
      <c r="BP278" s="64">
        <f t="shared" si="40"/>
        <v>0.40659340659340665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87</v>
      </c>
      <c r="Y280" s="618">
        <f t="shared" si="36"/>
        <v>88.8</v>
      </c>
      <c r="Z280" s="36">
        <f>IFERROR(IF(Y280=0,"",ROUNDUP(Y280/H280,0)*0.00651),"")</f>
        <v>0.24087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96.352499999999992</v>
      </c>
      <c r="BN280" s="64">
        <f t="shared" si="38"/>
        <v>98.346000000000004</v>
      </c>
      <c r="BO280" s="64">
        <f t="shared" si="39"/>
        <v>0.19917582417582419</v>
      </c>
      <c r="BP280" s="64">
        <f t="shared" si="40"/>
        <v>0.20329670329670332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344.47530864197535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347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2.4086100000000004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895</v>
      </c>
      <c r="Y283" s="619">
        <f>IFERROR(SUM(Y270:Y281),"0")</f>
        <v>901.19999999999993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11</v>
      </c>
      <c r="Y285" s="618">
        <f>IFERROR(IF(X285="",0,CEILING((X285/$H285),1)*$H285),"")</f>
        <v>12</v>
      </c>
      <c r="Z285" s="36">
        <f>IFERROR(IF(Y285=0,"",ROUNDUP(Y285/H285,0)*0.00651),"")</f>
        <v>3.2550000000000003E-2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12.155000000000001</v>
      </c>
      <c r="BN285" s="64">
        <f>IFERROR(Y285*I285/H285,"0")</f>
        <v>13.260000000000002</v>
      </c>
      <c r="BO285" s="64">
        <f>IFERROR(1/J285*(X285/H285),"0")</f>
        <v>2.5183150183150187E-2</v>
      </c>
      <c r="BP285" s="64">
        <f>IFERROR(1/J285*(Y285/H285),"0")</f>
        <v>2.7472527472527476E-2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4.5833333333333339</v>
      </c>
      <c r="Y287" s="619">
        <f>IFERROR(Y285/H285,"0")+IFERROR(Y286/H286,"0")</f>
        <v>5</v>
      </c>
      <c r="Z287" s="619">
        <f>IFERROR(IF(Z285="",0,Z285),"0")+IFERROR(IF(Z286="",0,Z286),"0")</f>
        <v>3.2550000000000003E-2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11</v>
      </c>
      <c r="Y288" s="619">
        <f>IFERROR(SUM(Y285:Y286),"0")</f>
        <v>12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1</v>
      </c>
      <c r="Y305" s="618">
        <f>IFERROR(IF(X305="",0,CEILING((X305/$H305),1)*$H305),"")</f>
        <v>1.8</v>
      </c>
      <c r="Z305" s="36">
        <f>IFERROR(IF(Y305=0,"",ROUNDUP(Y305/H305,0)*0.0059),"")</f>
        <v>5.8999999999999999E-3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1.0972222222222223</v>
      </c>
      <c r="BN305" s="64">
        <f>IFERROR(Y305*I305/H305,"0")</f>
        <v>1.9750000000000001</v>
      </c>
      <c r="BO305" s="64">
        <f>IFERROR(1/J305*(X305/H305),"0")</f>
        <v>2.5720164609053498E-3</v>
      </c>
      <c r="BP305" s="64">
        <f>IFERROR(1/J305*(Y305/H305),"0")</f>
        <v>4.6296296296296294E-3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0.55555555555555558</v>
      </c>
      <c r="Y306" s="619">
        <f>IFERROR(Y305/H305,"0")</f>
        <v>1</v>
      </c>
      <c r="Z306" s="619">
        <f>IFERROR(IF(Z305="",0,Z305),"0")</f>
        <v>5.8999999999999999E-3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1</v>
      </c>
      <c r="Y307" s="619">
        <f>IFERROR(SUM(Y305:Y305),"0")</f>
        <v>1.8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20</v>
      </c>
      <c r="Y326" s="618">
        <f>IFERROR(IF(X326="",0,CEILING((X326/$H326),1)*$H326),"")</f>
        <v>21.599999999999998</v>
      </c>
      <c r="Z326" s="36">
        <f>IFERROR(IF(Y326=0,"",ROUNDUP(Y326/H326,0)*0.00651),"")</f>
        <v>5.8590000000000003E-2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22.100000000000005</v>
      </c>
      <c r="BN326" s="64">
        <f>IFERROR(Y326*I326/H326,"0")</f>
        <v>23.868000000000002</v>
      </c>
      <c r="BO326" s="64">
        <f>IFERROR(1/J326*(X326/H326),"0")</f>
        <v>4.5787545787545791E-2</v>
      </c>
      <c r="BP326" s="64">
        <f>IFERROR(1/J326*(Y326/H326),"0")</f>
        <v>4.9450549450549455E-2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8.3333333333333339</v>
      </c>
      <c r="Y328" s="619">
        <f>IFERROR(Y325/H325,"0")+IFERROR(Y326/H326,"0")+IFERROR(Y327/H327,"0")</f>
        <v>9</v>
      </c>
      <c r="Z328" s="619">
        <f>IFERROR(IF(Z325="",0,Z325),"0")+IFERROR(IF(Z326="",0,Z326),"0")+IFERROR(IF(Z327="",0,Z327),"0")</f>
        <v>5.8590000000000003E-2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20</v>
      </c>
      <c r="Y329" s="619">
        <f>IFERROR(SUM(Y325:Y327),"0")</f>
        <v>21.599999999999998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156</v>
      </c>
      <c r="Y347" s="618">
        <f>IFERROR(IF(X347="",0,CEILING((X347/$H347),1)*$H347),"")</f>
        <v>156</v>
      </c>
      <c r="Z347" s="36">
        <f>IFERROR(IF(Y347=0,"",ROUNDUP(Y347/H347,0)*0.01898),"")</f>
        <v>0.37959999999999999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164.20000000000005</v>
      </c>
      <c r="BN347" s="64">
        <f>IFERROR(Y347*I347/H347,"0")</f>
        <v>164.20000000000005</v>
      </c>
      <c r="BO347" s="64">
        <f>IFERROR(1/J347*(X347/H347),"0")</f>
        <v>0.3125</v>
      </c>
      <c r="BP347" s="64">
        <f>IFERROR(1/J347*(Y347/H347),"0")</f>
        <v>0.3125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20</v>
      </c>
      <c r="Y349" s="619">
        <f>IFERROR(Y346/H346,"0")+IFERROR(Y347/H347,"0")+IFERROR(Y348/H348,"0")</f>
        <v>20</v>
      </c>
      <c r="Z349" s="619">
        <f>IFERROR(IF(Z346="",0,Z346),"0")+IFERROR(IF(Z347="",0,Z347),"0")+IFERROR(IF(Z348="",0,Z348),"0")</f>
        <v>0.37959999999999999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156</v>
      </c>
      <c r="Y350" s="619">
        <f>IFERROR(SUM(Y346:Y348),"0")</f>
        <v>156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4</v>
      </c>
      <c r="Y356" s="618">
        <f t="shared" si="51"/>
        <v>10.8</v>
      </c>
      <c r="Z356" s="36">
        <f>IFERROR(IF(Y356=0,"",ROUNDUP(Y356/H356,0)*0.01898),"")</f>
        <v>1.898E-2</v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4.1518518518518519</v>
      </c>
      <c r="BN356" s="64">
        <f t="shared" si="53"/>
        <v>11.21</v>
      </c>
      <c r="BO356" s="64">
        <f t="shared" si="54"/>
        <v>5.7870370370370367E-3</v>
      </c>
      <c r="BP356" s="64">
        <f t="shared" si="55"/>
        <v>1.5625E-2</v>
      </c>
    </row>
    <row r="357" spans="1:68" ht="27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31</v>
      </c>
      <c r="Y357" s="618">
        <f t="shared" si="51"/>
        <v>32.400000000000006</v>
      </c>
      <c r="Z357" s="36">
        <f>IFERROR(IF(Y357=0,"",ROUNDUP(Y357/H357,0)*0.01898),"")</f>
        <v>5.6940000000000004E-2</v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32.176851851851858</v>
      </c>
      <c r="BN357" s="64">
        <f t="shared" si="53"/>
        <v>33.630000000000003</v>
      </c>
      <c r="BO357" s="64">
        <f t="shared" si="54"/>
        <v>4.4849537037037035E-2</v>
      </c>
      <c r="BP357" s="64">
        <f t="shared" si="55"/>
        <v>4.6875000000000007E-2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3.2407407407407405</v>
      </c>
      <c r="Y360" s="619">
        <f>IFERROR(Y353/H353,"0")+IFERROR(Y354/H354,"0")+IFERROR(Y355/H355,"0")+IFERROR(Y356/H356,"0")+IFERROR(Y357/H357,"0")+IFERROR(Y358/H358,"0")+IFERROR(Y359/H359,"0")</f>
        <v>4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7.5920000000000001E-2</v>
      </c>
      <c r="AA360" s="620"/>
      <c r="AB360" s="620"/>
      <c r="AC360" s="620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35</v>
      </c>
      <c r="Y361" s="619">
        <f>IFERROR(SUM(Y353:Y359),"0")</f>
        <v>43.2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243</v>
      </c>
      <c r="Y381" s="618">
        <f>IFERROR(IF(X381="",0,CEILING((X381/$H381),1)*$H381),"")</f>
        <v>249.6</v>
      </c>
      <c r="Z381" s="36">
        <f>IFERROR(IF(Y381=0,"",ROUNDUP(Y381/H381,0)*0.01898),"")</f>
        <v>0.60736000000000001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258.39</v>
      </c>
      <c r="BN381" s="64">
        <f>IFERROR(Y381*I381/H381,"0")</f>
        <v>265.40800000000002</v>
      </c>
      <c r="BO381" s="64">
        <f>IFERROR(1/J381*(X381/H381),"0")</f>
        <v>0.48677884615384615</v>
      </c>
      <c r="BP381" s="64">
        <f>IFERROR(1/J381*(Y381/H381),"0")</f>
        <v>0.5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31.153846153846153</v>
      </c>
      <c r="Y383" s="619">
        <f>IFERROR(Y380/H380,"0")+IFERROR(Y381/H381,"0")+IFERROR(Y382/H382,"0")</f>
        <v>32</v>
      </c>
      <c r="Z383" s="619">
        <f>IFERROR(IF(Z380="",0,Z380),"0")+IFERROR(IF(Z381="",0,Z381),"0")+IFERROR(IF(Z382="",0,Z382),"0")</f>
        <v>0.60736000000000001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243</v>
      </c>
      <c r="Y384" s="619">
        <f>IFERROR(SUM(Y380:Y382),"0")</f>
        <v>249.6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12</v>
      </c>
      <c r="Y388" s="618">
        <f>IFERROR(IF(X388="",0,CEILING((X388/$H388),1)*$H388),"")</f>
        <v>12.75</v>
      </c>
      <c r="Z388" s="36">
        <f>IFERROR(IF(Y388=0,"",ROUNDUP(Y388/H388,0)*0.00651),"")</f>
        <v>3.2550000000000003E-2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13.905882352941179</v>
      </c>
      <c r="BN388" s="64">
        <f>IFERROR(Y388*I388/H388,"0")</f>
        <v>14.775000000000002</v>
      </c>
      <c r="BO388" s="64">
        <f>IFERROR(1/J388*(X388/H388),"0")</f>
        <v>2.5856496444731741E-2</v>
      </c>
      <c r="BP388" s="64">
        <f>IFERROR(1/J388*(Y388/H388),"0")</f>
        <v>2.7472527472527476E-2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7</v>
      </c>
      <c r="Y389" s="618">
        <f>IFERROR(IF(X389="",0,CEILING((X389/$H389),1)*$H389),"")</f>
        <v>7.6499999999999995</v>
      </c>
      <c r="Z389" s="36">
        <f>IFERROR(IF(Y389=0,"",ROUNDUP(Y389/H389,0)*0.00651),"")</f>
        <v>1.9529999999999999E-2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7.9058823529411768</v>
      </c>
      <c r="BN389" s="64">
        <f>IFERROR(Y389*I389/H389,"0")</f>
        <v>8.6399999999999988</v>
      </c>
      <c r="BO389" s="64">
        <f>IFERROR(1/J389*(X389/H389),"0")</f>
        <v>1.508295625942685E-2</v>
      </c>
      <c r="BP389" s="64">
        <f>IFERROR(1/J389*(Y389/H389),"0")</f>
        <v>1.6483516483516484E-2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7.4509803921568629</v>
      </c>
      <c r="Y390" s="619">
        <f>IFERROR(Y386/H386,"0")+IFERROR(Y387/H387,"0")+IFERROR(Y388/H388,"0")+IFERROR(Y389/H389,"0")</f>
        <v>8</v>
      </c>
      <c r="Z390" s="619">
        <f>IFERROR(IF(Z386="",0,Z386),"0")+IFERROR(IF(Z387="",0,Z387),"0")+IFERROR(IF(Z388="",0,Z388),"0")+IFERROR(IF(Z389="",0,Z389),"0")</f>
        <v>5.2080000000000001E-2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19</v>
      </c>
      <c r="Y391" s="619">
        <f>IFERROR(SUM(Y386:Y389),"0")</f>
        <v>20.399999999999999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10</v>
      </c>
      <c r="Y395" s="618">
        <f>IFERROR(IF(X395="",0,CEILING((X395/$H395),1)*$H395),"")</f>
        <v>10</v>
      </c>
      <c r="Z395" s="36">
        <f>IFERROR(IF(Y395=0,"",ROUNDUP(Y395/H395,0)*0.00474),"")</f>
        <v>2.3700000000000002E-2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11.200000000000001</v>
      </c>
      <c r="BN395" s="64">
        <f>IFERROR(Y395*I395/H395,"0")</f>
        <v>11.200000000000001</v>
      </c>
      <c r="BO395" s="64">
        <f>IFERROR(1/J395*(X395/H395),"0")</f>
        <v>2.1008403361344536E-2</v>
      </c>
      <c r="BP395" s="64">
        <f>IFERROR(1/J395*(Y395/H395),"0")</f>
        <v>2.1008403361344536E-2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5</v>
      </c>
      <c r="Y396" s="619">
        <f>IFERROR(Y393/H393,"0")+IFERROR(Y394/H394,"0")+IFERROR(Y395/H395,"0")</f>
        <v>5</v>
      </c>
      <c r="Z396" s="619">
        <f>IFERROR(IF(Z393="",0,Z393),"0")+IFERROR(IF(Z394="",0,Z394),"0")+IFERROR(IF(Z395="",0,Z395),"0")</f>
        <v>2.3700000000000002E-2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10</v>
      </c>
      <c r="Y397" s="619">
        <f>IFERROR(SUM(Y393:Y395),"0")</f>
        <v>10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68</v>
      </c>
      <c r="Y413" s="618">
        <f>IFERROR(IF(X413="",0,CEILING((X413/$H413),1)*$H413),"")</f>
        <v>69.3</v>
      </c>
      <c r="Z413" s="36">
        <f>IFERROR(IF(Y413=0,"",ROUNDUP(Y413/H413,0)*0.00651),"")</f>
        <v>0.21482999999999999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76.159999999999982</v>
      </c>
      <c r="BN413" s="64">
        <f>IFERROR(Y413*I413/H413,"0")</f>
        <v>77.615999999999985</v>
      </c>
      <c r="BO413" s="64">
        <f>IFERROR(1/J413*(X413/H413),"0")</f>
        <v>0.17791732077446365</v>
      </c>
      <c r="BP413" s="64">
        <f>IFERROR(1/J413*(Y413/H413),"0")</f>
        <v>0.18131868131868134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7</v>
      </c>
      <c r="Y414" s="618">
        <f>IFERROR(IF(X414="",0,CEILING((X414/$H414),1)*$H414),"")</f>
        <v>8.4</v>
      </c>
      <c r="Z414" s="36">
        <f>IFERROR(IF(Y414=0,"",ROUNDUP(Y414/H414,0)*0.00651),"")</f>
        <v>2.6040000000000001E-2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7.7999999999999989</v>
      </c>
      <c r="BN414" s="64">
        <f>IFERROR(Y414*I414/H414,"0")</f>
        <v>9.36</v>
      </c>
      <c r="BO414" s="64">
        <f>IFERROR(1/J414*(X414/H414),"0")</f>
        <v>1.8315018315018316E-2</v>
      </c>
      <c r="BP414" s="64">
        <f>IFERROR(1/J414*(Y414/H414),"0")</f>
        <v>2.197802197802198E-2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35.714285714285715</v>
      </c>
      <c r="Y415" s="619">
        <f>IFERROR(Y412/H412,"0")+IFERROR(Y413/H413,"0")+IFERROR(Y414/H414,"0")</f>
        <v>37</v>
      </c>
      <c r="Z415" s="619">
        <f>IFERROR(IF(Z412="",0,Z412),"0")+IFERROR(IF(Z413="",0,Z413),"0")+IFERROR(IF(Z414="",0,Z414),"0")</f>
        <v>0.24087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75</v>
      </c>
      <c r="Y416" s="619">
        <f>IFERROR(SUM(Y412:Y414),"0")</f>
        <v>77.7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10</v>
      </c>
      <c r="Y420" s="618">
        <f t="shared" ref="Y420:Y427" si="61">IFERROR(IF(X420="",0,CEILING((X420/$H420),1)*$H420),"")</f>
        <v>15</v>
      </c>
      <c r="Z420" s="36">
        <f>IFERROR(IF(Y420=0,"",ROUNDUP(Y420/H420,0)*0.02175),"")</f>
        <v>2.1749999999999999E-2</v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10.313333333333334</v>
      </c>
      <c r="BN420" s="64">
        <f t="shared" ref="BN420:BN427" si="63">IFERROR(Y420*I420/H420,"0")</f>
        <v>15.47</v>
      </c>
      <c r="BO420" s="64">
        <f t="shared" ref="BO420:BO427" si="64">IFERROR(1/J420*(X420/H420),"0")</f>
        <v>1.3888888888888888E-2</v>
      </c>
      <c r="BP420" s="64">
        <f t="shared" ref="BP420:BP427" si="65">IFERROR(1/J420*(Y420/H420),"0")</f>
        <v>2.0833333333333332E-2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970</v>
      </c>
      <c r="Y421" s="618">
        <f t="shared" si="61"/>
        <v>975</v>
      </c>
      <c r="Z421" s="36">
        <f>IFERROR(IF(Y421=0,"",ROUNDUP(Y421/H421,0)*0.02175),"")</f>
        <v>1.4137499999999998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1000.3933333333334</v>
      </c>
      <c r="BN421" s="64">
        <f t="shared" si="63"/>
        <v>1005.55</v>
      </c>
      <c r="BO421" s="64">
        <f t="shared" si="64"/>
        <v>1.3472222222222223</v>
      </c>
      <c r="BP421" s="64">
        <f t="shared" si="65"/>
        <v>1.3541666666666665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650</v>
      </c>
      <c r="Y422" s="618">
        <f t="shared" si="61"/>
        <v>660</v>
      </c>
      <c r="Z422" s="36">
        <f>IFERROR(IF(Y422=0,"",ROUNDUP(Y422/H422,0)*0.02175),"")</f>
        <v>0.95699999999999996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670.36666666666667</v>
      </c>
      <c r="BN422" s="64">
        <f t="shared" si="63"/>
        <v>680.68000000000006</v>
      </c>
      <c r="BO422" s="64">
        <f t="shared" si="64"/>
        <v>0.90277777777777779</v>
      </c>
      <c r="BP422" s="64">
        <f t="shared" si="65"/>
        <v>0.91666666666666663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582</v>
      </c>
      <c r="Y423" s="618">
        <f t="shared" si="61"/>
        <v>585</v>
      </c>
      <c r="Z423" s="36">
        <f>IFERROR(IF(Y423=0,"",ROUNDUP(Y423/H423,0)*0.02175),"")</f>
        <v>0.84824999999999995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600.2360000000001</v>
      </c>
      <c r="BN423" s="64">
        <f t="shared" si="63"/>
        <v>603.33000000000004</v>
      </c>
      <c r="BO423" s="64">
        <f t="shared" si="64"/>
        <v>0.80833333333333324</v>
      </c>
      <c r="BP423" s="64">
        <f t="shared" si="65"/>
        <v>0.8125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940</v>
      </c>
      <c r="Y424" s="618">
        <f t="shared" si="61"/>
        <v>945</v>
      </c>
      <c r="Z424" s="36">
        <f>IFERROR(IF(Y424=0,"",ROUNDUP(Y424/H424,0)*0.02175),"")</f>
        <v>1.37025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969.45333333333338</v>
      </c>
      <c r="BN424" s="64">
        <f t="shared" si="63"/>
        <v>974.61000000000013</v>
      </c>
      <c r="BO424" s="64">
        <f t="shared" si="64"/>
        <v>1.3055555555555554</v>
      </c>
      <c r="BP424" s="64">
        <f t="shared" si="65"/>
        <v>1.3125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210.13333333333335</v>
      </c>
      <c r="Y428" s="619">
        <f>IFERROR(Y420/H420,"0")+IFERROR(Y421/H421,"0")+IFERROR(Y422/H422,"0")+IFERROR(Y423/H423,"0")+IFERROR(Y424/H424,"0")+IFERROR(Y425/H425,"0")+IFERROR(Y426/H426,"0")+IFERROR(Y427/H427,"0")</f>
        <v>212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4.6109999999999989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3152</v>
      </c>
      <c r="Y429" s="619">
        <f>IFERROR(SUM(Y420:Y427),"0")</f>
        <v>3180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1213</v>
      </c>
      <c r="Y431" s="618">
        <f>IFERROR(IF(X431="",0,CEILING((X431/$H431),1)*$H431),"")</f>
        <v>1215</v>
      </c>
      <c r="Z431" s="36">
        <f>IFERROR(IF(Y431=0,"",ROUNDUP(Y431/H431,0)*0.02175),"")</f>
        <v>1.7617499999999999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1251.0073333333335</v>
      </c>
      <c r="BN431" s="64">
        <f>IFERROR(Y431*I431/H431,"0")</f>
        <v>1253.07</v>
      </c>
      <c r="BO431" s="64">
        <f>IFERROR(1/J431*(X431/H431),"0")</f>
        <v>1.684722222222222</v>
      </c>
      <c r="BP431" s="64">
        <f>IFERROR(1/J431*(Y431/H431),"0")</f>
        <v>1.6875</v>
      </c>
    </row>
    <row r="432" spans="1:68" ht="27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56</v>
      </c>
      <c r="Y432" s="618">
        <f>IFERROR(IF(X432="",0,CEILING((X432/$H432),1)*$H432),"")</f>
        <v>60</v>
      </c>
      <c r="Z432" s="36">
        <f>IFERROR(IF(Y432=0,"",ROUNDUP(Y432/H432,0)*0.02175),"")</f>
        <v>8.6999999999999994E-2</v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57.754666666666672</v>
      </c>
      <c r="BN432" s="64">
        <f>IFERROR(Y432*I432/H432,"0")</f>
        <v>61.88</v>
      </c>
      <c r="BO432" s="64">
        <f>IFERROR(1/J432*(X432/H432),"0")</f>
        <v>7.7777777777777779E-2</v>
      </c>
      <c r="BP432" s="64">
        <f>IFERROR(1/J432*(Y432/H432),"0")</f>
        <v>8.3333333333333329E-2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84.6</v>
      </c>
      <c r="Y434" s="619">
        <f>IFERROR(Y431/H431,"0")+IFERROR(Y432/H432,"0")+IFERROR(Y433/H433,"0")</f>
        <v>85</v>
      </c>
      <c r="Z434" s="619">
        <f>IFERROR(IF(Z431="",0,Z431),"0")+IFERROR(IF(Z432="",0,Z432),"0")+IFERROR(IF(Z433="",0,Z433),"0")</f>
        <v>1.8487499999999999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1269</v>
      </c>
      <c r="Y435" s="619">
        <f>IFERROR(SUM(Y431:Y433),"0")</f>
        <v>1275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0</v>
      </c>
      <c r="Y461" s="619">
        <f>IFERROR(Y458/H458,"0")+IFERROR(Y459/H459,"0")+IFERROR(Y460/H460,"0")</f>
        <v>0</v>
      </c>
      <c r="Z461" s="619">
        <f>IFERROR(IF(Z458="",0,Z458),"0")+IFERROR(IF(Z459="",0,Z459),"0")+IFERROR(IF(Z460="",0,Z460),"0")</f>
        <v>0</v>
      </c>
      <c r="AA461" s="620"/>
      <c r="AB461" s="620"/>
      <c r="AC461" s="620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0</v>
      </c>
      <c r="Y462" s="619">
        <f>IFERROR(SUM(Y458:Y460),"0")</f>
        <v>0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970</v>
      </c>
      <c r="Y495" s="618">
        <f t="shared" si="71"/>
        <v>971.5200000000001</v>
      </c>
      <c r="Z495" s="36">
        <f>IFERROR(IF(Y495=0,"",ROUNDUP(Y495/H495,0)*0.01196),"")</f>
        <v>2.2006399999999999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1034.2992424242423</v>
      </c>
      <c r="BN495" s="64">
        <f t="shared" si="73"/>
        <v>1035.92</v>
      </c>
      <c r="BO495" s="64">
        <f t="shared" si="74"/>
        <v>1.7664627039627039</v>
      </c>
      <c r="BP495" s="64">
        <f t="shared" si="75"/>
        <v>1.7692307692307694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1970</v>
      </c>
      <c r="Y496" s="618">
        <f t="shared" si="71"/>
        <v>1974.72</v>
      </c>
      <c r="Z496" s="36">
        <f>IFERROR(IF(Y496=0,"",ROUNDUP(Y496/H496,0)*0.01196),"")</f>
        <v>4.4730400000000001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2100.587121212121</v>
      </c>
      <c r="BN496" s="64">
        <f t="shared" si="73"/>
        <v>2105.62</v>
      </c>
      <c r="BO496" s="64">
        <f t="shared" si="74"/>
        <v>3.5875582750582748</v>
      </c>
      <c r="BP496" s="64">
        <f t="shared" si="75"/>
        <v>3.5961538461538463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556.81818181818176</v>
      </c>
      <c r="Y500" s="619">
        <f>IFERROR(Y492/H492,"0")+IFERROR(Y493/H493,"0")+IFERROR(Y494/H494,"0")+IFERROR(Y495/H495,"0")+IFERROR(Y496/H496,"0")+IFERROR(Y497/H497,"0")+IFERROR(Y498/H498,"0")+IFERROR(Y499/H499,"0")</f>
        <v>558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6.6736800000000001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2940</v>
      </c>
      <c r="Y501" s="619">
        <f>IFERROR(SUM(Y492:Y499),"0")</f>
        <v>2946.2400000000002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970</v>
      </c>
      <c r="Y503" s="618">
        <f>IFERROR(IF(X503="",0,CEILING((X503/$H503),1)*$H503),"")</f>
        <v>971.5200000000001</v>
      </c>
      <c r="Z503" s="36">
        <f>IFERROR(IF(Y503=0,"",ROUNDUP(Y503/H503,0)*0.01196),"")</f>
        <v>2.2006399999999999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1034.2992424242423</v>
      </c>
      <c r="BN503" s="64">
        <f>IFERROR(Y503*I503/H503,"0")</f>
        <v>1035.92</v>
      </c>
      <c r="BO503" s="64">
        <f>IFERROR(1/J503*(X503/H503),"0")</f>
        <v>1.7664627039627039</v>
      </c>
      <c r="BP503" s="64">
        <f>IFERROR(1/J503*(Y503/H503),"0")</f>
        <v>1.7692307692307694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116</v>
      </c>
      <c r="Y505" s="618">
        <f>IFERROR(IF(X505="",0,CEILING((X505/$H505),1)*$H505),"")</f>
        <v>120</v>
      </c>
      <c r="Z505" s="36">
        <f>IFERROR(IF(Y505=0,"",ROUNDUP(Y505/H505,0)*0.00902),"")</f>
        <v>0.22550000000000001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166.99166666666667</v>
      </c>
      <c r="BN505" s="64">
        <f>IFERROR(Y505*I505/H505,"0")</f>
        <v>172.75000000000003</v>
      </c>
      <c r="BO505" s="64">
        <f>IFERROR(1/J505*(X505/H505),"0")</f>
        <v>0.18308080808080809</v>
      </c>
      <c r="BP505" s="64">
        <f>IFERROR(1/J505*(Y505/H505),"0")</f>
        <v>0.18939393939393939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207.87878787878785</v>
      </c>
      <c r="Y506" s="619">
        <f>IFERROR(Y503/H503,"0")+IFERROR(Y504/H504,"0")+IFERROR(Y505/H505,"0")</f>
        <v>209</v>
      </c>
      <c r="Z506" s="619">
        <f>IFERROR(IF(Z503="",0,Z503),"0")+IFERROR(IF(Z504="",0,Z504),"0")+IFERROR(IF(Z505="",0,Z505),"0")</f>
        <v>2.4261399999999997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1086</v>
      </c>
      <c r="Y507" s="619">
        <f>IFERROR(SUM(Y503:Y505),"0")</f>
        <v>1091.52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364</v>
      </c>
      <c r="Y510" s="618">
        <f t="shared" si="76"/>
        <v>364.32</v>
      </c>
      <c r="Z510" s="36">
        <f>IFERROR(IF(Y510=0,"",ROUNDUP(Y510/H510,0)*0.01196),"")</f>
        <v>0.82523999999999997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388.12878787878788</v>
      </c>
      <c r="BN510" s="64">
        <f t="shared" si="78"/>
        <v>388.46999999999997</v>
      </c>
      <c r="BO510" s="64">
        <f t="shared" si="79"/>
        <v>0.66287878787878785</v>
      </c>
      <c r="BP510" s="64">
        <f t="shared" si="80"/>
        <v>0.66346153846153855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243</v>
      </c>
      <c r="Y511" s="618">
        <f t="shared" si="76"/>
        <v>248.16000000000003</v>
      </c>
      <c r="Z511" s="36">
        <f>IFERROR(IF(Y511=0,"",ROUNDUP(Y511/H511,0)*0.01196),"")</f>
        <v>0.56211999999999995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259.1079545454545</v>
      </c>
      <c r="BN511" s="64">
        <f t="shared" si="78"/>
        <v>264.61</v>
      </c>
      <c r="BO511" s="64">
        <f t="shared" si="79"/>
        <v>0.4425262237762238</v>
      </c>
      <c r="BP511" s="64">
        <f t="shared" si="80"/>
        <v>0.45192307692307693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114.96212121212122</v>
      </c>
      <c r="Y516" s="619">
        <f>IFERROR(Y509/H509,"0")+IFERROR(Y510/H510,"0")+IFERROR(Y511/H511,"0")+IFERROR(Y512/H512,"0")+IFERROR(Y513/H513,"0")+IFERROR(Y514/H514,"0")+IFERROR(Y515/H515,"0")</f>
        <v>116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1.3873599999999999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607</v>
      </c>
      <c r="Y517" s="619">
        <f>IFERROR(SUM(Y509:Y515),"0")</f>
        <v>612.48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13973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14102.140000000001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14752.377810811011</v>
      </c>
      <c r="Y547" s="619">
        <f>IFERROR(SUM(BN22:BN543),"0")</f>
        <v>14889.714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24</v>
      </c>
      <c r="Y548" s="38">
        <f>ROUNDUP(SUM(BP22:BP543),0)</f>
        <v>24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15352.377810811011</v>
      </c>
      <c r="Y549" s="619">
        <f>GrossWeightTotalR+PalletQtyTotalR*25</f>
        <v>15489.714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2088.1810615764043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2111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27.766660000000002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1706.4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278.00000000000006</v>
      </c>
      <c r="F556" s="46">
        <f>IFERROR(Y84*1,"0")+IFERROR(Y85*1,"0")+IFERROR(Y86*1,"0")+IFERROR(Y87*1,"0")+IFERROR(Y88*1,"0")+IFERROR(Y89*1,"0")+IFERROR(Y93*1,"0")+IFERROR(Y94*1,"0")+IFERROR(Y95*1,"0")+IFERROR(Y96*1,"0")</f>
        <v>340.2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905.21999999999991</v>
      </c>
      <c r="H556" s="46">
        <f>IFERROR(Y131*1,"0")+IFERROR(Y132*1,"0")+IFERROR(Y136*1,"0")+IFERROR(Y137*1,"0")+IFERROR(Y141*1,"0")+IFERROR(Y142*1,"0")</f>
        <v>9.6000000000000014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51.239999999999995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27.340000000000003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1098.6000000000001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1.8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21.599999999999998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156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323.2</v>
      </c>
      <c r="U556" s="46">
        <f>IFERROR(Y406*1,"0")+IFERROR(Y407*1,"0")</f>
        <v>0</v>
      </c>
      <c r="V556" s="46">
        <f>IFERROR(Y412*1,"0")+IFERROR(Y413*1,"0")+IFERROR(Y414*1,"0")</f>
        <v>77.7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4455</v>
      </c>
      <c r="X556" s="46">
        <f>IFERROR(Y449*1,"0")+IFERROR(Y450*1,"0")+IFERROR(Y454*1,"0")+IFERROR(Y458*1,"0")+IFERROR(Y459*1,"0")+IFERROR(Y460*1,"0")</f>
        <v>0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4650.24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86,00"/>
        <filter val="1 213,00"/>
        <filter val="1 269,00"/>
        <filter val="1 698,00"/>
        <filter val="1 970,00"/>
        <filter val="1,00"/>
        <filter val="10,00"/>
        <filter val="11,00"/>
        <filter val="114,96"/>
        <filter val="116,00"/>
        <filter val="12,00"/>
        <filter val="121,00"/>
        <filter val="13 973,00"/>
        <filter val="13,33"/>
        <filter val="14 752,38"/>
        <filter val="14,00"/>
        <filter val="149,00"/>
        <filter val="15 352,38"/>
        <filter val="15,00"/>
        <filter val="156,00"/>
        <filter val="157,22"/>
        <filter val="176,00"/>
        <filter val="178,00"/>
        <filter val="19,00"/>
        <filter val="194,00"/>
        <filter val="2 088,18"/>
        <filter val="2 940,00"/>
        <filter val="2,81"/>
        <filter val="20,00"/>
        <filter val="204,00"/>
        <filter val="207,88"/>
        <filter val="21,00"/>
        <filter val="210,13"/>
        <filter val="22,38"/>
        <filter val="23,74"/>
        <filter val="24"/>
        <filter val="24,97"/>
        <filter val="243,00"/>
        <filter val="3 152,00"/>
        <filter val="3,00"/>
        <filter val="3,17"/>
        <filter val="3,24"/>
        <filter val="30,00"/>
        <filter val="31,00"/>
        <filter val="31,15"/>
        <filter val="340,00"/>
        <filter val="343,00"/>
        <filter val="344,48"/>
        <filter val="35,00"/>
        <filter val="35,71"/>
        <filter val="36,00"/>
        <filter val="364,00"/>
        <filter val="4,00"/>
        <filter val="4,58"/>
        <filter val="41,98"/>
        <filter val="42,96"/>
        <filter val="43,00"/>
        <filter val="457,00"/>
        <filter val="47,00"/>
        <filter val="48,00"/>
        <filter val="5,00"/>
        <filter val="509,00"/>
        <filter val="51,07"/>
        <filter val="53,00"/>
        <filter val="556,82"/>
        <filter val="56,00"/>
        <filter val="582,00"/>
        <filter val="6,79"/>
        <filter val="607,00"/>
        <filter val="62,84"/>
        <filter val="650,00"/>
        <filter val="68,00"/>
        <filter val="7,00"/>
        <filter val="7,45"/>
        <filter val="75,00"/>
        <filter val="78,00"/>
        <filter val="8,33"/>
        <filter val="84,60"/>
        <filter val="87,00"/>
        <filter val="895,00"/>
        <filter val="9,00"/>
        <filter val="940,00"/>
        <filter val="97,00"/>
        <filter val="970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