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B1AD7B0-ACF3-4F99-84AA-6AC7769E469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5" i="1" l="1"/>
  <c r="X544" i="1"/>
  <c r="BO543" i="1"/>
  <c r="BM543" i="1"/>
  <c r="Y543" i="1"/>
  <c r="P543" i="1"/>
  <c r="X540" i="1"/>
  <c r="X539" i="1"/>
  <c r="BO538" i="1"/>
  <c r="BM538" i="1"/>
  <c r="Y538" i="1"/>
  <c r="P538" i="1"/>
  <c r="BO537" i="1"/>
  <c r="BM537" i="1"/>
  <c r="Y537" i="1"/>
  <c r="Y539" i="1" s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AB556" i="1" s="1"/>
  <c r="P521" i="1"/>
  <c r="X517" i="1"/>
  <c r="X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BP510" i="1"/>
  <c r="BO510" i="1"/>
  <c r="BN510" i="1"/>
  <c r="BM510" i="1"/>
  <c r="Z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BP494" i="1"/>
  <c r="BO494" i="1"/>
  <c r="BN494" i="1"/>
  <c r="BM494" i="1"/>
  <c r="Z494" i="1"/>
  <c r="Y494" i="1"/>
  <c r="P494" i="1"/>
  <c r="BO493" i="1"/>
  <c r="BM493" i="1"/>
  <c r="Y493" i="1"/>
  <c r="P493" i="1"/>
  <c r="BO492" i="1"/>
  <c r="BM492" i="1"/>
  <c r="Y492" i="1"/>
  <c r="P492" i="1"/>
  <c r="X488" i="1"/>
  <c r="X487" i="1"/>
  <c r="BO486" i="1"/>
  <c r="BM486" i="1"/>
  <c r="Y486" i="1"/>
  <c r="P486" i="1"/>
  <c r="BO485" i="1"/>
  <c r="BM485" i="1"/>
  <c r="Y485" i="1"/>
  <c r="P485" i="1"/>
  <c r="BP484" i="1"/>
  <c r="BO484" i="1"/>
  <c r="BN484" i="1"/>
  <c r="BM484" i="1"/>
  <c r="Z484" i="1"/>
  <c r="Y484" i="1"/>
  <c r="P484" i="1"/>
  <c r="X482" i="1"/>
  <c r="Y481" i="1"/>
  <c r="X481" i="1"/>
  <c r="BP480" i="1"/>
  <c r="BO480" i="1"/>
  <c r="BN480" i="1"/>
  <c r="BM480" i="1"/>
  <c r="Z480" i="1"/>
  <c r="Z481" i="1" s="1"/>
  <c r="Y480" i="1"/>
  <c r="Y482" i="1" s="1"/>
  <c r="P480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O471" i="1"/>
  <c r="BM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6" i="1"/>
  <c r="X455" i="1"/>
  <c r="BO454" i="1"/>
  <c r="BM454" i="1"/>
  <c r="Y454" i="1"/>
  <c r="P454" i="1"/>
  <c r="X452" i="1"/>
  <c r="X451" i="1"/>
  <c r="BO450" i="1"/>
  <c r="BM450" i="1"/>
  <c r="Y450" i="1"/>
  <c r="P450" i="1"/>
  <c r="BO449" i="1"/>
  <c r="BM449" i="1"/>
  <c r="Y449" i="1"/>
  <c r="P449" i="1"/>
  <c r="X446" i="1"/>
  <c r="X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9" i="1"/>
  <c r="X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X416" i="1"/>
  <c r="X415" i="1"/>
  <c r="BO414" i="1"/>
  <c r="BM414" i="1"/>
  <c r="Y414" i="1"/>
  <c r="P414" i="1"/>
  <c r="BO413" i="1"/>
  <c r="BM413" i="1"/>
  <c r="Y413" i="1"/>
  <c r="P413" i="1"/>
  <c r="BO412" i="1"/>
  <c r="BM412" i="1"/>
  <c r="Y412" i="1"/>
  <c r="Y416" i="1" s="1"/>
  <c r="P412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X403" i="1"/>
  <c r="Y402" i="1"/>
  <c r="X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X391" i="1"/>
  <c r="X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BO374" i="1"/>
  <c r="BM374" i="1"/>
  <c r="Y374" i="1"/>
  <c r="Y378" i="1" s="1"/>
  <c r="P374" i="1"/>
  <c r="BP373" i="1"/>
  <c r="BO373" i="1"/>
  <c r="BN373" i="1"/>
  <c r="BM373" i="1"/>
  <c r="Z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BO366" i="1"/>
  <c r="BM366" i="1"/>
  <c r="Y366" i="1"/>
  <c r="P366" i="1"/>
  <c r="BO365" i="1"/>
  <c r="BM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1" i="1"/>
  <c r="X360" i="1"/>
  <c r="BO359" i="1"/>
  <c r="BM359" i="1"/>
  <c r="Y359" i="1"/>
  <c r="P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Y360" i="1" s="1"/>
  <c r="P354" i="1"/>
  <c r="BP353" i="1"/>
  <c r="BO353" i="1"/>
  <c r="BN353" i="1"/>
  <c r="BM353" i="1"/>
  <c r="Z353" i="1"/>
  <c r="Y353" i="1"/>
  <c r="P353" i="1"/>
  <c r="X350" i="1"/>
  <c r="Y349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BO339" i="1"/>
  <c r="BM339" i="1"/>
  <c r="Y339" i="1"/>
  <c r="P339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P334" i="1"/>
  <c r="BO333" i="1"/>
  <c r="BM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X322" i="1"/>
  <c r="X321" i="1"/>
  <c r="BO320" i="1"/>
  <c r="BM320" i="1"/>
  <c r="Y320" i="1"/>
  <c r="P320" i="1"/>
  <c r="BO319" i="1"/>
  <c r="BM319" i="1"/>
  <c r="Z319" i="1"/>
  <c r="Y319" i="1"/>
  <c r="P319" i="1"/>
  <c r="BO318" i="1"/>
  <c r="BM318" i="1"/>
  <c r="Y318" i="1"/>
  <c r="P318" i="1"/>
  <c r="BO317" i="1"/>
  <c r="BM317" i="1"/>
  <c r="Y317" i="1"/>
  <c r="BP317" i="1" s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2" i="1"/>
  <c r="X311" i="1"/>
  <c r="BO310" i="1"/>
  <c r="BM310" i="1"/>
  <c r="Y310" i="1"/>
  <c r="BP310" i="1" s="1"/>
  <c r="P310" i="1"/>
  <c r="BO309" i="1"/>
  <c r="BM309" i="1"/>
  <c r="Y309" i="1"/>
  <c r="Y311" i="1" s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O294" i="1"/>
  <c r="BM294" i="1"/>
  <c r="Y294" i="1"/>
  <c r="BP294" i="1" s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X288" i="1"/>
  <c r="X287" i="1"/>
  <c r="BO286" i="1"/>
  <c r="BM286" i="1"/>
  <c r="Y286" i="1"/>
  <c r="P286" i="1"/>
  <c r="BO285" i="1"/>
  <c r="BM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O279" i="1"/>
  <c r="BM279" i="1"/>
  <c r="Y279" i="1"/>
  <c r="BP279" i="1" s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BP262" i="1" s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X207" i="1"/>
  <c r="X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X195" i="1"/>
  <c r="X194" i="1"/>
  <c r="BO193" i="1"/>
  <c r="BM193" i="1"/>
  <c r="Y193" i="1"/>
  <c r="P193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Y186" i="1" s="1"/>
  <c r="P184" i="1"/>
  <c r="X182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BO166" i="1"/>
  <c r="BM166" i="1"/>
  <c r="Y166" i="1"/>
  <c r="BP166" i="1" s="1"/>
  <c r="P166" i="1"/>
  <c r="X164" i="1"/>
  <c r="X163" i="1"/>
  <c r="BP162" i="1"/>
  <c r="BO162" i="1"/>
  <c r="BN162" i="1"/>
  <c r="BM162" i="1"/>
  <c r="Z162" i="1"/>
  <c r="Y162" i="1"/>
  <c r="P162" i="1"/>
  <c r="BO161" i="1"/>
  <c r="BM161" i="1"/>
  <c r="Y161" i="1"/>
  <c r="P161" i="1"/>
  <c r="BO160" i="1"/>
  <c r="BM160" i="1"/>
  <c r="Y160" i="1"/>
  <c r="BP160" i="1" s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BP148" i="1" s="1"/>
  <c r="P148" i="1"/>
  <c r="BO147" i="1"/>
  <c r="BM147" i="1"/>
  <c r="Y147" i="1"/>
  <c r="BP147" i="1" s="1"/>
  <c r="P147" i="1"/>
  <c r="X144" i="1"/>
  <c r="X143" i="1"/>
  <c r="BO142" i="1"/>
  <c r="BM142" i="1"/>
  <c r="Y142" i="1"/>
  <c r="Y144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Y134" i="1" s="1"/>
  <c r="P132" i="1"/>
  <c r="BP131" i="1"/>
  <c r="BO131" i="1"/>
  <c r="BN131" i="1"/>
  <c r="BM131" i="1"/>
  <c r="Z131" i="1"/>
  <c r="Y131" i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P112" i="1"/>
  <c r="BO111" i="1"/>
  <c r="BM111" i="1"/>
  <c r="Y111" i="1"/>
  <c r="P111" i="1"/>
  <c r="X109" i="1"/>
  <c r="X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G556" i="1" s="1"/>
  <c r="P101" i="1"/>
  <c r="X98" i="1"/>
  <c r="X97" i="1"/>
  <c r="BO96" i="1"/>
  <c r="BM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Y97" i="1" s="1"/>
  <c r="P93" i="1"/>
  <c r="X91" i="1"/>
  <c r="X90" i="1"/>
  <c r="BP89" i="1"/>
  <c r="BO89" i="1"/>
  <c r="BN89" i="1"/>
  <c r="BM89" i="1"/>
  <c r="Z89" i="1"/>
  <c r="Y89" i="1"/>
  <c r="P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BP79" i="1" s="1"/>
  <c r="P79" i="1"/>
  <c r="BO78" i="1"/>
  <c r="BM78" i="1"/>
  <c r="Y78" i="1"/>
  <c r="BP78" i="1" s="1"/>
  <c r="P78" i="1"/>
  <c r="BO77" i="1"/>
  <c r="BM77" i="1"/>
  <c r="Y77" i="1"/>
  <c r="Y81" i="1" s="1"/>
  <c r="P77" i="1"/>
  <c r="X75" i="1"/>
  <c r="X74" i="1"/>
  <c r="BO73" i="1"/>
  <c r="BM73" i="1"/>
  <c r="Y73" i="1"/>
  <c r="Y75" i="1" s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Y63" i="1" s="1"/>
  <c r="P55" i="1"/>
  <c r="BP54" i="1"/>
  <c r="BO54" i="1"/>
  <c r="BN54" i="1"/>
  <c r="BM54" i="1"/>
  <c r="Z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BO46" i="1"/>
  <c r="BM46" i="1"/>
  <c r="Y46" i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BO36" i="1"/>
  <c r="BM36" i="1"/>
  <c r="Y36" i="1"/>
  <c r="P36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550" i="1" s="1"/>
  <c r="BO22" i="1"/>
  <c r="BM22" i="1"/>
  <c r="X547" i="1" s="1"/>
  <c r="Y22" i="1"/>
  <c r="P22" i="1"/>
  <c r="H10" i="1"/>
  <c r="A9" i="1"/>
  <c r="A10" i="1" s="1"/>
  <c r="D7" i="1"/>
  <c r="Q6" i="1"/>
  <c r="P2" i="1"/>
  <c r="BP339" i="1" l="1"/>
  <c r="BN339" i="1"/>
  <c r="Z339" i="1"/>
  <c r="BP355" i="1"/>
  <c r="BN355" i="1"/>
  <c r="Z355" i="1"/>
  <c r="BP365" i="1"/>
  <c r="BN365" i="1"/>
  <c r="Z365" i="1"/>
  <c r="BP375" i="1"/>
  <c r="BN375" i="1"/>
  <c r="Z375" i="1"/>
  <c r="BP393" i="1"/>
  <c r="BN393" i="1"/>
  <c r="Z393" i="1"/>
  <c r="BP413" i="1"/>
  <c r="BN413" i="1"/>
  <c r="Z413" i="1"/>
  <c r="BP426" i="1"/>
  <c r="BN426" i="1"/>
  <c r="Z426" i="1"/>
  <c r="Y451" i="1"/>
  <c r="BP449" i="1"/>
  <c r="BN449" i="1"/>
  <c r="Z449" i="1"/>
  <c r="BP471" i="1"/>
  <c r="BN471" i="1"/>
  <c r="Z471" i="1"/>
  <c r="BP496" i="1"/>
  <c r="BN496" i="1"/>
  <c r="Z496" i="1"/>
  <c r="BP512" i="1"/>
  <c r="BN512" i="1"/>
  <c r="Z512" i="1"/>
  <c r="B556" i="1"/>
  <c r="X548" i="1"/>
  <c r="X549" i="1" s="1"/>
  <c r="X546" i="1"/>
  <c r="Y32" i="1"/>
  <c r="Z29" i="1"/>
  <c r="BN29" i="1"/>
  <c r="C556" i="1"/>
  <c r="Z39" i="1"/>
  <c r="BN39" i="1"/>
  <c r="D556" i="1"/>
  <c r="Z49" i="1"/>
  <c r="BN49" i="1"/>
  <c r="Z56" i="1"/>
  <c r="BN56" i="1"/>
  <c r="Z60" i="1"/>
  <c r="BN60" i="1"/>
  <c r="Y69" i="1"/>
  <c r="Z68" i="1"/>
  <c r="BN68" i="1"/>
  <c r="Y74" i="1"/>
  <c r="Z78" i="1"/>
  <c r="BN78" i="1"/>
  <c r="F556" i="1"/>
  <c r="Z87" i="1"/>
  <c r="BN87" i="1"/>
  <c r="Z93" i="1"/>
  <c r="BN93" i="1"/>
  <c r="BP93" i="1"/>
  <c r="Y98" i="1"/>
  <c r="Z102" i="1"/>
  <c r="BN102" i="1"/>
  <c r="Z106" i="1"/>
  <c r="BN106" i="1"/>
  <c r="Y117" i="1"/>
  <c r="Z114" i="1"/>
  <c r="BN114" i="1"/>
  <c r="Y123" i="1"/>
  <c r="Z122" i="1"/>
  <c r="BN122" i="1"/>
  <c r="Z137" i="1"/>
  <c r="BN137" i="1"/>
  <c r="Y143" i="1"/>
  <c r="Z148" i="1"/>
  <c r="BN148" i="1"/>
  <c r="Z160" i="1"/>
  <c r="BN160" i="1"/>
  <c r="Z166" i="1"/>
  <c r="BN166" i="1"/>
  <c r="Y181" i="1"/>
  <c r="Z174" i="1"/>
  <c r="BN174" i="1"/>
  <c r="Z178" i="1"/>
  <c r="BN178" i="1"/>
  <c r="Z184" i="1"/>
  <c r="BN184" i="1"/>
  <c r="BP184" i="1"/>
  <c r="Z202" i="1"/>
  <c r="BN202" i="1"/>
  <c r="Z215" i="1"/>
  <c r="BN215" i="1"/>
  <c r="Z219" i="1"/>
  <c r="BN219" i="1"/>
  <c r="Z223" i="1"/>
  <c r="BN223" i="1"/>
  <c r="Z231" i="1"/>
  <c r="BN231" i="1"/>
  <c r="Z239" i="1"/>
  <c r="BN239" i="1"/>
  <c r="Z254" i="1"/>
  <c r="BN254" i="1"/>
  <c r="BP254" i="1"/>
  <c r="Y257" i="1"/>
  <c r="Y267" i="1"/>
  <c r="Z262" i="1"/>
  <c r="BN262" i="1"/>
  <c r="Z271" i="1"/>
  <c r="BN271" i="1"/>
  <c r="Z275" i="1"/>
  <c r="BN275" i="1"/>
  <c r="Z279" i="1"/>
  <c r="BN279" i="1"/>
  <c r="Z285" i="1"/>
  <c r="BN285" i="1"/>
  <c r="BP285" i="1"/>
  <c r="Z294" i="1"/>
  <c r="BN294" i="1"/>
  <c r="Z310" i="1"/>
  <c r="BN310" i="1"/>
  <c r="Y321" i="1"/>
  <c r="Z317" i="1"/>
  <c r="BN317" i="1"/>
  <c r="BP319" i="1"/>
  <c r="BN319" i="1"/>
  <c r="BP333" i="1"/>
  <c r="BN333" i="1"/>
  <c r="Z333" i="1"/>
  <c r="BP346" i="1"/>
  <c r="BN346" i="1"/>
  <c r="Z346" i="1"/>
  <c r="BP359" i="1"/>
  <c r="BN359" i="1"/>
  <c r="Z359" i="1"/>
  <c r="BP369" i="1"/>
  <c r="BN369" i="1"/>
  <c r="Z369" i="1"/>
  <c r="BP387" i="1"/>
  <c r="BN387" i="1"/>
  <c r="Z387" i="1"/>
  <c r="Y403" i="1"/>
  <c r="BP399" i="1"/>
  <c r="BN399" i="1"/>
  <c r="Z399" i="1"/>
  <c r="BP422" i="1"/>
  <c r="BN422" i="1"/>
  <c r="Z422" i="1"/>
  <c r="BP438" i="1"/>
  <c r="BN438" i="1"/>
  <c r="Z438" i="1"/>
  <c r="X556" i="1"/>
  <c r="BP467" i="1"/>
  <c r="BN467" i="1"/>
  <c r="Z467" i="1"/>
  <c r="BP486" i="1"/>
  <c r="BN486" i="1"/>
  <c r="Z486" i="1"/>
  <c r="BP492" i="1"/>
  <c r="BN492" i="1"/>
  <c r="Z492" i="1"/>
  <c r="BP504" i="1"/>
  <c r="BN504" i="1"/>
  <c r="Z504" i="1"/>
  <c r="BP538" i="1"/>
  <c r="BN538" i="1"/>
  <c r="Z538" i="1"/>
  <c r="AC556" i="1"/>
  <c r="Y544" i="1"/>
  <c r="BP543" i="1"/>
  <c r="BN543" i="1"/>
  <c r="Z543" i="1"/>
  <c r="Z544" i="1" s="1"/>
  <c r="Y342" i="1"/>
  <c r="Y371" i="1"/>
  <c r="Y396" i="1"/>
  <c r="Y488" i="1"/>
  <c r="Y487" i="1"/>
  <c r="F9" i="1"/>
  <c r="J9" i="1"/>
  <c r="F10" i="1"/>
  <c r="Z22" i="1"/>
  <c r="Z23" i="1" s="1"/>
  <c r="BN22" i="1"/>
  <c r="BP22" i="1"/>
  <c r="Y23" i="1"/>
  <c r="Z26" i="1"/>
  <c r="BN26" i="1"/>
  <c r="BP26" i="1"/>
  <c r="Z28" i="1"/>
  <c r="BN28" i="1"/>
  <c r="Z30" i="1"/>
  <c r="BN30" i="1"/>
  <c r="Y31" i="1"/>
  <c r="Z36" i="1"/>
  <c r="BN36" i="1"/>
  <c r="BP36" i="1"/>
  <c r="Z38" i="1"/>
  <c r="BN38" i="1"/>
  <c r="Z40" i="1"/>
  <c r="BN40" i="1"/>
  <c r="Y41" i="1"/>
  <c r="Z46" i="1"/>
  <c r="BN46" i="1"/>
  <c r="BP46" i="1"/>
  <c r="Z48" i="1"/>
  <c r="BN48" i="1"/>
  <c r="Y51" i="1"/>
  <c r="E556" i="1"/>
  <c r="Z55" i="1"/>
  <c r="Z62" i="1" s="1"/>
  <c r="BN55" i="1"/>
  <c r="BP55" i="1"/>
  <c r="Z57" i="1"/>
  <c r="BN57" i="1"/>
  <c r="Z59" i="1"/>
  <c r="BN59" i="1"/>
  <c r="Z61" i="1"/>
  <c r="BN61" i="1"/>
  <c r="Y62" i="1"/>
  <c r="Z65" i="1"/>
  <c r="BN65" i="1"/>
  <c r="BP65" i="1"/>
  <c r="Z67" i="1"/>
  <c r="BN67" i="1"/>
  <c r="Y70" i="1"/>
  <c r="Z73" i="1"/>
  <c r="Z74" i="1" s="1"/>
  <c r="BN73" i="1"/>
  <c r="BP73" i="1"/>
  <c r="Z77" i="1"/>
  <c r="BN77" i="1"/>
  <c r="BP77" i="1"/>
  <c r="Z79" i="1"/>
  <c r="BN79" i="1"/>
  <c r="Y80" i="1"/>
  <c r="Z84" i="1"/>
  <c r="BN84" i="1"/>
  <c r="BP84" i="1"/>
  <c r="Z86" i="1"/>
  <c r="BN86" i="1"/>
  <c r="Z88" i="1"/>
  <c r="BN88" i="1"/>
  <c r="Y91" i="1"/>
  <c r="Z94" i="1"/>
  <c r="BN94" i="1"/>
  <c r="BP94" i="1"/>
  <c r="Z96" i="1"/>
  <c r="BN96" i="1"/>
  <c r="Z101" i="1"/>
  <c r="BN101" i="1"/>
  <c r="BP101" i="1"/>
  <c r="Z103" i="1"/>
  <c r="BN103" i="1"/>
  <c r="Z105" i="1"/>
  <c r="BN105" i="1"/>
  <c r="Z107" i="1"/>
  <c r="BN107" i="1"/>
  <c r="Y108" i="1"/>
  <c r="Z111" i="1"/>
  <c r="BN111" i="1"/>
  <c r="BP111" i="1"/>
  <c r="Z113" i="1"/>
  <c r="BN113" i="1"/>
  <c r="Z115" i="1"/>
  <c r="BN115" i="1"/>
  <c r="Y116" i="1"/>
  <c r="Z119" i="1"/>
  <c r="BN119" i="1"/>
  <c r="BP119" i="1"/>
  <c r="Z121" i="1"/>
  <c r="BN121" i="1"/>
  <c r="Y124" i="1"/>
  <c r="H556" i="1"/>
  <c r="Z132" i="1"/>
  <c r="Z133" i="1" s="1"/>
  <c r="BN132" i="1"/>
  <c r="BP132" i="1"/>
  <c r="Y133" i="1"/>
  <c r="Z136" i="1"/>
  <c r="Z138" i="1" s="1"/>
  <c r="BN136" i="1"/>
  <c r="BP136" i="1"/>
  <c r="Y139" i="1"/>
  <c r="Z142" i="1"/>
  <c r="Z143" i="1" s="1"/>
  <c r="BN142" i="1"/>
  <c r="BP142" i="1"/>
  <c r="Z147" i="1"/>
  <c r="BN147" i="1"/>
  <c r="Z149" i="1"/>
  <c r="BN149" i="1"/>
  <c r="BP161" i="1"/>
  <c r="BN161" i="1"/>
  <c r="Z161" i="1"/>
  <c r="Y168" i="1"/>
  <c r="BP173" i="1"/>
  <c r="BN173" i="1"/>
  <c r="Z173" i="1"/>
  <c r="BP177" i="1"/>
  <c r="BN177" i="1"/>
  <c r="Z177" i="1"/>
  <c r="BP185" i="1"/>
  <c r="BN185" i="1"/>
  <c r="Z185" i="1"/>
  <c r="Z186" i="1" s="1"/>
  <c r="Y187" i="1"/>
  <c r="Y190" i="1"/>
  <c r="BP189" i="1"/>
  <c r="BN189" i="1"/>
  <c r="Z189" i="1"/>
  <c r="Z190" i="1" s="1"/>
  <c r="Y191" i="1"/>
  <c r="Y194" i="1"/>
  <c r="BP193" i="1"/>
  <c r="BN193" i="1"/>
  <c r="Z193" i="1"/>
  <c r="Z194" i="1" s="1"/>
  <c r="Y195" i="1"/>
  <c r="K556" i="1"/>
  <c r="Y206" i="1"/>
  <c r="BP199" i="1"/>
  <c r="BN199" i="1"/>
  <c r="Z199" i="1"/>
  <c r="BP203" i="1"/>
  <c r="BN203" i="1"/>
  <c r="Z203" i="1"/>
  <c r="BP216" i="1"/>
  <c r="BN216" i="1"/>
  <c r="Z216" i="1"/>
  <c r="BP220" i="1"/>
  <c r="BN220" i="1"/>
  <c r="Z220" i="1"/>
  <c r="BP224" i="1"/>
  <c r="BN224" i="1"/>
  <c r="Z224" i="1"/>
  <c r="BP232" i="1"/>
  <c r="BN232" i="1"/>
  <c r="Z232" i="1"/>
  <c r="BP240" i="1"/>
  <c r="BN240" i="1"/>
  <c r="Z240" i="1"/>
  <c r="Y245" i="1"/>
  <c r="BP244" i="1"/>
  <c r="BN244" i="1"/>
  <c r="Z244" i="1"/>
  <c r="Z245" i="1" s="1"/>
  <c r="Y246" i="1"/>
  <c r="M556" i="1"/>
  <c r="Y251" i="1"/>
  <c r="Y252" i="1"/>
  <c r="BP249" i="1"/>
  <c r="BN249" i="1"/>
  <c r="Z249" i="1"/>
  <c r="Z251" i="1" s="1"/>
  <c r="H9" i="1"/>
  <c r="Y24" i="1"/>
  <c r="Y42" i="1"/>
  <c r="Y50" i="1"/>
  <c r="Y90" i="1"/>
  <c r="Y109" i="1"/>
  <c r="I556" i="1"/>
  <c r="Y151" i="1"/>
  <c r="Y152" i="1"/>
  <c r="Y155" i="1"/>
  <c r="BP154" i="1"/>
  <c r="BN154" i="1"/>
  <c r="Z154" i="1"/>
  <c r="Z155" i="1" s="1"/>
  <c r="Y156" i="1"/>
  <c r="J556" i="1"/>
  <c r="Y164" i="1"/>
  <c r="BP159" i="1"/>
  <c r="BN159" i="1"/>
  <c r="Z159" i="1"/>
  <c r="Z163" i="1" s="1"/>
  <c r="Y163" i="1"/>
  <c r="BP167" i="1"/>
  <c r="BN167" i="1"/>
  <c r="Z167" i="1"/>
  <c r="Z168" i="1" s="1"/>
  <c r="Y169" i="1"/>
  <c r="Y182" i="1"/>
  <c r="BP171" i="1"/>
  <c r="BN171" i="1"/>
  <c r="Z171" i="1"/>
  <c r="BP175" i="1"/>
  <c r="BN175" i="1"/>
  <c r="Z175" i="1"/>
  <c r="BP179" i="1"/>
  <c r="BN179" i="1"/>
  <c r="Z179" i="1"/>
  <c r="BP201" i="1"/>
  <c r="BN201" i="1"/>
  <c r="Z201" i="1"/>
  <c r="BP205" i="1"/>
  <c r="BN205" i="1"/>
  <c r="Z205" i="1"/>
  <c r="Y207" i="1"/>
  <c r="L556" i="1"/>
  <c r="Y211" i="1"/>
  <c r="BP210" i="1"/>
  <c r="BN210" i="1"/>
  <c r="Z210" i="1"/>
  <c r="Z211" i="1" s="1"/>
  <c r="Y212" i="1"/>
  <c r="Y227" i="1"/>
  <c r="BP214" i="1"/>
  <c r="BN214" i="1"/>
  <c r="Z214" i="1"/>
  <c r="BP218" i="1"/>
  <c r="BN218" i="1"/>
  <c r="Z218" i="1"/>
  <c r="BP222" i="1"/>
  <c r="BN222" i="1"/>
  <c r="Z222" i="1"/>
  <c r="BP226" i="1"/>
  <c r="BN226" i="1"/>
  <c r="Z226" i="1"/>
  <c r="Y228" i="1"/>
  <c r="Y235" i="1"/>
  <c r="BP230" i="1"/>
  <c r="BN230" i="1"/>
  <c r="Z230" i="1"/>
  <c r="BP234" i="1"/>
  <c r="BN234" i="1"/>
  <c r="Z234" i="1"/>
  <c r="Y236" i="1"/>
  <c r="Y241" i="1"/>
  <c r="BP238" i="1"/>
  <c r="BN238" i="1"/>
  <c r="Z238" i="1"/>
  <c r="Z241" i="1" s="1"/>
  <c r="Z255" i="1"/>
  <c r="BN255" i="1"/>
  <c r="BP255" i="1"/>
  <c r="Z259" i="1"/>
  <c r="Z267" i="1" s="1"/>
  <c r="BN259" i="1"/>
  <c r="BP259" i="1"/>
  <c r="Z261" i="1"/>
  <c r="BN261" i="1"/>
  <c r="Z263" i="1"/>
  <c r="BN263" i="1"/>
  <c r="Z265" i="1"/>
  <c r="BN265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O556" i="1"/>
  <c r="Y298" i="1"/>
  <c r="BP291" i="1"/>
  <c r="BN291" i="1"/>
  <c r="Z291" i="1"/>
  <c r="BP295" i="1"/>
  <c r="BN295" i="1"/>
  <c r="Z295" i="1"/>
  <c r="BP316" i="1"/>
  <c r="BN316" i="1"/>
  <c r="Z316" i="1"/>
  <c r="BP320" i="1"/>
  <c r="BN320" i="1"/>
  <c r="Z320" i="1"/>
  <c r="Y322" i="1"/>
  <c r="Q556" i="1"/>
  <c r="Y328" i="1"/>
  <c r="BP325" i="1"/>
  <c r="BN325" i="1"/>
  <c r="Z325" i="1"/>
  <c r="BP334" i="1"/>
  <c r="BN334" i="1"/>
  <c r="Z334" i="1"/>
  <c r="Y343" i="1"/>
  <c r="Z349" i="1"/>
  <c r="BP347" i="1"/>
  <c r="BN347" i="1"/>
  <c r="Z347" i="1"/>
  <c r="T556" i="1"/>
  <c r="BP356" i="1"/>
  <c r="BN356" i="1"/>
  <c r="Z356" i="1"/>
  <c r="BP364" i="1"/>
  <c r="BN364" i="1"/>
  <c r="Z364" i="1"/>
  <c r="BP368" i="1"/>
  <c r="BN368" i="1"/>
  <c r="Z368" i="1"/>
  <c r="Y377" i="1"/>
  <c r="BP376" i="1"/>
  <c r="BN376" i="1"/>
  <c r="Z376" i="1"/>
  <c r="Y383" i="1"/>
  <c r="BP380" i="1"/>
  <c r="BN380" i="1"/>
  <c r="Z380" i="1"/>
  <c r="BP388" i="1"/>
  <c r="BN388" i="1"/>
  <c r="Z388" i="1"/>
  <c r="Y397" i="1"/>
  <c r="BP400" i="1"/>
  <c r="BN400" i="1"/>
  <c r="Z400" i="1"/>
  <c r="Z402" i="1" s="1"/>
  <c r="BP414" i="1"/>
  <c r="BN414" i="1"/>
  <c r="Z414" i="1"/>
  <c r="BP423" i="1"/>
  <c r="BN423" i="1"/>
  <c r="Z423" i="1"/>
  <c r="BP427" i="1"/>
  <c r="BN427" i="1"/>
  <c r="Z427" i="1"/>
  <c r="Y429" i="1"/>
  <c r="Y434" i="1"/>
  <c r="BP431" i="1"/>
  <c r="BN431" i="1"/>
  <c r="Z431" i="1"/>
  <c r="Y435" i="1"/>
  <c r="BP439" i="1"/>
  <c r="BN439" i="1"/>
  <c r="Z439" i="1"/>
  <c r="Y441" i="1"/>
  <c r="Y446" i="1"/>
  <c r="BP443" i="1"/>
  <c r="BN443" i="1"/>
  <c r="Z443" i="1"/>
  <c r="Z445" i="1" s="1"/>
  <c r="Y445" i="1"/>
  <c r="BP493" i="1"/>
  <c r="BN493" i="1"/>
  <c r="Z493" i="1"/>
  <c r="Y501" i="1"/>
  <c r="BP497" i="1"/>
  <c r="BN497" i="1"/>
  <c r="Z497" i="1"/>
  <c r="BP505" i="1"/>
  <c r="BN505" i="1"/>
  <c r="Z505" i="1"/>
  <c r="Y507" i="1"/>
  <c r="Y516" i="1"/>
  <c r="BP509" i="1"/>
  <c r="BN509" i="1"/>
  <c r="Z509" i="1"/>
  <c r="Y517" i="1"/>
  <c r="BP513" i="1"/>
  <c r="BN513" i="1"/>
  <c r="Z513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299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Y329" i="1"/>
  <c r="R556" i="1"/>
  <c r="Y337" i="1"/>
  <c r="BP332" i="1"/>
  <c r="BN332" i="1"/>
  <c r="Z332" i="1"/>
  <c r="Y336" i="1"/>
  <c r="BP340" i="1"/>
  <c r="BN340" i="1"/>
  <c r="Z340" i="1"/>
  <c r="BP354" i="1"/>
  <c r="BN354" i="1"/>
  <c r="Z354" i="1"/>
  <c r="Z360" i="1" s="1"/>
  <c r="BP358" i="1"/>
  <c r="BN358" i="1"/>
  <c r="Z358" i="1"/>
  <c r="BP366" i="1"/>
  <c r="BN366" i="1"/>
  <c r="Z366" i="1"/>
  <c r="Z370" i="1" s="1"/>
  <c r="Y370" i="1"/>
  <c r="BP374" i="1"/>
  <c r="BN374" i="1"/>
  <c r="Z374" i="1"/>
  <c r="Z377" i="1" s="1"/>
  <c r="BP382" i="1"/>
  <c r="BN382" i="1"/>
  <c r="Z382" i="1"/>
  <c r="Y384" i="1"/>
  <c r="Y391" i="1"/>
  <c r="BP386" i="1"/>
  <c r="BN386" i="1"/>
  <c r="Z386" i="1"/>
  <c r="Z390" i="1" s="1"/>
  <c r="Y390" i="1"/>
  <c r="Z396" i="1"/>
  <c r="BP394" i="1"/>
  <c r="BN394" i="1"/>
  <c r="Z394" i="1"/>
  <c r="BP407" i="1"/>
  <c r="BN407" i="1"/>
  <c r="Z407" i="1"/>
  <c r="Z408" i="1" s="1"/>
  <c r="Y409" i="1"/>
  <c r="V556" i="1"/>
  <c r="Y415" i="1"/>
  <c r="BP412" i="1"/>
  <c r="BN412" i="1"/>
  <c r="Z412" i="1"/>
  <c r="Z415" i="1" s="1"/>
  <c r="BP460" i="1"/>
  <c r="BN460" i="1"/>
  <c r="Z460" i="1"/>
  <c r="Y462" i="1"/>
  <c r="Y556" i="1"/>
  <c r="Y473" i="1"/>
  <c r="BP466" i="1"/>
  <c r="BN466" i="1"/>
  <c r="Z466" i="1"/>
  <c r="Y472" i="1"/>
  <c r="BP470" i="1"/>
  <c r="BN470" i="1"/>
  <c r="Z470" i="1"/>
  <c r="P556" i="1"/>
  <c r="S556" i="1"/>
  <c r="Y350" i="1"/>
  <c r="Y361" i="1"/>
  <c r="U556" i="1"/>
  <c r="Y408" i="1"/>
  <c r="BP421" i="1"/>
  <c r="BN421" i="1"/>
  <c r="Z421" i="1"/>
  <c r="Z428" i="1" s="1"/>
  <c r="BP425" i="1"/>
  <c r="BN425" i="1"/>
  <c r="Z425" i="1"/>
  <c r="BP433" i="1"/>
  <c r="BN433" i="1"/>
  <c r="Z433" i="1"/>
  <c r="Y440" i="1"/>
  <c r="BP437" i="1"/>
  <c r="BN437" i="1"/>
  <c r="Z437" i="1"/>
  <c r="Z440" i="1" s="1"/>
  <c r="BP450" i="1"/>
  <c r="BN450" i="1"/>
  <c r="Z450" i="1"/>
  <c r="Y452" i="1"/>
  <c r="Y455" i="1"/>
  <c r="BP454" i="1"/>
  <c r="BN454" i="1"/>
  <c r="Z454" i="1"/>
  <c r="Z455" i="1" s="1"/>
  <c r="Y456" i="1"/>
  <c r="Y461" i="1"/>
  <c r="BP458" i="1"/>
  <c r="BN458" i="1"/>
  <c r="Z458" i="1"/>
  <c r="Z461" i="1" s="1"/>
  <c r="BP468" i="1"/>
  <c r="BN468" i="1"/>
  <c r="Z468" i="1"/>
  <c r="W556" i="1"/>
  <c r="Y428" i="1"/>
  <c r="BP485" i="1"/>
  <c r="BN485" i="1"/>
  <c r="Z485" i="1"/>
  <c r="AA556" i="1"/>
  <c r="BP495" i="1"/>
  <c r="BN495" i="1"/>
  <c r="Z495" i="1"/>
  <c r="BP499" i="1"/>
  <c r="BN499" i="1"/>
  <c r="Z499" i="1"/>
  <c r="Y506" i="1"/>
  <c r="BP503" i="1"/>
  <c r="BN503" i="1"/>
  <c r="Z503" i="1"/>
  <c r="Z506" i="1" s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500" i="1"/>
  <c r="Y545" i="1"/>
  <c r="Z321" i="1" l="1"/>
  <c r="Z500" i="1"/>
  <c r="Z487" i="1"/>
  <c r="Z451" i="1"/>
  <c r="Z342" i="1"/>
  <c r="Z336" i="1"/>
  <c r="Z311" i="1"/>
  <c r="Z256" i="1"/>
  <c r="Z97" i="1"/>
  <c r="Z90" i="1"/>
  <c r="Z80" i="1"/>
  <c r="Z50" i="1"/>
  <c r="Z41" i="1"/>
  <c r="Z472" i="1"/>
  <c r="Z516" i="1"/>
  <c r="Z328" i="1"/>
  <c r="Z235" i="1"/>
  <c r="Z227" i="1"/>
  <c r="Z206" i="1"/>
  <c r="Z151" i="1"/>
  <c r="Z123" i="1"/>
  <c r="Z116" i="1"/>
  <c r="Z108" i="1"/>
  <c r="Z69" i="1"/>
  <c r="Y550" i="1"/>
  <c r="Y547" i="1"/>
  <c r="Z434" i="1"/>
  <c r="Z383" i="1"/>
  <c r="Z298" i="1"/>
  <c r="Z282" i="1"/>
  <c r="Z551" i="1" s="1"/>
  <c r="Z181" i="1"/>
  <c r="Y546" i="1"/>
  <c r="Z31" i="1"/>
  <c r="Y548" i="1"/>
  <c r="Y549" i="1" l="1"/>
</calcChain>
</file>

<file path=xl/sharedStrings.xml><?xml version="1.0" encoding="utf-8"?>
<sst xmlns="http://schemas.openxmlformats.org/spreadsheetml/2006/main" count="2462" uniqueCount="893">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</sst>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5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6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0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2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695" t="s">
        <v>0</v>
      </c>
      <c r="E1" s="651"/>
      <c r="F1" s="651"/>
      <c r="G1" s="12" t="s">
        <v>1</v>
      </c>
      <c r="H1" s="695" t="s">
        <v>2</v>
      </c>
      <c r="I1" s="651"/>
      <c r="J1" s="651"/>
      <c r="K1" s="651"/>
      <c r="L1" s="651"/>
      <c r="M1" s="651"/>
      <c r="N1" s="651"/>
      <c r="O1" s="651"/>
      <c r="P1" s="651"/>
      <c r="Q1" s="651"/>
      <c r="R1" s="650" t="s">
        <v>3</v>
      </c>
      <c r="S1" s="651"/>
      <c r="T1" s="65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3"/>
      <c r="R2" s="633"/>
      <c r="S2" s="633"/>
      <c r="T2" s="633"/>
      <c r="U2" s="633"/>
      <c r="V2" s="633"/>
      <c r="W2" s="633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3"/>
      <c r="Q3" s="633"/>
      <c r="R3" s="633"/>
      <c r="S3" s="633"/>
      <c r="T3" s="633"/>
      <c r="U3" s="633"/>
      <c r="V3" s="633"/>
      <c r="W3" s="633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5" t="s">
        <v>8</v>
      </c>
      <c r="B5" s="675"/>
      <c r="C5" s="676"/>
      <c r="D5" s="701"/>
      <c r="E5" s="702"/>
      <c r="F5" s="932" t="s">
        <v>9</v>
      </c>
      <c r="G5" s="676"/>
      <c r="H5" s="701"/>
      <c r="I5" s="871"/>
      <c r="J5" s="871"/>
      <c r="K5" s="871"/>
      <c r="L5" s="871"/>
      <c r="M5" s="702"/>
      <c r="N5" s="58"/>
      <c r="P5" s="24" t="s">
        <v>10</v>
      </c>
      <c r="Q5" s="946">
        <v>46305</v>
      </c>
      <c r="R5" s="742"/>
      <c r="T5" s="792" t="s">
        <v>11</v>
      </c>
      <c r="U5" s="793"/>
      <c r="V5" s="794" t="s">
        <v>12</v>
      </c>
      <c r="W5" s="742"/>
      <c r="AB5" s="51"/>
      <c r="AC5" s="51"/>
      <c r="AD5" s="51"/>
      <c r="AE5" s="51"/>
    </row>
    <row r="6" spans="1:32" s="611" customFormat="1" ht="24" customHeight="1" x14ac:dyDescent="0.2">
      <c r="A6" s="745" t="s">
        <v>13</v>
      </c>
      <c r="B6" s="675"/>
      <c r="C6" s="676"/>
      <c r="D6" s="873"/>
      <c r="E6" s="874"/>
      <c r="F6" s="874"/>
      <c r="G6" s="874"/>
      <c r="H6" s="874"/>
      <c r="I6" s="874"/>
      <c r="J6" s="874"/>
      <c r="K6" s="874"/>
      <c r="L6" s="874"/>
      <c r="M6" s="742"/>
      <c r="N6" s="59"/>
      <c r="P6" s="24" t="s">
        <v>14</v>
      </c>
      <c r="Q6" s="959" t="str">
        <f>IF(Q5=0," ",CHOOSE(WEEKDAY(Q5,2),"Понедельник","Вторник","Среда","Четверг","Пятница","Суббота","Воскресенье"))</f>
        <v>Суббота</v>
      </c>
      <c r="R6" s="631"/>
      <c r="T6" s="800" t="s">
        <v>15</v>
      </c>
      <c r="U6" s="793"/>
      <c r="V6" s="856" t="s">
        <v>16</v>
      </c>
      <c r="W6" s="666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78">
        <f>IFERROR(VLOOKUP(DeliveryAddress,Table,3,0),1)</f>
        <v>1</v>
      </c>
      <c r="E7" s="679"/>
      <c r="F7" s="679"/>
      <c r="G7" s="679"/>
      <c r="H7" s="679"/>
      <c r="I7" s="679"/>
      <c r="J7" s="679"/>
      <c r="K7" s="679"/>
      <c r="L7" s="679"/>
      <c r="M7" s="680"/>
      <c r="N7" s="60"/>
      <c r="P7" s="24"/>
      <c r="Q7" s="42"/>
      <c r="R7" s="42"/>
      <c r="T7" s="633"/>
      <c r="U7" s="793"/>
      <c r="V7" s="857"/>
      <c r="W7" s="858"/>
      <c r="AB7" s="51"/>
      <c r="AC7" s="51"/>
      <c r="AD7" s="51"/>
      <c r="AE7" s="51"/>
    </row>
    <row r="8" spans="1:32" s="611" customFormat="1" ht="25.5" customHeight="1" x14ac:dyDescent="0.2">
      <c r="A8" s="973" t="s">
        <v>17</v>
      </c>
      <c r="B8" s="638"/>
      <c r="C8" s="639"/>
      <c r="D8" s="690"/>
      <c r="E8" s="691"/>
      <c r="F8" s="691"/>
      <c r="G8" s="691"/>
      <c r="H8" s="691"/>
      <c r="I8" s="691"/>
      <c r="J8" s="691"/>
      <c r="K8" s="691"/>
      <c r="L8" s="691"/>
      <c r="M8" s="692"/>
      <c r="N8" s="61"/>
      <c r="P8" s="24" t="s">
        <v>18</v>
      </c>
      <c r="Q8" s="752">
        <v>0.41666666666666669</v>
      </c>
      <c r="R8" s="680"/>
      <c r="T8" s="633"/>
      <c r="U8" s="793"/>
      <c r="V8" s="857"/>
      <c r="W8" s="858"/>
      <c r="AB8" s="51"/>
      <c r="AC8" s="51"/>
      <c r="AD8" s="51"/>
      <c r="AE8" s="51"/>
    </row>
    <row r="9" spans="1:32" s="611" customFormat="1" ht="39.950000000000003" customHeight="1" x14ac:dyDescent="0.2">
      <c r="A9" s="7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3"/>
      <c r="C9" s="633"/>
      <c r="D9" s="765"/>
      <c r="E9" s="642"/>
      <c r="F9" s="7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3"/>
      <c r="H9" s="641" t="str">
        <f>IF(AND($A$9="Тип доверенности/получателя при получении в адресе перегруза:",$D$9="Разовая доверенность"),"Введите ФИО","")</f>
        <v/>
      </c>
      <c r="I9" s="642"/>
      <c r="J9" s="64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2"/>
      <c r="L9" s="642"/>
      <c r="M9" s="642"/>
      <c r="N9" s="609"/>
      <c r="P9" s="26" t="s">
        <v>19</v>
      </c>
      <c r="Q9" s="738"/>
      <c r="R9" s="739"/>
      <c r="T9" s="633"/>
      <c r="U9" s="793"/>
      <c r="V9" s="859"/>
      <c r="W9" s="860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7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3"/>
      <c r="C10" s="633"/>
      <c r="D10" s="765"/>
      <c r="E10" s="642"/>
      <c r="F10" s="7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3"/>
      <c r="H10" s="849" t="str">
        <f>IFERROR(VLOOKUP($D$10,Proxy,2,FALSE),"")</f>
        <v/>
      </c>
      <c r="I10" s="633"/>
      <c r="J10" s="633"/>
      <c r="K10" s="633"/>
      <c r="L10" s="633"/>
      <c r="M10" s="633"/>
      <c r="N10" s="610"/>
      <c r="P10" s="26" t="s">
        <v>20</v>
      </c>
      <c r="Q10" s="801"/>
      <c r="R10" s="802"/>
      <c r="U10" s="24" t="s">
        <v>21</v>
      </c>
      <c r="V10" s="665" t="s">
        <v>22</v>
      </c>
      <c r="W10" s="666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41"/>
      <c r="R11" s="742"/>
      <c r="U11" s="24" t="s">
        <v>25</v>
      </c>
      <c r="V11" s="897" t="s">
        <v>26</v>
      </c>
      <c r="W11" s="739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87" t="s">
        <v>27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6"/>
      <c r="N12" s="62"/>
      <c r="P12" s="24" t="s">
        <v>28</v>
      </c>
      <c r="Q12" s="752"/>
      <c r="R12" s="680"/>
      <c r="S12" s="23"/>
      <c r="U12" s="24"/>
      <c r="V12" s="651"/>
      <c r="W12" s="633"/>
      <c r="AB12" s="51"/>
      <c r="AC12" s="51"/>
      <c r="AD12" s="51"/>
      <c r="AE12" s="51"/>
    </row>
    <row r="13" spans="1:32" s="611" customFormat="1" ht="23.25" customHeight="1" x14ac:dyDescent="0.2">
      <c r="A13" s="787" t="s">
        <v>29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6"/>
      <c r="N13" s="62"/>
      <c r="O13" s="26"/>
      <c r="P13" s="26" t="s">
        <v>30</v>
      </c>
      <c r="Q13" s="897"/>
      <c r="R13" s="73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87" t="s">
        <v>31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21" t="s">
        <v>32</v>
      </c>
      <c r="B15" s="675"/>
      <c r="C15" s="675"/>
      <c r="D15" s="675"/>
      <c r="E15" s="675"/>
      <c r="F15" s="675"/>
      <c r="G15" s="675"/>
      <c r="H15" s="675"/>
      <c r="I15" s="675"/>
      <c r="J15" s="675"/>
      <c r="K15" s="675"/>
      <c r="L15" s="675"/>
      <c r="M15" s="676"/>
      <c r="N15" s="63"/>
      <c r="P15" s="777" t="s">
        <v>33</v>
      </c>
      <c r="Q15" s="651"/>
      <c r="R15" s="651"/>
      <c r="S15" s="651"/>
      <c r="T15" s="65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8"/>
      <c r="Q16" s="778"/>
      <c r="R16" s="778"/>
      <c r="S16" s="778"/>
      <c r="T16" s="77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2" t="s">
        <v>34</v>
      </c>
      <c r="B17" s="662" t="s">
        <v>35</v>
      </c>
      <c r="C17" s="759" t="s">
        <v>36</v>
      </c>
      <c r="D17" s="662" t="s">
        <v>37</v>
      </c>
      <c r="E17" s="723"/>
      <c r="F17" s="662" t="s">
        <v>38</v>
      </c>
      <c r="G17" s="662" t="s">
        <v>39</v>
      </c>
      <c r="H17" s="662" t="s">
        <v>40</v>
      </c>
      <c r="I17" s="662" t="s">
        <v>41</v>
      </c>
      <c r="J17" s="662" t="s">
        <v>42</v>
      </c>
      <c r="K17" s="662" t="s">
        <v>43</v>
      </c>
      <c r="L17" s="662" t="s">
        <v>44</v>
      </c>
      <c r="M17" s="662" t="s">
        <v>45</v>
      </c>
      <c r="N17" s="662" t="s">
        <v>46</v>
      </c>
      <c r="O17" s="662" t="s">
        <v>47</v>
      </c>
      <c r="P17" s="662" t="s">
        <v>48</v>
      </c>
      <c r="Q17" s="722"/>
      <c r="R17" s="722"/>
      <c r="S17" s="722"/>
      <c r="T17" s="723"/>
      <c r="U17" s="972" t="s">
        <v>49</v>
      </c>
      <c r="V17" s="676"/>
      <c r="W17" s="662" t="s">
        <v>50</v>
      </c>
      <c r="X17" s="662" t="s">
        <v>51</v>
      </c>
      <c r="Y17" s="970" t="s">
        <v>52</v>
      </c>
      <c r="Z17" s="869" t="s">
        <v>53</v>
      </c>
      <c r="AA17" s="847" t="s">
        <v>54</v>
      </c>
      <c r="AB17" s="847" t="s">
        <v>55</v>
      </c>
      <c r="AC17" s="847" t="s">
        <v>56</v>
      </c>
      <c r="AD17" s="847" t="s">
        <v>57</v>
      </c>
      <c r="AE17" s="927"/>
      <c r="AF17" s="928"/>
      <c r="AG17" s="66"/>
      <c r="BD17" s="65" t="s">
        <v>58</v>
      </c>
    </row>
    <row r="18" spans="1:68" ht="14.25" customHeight="1" x14ac:dyDescent="0.2">
      <c r="A18" s="663"/>
      <c r="B18" s="663"/>
      <c r="C18" s="663"/>
      <c r="D18" s="724"/>
      <c r="E18" s="726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724"/>
      <c r="Q18" s="725"/>
      <c r="R18" s="725"/>
      <c r="S18" s="725"/>
      <c r="T18" s="726"/>
      <c r="U18" s="67" t="s">
        <v>59</v>
      </c>
      <c r="V18" s="67" t="s">
        <v>60</v>
      </c>
      <c r="W18" s="663"/>
      <c r="X18" s="663"/>
      <c r="Y18" s="971"/>
      <c r="Z18" s="870"/>
      <c r="AA18" s="848"/>
      <c r="AB18" s="848"/>
      <c r="AC18" s="848"/>
      <c r="AD18" s="929"/>
      <c r="AE18" s="930"/>
      <c r="AF18" s="931"/>
      <c r="AG18" s="66"/>
      <c r="BD18" s="65"/>
    </row>
    <row r="19" spans="1:68" ht="27.75" hidden="1" customHeight="1" x14ac:dyDescent="0.2">
      <c r="A19" s="788" t="s">
        <v>61</v>
      </c>
      <c r="B19" s="789"/>
      <c r="C19" s="789"/>
      <c r="D19" s="789"/>
      <c r="E19" s="789"/>
      <c r="F19" s="789"/>
      <c r="G19" s="789"/>
      <c r="H19" s="789"/>
      <c r="I19" s="789"/>
      <c r="J19" s="789"/>
      <c r="K19" s="789"/>
      <c r="L19" s="789"/>
      <c r="M19" s="789"/>
      <c r="N19" s="789"/>
      <c r="O19" s="789"/>
      <c r="P19" s="789"/>
      <c r="Q19" s="789"/>
      <c r="R19" s="789"/>
      <c r="S19" s="789"/>
      <c r="T19" s="789"/>
      <c r="U19" s="789"/>
      <c r="V19" s="789"/>
      <c r="W19" s="789"/>
      <c r="X19" s="789"/>
      <c r="Y19" s="789"/>
      <c r="Z19" s="789"/>
      <c r="AA19" s="48"/>
      <c r="AB19" s="48"/>
      <c r="AC19" s="48"/>
    </row>
    <row r="20" spans="1:68" ht="16.5" hidden="1" customHeight="1" x14ac:dyDescent="0.25">
      <c r="A20" s="640" t="s">
        <v>61</v>
      </c>
      <c r="B20" s="633"/>
      <c r="C20" s="633"/>
      <c r="D20" s="633"/>
      <c r="E20" s="633"/>
      <c r="F20" s="633"/>
      <c r="G20" s="633"/>
      <c r="H20" s="633"/>
      <c r="I20" s="633"/>
      <c r="J20" s="633"/>
      <c r="K20" s="633"/>
      <c r="L20" s="633"/>
      <c r="M20" s="633"/>
      <c r="N20" s="633"/>
      <c r="O20" s="633"/>
      <c r="P20" s="633"/>
      <c r="Q20" s="633"/>
      <c r="R20" s="633"/>
      <c r="S20" s="633"/>
      <c r="T20" s="633"/>
      <c r="U20" s="633"/>
      <c r="V20" s="633"/>
      <c r="W20" s="633"/>
      <c r="X20" s="633"/>
      <c r="Y20" s="633"/>
      <c r="Z20" s="633"/>
      <c r="AA20" s="612"/>
      <c r="AB20" s="612"/>
      <c r="AC20" s="612"/>
    </row>
    <row r="21" spans="1:68" ht="14.25" hidden="1" customHeight="1" x14ac:dyDescent="0.25">
      <c r="A21" s="636" t="s">
        <v>62</v>
      </c>
      <c r="B21" s="633"/>
      <c r="C21" s="633"/>
      <c r="D21" s="633"/>
      <c r="E21" s="633"/>
      <c r="F21" s="633"/>
      <c r="G21" s="633"/>
      <c r="H21" s="633"/>
      <c r="I21" s="633"/>
      <c r="J21" s="633"/>
      <c r="K21" s="633"/>
      <c r="L21" s="633"/>
      <c r="M21" s="633"/>
      <c r="N21" s="633"/>
      <c r="O21" s="633"/>
      <c r="P21" s="633"/>
      <c r="Q21" s="633"/>
      <c r="R21" s="633"/>
      <c r="S21" s="633"/>
      <c r="T21" s="633"/>
      <c r="U21" s="633"/>
      <c r="V21" s="633"/>
      <c r="W21" s="633"/>
      <c r="X21" s="633"/>
      <c r="Y21" s="633"/>
      <c r="Z21" s="633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0">
        <v>4680115889071</v>
      </c>
      <c r="E22" s="631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2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7" t="s">
        <v>69</v>
      </c>
      <c r="Q23" s="638"/>
      <c r="R23" s="638"/>
      <c r="S23" s="638"/>
      <c r="T23" s="638"/>
      <c r="U23" s="638"/>
      <c r="V23" s="639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7" t="s">
        <v>69</v>
      </c>
      <c r="Q24" s="638"/>
      <c r="R24" s="638"/>
      <c r="S24" s="638"/>
      <c r="T24" s="638"/>
      <c r="U24" s="638"/>
      <c r="V24" s="639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6" t="s">
        <v>71</v>
      </c>
      <c r="B25" s="633"/>
      <c r="C25" s="633"/>
      <c r="D25" s="633"/>
      <c r="E25" s="633"/>
      <c r="F25" s="633"/>
      <c r="G25" s="633"/>
      <c r="H25" s="633"/>
      <c r="I25" s="633"/>
      <c r="J25" s="633"/>
      <c r="K25" s="633"/>
      <c r="L25" s="633"/>
      <c r="M25" s="633"/>
      <c r="N25" s="633"/>
      <c r="O25" s="633"/>
      <c r="P25" s="633"/>
      <c r="Q25" s="633"/>
      <c r="R25" s="633"/>
      <c r="S25" s="633"/>
      <c r="T25" s="633"/>
      <c r="U25" s="633"/>
      <c r="V25" s="633"/>
      <c r="W25" s="633"/>
      <c r="X25" s="633"/>
      <c r="Y25" s="633"/>
      <c r="Z25" s="633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0">
        <v>4680115885912</v>
      </c>
      <c r="E26" s="631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1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2"/>
      <c r="R26" s="622"/>
      <c r="S26" s="622"/>
      <c r="T26" s="623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0">
        <v>4607091388237</v>
      </c>
      <c r="E27" s="631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2"/>
      <c r="R27" s="622"/>
      <c r="S27" s="622"/>
      <c r="T27" s="623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0">
        <v>4680115887350</v>
      </c>
      <c r="E28" s="631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5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2"/>
      <c r="R28" s="622"/>
      <c r="S28" s="622"/>
      <c r="T28" s="623"/>
      <c r="U28" s="34"/>
      <c r="V28" s="34"/>
      <c r="W28" s="35" t="s">
        <v>67</v>
      </c>
      <c r="X28" s="617">
        <v>0</v>
      </c>
      <c r="Y28" s="61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0">
        <v>4680115885905</v>
      </c>
      <c r="E29" s="631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7">
        <v>0</v>
      </c>
      <c r="Y29" s="61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0">
        <v>4680115887619</v>
      </c>
      <c r="E30" s="631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5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32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7" t="s">
        <v>69</v>
      </c>
      <c r="Q31" s="638"/>
      <c r="R31" s="638"/>
      <c r="S31" s="638"/>
      <c r="T31" s="638"/>
      <c r="U31" s="638"/>
      <c r="V31" s="639"/>
      <c r="W31" s="37" t="s">
        <v>70</v>
      </c>
      <c r="X31" s="619">
        <f>IFERROR(X26/H26,"0")+IFERROR(X27/H27,"0")+IFERROR(X28/H28,"0")+IFERROR(X29/H29,"0")+IFERROR(X30/H30,"0")</f>
        <v>0</v>
      </c>
      <c r="Y31" s="619">
        <f>IFERROR(Y26/H26,"0")+IFERROR(Y27/H27,"0")+IFERROR(Y28/H28,"0")+IFERROR(Y29/H29,"0")+IFERROR(Y30/H30,"0")</f>
        <v>0</v>
      </c>
      <c r="Z31" s="619">
        <f>IFERROR(IF(Z26="",0,Z26),"0")+IFERROR(IF(Z27="",0,Z27),"0")+IFERROR(IF(Z28="",0,Z28),"0")+IFERROR(IF(Z29="",0,Z29),"0")+IFERROR(IF(Z30="",0,Z30),"0")</f>
        <v>0</v>
      </c>
      <c r="AA31" s="620"/>
      <c r="AB31" s="620"/>
      <c r="AC31" s="620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7" t="s">
        <v>69</v>
      </c>
      <c r="Q32" s="638"/>
      <c r="R32" s="638"/>
      <c r="S32" s="638"/>
      <c r="T32" s="638"/>
      <c r="U32" s="638"/>
      <c r="V32" s="639"/>
      <c r="W32" s="37" t="s">
        <v>67</v>
      </c>
      <c r="X32" s="619">
        <f>IFERROR(SUM(X26:X30),"0")</f>
        <v>0</v>
      </c>
      <c r="Y32" s="619">
        <f>IFERROR(SUM(Y26:Y30),"0")</f>
        <v>0</v>
      </c>
      <c r="Z32" s="37"/>
      <c r="AA32" s="620"/>
      <c r="AB32" s="620"/>
      <c r="AC32" s="620"/>
    </row>
    <row r="33" spans="1:68" ht="27.75" hidden="1" customHeight="1" x14ac:dyDescent="0.2">
      <c r="A33" s="788" t="s">
        <v>89</v>
      </c>
      <c r="B33" s="789"/>
      <c r="C33" s="789"/>
      <c r="D33" s="789"/>
      <c r="E33" s="789"/>
      <c r="F33" s="789"/>
      <c r="G33" s="789"/>
      <c r="H33" s="789"/>
      <c r="I33" s="789"/>
      <c r="J33" s="789"/>
      <c r="K33" s="789"/>
      <c r="L33" s="789"/>
      <c r="M33" s="789"/>
      <c r="N33" s="789"/>
      <c r="O33" s="789"/>
      <c r="P33" s="789"/>
      <c r="Q33" s="789"/>
      <c r="R33" s="789"/>
      <c r="S33" s="789"/>
      <c r="T33" s="789"/>
      <c r="U33" s="789"/>
      <c r="V33" s="789"/>
      <c r="W33" s="789"/>
      <c r="X33" s="789"/>
      <c r="Y33" s="789"/>
      <c r="Z33" s="789"/>
      <c r="AA33" s="48"/>
      <c r="AB33" s="48"/>
      <c r="AC33" s="48"/>
    </row>
    <row r="34" spans="1:68" ht="16.5" hidden="1" customHeight="1" x14ac:dyDescent="0.25">
      <c r="A34" s="640" t="s">
        <v>90</v>
      </c>
      <c r="B34" s="633"/>
      <c r="C34" s="633"/>
      <c r="D34" s="633"/>
      <c r="E34" s="633"/>
      <c r="F34" s="633"/>
      <c r="G34" s="633"/>
      <c r="H34" s="633"/>
      <c r="I34" s="633"/>
      <c r="J34" s="633"/>
      <c r="K34" s="633"/>
      <c r="L34" s="633"/>
      <c r="M34" s="633"/>
      <c r="N34" s="633"/>
      <c r="O34" s="633"/>
      <c r="P34" s="633"/>
      <c r="Q34" s="633"/>
      <c r="R34" s="633"/>
      <c r="S34" s="633"/>
      <c r="T34" s="633"/>
      <c r="U34" s="633"/>
      <c r="V34" s="633"/>
      <c r="W34" s="633"/>
      <c r="X34" s="633"/>
      <c r="Y34" s="633"/>
      <c r="Z34" s="633"/>
      <c r="AA34" s="612"/>
      <c r="AB34" s="612"/>
      <c r="AC34" s="612"/>
    </row>
    <row r="35" spans="1:68" ht="14.25" hidden="1" customHeight="1" x14ac:dyDescent="0.25">
      <c r="A35" s="636" t="s">
        <v>71</v>
      </c>
      <c r="B35" s="633"/>
      <c r="C35" s="633"/>
      <c r="D35" s="633"/>
      <c r="E35" s="633"/>
      <c r="F35" s="633"/>
      <c r="G35" s="633"/>
      <c r="H35" s="633"/>
      <c r="I35" s="633"/>
      <c r="J35" s="633"/>
      <c r="K35" s="633"/>
      <c r="L35" s="633"/>
      <c r="M35" s="633"/>
      <c r="N35" s="633"/>
      <c r="O35" s="633"/>
      <c r="P35" s="633"/>
      <c r="Q35" s="633"/>
      <c r="R35" s="633"/>
      <c r="S35" s="633"/>
      <c r="T35" s="633"/>
      <c r="U35" s="633"/>
      <c r="V35" s="633"/>
      <c r="W35" s="633"/>
      <c r="X35" s="633"/>
      <c r="Y35" s="633"/>
      <c r="Z35" s="633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30">
        <v>4680115889354</v>
      </c>
      <c r="E36" s="631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1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2"/>
      <c r="R36" s="622"/>
      <c r="S36" s="622"/>
      <c r="T36" s="623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30">
        <v>4680115888463</v>
      </c>
      <c r="E37" s="631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2"/>
      <c r="R37" s="622"/>
      <c r="S37" s="622"/>
      <c r="T37" s="623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30">
        <v>4680115889590</v>
      </c>
      <c r="E38" s="631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6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2"/>
      <c r="R38" s="622"/>
      <c r="S38" s="622"/>
      <c r="T38" s="623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30">
        <v>4680115888272</v>
      </c>
      <c r="E39" s="631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2"/>
      <c r="R39" s="622"/>
      <c r="S39" s="622"/>
      <c r="T39" s="623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30">
        <v>4680115888364</v>
      </c>
      <c r="E40" s="631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2"/>
      <c r="R40" s="622"/>
      <c r="S40" s="622"/>
      <c r="T40" s="623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2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7" t="s">
        <v>69</v>
      </c>
      <c r="Q41" s="638"/>
      <c r="R41" s="638"/>
      <c r="S41" s="638"/>
      <c r="T41" s="638"/>
      <c r="U41" s="638"/>
      <c r="V41" s="639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7" t="s">
        <v>69</v>
      </c>
      <c r="Q42" s="638"/>
      <c r="R42" s="638"/>
      <c r="S42" s="638"/>
      <c r="T42" s="638"/>
      <c r="U42" s="638"/>
      <c r="V42" s="639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88" t="s">
        <v>106</v>
      </c>
      <c r="B43" s="789"/>
      <c r="C43" s="789"/>
      <c r="D43" s="789"/>
      <c r="E43" s="789"/>
      <c r="F43" s="789"/>
      <c r="G43" s="789"/>
      <c r="H43" s="789"/>
      <c r="I43" s="789"/>
      <c r="J43" s="789"/>
      <c r="K43" s="789"/>
      <c r="L43" s="789"/>
      <c r="M43" s="789"/>
      <c r="N43" s="789"/>
      <c r="O43" s="789"/>
      <c r="P43" s="789"/>
      <c r="Q43" s="789"/>
      <c r="R43" s="789"/>
      <c r="S43" s="789"/>
      <c r="T43" s="789"/>
      <c r="U43" s="789"/>
      <c r="V43" s="789"/>
      <c r="W43" s="789"/>
      <c r="X43" s="789"/>
      <c r="Y43" s="789"/>
      <c r="Z43" s="789"/>
      <c r="AA43" s="48"/>
      <c r="AB43" s="48"/>
      <c r="AC43" s="48"/>
    </row>
    <row r="44" spans="1:68" ht="16.5" hidden="1" customHeight="1" x14ac:dyDescent="0.25">
      <c r="A44" s="640" t="s">
        <v>107</v>
      </c>
      <c r="B44" s="633"/>
      <c r="C44" s="633"/>
      <c r="D44" s="633"/>
      <c r="E44" s="633"/>
      <c r="F44" s="633"/>
      <c r="G44" s="633"/>
      <c r="H44" s="633"/>
      <c r="I44" s="633"/>
      <c r="J44" s="633"/>
      <c r="K44" s="633"/>
      <c r="L44" s="633"/>
      <c r="M44" s="633"/>
      <c r="N44" s="633"/>
      <c r="O44" s="633"/>
      <c r="P44" s="633"/>
      <c r="Q44" s="633"/>
      <c r="R44" s="633"/>
      <c r="S44" s="633"/>
      <c r="T44" s="633"/>
      <c r="U44" s="633"/>
      <c r="V44" s="633"/>
      <c r="W44" s="633"/>
      <c r="X44" s="633"/>
      <c r="Y44" s="633"/>
      <c r="Z44" s="633"/>
      <c r="AA44" s="612"/>
      <c r="AB44" s="612"/>
      <c r="AC44" s="612"/>
    </row>
    <row r="45" spans="1:68" ht="14.25" hidden="1" customHeight="1" x14ac:dyDescent="0.25">
      <c r="A45" s="636" t="s">
        <v>108</v>
      </c>
      <c r="B45" s="633"/>
      <c r="C45" s="633"/>
      <c r="D45" s="633"/>
      <c r="E45" s="633"/>
      <c r="F45" s="633"/>
      <c r="G45" s="633"/>
      <c r="H45" s="633"/>
      <c r="I45" s="633"/>
      <c r="J45" s="633"/>
      <c r="K45" s="633"/>
      <c r="L45" s="633"/>
      <c r="M45" s="633"/>
      <c r="N45" s="633"/>
      <c r="O45" s="633"/>
      <c r="P45" s="633"/>
      <c r="Q45" s="633"/>
      <c r="R45" s="633"/>
      <c r="S45" s="633"/>
      <c r="T45" s="633"/>
      <c r="U45" s="633"/>
      <c r="V45" s="633"/>
      <c r="W45" s="633"/>
      <c r="X45" s="633"/>
      <c r="Y45" s="633"/>
      <c r="Z45" s="633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30">
        <v>4607091385670</v>
      </c>
      <c r="E46" s="631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2"/>
      <c r="R46" s="622"/>
      <c r="S46" s="622"/>
      <c r="T46" s="623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30">
        <v>4680115887725</v>
      </c>
      <c r="E47" s="631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1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2"/>
      <c r="R47" s="622"/>
      <c r="S47" s="622"/>
      <c r="T47" s="623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30">
        <v>4607091385687</v>
      </c>
      <c r="E48" s="631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2"/>
      <c r="R48" s="622"/>
      <c r="S48" s="622"/>
      <c r="T48" s="623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4301011565</v>
      </c>
      <c r="D49" s="630">
        <v>4680115882539</v>
      </c>
      <c r="E49" s="631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9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2"/>
      <c r="R49" s="622"/>
      <c r="S49" s="622"/>
      <c r="T49" s="623"/>
      <c r="U49" s="34"/>
      <c r="V49" s="34"/>
      <c r="W49" s="35" t="s">
        <v>67</v>
      </c>
      <c r="X49" s="617">
        <v>0</v>
      </c>
      <c r="Y49" s="618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idden="1" x14ac:dyDescent="0.2">
      <c r="A50" s="632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7" t="s">
        <v>69</v>
      </c>
      <c r="Q50" s="638"/>
      <c r="R50" s="638"/>
      <c r="S50" s="638"/>
      <c r="T50" s="638"/>
      <c r="U50" s="638"/>
      <c r="V50" s="639"/>
      <c r="W50" s="37" t="s">
        <v>70</v>
      </c>
      <c r="X50" s="619">
        <f>IFERROR(X46/H46,"0")+IFERROR(X47/H47,"0")+IFERROR(X48/H48,"0")+IFERROR(X49/H49,"0")</f>
        <v>0</v>
      </c>
      <c r="Y50" s="619">
        <f>IFERROR(Y46/H46,"0")+IFERROR(Y47/H47,"0")+IFERROR(Y48/H48,"0")+IFERROR(Y49/H49,"0")</f>
        <v>0</v>
      </c>
      <c r="Z50" s="619">
        <f>IFERROR(IF(Z46="",0,Z46),"0")+IFERROR(IF(Z47="",0,Z47),"0")+IFERROR(IF(Z48="",0,Z48),"0")+IFERROR(IF(Z49="",0,Z49),"0")</f>
        <v>0</v>
      </c>
      <c r="AA50" s="620"/>
      <c r="AB50" s="620"/>
      <c r="AC50" s="620"/>
    </row>
    <row r="51" spans="1:68" hidden="1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7" t="s">
        <v>69</v>
      </c>
      <c r="Q51" s="638"/>
      <c r="R51" s="638"/>
      <c r="S51" s="638"/>
      <c r="T51" s="638"/>
      <c r="U51" s="638"/>
      <c r="V51" s="639"/>
      <c r="W51" s="37" t="s">
        <v>67</v>
      </c>
      <c r="X51" s="619">
        <f>IFERROR(SUM(X46:X49),"0")</f>
        <v>0</v>
      </c>
      <c r="Y51" s="619">
        <f>IFERROR(SUM(Y46:Y49),"0")</f>
        <v>0</v>
      </c>
      <c r="Z51" s="37"/>
      <c r="AA51" s="620"/>
      <c r="AB51" s="620"/>
      <c r="AC51" s="620"/>
    </row>
    <row r="52" spans="1:68" ht="16.5" hidden="1" customHeight="1" x14ac:dyDescent="0.25">
      <c r="A52" s="640" t="s">
        <v>123</v>
      </c>
      <c r="B52" s="633"/>
      <c r="C52" s="633"/>
      <c r="D52" s="633"/>
      <c r="E52" s="633"/>
      <c r="F52" s="633"/>
      <c r="G52" s="633"/>
      <c r="H52" s="633"/>
      <c r="I52" s="633"/>
      <c r="J52" s="633"/>
      <c r="K52" s="633"/>
      <c r="L52" s="633"/>
      <c r="M52" s="633"/>
      <c r="N52" s="633"/>
      <c r="O52" s="633"/>
      <c r="P52" s="633"/>
      <c r="Q52" s="633"/>
      <c r="R52" s="633"/>
      <c r="S52" s="633"/>
      <c r="T52" s="633"/>
      <c r="U52" s="633"/>
      <c r="V52" s="633"/>
      <c r="W52" s="633"/>
      <c r="X52" s="633"/>
      <c r="Y52" s="633"/>
      <c r="Z52" s="633"/>
      <c r="AA52" s="612"/>
      <c r="AB52" s="612"/>
      <c r="AC52" s="612"/>
    </row>
    <row r="53" spans="1:68" ht="14.25" hidden="1" customHeight="1" x14ac:dyDescent="0.25">
      <c r="A53" s="636" t="s">
        <v>108</v>
      </c>
      <c r="B53" s="633"/>
      <c r="C53" s="633"/>
      <c r="D53" s="633"/>
      <c r="E53" s="633"/>
      <c r="F53" s="633"/>
      <c r="G53" s="633"/>
      <c r="H53" s="633"/>
      <c r="I53" s="633"/>
      <c r="J53" s="633"/>
      <c r="K53" s="633"/>
      <c r="L53" s="633"/>
      <c r="M53" s="633"/>
      <c r="N53" s="633"/>
      <c r="O53" s="633"/>
      <c r="P53" s="633"/>
      <c r="Q53" s="633"/>
      <c r="R53" s="633"/>
      <c r="S53" s="633"/>
      <c r="T53" s="633"/>
      <c r="U53" s="633"/>
      <c r="V53" s="633"/>
      <c r="W53" s="633"/>
      <c r="X53" s="633"/>
      <c r="Y53" s="633"/>
      <c r="Z53" s="633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30">
        <v>4680115885882</v>
      </c>
      <c r="E54" s="631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7">
        <v>28</v>
      </c>
      <c r="Y54" s="618">
        <f t="shared" ref="Y54:Y61" si="0">IFERROR(IF(X54="",0,CEILING((X54/$H54),1)*$H54),"")</f>
        <v>33.599999999999994</v>
      </c>
      <c r="Z54" s="36">
        <f>IFERROR(IF(Y54=0,"",ROUNDUP(Y54/H54,0)*0.01898),"")</f>
        <v>5.6940000000000004E-2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29.025000000000002</v>
      </c>
      <c r="BN54" s="64">
        <f t="shared" ref="BN54:BN61" si="2">IFERROR(Y54*I54/H54,"0")</f>
        <v>34.829999999999991</v>
      </c>
      <c r="BO54" s="64">
        <f t="shared" ref="BO54:BO61" si="3">IFERROR(1/J54*(X54/H54),"0")</f>
        <v>3.90625E-2</v>
      </c>
      <c r="BP54" s="64">
        <f t="shared" ref="BP54:BP61" si="4">IFERROR(1/J54*(Y54/H54),"0")</f>
        <v>4.6874999999999993E-2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30">
        <v>4680115881426</v>
      </c>
      <c r="E55" s="631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2"/>
      <c r="R55" s="622"/>
      <c r="S55" s="622"/>
      <c r="T55" s="623"/>
      <c r="U55" s="34"/>
      <c r="V55" s="34"/>
      <c r="W55" s="35" t="s">
        <v>67</v>
      </c>
      <c r="X55" s="617">
        <v>15</v>
      </c>
      <c r="Y55" s="618">
        <f t="shared" si="0"/>
        <v>21.6</v>
      </c>
      <c r="Z55" s="36">
        <f>IFERROR(IF(Y55=0,"",ROUNDUP(Y55/H55,0)*0.01898),"")</f>
        <v>3.7960000000000001E-2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15.569444444444445</v>
      </c>
      <c r="BN55" s="64">
        <f t="shared" si="2"/>
        <v>22.42</v>
      </c>
      <c r="BO55" s="64">
        <f t="shared" si="3"/>
        <v>2.1701388888888888E-2</v>
      </c>
      <c r="BP55" s="64">
        <f t="shared" si="4"/>
        <v>3.125E-2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30">
        <v>4680115881426</v>
      </c>
      <c r="E56" s="631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6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2"/>
      <c r="R56" s="622"/>
      <c r="S56" s="622"/>
      <c r="T56" s="623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30">
        <v>4680115880283</v>
      </c>
      <c r="E57" s="631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2"/>
      <c r="R57" s="622"/>
      <c r="S57" s="622"/>
      <c r="T57" s="623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4301011806</v>
      </c>
      <c r="D58" s="630">
        <v>4680115881525</v>
      </c>
      <c r="E58" s="631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98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2"/>
      <c r="R58" s="622"/>
      <c r="S58" s="622"/>
      <c r="T58" s="623"/>
      <c r="U58" s="34"/>
      <c r="V58" s="34"/>
      <c r="W58" s="35" t="s">
        <v>67</v>
      </c>
      <c r="X58" s="617">
        <v>0</v>
      </c>
      <c r="Y58" s="618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30">
        <v>4680115881525</v>
      </c>
      <c r="E59" s="631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30">
        <v>4680115885899</v>
      </c>
      <c r="E60" s="631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96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4301012158</v>
      </c>
      <c r="D61" s="630">
        <v>4680115881419</v>
      </c>
      <c r="E61" s="631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7">
        <v>28</v>
      </c>
      <c r="Y61" s="618">
        <f t="shared" si="0"/>
        <v>31.5</v>
      </c>
      <c r="Z61" s="36">
        <f>IFERROR(IF(Y61=0,"",ROUNDUP(Y61/H61,0)*0.00902),"")</f>
        <v>6.3140000000000002E-2</v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29.182222222222226</v>
      </c>
      <c r="BN61" s="64">
        <f t="shared" si="2"/>
        <v>32.830000000000005</v>
      </c>
      <c r="BO61" s="64">
        <f t="shared" si="3"/>
        <v>4.7138047138047139E-2</v>
      </c>
      <c r="BP61" s="64">
        <f t="shared" si="4"/>
        <v>5.3030303030303032E-2</v>
      </c>
    </row>
    <row r="62" spans="1:68" x14ac:dyDescent="0.2">
      <c r="A62" s="632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7" t="s">
        <v>69</v>
      </c>
      <c r="Q62" s="638"/>
      <c r="R62" s="638"/>
      <c r="S62" s="638"/>
      <c r="T62" s="638"/>
      <c r="U62" s="638"/>
      <c r="V62" s="639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10.111111111111111</v>
      </c>
      <c r="Y62" s="619">
        <f>IFERROR(Y54/H54,"0")+IFERROR(Y55/H55,"0")+IFERROR(Y56/H56,"0")+IFERROR(Y57/H57,"0")+IFERROR(Y58/H58,"0")+IFERROR(Y59/H59,"0")+IFERROR(Y60/H60,"0")+IFERROR(Y61/H61,"0")</f>
        <v>12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0.15804000000000001</v>
      </c>
      <c r="AA62" s="620"/>
      <c r="AB62" s="620"/>
      <c r="AC62" s="620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7" t="s">
        <v>69</v>
      </c>
      <c r="Q63" s="638"/>
      <c r="R63" s="638"/>
      <c r="S63" s="638"/>
      <c r="T63" s="638"/>
      <c r="U63" s="638"/>
      <c r="V63" s="639"/>
      <c r="W63" s="37" t="s">
        <v>67</v>
      </c>
      <c r="X63" s="619">
        <f>IFERROR(SUM(X54:X61),"0")</f>
        <v>71</v>
      </c>
      <c r="Y63" s="619">
        <f>IFERROR(SUM(Y54:Y61),"0")</f>
        <v>86.699999999999989</v>
      </c>
      <c r="Z63" s="37"/>
      <c r="AA63" s="620"/>
      <c r="AB63" s="620"/>
      <c r="AC63" s="620"/>
    </row>
    <row r="64" spans="1:68" ht="14.25" hidden="1" customHeight="1" x14ac:dyDescent="0.25">
      <c r="A64" s="636" t="s">
        <v>143</v>
      </c>
      <c r="B64" s="633"/>
      <c r="C64" s="633"/>
      <c r="D64" s="633"/>
      <c r="E64" s="633"/>
      <c r="F64" s="633"/>
      <c r="G64" s="633"/>
      <c r="H64" s="633"/>
      <c r="I64" s="633"/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30">
        <v>4680115881440</v>
      </c>
      <c r="E65" s="631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30">
        <v>4680115885950</v>
      </c>
      <c r="E66" s="631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6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30">
        <v>4680115887688</v>
      </c>
      <c r="E67" s="631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2"/>
      <c r="R67" s="622"/>
      <c r="S67" s="622"/>
      <c r="T67" s="623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30">
        <v>4680115881433</v>
      </c>
      <c r="E68" s="631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77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2"/>
      <c r="R68" s="622"/>
      <c r="S68" s="622"/>
      <c r="T68" s="623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2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7" t="s">
        <v>69</v>
      </c>
      <c r="Q69" s="638"/>
      <c r="R69" s="638"/>
      <c r="S69" s="638"/>
      <c r="T69" s="638"/>
      <c r="U69" s="638"/>
      <c r="V69" s="639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7" t="s">
        <v>69</v>
      </c>
      <c r="Q70" s="638"/>
      <c r="R70" s="638"/>
      <c r="S70" s="638"/>
      <c r="T70" s="638"/>
      <c r="U70" s="638"/>
      <c r="V70" s="639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6" t="s">
        <v>71</v>
      </c>
      <c r="B71" s="633"/>
      <c r="C71" s="633"/>
      <c r="D71" s="633"/>
      <c r="E71" s="633"/>
      <c r="F71" s="633"/>
      <c r="G71" s="633"/>
      <c r="H71" s="633"/>
      <c r="I71" s="633"/>
      <c r="J71" s="633"/>
      <c r="K71" s="633"/>
      <c r="L71" s="633"/>
      <c r="M71" s="633"/>
      <c r="N71" s="633"/>
      <c r="O71" s="633"/>
      <c r="P71" s="633"/>
      <c r="Q71" s="633"/>
      <c r="R71" s="633"/>
      <c r="S71" s="633"/>
      <c r="T71" s="633"/>
      <c r="U71" s="633"/>
      <c r="V71" s="633"/>
      <c r="W71" s="633"/>
      <c r="X71" s="633"/>
      <c r="Y71" s="633"/>
      <c r="Z71" s="633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30">
        <v>4680115884311</v>
      </c>
      <c r="E72" s="631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30">
        <v>4680115884403</v>
      </c>
      <c r="E73" s="631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2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7" t="s">
        <v>69</v>
      </c>
      <c r="Q74" s="638"/>
      <c r="R74" s="638"/>
      <c r="S74" s="638"/>
      <c r="T74" s="638"/>
      <c r="U74" s="638"/>
      <c r="V74" s="639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7" t="s">
        <v>69</v>
      </c>
      <c r="Q75" s="638"/>
      <c r="R75" s="638"/>
      <c r="S75" s="638"/>
      <c r="T75" s="638"/>
      <c r="U75" s="638"/>
      <c r="V75" s="639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6" t="s">
        <v>161</v>
      </c>
      <c r="B76" s="633"/>
      <c r="C76" s="633"/>
      <c r="D76" s="633"/>
      <c r="E76" s="633"/>
      <c r="F76" s="633"/>
      <c r="G76" s="633"/>
      <c r="H76" s="633"/>
      <c r="I76" s="633"/>
      <c r="J76" s="633"/>
      <c r="K76" s="633"/>
      <c r="L76" s="633"/>
      <c r="M76" s="633"/>
      <c r="N76" s="633"/>
      <c r="O76" s="633"/>
      <c r="P76" s="633"/>
      <c r="Q76" s="633"/>
      <c r="R76" s="633"/>
      <c r="S76" s="633"/>
      <c r="T76" s="633"/>
      <c r="U76" s="633"/>
      <c r="V76" s="633"/>
      <c r="W76" s="633"/>
      <c r="X76" s="633"/>
      <c r="Y76" s="633"/>
      <c r="Z76" s="633"/>
      <c r="AA76" s="613"/>
      <c r="AB76" s="613"/>
      <c r="AC76" s="613"/>
    </row>
    <row r="77" spans="1:68" ht="27" hidden="1" customHeight="1" x14ac:dyDescent="0.25">
      <c r="A77" s="54" t="s">
        <v>162</v>
      </c>
      <c r="B77" s="54" t="s">
        <v>163</v>
      </c>
      <c r="C77" s="31">
        <v>4301060455</v>
      </c>
      <c r="D77" s="630">
        <v>4680115881532</v>
      </c>
      <c r="E77" s="631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7">
        <v>0</v>
      </c>
      <c r="Y77" s="618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30">
        <v>4680115881532</v>
      </c>
      <c r="E78" s="631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4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30">
        <v>4680115881464</v>
      </c>
      <c r="E79" s="631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2"/>
      <c r="R79" s="622"/>
      <c r="S79" s="622"/>
      <c r="T79" s="623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32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7" t="s">
        <v>69</v>
      </c>
      <c r="Q80" s="638"/>
      <c r="R80" s="638"/>
      <c r="S80" s="638"/>
      <c r="T80" s="638"/>
      <c r="U80" s="638"/>
      <c r="V80" s="639"/>
      <c r="W80" s="37" t="s">
        <v>70</v>
      </c>
      <c r="X80" s="619">
        <f>IFERROR(X77/H77,"0")+IFERROR(X78/H78,"0")+IFERROR(X79/H79,"0")</f>
        <v>0</v>
      </c>
      <c r="Y80" s="619">
        <f>IFERROR(Y77/H77,"0")+IFERROR(Y78/H78,"0")+IFERROR(Y79/H79,"0")</f>
        <v>0</v>
      </c>
      <c r="Z80" s="619">
        <f>IFERROR(IF(Z77="",0,Z77),"0")+IFERROR(IF(Z78="",0,Z78),"0")+IFERROR(IF(Z79="",0,Z79),"0")</f>
        <v>0</v>
      </c>
      <c r="AA80" s="620"/>
      <c r="AB80" s="620"/>
      <c r="AC80" s="620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7" t="s">
        <v>69</v>
      </c>
      <c r="Q81" s="638"/>
      <c r="R81" s="638"/>
      <c r="S81" s="638"/>
      <c r="T81" s="638"/>
      <c r="U81" s="638"/>
      <c r="V81" s="639"/>
      <c r="W81" s="37" t="s">
        <v>67</v>
      </c>
      <c r="X81" s="619">
        <f>IFERROR(SUM(X77:X79),"0")</f>
        <v>0</v>
      </c>
      <c r="Y81" s="619">
        <f>IFERROR(SUM(Y77:Y79),"0")</f>
        <v>0</v>
      </c>
      <c r="Z81" s="37"/>
      <c r="AA81" s="620"/>
      <c r="AB81" s="620"/>
      <c r="AC81" s="620"/>
    </row>
    <row r="82" spans="1:68" ht="16.5" hidden="1" customHeight="1" x14ac:dyDescent="0.25">
      <c r="A82" s="640" t="s">
        <v>169</v>
      </c>
      <c r="B82" s="633"/>
      <c r="C82" s="633"/>
      <c r="D82" s="633"/>
      <c r="E82" s="633"/>
      <c r="F82" s="633"/>
      <c r="G82" s="633"/>
      <c r="H82" s="633"/>
      <c r="I82" s="633"/>
      <c r="J82" s="633"/>
      <c r="K82" s="633"/>
      <c r="L82" s="633"/>
      <c r="M82" s="633"/>
      <c r="N82" s="633"/>
      <c r="O82" s="633"/>
      <c r="P82" s="633"/>
      <c r="Q82" s="633"/>
      <c r="R82" s="633"/>
      <c r="S82" s="633"/>
      <c r="T82" s="633"/>
      <c r="U82" s="633"/>
      <c r="V82" s="633"/>
      <c r="W82" s="633"/>
      <c r="X82" s="633"/>
      <c r="Y82" s="633"/>
      <c r="Z82" s="633"/>
      <c r="AA82" s="612"/>
      <c r="AB82" s="612"/>
      <c r="AC82" s="612"/>
    </row>
    <row r="83" spans="1:68" ht="14.25" hidden="1" customHeight="1" x14ac:dyDescent="0.25">
      <c r="A83" s="636" t="s">
        <v>108</v>
      </c>
      <c r="B83" s="633"/>
      <c r="C83" s="633"/>
      <c r="D83" s="633"/>
      <c r="E83" s="633"/>
      <c r="F83" s="633"/>
      <c r="G83" s="633"/>
      <c r="H83" s="633"/>
      <c r="I83" s="633"/>
      <c r="J83" s="633"/>
      <c r="K83" s="633"/>
      <c r="L83" s="633"/>
      <c r="M83" s="633"/>
      <c r="N83" s="633"/>
      <c r="O83" s="633"/>
      <c r="P83" s="633"/>
      <c r="Q83" s="633"/>
      <c r="R83" s="633"/>
      <c r="S83" s="633"/>
      <c r="T83" s="633"/>
      <c r="U83" s="633"/>
      <c r="V83" s="633"/>
      <c r="W83" s="633"/>
      <c r="X83" s="633"/>
      <c r="Y83" s="633"/>
      <c r="Z83" s="633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30">
        <v>4680115881327</v>
      </c>
      <c r="E84" s="631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2"/>
      <c r="R84" s="622"/>
      <c r="S84" s="622"/>
      <c r="T84" s="623"/>
      <c r="U84" s="34"/>
      <c r="V84" s="34"/>
      <c r="W84" s="35" t="s">
        <v>67</v>
      </c>
      <c r="X84" s="617">
        <v>60</v>
      </c>
      <c r="Y84" s="618">
        <f t="shared" ref="Y84:Y89" si="5">IFERROR(IF(X84="",0,CEILING((X84/$H84),1)*$H84),"")</f>
        <v>64.800000000000011</v>
      </c>
      <c r="Z84" s="36">
        <f>IFERROR(IF(Y84=0,"",ROUNDUP(Y84/H84,0)*0.01898),"")</f>
        <v>0.11388000000000001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62.277777777777779</v>
      </c>
      <c r="BN84" s="64">
        <f t="shared" ref="BN84:BN89" si="7">IFERROR(Y84*I84/H84,"0")</f>
        <v>67.260000000000005</v>
      </c>
      <c r="BO84" s="64">
        <f t="shared" ref="BO84:BO89" si="8">IFERROR(1/J84*(X84/H84),"0")</f>
        <v>8.6805555555555552E-2</v>
      </c>
      <c r="BP84" s="64">
        <f t="shared" ref="BP84:BP89" si="9">IFERROR(1/J84*(Y84/H84),"0")</f>
        <v>9.3750000000000014E-2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30">
        <v>4680115881327</v>
      </c>
      <c r="E85" s="631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2"/>
      <c r="R85" s="622"/>
      <c r="S85" s="622"/>
      <c r="T85" s="623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30">
        <v>4680115887732</v>
      </c>
      <c r="E86" s="631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4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2"/>
      <c r="R86" s="622"/>
      <c r="S86" s="622"/>
      <c r="T86" s="623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30">
        <v>4680115881518</v>
      </c>
      <c r="E87" s="631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8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2"/>
      <c r="R87" s="622"/>
      <c r="S87" s="622"/>
      <c r="T87" s="623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30">
        <v>4680115881518</v>
      </c>
      <c r="E88" s="631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81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2"/>
      <c r="R88" s="622"/>
      <c r="S88" s="622"/>
      <c r="T88" s="623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customHeight="1" x14ac:dyDescent="0.25">
      <c r="A89" s="54" t="s">
        <v>180</v>
      </c>
      <c r="B89" s="54" t="s">
        <v>181</v>
      </c>
      <c r="C89" s="31">
        <v>4301012250</v>
      </c>
      <c r="D89" s="630">
        <v>4680115881303</v>
      </c>
      <c r="E89" s="631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81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7">
        <v>23</v>
      </c>
      <c r="Y89" s="618">
        <f t="shared" si="5"/>
        <v>27</v>
      </c>
      <c r="Z89" s="36">
        <f>IFERROR(IF(Y89=0,"",ROUNDUP(Y89/H89,0)*0.00902),"")</f>
        <v>5.4120000000000001E-2</v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23.971111111111114</v>
      </c>
      <c r="BN89" s="64">
        <f t="shared" si="7"/>
        <v>28.14</v>
      </c>
      <c r="BO89" s="64">
        <f t="shared" si="8"/>
        <v>3.8720538720538718E-2</v>
      </c>
      <c r="BP89" s="64">
        <f t="shared" si="9"/>
        <v>4.5454545454545456E-2</v>
      </c>
    </row>
    <row r="90" spans="1:68" x14ac:dyDescent="0.2">
      <c r="A90" s="632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7" t="s">
        <v>69</v>
      </c>
      <c r="Q90" s="638"/>
      <c r="R90" s="638"/>
      <c r="S90" s="638"/>
      <c r="T90" s="638"/>
      <c r="U90" s="638"/>
      <c r="V90" s="639"/>
      <c r="W90" s="37" t="s">
        <v>70</v>
      </c>
      <c r="X90" s="619">
        <f>IFERROR(X84/H84,"0")+IFERROR(X85/H85,"0")+IFERROR(X86/H86,"0")+IFERROR(X87/H87,"0")+IFERROR(X88/H88,"0")+IFERROR(X89/H89,"0")</f>
        <v>10.666666666666666</v>
      </c>
      <c r="Y90" s="619">
        <f>IFERROR(Y84/H84,"0")+IFERROR(Y85/H85,"0")+IFERROR(Y86/H86,"0")+IFERROR(Y87/H87,"0")+IFERROR(Y88/H88,"0")+IFERROR(Y89/H89,"0")</f>
        <v>12</v>
      </c>
      <c r="Z90" s="619">
        <f>IFERROR(IF(Z84="",0,Z84),"0")+IFERROR(IF(Z85="",0,Z85),"0")+IFERROR(IF(Z86="",0,Z86),"0")+IFERROR(IF(Z87="",0,Z87),"0")+IFERROR(IF(Z88="",0,Z88),"0")+IFERROR(IF(Z89="",0,Z89),"0")</f>
        <v>0.16800000000000001</v>
      </c>
      <c r="AA90" s="620"/>
      <c r="AB90" s="620"/>
      <c r="AC90" s="620"/>
    </row>
    <row r="91" spans="1:68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7" t="s">
        <v>69</v>
      </c>
      <c r="Q91" s="638"/>
      <c r="R91" s="638"/>
      <c r="S91" s="638"/>
      <c r="T91" s="638"/>
      <c r="U91" s="638"/>
      <c r="V91" s="639"/>
      <c r="W91" s="37" t="s">
        <v>67</v>
      </c>
      <c r="X91" s="619">
        <f>IFERROR(SUM(X84:X89),"0")</f>
        <v>83</v>
      </c>
      <c r="Y91" s="619">
        <f>IFERROR(SUM(Y84:Y89),"0")</f>
        <v>91.800000000000011</v>
      </c>
      <c r="Z91" s="37"/>
      <c r="AA91" s="620"/>
      <c r="AB91" s="620"/>
      <c r="AC91" s="620"/>
    </row>
    <row r="92" spans="1:68" ht="14.25" hidden="1" customHeight="1" x14ac:dyDescent="0.25">
      <c r="A92" s="636" t="s">
        <v>71</v>
      </c>
      <c r="B92" s="633"/>
      <c r="C92" s="633"/>
      <c r="D92" s="633"/>
      <c r="E92" s="633"/>
      <c r="F92" s="633"/>
      <c r="G92" s="633"/>
      <c r="H92" s="633"/>
      <c r="I92" s="633"/>
      <c r="J92" s="633"/>
      <c r="K92" s="633"/>
      <c r="L92" s="633"/>
      <c r="M92" s="633"/>
      <c r="N92" s="633"/>
      <c r="O92" s="633"/>
      <c r="P92" s="633"/>
      <c r="Q92" s="633"/>
      <c r="R92" s="633"/>
      <c r="S92" s="633"/>
      <c r="T92" s="633"/>
      <c r="U92" s="633"/>
      <c r="V92" s="633"/>
      <c r="W92" s="633"/>
      <c r="X92" s="633"/>
      <c r="Y92" s="633"/>
      <c r="Z92" s="633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30">
        <v>4607091386967</v>
      </c>
      <c r="E93" s="631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8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2"/>
      <c r="R93" s="622"/>
      <c r="S93" s="622"/>
      <c r="T93" s="623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30">
        <v>4680115884953</v>
      </c>
      <c r="E94" s="631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8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30">
        <v>4607091385731</v>
      </c>
      <c r="E95" s="631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30">
        <v>4680115880894</v>
      </c>
      <c r="E96" s="631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2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7" t="s">
        <v>69</v>
      </c>
      <c r="Q97" s="638"/>
      <c r="R97" s="638"/>
      <c r="S97" s="638"/>
      <c r="T97" s="638"/>
      <c r="U97" s="638"/>
      <c r="V97" s="639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7" t="s">
        <v>69</v>
      </c>
      <c r="Q98" s="638"/>
      <c r="R98" s="638"/>
      <c r="S98" s="638"/>
      <c r="T98" s="638"/>
      <c r="U98" s="638"/>
      <c r="V98" s="639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40" t="s">
        <v>193</v>
      </c>
      <c r="B99" s="633"/>
      <c r="C99" s="633"/>
      <c r="D99" s="633"/>
      <c r="E99" s="633"/>
      <c r="F99" s="633"/>
      <c r="G99" s="633"/>
      <c r="H99" s="633"/>
      <c r="I99" s="633"/>
      <c r="J99" s="633"/>
      <c r="K99" s="633"/>
      <c r="L99" s="633"/>
      <c r="M99" s="633"/>
      <c r="N99" s="633"/>
      <c r="O99" s="633"/>
      <c r="P99" s="633"/>
      <c r="Q99" s="633"/>
      <c r="R99" s="633"/>
      <c r="S99" s="633"/>
      <c r="T99" s="633"/>
      <c r="U99" s="633"/>
      <c r="V99" s="633"/>
      <c r="W99" s="633"/>
      <c r="X99" s="633"/>
      <c r="Y99" s="633"/>
      <c r="Z99" s="633"/>
      <c r="AA99" s="612"/>
      <c r="AB99" s="612"/>
      <c r="AC99" s="612"/>
    </row>
    <row r="100" spans="1:68" ht="14.25" hidden="1" customHeight="1" x14ac:dyDescent="0.25">
      <c r="A100" s="636" t="s">
        <v>108</v>
      </c>
      <c r="B100" s="633"/>
      <c r="C100" s="633"/>
      <c r="D100" s="633"/>
      <c r="E100" s="633"/>
      <c r="F100" s="633"/>
      <c r="G100" s="633"/>
      <c r="H100" s="633"/>
      <c r="I100" s="633"/>
      <c r="J100" s="633"/>
      <c r="K100" s="633"/>
      <c r="L100" s="633"/>
      <c r="M100" s="633"/>
      <c r="N100" s="633"/>
      <c r="O100" s="633"/>
      <c r="P100" s="633"/>
      <c r="Q100" s="633"/>
      <c r="R100" s="633"/>
      <c r="S100" s="633"/>
      <c r="T100" s="633"/>
      <c r="U100" s="633"/>
      <c r="V100" s="633"/>
      <c r="W100" s="633"/>
      <c r="X100" s="633"/>
      <c r="Y100" s="633"/>
      <c r="Z100" s="633"/>
      <c r="AA100" s="613"/>
      <c r="AB100" s="613"/>
      <c r="AC100" s="613"/>
    </row>
    <row r="101" spans="1:68" ht="37.5" hidden="1" customHeight="1" x14ac:dyDescent="0.25">
      <c r="A101" s="54" t="s">
        <v>194</v>
      </c>
      <c r="B101" s="54" t="s">
        <v>195</v>
      </c>
      <c r="C101" s="31">
        <v>4301011514</v>
      </c>
      <c r="D101" s="630">
        <v>4680115882133</v>
      </c>
      <c r="E101" s="631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4"/>
      <c r="V101" s="34"/>
      <c r="W101" s="35" t="s">
        <v>67</v>
      </c>
      <c r="X101" s="617">
        <v>0</v>
      </c>
      <c r="Y101" s="618">
        <f t="shared" ref="Y101:Y107" si="10">IFERROR(IF(X101="",0,CEILING((X101/$H101),1)*$H101),"")</f>
        <v>0</v>
      </c>
      <c r="Z101" s="36" t="str">
        <f>IFERROR(IF(Y101=0,"",ROUNDUP(Y101/H101,0)*0.01898),"")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0</v>
      </c>
      <c r="BN101" s="64">
        <f t="shared" ref="BN101:BN107" si="12">IFERROR(Y101*I101/H101,"0")</f>
        <v>0</v>
      </c>
      <c r="BO101" s="64">
        <f t="shared" ref="BO101:BO107" si="13">IFERROR(1/J101*(X101/H101),"0")</f>
        <v>0</v>
      </c>
      <c r="BP101" s="64">
        <f t="shared" ref="BP101:BP107" si="14">IFERROR(1/J101*(Y101/H101),"0")</f>
        <v>0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30">
        <v>4680115882133</v>
      </c>
      <c r="E102" s="631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2"/>
      <c r="R102" s="622"/>
      <c r="S102" s="622"/>
      <c r="T102" s="623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30">
        <v>4680115887718</v>
      </c>
      <c r="E103" s="631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30">
        <v>4680115880269</v>
      </c>
      <c r="E104" s="631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6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30">
        <v>4680115880429</v>
      </c>
      <c r="E105" s="631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30">
        <v>4680115881457</v>
      </c>
      <c r="E106" s="631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9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2"/>
      <c r="R106" s="622"/>
      <c r="S106" s="622"/>
      <c r="T106" s="623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30">
        <v>4680115889477</v>
      </c>
      <c r="E107" s="631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1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2"/>
      <c r="R107" s="622"/>
      <c r="S107" s="622"/>
      <c r="T107" s="623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idden="1" x14ac:dyDescent="0.2">
      <c r="A108" s="632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7" t="s">
        <v>69</v>
      </c>
      <c r="Q108" s="638"/>
      <c r="R108" s="638"/>
      <c r="S108" s="638"/>
      <c r="T108" s="638"/>
      <c r="U108" s="638"/>
      <c r="V108" s="639"/>
      <c r="W108" s="37" t="s">
        <v>70</v>
      </c>
      <c r="X108" s="619">
        <f>IFERROR(X101/H101,"0")+IFERROR(X102/H102,"0")+IFERROR(X103/H103,"0")+IFERROR(X104/H104,"0")+IFERROR(X105/H105,"0")+IFERROR(X106/H106,"0")+IFERROR(X107/H107,"0")</f>
        <v>0</v>
      </c>
      <c r="Y108" s="619">
        <f>IFERROR(Y101/H101,"0")+IFERROR(Y102/H102,"0")+IFERROR(Y103/H103,"0")+IFERROR(Y104/H104,"0")+IFERROR(Y105/H105,"0")+IFERROR(Y106/H106,"0")+IFERROR(Y107/H107,"0")</f>
        <v>0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20"/>
      <c r="AB108" s="620"/>
      <c r="AC108" s="620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7" t="s">
        <v>69</v>
      </c>
      <c r="Q109" s="638"/>
      <c r="R109" s="638"/>
      <c r="S109" s="638"/>
      <c r="T109" s="638"/>
      <c r="U109" s="638"/>
      <c r="V109" s="639"/>
      <c r="W109" s="37" t="s">
        <v>67</v>
      </c>
      <c r="X109" s="619">
        <f>IFERROR(SUM(X101:X107),"0")</f>
        <v>0</v>
      </c>
      <c r="Y109" s="619">
        <f>IFERROR(SUM(Y101:Y107),"0")</f>
        <v>0</v>
      </c>
      <c r="Z109" s="37"/>
      <c r="AA109" s="620"/>
      <c r="AB109" s="620"/>
      <c r="AC109" s="620"/>
    </row>
    <row r="110" spans="1:68" ht="14.25" hidden="1" customHeight="1" x14ac:dyDescent="0.25">
      <c r="A110" s="636" t="s">
        <v>143</v>
      </c>
      <c r="B110" s="633"/>
      <c r="C110" s="633"/>
      <c r="D110" s="633"/>
      <c r="E110" s="633"/>
      <c r="F110" s="633"/>
      <c r="G110" s="633"/>
      <c r="H110" s="633"/>
      <c r="I110" s="633"/>
      <c r="J110" s="633"/>
      <c r="K110" s="633"/>
      <c r="L110" s="633"/>
      <c r="M110" s="633"/>
      <c r="N110" s="633"/>
      <c r="O110" s="633"/>
      <c r="P110" s="633"/>
      <c r="Q110" s="633"/>
      <c r="R110" s="633"/>
      <c r="S110" s="633"/>
      <c r="T110" s="633"/>
      <c r="U110" s="633"/>
      <c r="V110" s="633"/>
      <c r="W110" s="633"/>
      <c r="X110" s="633"/>
      <c r="Y110" s="633"/>
      <c r="Z110" s="633"/>
      <c r="AA110" s="613"/>
      <c r="AB110" s="613"/>
      <c r="AC110" s="613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30">
        <v>4680115881488</v>
      </c>
      <c r="E111" s="631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2"/>
      <c r="R111" s="622"/>
      <c r="S111" s="622"/>
      <c r="T111" s="623"/>
      <c r="U111" s="34"/>
      <c r="V111" s="34"/>
      <c r="W111" s="35" t="s">
        <v>67</v>
      </c>
      <c r="X111" s="617">
        <v>26</v>
      </c>
      <c r="Y111" s="618">
        <f>IFERROR(IF(X111="",0,CEILING((X111/$H111),1)*$H111),"")</f>
        <v>32.400000000000006</v>
      </c>
      <c r="Z111" s="36">
        <f>IFERROR(IF(Y111=0,"",ROUNDUP(Y111/H111,0)*0.01898),"")</f>
        <v>5.6940000000000004E-2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26.987037037037037</v>
      </c>
      <c r="BN111" s="64">
        <f>IFERROR(Y111*I111/H111,"0")</f>
        <v>33.630000000000003</v>
      </c>
      <c r="BO111" s="64">
        <f>IFERROR(1/J111*(X111/H111),"0")</f>
        <v>3.7615740740740741E-2</v>
      </c>
      <c r="BP111" s="64">
        <f>IFERROR(1/J111*(Y111/H111),"0")</f>
        <v>4.6875000000000007E-2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30">
        <v>4680115887664</v>
      </c>
      <c r="E112" s="631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2"/>
      <c r="R112" s="622"/>
      <c r="S112" s="622"/>
      <c r="T112" s="623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30">
        <v>4680115887664</v>
      </c>
      <c r="E113" s="631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30">
        <v>4680115882775</v>
      </c>
      <c r="E114" s="631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30">
        <v>4680115880658</v>
      </c>
      <c r="E115" s="631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7">
        <v>7</v>
      </c>
      <c r="Y115" s="618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7.5250000000000012</v>
      </c>
      <c r="BN115" s="64">
        <f>IFERROR(Y115*I115/H115,"0")</f>
        <v>7.7399999999999993</v>
      </c>
      <c r="BO115" s="64">
        <f>IFERROR(1/J115*(X115/H115),"0")</f>
        <v>1.6025641025641028E-2</v>
      </c>
      <c r="BP115" s="64">
        <f>IFERROR(1/J115*(Y115/H115),"0")</f>
        <v>1.6483516483516484E-2</v>
      </c>
    </row>
    <row r="116" spans="1:68" x14ac:dyDescent="0.2">
      <c r="A116" s="632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7" t="s">
        <v>69</v>
      </c>
      <c r="Q116" s="638"/>
      <c r="R116" s="638"/>
      <c r="S116" s="638"/>
      <c r="T116" s="638"/>
      <c r="U116" s="638"/>
      <c r="V116" s="639"/>
      <c r="W116" s="37" t="s">
        <v>70</v>
      </c>
      <c r="X116" s="619">
        <f>IFERROR(X111/H111,"0")+IFERROR(X112/H112,"0")+IFERROR(X113/H113,"0")+IFERROR(X114/H114,"0")+IFERROR(X115/H115,"0")</f>
        <v>5.3240740740740744</v>
      </c>
      <c r="Y116" s="619">
        <f>IFERROR(Y111/H111,"0")+IFERROR(Y112/H112,"0")+IFERROR(Y113/H113,"0")+IFERROR(Y114/H114,"0")+IFERROR(Y115/H115,"0")</f>
        <v>6</v>
      </c>
      <c r="Z116" s="619">
        <f>IFERROR(IF(Z111="",0,Z111),"0")+IFERROR(IF(Z112="",0,Z112),"0")+IFERROR(IF(Z113="",0,Z113),"0")+IFERROR(IF(Z114="",0,Z114),"0")+IFERROR(IF(Z115="",0,Z115),"0")</f>
        <v>7.647000000000001E-2</v>
      </c>
      <c r="AA116" s="620"/>
      <c r="AB116" s="620"/>
      <c r="AC116" s="620"/>
    </row>
    <row r="117" spans="1:68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7" t="s">
        <v>69</v>
      </c>
      <c r="Q117" s="638"/>
      <c r="R117" s="638"/>
      <c r="S117" s="638"/>
      <c r="T117" s="638"/>
      <c r="U117" s="638"/>
      <c r="V117" s="639"/>
      <c r="W117" s="37" t="s">
        <v>67</v>
      </c>
      <c r="X117" s="619">
        <f>IFERROR(SUM(X111:X115),"0")</f>
        <v>33</v>
      </c>
      <c r="Y117" s="619">
        <f>IFERROR(SUM(Y111:Y115),"0")</f>
        <v>39.600000000000009</v>
      </c>
      <c r="Z117" s="37"/>
      <c r="AA117" s="620"/>
      <c r="AB117" s="620"/>
      <c r="AC117" s="620"/>
    </row>
    <row r="118" spans="1:68" ht="14.25" hidden="1" customHeight="1" x14ac:dyDescent="0.25">
      <c r="A118" s="636" t="s">
        <v>71</v>
      </c>
      <c r="B118" s="633"/>
      <c r="C118" s="633"/>
      <c r="D118" s="633"/>
      <c r="E118" s="633"/>
      <c r="F118" s="633"/>
      <c r="G118" s="633"/>
      <c r="H118" s="633"/>
      <c r="I118" s="633"/>
      <c r="J118" s="633"/>
      <c r="K118" s="633"/>
      <c r="L118" s="633"/>
      <c r="M118" s="633"/>
      <c r="N118" s="633"/>
      <c r="O118" s="633"/>
      <c r="P118" s="633"/>
      <c r="Q118" s="633"/>
      <c r="R118" s="633"/>
      <c r="S118" s="633"/>
      <c r="T118" s="633"/>
      <c r="U118" s="633"/>
      <c r="V118" s="633"/>
      <c r="W118" s="633"/>
      <c r="X118" s="633"/>
      <c r="Y118" s="633"/>
      <c r="Z118" s="633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30">
        <v>4607091385168</v>
      </c>
      <c r="E119" s="631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2"/>
      <c r="R119" s="622"/>
      <c r="S119" s="622"/>
      <c r="T119" s="623"/>
      <c r="U119" s="34"/>
      <c r="V119" s="34"/>
      <c r="W119" s="35" t="s">
        <v>67</v>
      </c>
      <c r="X119" s="617">
        <v>160</v>
      </c>
      <c r="Y119" s="618">
        <f>IFERROR(IF(X119="",0,CEILING((X119/$H119),1)*$H119),"")</f>
        <v>162</v>
      </c>
      <c r="Z119" s="36">
        <f>IFERROR(IF(Y119=0,"",ROUNDUP(Y119/H119,0)*0.01898),"")</f>
        <v>0.37959999999999999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169.6395061728395</v>
      </c>
      <c r="BN119" s="64">
        <f>IFERROR(Y119*I119/H119,"0")</f>
        <v>171.76</v>
      </c>
      <c r="BO119" s="64">
        <f>IFERROR(1/J119*(X119/H119),"0")</f>
        <v>0.30864197530864201</v>
      </c>
      <c r="BP119" s="64">
        <f>IFERROR(1/J119*(Y119/H119),"0")</f>
        <v>0.3125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30">
        <v>4607091383256</v>
      </c>
      <c r="E120" s="631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69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229</v>
      </c>
      <c r="B121" s="54" t="s">
        <v>230</v>
      </c>
      <c r="C121" s="31">
        <v>4301052086</v>
      </c>
      <c r="D121" s="630">
        <v>4607091385748</v>
      </c>
      <c r="E121" s="631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3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7">
        <v>90</v>
      </c>
      <c r="Y121" s="618">
        <f>IFERROR(IF(X121="",0,CEILING((X121/$H121),1)*$H121),"")</f>
        <v>91.800000000000011</v>
      </c>
      <c r="Z121" s="36">
        <f>IFERROR(IF(Y121=0,"",ROUNDUP(Y121/H121,0)*0.00651),"")</f>
        <v>0.22134000000000001</v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98.399999999999991</v>
      </c>
      <c r="BN121" s="64">
        <f>IFERROR(Y121*I121/H121,"0")</f>
        <v>100.36799999999999</v>
      </c>
      <c r="BO121" s="64">
        <f>IFERROR(1/J121*(X121/H121),"0")</f>
        <v>0.18315018315018314</v>
      </c>
      <c r="BP121" s="64">
        <f>IFERROR(1/J121*(Y121/H121),"0")</f>
        <v>0.18681318681318682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30">
        <v>4680115884533</v>
      </c>
      <c r="E122" s="631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2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7" t="s">
        <v>69</v>
      </c>
      <c r="Q123" s="638"/>
      <c r="R123" s="638"/>
      <c r="S123" s="638"/>
      <c r="T123" s="638"/>
      <c r="U123" s="638"/>
      <c r="V123" s="639"/>
      <c r="W123" s="37" t="s">
        <v>70</v>
      </c>
      <c r="X123" s="619">
        <f>IFERROR(X119/H119,"0")+IFERROR(X120/H120,"0")+IFERROR(X121/H121,"0")+IFERROR(X122/H122,"0")</f>
        <v>53.086419753086417</v>
      </c>
      <c r="Y123" s="619">
        <f>IFERROR(Y119/H119,"0")+IFERROR(Y120/H120,"0")+IFERROR(Y121/H121,"0")+IFERROR(Y122/H122,"0")</f>
        <v>54</v>
      </c>
      <c r="Z123" s="619">
        <f>IFERROR(IF(Z119="",0,Z119),"0")+IFERROR(IF(Z120="",0,Z120),"0")+IFERROR(IF(Z121="",0,Z121),"0")+IFERROR(IF(Z122="",0,Z122),"0")</f>
        <v>0.60094000000000003</v>
      </c>
      <c r="AA123" s="620"/>
      <c r="AB123" s="620"/>
      <c r="AC123" s="620"/>
    </row>
    <row r="124" spans="1:68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7" t="s">
        <v>69</v>
      </c>
      <c r="Q124" s="638"/>
      <c r="R124" s="638"/>
      <c r="S124" s="638"/>
      <c r="T124" s="638"/>
      <c r="U124" s="638"/>
      <c r="V124" s="639"/>
      <c r="W124" s="37" t="s">
        <v>67</v>
      </c>
      <c r="X124" s="619">
        <f>IFERROR(SUM(X119:X122),"0")</f>
        <v>250</v>
      </c>
      <c r="Y124" s="619">
        <f>IFERROR(SUM(Y119:Y122),"0")</f>
        <v>253.8</v>
      </c>
      <c r="Z124" s="37"/>
      <c r="AA124" s="620"/>
      <c r="AB124" s="620"/>
      <c r="AC124" s="620"/>
    </row>
    <row r="125" spans="1:68" ht="14.25" hidden="1" customHeight="1" x14ac:dyDescent="0.25">
      <c r="A125" s="636" t="s">
        <v>161</v>
      </c>
      <c r="B125" s="633"/>
      <c r="C125" s="633"/>
      <c r="D125" s="633"/>
      <c r="E125" s="633"/>
      <c r="F125" s="633"/>
      <c r="G125" s="633"/>
      <c r="H125" s="633"/>
      <c r="I125" s="633"/>
      <c r="J125" s="633"/>
      <c r="K125" s="633"/>
      <c r="L125" s="633"/>
      <c r="M125" s="633"/>
      <c r="N125" s="633"/>
      <c r="O125" s="633"/>
      <c r="P125" s="633"/>
      <c r="Q125" s="633"/>
      <c r="R125" s="633"/>
      <c r="S125" s="633"/>
      <c r="T125" s="633"/>
      <c r="U125" s="633"/>
      <c r="V125" s="633"/>
      <c r="W125" s="633"/>
      <c r="X125" s="633"/>
      <c r="Y125" s="633"/>
      <c r="Z125" s="633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30">
        <v>4680115880238</v>
      </c>
      <c r="E126" s="631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7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2"/>
      <c r="R126" s="622"/>
      <c r="S126" s="622"/>
      <c r="T126" s="623"/>
      <c r="U126" s="34"/>
      <c r="V126" s="34"/>
      <c r="W126" s="35" t="s">
        <v>67</v>
      </c>
      <c r="X126" s="617">
        <v>11</v>
      </c>
      <c r="Y126" s="618">
        <f>IFERROR(IF(X126="",0,CEILING((X126/$H126),1)*$H126),"")</f>
        <v>11.879999999999999</v>
      </c>
      <c r="Z126" s="36">
        <f>IFERROR(IF(Y126=0,"",ROUNDUP(Y126/H126,0)*0.00651),"")</f>
        <v>3.9059999999999997E-2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12.433333333333334</v>
      </c>
      <c r="BN126" s="64">
        <f>IFERROR(Y126*I126/H126,"0")</f>
        <v>13.427999999999999</v>
      </c>
      <c r="BO126" s="64">
        <f>IFERROR(1/J126*(X126/H126),"0")</f>
        <v>3.0525030525030528E-2</v>
      </c>
      <c r="BP126" s="64">
        <f>IFERROR(1/J126*(Y126/H126),"0")</f>
        <v>3.2967032967032968E-2</v>
      </c>
    </row>
    <row r="127" spans="1:68" x14ac:dyDescent="0.2">
      <c r="A127" s="632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7" t="s">
        <v>69</v>
      </c>
      <c r="Q127" s="638"/>
      <c r="R127" s="638"/>
      <c r="S127" s="638"/>
      <c r="T127" s="638"/>
      <c r="U127" s="638"/>
      <c r="V127" s="639"/>
      <c r="W127" s="37" t="s">
        <v>70</v>
      </c>
      <c r="X127" s="619">
        <f>IFERROR(X126/H126,"0")</f>
        <v>5.5555555555555554</v>
      </c>
      <c r="Y127" s="619">
        <f>IFERROR(Y126/H126,"0")</f>
        <v>5.9999999999999991</v>
      </c>
      <c r="Z127" s="619">
        <f>IFERROR(IF(Z126="",0,Z126),"0")</f>
        <v>3.9059999999999997E-2</v>
      </c>
      <c r="AA127" s="620"/>
      <c r="AB127" s="620"/>
      <c r="AC127" s="620"/>
    </row>
    <row r="128" spans="1:68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7" t="s">
        <v>69</v>
      </c>
      <c r="Q128" s="638"/>
      <c r="R128" s="638"/>
      <c r="S128" s="638"/>
      <c r="T128" s="638"/>
      <c r="U128" s="638"/>
      <c r="V128" s="639"/>
      <c r="W128" s="37" t="s">
        <v>67</v>
      </c>
      <c r="X128" s="619">
        <f>IFERROR(SUM(X126:X126),"0")</f>
        <v>11</v>
      </c>
      <c r="Y128" s="619">
        <f>IFERROR(SUM(Y126:Y126),"0")</f>
        <v>11.879999999999999</v>
      </c>
      <c r="Z128" s="37"/>
      <c r="AA128" s="620"/>
      <c r="AB128" s="620"/>
      <c r="AC128" s="620"/>
    </row>
    <row r="129" spans="1:68" ht="16.5" hidden="1" customHeight="1" x14ac:dyDescent="0.25">
      <c r="A129" s="640" t="s">
        <v>237</v>
      </c>
      <c r="B129" s="633"/>
      <c r="C129" s="633"/>
      <c r="D129" s="633"/>
      <c r="E129" s="633"/>
      <c r="F129" s="633"/>
      <c r="G129" s="633"/>
      <c r="H129" s="633"/>
      <c r="I129" s="633"/>
      <c r="J129" s="633"/>
      <c r="K129" s="633"/>
      <c r="L129" s="633"/>
      <c r="M129" s="633"/>
      <c r="N129" s="633"/>
      <c r="O129" s="633"/>
      <c r="P129" s="633"/>
      <c r="Q129" s="633"/>
      <c r="R129" s="633"/>
      <c r="S129" s="633"/>
      <c r="T129" s="633"/>
      <c r="U129" s="633"/>
      <c r="V129" s="633"/>
      <c r="W129" s="633"/>
      <c r="X129" s="633"/>
      <c r="Y129" s="633"/>
      <c r="Z129" s="633"/>
      <c r="AA129" s="612"/>
      <c r="AB129" s="612"/>
      <c r="AC129" s="612"/>
    </row>
    <row r="130" spans="1:68" ht="14.25" hidden="1" customHeight="1" x14ac:dyDescent="0.25">
      <c r="A130" s="636" t="s">
        <v>108</v>
      </c>
      <c r="B130" s="633"/>
      <c r="C130" s="633"/>
      <c r="D130" s="633"/>
      <c r="E130" s="633"/>
      <c r="F130" s="633"/>
      <c r="G130" s="633"/>
      <c r="H130" s="633"/>
      <c r="I130" s="633"/>
      <c r="J130" s="633"/>
      <c r="K130" s="633"/>
      <c r="L130" s="633"/>
      <c r="M130" s="633"/>
      <c r="N130" s="633"/>
      <c r="O130" s="633"/>
      <c r="P130" s="633"/>
      <c r="Q130" s="633"/>
      <c r="R130" s="633"/>
      <c r="S130" s="633"/>
      <c r="T130" s="633"/>
      <c r="U130" s="633"/>
      <c r="V130" s="633"/>
      <c r="W130" s="633"/>
      <c r="X130" s="633"/>
      <c r="Y130" s="633"/>
      <c r="Z130" s="633"/>
      <c r="AA130" s="613"/>
      <c r="AB130" s="613"/>
      <c r="AC130" s="613"/>
    </row>
    <row r="131" spans="1:68" ht="27" customHeight="1" x14ac:dyDescent="0.25">
      <c r="A131" s="54" t="s">
        <v>238</v>
      </c>
      <c r="B131" s="54" t="s">
        <v>239</v>
      </c>
      <c r="C131" s="31">
        <v>4301011562</v>
      </c>
      <c r="D131" s="630">
        <v>4680115882577</v>
      </c>
      <c r="E131" s="631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3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2"/>
      <c r="R131" s="622"/>
      <c r="S131" s="622"/>
      <c r="T131" s="623"/>
      <c r="U131" s="34"/>
      <c r="V131" s="34"/>
      <c r="W131" s="35" t="s">
        <v>67</v>
      </c>
      <c r="X131" s="617">
        <v>33</v>
      </c>
      <c r="Y131" s="618">
        <f>IFERROR(IF(X131="",0,CEILING((X131/$H131),1)*$H131),"")</f>
        <v>35.200000000000003</v>
      </c>
      <c r="Z131" s="36">
        <f>IFERROR(IF(Y131=0,"",ROUNDUP(Y131/H131,0)*0.00651),"")</f>
        <v>7.1610000000000007E-2</v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34.856249999999996</v>
      </c>
      <c r="BN131" s="64">
        <f>IFERROR(Y131*I131/H131,"0")</f>
        <v>37.18</v>
      </c>
      <c r="BO131" s="64">
        <f>IFERROR(1/J131*(X131/H131),"0")</f>
        <v>5.6662087912087919E-2</v>
      </c>
      <c r="BP131" s="64">
        <f>IFERROR(1/J131*(Y131/H131),"0")</f>
        <v>6.0439560439560447E-2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30">
        <v>4680115882577</v>
      </c>
      <c r="E132" s="631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2"/>
      <c r="R132" s="622"/>
      <c r="S132" s="622"/>
      <c r="T132" s="623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32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7" t="s">
        <v>69</v>
      </c>
      <c r="Q133" s="638"/>
      <c r="R133" s="638"/>
      <c r="S133" s="638"/>
      <c r="T133" s="638"/>
      <c r="U133" s="638"/>
      <c r="V133" s="639"/>
      <c r="W133" s="37" t="s">
        <v>70</v>
      </c>
      <c r="X133" s="619">
        <f>IFERROR(X131/H131,"0")+IFERROR(X132/H132,"0")</f>
        <v>10.3125</v>
      </c>
      <c r="Y133" s="619">
        <f>IFERROR(Y131/H131,"0")+IFERROR(Y132/H132,"0")</f>
        <v>11</v>
      </c>
      <c r="Z133" s="619">
        <f>IFERROR(IF(Z131="",0,Z131),"0")+IFERROR(IF(Z132="",0,Z132),"0")</f>
        <v>7.1610000000000007E-2</v>
      </c>
      <c r="AA133" s="620"/>
      <c r="AB133" s="620"/>
      <c r="AC133" s="620"/>
    </row>
    <row r="134" spans="1:68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7" t="s">
        <v>69</v>
      </c>
      <c r="Q134" s="638"/>
      <c r="R134" s="638"/>
      <c r="S134" s="638"/>
      <c r="T134" s="638"/>
      <c r="U134" s="638"/>
      <c r="V134" s="639"/>
      <c r="W134" s="37" t="s">
        <v>67</v>
      </c>
      <c r="X134" s="619">
        <f>IFERROR(SUM(X131:X132),"0")</f>
        <v>33</v>
      </c>
      <c r="Y134" s="619">
        <f>IFERROR(SUM(Y131:Y132),"0")</f>
        <v>35.200000000000003</v>
      </c>
      <c r="Z134" s="37"/>
      <c r="AA134" s="620"/>
      <c r="AB134" s="620"/>
      <c r="AC134" s="620"/>
    </row>
    <row r="135" spans="1:68" ht="14.25" hidden="1" customHeight="1" x14ac:dyDescent="0.25">
      <c r="A135" s="636" t="s">
        <v>62</v>
      </c>
      <c r="B135" s="633"/>
      <c r="C135" s="633"/>
      <c r="D135" s="633"/>
      <c r="E135" s="633"/>
      <c r="F135" s="633"/>
      <c r="G135" s="633"/>
      <c r="H135" s="633"/>
      <c r="I135" s="633"/>
      <c r="J135" s="633"/>
      <c r="K135" s="633"/>
      <c r="L135" s="633"/>
      <c r="M135" s="633"/>
      <c r="N135" s="633"/>
      <c r="O135" s="633"/>
      <c r="P135" s="633"/>
      <c r="Q135" s="633"/>
      <c r="R135" s="633"/>
      <c r="S135" s="633"/>
      <c r="T135" s="633"/>
      <c r="U135" s="633"/>
      <c r="V135" s="633"/>
      <c r="W135" s="633"/>
      <c r="X135" s="633"/>
      <c r="Y135" s="633"/>
      <c r="Z135" s="633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30">
        <v>4680115883444</v>
      </c>
      <c r="E136" s="631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2"/>
      <c r="R136" s="622"/>
      <c r="S136" s="622"/>
      <c r="T136" s="623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30">
        <v>4680115883444</v>
      </c>
      <c r="E137" s="631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2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7" t="s">
        <v>69</v>
      </c>
      <c r="Q138" s="638"/>
      <c r="R138" s="638"/>
      <c r="S138" s="638"/>
      <c r="T138" s="638"/>
      <c r="U138" s="638"/>
      <c r="V138" s="639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7" t="s">
        <v>69</v>
      </c>
      <c r="Q139" s="638"/>
      <c r="R139" s="638"/>
      <c r="S139" s="638"/>
      <c r="T139" s="638"/>
      <c r="U139" s="638"/>
      <c r="V139" s="639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6" t="s">
        <v>71</v>
      </c>
      <c r="B140" s="633"/>
      <c r="C140" s="633"/>
      <c r="D140" s="633"/>
      <c r="E140" s="633"/>
      <c r="F140" s="633"/>
      <c r="G140" s="633"/>
      <c r="H140" s="633"/>
      <c r="I140" s="633"/>
      <c r="J140" s="633"/>
      <c r="K140" s="633"/>
      <c r="L140" s="633"/>
      <c r="M140" s="633"/>
      <c r="N140" s="633"/>
      <c r="O140" s="633"/>
      <c r="P140" s="633"/>
      <c r="Q140" s="633"/>
      <c r="R140" s="633"/>
      <c r="S140" s="633"/>
      <c r="T140" s="633"/>
      <c r="U140" s="633"/>
      <c r="V140" s="633"/>
      <c r="W140" s="633"/>
      <c r="X140" s="633"/>
      <c r="Y140" s="633"/>
      <c r="Z140" s="633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30">
        <v>4680115882584</v>
      </c>
      <c r="E141" s="631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2"/>
      <c r="R141" s="622"/>
      <c r="S141" s="622"/>
      <c r="T141" s="623"/>
      <c r="U141" s="34"/>
      <c r="V141" s="34"/>
      <c r="W141" s="35" t="s">
        <v>67</v>
      </c>
      <c r="X141" s="617">
        <v>54</v>
      </c>
      <c r="Y141" s="618">
        <f>IFERROR(IF(X141="",0,CEILING((X141/$H141),1)*$H141),"")</f>
        <v>55.440000000000005</v>
      </c>
      <c r="Z141" s="36">
        <f>IFERROR(IF(Y141=0,"",ROUNDUP(Y141/H141,0)*0.00651),"")</f>
        <v>0.13671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59.48181818181817</v>
      </c>
      <c r="BN141" s="64">
        <f>IFERROR(Y141*I141/H141,"0")</f>
        <v>61.068000000000005</v>
      </c>
      <c r="BO141" s="64">
        <f>IFERROR(1/J141*(X141/H141),"0")</f>
        <v>0.11238761238761238</v>
      </c>
      <c r="BP141" s="64">
        <f>IFERROR(1/J141*(Y141/H141),"0")</f>
        <v>0.11538461538461539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30">
        <v>4680115882584</v>
      </c>
      <c r="E142" s="631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2"/>
      <c r="R142" s="622"/>
      <c r="S142" s="622"/>
      <c r="T142" s="623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2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7" t="s">
        <v>69</v>
      </c>
      <c r="Q143" s="638"/>
      <c r="R143" s="638"/>
      <c r="S143" s="638"/>
      <c r="T143" s="638"/>
      <c r="U143" s="638"/>
      <c r="V143" s="639"/>
      <c r="W143" s="37" t="s">
        <v>70</v>
      </c>
      <c r="X143" s="619">
        <f>IFERROR(X141/H141,"0")+IFERROR(X142/H142,"0")</f>
        <v>20.454545454545453</v>
      </c>
      <c r="Y143" s="619">
        <f>IFERROR(Y141/H141,"0")+IFERROR(Y142/H142,"0")</f>
        <v>21</v>
      </c>
      <c r="Z143" s="619">
        <f>IFERROR(IF(Z141="",0,Z141),"0")+IFERROR(IF(Z142="",0,Z142),"0")</f>
        <v>0.13671</v>
      </c>
      <c r="AA143" s="620"/>
      <c r="AB143" s="620"/>
      <c r="AC143" s="620"/>
    </row>
    <row r="144" spans="1:68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7" t="s">
        <v>69</v>
      </c>
      <c r="Q144" s="638"/>
      <c r="R144" s="638"/>
      <c r="S144" s="638"/>
      <c r="T144" s="638"/>
      <c r="U144" s="638"/>
      <c r="V144" s="639"/>
      <c r="W144" s="37" t="s">
        <v>67</v>
      </c>
      <c r="X144" s="619">
        <f>IFERROR(SUM(X141:X142),"0")</f>
        <v>54</v>
      </c>
      <c r="Y144" s="619">
        <f>IFERROR(SUM(Y141:Y142),"0")</f>
        <v>55.440000000000005</v>
      </c>
      <c r="Z144" s="37"/>
      <c r="AA144" s="620"/>
      <c r="AB144" s="620"/>
      <c r="AC144" s="620"/>
    </row>
    <row r="145" spans="1:68" ht="16.5" hidden="1" customHeight="1" x14ac:dyDescent="0.25">
      <c r="A145" s="640" t="s">
        <v>250</v>
      </c>
      <c r="B145" s="633"/>
      <c r="C145" s="633"/>
      <c r="D145" s="633"/>
      <c r="E145" s="633"/>
      <c r="F145" s="633"/>
      <c r="G145" s="633"/>
      <c r="H145" s="633"/>
      <c r="I145" s="633"/>
      <c r="J145" s="633"/>
      <c r="K145" s="633"/>
      <c r="L145" s="633"/>
      <c r="M145" s="633"/>
      <c r="N145" s="633"/>
      <c r="O145" s="633"/>
      <c r="P145" s="633"/>
      <c r="Q145" s="633"/>
      <c r="R145" s="633"/>
      <c r="S145" s="633"/>
      <c r="T145" s="633"/>
      <c r="U145" s="633"/>
      <c r="V145" s="633"/>
      <c r="W145" s="633"/>
      <c r="X145" s="633"/>
      <c r="Y145" s="633"/>
      <c r="Z145" s="633"/>
      <c r="AA145" s="612"/>
      <c r="AB145" s="612"/>
      <c r="AC145" s="612"/>
    </row>
    <row r="146" spans="1:68" ht="14.25" hidden="1" customHeight="1" x14ac:dyDescent="0.25">
      <c r="A146" s="636" t="s">
        <v>71</v>
      </c>
      <c r="B146" s="633"/>
      <c r="C146" s="633"/>
      <c r="D146" s="633"/>
      <c r="E146" s="633"/>
      <c r="F146" s="633"/>
      <c r="G146" s="633"/>
      <c r="H146" s="633"/>
      <c r="I146" s="633"/>
      <c r="J146" s="633"/>
      <c r="K146" s="633"/>
      <c r="L146" s="633"/>
      <c r="M146" s="633"/>
      <c r="N146" s="633"/>
      <c r="O146" s="633"/>
      <c r="P146" s="633"/>
      <c r="Q146" s="633"/>
      <c r="R146" s="633"/>
      <c r="S146" s="633"/>
      <c r="T146" s="633"/>
      <c r="U146" s="633"/>
      <c r="V146" s="633"/>
      <c r="W146" s="633"/>
      <c r="X146" s="633"/>
      <c r="Y146" s="633"/>
      <c r="Z146" s="633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30">
        <v>4680115888203</v>
      </c>
      <c r="E147" s="631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2"/>
      <c r="R147" s="622"/>
      <c r="S147" s="622"/>
      <c r="T147" s="623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30">
        <v>4680115888180</v>
      </c>
      <c r="E148" s="631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0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30">
        <v>4680115888197</v>
      </c>
      <c r="E149" s="631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30">
        <v>4680115888210</v>
      </c>
      <c r="E150" s="631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5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2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7" t="s">
        <v>69</v>
      </c>
      <c r="Q151" s="638"/>
      <c r="R151" s="638"/>
      <c r="S151" s="638"/>
      <c r="T151" s="638"/>
      <c r="U151" s="638"/>
      <c r="V151" s="639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7" t="s">
        <v>69</v>
      </c>
      <c r="Q152" s="638"/>
      <c r="R152" s="638"/>
      <c r="S152" s="638"/>
      <c r="T152" s="638"/>
      <c r="U152" s="638"/>
      <c r="V152" s="639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6" t="s">
        <v>263</v>
      </c>
      <c r="B153" s="633"/>
      <c r="C153" s="633"/>
      <c r="D153" s="633"/>
      <c r="E153" s="633"/>
      <c r="F153" s="633"/>
      <c r="G153" s="633"/>
      <c r="H153" s="633"/>
      <c r="I153" s="633"/>
      <c r="J153" s="633"/>
      <c r="K153" s="633"/>
      <c r="L153" s="633"/>
      <c r="M153" s="633"/>
      <c r="N153" s="633"/>
      <c r="O153" s="633"/>
      <c r="P153" s="633"/>
      <c r="Q153" s="633"/>
      <c r="R153" s="633"/>
      <c r="S153" s="633"/>
      <c r="T153" s="633"/>
      <c r="U153" s="633"/>
      <c r="V153" s="633"/>
      <c r="W153" s="633"/>
      <c r="X153" s="633"/>
      <c r="Y153" s="633"/>
      <c r="Z153" s="633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30">
        <v>4680115889132</v>
      </c>
      <c r="E154" s="631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4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2"/>
      <c r="R154" s="622"/>
      <c r="S154" s="622"/>
      <c r="T154" s="623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2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7" t="s">
        <v>69</v>
      </c>
      <c r="Q155" s="638"/>
      <c r="R155" s="638"/>
      <c r="S155" s="638"/>
      <c r="T155" s="638"/>
      <c r="U155" s="638"/>
      <c r="V155" s="639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7" t="s">
        <v>69</v>
      </c>
      <c r="Q156" s="638"/>
      <c r="R156" s="638"/>
      <c r="S156" s="638"/>
      <c r="T156" s="638"/>
      <c r="U156" s="638"/>
      <c r="V156" s="639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40" t="s">
        <v>106</v>
      </c>
      <c r="B157" s="633"/>
      <c r="C157" s="633"/>
      <c r="D157" s="633"/>
      <c r="E157" s="633"/>
      <c r="F157" s="633"/>
      <c r="G157" s="633"/>
      <c r="H157" s="633"/>
      <c r="I157" s="633"/>
      <c r="J157" s="633"/>
      <c r="K157" s="633"/>
      <c r="L157" s="633"/>
      <c r="M157" s="633"/>
      <c r="N157" s="633"/>
      <c r="O157" s="633"/>
      <c r="P157" s="633"/>
      <c r="Q157" s="633"/>
      <c r="R157" s="633"/>
      <c r="S157" s="633"/>
      <c r="T157" s="633"/>
      <c r="U157" s="633"/>
      <c r="V157" s="633"/>
      <c r="W157" s="633"/>
      <c r="X157" s="633"/>
      <c r="Y157" s="633"/>
      <c r="Z157" s="633"/>
      <c r="AA157" s="612"/>
      <c r="AB157" s="612"/>
      <c r="AC157" s="612"/>
    </row>
    <row r="158" spans="1:68" ht="14.25" hidden="1" customHeight="1" x14ac:dyDescent="0.25">
      <c r="A158" s="636" t="s">
        <v>108</v>
      </c>
      <c r="B158" s="633"/>
      <c r="C158" s="633"/>
      <c r="D158" s="633"/>
      <c r="E158" s="633"/>
      <c r="F158" s="633"/>
      <c r="G158" s="633"/>
      <c r="H158" s="633"/>
      <c r="I158" s="633"/>
      <c r="J158" s="633"/>
      <c r="K158" s="633"/>
      <c r="L158" s="633"/>
      <c r="M158" s="633"/>
      <c r="N158" s="633"/>
      <c r="O158" s="633"/>
      <c r="P158" s="633"/>
      <c r="Q158" s="633"/>
      <c r="R158" s="633"/>
      <c r="S158" s="633"/>
      <c r="T158" s="633"/>
      <c r="U158" s="633"/>
      <c r="V158" s="633"/>
      <c r="W158" s="633"/>
      <c r="X158" s="633"/>
      <c r="Y158" s="633"/>
      <c r="Z158" s="633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30">
        <v>4680115887374</v>
      </c>
      <c r="E159" s="631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2"/>
      <c r="R159" s="622"/>
      <c r="S159" s="622"/>
      <c r="T159" s="623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30">
        <v>4607091384604</v>
      </c>
      <c r="E160" s="631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2"/>
      <c r="R160" s="622"/>
      <c r="S160" s="622"/>
      <c r="T160" s="623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30">
        <v>4607091384604</v>
      </c>
      <c r="E161" s="631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2"/>
      <c r="R161" s="622"/>
      <c r="S161" s="622"/>
      <c r="T161" s="623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30">
        <v>4680115888876</v>
      </c>
      <c r="E162" s="631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2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7" t="s">
        <v>69</v>
      </c>
      <c r="Q163" s="638"/>
      <c r="R163" s="638"/>
      <c r="S163" s="638"/>
      <c r="T163" s="638"/>
      <c r="U163" s="638"/>
      <c r="V163" s="639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7" t="s">
        <v>69</v>
      </c>
      <c r="Q164" s="638"/>
      <c r="R164" s="638"/>
      <c r="S164" s="638"/>
      <c r="T164" s="638"/>
      <c r="U164" s="638"/>
      <c r="V164" s="639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6" t="s">
        <v>143</v>
      </c>
      <c r="B165" s="633"/>
      <c r="C165" s="633"/>
      <c r="D165" s="633"/>
      <c r="E165" s="633"/>
      <c r="F165" s="633"/>
      <c r="G165" s="633"/>
      <c r="H165" s="633"/>
      <c r="I165" s="633"/>
      <c r="J165" s="633"/>
      <c r="K165" s="633"/>
      <c r="L165" s="633"/>
      <c r="M165" s="633"/>
      <c r="N165" s="633"/>
      <c r="O165" s="633"/>
      <c r="P165" s="633"/>
      <c r="Q165" s="633"/>
      <c r="R165" s="633"/>
      <c r="S165" s="633"/>
      <c r="T165" s="633"/>
      <c r="U165" s="633"/>
      <c r="V165" s="633"/>
      <c r="W165" s="633"/>
      <c r="X165" s="633"/>
      <c r="Y165" s="633"/>
      <c r="Z165" s="633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30">
        <v>4680115887695</v>
      </c>
      <c r="E166" s="631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1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30">
        <v>4680115889491</v>
      </c>
      <c r="E167" s="631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2"/>
      <c r="R167" s="622"/>
      <c r="S167" s="622"/>
      <c r="T167" s="623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2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7" t="s">
        <v>69</v>
      </c>
      <c r="Q168" s="638"/>
      <c r="R168" s="638"/>
      <c r="S168" s="638"/>
      <c r="T168" s="638"/>
      <c r="U168" s="638"/>
      <c r="V168" s="639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7" t="s">
        <v>69</v>
      </c>
      <c r="Q169" s="638"/>
      <c r="R169" s="638"/>
      <c r="S169" s="638"/>
      <c r="T169" s="638"/>
      <c r="U169" s="638"/>
      <c r="V169" s="639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6" t="s">
        <v>62</v>
      </c>
      <c r="B170" s="633"/>
      <c r="C170" s="633"/>
      <c r="D170" s="633"/>
      <c r="E170" s="633"/>
      <c r="F170" s="633"/>
      <c r="G170" s="633"/>
      <c r="H170" s="633"/>
      <c r="I170" s="633"/>
      <c r="J170" s="633"/>
      <c r="K170" s="633"/>
      <c r="L170" s="633"/>
      <c r="M170" s="633"/>
      <c r="N170" s="633"/>
      <c r="O170" s="633"/>
      <c r="P170" s="633"/>
      <c r="Q170" s="633"/>
      <c r="R170" s="633"/>
      <c r="S170" s="633"/>
      <c r="T170" s="633"/>
      <c r="U170" s="633"/>
      <c r="V170" s="633"/>
      <c r="W170" s="633"/>
      <c r="X170" s="633"/>
      <c r="Y170" s="633"/>
      <c r="Z170" s="633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30">
        <v>4680115887428</v>
      </c>
      <c r="E171" s="631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6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7">
        <v>100</v>
      </c>
      <c r="Y171" s="618">
        <f t="shared" ref="Y171:Y180" si="15">IFERROR(IF(X171="",0,CEILING((X171/$H171),1)*$H171),"")</f>
        <v>101.5</v>
      </c>
      <c r="Z171" s="36">
        <f>IFERROR(IF(Y171=0,"",ROUNDUP(Y171/H171,0)*0.00902),"")</f>
        <v>0.26158000000000003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105.42857142857143</v>
      </c>
      <c r="BN171" s="64">
        <f t="shared" ref="BN171:BN180" si="17">IFERROR(Y171*I171/H171,"0")</f>
        <v>107.00999999999999</v>
      </c>
      <c r="BO171" s="64">
        <f t="shared" ref="BO171:BO180" si="18">IFERROR(1/J171*(X171/H171),"0")</f>
        <v>0.21645021645021648</v>
      </c>
      <c r="BP171" s="64">
        <f t="shared" ref="BP171:BP180" si="19">IFERROR(1/J171*(Y171/H171),"0")</f>
        <v>0.2196969696969697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30">
        <v>4680115889170</v>
      </c>
      <c r="E172" s="631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4301031522</v>
      </c>
      <c r="D173" s="630">
        <v>4680115887398</v>
      </c>
      <c r="E173" s="631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8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7">
        <v>0</v>
      </c>
      <c r="Y173" s="618">
        <f t="shared" si="15"/>
        <v>0</v>
      </c>
      <c r="Z173" s="36" t="str">
        <f>IFERROR(IF(Y173=0,"",ROUNDUP(Y173/H173,0)*0.00902),"")</f>
        <v/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0</v>
      </c>
      <c r="BN173" s="64">
        <f t="shared" si="17"/>
        <v>0</v>
      </c>
      <c r="BO173" s="64">
        <f t="shared" si="18"/>
        <v>0</v>
      </c>
      <c r="BP173" s="64">
        <f t="shared" si="19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30">
        <v>4680115887336</v>
      </c>
      <c r="E174" s="631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68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hidden="1" customHeight="1" x14ac:dyDescent="0.25">
      <c r="A175" s="54" t="s">
        <v>298</v>
      </c>
      <c r="B175" s="54" t="s">
        <v>299</v>
      </c>
      <c r="C175" s="31">
        <v>4301031528</v>
      </c>
      <c r="D175" s="630">
        <v>4680115887787</v>
      </c>
      <c r="E175" s="631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7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7">
        <v>0</v>
      </c>
      <c r="Y175" s="618">
        <f t="shared" si="15"/>
        <v>0</v>
      </c>
      <c r="Z175" s="36" t="str">
        <f>IFERROR(IF(Y175=0,"",ROUNDUP(Y175/H175,0)*0.00726),"")</f>
        <v/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0</v>
      </c>
      <c r="BN175" s="64">
        <f t="shared" si="17"/>
        <v>0</v>
      </c>
      <c r="BO175" s="64">
        <f t="shared" si="18"/>
        <v>0</v>
      </c>
      <c r="BP175" s="64">
        <f t="shared" si="19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4301031448</v>
      </c>
      <c r="D176" s="630">
        <v>4680115887503</v>
      </c>
      <c r="E176" s="631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7">
        <v>14</v>
      </c>
      <c r="Y176" s="618">
        <f t="shared" si="15"/>
        <v>15.12</v>
      </c>
      <c r="Z176" s="36">
        <f>IFERROR(IF(Y176=0,"",ROUNDUP(Y176/H176,0)*0.00502),"")</f>
        <v>4.5179999999999998E-2</v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14.833333333333336</v>
      </c>
      <c r="BN176" s="64">
        <f t="shared" si="17"/>
        <v>16.02</v>
      </c>
      <c r="BO176" s="64">
        <f t="shared" si="18"/>
        <v>3.561253561253562E-2</v>
      </c>
      <c r="BP176" s="64">
        <f t="shared" si="19"/>
        <v>3.8461538461538464E-2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30">
        <v>4680115887763</v>
      </c>
      <c r="E177" s="631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30">
        <v>4680115887480</v>
      </c>
      <c r="E178" s="631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2"/>
      <c r="R178" s="622"/>
      <c r="S178" s="622"/>
      <c r="T178" s="623"/>
      <c r="U178" s="34"/>
      <c r="V178" s="34"/>
      <c r="W178" s="35" t="s">
        <v>67</v>
      </c>
      <c r="X178" s="617">
        <v>14</v>
      </c>
      <c r="Y178" s="618">
        <f t="shared" si="15"/>
        <v>15.12</v>
      </c>
      <c r="Z178" s="36">
        <f>IFERROR(IF(Y178=0,"",ROUNDUP(Y178/H178,0)*0.00502),"")</f>
        <v>4.5179999999999998E-2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14.833333333333336</v>
      </c>
      <c r="BN178" s="64">
        <f t="shared" si="17"/>
        <v>16.02</v>
      </c>
      <c r="BO178" s="64">
        <f t="shared" si="18"/>
        <v>3.561253561253562E-2</v>
      </c>
      <c r="BP178" s="64">
        <f t="shared" si="19"/>
        <v>3.8461538461538464E-2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30">
        <v>4680115888067</v>
      </c>
      <c r="E179" s="631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2"/>
      <c r="R179" s="622"/>
      <c r="S179" s="622"/>
      <c r="T179" s="623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customHeight="1" x14ac:dyDescent="0.25">
      <c r="A180" s="54" t="s">
        <v>311</v>
      </c>
      <c r="B180" s="54" t="s">
        <v>312</v>
      </c>
      <c r="C180" s="31">
        <v>4301031519</v>
      </c>
      <c r="D180" s="630">
        <v>4680115887435</v>
      </c>
      <c r="E180" s="631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2"/>
      <c r="R180" s="622"/>
      <c r="S180" s="622"/>
      <c r="T180" s="623"/>
      <c r="U180" s="34"/>
      <c r="V180" s="34"/>
      <c r="W180" s="35" t="s">
        <v>67</v>
      </c>
      <c r="X180" s="617">
        <v>14</v>
      </c>
      <c r="Y180" s="618">
        <f t="shared" si="15"/>
        <v>15.12</v>
      </c>
      <c r="Z180" s="36">
        <f>IFERROR(IF(Y180=0,"",ROUNDUP(Y180/H180,0)*0.00502),"")</f>
        <v>4.5179999999999998E-2</v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14.833333333333336</v>
      </c>
      <c r="BN180" s="64">
        <f t="shared" si="17"/>
        <v>16.02</v>
      </c>
      <c r="BO180" s="64">
        <f t="shared" si="18"/>
        <v>3.561253561253562E-2</v>
      </c>
      <c r="BP180" s="64">
        <f t="shared" si="19"/>
        <v>3.8461538461538464E-2</v>
      </c>
    </row>
    <row r="181" spans="1:68" x14ac:dyDescent="0.2">
      <c r="A181" s="632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7" t="s">
        <v>69</v>
      </c>
      <c r="Q181" s="638"/>
      <c r="R181" s="638"/>
      <c r="S181" s="638"/>
      <c r="T181" s="638"/>
      <c r="U181" s="638"/>
      <c r="V181" s="639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53.571428571428577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56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0.39712000000000003</v>
      </c>
      <c r="AA181" s="620"/>
      <c r="AB181" s="620"/>
      <c r="AC181" s="620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7" t="s">
        <v>69</v>
      </c>
      <c r="Q182" s="638"/>
      <c r="R182" s="638"/>
      <c r="S182" s="638"/>
      <c r="T182" s="638"/>
      <c r="U182" s="638"/>
      <c r="V182" s="639"/>
      <c r="W182" s="37" t="s">
        <v>67</v>
      </c>
      <c r="X182" s="619">
        <f>IFERROR(SUM(X171:X180),"0")</f>
        <v>142</v>
      </c>
      <c r="Y182" s="619">
        <f>IFERROR(SUM(Y171:Y180),"0")</f>
        <v>146.86000000000001</v>
      </c>
      <c r="Z182" s="37"/>
      <c r="AA182" s="620"/>
      <c r="AB182" s="620"/>
      <c r="AC182" s="620"/>
    </row>
    <row r="183" spans="1:68" ht="14.25" hidden="1" customHeight="1" x14ac:dyDescent="0.25">
      <c r="A183" s="636" t="s">
        <v>71</v>
      </c>
      <c r="B183" s="633"/>
      <c r="C183" s="633"/>
      <c r="D183" s="633"/>
      <c r="E183" s="633"/>
      <c r="F183" s="633"/>
      <c r="G183" s="633"/>
      <c r="H183" s="633"/>
      <c r="I183" s="633"/>
      <c r="J183" s="633"/>
      <c r="K183" s="633"/>
      <c r="L183" s="633"/>
      <c r="M183" s="633"/>
      <c r="N183" s="633"/>
      <c r="O183" s="633"/>
      <c r="P183" s="633"/>
      <c r="Q183" s="633"/>
      <c r="R183" s="633"/>
      <c r="S183" s="633"/>
      <c r="T183" s="633"/>
      <c r="U183" s="633"/>
      <c r="V183" s="633"/>
      <c r="W183" s="633"/>
      <c r="X183" s="633"/>
      <c r="Y183" s="633"/>
      <c r="Z183" s="633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30">
        <v>4680115888395</v>
      </c>
      <c r="E184" s="631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69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2"/>
      <c r="R184" s="622"/>
      <c r="S184" s="622"/>
      <c r="T184" s="623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30">
        <v>4680115888371</v>
      </c>
      <c r="E185" s="631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8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2"/>
      <c r="R185" s="622"/>
      <c r="S185" s="622"/>
      <c r="T185" s="623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2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7" t="s">
        <v>69</v>
      </c>
      <c r="Q186" s="638"/>
      <c r="R186" s="638"/>
      <c r="S186" s="638"/>
      <c r="T186" s="638"/>
      <c r="U186" s="638"/>
      <c r="V186" s="639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7" t="s">
        <v>69</v>
      </c>
      <c r="Q187" s="638"/>
      <c r="R187" s="638"/>
      <c r="S187" s="638"/>
      <c r="T187" s="638"/>
      <c r="U187" s="638"/>
      <c r="V187" s="639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6" t="s">
        <v>263</v>
      </c>
      <c r="B188" s="633"/>
      <c r="C188" s="633"/>
      <c r="D188" s="633"/>
      <c r="E188" s="633"/>
      <c r="F188" s="633"/>
      <c r="G188" s="633"/>
      <c r="H188" s="633"/>
      <c r="I188" s="633"/>
      <c r="J188" s="633"/>
      <c r="K188" s="633"/>
      <c r="L188" s="633"/>
      <c r="M188" s="633"/>
      <c r="N188" s="633"/>
      <c r="O188" s="633"/>
      <c r="P188" s="633"/>
      <c r="Q188" s="633"/>
      <c r="R188" s="633"/>
      <c r="S188" s="633"/>
      <c r="T188" s="633"/>
      <c r="U188" s="633"/>
      <c r="V188" s="633"/>
      <c r="W188" s="633"/>
      <c r="X188" s="633"/>
      <c r="Y188" s="633"/>
      <c r="Z188" s="633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30">
        <v>4680115889026</v>
      </c>
      <c r="E189" s="631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73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2"/>
      <c r="R189" s="622"/>
      <c r="S189" s="622"/>
      <c r="T189" s="623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2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7" t="s">
        <v>69</v>
      </c>
      <c r="Q190" s="638"/>
      <c r="R190" s="638"/>
      <c r="S190" s="638"/>
      <c r="T190" s="638"/>
      <c r="U190" s="638"/>
      <c r="V190" s="639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7" t="s">
        <v>69</v>
      </c>
      <c r="Q191" s="638"/>
      <c r="R191" s="638"/>
      <c r="S191" s="638"/>
      <c r="T191" s="638"/>
      <c r="U191" s="638"/>
      <c r="V191" s="639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6" t="s">
        <v>323</v>
      </c>
      <c r="B192" s="633"/>
      <c r="C192" s="633"/>
      <c r="D192" s="633"/>
      <c r="E192" s="633"/>
      <c r="F192" s="633"/>
      <c r="G192" s="633"/>
      <c r="H192" s="633"/>
      <c r="I192" s="633"/>
      <c r="J192" s="633"/>
      <c r="K192" s="633"/>
      <c r="L192" s="633"/>
      <c r="M192" s="633"/>
      <c r="N192" s="633"/>
      <c r="O192" s="633"/>
      <c r="P192" s="633"/>
      <c r="Q192" s="633"/>
      <c r="R192" s="633"/>
      <c r="S192" s="633"/>
      <c r="T192" s="633"/>
      <c r="U192" s="633"/>
      <c r="V192" s="633"/>
      <c r="W192" s="633"/>
      <c r="X192" s="633"/>
      <c r="Y192" s="633"/>
      <c r="Z192" s="633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30">
        <v>4680115889033</v>
      </c>
      <c r="E193" s="631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6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2"/>
      <c r="R193" s="622"/>
      <c r="S193" s="622"/>
      <c r="T193" s="623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2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7" t="s">
        <v>69</v>
      </c>
      <c r="Q194" s="638"/>
      <c r="R194" s="638"/>
      <c r="S194" s="638"/>
      <c r="T194" s="638"/>
      <c r="U194" s="638"/>
      <c r="V194" s="639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7" t="s">
        <v>69</v>
      </c>
      <c r="Q195" s="638"/>
      <c r="R195" s="638"/>
      <c r="S195" s="638"/>
      <c r="T195" s="638"/>
      <c r="U195" s="638"/>
      <c r="V195" s="639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88" t="s">
        <v>327</v>
      </c>
      <c r="B196" s="789"/>
      <c r="C196" s="789"/>
      <c r="D196" s="789"/>
      <c r="E196" s="789"/>
      <c r="F196" s="789"/>
      <c r="G196" s="789"/>
      <c r="H196" s="789"/>
      <c r="I196" s="789"/>
      <c r="J196" s="789"/>
      <c r="K196" s="789"/>
      <c r="L196" s="789"/>
      <c r="M196" s="789"/>
      <c r="N196" s="789"/>
      <c r="O196" s="789"/>
      <c r="P196" s="789"/>
      <c r="Q196" s="789"/>
      <c r="R196" s="789"/>
      <c r="S196" s="789"/>
      <c r="T196" s="789"/>
      <c r="U196" s="789"/>
      <c r="V196" s="789"/>
      <c r="W196" s="789"/>
      <c r="X196" s="789"/>
      <c r="Y196" s="789"/>
      <c r="Z196" s="789"/>
      <c r="AA196" s="48"/>
      <c r="AB196" s="48"/>
      <c r="AC196" s="48"/>
    </row>
    <row r="197" spans="1:68" ht="16.5" hidden="1" customHeight="1" x14ac:dyDescent="0.25">
      <c r="A197" s="640" t="s">
        <v>328</v>
      </c>
      <c r="B197" s="633"/>
      <c r="C197" s="633"/>
      <c r="D197" s="633"/>
      <c r="E197" s="633"/>
      <c r="F197" s="633"/>
      <c r="G197" s="633"/>
      <c r="H197" s="633"/>
      <c r="I197" s="633"/>
      <c r="J197" s="633"/>
      <c r="K197" s="633"/>
      <c r="L197" s="633"/>
      <c r="M197" s="633"/>
      <c r="N197" s="633"/>
      <c r="O197" s="633"/>
      <c r="P197" s="633"/>
      <c r="Q197" s="633"/>
      <c r="R197" s="633"/>
      <c r="S197" s="633"/>
      <c r="T197" s="633"/>
      <c r="U197" s="633"/>
      <c r="V197" s="633"/>
      <c r="W197" s="633"/>
      <c r="X197" s="633"/>
      <c r="Y197" s="633"/>
      <c r="Z197" s="633"/>
      <c r="AA197" s="612"/>
      <c r="AB197" s="612"/>
      <c r="AC197" s="612"/>
    </row>
    <row r="198" spans="1:68" ht="14.25" hidden="1" customHeight="1" x14ac:dyDescent="0.25">
      <c r="A198" s="636" t="s">
        <v>108</v>
      </c>
      <c r="B198" s="633"/>
      <c r="C198" s="633"/>
      <c r="D198" s="633"/>
      <c r="E198" s="633"/>
      <c r="F198" s="633"/>
      <c r="G198" s="633"/>
      <c r="H198" s="633"/>
      <c r="I198" s="633"/>
      <c r="J198" s="633"/>
      <c r="K198" s="633"/>
      <c r="L198" s="633"/>
      <c r="M198" s="633"/>
      <c r="N198" s="633"/>
      <c r="O198" s="633"/>
      <c r="P198" s="633"/>
      <c r="Q198" s="633"/>
      <c r="R198" s="633"/>
      <c r="S198" s="633"/>
      <c r="T198" s="633"/>
      <c r="U198" s="633"/>
      <c r="V198" s="633"/>
      <c r="W198" s="633"/>
      <c r="X198" s="633"/>
      <c r="Y198" s="633"/>
      <c r="Z198" s="633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30">
        <v>4607091383423</v>
      </c>
      <c r="E199" s="631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2"/>
      <c r="R199" s="622"/>
      <c r="S199" s="622"/>
      <c r="T199" s="623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30">
        <v>4680115888760</v>
      </c>
      <c r="E200" s="631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30">
        <v>4680115888807</v>
      </c>
      <c r="E201" s="631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30">
        <v>4680115888852</v>
      </c>
      <c r="E202" s="631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8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30">
        <v>4680115886957</v>
      </c>
      <c r="E203" s="631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30">
        <v>4680115885660</v>
      </c>
      <c r="E204" s="631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30">
        <v>4680115886773</v>
      </c>
      <c r="E205" s="631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4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2"/>
      <c r="R205" s="622"/>
      <c r="S205" s="622"/>
      <c r="T205" s="623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2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7" t="s">
        <v>69</v>
      </c>
      <c r="Q206" s="638"/>
      <c r="R206" s="638"/>
      <c r="S206" s="638"/>
      <c r="T206" s="638"/>
      <c r="U206" s="638"/>
      <c r="V206" s="639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7" t="s">
        <v>69</v>
      </c>
      <c r="Q207" s="638"/>
      <c r="R207" s="638"/>
      <c r="S207" s="638"/>
      <c r="T207" s="638"/>
      <c r="U207" s="638"/>
      <c r="V207" s="639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40" t="s">
        <v>349</v>
      </c>
      <c r="B208" s="633"/>
      <c r="C208" s="633"/>
      <c r="D208" s="633"/>
      <c r="E208" s="633"/>
      <c r="F208" s="633"/>
      <c r="G208" s="633"/>
      <c r="H208" s="633"/>
      <c r="I208" s="633"/>
      <c r="J208" s="633"/>
      <c r="K208" s="633"/>
      <c r="L208" s="633"/>
      <c r="M208" s="633"/>
      <c r="N208" s="633"/>
      <c r="O208" s="633"/>
      <c r="P208" s="633"/>
      <c r="Q208" s="633"/>
      <c r="R208" s="633"/>
      <c r="S208" s="633"/>
      <c r="T208" s="633"/>
      <c r="U208" s="633"/>
      <c r="V208" s="633"/>
      <c r="W208" s="633"/>
      <c r="X208" s="633"/>
      <c r="Y208" s="633"/>
      <c r="Z208" s="633"/>
      <c r="AA208" s="612"/>
      <c r="AB208" s="612"/>
      <c r="AC208" s="612"/>
    </row>
    <row r="209" spans="1:68" ht="14.25" hidden="1" customHeight="1" x14ac:dyDescent="0.25">
      <c r="A209" s="636" t="s">
        <v>143</v>
      </c>
      <c r="B209" s="633"/>
      <c r="C209" s="633"/>
      <c r="D209" s="633"/>
      <c r="E209" s="633"/>
      <c r="F209" s="633"/>
      <c r="G209" s="633"/>
      <c r="H209" s="633"/>
      <c r="I209" s="633"/>
      <c r="J209" s="633"/>
      <c r="K209" s="633"/>
      <c r="L209" s="633"/>
      <c r="M209" s="633"/>
      <c r="N209" s="633"/>
      <c r="O209" s="633"/>
      <c r="P209" s="633"/>
      <c r="Q209" s="633"/>
      <c r="R209" s="633"/>
      <c r="S209" s="633"/>
      <c r="T209" s="633"/>
      <c r="U209" s="633"/>
      <c r="V209" s="633"/>
      <c r="W209" s="633"/>
      <c r="X209" s="633"/>
      <c r="Y209" s="633"/>
      <c r="Z209" s="633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30">
        <v>4680115886223</v>
      </c>
      <c r="E210" s="631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8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2"/>
      <c r="R210" s="622"/>
      <c r="S210" s="622"/>
      <c r="T210" s="623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2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7" t="s">
        <v>69</v>
      </c>
      <c r="Q211" s="638"/>
      <c r="R211" s="638"/>
      <c r="S211" s="638"/>
      <c r="T211" s="638"/>
      <c r="U211" s="638"/>
      <c r="V211" s="639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7" t="s">
        <v>69</v>
      </c>
      <c r="Q212" s="638"/>
      <c r="R212" s="638"/>
      <c r="S212" s="638"/>
      <c r="T212" s="638"/>
      <c r="U212" s="638"/>
      <c r="V212" s="639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6" t="s">
        <v>62</v>
      </c>
      <c r="B213" s="633"/>
      <c r="C213" s="633"/>
      <c r="D213" s="633"/>
      <c r="E213" s="633"/>
      <c r="F213" s="633"/>
      <c r="G213" s="633"/>
      <c r="H213" s="633"/>
      <c r="I213" s="633"/>
      <c r="J213" s="633"/>
      <c r="K213" s="633"/>
      <c r="L213" s="633"/>
      <c r="M213" s="633"/>
      <c r="N213" s="633"/>
      <c r="O213" s="633"/>
      <c r="P213" s="633"/>
      <c r="Q213" s="633"/>
      <c r="R213" s="633"/>
      <c r="S213" s="633"/>
      <c r="T213" s="633"/>
      <c r="U213" s="633"/>
      <c r="V213" s="633"/>
      <c r="W213" s="633"/>
      <c r="X213" s="633"/>
      <c r="Y213" s="633"/>
      <c r="Z213" s="633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30">
        <v>4680115880993</v>
      </c>
      <c r="E214" s="631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2"/>
      <c r="R214" s="622"/>
      <c r="S214" s="622"/>
      <c r="T214" s="623"/>
      <c r="U214" s="34"/>
      <c r="V214" s="34"/>
      <c r="W214" s="35" t="s">
        <v>67</v>
      </c>
      <c r="X214" s="617">
        <v>300</v>
      </c>
      <c r="Y214" s="618">
        <f t="shared" ref="Y214:Y226" si="26">IFERROR(IF(X214="",0,CEILING((X214/$H214),1)*$H214),"")</f>
        <v>302.40000000000003</v>
      </c>
      <c r="Z214" s="36">
        <f>IFERROR(IF(Y214=0,"",ROUNDUP(Y214/H214,0)*0.00902),"")</f>
        <v>0.64944000000000002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317.85714285714283</v>
      </c>
      <c r="BN214" s="64">
        <f t="shared" ref="BN214:BN226" si="28">IFERROR(Y214*I214/H214,"0")</f>
        <v>320.40000000000003</v>
      </c>
      <c r="BO214" s="64">
        <f t="shared" ref="BO214:BO226" si="29">IFERROR(1/J214*(X214/H214),"0")</f>
        <v>0.54112554112554112</v>
      </c>
      <c r="BP214" s="64">
        <f t="shared" ref="BP214:BP226" si="30">IFERROR(1/J214*(Y214/H214),"0")</f>
        <v>0.54545454545454541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30">
        <v>4680115881761</v>
      </c>
      <c r="E215" s="631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customHeight="1" x14ac:dyDescent="0.25">
      <c r="A216" s="54" t="s">
        <v>359</v>
      </c>
      <c r="B216" s="54" t="s">
        <v>360</v>
      </c>
      <c r="C216" s="31">
        <v>4301031201</v>
      </c>
      <c r="D216" s="630">
        <v>4680115881563</v>
      </c>
      <c r="E216" s="631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80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2"/>
      <c r="R216" s="622"/>
      <c r="S216" s="622"/>
      <c r="T216" s="623"/>
      <c r="U216" s="34"/>
      <c r="V216" s="34"/>
      <c r="W216" s="35" t="s">
        <v>67</v>
      </c>
      <c r="X216" s="617">
        <v>200</v>
      </c>
      <c r="Y216" s="618">
        <f t="shared" si="26"/>
        <v>201.60000000000002</v>
      </c>
      <c r="Z216" s="36">
        <f>IFERROR(IF(Y216=0,"",ROUNDUP(Y216/H216,0)*0.00902),"")</f>
        <v>0.43296000000000001</v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209.04761904761901</v>
      </c>
      <c r="BN216" s="64">
        <f t="shared" si="28"/>
        <v>210.72</v>
      </c>
      <c r="BO216" s="64">
        <f t="shared" si="29"/>
        <v>0.36075036075036077</v>
      </c>
      <c r="BP216" s="64">
        <f t="shared" si="30"/>
        <v>0.36363636363636365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30">
        <v>4680115887565</v>
      </c>
      <c r="E217" s="631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2"/>
      <c r="R217" s="622"/>
      <c r="S217" s="622"/>
      <c r="T217" s="623"/>
      <c r="U217" s="34"/>
      <c r="V217" s="34"/>
      <c r="W217" s="35" t="s">
        <v>67</v>
      </c>
      <c r="X217" s="617">
        <v>7</v>
      </c>
      <c r="Y217" s="618">
        <f t="shared" si="26"/>
        <v>7.2</v>
      </c>
      <c r="Z217" s="36">
        <f>IFERROR(IF(Y217=0,"",ROUNDUP(Y217/H217,0)*0.00556),"")</f>
        <v>5.0040000000000001E-2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8.1375000000000011</v>
      </c>
      <c r="BN217" s="64">
        <f t="shared" si="28"/>
        <v>8.370000000000001</v>
      </c>
      <c r="BO217" s="64">
        <f t="shared" si="29"/>
        <v>3.4722222222222224E-2</v>
      </c>
      <c r="BP217" s="64">
        <f t="shared" si="30"/>
        <v>3.5714285714285712E-2</v>
      </c>
    </row>
    <row r="218" spans="1:68" ht="27" customHeight="1" x14ac:dyDescent="0.25">
      <c r="A218" s="54" t="s">
        <v>365</v>
      </c>
      <c r="B218" s="54" t="s">
        <v>366</v>
      </c>
      <c r="C218" s="31">
        <v>4301031199</v>
      </c>
      <c r="D218" s="630">
        <v>4680115880986</v>
      </c>
      <c r="E218" s="631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2"/>
      <c r="R218" s="622"/>
      <c r="S218" s="622"/>
      <c r="T218" s="623"/>
      <c r="U218" s="34"/>
      <c r="V218" s="34"/>
      <c r="W218" s="35" t="s">
        <v>67</v>
      </c>
      <c r="X218" s="617">
        <v>46</v>
      </c>
      <c r="Y218" s="618">
        <f t="shared" si="26"/>
        <v>46.2</v>
      </c>
      <c r="Z218" s="36">
        <f>IFERROR(IF(Y218=0,"",ROUNDUP(Y218/H218,0)*0.00502),"")</f>
        <v>0.11044000000000001</v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48.847619047619048</v>
      </c>
      <c r="BN218" s="64">
        <f t="shared" si="28"/>
        <v>49.06</v>
      </c>
      <c r="BO218" s="64">
        <f t="shared" si="29"/>
        <v>9.361009361009362E-2</v>
      </c>
      <c r="BP218" s="64">
        <f t="shared" si="30"/>
        <v>9.401709401709403E-2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30">
        <v>4680115887213</v>
      </c>
      <c r="E219" s="631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2"/>
      <c r="R219" s="622"/>
      <c r="S219" s="622"/>
      <c r="T219" s="623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30">
        <v>4680115881785</v>
      </c>
      <c r="E220" s="631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2"/>
      <c r="R220" s="622"/>
      <c r="S220" s="622"/>
      <c r="T220" s="623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30">
        <v>4680115888432</v>
      </c>
      <c r="E221" s="631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4301031503</v>
      </c>
      <c r="D222" s="630">
        <v>4680115886537</v>
      </c>
      <c r="E222" s="631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6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7">
        <v>45</v>
      </c>
      <c r="Y222" s="618">
        <f t="shared" si="26"/>
        <v>45</v>
      </c>
      <c r="Z222" s="36">
        <f>IFERROR(IF(Y222=0,"",ROUNDUP(Y222/H222,0)*0.00502),"")</f>
        <v>0.1255</v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48.249999999999993</v>
      </c>
      <c r="BN222" s="64">
        <f t="shared" si="28"/>
        <v>48.249999999999993</v>
      </c>
      <c r="BO222" s="64">
        <f t="shared" si="29"/>
        <v>0.10683760683760685</v>
      </c>
      <c r="BP222" s="64">
        <f t="shared" si="30"/>
        <v>0.10683760683760685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30">
        <v>4680115887596</v>
      </c>
      <c r="E223" s="631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7">
        <v>2</v>
      </c>
      <c r="Y223" s="618">
        <f t="shared" si="26"/>
        <v>2.4000000000000004</v>
      </c>
      <c r="Z223" s="36">
        <f>IFERROR(IF(Y223=0,"",ROUNDUP(Y223/H223,0)*0.00417),"")</f>
        <v>1.251E-2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2.5249999999999999</v>
      </c>
      <c r="BN223" s="64">
        <f t="shared" si="28"/>
        <v>3.0300000000000002</v>
      </c>
      <c r="BO223" s="64">
        <f t="shared" si="29"/>
        <v>7.4404761904761901E-3</v>
      </c>
      <c r="BP223" s="64">
        <f t="shared" si="30"/>
        <v>8.9285714285714298E-3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30">
        <v>4680115881679</v>
      </c>
      <c r="E224" s="631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810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2"/>
      <c r="R224" s="622"/>
      <c r="S224" s="622"/>
      <c r="T224" s="623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30">
        <v>4680115880191</v>
      </c>
      <c r="E225" s="631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7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2"/>
      <c r="R225" s="622"/>
      <c r="S225" s="622"/>
      <c r="T225" s="623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30">
        <v>4680115883963</v>
      </c>
      <c r="E226" s="631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2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7" t="s">
        <v>69</v>
      </c>
      <c r="Q227" s="638"/>
      <c r="R227" s="638"/>
      <c r="S227" s="638"/>
      <c r="T227" s="638"/>
      <c r="U227" s="638"/>
      <c r="V227" s="639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177.20238095238096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179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1.3808900000000002</v>
      </c>
      <c r="AA227" s="620"/>
      <c r="AB227" s="620"/>
      <c r="AC227" s="620"/>
    </row>
    <row r="228" spans="1:68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7" t="s">
        <v>69</v>
      </c>
      <c r="Q228" s="638"/>
      <c r="R228" s="638"/>
      <c r="S228" s="638"/>
      <c r="T228" s="638"/>
      <c r="U228" s="638"/>
      <c r="V228" s="639"/>
      <c r="W228" s="37" t="s">
        <v>67</v>
      </c>
      <c r="X228" s="619">
        <f>IFERROR(SUM(X214:X226),"0")</f>
        <v>600</v>
      </c>
      <c r="Y228" s="619">
        <f>IFERROR(SUM(Y214:Y226),"0")</f>
        <v>604.80000000000007</v>
      </c>
      <c r="Z228" s="37"/>
      <c r="AA228" s="620"/>
      <c r="AB228" s="620"/>
      <c r="AC228" s="620"/>
    </row>
    <row r="229" spans="1:68" ht="14.25" hidden="1" customHeight="1" x14ac:dyDescent="0.25">
      <c r="A229" s="636" t="s">
        <v>71</v>
      </c>
      <c r="B229" s="633"/>
      <c r="C229" s="633"/>
      <c r="D229" s="633"/>
      <c r="E229" s="633"/>
      <c r="F229" s="633"/>
      <c r="G229" s="633"/>
      <c r="H229" s="633"/>
      <c r="I229" s="633"/>
      <c r="J229" s="633"/>
      <c r="K229" s="633"/>
      <c r="L229" s="633"/>
      <c r="M229" s="633"/>
      <c r="N229" s="633"/>
      <c r="O229" s="633"/>
      <c r="P229" s="633"/>
      <c r="Q229" s="633"/>
      <c r="R229" s="633"/>
      <c r="S229" s="633"/>
      <c r="T229" s="633"/>
      <c r="U229" s="633"/>
      <c r="V229" s="633"/>
      <c r="W229" s="633"/>
      <c r="X229" s="633"/>
      <c r="Y229" s="633"/>
      <c r="Z229" s="633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30">
        <v>4680115888692</v>
      </c>
      <c r="E230" s="631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30">
        <v>4680115888722</v>
      </c>
      <c r="E231" s="631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30">
        <v>4680115888951</v>
      </c>
      <c r="E232" s="631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30">
        <v>4680115888975</v>
      </c>
      <c r="E233" s="631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30">
        <v>4680115888982</v>
      </c>
      <c r="E234" s="631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7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2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7" t="s">
        <v>69</v>
      </c>
      <c r="Q235" s="638"/>
      <c r="R235" s="638"/>
      <c r="S235" s="638"/>
      <c r="T235" s="638"/>
      <c r="U235" s="638"/>
      <c r="V235" s="639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7" t="s">
        <v>69</v>
      </c>
      <c r="Q236" s="638"/>
      <c r="R236" s="638"/>
      <c r="S236" s="638"/>
      <c r="T236" s="638"/>
      <c r="U236" s="638"/>
      <c r="V236" s="639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6" t="s">
        <v>263</v>
      </c>
      <c r="B237" s="633"/>
      <c r="C237" s="633"/>
      <c r="D237" s="633"/>
      <c r="E237" s="633"/>
      <c r="F237" s="633"/>
      <c r="G237" s="633"/>
      <c r="H237" s="633"/>
      <c r="I237" s="633"/>
      <c r="J237" s="633"/>
      <c r="K237" s="633"/>
      <c r="L237" s="633"/>
      <c r="M237" s="633"/>
      <c r="N237" s="633"/>
      <c r="O237" s="633"/>
      <c r="P237" s="633"/>
      <c r="Q237" s="633"/>
      <c r="R237" s="633"/>
      <c r="S237" s="633"/>
      <c r="T237" s="633"/>
      <c r="U237" s="633"/>
      <c r="V237" s="633"/>
      <c r="W237" s="633"/>
      <c r="X237" s="633"/>
      <c r="Y237" s="633"/>
      <c r="Z237" s="633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30">
        <v>4680115886780</v>
      </c>
      <c r="E238" s="631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404</v>
      </c>
      <c r="B239" s="54" t="s">
        <v>405</v>
      </c>
      <c r="C239" s="31">
        <v>4301032051</v>
      </c>
      <c r="D239" s="630">
        <v>4680115886742</v>
      </c>
      <c r="E239" s="631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7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7">
        <v>7</v>
      </c>
      <c r="Y239" s="618">
        <f>IFERROR(IF(X239="",0,CEILING((X239/$H239),1)*$H239),"")</f>
        <v>7.5600000000000005</v>
      </c>
      <c r="Z239" s="36">
        <f>IFERROR(IF(Y239=0,"",ROUNDUP(Y239/H239,0)*0.0059),"")</f>
        <v>3.5400000000000001E-2</v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8.0555555555555554</v>
      </c>
      <c r="BN239" s="64">
        <f>IFERROR(Y239*I239/H239,"0")</f>
        <v>8.6999999999999993</v>
      </c>
      <c r="BO239" s="64">
        <f>IFERROR(1/J239*(X239/H239),"0")</f>
        <v>2.5720164609053495E-2</v>
      </c>
      <c r="BP239" s="64">
        <f>IFERROR(1/J239*(Y239/H239),"0")</f>
        <v>2.7777777777777776E-2</v>
      </c>
    </row>
    <row r="240" spans="1:68" ht="27" customHeight="1" x14ac:dyDescent="0.25">
      <c r="A240" s="54" t="s">
        <v>407</v>
      </c>
      <c r="B240" s="54" t="s">
        <v>408</v>
      </c>
      <c r="C240" s="31">
        <v>4301032052</v>
      </c>
      <c r="D240" s="630">
        <v>4680115886766</v>
      </c>
      <c r="E240" s="631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0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7">
        <v>4</v>
      </c>
      <c r="Y240" s="618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4.6031746031746028</v>
      </c>
      <c r="BN240" s="64">
        <f>IFERROR(Y240*I240/H240,"0")</f>
        <v>5.8</v>
      </c>
      <c r="BO240" s="64">
        <f>IFERROR(1/J240*(X240/H240),"0")</f>
        <v>1.469723691945914E-2</v>
      </c>
      <c r="BP240" s="64">
        <f>IFERROR(1/J240*(Y240/H240),"0")</f>
        <v>1.8518518518518517E-2</v>
      </c>
    </row>
    <row r="241" spans="1:68" x14ac:dyDescent="0.2">
      <c r="A241" s="632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7" t="s">
        <v>69</v>
      </c>
      <c r="Q241" s="638"/>
      <c r="R241" s="638"/>
      <c r="S241" s="638"/>
      <c r="T241" s="638"/>
      <c r="U241" s="638"/>
      <c r="V241" s="639"/>
      <c r="W241" s="37" t="s">
        <v>70</v>
      </c>
      <c r="X241" s="619">
        <f>IFERROR(X238/H238,"0")+IFERROR(X239/H239,"0")+IFERROR(X240/H240,"0")</f>
        <v>8.7301587301587293</v>
      </c>
      <c r="Y241" s="619">
        <f>IFERROR(Y238/H238,"0")+IFERROR(Y239/H239,"0")+IFERROR(Y240/H240,"0")</f>
        <v>10</v>
      </c>
      <c r="Z241" s="619">
        <f>IFERROR(IF(Z238="",0,Z238),"0")+IFERROR(IF(Z239="",0,Z239),"0")+IFERROR(IF(Z240="",0,Z240),"0")</f>
        <v>5.8999999999999997E-2</v>
      </c>
      <c r="AA241" s="620"/>
      <c r="AB241" s="620"/>
      <c r="AC241" s="620"/>
    </row>
    <row r="242" spans="1:68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7" t="s">
        <v>69</v>
      </c>
      <c r="Q242" s="638"/>
      <c r="R242" s="638"/>
      <c r="S242" s="638"/>
      <c r="T242" s="638"/>
      <c r="U242" s="638"/>
      <c r="V242" s="639"/>
      <c r="W242" s="37" t="s">
        <v>67</v>
      </c>
      <c r="X242" s="619">
        <f>IFERROR(SUM(X238:X240),"0")</f>
        <v>11</v>
      </c>
      <c r="Y242" s="619">
        <f>IFERROR(SUM(Y238:Y240),"0")</f>
        <v>12.600000000000001</v>
      </c>
      <c r="Z242" s="37"/>
      <c r="AA242" s="620"/>
      <c r="AB242" s="620"/>
      <c r="AC242" s="620"/>
    </row>
    <row r="243" spans="1:68" ht="14.25" hidden="1" customHeight="1" x14ac:dyDescent="0.25">
      <c r="A243" s="636" t="s">
        <v>409</v>
      </c>
      <c r="B243" s="633"/>
      <c r="C243" s="633"/>
      <c r="D243" s="633"/>
      <c r="E243" s="633"/>
      <c r="F243" s="633"/>
      <c r="G243" s="633"/>
      <c r="H243" s="633"/>
      <c r="I243" s="633"/>
      <c r="J243" s="633"/>
      <c r="K243" s="633"/>
      <c r="L243" s="633"/>
      <c r="M243" s="633"/>
      <c r="N243" s="633"/>
      <c r="O243" s="633"/>
      <c r="P243" s="633"/>
      <c r="Q243" s="633"/>
      <c r="R243" s="633"/>
      <c r="S243" s="633"/>
      <c r="T243" s="633"/>
      <c r="U243" s="633"/>
      <c r="V243" s="633"/>
      <c r="W243" s="633"/>
      <c r="X243" s="633"/>
      <c r="Y243" s="633"/>
      <c r="Z243" s="633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30">
        <v>4680115886797</v>
      </c>
      <c r="E244" s="631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7">
        <v>2</v>
      </c>
      <c r="Y244" s="618">
        <f>IFERROR(IF(X244="",0,CEILING((X244/$H244),1)*$H244),"")</f>
        <v>2.52</v>
      </c>
      <c r="Z244" s="36">
        <f>IFERROR(IF(Y244=0,"",ROUNDUP(Y244/H244,0)*0.0059),"")</f>
        <v>1.18E-2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2.3015873015873014</v>
      </c>
      <c r="BN244" s="64">
        <f>IFERROR(Y244*I244/H244,"0")</f>
        <v>2.9</v>
      </c>
      <c r="BO244" s="64">
        <f>IFERROR(1/J244*(X244/H244),"0")</f>
        <v>7.3486184597295699E-3</v>
      </c>
      <c r="BP244" s="64">
        <f>IFERROR(1/J244*(Y244/H244),"0")</f>
        <v>9.2592592592592587E-3</v>
      </c>
    </row>
    <row r="245" spans="1:68" x14ac:dyDescent="0.2">
      <c r="A245" s="632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7" t="s">
        <v>69</v>
      </c>
      <c r="Q245" s="638"/>
      <c r="R245" s="638"/>
      <c r="S245" s="638"/>
      <c r="T245" s="638"/>
      <c r="U245" s="638"/>
      <c r="V245" s="639"/>
      <c r="W245" s="37" t="s">
        <v>70</v>
      </c>
      <c r="X245" s="619">
        <f>IFERROR(X244/H244,"0")</f>
        <v>1.5873015873015872</v>
      </c>
      <c r="Y245" s="619">
        <f>IFERROR(Y244/H244,"0")</f>
        <v>2</v>
      </c>
      <c r="Z245" s="619">
        <f>IFERROR(IF(Z244="",0,Z244),"0")</f>
        <v>1.18E-2</v>
      </c>
      <c r="AA245" s="620"/>
      <c r="AB245" s="620"/>
      <c r="AC245" s="620"/>
    </row>
    <row r="246" spans="1:68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7" t="s">
        <v>69</v>
      </c>
      <c r="Q246" s="638"/>
      <c r="R246" s="638"/>
      <c r="S246" s="638"/>
      <c r="T246" s="638"/>
      <c r="U246" s="638"/>
      <c r="V246" s="639"/>
      <c r="W246" s="37" t="s">
        <v>67</v>
      </c>
      <c r="X246" s="619">
        <f>IFERROR(SUM(X244:X244),"0")</f>
        <v>2</v>
      </c>
      <c r="Y246" s="619">
        <f>IFERROR(SUM(Y244:Y244),"0")</f>
        <v>2.52</v>
      </c>
      <c r="Z246" s="37"/>
      <c r="AA246" s="620"/>
      <c r="AB246" s="620"/>
      <c r="AC246" s="620"/>
    </row>
    <row r="247" spans="1:68" ht="16.5" hidden="1" customHeight="1" x14ac:dyDescent="0.25">
      <c r="A247" s="640" t="s">
        <v>412</v>
      </c>
      <c r="B247" s="633"/>
      <c r="C247" s="633"/>
      <c r="D247" s="633"/>
      <c r="E247" s="633"/>
      <c r="F247" s="633"/>
      <c r="G247" s="633"/>
      <c r="H247" s="633"/>
      <c r="I247" s="633"/>
      <c r="J247" s="633"/>
      <c r="K247" s="633"/>
      <c r="L247" s="633"/>
      <c r="M247" s="633"/>
      <c r="N247" s="633"/>
      <c r="O247" s="633"/>
      <c r="P247" s="633"/>
      <c r="Q247" s="633"/>
      <c r="R247" s="633"/>
      <c r="S247" s="633"/>
      <c r="T247" s="633"/>
      <c r="U247" s="633"/>
      <c r="V247" s="633"/>
      <c r="W247" s="633"/>
      <c r="X247" s="633"/>
      <c r="Y247" s="633"/>
      <c r="Z247" s="633"/>
      <c r="AA247" s="612"/>
      <c r="AB247" s="612"/>
      <c r="AC247" s="612"/>
    </row>
    <row r="248" spans="1:68" ht="14.25" hidden="1" customHeight="1" x14ac:dyDescent="0.25">
      <c r="A248" s="636" t="s">
        <v>108</v>
      </c>
      <c r="B248" s="633"/>
      <c r="C248" s="633"/>
      <c r="D248" s="633"/>
      <c r="E248" s="633"/>
      <c r="F248" s="633"/>
      <c r="G248" s="633"/>
      <c r="H248" s="633"/>
      <c r="I248" s="633"/>
      <c r="J248" s="633"/>
      <c r="K248" s="633"/>
      <c r="L248" s="633"/>
      <c r="M248" s="633"/>
      <c r="N248" s="633"/>
      <c r="O248" s="633"/>
      <c r="P248" s="633"/>
      <c r="Q248" s="633"/>
      <c r="R248" s="633"/>
      <c r="S248" s="633"/>
      <c r="T248" s="633"/>
      <c r="U248" s="633"/>
      <c r="V248" s="633"/>
      <c r="W248" s="633"/>
      <c r="X248" s="633"/>
      <c r="Y248" s="633"/>
      <c r="Z248" s="633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30">
        <v>4680115881402</v>
      </c>
      <c r="E249" s="631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4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30">
        <v>4680115881396</v>
      </c>
      <c r="E250" s="631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2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7" t="s">
        <v>69</v>
      </c>
      <c r="Q251" s="638"/>
      <c r="R251" s="638"/>
      <c r="S251" s="638"/>
      <c r="T251" s="638"/>
      <c r="U251" s="638"/>
      <c r="V251" s="639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7" t="s">
        <v>69</v>
      </c>
      <c r="Q252" s="638"/>
      <c r="R252" s="638"/>
      <c r="S252" s="638"/>
      <c r="T252" s="638"/>
      <c r="U252" s="638"/>
      <c r="V252" s="639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6" t="s">
        <v>143</v>
      </c>
      <c r="B253" s="633"/>
      <c r="C253" s="633"/>
      <c r="D253" s="633"/>
      <c r="E253" s="633"/>
      <c r="F253" s="633"/>
      <c r="G253" s="633"/>
      <c r="H253" s="633"/>
      <c r="I253" s="633"/>
      <c r="J253" s="633"/>
      <c r="K253" s="633"/>
      <c r="L253" s="633"/>
      <c r="M253" s="633"/>
      <c r="N253" s="633"/>
      <c r="O253" s="633"/>
      <c r="P253" s="633"/>
      <c r="Q253" s="633"/>
      <c r="R253" s="633"/>
      <c r="S253" s="633"/>
      <c r="T253" s="633"/>
      <c r="U253" s="633"/>
      <c r="V253" s="633"/>
      <c r="W253" s="633"/>
      <c r="X253" s="633"/>
      <c r="Y253" s="633"/>
      <c r="Z253" s="633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30">
        <v>4680115882935</v>
      </c>
      <c r="E254" s="631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30">
        <v>4680115880764</v>
      </c>
      <c r="E255" s="631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2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7" t="s">
        <v>69</v>
      </c>
      <c r="Q256" s="638"/>
      <c r="R256" s="638"/>
      <c r="S256" s="638"/>
      <c r="T256" s="638"/>
      <c r="U256" s="638"/>
      <c r="V256" s="639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7" t="s">
        <v>69</v>
      </c>
      <c r="Q257" s="638"/>
      <c r="R257" s="638"/>
      <c r="S257" s="638"/>
      <c r="T257" s="638"/>
      <c r="U257" s="638"/>
      <c r="V257" s="639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6" t="s">
        <v>62</v>
      </c>
      <c r="B258" s="633"/>
      <c r="C258" s="633"/>
      <c r="D258" s="633"/>
      <c r="E258" s="633"/>
      <c r="F258" s="633"/>
      <c r="G258" s="633"/>
      <c r="H258" s="633"/>
      <c r="I258" s="633"/>
      <c r="J258" s="633"/>
      <c r="K258" s="633"/>
      <c r="L258" s="633"/>
      <c r="M258" s="633"/>
      <c r="N258" s="633"/>
      <c r="O258" s="633"/>
      <c r="P258" s="633"/>
      <c r="Q258" s="633"/>
      <c r="R258" s="633"/>
      <c r="S258" s="633"/>
      <c r="T258" s="633"/>
      <c r="U258" s="633"/>
      <c r="V258" s="633"/>
      <c r="W258" s="633"/>
      <c r="X258" s="633"/>
      <c r="Y258" s="633"/>
      <c r="Z258" s="633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30">
        <v>4680115882683</v>
      </c>
      <c r="E259" s="631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7">
        <v>178</v>
      </c>
      <c r="Y259" s="618">
        <f t="shared" ref="Y259:Y266" si="31">IFERROR(IF(X259="",0,CEILING((X259/$H259),1)*$H259),"")</f>
        <v>178.20000000000002</v>
      </c>
      <c r="Z259" s="36">
        <f>IFERROR(IF(Y259=0,"",ROUNDUP(Y259/H259,0)*0.00902),"")</f>
        <v>0.29766000000000004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184.26296296296294</v>
      </c>
      <c r="BN259" s="64">
        <f t="shared" ref="BN259:BN266" si="33">IFERROR(Y259*I259/H259,"0")</f>
        <v>184.47</v>
      </c>
      <c r="BO259" s="64">
        <f t="shared" ref="BO259:BO266" si="34">IFERROR(1/J259*(X259/H259),"0")</f>
        <v>0.24971941638608305</v>
      </c>
      <c r="BP259" s="64">
        <f t="shared" ref="BP259:BP266" si="35">IFERROR(1/J259*(Y259/H259),"0")</f>
        <v>0.25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30">
        <v>4680115882690</v>
      </c>
      <c r="E260" s="631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7">
        <v>20</v>
      </c>
      <c r="Y260" s="618">
        <f t="shared" si="31"/>
        <v>21.6</v>
      </c>
      <c r="Z260" s="36">
        <f>IFERROR(IF(Y260=0,"",ROUNDUP(Y260/H260,0)*0.00902),"")</f>
        <v>3.6080000000000001E-2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20.703703703703702</v>
      </c>
      <c r="BN260" s="64">
        <f t="shared" si="33"/>
        <v>22.36</v>
      </c>
      <c r="BO260" s="64">
        <f t="shared" si="34"/>
        <v>2.8058361391694722E-2</v>
      </c>
      <c r="BP260" s="64">
        <f t="shared" si="35"/>
        <v>3.0303030303030304E-2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30">
        <v>4680115882669</v>
      </c>
      <c r="E261" s="631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7">
        <v>50</v>
      </c>
      <c r="Y261" s="618">
        <f t="shared" si="31"/>
        <v>54</v>
      </c>
      <c r="Z261" s="36">
        <f>IFERROR(IF(Y261=0,"",ROUNDUP(Y261/H261,0)*0.00902),"")</f>
        <v>9.0200000000000002E-2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51.759259259259252</v>
      </c>
      <c r="BN261" s="64">
        <f t="shared" si="33"/>
        <v>55.9</v>
      </c>
      <c r="BO261" s="64">
        <f t="shared" si="34"/>
        <v>7.0145903479236812E-2</v>
      </c>
      <c r="BP261" s="64">
        <f t="shared" si="35"/>
        <v>7.575757575757576E-2</v>
      </c>
    </row>
    <row r="262" spans="1:68" ht="27" customHeight="1" x14ac:dyDescent="0.25">
      <c r="A262" s="54" t="s">
        <v>432</v>
      </c>
      <c r="B262" s="54" t="s">
        <v>433</v>
      </c>
      <c r="C262" s="31">
        <v>4301031221</v>
      </c>
      <c r="D262" s="630">
        <v>4680115882676</v>
      </c>
      <c r="E262" s="631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7">
        <v>40</v>
      </c>
      <c r="Y262" s="618">
        <f t="shared" si="31"/>
        <v>43.2</v>
      </c>
      <c r="Z262" s="36">
        <f>IFERROR(IF(Y262=0,"",ROUNDUP(Y262/H262,0)*0.00902),"")</f>
        <v>7.2160000000000002E-2</v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41.407407407407405</v>
      </c>
      <c r="BN262" s="64">
        <f t="shared" si="33"/>
        <v>44.72</v>
      </c>
      <c r="BO262" s="64">
        <f t="shared" si="34"/>
        <v>5.6116722783389444E-2</v>
      </c>
      <c r="BP262" s="64">
        <f t="shared" si="35"/>
        <v>6.0606060606060608E-2</v>
      </c>
    </row>
    <row r="263" spans="1:68" ht="27" customHeight="1" x14ac:dyDescent="0.25">
      <c r="A263" s="54" t="s">
        <v>435</v>
      </c>
      <c r="B263" s="54" t="s">
        <v>436</v>
      </c>
      <c r="C263" s="31">
        <v>4301031223</v>
      </c>
      <c r="D263" s="630">
        <v>4680115884014</v>
      </c>
      <c r="E263" s="631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7">
        <v>30</v>
      </c>
      <c r="Y263" s="618">
        <f t="shared" si="31"/>
        <v>30.6</v>
      </c>
      <c r="Z263" s="36">
        <f>IFERROR(IF(Y263=0,"",ROUNDUP(Y263/H263,0)*0.00502),"")</f>
        <v>8.5339999999999999E-2</v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32.166666666666664</v>
      </c>
      <c r="BN263" s="64">
        <f t="shared" si="33"/>
        <v>32.81</v>
      </c>
      <c r="BO263" s="64">
        <f t="shared" si="34"/>
        <v>7.122507122507124E-2</v>
      </c>
      <c r="BP263" s="64">
        <f t="shared" si="35"/>
        <v>7.2649572649572655E-2</v>
      </c>
    </row>
    <row r="264" spans="1:68" ht="27" customHeight="1" x14ac:dyDescent="0.25">
      <c r="A264" s="54" t="s">
        <v>437</v>
      </c>
      <c r="B264" s="54" t="s">
        <v>438</v>
      </c>
      <c r="C264" s="31">
        <v>4301031222</v>
      </c>
      <c r="D264" s="630">
        <v>4680115884007</v>
      </c>
      <c r="E264" s="631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7">
        <v>15</v>
      </c>
      <c r="Y264" s="618">
        <f t="shared" si="31"/>
        <v>16.2</v>
      </c>
      <c r="Z264" s="36">
        <f>IFERROR(IF(Y264=0,"",ROUNDUP(Y264/H264,0)*0.00502),"")</f>
        <v>4.5179999999999998E-2</v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15.833333333333332</v>
      </c>
      <c r="BN264" s="64">
        <f t="shared" si="33"/>
        <v>17.099999999999998</v>
      </c>
      <c r="BO264" s="64">
        <f t="shared" si="34"/>
        <v>3.561253561253562E-2</v>
      </c>
      <c r="BP264" s="64">
        <f t="shared" si="35"/>
        <v>3.8461538461538464E-2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30">
        <v>4680115884038</v>
      </c>
      <c r="E265" s="631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8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customHeight="1" x14ac:dyDescent="0.25">
      <c r="A266" s="54" t="s">
        <v>441</v>
      </c>
      <c r="B266" s="54" t="s">
        <v>442</v>
      </c>
      <c r="C266" s="31">
        <v>4301031225</v>
      </c>
      <c r="D266" s="630">
        <v>4680115884021</v>
      </c>
      <c r="E266" s="631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7">
        <v>30</v>
      </c>
      <c r="Y266" s="618">
        <f t="shared" si="31"/>
        <v>30.6</v>
      </c>
      <c r="Z266" s="36">
        <f>IFERROR(IF(Y266=0,"",ROUNDUP(Y266/H266,0)*0.00502),"")</f>
        <v>8.5339999999999999E-2</v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31.666666666666664</v>
      </c>
      <c r="BN266" s="64">
        <f t="shared" si="33"/>
        <v>32.299999999999997</v>
      </c>
      <c r="BO266" s="64">
        <f t="shared" si="34"/>
        <v>7.122507122507124E-2</v>
      </c>
      <c r="BP266" s="64">
        <f t="shared" si="35"/>
        <v>7.2649572649572655E-2</v>
      </c>
    </row>
    <row r="267" spans="1:68" x14ac:dyDescent="0.2">
      <c r="A267" s="632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7" t="s">
        <v>69</v>
      </c>
      <c r="Q267" s="638"/>
      <c r="R267" s="638"/>
      <c r="S267" s="638"/>
      <c r="T267" s="638"/>
      <c r="U267" s="638"/>
      <c r="V267" s="639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95</v>
      </c>
      <c r="Y267" s="619">
        <f>IFERROR(Y259/H259,"0")+IFERROR(Y260/H260,"0")+IFERROR(Y261/H261,"0")+IFERROR(Y262/H262,"0")+IFERROR(Y263/H263,"0")+IFERROR(Y264/H264,"0")+IFERROR(Y265/H265,"0")+IFERROR(Y266/H266,"0")</f>
        <v>98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0.71196000000000004</v>
      </c>
      <c r="AA267" s="620"/>
      <c r="AB267" s="620"/>
      <c r="AC267" s="620"/>
    </row>
    <row r="268" spans="1:68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7" t="s">
        <v>69</v>
      </c>
      <c r="Q268" s="638"/>
      <c r="R268" s="638"/>
      <c r="S268" s="638"/>
      <c r="T268" s="638"/>
      <c r="U268" s="638"/>
      <c r="V268" s="639"/>
      <c r="W268" s="37" t="s">
        <v>67</v>
      </c>
      <c r="X268" s="619">
        <f>IFERROR(SUM(X259:X266),"0")</f>
        <v>363</v>
      </c>
      <c r="Y268" s="619">
        <f>IFERROR(SUM(Y259:Y266),"0")</f>
        <v>374.40000000000003</v>
      </c>
      <c r="Z268" s="37"/>
      <c r="AA268" s="620"/>
      <c r="AB268" s="620"/>
      <c r="AC268" s="620"/>
    </row>
    <row r="269" spans="1:68" ht="14.25" hidden="1" customHeight="1" x14ac:dyDescent="0.25">
      <c r="A269" s="636" t="s">
        <v>71</v>
      </c>
      <c r="B269" s="633"/>
      <c r="C269" s="633"/>
      <c r="D269" s="633"/>
      <c r="E269" s="633"/>
      <c r="F269" s="633"/>
      <c r="G269" s="633"/>
      <c r="H269" s="633"/>
      <c r="I269" s="633"/>
      <c r="J269" s="633"/>
      <c r="K269" s="633"/>
      <c r="L269" s="633"/>
      <c r="M269" s="633"/>
      <c r="N269" s="633"/>
      <c r="O269" s="633"/>
      <c r="P269" s="633"/>
      <c r="Q269" s="633"/>
      <c r="R269" s="633"/>
      <c r="S269" s="633"/>
      <c r="T269" s="633"/>
      <c r="U269" s="633"/>
      <c r="V269" s="633"/>
      <c r="W269" s="633"/>
      <c r="X269" s="633"/>
      <c r="Y269" s="633"/>
      <c r="Z269" s="633"/>
      <c r="AA269" s="613"/>
      <c r="AB269" s="613"/>
      <c r="AC269" s="613"/>
    </row>
    <row r="270" spans="1:68" ht="27" customHeight="1" x14ac:dyDescent="0.25">
      <c r="A270" s="54" t="s">
        <v>443</v>
      </c>
      <c r="B270" s="54" t="s">
        <v>444</v>
      </c>
      <c r="C270" s="31">
        <v>4301051408</v>
      </c>
      <c r="D270" s="630">
        <v>4680115881594</v>
      </c>
      <c r="E270" s="631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7">
        <v>73</v>
      </c>
      <c r="Y270" s="618">
        <f t="shared" ref="Y270:Y281" si="36">IFERROR(IF(X270="",0,CEILING((X270/$H270),1)*$H270),"")</f>
        <v>81</v>
      </c>
      <c r="Z270" s="36">
        <f>IFERROR(IF(Y270=0,"",ROUNDUP(Y270/H270,0)*0.01898),"")</f>
        <v>0.1898</v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77.452098765432098</v>
      </c>
      <c r="BN270" s="64">
        <f t="shared" ref="BN270:BN281" si="38">IFERROR(Y270*I270/H270,"0")</f>
        <v>85.94</v>
      </c>
      <c r="BO270" s="64">
        <f t="shared" ref="BO270:BO281" si="39">IFERROR(1/J270*(X270/H270),"0")</f>
        <v>0.14081790123456792</v>
      </c>
      <c r="BP270" s="64">
        <f t="shared" ref="BP270:BP281" si="40">IFERROR(1/J270*(Y270/H270),"0")</f>
        <v>0.15625</v>
      </c>
    </row>
    <row r="271" spans="1:68" ht="27" hidden="1" customHeight="1" x14ac:dyDescent="0.25">
      <c r="A271" s="54" t="s">
        <v>446</v>
      </c>
      <c r="B271" s="54" t="s">
        <v>447</v>
      </c>
      <c r="C271" s="31">
        <v>4301051411</v>
      </c>
      <c r="D271" s="630">
        <v>4680115881617</v>
      </c>
      <c r="E271" s="631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7">
        <v>0</v>
      </c>
      <c r="Y271" s="618">
        <f t="shared" si="36"/>
        <v>0</v>
      </c>
      <c r="Z271" s="36" t="str">
        <f>IFERROR(IF(Y271=0,"",ROUNDUP(Y271/H271,0)*0.01898),"")</f>
        <v/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0</v>
      </c>
      <c r="BN271" s="64">
        <f t="shared" si="38"/>
        <v>0</v>
      </c>
      <c r="BO271" s="64">
        <f t="shared" si="39"/>
        <v>0</v>
      </c>
      <c r="BP271" s="64">
        <f t="shared" si="40"/>
        <v>0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30">
        <v>4680115880573</v>
      </c>
      <c r="E272" s="631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7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30">
        <v>4680115882195</v>
      </c>
      <c r="E273" s="631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7">
        <v>153</v>
      </c>
      <c r="Y273" s="618">
        <f t="shared" si="36"/>
        <v>153.6</v>
      </c>
      <c r="Z273" s="36">
        <f>IFERROR(IF(Y273=0,"",ROUNDUP(Y273/H273,0)*0.00651),"")</f>
        <v>0.41664000000000001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170.21250000000001</v>
      </c>
      <c r="BN273" s="64">
        <f t="shared" si="38"/>
        <v>170.88</v>
      </c>
      <c r="BO273" s="64">
        <f t="shared" si="39"/>
        <v>0.35027472527472531</v>
      </c>
      <c r="BP273" s="64">
        <f t="shared" si="40"/>
        <v>0.35164835164835168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30">
        <v>4680115882607</v>
      </c>
      <c r="E274" s="631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30">
        <v>4680115882607</v>
      </c>
      <c r="E275" s="631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6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30">
        <v>4680115880092</v>
      </c>
      <c r="E276" s="631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7">
        <v>548</v>
      </c>
      <c r="Y276" s="618">
        <f t="shared" si="36"/>
        <v>549.6</v>
      </c>
      <c r="Z276" s="36">
        <f>IFERROR(IF(Y276=0,"",ROUNDUP(Y276/H276,0)*0.00651),"")</f>
        <v>1.4907900000000001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605.54000000000008</v>
      </c>
      <c r="BN276" s="64">
        <f t="shared" si="38"/>
        <v>607.30800000000011</v>
      </c>
      <c r="BO276" s="64">
        <f t="shared" si="39"/>
        <v>1.2545787545787548</v>
      </c>
      <c r="BP276" s="64">
        <f t="shared" si="40"/>
        <v>1.2582417582417584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30">
        <v>4680115889064</v>
      </c>
      <c r="E277" s="631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8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customHeight="1" x14ac:dyDescent="0.25">
      <c r="A278" s="54" t="s">
        <v>463</v>
      </c>
      <c r="B278" s="54" t="s">
        <v>464</v>
      </c>
      <c r="C278" s="31">
        <v>4301051668</v>
      </c>
      <c r="D278" s="630">
        <v>4680115880221</v>
      </c>
      <c r="E278" s="631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1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7">
        <v>123</v>
      </c>
      <c r="Y278" s="618">
        <f t="shared" si="36"/>
        <v>124.8</v>
      </c>
      <c r="Z278" s="36">
        <f>IFERROR(IF(Y278=0,"",ROUNDUP(Y278/H278,0)*0.00651),"")</f>
        <v>0.33851999999999999</v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135.91500000000002</v>
      </c>
      <c r="BN278" s="64">
        <f t="shared" si="38"/>
        <v>137.90400000000002</v>
      </c>
      <c r="BO278" s="64">
        <f t="shared" si="39"/>
        <v>0.28159340659340659</v>
      </c>
      <c r="BP278" s="64">
        <f t="shared" si="40"/>
        <v>0.28571428571428575</v>
      </c>
    </row>
    <row r="279" spans="1:68" ht="27" customHeight="1" x14ac:dyDescent="0.25">
      <c r="A279" s="54" t="s">
        <v>465</v>
      </c>
      <c r="B279" s="54" t="s">
        <v>466</v>
      </c>
      <c r="C279" s="31">
        <v>4301051945</v>
      </c>
      <c r="D279" s="630">
        <v>4680115880504</v>
      </c>
      <c r="E279" s="631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5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7">
        <v>92</v>
      </c>
      <c r="Y279" s="618">
        <f t="shared" si="36"/>
        <v>93.6</v>
      </c>
      <c r="Z279" s="36">
        <f>IFERROR(IF(Y279=0,"",ROUNDUP(Y279/H279,0)*0.00651),"")</f>
        <v>0.25389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101.66000000000001</v>
      </c>
      <c r="BN279" s="64">
        <f t="shared" si="38"/>
        <v>103.42800000000001</v>
      </c>
      <c r="BO279" s="64">
        <f t="shared" si="39"/>
        <v>0.21062271062271065</v>
      </c>
      <c r="BP279" s="64">
        <f t="shared" si="40"/>
        <v>0.2142857142857143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30">
        <v>4680115882164</v>
      </c>
      <c r="E280" s="631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7">
        <v>88</v>
      </c>
      <c r="Y280" s="618">
        <f t="shared" si="36"/>
        <v>88.8</v>
      </c>
      <c r="Z280" s="36">
        <f>IFERROR(IF(Y280=0,"",ROUNDUP(Y280/H280,0)*0.00651),"")</f>
        <v>0.24087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97.460000000000008</v>
      </c>
      <c r="BN280" s="64">
        <f t="shared" si="38"/>
        <v>98.346000000000004</v>
      </c>
      <c r="BO280" s="64">
        <f t="shared" si="39"/>
        <v>0.2014652014652015</v>
      </c>
      <c r="BP280" s="64">
        <f t="shared" si="40"/>
        <v>0.20329670329670332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30">
        <v>4680115888340</v>
      </c>
      <c r="E281" s="631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73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2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7" t="s">
        <v>69</v>
      </c>
      <c r="Q282" s="638"/>
      <c r="R282" s="638"/>
      <c r="S282" s="638"/>
      <c r="T282" s="638"/>
      <c r="U282" s="638"/>
      <c r="V282" s="639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427.34567901234567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431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2.9305100000000004</v>
      </c>
      <c r="AA282" s="620"/>
      <c r="AB282" s="620"/>
      <c r="AC282" s="620"/>
    </row>
    <row r="283" spans="1:68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7" t="s">
        <v>69</v>
      </c>
      <c r="Q283" s="638"/>
      <c r="R283" s="638"/>
      <c r="S283" s="638"/>
      <c r="T283" s="638"/>
      <c r="U283" s="638"/>
      <c r="V283" s="639"/>
      <c r="W283" s="37" t="s">
        <v>67</v>
      </c>
      <c r="X283" s="619">
        <f>IFERROR(SUM(X270:X281),"0")</f>
        <v>1077</v>
      </c>
      <c r="Y283" s="619">
        <f>IFERROR(SUM(Y270:Y281),"0")</f>
        <v>1091.4000000000001</v>
      </c>
      <c r="Z283" s="37"/>
      <c r="AA283" s="620"/>
      <c r="AB283" s="620"/>
      <c r="AC283" s="620"/>
    </row>
    <row r="284" spans="1:68" ht="14.25" hidden="1" customHeight="1" x14ac:dyDescent="0.25">
      <c r="A284" s="636" t="s">
        <v>161</v>
      </c>
      <c r="B284" s="633"/>
      <c r="C284" s="633"/>
      <c r="D284" s="633"/>
      <c r="E284" s="633"/>
      <c r="F284" s="633"/>
      <c r="G284" s="633"/>
      <c r="H284" s="633"/>
      <c r="I284" s="633"/>
      <c r="J284" s="633"/>
      <c r="K284" s="633"/>
      <c r="L284" s="633"/>
      <c r="M284" s="633"/>
      <c r="N284" s="633"/>
      <c r="O284" s="633"/>
      <c r="P284" s="633"/>
      <c r="Q284" s="633"/>
      <c r="R284" s="633"/>
      <c r="S284" s="633"/>
      <c r="T284" s="633"/>
      <c r="U284" s="633"/>
      <c r="V284" s="633"/>
      <c r="W284" s="633"/>
      <c r="X284" s="633"/>
      <c r="Y284" s="633"/>
      <c r="Z284" s="633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30">
        <v>4680115880818</v>
      </c>
      <c r="E285" s="631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30">
        <v>4680115880801</v>
      </c>
      <c r="E286" s="631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2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7" t="s">
        <v>69</v>
      </c>
      <c r="Q287" s="638"/>
      <c r="R287" s="638"/>
      <c r="S287" s="638"/>
      <c r="T287" s="638"/>
      <c r="U287" s="638"/>
      <c r="V287" s="639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7" t="s">
        <v>69</v>
      </c>
      <c r="Q288" s="638"/>
      <c r="R288" s="638"/>
      <c r="S288" s="638"/>
      <c r="T288" s="638"/>
      <c r="U288" s="638"/>
      <c r="V288" s="639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40" t="s">
        <v>480</v>
      </c>
      <c r="B289" s="633"/>
      <c r="C289" s="633"/>
      <c r="D289" s="633"/>
      <c r="E289" s="633"/>
      <c r="F289" s="633"/>
      <c r="G289" s="633"/>
      <c r="H289" s="633"/>
      <c r="I289" s="633"/>
      <c r="J289" s="633"/>
      <c r="K289" s="633"/>
      <c r="L289" s="633"/>
      <c r="M289" s="633"/>
      <c r="N289" s="633"/>
      <c r="O289" s="633"/>
      <c r="P289" s="633"/>
      <c r="Q289" s="633"/>
      <c r="R289" s="633"/>
      <c r="S289" s="633"/>
      <c r="T289" s="633"/>
      <c r="U289" s="633"/>
      <c r="V289" s="633"/>
      <c r="W289" s="633"/>
      <c r="X289" s="633"/>
      <c r="Y289" s="633"/>
      <c r="Z289" s="633"/>
      <c r="AA289" s="612"/>
      <c r="AB289" s="612"/>
      <c r="AC289" s="612"/>
    </row>
    <row r="290" spans="1:68" ht="14.25" hidden="1" customHeight="1" x14ac:dyDescent="0.25">
      <c r="A290" s="636" t="s">
        <v>108</v>
      </c>
      <c r="B290" s="633"/>
      <c r="C290" s="633"/>
      <c r="D290" s="633"/>
      <c r="E290" s="633"/>
      <c r="F290" s="633"/>
      <c r="G290" s="633"/>
      <c r="H290" s="633"/>
      <c r="I290" s="633"/>
      <c r="J290" s="633"/>
      <c r="K290" s="633"/>
      <c r="L290" s="633"/>
      <c r="M290" s="633"/>
      <c r="N290" s="633"/>
      <c r="O290" s="633"/>
      <c r="P290" s="633"/>
      <c r="Q290" s="633"/>
      <c r="R290" s="633"/>
      <c r="S290" s="633"/>
      <c r="T290" s="633"/>
      <c r="U290" s="633"/>
      <c r="V290" s="633"/>
      <c r="W290" s="633"/>
      <c r="X290" s="633"/>
      <c r="Y290" s="633"/>
      <c r="Z290" s="633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30">
        <v>4680115884137</v>
      </c>
      <c r="E291" s="631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30">
        <v>4680115884236</v>
      </c>
      <c r="E292" s="631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30">
        <v>4680115884175</v>
      </c>
      <c r="E293" s="631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5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30">
        <v>4680115884144</v>
      </c>
      <c r="E294" s="631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30">
        <v>4680115886551</v>
      </c>
      <c r="E295" s="631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90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30">
        <v>4680115887282</v>
      </c>
      <c r="E296" s="631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0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30">
        <v>4680115884205</v>
      </c>
      <c r="E297" s="631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5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2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7" t="s">
        <v>69</v>
      </c>
      <c r="Q298" s="638"/>
      <c r="R298" s="638"/>
      <c r="S298" s="638"/>
      <c r="T298" s="638"/>
      <c r="U298" s="638"/>
      <c r="V298" s="639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7" t="s">
        <v>69</v>
      </c>
      <c r="Q299" s="638"/>
      <c r="R299" s="638"/>
      <c r="S299" s="638"/>
      <c r="T299" s="638"/>
      <c r="U299" s="638"/>
      <c r="V299" s="639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6" t="s">
        <v>143</v>
      </c>
      <c r="B300" s="633"/>
      <c r="C300" s="633"/>
      <c r="D300" s="633"/>
      <c r="E300" s="633"/>
      <c r="F300" s="633"/>
      <c r="G300" s="633"/>
      <c r="H300" s="633"/>
      <c r="I300" s="633"/>
      <c r="J300" s="633"/>
      <c r="K300" s="633"/>
      <c r="L300" s="633"/>
      <c r="M300" s="633"/>
      <c r="N300" s="633"/>
      <c r="O300" s="633"/>
      <c r="P300" s="633"/>
      <c r="Q300" s="633"/>
      <c r="R300" s="633"/>
      <c r="S300" s="633"/>
      <c r="T300" s="633"/>
      <c r="U300" s="633"/>
      <c r="V300" s="633"/>
      <c r="W300" s="633"/>
      <c r="X300" s="633"/>
      <c r="Y300" s="633"/>
      <c r="Z300" s="633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30">
        <v>4680115885981</v>
      </c>
      <c r="E301" s="631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2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7" t="s">
        <v>69</v>
      </c>
      <c r="Q302" s="638"/>
      <c r="R302" s="638"/>
      <c r="S302" s="638"/>
      <c r="T302" s="638"/>
      <c r="U302" s="638"/>
      <c r="V302" s="639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7" t="s">
        <v>69</v>
      </c>
      <c r="Q303" s="638"/>
      <c r="R303" s="638"/>
      <c r="S303" s="638"/>
      <c r="T303" s="638"/>
      <c r="U303" s="638"/>
      <c r="V303" s="639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6" t="s">
        <v>502</v>
      </c>
      <c r="B304" s="633"/>
      <c r="C304" s="633"/>
      <c r="D304" s="633"/>
      <c r="E304" s="633"/>
      <c r="F304" s="633"/>
      <c r="G304" s="633"/>
      <c r="H304" s="633"/>
      <c r="I304" s="633"/>
      <c r="J304" s="633"/>
      <c r="K304" s="633"/>
      <c r="L304" s="633"/>
      <c r="M304" s="633"/>
      <c r="N304" s="633"/>
      <c r="O304" s="633"/>
      <c r="P304" s="633"/>
      <c r="Q304" s="633"/>
      <c r="R304" s="633"/>
      <c r="S304" s="633"/>
      <c r="T304" s="633"/>
      <c r="U304" s="633"/>
      <c r="V304" s="633"/>
      <c r="W304" s="633"/>
      <c r="X304" s="633"/>
      <c r="Y304" s="633"/>
      <c r="Z304" s="633"/>
      <c r="AA304" s="613"/>
      <c r="AB304" s="613"/>
      <c r="AC304" s="613"/>
    </row>
    <row r="305" spans="1:68" ht="27" hidden="1" customHeight="1" x14ac:dyDescent="0.25">
      <c r="A305" s="54" t="s">
        <v>503</v>
      </c>
      <c r="B305" s="54" t="s">
        <v>504</v>
      </c>
      <c r="C305" s="31">
        <v>4301040362</v>
      </c>
      <c r="D305" s="630">
        <v>4680115886803</v>
      </c>
      <c r="E305" s="631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7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7">
        <v>0</v>
      </c>
      <c r="Y305" s="618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hidden="1" x14ac:dyDescent="0.2">
      <c r="A306" s="632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7" t="s">
        <v>69</v>
      </c>
      <c r="Q306" s="638"/>
      <c r="R306" s="638"/>
      <c r="S306" s="638"/>
      <c r="T306" s="638"/>
      <c r="U306" s="638"/>
      <c r="V306" s="639"/>
      <c r="W306" s="37" t="s">
        <v>70</v>
      </c>
      <c r="X306" s="619">
        <f>IFERROR(X305/H305,"0")</f>
        <v>0</v>
      </c>
      <c r="Y306" s="619">
        <f>IFERROR(Y305/H305,"0")</f>
        <v>0</v>
      </c>
      <c r="Z306" s="619">
        <f>IFERROR(IF(Z305="",0,Z305),"0")</f>
        <v>0</v>
      </c>
      <c r="AA306" s="620"/>
      <c r="AB306" s="620"/>
      <c r="AC306" s="620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7" t="s">
        <v>69</v>
      </c>
      <c r="Q307" s="638"/>
      <c r="R307" s="638"/>
      <c r="S307" s="638"/>
      <c r="T307" s="638"/>
      <c r="U307" s="638"/>
      <c r="V307" s="639"/>
      <c r="W307" s="37" t="s">
        <v>67</v>
      </c>
      <c r="X307" s="619">
        <f>IFERROR(SUM(X305:X305),"0")</f>
        <v>0</v>
      </c>
      <c r="Y307" s="619">
        <f>IFERROR(SUM(Y305:Y305),"0")</f>
        <v>0</v>
      </c>
      <c r="Z307" s="37"/>
      <c r="AA307" s="620"/>
      <c r="AB307" s="620"/>
      <c r="AC307" s="620"/>
    </row>
    <row r="308" spans="1:68" ht="14.25" hidden="1" customHeight="1" x14ac:dyDescent="0.25">
      <c r="A308" s="636" t="s">
        <v>323</v>
      </c>
      <c r="B308" s="633"/>
      <c r="C308" s="633"/>
      <c r="D308" s="633"/>
      <c r="E308" s="633"/>
      <c r="F308" s="633"/>
      <c r="G308" s="633"/>
      <c r="H308" s="633"/>
      <c r="I308" s="633"/>
      <c r="J308" s="633"/>
      <c r="K308" s="633"/>
      <c r="L308" s="633"/>
      <c r="M308" s="633"/>
      <c r="N308" s="633"/>
      <c r="O308" s="633"/>
      <c r="P308" s="633"/>
      <c r="Q308" s="633"/>
      <c r="R308" s="633"/>
      <c r="S308" s="633"/>
      <c r="T308" s="633"/>
      <c r="U308" s="633"/>
      <c r="V308" s="633"/>
      <c r="W308" s="633"/>
      <c r="X308" s="633"/>
      <c r="Y308" s="633"/>
      <c r="Z308" s="633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30">
        <v>4680115886681</v>
      </c>
      <c r="E309" s="631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81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30">
        <v>4680115886735</v>
      </c>
      <c r="E310" s="631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2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7" t="s">
        <v>69</v>
      </c>
      <c r="Q311" s="638"/>
      <c r="R311" s="638"/>
      <c r="S311" s="638"/>
      <c r="T311" s="638"/>
      <c r="U311" s="638"/>
      <c r="V311" s="639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7" t="s">
        <v>69</v>
      </c>
      <c r="Q312" s="638"/>
      <c r="R312" s="638"/>
      <c r="S312" s="638"/>
      <c r="T312" s="638"/>
      <c r="U312" s="638"/>
      <c r="V312" s="639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40" t="s">
        <v>511</v>
      </c>
      <c r="B313" s="633"/>
      <c r="C313" s="633"/>
      <c r="D313" s="633"/>
      <c r="E313" s="633"/>
      <c r="F313" s="633"/>
      <c r="G313" s="633"/>
      <c r="H313" s="633"/>
      <c r="I313" s="633"/>
      <c r="J313" s="633"/>
      <c r="K313" s="633"/>
      <c r="L313" s="633"/>
      <c r="M313" s="633"/>
      <c r="N313" s="633"/>
      <c r="O313" s="633"/>
      <c r="P313" s="633"/>
      <c r="Q313" s="633"/>
      <c r="R313" s="633"/>
      <c r="S313" s="633"/>
      <c r="T313" s="633"/>
      <c r="U313" s="633"/>
      <c r="V313" s="633"/>
      <c r="W313" s="633"/>
      <c r="X313" s="633"/>
      <c r="Y313" s="633"/>
      <c r="Z313" s="633"/>
      <c r="AA313" s="612"/>
      <c r="AB313" s="612"/>
      <c r="AC313" s="612"/>
    </row>
    <row r="314" spans="1:68" ht="14.25" hidden="1" customHeight="1" x14ac:dyDescent="0.25">
      <c r="A314" s="636" t="s">
        <v>108</v>
      </c>
      <c r="B314" s="633"/>
      <c r="C314" s="633"/>
      <c r="D314" s="633"/>
      <c r="E314" s="633"/>
      <c r="F314" s="633"/>
      <c r="G314" s="633"/>
      <c r="H314" s="633"/>
      <c r="I314" s="633"/>
      <c r="J314" s="633"/>
      <c r="K314" s="633"/>
      <c r="L314" s="633"/>
      <c r="M314" s="633"/>
      <c r="N314" s="633"/>
      <c r="O314" s="633"/>
      <c r="P314" s="633"/>
      <c r="Q314" s="633"/>
      <c r="R314" s="633"/>
      <c r="S314" s="633"/>
      <c r="T314" s="633"/>
      <c r="U314" s="633"/>
      <c r="V314" s="633"/>
      <c r="W314" s="633"/>
      <c r="X314" s="633"/>
      <c r="Y314" s="633"/>
      <c r="Z314" s="633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30">
        <v>4680115885837</v>
      </c>
      <c r="E315" s="631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2"/>
      <c r="R315" s="622"/>
      <c r="S315" s="622"/>
      <c r="T315" s="623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30">
        <v>4680115889637</v>
      </c>
      <c r="E316" s="631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30">
        <v>4680115887237</v>
      </c>
      <c r="E317" s="631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30">
        <v>4680115885806</v>
      </c>
      <c r="E318" s="631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30">
        <v>4680115885844</v>
      </c>
      <c r="E319" s="631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30">
        <v>4680115885820</v>
      </c>
      <c r="E320" s="631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2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7" t="s">
        <v>69</v>
      </c>
      <c r="Q321" s="638"/>
      <c r="R321" s="638"/>
      <c r="S321" s="638"/>
      <c r="T321" s="638"/>
      <c r="U321" s="638"/>
      <c r="V321" s="639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7" t="s">
        <v>69</v>
      </c>
      <c r="Q322" s="638"/>
      <c r="R322" s="638"/>
      <c r="S322" s="638"/>
      <c r="T322" s="638"/>
      <c r="U322" s="638"/>
      <c r="V322" s="639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40" t="s">
        <v>530</v>
      </c>
      <c r="B323" s="633"/>
      <c r="C323" s="633"/>
      <c r="D323" s="633"/>
      <c r="E323" s="633"/>
      <c r="F323" s="633"/>
      <c r="G323" s="633"/>
      <c r="H323" s="633"/>
      <c r="I323" s="633"/>
      <c r="J323" s="633"/>
      <c r="K323" s="633"/>
      <c r="L323" s="633"/>
      <c r="M323" s="633"/>
      <c r="N323" s="633"/>
      <c r="O323" s="633"/>
      <c r="P323" s="633"/>
      <c r="Q323" s="633"/>
      <c r="R323" s="633"/>
      <c r="S323" s="633"/>
      <c r="T323" s="633"/>
      <c r="U323" s="633"/>
      <c r="V323" s="633"/>
      <c r="W323" s="633"/>
      <c r="X323" s="633"/>
      <c r="Y323" s="633"/>
      <c r="Z323" s="633"/>
      <c r="AA323" s="612"/>
      <c r="AB323" s="612"/>
      <c r="AC323" s="612"/>
    </row>
    <row r="324" spans="1:68" ht="14.25" hidden="1" customHeight="1" x14ac:dyDescent="0.25">
      <c r="A324" s="636" t="s">
        <v>71</v>
      </c>
      <c r="B324" s="633"/>
      <c r="C324" s="633"/>
      <c r="D324" s="633"/>
      <c r="E324" s="633"/>
      <c r="F324" s="633"/>
      <c r="G324" s="633"/>
      <c r="H324" s="633"/>
      <c r="I324" s="633"/>
      <c r="J324" s="633"/>
      <c r="K324" s="633"/>
      <c r="L324" s="633"/>
      <c r="M324" s="633"/>
      <c r="N324" s="633"/>
      <c r="O324" s="633"/>
      <c r="P324" s="633"/>
      <c r="Q324" s="633"/>
      <c r="R324" s="633"/>
      <c r="S324" s="633"/>
      <c r="T324" s="633"/>
      <c r="U324" s="633"/>
      <c r="V324" s="633"/>
      <c r="W324" s="633"/>
      <c r="X324" s="633"/>
      <c r="Y324" s="633"/>
      <c r="Z324" s="633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30">
        <v>4680115886186</v>
      </c>
      <c r="E325" s="631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30">
        <v>4680115881228</v>
      </c>
      <c r="E326" s="631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7">
        <v>41</v>
      </c>
      <c r="Y326" s="618">
        <f>IFERROR(IF(X326="",0,CEILING((X326/$H326),1)*$H326),"")</f>
        <v>43.199999999999996</v>
      </c>
      <c r="Z326" s="36">
        <f>IFERROR(IF(Y326=0,"",ROUNDUP(Y326/H326,0)*0.00651),"")</f>
        <v>0.11718000000000001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45.305</v>
      </c>
      <c r="BN326" s="64">
        <f>IFERROR(Y326*I326/H326,"0")</f>
        <v>47.736000000000004</v>
      </c>
      <c r="BO326" s="64">
        <f>IFERROR(1/J326*(X326/H326),"0")</f>
        <v>9.3864468864468878E-2</v>
      </c>
      <c r="BP326" s="64">
        <f>IFERROR(1/J326*(Y326/H326),"0")</f>
        <v>9.8901098901098911E-2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30">
        <v>4680115881211</v>
      </c>
      <c r="E327" s="631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7">
        <v>34</v>
      </c>
      <c r="Y327" s="618">
        <f>IFERROR(IF(X327="",0,CEILING((X327/$H327),1)*$H327),"")</f>
        <v>36</v>
      </c>
      <c r="Z327" s="36">
        <f>IFERROR(IF(Y327=0,"",ROUNDUP(Y327/H327,0)*0.00651),"")</f>
        <v>9.7650000000000001E-2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36.550000000000004</v>
      </c>
      <c r="BN327" s="64">
        <f>IFERROR(Y327*I327/H327,"0")</f>
        <v>38.700000000000003</v>
      </c>
      <c r="BO327" s="64">
        <f>IFERROR(1/J327*(X327/H327),"0")</f>
        <v>7.7838827838827854E-2</v>
      </c>
      <c r="BP327" s="64">
        <f>IFERROR(1/J327*(Y327/H327),"0")</f>
        <v>8.241758241758243E-2</v>
      </c>
    </row>
    <row r="328" spans="1:68" x14ac:dyDescent="0.2">
      <c r="A328" s="632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7" t="s">
        <v>69</v>
      </c>
      <c r="Q328" s="638"/>
      <c r="R328" s="638"/>
      <c r="S328" s="638"/>
      <c r="T328" s="638"/>
      <c r="U328" s="638"/>
      <c r="V328" s="639"/>
      <c r="W328" s="37" t="s">
        <v>70</v>
      </c>
      <c r="X328" s="619">
        <f>IFERROR(X325/H325,"0")+IFERROR(X326/H326,"0")+IFERROR(X327/H327,"0")</f>
        <v>31.250000000000004</v>
      </c>
      <c r="Y328" s="619">
        <f>IFERROR(Y325/H325,"0")+IFERROR(Y326/H326,"0")+IFERROR(Y327/H327,"0")</f>
        <v>33</v>
      </c>
      <c r="Z328" s="619">
        <f>IFERROR(IF(Z325="",0,Z325),"0")+IFERROR(IF(Z326="",0,Z326),"0")+IFERROR(IF(Z327="",0,Z327),"0")</f>
        <v>0.21483000000000002</v>
      </c>
      <c r="AA328" s="620"/>
      <c r="AB328" s="620"/>
      <c r="AC328" s="620"/>
    </row>
    <row r="329" spans="1:68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7" t="s">
        <v>69</v>
      </c>
      <c r="Q329" s="638"/>
      <c r="R329" s="638"/>
      <c r="S329" s="638"/>
      <c r="T329" s="638"/>
      <c r="U329" s="638"/>
      <c r="V329" s="639"/>
      <c r="W329" s="37" t="s">
        <v>67</v>
      </c>
      <c r="X329" s="619">
        <f>IFERROR(SUM(X325:X327),"0")</f>
        <v>75</v>
      </c>
      <c r="Y329" s="619">
        <f>IFERROR(SUM(Y325:Y327),"0")</f>
        <v>79.199999999999989</v>
      </c>
      <c r="Z329" s="37"/>
      <c r="AA329" s="620"/>
      <c r="AB329" s="620"/>
      <c r="AC329" s="620"/>
    </row>
    <row r="330" spans="1:68" ht="16.5" hidden="1" customHeight="1" x14ac:dyDescent="0.25">
      <c r="A330" s="640" t="s">
        <v>539</v>
      </c>
      <c r="B330" s="633"/>
      <c r="C330" s="633"/>
      <c r="D330" s="633"/>
      <c r="E330" s="633"/>
      <c r="F330" s="633"/>
      <c r="G330" s="633"/>
      <c r="H330" s="633"/>
      <c r="I330" s="633"/>
      <c r="J330" s="633"/>
      <c r="K330" s="633"/>
      <c r="L330" s="633"/>
      <c r="M330" s="633"/>
      <c r="N330" s="633"/>
      <c r="O330" s="633"/>
      <c r="P330" s="633"/>
      <c r="Q330" s="633"/>
      <c r="R330" s="633"/>
      <c r="S330" s="633"/>
      <c r="T330" s="633"/>
      <c r="U330" s="633"/>
      <c r="V330" s="633"/>
      <c r="W330" s="633"/>
      <c r="X330" s="633"/>
      <c r="Y330" s="633"/>
      <c r="Z330" s="633"/>
      <c r="AA330" s="612"/>
      <c r="AB330" s="612"/>
      <c r="AC330" s="612"/>
    </row>
    <row r="331" spans="1:68" ht="14.25" hidden="1" customHeight="1" x14ac:dyDescent="0.25">
      <c r="A331" s="636" t="s">
        <v>62</v>
      </c>
      <c r="B331" s="633"/>
      <c r="C331" s="633"/>
      <c r="D331" s="633"/>
      <c r="E331" s="633"/>
      <c r="F331" s="633"/>
      <c r="G331" s="633"/>
      <c r="H331" s="633"/>
      <c r="I331" s="633"/>
      <c r="J331" s="633"/>
      <c r="K331" s="633"/>
      <c r="L331" s="633"/>
      <c r="M331" s="633"/>
      <c r="N331" s="633"/>
      <c r="O331" s="633"/>
      <c r="P331" s="633"/>
      <c r="Q331" s="633"/>
      <c r="R331" s="633"/>
      <c r="S331" s="633"/>
      <c r="T331" s="633"/>
      <c r="U331" s="633"/>
      <c r="V331" s="633"/>
      <c r="W331" s="633"/>
      <c r="X331" s="633"/>
      <c r="Y331" s="633"/>
      <c r="Z331" s="633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30">
        <v>4680115888319</v>
      </c>
      <c r="E332" s="631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4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30">
        <v>4680115884700</v>
      </c>
      <c r="E333" s="631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30">
        <v>4680115880344</v>
      </c>
      <c r="E334" s="631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8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30">
        <v>4680115886919</v>
      </c>
      <c r="E335" s="631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8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2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7" t="s">
        <v>69</v>
      </c>
      <c r="Q336" s="638"/>
      <c r="R336" s="638"/>
      <c r="S336" s="638"/>
      <c r="T336" s="638"/>
      <c r="U336" s="638"/>
      <c r="V336" s="639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7" t="s">
        <v>69</v>
      </c>
      <c r="Q337" s="638"/>
      <c r="R337" s="638"/>
      <c r="S337" s="638"/>
      <c r="T337" s="638"/>
      <c r="U337" s="638"/>
      <c r="V337" s="639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6" t="s">
        <v>71</v>
      </c>
      <c r="B338" s="633"/>
      <c r="C338" s="633"/>
      <c r="D338" s="633"/>
      <c r="E338" s="633"/>
      <c r="F338" s="633"/>
      <c r="G338" s="633"/>
      <c r="H338" s="633"/>
      <c r="I338" s="633"/>
      <c r="J338" s="633"/>
      <c r="K338" s="633"/>
      <c r="L338" s="633"/>
      <c r="M338" s="633"/>
      <c r="N338" s="633"/>
      <c r="O338" s="633"/>
      <c r="P338" s="633"/>
      <c r="Q338" s="633"/>
      <c r="R338" s="633"/>
      <c r="S338" s="633"/>
      <c r="T338" s="633"/>
      <c r="U338" s="633"/>
      <c r="V338" s="633"/>
      <c r="W338" s="633"/>
      <c r="X338" s="633"/>
      <c r="Y338" s="633"/>
      <c r="Z338" s="633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30">
        <v>4680115884618</v>
      </c>
      <c r="E339" s="631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2"/>
      <c r="R339" s="622"/>
      <c r="S339" s="622"/>
      <c r="T339" s="623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30">
        <v>4680115887114</v>
      </c>
      <c r="E340" s="631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30">
        <v>4680115887466</v>
      </c>
      <c r="E341" s="631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90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2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7" t="s">
        <v>69</v>
      </c>
      <c r="Q342" s="638"/>
      <c r="R342" s="638"/>
      <c r="S342" s="638"/>
      <c r="T342" s="638"/>
      <c r="U342" s="638"/>
      <c r="V342" s="639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7" t="s">
        <v>69</v>
      </c>
      <c r="Q343" s="638"/>
      <c r="R343" s="638"/>
      <c r="S343" s="638"/>
      <c r="T343" s="638"/>
      <c r="U343" s="638"/>
      <c r="V343" s="639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40" t="s">
        <v>561</v>
      </c>
      <c r="B344" s="633"/>
      <c r="C344" s="633"/>
      <c r="D344" s="633"/>
      <c r="E344" s="633"/>
      <c r="F344" s="633"/>
      <c r="G344" s="633"/>
      <c r="H344" s="633"/>
      <c r="I344" s="633"/>
      <c r="J344" s="633"/>
      <c r="K344" s="633"/>
      <c r="L344" s="633"/>
      <c r="M344" s="633"/>
      <c r="N344" s="633"/>
      <c r="O344" s="633"/>
      <c r="P344" s="633"/>
      <c r="Q344" s="633"/>
      <c r="R344" s="633"/>
      <c r="S344" s="633"/>
      <c r="T344" s="633"/>
      <c r="U344" s="633"/>
      <c r="V344" s="633"/>
      <c r="W344" s="633"/>
      <c r="X344" s="633"/>
      <c r="Y344" s="633"/>
      <c r="Z344" s="633"/>
      <c r="AA344" s="612"/>
      <c r="AB344" s="612"/>
      <c r="AC344" s="612"/>
    </row>
    <row r="345" spans="1:68" ht="14.25" hidden="1" customHeight="1" x14ac:dyDescent="0.25">
      <c r="A345" s="636" t="s">
        <v>108</v>
      </c>
      <c r="B345" s="633"/>
      <c r="C345" s="633"/>
      <c r="D345" s="633"/>
      <c r="E345" s="633"/>
      <c r="F345" s="633"/>
      <c r="G345" s="633"/>
      <c r="H345" s="633"/>
      <c r="I345" s="633"/>
      <c r="J345" s="633"/>
      <c r="K345" s="633"/>
      <c r="L345" s="633"/>
      <c r="M345" s="633"/>
      <c r="N345" s="633"/>
      <c r="O345" s="633"/>
      <c r="P345" s="633"/>
      <c r="Q345" s="633"/>
      <c r="R345" s="633"/>
      <c r="S345" s="633"/>
      <c r="T345" s="633"/>
      <c r="U345" s="633"/>
      <c r="V345" s="633"/>
      <c r="W345" s="633"/>
      <c r="X345" s="633"/>
      <c r="Y345" s="633"/>
      <c r="Z345" s="633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30">
        <v>4680115887947</v>
      </c>
      <c r="E346" s="631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9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7">
        <v>86</v>
      </c>
      <c r="Y346" s="618">
        <f>IFERROR(IF(X346="",0,CEILING((X346/$H346),1)*$H346),"")</f>
        <v>93.6</v>
      </c>
      <c r="Z346" s="36">
        <f>IFERROR(IF(Y346=0,"",ROUNDUP(Y346/H346,0)*0.01898),"")</f>
        <v>0.22776000000000002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90.520512820512835</v>
      </c>
      <c r="BN346" s="64">
        <f>IFERROR(Y346*I346/H346,"0")</f>
        <v>98.52000000000001</v>
      </c>
      <c r="BO346" s="64">
        <f>IFERROR(1/J346*(X346/H346),"0")</f>
        <v>0.17227564102564102</v>
      </c>
      <c r="BP346" s="64">
        <f>IFERROR(1/J346*(Y346/H346),"0")</f>
        <v>0.1875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30">
        <v>4680115887978</v>
      </c>
      <c r="E347" s="631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7">
        <v>100</v>
      </c>
      <c r="Y347" s="618">
        <f>IFERROR(IF(X347="",0,CEILING((X347/$H347),1)*$H347),"")</f>
        <v>101.39999999999999</v>
      </c>
      <c r="Z347" s="36">
        <f>IFERROR(IF(Y347=0,"",ROUNDUP(Y347/H347,0)*0.01898),"")</f>
        <v>0.24674000000000001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105.25641025641028</v>
      </c>
      <c r="BN347" s="64">
        <f>IFERROR(Y347*I347/H347,"0")</f>
        <v>106.73</v>
      </c>
      <c r="BO347" s="64">
        <f>IFERROR(1/J347*(X347/H347),"0")</f>
        <v>0.20032051282051283</v>
      </c>
      <c r="BP347" s="64">
        <f>IFERROR(1/J347*(Y347/H347),"0")</f>
        <v>0.203125</v>
      </c>
    </row>
    <row r="348" spans="1:68" ht="27" customHeight="1" x14ac:dyDescent="0.25">
      <c r="A348" s="54" t="s">
        <v>567</v>
      </c>
      <c r="B348" s="54" t="s">
        <v>568</v>
      </c>
      <c r="C348" s="31">
        <v>4301012327</v>
      </c>
      <c r="D348" s="630">
        <v>4680115887992</v>
      </c>
      <c r="E348" s="631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7">
        <v>7</v>
      </c>
      <c r="Y348" s="618">
        <f>IFERROR(IF(X348="",0,CEILING((X348/$H348),1)*$H348),"")</f>
        <v>7.8</v>
      </c>
      <c r="Z348" s="36">
        <f>IFERROR(IF(Y348=0,"",ROUNDUP(Y348/H348,0)*0.01898),"")</f>
        <v>1.898E-2</v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7.3679487179487193</v>
      </c>
      <c r="BN348" s="64">
        <f>IFERROR(Y348*I348/H348,"0")</f>
        <v>8.2100000000000009</v>
      </c>
      <c r="BO348" s="64">
        <f>IFERROR(1/J348*(X348/H348),"0")</f>
        <v>1.4022435897435898E-2</v>
      </c>
      <c r="BP348" s="64">
        <f>IFERROR(1/J348*(Y348/H348),"0")</f>
        <v>1.5625E-2</v>
      </c>
    </row>
    <row r="349" spans="1:68" x14ac:dyDescent="0.2">
      <c r="A349" s="632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7" t="s">
        <v>69</v>
      </c>
      <c r="Q349" s="638"/>
      <c r="R349" s="638"/>
      <c r="S349" s="638"/>
      <c r="T349" s="638"/>
      <c r="U349" s="638"/>
      <c r="V349" s="639"/>
      <c r="W349" s="37" t="s">
        <v>70</v>
      </c>
      <c r="X349" s="619">
        <f>IFERROR(X346/H346,"0")+IFERROR(X347/H347,"0")+IFERROR(X348/H348,"0")</f>
        <v>24.743589743589745</v>
      </c>
      <c r="Y349" s="619">
        <f>IFERROR(Y346/H346,"0")+IFERROR(Y347/H347,"0")+IFERROR(Y348/H348,"0")</f>
        <v>26</v>
      </c>
      <c r="Z349" s="619">
        <f>IFERROR(IF(Z346="",0,Z346),"0")+IFERROR(IF(Z347="",0,Z347),"0")+IFERROR(IF(Z348="",0,Z348),"0")</f>
        <v>0.49348000000000003</v>
      </c>
      <c r="AA349" s="620"/>
      <c r="AB349" s="620"/>
      <c r="AC349" s="620"/>
    </row>
    <row r="350" spans="1:68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7" t="s">
        <v>69</v>
      </c>
      <c r="Q350" s="638"/>
      <c r="R350" s="638"/>
      <c r="S350" s="638"/>
      <c r="T350" s="638"/>
      <c r="U350" s="638"/>
      <c r="V350" s="639"/>
      <c r="W350" s="37" t="s">
        <v>67</v>
      </c>
      <c r="X350" s="619">
        <f>IFERROR(SUM(X346:X348),"0")</f>
        <v>193</v>
      </c>
      <c r="Y350" s="619">
        <f>IFERROR(SUM(Y346:Y348),"0")</f>
        <v>202.8</v>
      </c>
      <c r="Z350" s="37"/>
      <c r="AA350" s="620"/>
      <c r="AB350" s="620"/>
      <c r="AC350" s="620"/>
    </row>
    <row r="351" spans="1:68" ht="16.5" hidden="1" customHeight="1" x14ac:dyDescent="0.25">
      <c r="A351" s="640" t="s">
        <v>570</v>
      </c>
      <c r="B351" s="633"/>
      <c r="C351" s="633"/>
      <c r="D351" s="633"/>
      <c r="E351" s="633"/>
      <c r="F351" s="633"/>
      <c r="G351" s="633"/>
      <c r="H351" s="633"/>
      <c r="I351" s="633"/>
      <c r="J351" s="633"/>
      <c r="K351" s="633"/>
      <c r="L351" s="633"/>
      <c r="M351" s="633"/>
      <c r="N351" s="633"/>
      <c r="O351" s="633"/>
      <c r="P351" s="633"/>
      <c r="Q351" s="633"/>
      <c r="R351" s="633"/>
      <c r="S351" s="633"/>
      <c r="T351" s="633"/>
      <c r="U351" s="633"/>
      <c r="V351" s="633"/>
      <c r="W351" s="633"/>
      <c r="X351" s="633"/>
      <c r="Y351" s="633"/>
      <c r="Z351" s="633"/>
      <c r="AA351" s="612"/>
      <c r="AB351" s="612"/>
      <c r="AC351" s="612"/>
    </row>
    <row r="352" spans="1:68" ht="14.25" hidden="1" customHeight="1" x14ac:dyDescent="0.25">
      <c r="A352" s="636" t="s">
        <v>108</v>
      </c>
      <c r="B352" s="633"/>
      <c r="C352" s="633"/>
      <c r="D352" s="633"/>
      <c r="E352" s="633"/>
      <c r="F352" s="633"/>
      <c r="G352" s="633"/>
      <c r="H352" s="633"/>
      <c r="I352" s="633"/>
      <c r="J352" s="633"/>
      <c r="K352" s="633"/>
      <c r="L352" s="633"/>
      <c r="M352" s="633"/>
      <c r="N352" s="633"/>
      <c r="O352" s="633"/>
      <c r="P352" s="633"/>
      <c r="Q352" s="633"/>
      <c r="R352" s="633"/>
      <c r="S352" s="633"/>
      <c r="T352" s="633"/>
      <c r="U352" s="633"/>
      <c r="V352" s="633"/>
      <c r="W352" s="633"/>
      <c r="X352" s="633"/>
      <c r="Y352" s="633"/>
      <c r="Z352" s="633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30">
        <v>4680115889293</v>
      </c>
      <c r="E353" s="631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30">
        <v>4680115887190</v>
      </c>
      <c r="E354" s="631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30">
        <v>4680115889880</v>
      </c>
      <c r="E355" s="631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30">
        <v>4680115887138</v>
      </c>
      <c r="E356" s="631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30">
        <v>4680115885554</v>
      </c>
      <c r="E357" s="631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4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30">
        <v>4680115887220</v>
      </c>
      <c r="E358" s="631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6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2"/>
      <c r="R358" s="622"/>
      <c r="S358" s="622"/>
      <c r="T358" s="623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30">
        <v>4680115885608</v>
      </c>
      <c r="E359" s="631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9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2"/>
      <c r="R359" s="622"/>
      <c r="S359" s="622"/>
      <c r="T359" s="623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2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7" t="s">
        <v>69</v>
      </c>
      <c r="Q360" s="638"/>
      <c r="R360" s="638"/>
      <c r="S360" s="638"/>
      <c r="T360" s="638"/>
      <c r="U360" s="638"/>
      <c r="V360" s="639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7" t="s">
        <v>69</v>
      </c>
      <c r="Q361" s="638"/>
      <c r="R361" s="638"/>
      <c r="S361" s="638"/>
      <c r="T361" s="638"/>
      <c r="U361" s="638"/>
      <c r="V361" s="639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6" t="s">
        <v>62</v>
      </c>
      <c r="B362" s="633"/>
      <c r="C362" s="633"/>
      <c r="D362" s="633"/>
      <c r="E362" s="633"/>
      <c r="F362" s="633"/>
      <c r="G362" s="633"/>
      <c r="H362" s="633"/>
      <c r="I362" s="633"/>
      <c r="J362" s="633"/>
      <c r="K362" s="633"/>
      <c r="L362" s="633"/>
      <c r="M362" s="633"/>
      <c r="N362" s="633"/>
      <c r="O362" s="633"/>
      <c r="P362" s="633"/>
      <c r="Q362" s="633"/>
      <c r="R362" s="633"/>
      <c r="S362" s="633"/>
      <c r="T362" s="633"/>
      <c r="U362" s="633"/>
      <c r="V362" s="633"/>
      <c r="W362" s="633"/>
      <c r="X362" s="633"/>
      <c r="Y362" s="633"/>
      <c r="Z362" s="633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30">
        <v>4607091387193</v>
      </c>
      <c r="E363" s="631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30">
        <v>4607091387230</v>
      </c>
      <c r="E364" s="631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30">
        <v>4607091387292</v>
      </c>
      <c r="E365" s="631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30">
        <v>4607091387285</v>
      </c>
      <c r="E366" s="631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2"/>
      <c r="R366" s="622"/>
      <c r="S366" s="622"/>
      <c r="T366" s="623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30">
        <v>4607091389845</v>
      </c>
      <c r="E367" s="631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30">
        <v>4680115887442</v>
      </c>
      <c r="E368" s="631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2"/>
      <c r="R368" s="622"/>
      <c r="S368" s="622"/>
      <c r="T368" s="623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hidden="1" customHeight="1" x14ac:dyDescent="0.25">
      <c r="A369" s="54" t="s">
        <v>606</v>
      </c>
      <c r="B369" s="54" t="s">
        <v>607</v>
      </c>
      <c r="C369" s="31">
        <v>4301031066</v>
      </c>
      <c r="D369" s="630">
        <v>4607091383836</v>
      </c>
      <c r="E369" s="631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2"/>
      <c r="R369" s="622"/>
      <c r="S369" s="622"/>
      <c r="T369" s="623"/>
      <c r="U369" s="34"/>
      <c r="V369" s="34"/>
      <c r="W369" s="35" t="s">
        <v>67</v>
      </c>
      <c r="X369" s="617">
        <v>0</v>
      </c>
      <c r="Y369" s="618">
        <f t="shared" si="56"/>
        <v>0</v>
      </c>
      <c r="Z369" s="36" t="str">
        <f>IFERROR(IF(Y369=0,"",ROUNDUP(Y369/H369,0)*0.00651),"")</f>
        <v/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0</v>
      </c>
      <c r="BN369" s="64">
        <f t="shared" si="58"/>
        <v>0</v>
      </c>
      <c r="BO369" s="64">
        <f t="shared" si="59"/>
        <v>0</v>
      </c>
      <c r="BP369" s="64">
        <f t="shared" si="60"/>
        <v>0</v>
      </c>
    </row>
    <row r="370" spans="1:68" hidden="1" x14ac:dyDescent="0.2">
      <c r="A370" s="632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7" t="s">
        <v>69</v>
      </c>
      <c r="Q370" s="638"/>
      <c r="R370" s="638"/>
      <c r="S370" s="638"/>
      <c r="T370" s="638"/>
      <c r="U370" s="638"/>
      <c r="V370" s="639"/>
      <c r="W370" s="37" t="s">
        <v>70</v>
      </c>
      <c r="X370" s="619">
        <f>IFERROR(X363/H363,"0")+IFERROR(X364/H364,"0")+IFERROR(X365/H365,"0")+IFERROR(X366/H366,"0")+IFERROR(X367/H367,"0")+IFERROR(X368/H368,"0")+IFERROR(X369/H369,"0")</f>
        <v>0</v>
      </c>
      <c r="Y370" s="619">
        <f>IFERROR(Y363/H363,"0")+IFERROR(Y364/H364,"0")+IFERROR(Y365/H365,"0")+IFERROR(Y366/H366,"0")+IFERROR(Y367/H367,"0")+IFERROR(Y368/H368,"0")+IFERROR(Y369/H369,"0")</f>
        <v>0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20"/>
      <c r="AB370" s="620"/>
      <c r="AC370" s="620"/>
    </row>
    <row r="371" spans="1:68" hidden="1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7" t="s">
        <v>69</v>
      </c>
      <c r="Q371" s="638"/>
      <c r="R371" s="638"/>
      <c r="S371" s="638"/>
      <c r="T371" s="638"/>
      <c r="U371" s="638"/>
      <c r="V371" s="639"/>
      <c r="W371" s="37" t="s">
        <v>67</v>
      </c>
      <c r="X371" s="619">
        <f>IFERROR(SUM(X363:X369),"0")</f>
        <v>0</v>
      </c>
      <c r="Y371" s="619">
        <f>IFERROR(SUM(Y363:Y369),"0")</f>
        <v>0</v>
      </c>
      <c r="Z371" s="37"/>
      <c r="AA371" s="620"/>
      <c r="AB371" s="620"/>
      <c r="AC371" s="620"/>
    </row>
    <row r="372" spans="1:68" ht="14.25" hidden="1" customHeight="1" x14ac:dyDescent="0.25">
      <c r="A372" s="636" t="s">
        <v>71</v>
      </c>
      <c r="B372" s="633"/>
      <c r="C372" s="633"/>
      <c r="D372" s="633"/>
      <c r="E372" s="633"/>
      <c r="F372" s="633"/>
      <c r="G372" s="633"/>
      <c r="H372" s="633"/>
      <c r="I372" s="633"/>
      <c r="J372" s="633"/>
      <c r="K372" s="633"/>
      <c r="L372" s="633"/>
      <c r="M372" s="633"/>
      <c r="N372" s="633"/>
      <c r="O372" s="633"/>
      <c r="P372" s="633"/>
      <c r="Q372" s="633"/>
      <c r="R372" s="633"/>
      <c r="S372" s="633"/>
      <c r="T372" s="633"/>
      <c r="U372" s="633"/>
      <c r="V372" s="633"/>
      <c r="W372" s="633"/>
      <c r="X372" s="633"/>
      <c r="Y372" s="633"/>
      <c r="Z372" s="633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30">
        <v>4607091387766</v>
      </c>
      <c r="E373" s="631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2"/>
      <c r="R373" s="622"/>
      <c r="S373" s="622"/>
      <c r="T373" s="623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30">
        <v>4607091387957</v>
      </c>
      <c r="E374" s="631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2"/>
      <c r="R374" s="622"/>
      <c r="S374" s="622"/>
      <c r="T374" s="623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30">
        <v>4607091387964</v>
      </c>
      <c r="E375" s="631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2"/>
      <c r="R375" s="622"/>
      <c r="S375" s="622"/>
      <c r="T375" s="623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30">
        <v>4680115884588</v>
      </c>
      <c r="E376" s="631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4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2"/>
      <c r="R376" s="622"/>
      <c r="S376" s="622"/>
      <c r="T376" s="623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2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7" t="s">
        <v>69</v>
      </c>
      <c r="Q377" s="638"/>
      <c r="R377" s="638"/>
      <c r="S377" s="638"/>
      <c r="T377" s="638"/>
      <c r="U377" s="638"/>
      <c r="V377" s="639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7" t="s">
        <v>69</v>
      </c>
      <c r="Q378" s="638"/>
      <c r="R378" s="638"/>
      <c r="S378" s="638"/>
      <c r="T378" s="638"/>
      <c r="U378" s="638"/>
      <c r="V378" s="639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6" t="s">
        <v>161</v>
      </c>
      <c r="B379" s="633"/>
      <c r="C379" s="633"/>
      <c r="D379" s="633"/>
      <c r="E379" s="633"/>
      <c r="F379" s="633"/>
      <c r="G379" s="633"/>
      <c r="H379" s="633"/>
      <c r="I379" s="633"/>
      <c r="J379" s="633"/>
      <c r="K379" s="633"/>
      <c r="L379" s="633"/>
      <c r="M379" s="633"/>
      <c r="N379" s="633"/>
      <c r="O379" s="633"/>
      <c r="P379" s="633"/>
      <c r="Q379" s="633"/>
      <c r="R379" s="633"/>
      <c r="S379" s="633"/>
      <c r="T379" s="633"/>
      <c r="U379" s="633"/>
      <c r="V379" s="633"/>
      <c r="W379" s="633"/>
      <c r="X379" s="633"/>
      <c r="Y379" s="633"/>
      <c r="Z379" s="633"/>
      <c r="AA379" s="613"/>
      <c r="AB379" s="613"/>
      <c r="AC379" s="613"/>
    </row>
    <row r="380" spans="1:68" ht="27" customHeight="1" x14ac:dyDescent="0.25">
      <c r="A380" s="54" t="s">
        <v>620</v>
      </c>
      <c r="B380" s="54" t="s">
        <v>621</v>
      </c>
      <c r="C380" s="31">
        <v>4301060387</v>
      </c>
      <c r="D380" s="630">
        <v>4607091380880</v>
      </c>
      <c r="E380" s="631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7">
        <v>237</v>
      </c>
      <c r="Y380" s="618">
        <f>IFERROR(IF(X380="",0,CEILING((X380/$H380),1)*$H380),"")</f>
        <v>243.60000000000002</v>
      </c>
      <c r="Z380" s="36">
        <f>IFERROR(IF(Y380=0,"",ROUNDUP(Y380/H380,0)*0.01898),"")</f>
        <v>0.55042000000000002</v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250.93785714285715</v>
      </c>
      <c r="BN380" s="64">
        <f>IFERROR(Y380*I380/H380,"0")</f>
        <v>257.92600000000004</v>
      </c>
      <c r="BO380" s="64">
        <f>IFERROR(1/J380*(X380/H380),"0")</f>
        <v>0.44084821428571425</v>
      </c>
      <c r="BP380" s="64">
        <f>IFERROR(1/J380*(Y380/H380),"0")</f>
        <v>0.453125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30">
        <v>4607091384482</v>
      </c>
      <c r="E381" s="631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7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2"/>
      <c r="R381" s="622"/>
      <c r="S381" s="622"/>
      <c r="T381" s="623"/>
      <c r="U381" s="34"/>
      <c r="V381" s="34"/>
      <c r="W381" s="35" t="s">
        <v>67</v>
      </c>
      <c r="X381" s="617">
        <v>25</v>
      </c>
      <c r="Y381" s="618">
        <f>IFERROR(IF(X381="",0,CEILING((X381/$H381),1)*$H381),"")</f>
        <v>31.2</v>
      </c>
      <c r="Z381" s="36">
        <f>IFERROR(IF(Y381=0,"",ROUNDUP(Y381/H381,0)*0.01898),"")</f>
        <v>7.5920000000000001E-2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26.583333333333336</v>
      </c>
      <c r="BN381" s="64">
        <f>IFERROR(Y381*I381/H381,"0")</f>
        <v>33.176000000000002</v>
      </c>
      <c r="BO381" s="64">
        <f>IFERROR(1/J381*(X381/H381),"0")</f>
        <v>5.0080128205128208E-2</v>
      </c>
      <c r="BP381" s="64">
        <f>IFERROR(1/J381*(Y381/H381),"0")</f>
        <v>6.25E-2</v>
      </c>
    </row>
    <row r="382" spans="1:68" ht="27" hidden="1" customHeight="1" x14ac:dyDescent="0.25">
      <c r="A382" s="54" t="s">
        <v>626</v>
      </c>
      <c r="B382" s="54" t="s">
        <v>627</v>
      </c>
      <c r="C382" s="31">
        <v>4301060484</v>
      </c>
      <c r="D382" s="630">
        <v>4607091380897</v>
      </c>
      <c r="E382" s="631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2"/>
      <c r="R382" s="622"/>
      <c r="S382" s="622"/>
      <c r="T382" s="623"/>
      <c r="U382" s="34"/>
      <c r="V382" s="34"/>
      <c r="W382" s="35" t="s">
        <v>67</v>
      </c>
      <c r="X382" s="617">
        <v>0</v>
      </c>
      <c r="Y382" s="61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x14ac:dyDescent="0.2">
      <c r="A383" s="632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7" t="s">
        <v>69</v>
      </c>
      <c r="Q383" s="638"/>
      <c r="R383" s="638"/>
      <c r="S383" s="638"/>
      <c r="T383" s="638"/>
      <c r="U383" s="638"/>
      <c r="V383" s="639"/>
      <c r="W383" s="37" t="s">
        <v>70</v>
      </c>
      <c r="X383" s="619">
        <f>IFERROR(X380/H380,"0")+IFERROR(X381/H381,"0")+IFERROR(X382/H382,"0")</f>
        <v>31.419413919413916</v>
      </c>
      <c r="Y383" s="619">
        <f>IFERROR(Y380/H380,"0")+IFERROR(Y381/H381,"0")+IFERROR(Y382/H382,"0")</f>
        <v>33</v>
      </c>
      <c r="Z383" s="619">
        <f>IFERROR(IF(Z380="",0,Z380),"0")+IFERROR(IF(Z381="",0,Z381),"0")+IFERROR(IF(Z382="",0,Z382),"0")</f>
        <v>0.62634000000000001</v>
      </c>
      <c r="AA383" s="620"/>
      <c r="AB383" s="620"/>
      <c r="AC383" s="620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7" t="s">
        <v>69</v>
      </c>
      <c r="Q384" s="638"/>
      <c r="R384" s="638"/>
      <c r="S384" s="638"/>
      <c r="T384" s="638"/>
      <c r="U384" s="638"/>
      <c r="V384" s="639"/>
      <c r="W384" s="37" t="s">
        <v>67</v>
      </c>
      <c r="X384" s="619">
        <f>IFERROR(SUM(X380:X382),"0")</f>
        <v>262</v>
      </c>
      <c r="Y384" s="619">
        <f>IFERROR(SUM(Y380:Y382),"0")</f>
        <v>274.8</v>
      </c>
      <c r="Z384" s="37"/>
      <c r="AA384" s="620"/>
      <c r="AB384" s="620"/>
      <c r="AC384" s="620"/>
    </row>
    <row r="385" spans="1:68" ht="14.25" hidden="1" customHeight="1" x14ac:dyDescent="0.25">
      <c r="A385" s="636" t="s">
        <v>263</v>
      </c>
      <c r="B385" s="633"/>
      <c r="C385" s="633"/>
      <c r="D385" s="633"/>
      <c r="E385" s="633"/>
      <c r="F385" s="633"/>
      <c r="G385" s="633"/>
      <c r="H385" s="633"/>
      <c r="I385" s="633"/>
      <c r="J385" s="633"/>
      <c r="K385" s="633"/>
      <c r="L385" s="633"/>
      <c r="M385" s="633"/>
      <c r="N385" s="633"/>
      <c r="O385" s="633"/>
      <c r="P385" s="633"/>
      <c r="Q385" s="633"/>
      <c r="R385" s="633"/>
      <c r="S385" s="633"/>
      <c r="T385" s="633"/>
      <c r="U385" s="633"/>
      <c r="V385" s="633"/>
      <c r="W385" s="633"/>
      <c r="X385" s="633"/>
      <c r="Y385" s="633"/>
      <c r="Z385" s="633"/>
      <c r="AA385" s="613"/>
      <c r="AB385" s="613"/>
      <c r="AC385" s="613"/>
    </row>
    <row r="386" spans="1:68" ht="27" customHeight="1" x14ac:dyDescent="0.25">
      <c r="A386" s="54" t="s">
        <v>629</v>
      </c>
      <c r="B386" s="54" t="s">
        <v>630</v>
      </c>
      <c r="C386" s="31">
        <v>4301030235</v>
      </c>
      <c r="D386" s="630">
        <v>4607091388381</v>
      </c>
      <c r="E386" s="631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5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7">
        <v>10</v>
      </c>
      <c r="Y386" s="618">
        <f>IFERROR(IF(X386="",0,CEILING((X386/$H386),1)*$H386),"")</f>
        <v>12.16</v>
      </c>
      <c r="Z386" s="36">
        <f>IFERROR(IF(Y386=0,"",ROUNDUP(Y386/H386,0)*0.00902),"")</f>
        <v>3.6080000000000001E-2</v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10.888157894736842</v>
      </c>
      <c r="BN386" s="64">
        <f>IFERROR(Y386*I386/H386,"0")</f>
        <v>13.24</v>
      </c>
      <c r="BO386" s="64">
        <f>IFERROR(1/J386*(X386/H386),"0")</f>
        <v>2.4920255183413079E-2</v>
      </c>
      <c r="BP386" s="64">
        <f>IFERROR(1/J386*(Y386/H386),"0")</f>
        <v>3.0303030303030304E-2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30">
        <v>4607091388374</v>
      </c>
      <c r="E387" s="631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80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7">
        <v>10</v>
      </c>
      <c r="Y387" s="618">
        <f>IFERROR(IF(X387="",0,CEILING((X387/$H387),1)*$H387),"")</f>
        <v>12.16</v>
      </c>
      <c r="Z387" s="36">
        <f>IFERROR(IF(Y387=0,"",ROUNDUP(Y387/H387,0)*0.00902),"")</f>
        <v>3.6080000000000001E-2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10.756578947368421</v>
      </c>
      <c r="BN387" s="64">
        <f>IFERROR(Y387*I387/H387,"0")</f>
        <v>13.079999999999998</v>
      </c>
      <c r="BO387" s="64">
        <f>IFERROR(1/J387*(X387/H387),"0")</f>
        <v>2.4920255183413079E-2</v>
      </c>
      <c r="BP387" s="64">
        <f>IFERROR(1/J387*(Y387/H387),"0")</f>
        <v>3.0303030303030304E-2</v>
      </c>
    </row>
    <row r="388" spans="1:68" ht="27" customHeight="1" x14ac:dyDescent="0.25">
      <c r="A388" s="54" t="s">
        <v>634</v>
      </c>
      <c r="B388" s="54" t="s">
        <v>635</v>
      </c>
      <c r="C388" s="31">
        <v>4301032015</v>
      </c>
      <c r="D388" s="630">
        <v>4607091383102</v>
      </c>
      <c r="E388" s="631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2"/>
      <c r="R388" s="622"/>
      <c r="S388" s="622"/>
      <c r="T388" s="623"/>
      <c r="U388" s="34"/>
      <c r="V388" s="34"/>
      <c r="W388" s="35" t="s">
        <v>67</v>
      </c>
      <c r="X388" s="617">
        <v>14</v>
      </c>
      <c r="Y388" s="618">
        <f>IFERROR(IF(X388="",0,CEILING((X388/$H388),1)*$H388),"")</f>
        <v>15.299999999999999</v>
      </c>
      <c r="Z388" s="36">
        <f>IFERROR(IF(Y388=0,"",ROUNDUP(Y388/H388,0)*0.00651),"")</f>
        <v>3.9059999999999997E-2</v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16.223529411764709</v>
      </c>
      <c r="BN388" s="64">
        <f>IFERROR(Y388*I388/H388,"0")</f>
        <v>17.73</v>
      </c>
      <c r="BO388" s="64">
        <f>IFERROR(1/J388*(X388/H388),"0")</f>
        <v>3.0165912518853699E-2</v>
      </c>
      <c r="BP388" s="64">
        <f>IFERROR(1/J388*(Y388/H388),"0")</f>
        <v>3.2967032967032968E-2</v>
      </c>
    </row>
    <row r="389" spans="1:68" ht="27" hidden="1" customHeight="1" x14ac:dyDescent="0.25">
      <c r="A389" s="54" t="s">
        <v>636</v>
      </c>
      <c r="B389" s="54" t="s">
        <v>637</v>
      </c>
      <c r="C389" s="31">
        <v>4301030233</v>
      </c>
      <c r="D389" s="630">
        <v>4607091388404</v>
      </c>
      <c r="E389" s="631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2"/>
      <c r="R389" s="622"/>
      <c r="S389" s="622"/>
      <c r="T389" s="623"/>
      <c r="U389" s="34"/>
      <c r="V389" s="34"/>
      <c r="W389" s="35" t="s">
        <v>67</v>
      </c>
      <c r="X389" s="617">
        <v>0</v>
      </c>
      <c r="Y389" s="618">
        <f>IFERROR(IF(X389="",0,CEILING((X389/$H389),1)*$H389),"")</f>
        <v>0</v>
      </c>
      <c r="Z389" s="36" t="str">
        <f>IFERROR(IF(Y389=0,"",ROUNDUP(Y389/H389,0)*0.00651),"")</f>
        <v/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32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7" t="s">
        <v>69</v>
      </c>
      <c r="Q390" s="638"/>
      <c r="R390" s="638"/>
      <c r="S390" s="638"/>
      <c r="T390" s="638"/>
      <c r="U390" s="638"/>
      <c r="V390" s="639"/>
      <c r="W390" s="37" t="s">
        <v>70</v>
      </c>
      <c r="X390" s="619">
        <f>IFERROR(X386/H386,"0")+IFERROR(X387/H387,"0")+IFERROR(X388/H388,"0")+IFERROR(X389/H389,"0")</f>
        <v>12.069143446852426</v>
      </c>
      <c r="Y390" s="619">
        <f>IFERROR(Y386/H386,"0")+IFERROR(Y387/H387,"0")+IFERROR(Y388/H388,"0")+IFERROR(Y389/H389,"0")</f>
        <v>14</v>
      </c>
      <c r="Z390" s="619">
        <f>IFERROR(IF(Z386="",0,Z386),"0")+IFERROR(IF(Z387="",0,Z387),"0")+IFERROR(IF(Z388="",0,Z388),"0")+IFERROR(IF(Z389="",0,Z389),"0")</f>
        <v>0.11122</v>
      </c>
      <c r="AA390" s="620"/>
      <c r="AB390" s="620"/>
      <c r="AC390" s="620"/>
    </row>
    <row r="391" spans="1:68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7" t="s">
        <v>69</v>
      </c>
      <c r="Q391" s="638"/>
      <c r="R391" s="638"/>
      <c r="S391" s="638"/>
      <c r="T391" s="638"/>
      <c r="U391" s="638"/>
      <c r="V391" s="639"/>
      <c r="W391" s="37" t="s">
        <v>67</v>
      </c>
      <c r="X391" s="619">
        <f>IFERROR(SUM(X386:X389),"0")</f>
        <v>34</v>
      </c>
      <c r="Y391" s="619">
        <f>IFERROR(SUM(Y386:Y389),"0")</f>
        <v>39.619999999999997</v>
      </c>
      <c r="Z391" s="37"/>
      <c r="AA391" s="620"/>
      <c r="AB391" s="620"/>
      <c r="AC391" s="620"/>
    </row>
    <row r="392" spans="1:68" ht="14.25" hidden="1" customHeight="1" x14ac:dyDescent="0.25">
      <c r="A392" s="636" t="s">
        <v>638</v>
      </c>
      <c r="B392" s="633"/>
      <c r="C392" s="633"/>
      <c r="D392" s="633"/>
      <c r="E392" s="633"/>
      <c r="F392" s="633"/>
      <c r="G392" s="633"/>
      <c r="H392" s="633"/>
      <c r="I392" s="633"/>
      <c r="J392" s="633"/>
      <c r="K392" s="633"/>
      <c r="L392" s="633"/>
      <c r="M392" s="633"/>
      <c r="N392" s="633"/>
      <c r="O392" s="633"/>
      <c r="P392" s="633"/>
      <c r="Q392" s="633"/>
      <c r="R392" s="633"/>
      <c r="S392" s="633"/>
      <c r="T392" s="633"/>
      <c r="U392" s="633"/>
      <c r="V392" s="633"/>
      <c r="W392" s="633"/>
      <c r="X392" s="633"/>
      <c r="Y392" s="633"/>
      <c r="Z392" s="633"/>
      <c r="AA392" s="613"/>
      <c r="AB392" s="613"/>
      <c r="AC392" s="613"/>
    </row>
    <row r="393" spans="1:68" ht="16.5" customHeight="1" x14ac:dyDescent="0.25">
      <c r="A393" s="54" t="s">
        <v>639</v>
      </c>
      <c r="B393" s="54" t="s">
        <v>640</v>
      </c>
      <c r="C393" s="31">
        <v>4301180007</v>
      </c>
      <c r="D393" s="630">
        <v>4680115881808</v>
      </c>
      <c r="E393" s="631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2"/>
      <c r="R393" s="622"/>
      <c r="S393" s="622"/>
      <c r="T393" s="623"/>
      <c r="U393" s="34"/>
      <c r="V393" s="34"/>
      <c r="W393" s="35" t="s">
        <v>67</v>
      </c>
      <c r="X393" s="617">
        <v>13</v>
      </c>
      <c r="Y393" s="618">
        <f>IFERROR(IF(X393="",0,CEILING((X393/$H393),1)*$H393),"")</f>
        <v>14</v>
      </c>
      <c r="Z393" s="36">
        <f>IFERROR(IF(Y393=0,"",ROUNDUP(Y393/H393,0)*0.00474),"")</f>
        <v>3.3180000000000001E-2</v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14.560000000000002</v>
      </c>
      <c r="BN393" s="64">
        <f>IFERROR(Y393*I393/H393,"0")</f>
        <v>15.680000000000001</v>
      </c>
      <c r="BO393" s="64">
        <f>IFERROR(1/J393*(X393/H393),"0")</f>
        <v>2.7310924369747899E-2</v>
      </c>
      <c r="BP393" s="64">
        <f>IFERROR(1/J393*(Y393/H393),"0")</f>
        <v>2.9411764705882353E-2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30">
        <v>4680115881822</v>
      </c>
      <c r="E394" s="631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8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2"/>
      <c r="R394" s="622"/>
      <c r="S394" s="622"/>
      <c r="T394" s="623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30">
        <v>4680115880016</v>
      </c>
      <c r="E395" s="631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2"/>
      <c r="R395" s="622"/>
      <c r="S395" s="622"/>
      <c r="T395" s="623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x14ac:dyDescent="0.2">
      <c r="A396" s="632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7" t="s">
        <v>69</v>
      </c>
      <c r="Q396" s="638"/>
      <c r="R396" s="638"/>
      <c r="S396" s="638"/>
      <c r="T396" s="638"/>
      <c r="U396" s="638"/>
      <c r="V396" s="639"/>
      <c r="W396" s="37" t="s">
        <v>70</v>
      </c>
      <c r="X396" s="619">
        <f>IFERROR(X393/H393,"0")+IFERROR(X394/H394,"0")+IFERROR(X395/H395,"0")</f>
        <v>6.5</v>
      </c>
      <c r="Y396" s="619">
        <f>IFERROR(Y393/H393,"0")+IFERROR(Y394/H394,"0")+IFERROR(Y395/H395,"0")</f>
        <v>7</v>
      </c>
      <c r="Z396" s="619">
        <f>IFERROR(IF(Z393="",0,Z393),"0")+IFERROR(IF(Z394="",0,Z394),"0")+IFERROR(IF(Z395="",0,Z395),"0")</f>
        <v>3.3180000000000001E-2</v>
      </c>
      <c r="AA396" s="620"/>
      <c r="AB396" s="620"/>
      <c r="AC396" s="620"/>
    </row>
    <row r="397" spans="1:68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7" t="s">
        <v>69</v>
      </c>
      <c r="Q397" s="638"/>
      <c r="R397" s="638"/>
      <c r="S397" s="638"/>
      <c r="T397" s="638"/>
      <c r="U397" s="638"/>
      <c r="V397" s="639"/>
      <c r="W397" s="37" t="s">
        <v>67</v>
      </c>
      <c r="X397" s="619">
        <f>IFERROR(SUM(X393:X395),"0")</f>
        <v>13</v>
      </c>
      <c r="Y397" s="619">
        <f>IFERROR(SUM(Y393:Y395),"0")</f>
        <v>14</v>
      </c>
      <c r="Z397" s="37"/>
      <c r="AA397" s="620"/>
      <c r="AB397" s="620"/>
      <c r="AC397" s="620"/>
    </row>
    <row r="398" spans="1:68" ht="14.25" hidden="1" customHeight="1" x14ac:dyDescent="0.25">
      <c r="A398" s="636" t="s">
        <v>647</v>
      </c>
      <c r="B398" s="633"/>
      <c r="C398" s="633"/>
      <c r="D398" s="633"/>
      <c r="E398" s="633"/>
      <c r="F398" s="633"/>
      <c r="G398" s="633"/>
      <c r="H398" s="633"/>
      <c r="I398" s="633"/>
      <c r="J398" s="633"/>
      <c r="K398" s="633"/>
      <c r="L398" s="633"/>
      <c r="M398" s="633"/>
      <c r="N398" s="633"/>
      <c r="O398" s="633"/>
      <c r="P398" s="633"/>
      <c r="Q398" s="633"/>
      <c r="R398" s="633"/>
      <c r="S398" s="633"/>
      <c r="T398" s="633"/>
      <c r="U398" s="633"/>
      <c r="V398" s="633"/>
      <c r="W398" s="633"/>
      <c r="X398" s="633"/>
      <c r="Y398" s="633"/>
      <c r="Z398" s="633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30">
        <v>4680115888678</v>
      </c>
      <c r="E399" s="631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30">
        <v>4680115888654</v>
      </c>
      <c r="E400" s="631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2"/>
      <c r="R400" s="622"/>
      <c r="S400" s="622"/>
      <c r="T400" s="623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30">
        <v>4680115888753</v>
      </c>
      <c r="E401" s="631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2"/>
      <c r="R401" s="622"/>
      <c r="S401" s="622"/>
      <c r="T401" s="623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2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7" t="s">
        <v>69</v>
      </c>
      <c r="Q402" s="638"/>
      <c r="R402" s="638"/>
      <c r="S402" s="638"/>
      <c r="T402" s="638"/>
      <c r="U402" s="638"/>
      <c r="V402" s="639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7" t="s">
        <v>69</v>
      </c>
      <c r="Q403" s="638"/>
      <c r="R403" s="638"/>
      <c r="S403" s="638"/>
      <c r="T403" s="638"/>
      <c r="U403" s="638"/>
      <c r="V403" s="639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40" t="s">
        <v>656</v>
      </c>
      <c r="B404" s="633"/>
      <c r="C404" s="633"/>
      <c r="D404" s="633"/>
      <c r="E404" s="633"/>
      <c r="F404" s="633"/>
      <c r="G404" s="633"/>
      <c r="H404" s="633"/>
      <c r="I404" s="633"/>
      <c r="J404" s="633"/>
      <c r="K404" s="633"/>
      <c r="L404" s="633"/>
      <c r="M404" s="633"/>
      <c r="N404" s="633"/>
      <c r="O404" s="633"/>
      <c r="P404" s="633"/>
      <c r="Q404" s="633"/>
      <c r="R404" s="633"/>
      <c r="S404" s="633"/>
      <c r="T404" s="633"/>
      <c r="U404" s="633"/>
      <c r="V404" s="633"/>
      <c r="W404" s="633"/>
      <c r="X404" s="633"/>
      <c r="Y404" s="633"/>
      <c r="Z404" s="633"/>
      <c r="AA404" s="612"/>
      <c r="AB404" s="612"/>
      <c r="AC404" s="612"/>
    </row>
    <row r="405" spans="1:68" ht="14.25" hidden="1" customHeight="1" x14ac:dyDescent="0.25">
      <c r="A405" s="636" t="s">
        <v>71</v>
      </c>
      <c r="B405" s="633"/>
      <c r="C405" s="633"/>
      <c r="D405" s="633"/>
      <c r="E405" s="633"/>
      <c r="F405" s="633"/>
      <c r="G405" s="633"/>
      <c r="H405" s="633"/>
      <c r="I405" s="633"/>
      <c r="J405" s="633"/>
      <c r="K405" s="633"/>
      <c r="L405" s="633"/>
      <c r="M405" s="633"/>
      <c r="N405" s="633"/>
      <c r="O405" s="633"/>
      <c r="P405" s="633"/>
      <c r="Q405" s="633"/>
      <c r="R405" s="633"/>
      <c r="S405" s="633"/>
      <c r="T405" s="633"/>
      <c r="U405" s="633"/>
      <c r="V405" s="633"/>
      <c r="W405" s="633"/>
      <c r="X405" s="633"/>
      <c r="Y405" s="633"/>
      <c r="Z405" s="633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30">
        <v>4680115889415</v>
      </c>
      <c r="E406" s="631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30">
        <v>4680115889422</v>
      </c>
      <c r="E407" s="631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70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2"/>
      <c r="R407" s="622"/>
      <c r="S407" s="622"/>
      <c r="T407" s="623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2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7" t="s">
        <v>69</v>
      </c>
      <c r="Q408" s="638"/>
      <c r="R408" s="638"/>
      <c r="S408" s="638"/>
      <c r="T408" s="638"/>
      <c r="U408" s="638"/>
      <c r="V408" s="639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7" t="s">
        <v>69</v>
      </c>
      <c r="Q409" s="638"/>
      <c r="R409" s="638"/>
      <c r="S409" s="638"/>
      <c r="T409" s="638"/>
      <c r="U409" s="638"/>
      <c r="V409" s="639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40" t="s">
        <v>663</v>
      </c>
      <c r="B410" s="633"/>
      <c r="C410" s="633"/>
      <c r="D410" s="633"/>
      <c r="E410" s="633"/>
      <c r="F410" s="633"/>
      <c r="G410" s="633"/>
      <c r="H410" s="633"/>
      <c r="I410" s="633"/>
      <c r="J410" s="633"/>
      <c r="K410" s="633"/>
      <c r="L410" s="633"/>
      <c r="M410" s="633"/>
      <c r="N410" s="633"/>
      <c r="O410" s="633"/>
      <c r="P410" s="633"/>
      <c r="Q410" s="633"/>
      <c r="R410" s="633"/>
      <c r="S410" s="633"/>
      <c r="T410" s="633"/>
      <c r="U410" s="633"/>
      <c r="V410" s="633"/>
      <c r="W410" s="633"/>
      <c r="X410" s="633"/>
      <c r="Y410" s="633"/>
      <c r="Z410" s="633"/>
      <c r="AA410" s="612"/>
      <c r="AB410" s="612"/>
      <c r="AC410" s="612"/>
    </row>
    <row r="411" spans="1:68" ht="14.25" hidden="1" customHeight="1" x14ac:dyDescent="0.25">
      <c r="A411" s="636" t="s">
        <v>71</v>
      </c>
      <c r="B411" s="633"/>
      <c r="C411" s="633"/>
      <c r="D411" s="633"/>
      <c r="E411" s="633"/>
      <c r="F411" s="633"/>
      <c r="G411" s="633"/>
      <c r="H411" s="633"/>
      <c r="I411" s="633"/>
      <c r="J411" s="633"/>
      <c r="K411" s="633"/>
      <c r="L411" s="633"/>
      <c r="M411" s="633"/>
      <c r="N411" s="633"/>
      <c r="O411" s="633"/>
      <c r="P411" s="633"/>
      <c r="Q411" s="633"/>
      <c r="R411" s="633"/>
      <c r="S411" s="633"/>
      <c r="T411" s="633"/>
      <c r="U411" s="633"/>
      <c r="V411" s="633"/>
      <c r="W411" s="633"/>
      <c r="X411" s="633"/>
      <c r="Y411" s="633"/>
      <c r="Z411" s="633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30">
        <v>4607091387919</v>
      </c>
      <c r="E412" s="631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2"/>
      <c r="R412" s="622"/>
      <c r="S412" s="622"/>
      <c r="T412" s="623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30">
        <v>4680115883604</v>
      </c>
      <c r="E413" s="631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6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2"/>
      <c r="R413" s="622"/>
      <c r="S413" s="622"/>
      <c r="T413" s="623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670</v>
      </c>
      <c r="B414" s="54" t="s">
        <v>671</v>
      </c>
      <c r="C414" s="31">
        <v>4301051864</v>
      </c>
      <c r="D414" s="630">
        <v>4680115883567</v>
      </c>
      <c r="E414" s="631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2"/>
      <c r="R414" s="622"/>
      <c r="S414" s="622"/>
      <c r="T414" s="623"/>
      <c r="U414" s="34"/>
      <c r="V414" s="34"/>
      <c r="W414" s="35" t="s">
        <v>67</v>
      </c>
      <c r="X414" s="617">
        <v>0</v>
      </c>
      <c r="Y414" s="618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632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7" t="s">
        <v>69</v>
      </c>
      <c r="Q415" s="638"/>
      <c r="R415" s="638"/>
      <c r="S415" s="638"/>
      <c r="T415" s="638"/>
      <c r="U415" s="638"/>
      <c r="V415" s="639"/>
      <c r="W415" s="37" t="s">
        <v>70</v>
      </c>
      <c r="X415" s="619">
        <f>IFERROR(X412/H412,"0")+IFERROR(X413/H413,"0")+IFERROR(X414/H414,"0")</f>
        <v>0</v>
      </c>
      <c r="Y415" s="619">
        <f>IFERROR(Y412/H412,"0")+IFERROR(Y413/H413,"0")+IFERROR(Y414/H414,"0")</f>
        <v>0</v>
      </c>
      <c r="Z415" s="619">
        <f>IFERROR(IF(Z412="",0,Z412),"0")+IFERROR(IF(Z413="",0,Z413),"0")+IFERROR(IF(Z414="",0,Z414),"0")</f>
        <v>0</v>
      </c>
      <c r="AA415" s="620"/>
      <c r="AB415" s="620"/>
      <c r="AC415" s="620"/>
    </row>
    <row r="416" spans="1:68" hidden="1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7" t="s">
        <v>69</v>
      </c>
      <c r="Q416" s="638"/>
      <c r="R416" s="638"/>
      <c r="S416" s="638"/>
      <c r="T416" s="638"/>
      <c r="U416" s="638"/>
      <c r="V416" s="639"/>
      <c r="W416" s="37" t="s">
        <v>67</v>
      </c>
      <c r="X416" s="619">
        <f>IFERROR(SUM(X412:X414),"0")</f>
        <v>0</v>
      </c>
      <c r="Y416" s="619">
        <f>IFERROR(SUM(Y412:Y414),"0")</f>
        <v>0</v>
      </c>
      <c r="Z416" s="37"/>
      <c r="AA416" s="620"/>
      <c r="AB416" s="620"/>
      <c r="AC416" s="620"/>
    </row>
    <row r="417" spans="1:68" ht="27.75" hidden="1" customHeight="1" x14ac:dyDescent="0.2">
      <c r="A417" s="788" t="s">
        <v>673</v>
      </c>
      <c r="B417" s="789"/>
      <c r="C417" s="789"/>
      <c r="D417" s="789"/>
      <c r="E417" s="789"/>
      <c r="F417" s="789"/>
      <c r="G417" s="789"/>
      <c r="H417" s="789"/>
      <c r="I417" s="789"/>
      <c r="J417" s="789"/>
      <c r="K417" s="789"/>
      <c r="L417" s="789"/>
      <c r="M417" s="789"/>
      <c r="N417" s="789"/>
      <c r="O417" s="789"/>
      <c r="P417" s="789"/>
      <c r="Q417" s="789"/>
      <c r="R417" s="789"/>
      <c r="S417" s="789"/>
      <c r="T417" s="789"/>
      <c r="U417" s="789"/>
      <c r="V417" s="789"/>
      <c r="W417" s="789"/>
      <c r="X417" s="789"/>
      <c r="Y417" s="789"/>
      <c r="Z417" s="789"/>
      <c r="AA417" s="48"/>
      <c r="AB417" s="48"/>
      <c r="AC417" s="48"/>
    </row>
    <row r="418" spans="1:68" ht="16.5" hidden="1" customHeight="1" x14ac:dyDescent="0.25">
      <c r="A418" s="640" t="s">
        <v>674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612"/>
      <c r="AB418" s="612"/>
      <c r="AC418" s="612"/>
    </row>
    <row r="419" spans="1:68" ht="14.25" hidden="1" customHeight="1" x14ac:dyDescent="0.25">
      <c r="A419" s="636" t="s">
        <v>108</v>
      </c>
      <c r="B419" s="633"/>
      <c r="C419" s="633"/>
      <c r="D419" s="633"/>
      <c r="E419" s="633"/>
      <c r="F419" s="633"/>
      <c r="G419" s="633"/>
      <c r="H419" s="633"/>
      <c r="I419" s="633"/>
      <c r="J419" s="633"/>
      <c r="K419" s="633"/>
      <c r="L419" s="633"/>
      <c r="M419" s="633"/>
      <c r="N419" s="633"/>
      <c r="O419" s="633"/>
      <c r="P419" s="633"/>
      <c r="Q419" s="633"/>
      <c r="R419" s="633"/>
      <c r="S419" s="633"/>
      <c r="T419" s="633"/>
      <c r="U419" s="633"/>
      <c r="V419" s="633"/>
      <c r="W419" s="633"/>
      <c r="X419" s="633"/>
      <c r="Y419" s="633"/>
      <c r="Z419" s="633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30">
        <v>4680115888401</v>
      </c>
      <c r="E420" s="631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2"/>
      <c r="R420" s="622"/>
      <c r="S420" s="622"/>
      <c r="T420" s="623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customHeight="1" x14ac:dyDescent="0.25">
      <c r="A421" s="54" t="s">
        <v>678</v>
      </c>
      <c r="B421" s="54" t="s">
        <v>679</v>
      </c>
      <c r="C421" s="31">
        <v>4301011869</v>
      </c>
      <c r="D421" s="630">
        <v>4680115884847</v>
      </c>
      <c r="E421" s="631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94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2"/>
      <c r="R421" s="622"/>
      <c r="S421" s="622"/>
      <c r="T421" s="623"/>
      <c r="U421" s="34"/>
      <c r="V421" s="34"/>
      <c r="W421" s="35" t="s">
        <v>67</v>
      </c>
      <c r="X421" s="617">
        <v>723</v>
      </c>
      <c r="Y421" s="618">
        <f t="shared" si="61"/>
        <v>735</v>
      </c>
      <c r="Z421" s="36">
        <f>IFERROR(IF(Y421=0,"",ROUNDUP(Y421/H421,0)*0.02175),"")</f>
        <v>1.06575</v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745.65400000000011</v>
      </c>
      <c r="BN421" s="64">
        <f t="shared" si="63"/>
        <v>758.03000000000009</v>
      </c>
      <c r="BO421" s="64">
        <f t="shared" si="64"/>
        <v>1.0041666666666667</v>
      </c>
      <c r="BP421" s="64">
        <f t="shared" si="65"/>
        <v>1.0208333333333333</v>
      </c>
    </row>
    <row r="422" spans="1:68" ht="27" customHeight="1" x14ac:dyDescent="0.25">
      <c r="A422" s="54" t="s">
        <v>681</v>
      </c>
      <c r="B422" s="54" t="s">
        <v>682</v>
      </c>
      <c r="C422" s="31">
        <v>4301012083</v>
      </c>
      <c r="D422" s="630">
        <v>4680115884854</v>
      </c>
      <c r="E422" s="631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2"/>
      <c r="R422" s="622"/>
      <c r="S422" s="622"/>
      <c r="T422" s="623"/>
      <c r="U422" s="34"/>
      <c r="V422" s="34"/>
      <c r="W422" s="35" t="s">
        <v>67</v>
      </c>
      <c r="X422" s="617">
        <v>1943</v>
      </c>
      <c r="Y422" s="618">
        <f t="shared" si="61"/>
        <v>1950</v>
      </c>
      <c r="Z422" s="36">
        <f>IFERROR(IF(Y422=0,"",ROUNDUP(Y422/H422,0)*0.02175),"")</f>
        <v>2.8274999999999997</v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2003.8806666666669</v>
      </c>
      <c r="BN422" s="64">
        <f t="shared" si="63"/>
        <v>2011.1</v>
      </c>
      <c r="BO422" s="64">
        <f t="shared" si="64"/>
        <v>2.6986111111111111</v>
      </c>
      <c r="BP422" s="64">
        <f t="shared" si="65"/>
        <v>2.708333333333333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30">
        <v>4680115884830</v>
      </c>
      <c r="E423" s="631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30">
        <v>4680115889231</v>
      </c>
      <c r="E424" s="631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30">
        <v>4680115882638</v>
      </c>
      <c r="E425" s="631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2"/>
      <c r="R425" s="622"/>
      <c r="S425" s="622"/>
      <c r="T425" s="623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30">
        <v>4680115884922</v>
      </c>
      <c r="E426" s="631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2"/>
      <c r="R426" s="622"/>
      <c r="S426" s="622"/>
      <c r="T426" s="623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30">
        <v>4680115884861</v>
      </c>
      <c r="E427" s="631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8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2"/>
      <c r="R427" s="622"/>
      <c r="S427" s="622"/>
      <c r="T427" s="623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x14ac:dyDescent="0.2">
      <c r="A428" s="632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7" t="s">
        <v>69</v>
      </c>
      <c r="Q428" s="638"/>
      <c r="R428" s="638"/>
      <c r="S428" s="638"/>
      <c r="T428" s="638"/>
      <c r="U428" s="638"/>
      <c r="V428" s="639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177.73333333333335</v>
      </c>
      <c r="Y428" s="619">
        <f>IFERROR(Y420/H420,"0")+IFERROR(Y421/H421,"0")+IFERROR(Y422/H422,"0")+IFERROR(Y423/H423,"0")+IFERROR(Y424/H424,"0")+IFERROR(Y425/H425,"0")+IFERROR(Y426/H426,"0")+IFERROR(Y427/H427,"0")</f>
        <v>179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3.8932499999999997</v>
      </c>
      <c r="AA428" s="620"/>
      <c r="AB428" s="620"/>
      <c r="AC428" s="620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7" t="s">
        <v>69</v>
      </c>
      <c r="Q429" s="638"/>
      <c r="R429" s="638"/>
      <c r="S429" s="638"/>
      <c r="T429" s="638"/>
      <c r="U429" s="638"/>
      <c r="V429" s="639"/>
      <c r="W429" s="37" t="s">
        <v>67</v>
      </c>
      <c r="X429" s="619">
        <f>IFERROR(SUM(X420:X427),"0")</f>
        <v>2666</v>
      </c>
      <c r="Y429" s="619">
        <f>IFERROR(SUM(Y420:Y427),"0")</f>
        <v>2685</v>
      </c>
      <c r="Z429" s="37"/>
      <c r="AA429" s="620"/>
      <c r="AB429" s="620"/>
      <c r="AC429" s="620"/>
    </row>
    <row r="430" spans="1:68" ht="14.25" hidden="1" customHeight="1" x14ac:dyDescent="0.25">
      <c r="A430" s="636" t="s">
        <v>143</v>
      </c>
      <c r="B430" s="633"/>
      <c r="C430" s="633"/>
      <c r="D430" s="633"/>
      <c r="E430" s="633"/>
      <c r="F430" s="633"/>
      <c r="G430" s="633"/>
      <c r="H430" s="633"/>
      <c r="I430" s="633"/>
      <c r="J430" s="633"/>
      <c r="K430" s="633"/>
      <c r="L430" s="633"/>
      <c r="M430" s="633"/>
      <c r="N430" s="633"/>
      <c r="O430" s="633"/>
      <c r="P430" s="633"/>
      <c r="Q430" s="633"/>
      <c r="R430" s="633"/>
      <c r="S430" s="633"/>
      <c r="T430" s="633"/>
      <c r="U430" s="633"/>
      <c r="V430" s="633"/>
      <c r="W430" s="633"/>
      <c r="X430" s="633"/>
      <c r="Y430" s="633"/>
      <c r="Z430" s="633"/>
      <c r="AA430" s="613"/>
      <c r="AB430" s="613"/>
      <c r="AC430" s="613"/>
    </row>
    <row r="431" spans="1:68" ht="27" customHeight="1" x14ac:dyDescent="0.25">
      <c r="A431" s="54" t="s">
        <v>699</v>
      </c>
      <c r="B431" s="54" t="s">
        <v>700</v>
      </c>
      <c r="C431" s="31">
        <v>4301020178</v>
      </c>
      <c r="D431" s="630">
        <v>4607091383980</v>
      </c>
      <c r="E431" s="631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2"/>
      <c r="R431" s="622"/>
      <c r="S431" s="622"/>
      <c r="T431" s="623"/>
      <c r="U431" s="34"/>
      <c r="V431" s="34"/>
      <c r="W431" s="35" t="s">
        <v>67</v>
      </c>
      <c r="X431" s="617">
        <v>1648</v>
      </c>
      <c r="Y431" s="618">
        <f>IFERROR(IF(X431="",0,CEILING((X431/$H431),1)*$H431),"")</f>
        <v>1650</v>
      </c>
      <c r="Z431" s="36">
        <f>IFERROR(IF(Y431=0,"",ROUNDUP(Y431/H431,0)*0.02175),"")</f>
        <v>2.3924999999999996</v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1699.6373333333333</v>
      </c>
      <c r="BN431" s="64">
        <f>IFERROR(Y431*I431/H431,"0")</f>
        <v>1701.7</v>
      </c>
      <c r="BO431" s="64">
        <f>IFERROR(1/J431*(X431/H431),"0")</f>
        <v>2.2888888888888888</v>
      </c>
      <c r="BP431" s="64">
        <f>IFERROR(1/J431*(Y431/H431),"0")</f>
        <v>2.2916666666666665</v>
      </c>
    </row>
    <row r="432" spans="1:68" ht="27" customHeight="1" x14ac:dyDescent="0.25">
      <c r="A432" s="54" t="s">
        <v>702</v>
      </c>
      <c r="B432" s="54" t="s">
        <v>703</v>
      </c>
      <c r="C432" s="31">
        <v>4301020355</v>
      </c>
      <c r="D432" s="630">
        <v>4680115888425</v>
      </c>
      <c r="E432" s="631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2"/>
      <c r="R432" s="622"/>
      <c r="S432" s="622"/>
      <c r="T432" s="623"/>
      <c r="U432" s="34"/>
      <c r="V432" s="34"/>
      <c r="W432" s="35" t="s">
        <v>67</v>
      </c>
      <c r="X432" s="617">
        <v>34</v>
      </c>
      <c r="Y432" s="618">
        <f>IFERROR(IF(X432="",0,CEILING((X432/$H432),1)*$H432),"")</f>
        <v>45</v>
      </c>
      <c r="Z432" s="36">
        <f>IFERROR(IF(Y432=0,"",ROUNDUP(Y432/H432,0)*0.02175),"")</f>
        <v>6.5250000000000002E-2</v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35.065333333333335</v>
      </c>
      <c r="BN432" s="64">
        <f>IFERROR(Y432*I432/H432,"0")</f>
        <v>46.41</v>
      </c>
      <c r="BO432" s="64">
        <f>IFERROR(1/J432*(X432/H432),"0")</f>
        <v>4.7222222222222221E-2</v>
      </c>
      <c r="BP432" s="64">
        <f>IFERROR(1/J432*(Y432/H432),"0")</f>
        <v>6.25E-2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30">
        <v>4607091384178</v>
      </c>
      <c r="E433" s="631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2"/>
      <c r="R433" s="622"/>
      <c r="S433" s="622"/>
      <c r="T433" s="623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x14ac:dyDescent="0.2">
      <c r="A434" s="632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7" t="s">
        <v>69</v>
      </c>
      <c r="Q434" s="638"/>
      <c r="R434" s="638"/>
      <c r="S434" s="638"/>
      <c r="T434" s="638"/>
      <c r="U434" s="638"/>
      <c r="V434" s="639"/>
      <c r="W434" s="37" t="s">
        <v>70</v>
      </c>
      <c r="X434" s="619">
        <f>IFERROR(X431/H431,"0")+IFERROR(X432/H432,"0")+IFERROR(X433/H433,"0")</f>
        <v>112.13333333333333</v>
      </c>
      <c r="Y434" s="619">
        <f>IFERROR(Y431/H431,"0")+IFERROR(Y432/H432,"0")+IFERROR(Y433/H433,"0")</f>
        <v>113</v>
      </c>
      <c r="Z434" s="619">
        <f>IFERROR(IF(Z431="",0,Z431),"0")+IFERROR(IF(Z432="",0,Z432),"0")+IFERROR(IF(Z433="",0,Z433),"0")</f>
        <v>2.4577499999999994</v>
      </c>
      <c r="AA434" s="620"/>
      <c r="AB434" s="620"/>
      <c r="AC434" s="620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7" t="s">
        <v>69</v>
      </c>
      <c r="Q435" s="638"/>
      <c r="R435" s="638"/>
      <c r="S435" s="638"/>
      <c r="T435" s="638"/>
      <c r="U435" s="638"/>
      <c r="V435" s="639"/>
      <c r="W435" s="37" t="s">
        <v>67</v>
      </c>
      <c r="X435" s="619">
        <f>IFERROR(SUM(X431:X433),"0")</f>
        <v>1682</v>
      </c>
      <c r="Y435" s="619">
        <f>IFERROR(SUM(Y431:Y433),"0")</f>
        <v>1695</v>
      </c>
      <c r="Z435" s="37"/>
      <c r="AA435" s="620"/>
      <c r="AB435" s="620"/>
      <c r="AC435" s="620"/>
    </row>
    <row r="436" spans="1:68" ht="14.25" hidden="1" customHeight="1" x14ac:dyDescent="0.25">
      <c r="A436" s="636" t="s">
        <v>71</v>
      </c>
      <c r="B436" s="633"/>
      <c r="C436" s="633"/>
      <c r="D436" s="633"/>
      <c r="E436" s="633"/>
      <c r="F436" s="633"/>
      <c r="G436" s="633"/>
      <c r="H436" s="633"/>
      <c r="I436" s="633"/>
      <c r="J436" s="633"/>
      <c r="K436" s="633"/>
      <c r="L436" s="633"/>
      <c r="M436" s="633"/>
      <c r="N436" s="633"/>
      <c r="O436" s="633"/>
      <c r="P436" s="633"/>
      <c r="Q436" s="633"/>
      <c r="R436" s="633"/>
      <c r="S436" s="633"/>
      <c r="T436" s="633"/>
      <c r="U436" s="633"/>
      <c r="V436" s="633"/>
      <c r="W436" s="633"/>
      <c r="X436" s="633"/>
      <c r="Y436" s="633"/>
      <c r="Z436" s="633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30">
        <v>4607091383928</v>
      </c>
      <c r="E437" s="631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2"/>
      <c r="R437" s="622"/>
      <c r="S437" s="622"/>
      <c r="T437" s="623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30">
        <v>4607091384260</v>
      </c>
      <c r="E438" s="631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2"/>
      <c r="R438" s="622"/>
      <c r="S438" s="622"/>
      <c r="T438" s="623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30">
        <v>4680115889538</v>
      </c>
      <c r="E439" s="631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2"/>
      <c r="R439" s="622"/>
      <c r="S439" s="622"/>
      <c r="T439" s="623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2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7" t="s">
        <v>69</v>
      </c>
      <c r="Q440" s="638"/>
      <c r="R440" s="638"/>
      <c r="S440" s="638"/>
      <c r="T440" s="638"/>
      <c r="U440" s="638"/>
      <c r="V440" s="639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7" t="s">
        <v>69</v>
      </c>
      <c r="Q441" s="638"/>
      <c r="R441" s="638"/>
      <c r="S441" s="638"/>
      <c r="T441" s="638"/>
      <c r="U441" s="638"/>
      <c r="V441" s="639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6" t="s">
        <v>161</v>
      </c>
      <c r="B442" s="633"/>
      <c r="C442" s="633"/>
      <c r="D442" s="633"/>
      <c r="E442" s="633"/>
      <c r="F442" s="633"/>
      <c r="G442" s="633"/>
      <c r="H442" s="633"/>
      <c r="I442" s="633"/>
      <c r="J442" s="633"/>
      <c r="K442" s="633"/>
      <c r="L442" s="633"/>
      <c r="M442" s="633"/>
      <c r="N442" s="633"/>
      <c r="O442" s="633"/>
      <c r="P442" s="633"/>
      <c r="Q442" s="633"/>
      <c r="R442" s="633"/>
      <c r="S442" s="633"/>
      <c r="T442" s="633"/>
      <c r="U442" s="633"/>
      <c r="V442" s="633"/>
      <c r="W442" s="633"/>
      <c r="X442" s="633"/>
      <c r="Y442" s="633"/>
      <c r="Z442" s="633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30">
        <v>4680115889545</v>
      </c>
      <c r="E443" s="631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7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2"/>
      <c r="R443" s="622"/>
      <c r="S443" s="622"/>
      <c r="T443" s="623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30">
        <v>4607091384673</v>
      </c>
      <c r="E444" s="631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2"/>
      <c r="R444" s="622"/>
      <c r="S444" s="622"/>
      <c r="T444" s="623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2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7" t="s">
        <v>69</v>
      </c>
      <c r="Q445" s="638"/>
      <c r="R445" s="638"/>
      <c r="S445" s="638"/>
      <c r="T445" s="638"/>
      <c r="U445" s="638"/>
      <c r="V445" s="639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7" t="s">
        <v>69</v>
      </c>
      <c r="Q446" s="638"/>
      <c r="R446" s="638"/>
      <c r="S446" s="638"/>
      <c r="T446" s="638"/>
      <c r="U446" s="638"/>
      <c r="V446" s="639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40" t="s">
        <v>723</v>
      </c>
      <c r="B447" s="633"/>
      <c r="C447" s="633"/>
      <c r="D447" s="633"/>
      <c r="E447" s="633"/>
      <c r="F447" s="633"/>
      <c r="G447" s="633"/>
      <c r="H447" s="633"/>
      <c r="I447" s="633"/>
      <c r="J447" s="633"/>
      <c r="K447" s="633"/>
      <c r="L447" s="633"/>
      <c r="M447" s="633"/>
      <c r="N447" s="633"/>
      <c r="O447" s="633"/>
      <c r="P447" s="633"/>
      <c r="Q447" s="633"/>
      <c r="R447" s="633"/>
      <c r="S447" s="633"/>
      <c r="T447" s="633"/>
      <c r="U447" s="633"/>
      <c r="V447" s="633"/>
      <c r="W447" s="633"/>
      <c r="X447" s="633"/>
      <c r="Y447" s="633"/>
      <c r="Z447" s="633"/>
      <c r="AA447" s="612"/>
      <c r="AB447" s="612"/>
      <c r="AC447" s="612"/>
    </row>
    <row r="448" spans="1:68" ht="14.25" hidden="1" customHeight="1" x14ac:dyDescent="0.25">
      <c r="A448" s="636" t="s">
        <v>108</v>
      </c>
      <c r="B448" s="633"/>
      <c r="C448" s="633"/>
      <c r="D448" s="633"/>
      <c r="E448" s="633"/>
      <c r="F448" s="633"/>
      <c r="G448" s="633"/>
      <c r="H448" s="633"/>
      <c r="I448" s="633"/>
      <c r="J448" s="633"/>
      <c r="K448" s="633"/>
      <c r="L448" s="633"/>
      <c r="M448" s="633"/>
      <c r="N448" s="633"/>
      <c r="O448" s="633"/>
      <c r="P448" s="633"/>
      <c r="Q448" s="633"/>
      <c r="R448" s="633"/>
      <c r="S448" s="633"/>
      <c r="T448" s="633"/>
      <c r="U448" s="633"/>
      <c r="V448" s="633"/>
      <c r="W448" s="633"/>
      <c r="X448" s="633"/>
      <c r="Y448" s="633"/>
      <c r="Z448" s="633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30">
        <v>4680115884885</v>
      </c>
      <c r="E449" s="631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2"/>
      <c r="R449" s="622"/>
      <c r="S449" s="622"/>
      <c r="T449" s="623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30">
        <v>4680115884908</v>
      </c>
      <c r="E450" s="631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2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7" t="s">
        <v>69</v>
      </c>
      <c r="Q451" s="638"/>
      <c r="R451" s="638"/>
      <c r="S451" s="638"/>
      <c r="T451" s="638"/>
      <c r="U451" s="638"/>
      <c r="V451" s="639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7" t="s">
        <v>69</v>
      </c>
      <c r="Q452" s="638"/>
      <c r="R452" s="638"/>
      <c r="S452" s="638"/>
      <c r="T452" s="638"/>
      <c r="U452" s="638"/>
      <c r="V452" s="639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6" t="s">
        <v>62</v>
      </c>
      <c r="B453" s="633"/>
      <c r="C453" s="633"/>
      <c r="D453" s="633"/>
      <c r="E453" s="633"/>
      <c r="F453" s="633"/>
      <c r="G453" s="633"/>
      <c r="H453" s="633"/>
      <c r="I453" s="633"/>
      <c r="J453" s="633"/>
      <c r="K453" s="633"/>
      <c r="L453" s="633"/>
      <c r="M453" s="633"/>
      <c r="N453" s="633"/>
      <c r="O453" s="633"/>
      <c r="P453" s="633"/>
      <c r="Q453" s="633"/>
      <c r="R453" s="633"/>
      <c r="S453" s="633"/>
      <c r="T453" s="633"/>
      <c r="U453" s="633"/>
      <c r="V453" s="633"/>
      <c r="W453" s="633"/>
      <c r="X453" s="633"/>
      <c r="Y453" s="633"/>
      <c r="Z453" s="633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30">
        <v>4607091384802</v>
      </c>
      <c r="E454" s="631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4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2"/>
      <c r="R454" s="622"/>
      <c r="S454" s="622"/>
      <c r="T454" s="623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2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7" t="s">
        <v>69</v>
      </c>
      <c r="Q455" s="638"/>
      <c r="R455" s="638"/>
      <c r="S455" s="638"/>
      <c r="T455" s="638"/>
      <c r="U455" s="638"/>
      <c r="V455" s="639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7" t="s">
        <v>69</v>
      </c>
      <c r="Q456" s="638"/>
      <c r="R456" s="638"/>
      <c r="S456" s="638"/>
      <c r="T456" s="638"/>
      <c r="U456" s="638"/>
      <c r="V456" s="639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6" t="s">
        <v>71</v>
      </c>
      <c r="B457" s="633"/>
      <c r="C457" s="633"/>
      <c r="D457" s="633"/>
      <c r="E457" s="633"/>
      <c r="F457" s="633"/>
      <c r="G457" s="633"/>
      <c r="H457" s="633"/>
      <c r="I457" s="633"/>
      <c r="J457" s="633"/>
      <c r="K457" s="633"/>
      <c r="L457" s="633"/>
      <c r="M457" s="633"/>
      <c r="N457" s="633"/>
      <c r="O457" s="633"/>
      <c r="P457" s="633"/>
      <c r="Q457" s="633"/>
      <c r="R457" s="633"/>
      <c r="S457" s="633"/>
      <c r="T457" s="633"/>
      <c r="U457" s="633"/>
      <c r="V457" s="633"/>
      <c r="W457" s="633"/>
      <c r="X457" s="633"/>
      <c r="Y457" s="633"/>
      <c r="Z457" s="633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30">
        <v>4607091384246</v>
      </c>
      <c r="E458" s="631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2"/>
      <c r="R458" s="622"/>
      <c r="S458" s="622"/>
      <c r="T458" s="623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735</v>
      </c>
      <c r="B459" s="54" t="s">
        <v>736</v>
      </c>
      <c r="C459" s="31">
        <v>4301051660</v>
      </c>
      <c r="D459" s="630">
        <v>4607091384253</v>
      </c>
      <c r="E459" s="631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3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2"/>
      <c r="R459" s="622"/>
      <c r="S459" s="622"/>
      <c r="T459" s="623"/>
      <c r="U459" s="34"/>
      <c r="V459" s="34"/>
      <c r="W459" s="35" t="s">
        <v>67</v>
      </c>
      <c r="X459" s="617">
        <v>0</v>
      </c>
      <c r="Y459" s="618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30">
        <v>4607091384253</v>
      </c>
      <c r="E460" s="631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2"/>
      <c r="R460" s="622"/>
      <c r="S460" s="622"/>
      <c r="T460" s="623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32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7" t="s">
        <v>69</v>
      </c>
      <c r="Q461" s="638"/>
      <c r="R461" s="638"/>
      <c r="S461" s="638"/>
      <c r="T461" s="638"/>
      <c r="U461" s="638"/>
      <c r="V461" s="639"/>
      <c r="W461" s="37" t="s">
        <v>70</v>
      </c>
      <c r="X461" s="619">
        <f>IFERROR(X458/H458,"0")+IFERROR(X459/H459,"0")+IFERROR(X460/H460,"0")</f>
        <v>0</v>
      </c>
      <c r="Y461" s="619">
        <f>IFERROR(Y458/H458,"0")+IFERROR(Y459/H459,"0")+IFERROR(Y460/H460,"0")</f>
        <v>0</v>
      </c>
      <c r="Z461" s="619">
        <f>IFERROR(IF(Z458="",0,Z458),"0")+IFERROR(IF(Z459="",0,Z459),"0")+IFERROR(IF(Z460="",0,Z460),"0")</f>
        <v>0</v>
      </c>
      <c r="AA461" s="620"/>
      <c r="AB461" s="620"/>
      <c r="AC461" s="620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7" t="s">
        <v>69</v>
      </c>
      <c r="Q462" s="638"/>
      <c r="R462" s="638"/>
      <c r="S462" s="638"/>
      <c r="T462" s="638"/>
      <c r="U462" s="638"/>
      <c r="V462" s="639"/>
      <c r="W462" s="37" t="s">
        <v>67</v>
      </c>
      <c r="X462" s="619">
        <f>IFERROR(SUM(X458:X460),"0")</f>
        <v>0</v>
      </c>
      <c r="Y462" s="619">
        <f>IFERROR(SUM(Y458:Y460),"0")</f>
        <v>0</v>
      </c>
      <c r="Z462" s="37"/>
      <c r="AA462" s="620"/>
      <c r="AB462" s="620"/>
      <c r="AC462" s="620"/>
    </row>
    <row r="463" spans="1:68" ht="27.75" hidden="1" customHeight="1" x14ac:dyDescent="0.2">
      <c r="A463" s="788" t="s">
        <v>739</v>
      </c>
      <c r="B463" s="789"/>
      <c r="C463" s="789"/>
      <c r="D463" s="789"/>
      <c r="E463" s="789"/>
      <c r="F463" s="789"/>
      <c r="G463" s="789"/>
      <c r="H463" s="789"/>
      <c r="I463" s="789"/>
      <c r="J463" s="789"/>
      <c r="K463" s="789"/>
      <c r="L463" s="789"/>
      <c r="M463" s="789"/>
      <c r="N463" s="789"/>
      <c r="O463" s="789"/>
      <c r="P463" s="789"/>
      <c r="Q463" s="789"/>
      <c r="R463" s="789"/>
      <c r="S463" s="789"/>
      <c r="T463" s="789"/>
      <c r="U463" s="789"/>
      <c r="V463" s="789"/>
      <c r="W463" s="789"/>
      <c r="X463" s="789"/>
      <c r="Y463" s="789"/>
      <c r="Z463" s="789"/>
      <c r="AA463" s="48"/>
      <c r="AB463" s="48"/>
      <c r="AC463" s="48"/>
    </row>
    <row r="464" spans="1:68" ht="16.5" hidden="1" customHeight="1" x14ac:dyDescent="0.25">
      <c r="A464" s="640" t="s">
        <v>740</v>
      </c>
      <c r="B464" s="633"/>
      <c r="C464" s="633"/>
      <c r="D464" s="633"/>
      <c r="E464" s="633"/>
      <c r="F464" s="633"/>
      <c r="G464" s="633"/>
      <c r="H464" s="633"/>
      <c r="I464" s="633"/>
      <c r="J464" s="633"/>
      <c r="K464" s="633"/>
      <c r="L464" s="633"/>
      <c r="M464" s="633"/>
      <c r="N464" s="633"/>
      <c r="O464" s="633"/>
      <c r="P464" s="633"/>
      <c r="Q464" s="633"/>
      <c r="R464" s="633"/>
      <c r="S464" s="633"/>
      <c r="T464" s="633"/>
      <c r="U464" s="633"/>
      <c r="V464" s="633"/>
      <c r="W464" s="633"/>
      <c r="X464" s="633"/>
      <c r="Y464" s="633"/>
      <c r="Z464" s="633"/>
      <c r="AA464" s="612"/>
      <c r="AB464" s="612"/>
      <c r="AC464" s="612"/>
    </row>
    <row r="465" spans="1:68" ht="14.25" hidden="1" customHeight="1" x14ac:dyDescent="0.25">
      <c r="A465" s="636" t="s">
        <v>62</v>
      </c>
      <c r="B465" s="633"/>
      <c r="C465" s="633"/>
      <c r="D465" s="633"/>
      <c r="E465" s="633"/>
      <c r="F465" s="633"/>
      <c r="G465" s="633"/>
      <c r="H465" s="633"/>
      <c r="I465" s="633"/>
      <c r="J465" s="633"/>
      <c r="K465" s="633"/>
      <c r="L465" s="633"/>
      <c r="M465" s="633"/>
      <c r="N465" s="633"/>
      <c r="O465" s="633"/>
      <c r="P465" s="633"/>
      <c r="Q465" s="633"/>
      <c r="R465" s="633"/>
      <c r="S465" s="633"/>
      <c r="T465" s="633"/>
      <c r="U465" s="633"/>
      <c r="V465" s="633"/>
      <c r="W465" s="633"/>
      <c r="X465" s="633"/>
      <c r="Y465" s="633"/>
      <c r="Z465" s="633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30">
        <v>4680115886100</v>
      </c>
      <c r="E466" s="631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71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2"/>
      <c r="R466" s="622"/>
      <c r="S466" s="622"/>
      <c r="T466" s="623"/>
      <c r="U466" s="34"/>
      <c r="V466" s="34"/>
      <c r="W466" s="35" t="s">
        <v>67</v>
      </c>
      <c r="X466" s="617">
        <v>249</v>
      </c>
      <c r="Y466" s="618">
        <f t="shared" ref="Y466:Y471" si="66">IFERROR(IF(X466="",0,CEILING((X466/$H466),1)*$H466),"")</f>
        <v>253.8</v>
      </c>
      <c r="Z466" s="36">
        <f>IFERROR(IF(Y466=0,"",ROUNDUP(Y466/H466,0)*0.00902),"")</f>
        <v>0.42393999999999998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257.76111111111106</v>
      </c>
      <c r="BN466" s="64">
        <f t="shared" ref="BN466:BN471" si="68">IFERROR(Y466*I466/H466,"0")</f>
        <v>262.72999999999996</v>
      </c>
      <c r="BO466" s="64">
        <f t="shared" ref="BO466:BO471" si="69">IFERROR(1/J466*(X466/H466),"0")</f>
        <v>0.34932659932659932</v>
      </c>
      <c r="BP466" s="64">
        <f t="shared" ref="BP466:BP471" si="70">IFERROR(1/J466*(Y466/H466),"0")</f>
        <v>0.35606060606060608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30">
        <v>4680115886124</v>
      </c>
      <c r="E467" s="631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2"/>
      <c r="R467" s="622"/>
      <c r="S467" s="622"/>
      <c r="T467" s="623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30">
        <v>4607091384338</v>
      </c>
      <c r="E468" s="631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30">
        <v>4680115883161</v>
      </c>
      <c r="E469" s="631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2"/>
      <c r="R469" s="622"/>
      <c r="S469" s="622"/>
      <c r="T469" s="623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30">
        <v>4607091389531</v>
      </c>
      <c r="E470" s="631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2"/>
      <c r="R470" s="622"/>
      <c r="S470" s="622"/>
      <c r="T470" s="623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30">
        <v>4607091384345</v>
      </c>
      <c r="E471" s="631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0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2"/>
      <c r="R471" s="622"/>
      <c r="S471" s="622"/>
      <c r="T471" s="623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2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7" t="s">
        <v>69</v>
      </c>
      <c r="Q472" s="638"/>
      <c r="R472" s="638"/>
      <c r="S472" s="638"/>
      <c r="T472" s="638"/>
      <c r="U472" s="638"/>
      <c r="V472" s="639"/>
      <c r="W472" s="37" t="s">
        <v>70</v>
      </c>
      <c r="X472" s="619">
        <f>IFERROR(X466/H466,"0")+IFERROR(X467/H467,"0")+IFERROR(X468/H468,"0")+IFERROR(X469/H469,"0")+IFERROR(X470/H470,"0")+IFERROR(X471/H471,"0")</f>
        <v>46.111111111111107</v>
      </c>
      <c r="Y472" s="619">
        <f>IFERROR(Y466/H466,"0")+IFERROR(Y467/H467,"0")+IFERROR(Y468/H468,"0")+IFERROR(Y469/H469,"0")+IFERROR(Y470/H470,"0")+IFERROR(Y471/H471,"0")</f>
        <v>47</v>
      </c>
      <c r="Z472" s="619">
        <f>IFERROR(IF(Z466="",0,Z466),"0")+IFERROR(IF(Z467="",0,Z467),"0")+IFERROR(IF(Z468="",0,Z468),"0")+IFERROR(IF(Z469="",0,Z469),"0")+IFERROR(IF(Z470="",0,Z470),"0")+IFERROR(IF(Z471="",0,Z471),"0")</f>
        <v>0.42393999999999998</v>
      </c>
      <c r="AA472" s="620"/>
      <c r="AB472" s="620"/>
      <c r="AC472" s="620"/>
    </row>
    <row r="473" spans="1:68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7" t="s">
        <v>69</v>
      </c>
      <c r="Q473" s="638"/>
      <c r="R473" s="638"/>
      <c r="S473" s="638"/>
      <c r="T473" s="638"/>
      <c r="U473" s="638"/>
      <c r="V473" s="639"/>
      <c r="W473" s="37" t="s">
        <v>67</v>
      </c>
      <c r="X473" s="619">
        <f>IFERROR(SUM(X466:X471),"0")</f>
        <v>249</v>
      </c>
      <c r="Y473" s="619">
        <f>IFERROR(SUM(Y466:Y471),"0")</f>
        <v>253.8</v>
      </c>
      <c r="Z473" s="37"/>
      <c r="AA473" s="620"/>
      <c r="AB473" s="620"/>
      <c r="AC473" s="620"/>
    </row>
    <row r="474" spans="1:68" ht="14.25" hidden="1" customHeight="1" x14ac:dyDescent="0.25">
      <c r="A474" s="636" t="s">
        <v>71</v>
      </c>
      <c r="B474" s="633"/>
      <c r="C474" s="633"/>
      <c r="D474" s="633"/>
      <c r="E474" s="633"/>
      <c r="F474" s="633"/>
      <c r="G474" s="633"/>
      <c r="H474" s="633"/>
      <c r="I474" s="633"/>
      <c r="J474" s="633"/>
      <c r="K474" s="633"/>
      <c r="L474" s="633"/>
      <c r="M474" s="633"/>
      <c r="N474" s="633"/>
      <c r="O474" s="633"/>
      <c r="P474" s="633"/>
      <c r="Q474" s="633"/>
      <c r="R474" s="633"/>
      <c r="S474" s="633"/>
      <c r="T474" s="633"/>
      <c r="U474" s="633"/>
      <c r="V474" s="633"/>
      <c r="W474" s="633"/>
      <c r="X474" s="633"/>
      <c r="Y474" s="633"/>
      <c r="Z474" s="633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30">
        <v>4607091384352</v>
      </c>
      <c r="E475" s="631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2"/>
      <c r="R475" s="622"/>
      <c r="S475" s="622"/>
      <c r="T475" s="623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2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7" t="s">
        <v>69</v>
      </c>
      <c r="Q476" s="638"/>
      <c r="R476" s="638"/>
      <c r="S476" s="638"/>
      <c r="T476" s="638"/>
      <c r="U476" s="638"/>
      <c r="V476" s="639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7" t="s">
        <v>69</v>
      </c>
      <c r="Q477" s="638"/>
      <c r="R477" s="638"/>
      <c r="S477" s="638"/>
      <c r="T477" s="638"/>
      <c r="U477" s="638"/>
      <c r="V477" s="639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40" t="s">
        <v>760</v>
      </c>
      <c r="B478" s="633"/>
      <c r="C478" s="633"/>
      <c r="D478" s="633"/>
      <c r="E478" s="633"/>
      <c r="F478" s="633"/>
      <c r="G478" s="633"/>
      <c r="H478" s="633"/>
      <c r="I478" s="633"/>
      <c r="J478" s="633"/>
      <c r="K478" s="633"/>
      <c r="L478" s="633"/>
      <c r="M478" s="633"/>
      <c r="N478" s="633"/>
      <c r="O478" s="633"/>
      <c r="P478" s="633"/>
      <c r="Q478" s="633"/>
      <c r="R478" s="633"/>
      <c r="S478" s="633"/>
      <c r="T478" s="633"/>
      <c r="U478" s="633"/>
      <c r="V478" s="633"/>
      <c r="W478" s="633"/>
      <c r="X478" s="633"/>
      <c r="Y478" s="633"/>
      <c r="Z478" s="633"/>
      <c r="AA478" s="612"/>
      <c r="AB478" s="612"/>
      <c r="AC478" s="612"/>
    </row>
    <row r="479" spans="1:68" ht="14.25" hidden="1" customHeight="1" x14ac:dyDescent="0.25">
      <c r="A479" s="636" t="s">
        <v>143</v>
      </c>
      <c r="B479" s="633"/>
      <c r="C479" s="633"/>
      <c r="D479" s="633"/>
      <c r="E479" s="633"/>
      <c r="F479" s="633"/>
      <c r="G479" s="633"/>
      <c r="H479" s="633"/>
      <c r="I479" s="633"/>
      <c r="J479" s="633"/>
      <c r="K479" s="633"/>
      <c r="L479" s="633"/>
      <c r="M479" s="633"/>
      <c r="N479" s="633"/>
      <c r="O479" s="633"/>
      <c r="P479" s="633"/>
      <c r="Q479" s="633"/>
      <c r="R479" s="633"/>
      <c r="S479" s="633"/>
      <c r="T479" s="633"/>
      <c r="U479" s="633"/>
      <c r="V479" s="633"/>
      <c r="W479" s="633"/>
      <c r="X479" s="633"/>
      <c r="Y479" s="633"/>
      <c r="Z479" s="633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30">
        <v>4680115885240</v>
      </c>
      <c r="E480" s="631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5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2"/>
      <c r="R480" s="622"/>
      <c r="S480" s="622"/>
      <c r="T480" s="623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2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7" t="s">
        <v>69</v>
      </c>
      <c r="Q481" s="638"/>
      <c r="R481" s="638"/>
      <c r="S481" s="638"/>
      <c r="T481" s="638"/>
      <c r="U481" s="638"/>
      <c r="V481" s="639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7" t="s">
        <v>69</v>
      </c>
      <c r="Q482" s="638"/>
      <c r="R482" s="638"/>
      <c r="S482" s="638"/>
      <c r="T482" s="638"/>
      <c r="U482" s="638"/>
      <c r="V482" s="639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6" t="s">
        <v>62</v>
      </c>
      <c r="B483" s="633"/>
      <c r="C483" s="633"/>
      <c r="D483" s="633"/>
      <c r="E483" s="633"/>
      <c r="F483" s="633"/>
      <c r="G483" s="633"/>
      <c r="H483" s="633"/>
      <c r="I483" s="633"/>
      <c r="J483" s="633"/>
      <c r="K483" s="633"/>
      <c r="L483" s="633"/>
      <c r="M483" s="633"/>
      <c r="N483" s="633"/>
      <c r="O483" s="633"/>
      <c r="P483" s="633"/>
      <c r="Q483" s="633"/>
      <c r="R483" s="633"/>
      <c r="S483" s="633"/>
      <c r="T483" s="633"/>
      <c r="U483" s="633"/>
      <c r="V483" s="633"/>
      <c r="W483" s="633"/>
      <c r="X483" s="633"/>
      <c r="Y483" s="633"/>
      <c r="Z483" s="633"/>
      <c r="AA483" s="613"/>
      <c r="AB483" s="613"/>
      <c r="AC483" s="613"/>
    </row>
    <row r="484" spans="1:68" ht="27" customHeight="1" x14ac:dyDescent="0.25">
      <c r="A484" s="54" t="s">
        <v>764</v>
      </c>
      <c r="B484" s="54" t="s">
        <v>765</v>
      </c>
      <c r="C484" s="31">
        <v>4301031407</v>
      </c>
      <c r="D484" s="630">
        <v>4680115886094</v>
      </c>
      <c r="E484" s="631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2"/>
      <c r="R484" s="622"/>
      <c r="S484" s="622"/>
      <c r="T484" s="623"/>
      <c r="U484" s="34"/>
      <c r="V484" s="34"/>
      <c r="W484" s="35" t="s">
        <v>67</v>
      </c>
      <c r="X484" s="617">
        <v>189</v>
      </c>
      <c r="Y484" s="618">
        <f>IFERROR(IF(X484="",0,CEILING((X484/$H484),1)*$H484),"")</f>
        <v>189</v>
      </c>
      <c r="Z484" s="36">
        <f>IFERROR(IF(Y484=0,"",ROUNDUP(Y484/H484,0)*0.00902),"")</f>
        <v>0.31569999999999998</v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195.64999999999998</v>
      </c>
      <c r="BN484" s="64">
        <f>IFERROR(Y484*I484/H484,"0")</f>
        <v>195.64999999999998</v>
      </c>
      <c r="BO484" s="64">
        <f>IFERROR(1/J484*(X484/H484),"0")</f>
        <v>0.26515151515151514</v>
      </c>
      <c r="BP484" s="64">
        <f>IFERROR(1/J484*(Y484/H484),"0")</f>
        <v>0.26515151515151514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30">
        <v>4680115880771</v>
      </c>
      <c r="E485" s="631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5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2"/>
      <c r="R485" s="622"/>
      <c r="S485" s="622"/>
      <c r="T485" s="623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30">
        <v>4607091389500</v>
      </c>
      <c r="E486" s="631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3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2"/>
      <c r="R486" s="622"/>
      <c r="S486" s="622"/>
      <c r="T486" s="623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32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7" t="s">
        <v>69</v>
      </c>
      <c r="Q487" s="638"/>
      <c r="R487" s="638"/>
      <c r="S487" s="638"/>
      <c r="T487" s="638"/>
      <c r="U487" s="638"/>
      <c r="V487" s="639"/>
      <c r="W487" s="37" t="s">
        <v>70</v>
      </c>
      <c r="X487" s="619">
        <f>IFERROR(X484/H484,"0")+IFERROR(X485/H485,"0")+IFERROR(X486/H486,"0")</f>
        <v>35</v>
      </c>
      <c r="Y487" s="619">
        <f>IFERROR(Y484/H484,"0")+IFERROR(Y485/H485,"0")+IFERROR(Y486/H486,"0")</f>
        <v>35</v>
      </c>
      <c r="Z487" s="619">
        <f>IFERROR(IF(Z484="",0,Z484),"0")+IFERROR(IF(Z485="",0,Z485),"0")+IFERROR(IF(Z486="",0,Z486),"0")</f>
        <v>0.31569999999999998</v>
      </c>
      <c r="AA487" s="620"/>
      <c r="AB487" s="620"/>
      <c r="AC487" s="620"/>
    </row>
    <row r="488" spans="1:68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7" t="s">
        <v>69</v>
      </c>
      <c r="Q488" s="638"/>
      <c r="R488" s="638"/>
      <c r="S488" s="638"/>
      <c r="T488" s="638"/>
      <c r="U488" s="638"/>
      <c r="V488" s="639"/>
      <c r="W488" s="37" t="s">
        <v>67</v>
      </c>
      <c r="X488" s="619">
        <f>IFERROR(SUM(X484:X486),"0")</f>
        <v>189</v>
      </c>
      <c r="Y488" s="619">
        <f>IFERROR(SUM(Y484:Y486),"0")</f>
        <v>189</v>
      </c>
      <c r="Z488" s="37"/>
      <c r="AA488" s="620"/>
      <c r="AB488" s="620"/>
      <c r="AC488" s="620"/>
    </row>
    <row r="489" spans="1:68" ht="27.75" hidden="1" customHeight="1" x14ac:dyDescent="0.2">
      <c r="A489" s="788" t="s">
        <v>772</v>
      </c>
      <c r="B489" s="789"/>
      <c r="C489" s="789"/>
      <c r="D489" s="789"/>
      <c r="E489" s="789"/>
      <c r="F489" s="789"/>
      <c r="G489" s="789"/>
      <c r="H489" s="789"/>
      <c r="I489" s="789"/>
      <c r="J489" s="789"/>
      <c r="K489" s="789"/>
      <c r="L489" s="789"/>
      <c r="M489" s="789"/>
      <c r="N489" s="789"/>
      <c r="O489" s="789"/>
      <c r="P489" s="789"/>
      <c r="Q489" s="789"/>
      <c r="R489" s="789"/>
      <c r="S489" s="789"/>
      <c r="T489" s="789"/>
      <c r="U489" s="789"/>
      <c r="V489" s="789"/>
      <c r="W489" s="789"/>
      <c r="X489" s="789"/>
      <c r="Y489" s="789"/>
      <c r="Z489" s="789"/>
      <c r="AA489" s="48"/>
      <c r="AB489" s="48"/>
      <c r="AC489" s="48"/>
    </row>
    <row r="490" spans="1:68" ht="16.5" hidden="1" customHeight="1" x14ac:dyDescent="0.25">
      <c r="A490" s="640" t="s">
        <v>772</v>
      </c>
      <c r="B490" s="633"/>
      <c r="C490" s="633"/>
      <c r="D490" s="633"/>
      <c r="E490" s="633"/>
      <c r="F490" s="633"/>
      <c r="G490" s="633"/>
      <c r="H490" s="633"/>
      <c r="I490" s="633"/>
      <c r="J490" s="633"/>
      <c r="K490" s="633"/>
      <c r="L490" s="633"/>
      <c r="M490" s="633"/>
      <c r="N490" s="633"/>
      <c r="O490" s="633"/>
      <c r="P490" s="633"/>
      <c r="Q490" s="633"/>
      <c r="R490" s="633"/>
      <c r="S490" s="633"/>
      <c r="T490" s="633"/>
      <c r="U490" s="633"/>
      <c r="V490" s="633"/>
      <c r="W490" s="633"/>
      <c r="X490" s="633"/>
      <c r="Y490" s="633"/>
      <c r="Z490" s="633"/>
      <c r="AA490" s="612"/>
      <c r="AB490" s="612"/>
      <c r="AC490" s="612"/>
    </row>
    <row r="491" spans="1:68" ht="14.25" hidden="1" customHeight="1" x14ac:dyDescent="0.25">
      <c r="A491" s="636" t="s">
        <v>108</v>
      </c>
      <c r="B491" s="633"/>
      <c r="C491" s="633"/>
      <c r="D491" s="633"/>
      <c r="E491" s="633"/>
      <c r="F491" s="633"/>
      <c r="G491" s="633"/>
      <c r="H491" s="633"/>
      <c r="I491" s="633"/>
      <c r="J491" s="633"/>
      <c r="K491" s="633"/>
      <c r="L491" s="633"/>
      <c r="M491" s="633"/>
      <c r="N491" s="633"/>
      <c r="O491" s="633"/>
      <c r="P491" s="633"/>
      <c r="Q491" s="633"/>
      <c r="R491" s="633"/>
      <c r="S491" s="633"/>
      <c r="T491" s="633"/>
      <c r="U491" s="633"/>
      <c r="V491" s="633"/>
      <c r="W491" s="633"/>
      <c r="X491" s="633"/>
      <c r="Y491" s="633"/>
      <c r="Z491" s="633"/>
      <c r="AA491" s="613"/>
      <c r="AB491" s="613"/>
      <c r="AC491" s="613"/>
    </row>
    <row r="492" spans="1:68" ht="27" hidden="1" customHeight="1" x14ac:dyDescent="0.25">
      <c r="A492" s="54" t="s">
        <v>773</v>
      </c>
      <c r="B492" s="54" t="s">
        <v>774</v>
      </c>
      <c r="C492" s="31">
        <v>4301011769</v>
      </c>
      <c r="D492" s="630">
        <v>4607091389067</v>
      </c>
      <c r="E492" s="631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2"/>
      <c r="R492" s="622"/>
      <c r="S492" s="622"/>
      <c r="T492" s="623"/>
      <c r="U492" s="34"/>
      <c r="V492" s="34"/>
      <c r="W492" s="35" t="s">
        <v>67</v>
      </c>
      <c r="X492" s="617">
        <v>0</v>
      </c>
      <c r="Y492" s="618">
        <f t="shared" ref="Y492:Y499" si="71">IFERROR(IF(X492="",0,CEILING((X492/$H492),1)*$H492),"")</f>
        <v>0</v>
      </c>
      <c r="Z492" s="36" t="str">
        <f>IFERROR(IF(Y492=0,"",ROUNDUP(Y492/H492,0)*0.01196),"")</f>
        <v/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0</v>
      </c>
      <c r="BN492" s="64">
        <f t="shared" ref="BN492:BN499" si="73">IFERROR(Y492*I492/H492,"0")</f>
        <v>0</v>
      </c>
      <c r="BO492" s="64">
        <f t="shared" ref="BO492:BO499" si="74">IFERROR(1/J492*(X492/H492),"0")</f>
        <v>0</v>
      </c>
      <c r="BP492" s="64">
        <f t="shared" ref="BP492:BP499" si="75">IFERROR(1/J492*(Y492/H492),"0")</f>
        <v>0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30">
        <v>4680115889576</v>
      </c>
      <c r="E493" s="631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2"/>
      <c r="R493" s="622"/>
      <c r="S493" s="622"/>
      <c r="T493" s="623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30">
        <v>4680115885271</v>
      </c>
      <c r="E494" s="631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7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2"/>
      <c r="R494" s="622"/>
      <c r="S494" s="622"/>
      <c r="T494" s="623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30">
        <v>4680115885226</v>
      </c>
      <c r="E495" s="631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2"/>
      <c r="R495" s="622"/>
      <c r="S495" s="622"/>
      <c r="T495" s="623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hidden="1" customHeight="1" x14ac:dyDescent="0.25">
      <c r="A496" s="54" t="s">
        <v>784</v>
      </c>
      <c r="B496" s="54" t="s">
        <v>785</v>
      </c>
      <c r="C496" s="31">
        <v>4301011771</v>
      </c>
      <c r="D496" s="630">
        <v>4607091389104</v>
      </c>
      <c r="E496" s="631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2"/>
      <c r="R496" s="622"/>
      <c r="S496" s="622"/>
      <c r="T496" s="623"/>
      <c r="U496" s="34"/>
      <c r="V496" s="34"/>
      <c r="W496" s="35" t="s">
        <v>67</v>
      </c>
      <c r="X496" s="617">
        <v>0</v>
      </c>
      <c r="Y496" s="618">
        <f t="shared" si="71"/>
        <v>0</v>
      </c>
      <c r="Z496" s="36" t="str">
        <f>IFERROR(IF(Y496=0,"",ROUNDUP(Y496/H496,0)*0.01196),"")</f>
        <v/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0</v>
      </c>
      <c r="BN496" s="64">
        <f t="shared" si="73"/>
        <v>0</v>
      </c>
      <c r="BO496" s="64">
        <f t="shared" si="74"/>
        <v>0</v>
      </c>
      <c r="BP496" s="64">
        <f t="shared" si="75"/>
        <v>0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30">
        <v>4680115886391</v>
      </c>
      <c r="E497" s="631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2"/>
      <c r="R497" s="622"/>
      <c r="S497" s="622"/>
      <c r="T497" s="623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30">
        <v>4680115880603</v>
      </c>
      <c r="E498" s="631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73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2"/>
      <c r="R498" s="622"/>
      <c r="S498" s="622"/>
      <c r="T498" s="623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30">
        <v>4607091389982</v>
      </c>
      <c r="E499" s="631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hidden="1" x14ac:dyDescent="0.2">
      <c r="A500" s="632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7" t="s">
        <v>69</v>
      </c>
      <c r="Q500" s="638"/>
      <c r="R500" s="638"/>
      <c r="S500" s="638"/>
      <c r="T500" s="638"/>
      <c r="U500" s="638"/>
      <c r="V500" s="639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0</v>
      </c>
      <c r="Y500" s="619">
        <f>IFERROR(Y492/H492,"0")+IFERROR(Y493/H493,"0")+IFERROR(Y494/H494,"0")+IFERROR(Y495/H495,"0")+IFERROR(Y496/H496,"0")+IFERROR(Y497/H497,"0")+IFERROR(Y498/H498,"0")+IFERROR(Y499/H499,"0")</f>
        <v>0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</v>
      </c>
      <c r="AA500" s="620"/>
      <c r="AB500" s="620"/>
      <c r="AC500" s="620"/>
    </row>
    <row r="501" spans="1:68" hidden="1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7" t="s">
        <v>69</v>
      </c>
      <c r="Q501" s="638"/>
      <c r="R501" s="638"/>
      <c r="S501" s="638"/>
      <c r="T501" s="638"/>
      <c r="U501" s="638"/>
      <c r="V501" s="639"/>
      <c r="W501" s="37" t="s">
        <v>67</v>
      </c>
      <c r="X501" s="619">
        <f>IFERROR(SUM(X492:X499),"0")</f>
        <v>0</v>
      </c>
      <c r="Y501" s="619">
        <f>IFERROR(SUM(Y492:Y499),"0")</f>
        <v>0</v>
      </c>
      <c r="Z501" s="37"/>
      <c r="AA501" s="620"/>
      <c r="AB501" s="620"/>
      <c r="AC501" s="620"/>
    </row>
    <row r="502" spans="1:68" ht="14.25" hidden="1" customHeight="1" x14ac:dyDescent="0.25">
      <c r="A502" s="636" t="s">
        <v>143</v>
      </c>
      <c r="B502" s="633"/>
      <c r="C502" s="633"/>
      <c r="D502" s="633"/>
      <c r="E502" s="633"/>
      <c r="F502" s="633"/>
      <c r="G502" s="633"/>
      <c r="H502" s="633"/>
      <c r="I502" s="633"/>
      <c r="J502" s="633"/>
      <c r="K502" s="633"/>
      <c r="L502" s="633"/>
      <c r="M502" s="633"/>
      <c r="N502" s="633"/>
      <c r="O502" s="633"/>
      <c r="P502" s="633"/>
      <c r="Q502" s="633"/>
      <c r="R502" s="633"/>
      <c r="S502" s="633"/>
      <c r="T502" s="633"/>
      <c r="U502" s="633"/>
      <c r="V502" s="633"/>
      <c r="W502" s="633"/>
      <c r="X502" s="633"/>
      <c r="Y502" s="633"/>
      <c r="Z502" s="633"/>
      <c r="AA502" s="613"/>
      <c r="AB502" s="613"/>
      <c r="AC502" s="613"/>
    </row>
    <row r="503" spans="1:68" ht="16.5" customHeight="1" x14ac:dyDescent="0.25">
      <c r="A503" s="54" t="s">
        <v>793</v>
      </c>
      <c r="B503" s="54" t="s">
        <v>794</v>
      </c>
      <c r="C503" s="31">
        <v>4301020334</v>
      </c>
      <c r="D503" s="630">
        <v>4607091388930</v>
      </c>
      <c r="E503" s="631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3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2"/>
      <c r="R503" s="622"/>
      <c r="S503" s="622"/>
      <c r="T503" s="623"/>
      <c r="U503" s="34"/>
      <c r="V503" s="34"/>
      <c r="W503" s="35" t="s">
        <v>67</v>
      </c>
      <c r="X503" s="617">
        <v>154</v>
      </c>
      <c r="Y503" s="618">
        <f>IFERROR(IF(X503="",0,CEILING((X503/$H503),1)*$H503),"")</f>
        <v>158.4</v>
      </c>
      <c r="Z503" s="36">
        <f>IFERROR(IF(Y503=0,"",ROUNDUP(Y503/H503,0)*0.01196),"")</f>
        <v>0.35880000000000001</v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164.20833333333331</v>
      </c>
      <c r="BN503" s="64">
        <f>IFERROR(Y503*I503/H503,"0")</f>
        <v>168.9</v>
      </c>
      <c r="BO503" s="64">
        <f>IFERROR(1/J503*(X503/H503),"0")</f>
        <v>0.28044871794871795</v>
      </c>
      <c r="BP503" s="64">
        <f>IFERROR(1/J503*(Y503/H503),"0")</f>
        <v>0.28846153846153849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30">
        <v>4680115886407</v>
      </c>
      <c r="E504" s="631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2"/>
      <c r="R504" s="622"/>
      <c r="S504" s="622"/>
      <c r="T504" s="623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30">
        <v>4680115880054</v>
      </c>
      <c r="E505" s="631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x14ac:dyDescent="0.2">
      <c r="A506" s="632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7" t="s">
        <v>69</v>
      </c>
      <c r="Q506" s="638"/>
      <c r="R506" s="638"/>
      <c r="S506" s="638"/>
      <c r="T506" s="638"/>
      <c r="U506" s="638"/>
      <c r="V506" s="639"/>
      <c r="W506" s="37" t="s">
        <v>70</v>
      </c>
      <c r="X506" s="619">
        <f>IFERROR(X503/H503,"0")+IFERROR(X504/H504,"0")+IFERROR(X505/H505,"0")</f>
        <v>29.166666666666664</v>
      </c>
      <c r="Y506" s="619">
        <f>IFERROR(Y503/H503,"0")+IFERROR(Y504/H504,"0")+IFERROR(Y505/H505,"0")</f>
        <v>30</v>
      </c>
      <c r="Z506" s="619">
        <f>IFERROR(IF(Z503="",0,Z503),"0")+IFERROR(IF(Z504="",0,Z504),"0")+IFERROR(IF(Z505="",0,Z505),"0")</f>
        <v>0.35880000000000001</v>
      </c>
      <c r="AA506" s="620"/>
      <c r="AB506" s="620"/>
      <c r="AC506" s="620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7" t="s">
        <v>69</v>
      </c>
      <c r="Q507" s="638"/>
      <c r="R507" s="638"/>
      <c r="S507" s="638"/>
      <c r="T507" s="638"/>
      <c r="U507" s="638"/>
      <c r="V507" s="639"/>
      <c r="W507" s="37" t="s">
        <v>67</v>
      </c>
      <c r="X507" s="619">
        <f>IFERROR(SUM(X503:X505),"0")</f>
        <v>154</v>
      </c>
      <c r="Y507" s="619">
        <f>IFERROR(SUM(Y503:Y505),"0")</f>
        <v>158.4</v>
      </c>
      <c r="Z507" s="37"/>
      <c r="AA507" s="620"/>
      <c r="AB507" s="620"/>
      <c r="AC507" s="620"/>
    </row>
    <row r="508" spans="1:68" ht="14.25" hidden="1" customHeight="1" x14ac:dyDescent="0.25">
      <c r="A508" s="636" t="s">
        <v>62</v>
      </c>
      <c r="B508" s="633"/>
      <c r="C508" s="633"/>
      <c r="D508" s="633"/>
      <c r="E508" s="633"/>
      <c r="F508" s="633"/>
      <c r="G508" s="633"/>
      <c r="H508" s="633"/>
      <c r="I508" s="633"/>
      <c r="J508" s="633"/>
      <c r="K508" s="633"/>
      <c r="L508" s="633"/>
      <c r="M508" s="633"/>
      <c r="N508" s="633"/>
      <c r="O508" s="633"/>
      <c r="P508" s="633"/>
      <c r="Q508" s="633"/>
      <c r="R508" s="633"/>
      <c r="S508" s="633"/>
      <c r="T508" s="633"/>
      <c r="U508" s="633"/>
      <c r="V508" s="633"/>
      <c r="W508" s="633"/>
      <c r="X508" s="633"/>
      <c r="Y508" s="633"/>
      <c r="Z508" s="633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30">
        <v>4680115883116</v>
      </c>
      <c r="E509" s="631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2"/>
      <c r="R509" s="622"/>
      <c r="S509" s="622"/>
      <c r="T509" s="623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30">
        <v>4680115883093</v>
      </c>
      <c r="E510" s="631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2"/>
      <c r="R510" s="622"/>
      <c r="S510" s="622"/>
      <c r="T510" s="623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hidden="1" customHeight="1" x14ac:dyDescent="0.25">
      <c r="A511" s="54" t="s">
        <v>806</v>
      </c>
      <c r="B511" s="54" t="s">
        <v>807</v>
      </c>
      <c r="C511" s="31">
        <v>4301031353</v>
      </c>
      <c r="D511" s="630">
        <v>4680115883109</v>
      </c>
      <c r="E511" s="631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2"/>
      <c r="R511" s="622"/>
      <c r="S511" s="622"/>
      <c r="T511" s="623"/>
      <c r="U511" s="34"/>
      <c r="V511" s="34"/>
      <c r="W511" s="35" t="s">
        <v>67</v>
      </c>
      <c r="X511" s="617">
        <v>0</v>
      </c>
      <c r="Y511" s="618">
        <f t="shared" si="76"/>
        <v>0</v>
      </c>
      <c r="Z511" s="36" t="str">
        <f>IFERROR(IF(Y511=0,"",ROUNDUP(Y511/H511,0)*0.01196),"")</f>
        <v/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0</v>
      </c>
      <c r="BN511" s="64">
        <f t="shared" si="78"/>
        <v>0</v>
      </c>
      <c r="BO511" s="64">
        <f t="shared" si="79"/>
        <v>0</v>
      </c>
      <c r="BP511" s="64">
        <f t="shared" si="80"/>
        <v>0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30">
        <v>4680115882072</v>
      </c>
      <c r="E512" s="631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5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2"/>
      <c r="R512" s="622"/>
      <c r="S512" s="622"/>
      <c r="T512" s="623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30">
        <v>4680115882102</v>
      </c>
      <c r="E513" s="631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2"/>
      <c r="R513" s="622"/>
      <c r="S513" s="622"/>
      <c r="T513" s="623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30">
        <v>4680115882102</v>
      </c>
      <c r="E514" s="631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80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2"/>
      <c r="R514" s="622"/>
      <c r="S514" s="622"/>
      <c r="T514" s="623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30">
        <v>4680115882096</v>
      </c>
      <c r="E515" s="631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4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2"/>
      <c r="R515" s="622"/>
      <c r="S515" s="622"/>
      <c r="T515" s="623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hidden="1" x14ac:dyDescent="0.2">
      <c r="A516" s="632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7" t="s">
        <v>69</v>
      </c>
      <c r="Q516" s="638"/>
      <c r="R516" s="638"/>
      <c r="S516" s="638"/>
      <c r="T516" s="638"/>
      <c r="U516" s="638"/>
      <c r="V516" s="639"/>
      <c r="W516" s="37" t="s">
        <v>70</v>
      </c>
      <c r="X516" s="619">
        <f>IFERROR(X509/H509,"0")+IFERROR(X510/H510,"0")+IFERROR(X511/H511,"0")+IFERROR(X512/H512,"0")+IFERROR(X513/H513,"0")+IFERROR(X514/H514,"0")+IFERROR(X515/H515,"0")</f>
        <v>0</v>
      </c>
      <c r="Y516" s="619">
        <f>IFERROR(Y509/H509,"0")+IFERROR(Y510/H510,"0")+IFERROR(Y511/H511,"0")+IFERROR(Y512/H512,"0")+IFERROR(Y513/H513,"0")+IFERROR(Y514/H514,"0")+IFERROR(Y515/H515,"0")</f>
        <v>0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</v>
      </c>
      <c r="AA516" s="620"/>
      <c r="AB516" s="620"/>
      <c r="AC516" s="620"/>
    </row>
    <row r="517" spans="1:68" hidden="1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7" t="s">
        <v>69</v>
      </c>
      <c r="Q517" s="638"/>
      <c r="R517" s="638"/>
      <c r="S517" s="638"/>
      <c r="T517" s="638"/>
      <c r="U517" s="638"/>
      <c r="V517" s="639"/>
      <c r="W517" s="37" t="s">
        <v>67</v>
      </c>
      <c r="X517" s="619">
        <f>IFERROR(SUM(X509:X515),"0")</f>
        <v>0</v>
      </c>
      <c r="Y517" s="619">
        <f>IFERROR(SUM(Y509:Y515),"0")</f>
        <v>0</v>
      </c>
      <c r="Z517" s="37"/>
      <c r="AA517" s="620"/>
      <c r="AB517" s="620"/>
      <c r="AC517" s="620"/>
    </row>
    <row r="518" spans="1:68" ht="27.75" hidden="1" customHeight="1" x14ac:dyDescent="0.2">
      <c r="A518" s="788" t="s">
        <v>816</v>
      </c>
      <c r="B518" s="789"/>
      <c r="C518" s="789"/>
      <c r="D518" s="789"/>
      <c r="E518" s="789"/>
      <c r="F518" s="789"/>
      <c r="G518" s="789"/>
      <c r="H518" s="789"/>
      <c r="I518" s="789"/>
      <c r="J518" s="789"/>
      <c r="K518" s="789"/>
      <c r="L518" s="789"/>
      <c r="M518" s="789"/>
      <c r="N518" s="789"/>
      <c r="O518" s="789"/>
      <c r="P518" s="789"/>
      <c r="Q518" s="789"/>
      <c r="R518" s="789"/>
      <c r="S518" s="789"/>
      <c r="T518" s="789"/>
      <c r="U518" s="789"/>
      <c r="V518" s="789"/>
      <c r="W518" s="789"/>
      <c r="X518" s="789"/>
      <c r="Y518" s="789"/>
      <c r="Z518" s="789"/>
      <c r="AA518" s="48"/>
      <c r="AB518" s="48"/>
      <c r="AC518" s="48"/>
    </row>
    <row r="519" spans="1:68" ht="16.5" hidden="1" customHeight="1" x14ac:dyDescent="0.25">
      <c r="A519" s="640" t="s">
        <v>816</v>
      </c>
      <c r="B519" s="633"/>
      <c r="C519" s="633"/>
      <c r="D519" s="633"/>
      <c r="E519" s="633"/>
      <c r="F519" s="633"/>
      <c r="G519" s="633"/>
      <c r="H519" s="633"/>
      <c r="I519" s="633"/>
      <c r="J519" s="633"/>
      <c r="K519" s="633"/>
      <c r="L519" s="633"/>
      <c r="M519" s="633"/>
      <c r="N519" s="633"/>
      <c r="O519" s="633"/>
      <c r="P519" s="633"/>
      <c r="Q519" s="633"/>
      <c r="R519" s="633"/>
      <c r="S519" s="633"/>
      <c r="T519" s="633"/>
      <c r="U519" s="633"/>
      <c r="V519" s="633"/>
      <c r="W519" s="633"/>
      <c r="X519" s="633"/>
      <c r="Y519" s="633"/>
      <c r="Z519" s="633"/>
      <c r="AA519" s="612"/>
      <c r="AB519" s="612"/>
      <c r="AC519" s="612"/>
    </row>
    <row r="520" spans="1:68" ht="14.25" hidden="1" customHeight="1" x14ac:dyDescent="0.25">
      <c r="A520" s="636" t="s">
        <v>108</v>
      </c>
      <c r="B520" s="633"/>
      <c r="C520" s="633"/>
      <c r="D520" s="633"/>
      <c r="E520" s="633"/>
      <c r="F520" s="633"/>
      <c r="G520" s="633"/>
      <c r="H520" s="633"/>
      <c r="I520" s="633"/>
      <c r="J520" s="633"/>
      <c r="K520" s="633"/>
      <c r="L520" s="633"/>
      <c r="M520" s="633"/>
      <c r="N520" s="633"/>
      <c r="O520" s="633"/>
      <c r="P520" s="633"/>
      <c r="Q520" s="633"/>
      <c r="R520" s="633"/>
      <c r="S520" s="633"/>
      <c r="T520" s="633"/>
      <c r="U520" s="633"/>
      <c r="V520" s="633"/>
      <c r="W520" s="633"/>
      <c r="X520" s="633"/>
      <c r="Y520" s="633"/>
      <c r="Z520" s="633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30">
        <v>4680115889736</v>
      </c>
      <c r="E521" s="631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8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2"/>
      <c r="R521" s="622"/>
      <c r="S521" s="622"/>
      <c r="T521" s="623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2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7" t="s">
        <v>69</v>
      </c>
      <c r="Q522" s="638"/>
      <c r="R522" s="638"/>
      <c r="S522" s="638"/>
      <c r="T522" s="638"/>
      <c r="U522" s="638"/>
      <c r="V522" s="639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7" t="s">
        <v>69</v>
      </c>
      <c r="Q523" s="638"/>
      <c r="R523" s="638"/>
      <c r="S523" s="638"/>
      <c r="T523" s="638"/>
      <c r="U523" s="638"/>
      <c r="V523" s="639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6" t="s">
        <v>143</v>
      </c>
      <c r="B524" s="633"/>
      <c r="C524" s="633"/>
      <c r="D524" s="633"/>
      <c r="E524" s="633"/>
      <c r="F524" s="633"/>
      <c r="G524" s="633"/>
      <c r="H524" s="633"/>
      <c r="I524" s="633"/>
      <c r="J524" s="633"/>
      <c r="K524" s="633"/>
      <c r="L524" s="633"/>
      <c r="M524" s="633"/>
      <c r="N524" s="633"/>
      <c r="O524" s="633"/>
      <c r="P524" s="633"/>
      <c r="Q524" s="633"/>
      <c r="R524" s="633"/>
      <c r="S524" s="633"/>
      <c r="T524" s="633"/>
      <c r="U524" s="633"/>
      <c r="V524" s="633"/>
      <c r="W524" s="633"/>
      <c r="X524" s="633"/>
      <c r="Y524" s="633"/>
      <c r="Z524" s="633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30">
        <v>4680115889781</v>
      </c>
      <c r="E525" s="631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2"/>
      <c r="R525" s="622"/>
      <c r="S525" s="622"/>
      <c r="T525" s="623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2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7" t="s">
        <v>69</v>
      </c>
      <c r="Q526" s="638"/>
      <c r="R526" s="638"/>
      <c r="S526" s="638"/>
      <c r="T526" s="638"/>
      <c r="U526" s="638"/>
      <c r="V526" s="639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7" t="s">
        <v>69</v>
      </c>
      <c r="Q527" s="638"/>
      <c r="R527" s="638"/>
      <c r="S527" s="638"/>
      <c r="T527" s="638"/>
      <c r="U527" s="638"/>
      <c r="V527" s="639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6" t="s">
        <v>62</v>
      </c>
      <c r="B528" s="633"/>
      <c r="C528" s="633"/>
      <c r="D528" s="633"/>
      <c r="E528" s="633"/>
      <c r="F528" s="633"/>
      <c r="G528" s="633"/>
      <c r="H528" s="633"/>
      <c r="I528" s="633"/>
      <c r="J528" s="633"/>
      <c r="K528" s="633"/>
      <c r="L528" s="633"/>
      <c r="M528" s="633"/>
      <c r="N528" s="633"/>
      <c r="O528" s="633"/>
      <c r="P528" s="633"/>
      <c r="Q528" s="633"/>
      <c r="R528" s="633"/>
      <c r="S528" s="633"/>
      <c r="T528" s="633"/>
      <c r="U528" s="633"/>
      <c r="V528" s="633"/>
      <c r="W528" s="633"/>
      <c r="X528" s="633"/>
      <c r="Y528" s="633"/>
      <c r="Z528" s="633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30">
        <v>4680115889774</v>
      </c>
      <c r="E529" s="631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2"/>
      <c r="R529" s="622"/>
      <c r="S529" s="622"/>
      <c r="T529" s="623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2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7" t="s">
        <v>69</v>
      </c>
      <c r="Q530" s="638"/>
      <c r="R530" s="638"/>
      <c r="S530" s="638"/>
      <c r="T530" s="638"/>
      <c r="U530" s="638"/>
      <c r="V530" s="639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7" t="s">
        <v>69</v>
      </c>
      <c r="Q531" s="638"/>
      <c r="R531" s="638"/>
      <c r="S531" s="638"/>
      <c r="T531" s="638"/>
      <c r="U531" s="638"/>
      <c r="V531" s="639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6" t="s">
        <v>71</v>
      </c>
      <c r="B532" s="633"/>
      <c r="C532" s="633"/>
      <c r="D532" s="633"/>
      <c r="E532" s="633"/>
      <c r="F532" s="633"/>
      <c r="G532" s="633"/>
      <c r="H532" s="633"/>
      <c r="I532" s="633"/>
      <c r="J532" s="633"/>
      <c r="K532" s="633"/>
      <c r="L532" s="633"/>
      <c r="M532" s="633"/>
      <c r="N532" s="633"/>
      <c r="O532" s="633"/>
      <c r="P532" s="633"/>
      <c r="Q532" s="633"/>
      <c r="R532" s="633"/>
      <c r="S532" s="633"/>
      <c r="T532" s="633"/>
      <c r="U532" s="633"/>
      <c r="V532" s="633"/>
      <c r="W532" s="633"/>
      <c r="X532" s="633"/>
      <c r="Y532" s="633"/>
      <c r="Z532" s="633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30">
        <v>4680115889811</v>
      </c>
      <c r="E533" s="631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0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7">
        <v>155</v>
      </c>
      <c r="Y533" s="618">
        <f>IFERROR(IF(X533="",0,CEILING((X533/$H533),1)*$H533),"")</f>
        <v>162</v>
      </c>
      <c r="Z533" s="36">
        <f>IFERROR(IF(Y533=0,"",ROUNDUP(Y533/H533,0)*0.01898),"")</f>
        <v>0.34164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163.50777777777776</v>
      </c>
      <c r="BN533" s="64">
        <f>IFERROR(Y533*I533/H533,"0")</f>
        <v>170.892</v>
      </c>
      <c r="BO533" s="64">
        <f>IFERROR(1/J533*(X533/H533),"0")</f>
        <v>0.26909722222222221</v>
      </c>
      <c r="BP533" s="64">
        <f>IFERROR(1/J533*(Y533/H533),"0")</f>
        <v>0.28125</v>
      </c>
    </row>
    <row r="534" spans="1:68" x14ac:dyDescent="0.2">
      <c r="A534" s="632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7" t="s">
        <v>69</v>
      </c>
      <c r="Q534" s="638"/>
      <c r="R534" s="638"/>
      <c r="S534" s="638"/>
      <c r="T534" s="638"/>
      <c r="U534" s="638"/>
      <c r="V534" s="639"/>
      <c r="W534" s="37" t="s">
        <v>70</v>
      </c>
      <c r="X534" s="619">
        <f>IFERROR(X533/H533,"0")</f>
        <v>17.222222222222221</v>
      </c>
      <c r="Y534" s="619">
        <f>IFERROR(Y533/H533,"0")</f>
        <v>18</v>
      </c>
      <c r="Z534" s="619">
        <f>IFERROR(IF(Z533="",0,Z533),"0")</f>
        <v>0.34164</v>
      </c>
      <c r="AA534" s="620"/>
      <c r="AB534" s="620"/>
      <c r="AC534" s="620"/>
    </row>
    <row r="535" spans="1:68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7" t="s">
        <v>69</v>
      </c>
      <c r="Q535" s="638"/>
      <c r="R535" s="638"/>
      <c r="S535" s="638"/>
      <c r="T535" s="638"/>
      <c r="U535" s="638"/>
      <c r="V535" s="639"/>
      <c r="W535" s="37" t="s">
        <v>67</v>
      </c>
      <c r="X535" s="619">
        <f>IFERROR(SUM(X533:X533),"0")</f>
        <v>155</v>
      </c>
      <c r="Y535" s="619">
        <f>IFERROR(SUM(Y533:Y533),"0")</f>
        <v>162</v>
      </c>
      <c r="Z535" s="37"/>
      <c r="AA535" s="620"/>
      <c r="AB535" s="620"/>
      <c r="AC535" s="620"/>
    </row>
    <row r="536" spans="1:68" ht="14.25" hidden="1" customHeight="1" x14ac:dyDescent="0.25">
      <c r="A536" s="636" t="s">
        <v>161</v>
      </c>
      <c r="B536" s="633"/>
      <c r="C536" s="633"/>
      <c r="D536" s="633"/>
      <c r="E536" s="633"/>
      <c r="F536" s="633"/>
      <c r="G536" s="633"/>
      <c r="H536" s="633"/>
      <c r="I536" s="633"/>
      <c r="J536" s="633"/>
      <c r="K536" s="633"/>
      <c r="L536" s="633"/>
      <c r="M536" s="633"/>
      <c r="N536" s="633"/>
      <c r="O536" s="633"/>
      <c r="P536" s="633"/>
      <c r="Q536" s="633"/>
      <c r="R536" s="633"/>
      <c r="S536" s="633"/>
      <c r="T536" s="633"/>
      <c r="U536" s="633"/>
      <c r="V536" s="633"/>
      <c r="W536" s="633"/>
      <c r="X536" s="633"/>
      <c r="Y536" s="633"/>
      <c r="Z536" s="633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30">
        <v>4680115889804</v>
      </c>
      <c r="E537" s="631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1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2"/>
      <c r="R537" s="622"/>
      <c r="S537" s="622"/>
      <c r="T537" s="623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30">
        <v>4680115889828</v>
      </c>
      <c r="E538" s="631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6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2"/>
      <c r="R538" s="622"/>
      <c r="S538" s="622"/>
      <c r="T538" s="623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2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7" t="s">
        <v>69</v>
      </c>
      <c r="Q539" s="638"/>
      <c r="R539" s="638"/>
      <c r="S539" s="638"/>
      <c r="T539" s="638"/>
      <c r="U539" s="638"/>
      <c r="V539" s="639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7" t="s">
        <v>69</v>
      </c>
      <c r="Q540" s="638"/>
      <c r="R540" s="638"/>
      <c r="S540" s="638"/>
      <c r="T540" s="638"/>
      <c r="U540" s="638"/>
      <c r="V540" s="639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40" t="s">
        <v>834</v>
      </c>
      <c r="B541" s="633"/>
      <c r="C541" s="633"/>
      <c r="D541" s="633"/>
      <c r="E541" s="633"/>
      <c r="F541" s="633"/>
      <c r="G541" s="633"/>
      <c r="H541" s="633"/>
      <c r="I541" s="633"/>
      <c r="J541" s="633"/>
      <c r="K541" s="633"/>
      <c r="L541" s="633"/>
      <c r="M541" s="633"/>
      <c r="N541" s="633"/>
      <c r="O541" s="633"/>
      <c r="P541" s="633"/>
      <c r="Q541" s="633"/>
      <c r="R541" s="633"/>
      <c r="S541" s="633"/>
      <c r="T541" s="633"/>
      <c r="U541" s="633"/>
      <c r="V541" s="633"/>
      <c r="W541" s="633"/>
      <c r="X541" s="633"/>
      <c r="Y541" s="633"/>
      <c r="Z541" s="633"/>
      <c r="AA541" s="612"/>
      <c r="AB541" s="612"/>
      <c r="AC541" s="612"/>
    </row>
    <row r="542" spans="1:68" ht="14.25" hidden="1" customHeight="1" x14ac:dyDescent="0.25">
      <c r="A542" s="636" t="s">
        <v>143</v>
      </c>
      <c r="B542" s="633"/>
      <c r="C542" s="633"/>
      <c r="D542" s="633"/>
      <c r="E542" s="633"/>
      <c r="F542" s="633"/>
      <c r="G542" s="633"/>
      <c r="H542" s="633"/>
      <c r="I542" s="633"/>
      <c r="J542" s="633"/>
      <c r="K542" s="633"/>
      <c r="L542" s="633"/>
      <c r="M542" s="633"/>
      <c r="N542" s="633"/>
      <c r="O542" s="633"/>
      <c r="P542" s="633"/>
      <c r="Q542" s="633"/>
      <c r="R542" s="633"/>
      <c r="S542" s="633"/>
      <c r="T542" s="633"/>
      <c r="U542" s="633"/>
      <c r="V542" s="633"/>
      <c r="W542" s="633"/>
      <c r="X542" s="633"/>
      <c r="Y542" s="633"/>
      <c r="Z542" s="633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30">
        <v>4680115889798</v>
      </c>
      <c r="E543" s="631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8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2"/>
      <c r="R543" s="622"/>
      <c r="S543" s="622"/>
      <c r="T543" s="623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2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7" t="s">
        <v>69</v>
      </c>
      <c r="Q544" s="638"/>
      <c r="R544" s="638"/>
      <c r="S544" s="638"/>
      <c r="T544" s="638"/>
      <c r="U544" s="638"/>
      <c r="V544" s="639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7" t="s">
        <v>69</v>
      </c>
      <c r="Q545" s="638"/>
      <c r="R545" s="638"/>
      <c r="S545" s="638"/>
      <c r="T545" s="638"/>
      <c r="U545" s="638"/>
      <c r="V545" s="639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10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793"/>
      <c r="P546" s="674" t="s">
        <v>838</v>
      </c>
      <c r="Q546" s="675"/>
      <c r="R546" s="675"/>
      <c r="S546" s="675"/>
      <c r="T546" s="675"/>
      <c r="U546" s="675"/>
      <c r="V546" s="676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8402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8560.6200000000008</v>
      </c>
      <c r="Z546" s="37"/>
      <c r="AA546" s="620"/>
      <c r="AB546" s="620"/>
      <c r="AC546" s="620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793"/>
      <c r="P547" s="674" t="s">
        <v>839</v>
      </c>
      <c r="Q547" s="675"/>
      <c r="R547" s="675"/>
      <c r="S547" s="675"/>
      <c r="T547" s="675"/>
      <c r="U547" s="675"/>
      <c r="V547" s="676"/>
      <c r="W547" s="37" t="s">
        <v>67</v>
      </c>
      <c r="X547" s="619">
        <f>IFERROR(SUM(BM22:BM543),"0")</f>
        <v>8815.2557529677724</v>
      </c>
      <c r="Y547" s="619">
        <f>IFERROR(SUM(BN22:BN543),"0")</f>
        <v>8982.5599999999977</v>
      </c>
      <c r="Z547" s="37"/>
      <c r="AA547" s="620"/>
      <c r="AB547" s="620"/>
      <c r="AC547" s="620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793"/>
      <c r="P548" s="674" t="s">
        <v>840</v>
      </c>
      <c r="Q548" s="675"/>
      <c r="R548" s="675"/>
      <c r="S548" s="675"/>
      <c r="T548" s="675"/>
      <c r="U548" s="675"/>
      <c r="V548" s="676"/>
      <c r="W548" s="37" t="s">
        <v>841</v>
      </c>
      <c r="X548" s="38">
        <f>ROUNDUP(SUM(BO22:BO543),0)</f>
        <v>14</v>
      </c>
      <c r="Y548" s="38">
        <f>ROUNDUP(SUM(BP22:BP543),0)</f>
        <v>15</v>
      </c>
      <c r="Z548" s="37"/>
      <c r="AA548" s="620"/>
      <c r="AB548" s="620"/>
      <c r="AC548" s="620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793"/>
      <c r="P549" s="674" t="s">
        <v>842</v>
      </c>
      <c r="Q549" s="675"/>
      <c r="R549" s="675"/>
      <c r="S549" s="675"/>
      <c r="T549" s="675"/>
      <c r="U549" s="675"/>
      <c r="V549" s="676"/>
      <c r="W549" s="37" t="s">
        <v>67</v>
      </c>
      <c r="X549" s="619">
        <f>GrossWeightTotal+PalletQtyTotal*25</f>
        <v>9165.2557529677724</v>
      </c>
      <c r="Y549" s="619">
        <f>GrossWeightTotalR+PalletQtyTotalR*25</f>
        <v>9357.5599999999977</v>
      </c>
      <c r="Z549" s="37"/>
      <c r="AA549" s="620"/>
      <c r="AB549" s="620"/>
      <c r="AC549" s="620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793"/>
      <c r="P550" s="674" t="s">
        <v>843</v>
      </c>
      <c r="Q550" s="675"/>
      <c r="R550" s="675"/>
      <c r="S550" s="675"/>
      <c r="T550" s="675"/>
      <c r="U550" s="675"/>
      <c r="V550" s="676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1402.2966352451776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1433</v>
      </c>
      <c r="Z550" s="37"/>
      <c r="AA550" s="620"/>
      <c r="AB550" s="620"/>
      <c r="AC550" s="620"/>
    </row>
    <row r="551" spans="1:32" ht="14.25" hidden="1" customHeight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793"/>
      <c r="P551" s="674" t="s">
        <v>844</v>
      </c>
      <c r="Q551" s="675"/>
      <c r="R551" s="675"/>
      <c r="S551" s="675"/>
      <c r="T551" s="675"/>
      <c r="U551" s="675"/>
      <c r="V551" s="676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16.012240000000002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4" t="s">
        <v>106</v>
      </c>
      <c r="E553" s="817"/>
      <c r="F553" s="817"/>
      <c r="G553" s="817"/>
      <c r="H553" s="817"/>
      <c r="I553" s="817"/>
      <c r="J553" s="625"/>
      <c r="K553" s="624" t="s">
        <v>327</v>
      </c>
      <c r="L553" s="817"/>
      <c r="M553" s="817"/>
      <c r="N553" s="817"/>
      <c r="O553" s="817"/>
      <c r="P553" s="817"/>
      <c r="Q553" s="817"/>
      <c r="R553" s="817"/>
      <c r="S553" s="817"/>
      <c r="T553" s="817"/>
      <c r="U553" s="817"/>
      <c r="V553" s="625"/>
      <c r="W553" s="624" t="s">
        <v>673</v>
      </c>
      <c r="X553" s="625"/>
      <c r="Y553" s="624" t="s">
        <v>739</v>
      </c>
      <c r="Z553" s="625"/>
      <c r="AA553" s="614" t="s">
        <v>772</v>
      </c>
      <c r="AB553" s="624" t="s">
        <v>816</v>
      </c>
      <c r="AC553" s="625"/>
      <c r="AF553" s="615"/>
    </row>
    <row r="554" spans="1:32" ht="14.25" customHeight="1" thickTop="1" x14ac:dyDescent="0.2">
      <c r="A554" s="915" t="s">
        <v>847</v>
      </c>
      <c r="B554" s="624" t="s">
        <v>61</v>
      </c>
      <c r="C554" s="624" t="s">
        <v>90</v>
      </c>
      <c r="D554" s="624" t="s">
        <v>107</v>
      </c>
      <c r="E554" s="624" t="s">
        <v>123</v>
      </c>
      <c r="F554" s="624" t="s">
        <v>169</v>
      </c>
      <c r="G554" s="624" t="s">
        <v>193</v>
      </c>
      <c r="H554" s="624" t="s">
        <v>237</v>
      </c>
      <c r="I554" s="624" t="s">
        <v>250</v>
      </c>
      <c r="J554" s="624" t="s">
        <v>106</v>
      </c>
      <c r="K554" s="624" t="s">
        <v>328</v>
      </c>
      <c r="L554" s="624" t="s">
        <v>349</v>
      </c>
      <c r="M554" s="624" t="s">
        <v>412</v>
      </c>
      <c r="N554" s="615"/>
      <c r="O554" s="624" t="s">
        <v>480</v>
      </c>
      <c r="P554" s="624" t="s">
        <v>511</v>
      </c>
      <c r="Q554" s="624" t="s">
        <v>530</v>
      </c>
      <c r="R554" s="624" t="s">
        <v>539</v>
      </c>
      <c r="S554" s="624" t="s">
        <v>561</v>
      </c>
      <c r="T554" s="624" t="s">
        <v>570</v>
      </c>
      <c r="U554" s="624" t="s">
        <v>656</v>
      </c>
      <c r="V554" s="624" t="s">
        <v>663</v>
      </c>
      <c r="W554" s="624" t="s">
        <v>674</v>
      </c>
      <c r="X554" s="624" t="s">
        <v>723</v>
      </c>
      <c r="Y554" s="624" t="s">
        <v>740</v>
      </c>
      <c r="Z554" s="624" t="s">
        <v>760</v>
      </c>
      <c r="AA554" s="624" t="s">
        <v>772</v>
      </c>
      <c r="AB554" s="624" t="s">
        <v>816</v>
      </c>
      <c r="AC554" s="624" t="s">
        <v>834</v>
      </c>
      <c r="AF554" s="615"/>
    </row>
    <row r="555" spans="1:32" ht="13.5" customHeight="1" thickBot="1" x14ac:dyDescent="0.25">
      <c r="A555" s="916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15"/>
      <c r="O555" s="645"/>
      <c r="P555" s="645"/>
      <c r="Q555" s="645"/>
      <c r="R555" s="645"/>
      <c r="S555" s="645"/>
      <c r="T555" s="645"/>
      <c r="U555" s="645"/>
      <c r="V555" s="645"/>
      <c r="W555" s="645"/>
      <c r="X555" s="645"/>
      <c r="Y555" s="645"/>
      <c r="Z555" s="645"/>
      <c r="AA555" s="645"/>
      <c r="AB555" s="645"/>
      <c r="AC555" s="645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0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0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86.699999999999989</v>
      </c>
      <c r="F556" s="46">
        <f>IFERROR(Y84*1,"0")+IFERROR(Y85*1,"0")+IFERROR(Y86*1,"0")+IFERROR(Y87*1,"0")+IFERROR(Y88*1,"0")+IFERROR(Y89*1,"0")+IFERROR(Y93*1,"0")+IFERROR(Y94*1,"0")+IFERROR(Y95*1,"0")+IFERROR(Y96*1,"0")</f>
        <v>91.800000000000011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305.28000000000003</v>
      </c>
      <c r="H556" s="46">
        <f>IFERROR(Y131*1,"0")+IFERROR(Y132*1,"0")+IFERROR(Y136*1,"0")+IFERROR(Y137*1,"0")+IFERROR(Y141*1,"0")+IFERROR(Y142*1,"0")</f>
        <v>90.640000000000015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146.86000000000001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619.91999999999996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1465.7999999999997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79.199999999999989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202.8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328.42000000000007</v>
      </c>
      <c r="U556" s="46">
        <f>IFERROR(Y406*1,"0")+IFERROR(Y407*1,"0")</f>
        <v>0</v>
      </c>
      <c r="V556" s="46">
        <f>IFERROR(Y412*1,"0")+IFERROR(Y413*1,"0")+IFERROR(Y414*1,"0")</f>
        <v>0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4380</v>
      </c>
      <c r="X556" s="46">
        <f>IFERROR(Y449*1,"0")+IFERROR(Y450*1,"0")+IFERROR(Y454*1,"0")+IFERROR(Y458*1,"0")+IFERROR(Y459*1,"0")+IFERROR(Y460*1,"0")</f>
        <v>0</v>
      </c>
      <c r="Y556" s="46">
        <f>IFERROR(Y466*1,"0")+IFERROR(Y467*1,"0")+IFERROR(Y468*1,"0")+IFERROR(Y469*1,"0")+IFERROR(Y470*1,"0")+IFERROR(Y471*1,"0")+IFERROR(Y475*1,"0")</f>
        <v>253.8</v>
      </c>
      <c r="Z556" s="46">
        <f>IFERROR(Y480*1,"0")+IFERROR(Y484*1,"0")+IFERROR(Y485*1,"0")+IFERROR(Y486*1,"0")</f>
        <v>189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158.4</v>
      </c>
      <c r="AB556" s="46">
        <f>IFERROR(Y521*1,"0")+IFERROR(Y525*1,"0")+IFERROR(Y529*1,"0")+IFERROR(Y533*1,"0")+IFERROR(Y537*1,"0")+IFERROR(Y538*1,"0")</f>
        <v>162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7,00"/>
        <filter val="1 402,30"/>
        <filter val="1 648,00"/>
        <filter val="1 682,00"/>
        <filter val="1 943,00"/>
        <filter val="1,59"/>
        <filter val="10,00"/>
        <filter val="10,11"/>
        <filter val="10,31"/>
        <filter val="10,67"/>
        <filter val="100,00"/>
        <filter val="11,00"/>
        <filter val="112,13"/>
        <filter val="12,07"/>
        <filter val="123,00"/>
        <filter val="13,00"/>
        <filter val="14"/>
        <filter val="14,00"/>
        <filter val="142,00"/>
        <filter val="15,00"/>
        <filter val="153,00"/>
        <filter val="154,00"/>
        <filter val="155,00"/>
        <filter val="160,00"/>
        <filter val="17,22"/>
        <filter val="177,20"/>
        <filter val="177,73"/>
        <filter val="178,00"/>
        <filter val="189,00"/>
        <filter val="193,00"/>
        <filter val="2 666,00"/>
        <filter val="2,00"/>
        <filter val="20,00"/>
        <filter val="20,45"/>
        <filter val="200,00"/>
        <filter val="23,00"/>
        <filter val="237,00"/>
        <filter val="24,74"/>
        <filter val="249,00"/>
        <filter val="25,00"/>
        <filter val="250,00"/>
        <filter val="26,00"/>
        <filter val="262,00"/>
        <filter val="28,00"/>
        <filter val="29,17"/>
        <filter val="30,00"/>
        <filter val="300,00"/>
        <filter val="31,25"/>
        <filter val="31,42"/>
        <filter val="33,00"/>
        <filter val="34,00"/>
        <filter val="35,00"/>
        <filter val="363,00"/>
        <filter val="4,00"/>
        <filter val="40,00"/>
        <filter val="41,00"/>
        <filter val="427,35"/>
        <filter val="45,00"/>
        <filter val="46,00"/>
        <filter val="46,11"/>
        <filter val="5,32"/>
        <filter val="5,56"/>
        <filter val="50,00"/>
        <filter val="53,09"/>
        <filter val="53,57"/>
        <filter val="54,00"/>
        <filter val="548,00"/>
        <filter val="6,50"/>
        <filter val="60,00"/>
        <filter val="600,00"/>
        <filter val="7,00"/>
        <filter val="71,00"/>
        <filter val="723,00"/>
        <filter val="73,00"/>
        <filter val="75,00"/>
        <filter val="8 402,00"/>
        <filter val="8 815,26"/>
        <filter val="8,73"/>
        <filter val="83,00"/>
        <filter val="86,00"/>
        <filter val="88,00"/>
        <filter val="9 165,26"/>
        <filter val="90,00"/>
        <filter val="92,00"/>
        <filter val="95,00"/>
      </filters>
    </filterColumn>
    <filterColumn colId="29" showButton="0"/>
    <filterColumn colId="30" showButton="0"/>
  </autoFilter>
  <mergeCells count="977">
    <mergeCell ref="X17:X18"/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95:E95"/>
    <mergeCell ref="P74:V74"/>
    <mergeCell ref="Y17:Y18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D395:E395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J9:M9"/>
    <mergeCell ref="A418:Z418"/>
    <mergeCell ref="D112:E112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H17:H18"/>
    <mergeCell ref="P261:T261"/>
    <mergeCell ref="A146:Z146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26:T26"/>
    <mergeCell ref="P461:V461"/>
    <mergeCell ref="A143:O144"/>
    <mergeCell ref="P511:T511"/>
    <mergeCell ref="P507:V507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27:T27"/>
    <mergeCell ref="P325:T325"/>
    <mergeCell ref="P154:T154"/>
    <mergeCell ref="D504:E504"/>
    <mergeCell ref="P241:V241"/>
    <mergeCell ref="Q10:R10"/>
    <mergeCell ref="A442:Z442"/>
    <mergeCell ref="D185:E185"/>
    <mergeCell ref="P296:T296"/>
    <mergeCell ref="P356:T356"/>
    <mergeCell ref="D277:E277"/>
    <mergeCell ref="P256:V256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D422:E422"/>
    <mergeCell ref="P360:V360"/>
    <mergeCell ref="P80:V80"/>
    <mergeCell ref="P151:V151"/>
    <mergeCell ref="P87:T87"/>
    <mergeCell ref="D201:E201"/>
    <mergeCell ref="D335:E335"/>
    <mergeCell ref="D68:E68"/>
    <mergeCell ref="A440:O441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A12:M12"/>
    <mergeCell ref="A411:Z411"/>
    <mergeCell ref="A19:Z19"/>
    <mergeCell ref="P310:T310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P272:T27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A41:O42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38:E38"/>
    <mergeCell ref="P353:T353"/>
    <mergeCell ref="P440:V440"/>
    <mergeCell ref="P132:T132"/>
    <mergeCell ref="A44:Z44"/>
    <mergeCell ref="P75:V75"/>
    <mergeCell ref="P342:V34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D39:E39"/>
    <mergeCell ref="A135:Z135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Q9:R9"/>
    <mergeCell ref="P267:V267"/>
    <mergeCell ref="A331:Z331"/>
    <mergeCell ref="D255:E255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D9:E9"/>
    <mergeCell ref="F9:G9"/>
    <mergeCell ref="P495:T495"/>
    <mergeCell ref="P17:T18"/>
    <mergeCell ref="P250:T250"/>
    <mergeCell ref="P492:T492"/>
    <mergeCell ref="P286:T286"/>
    <mergeCell ref="D400:E400"/>
    <mergeCell ref="D77:E77"/>
    <mergeCell ref="P131:T131"/>
    <mergeCell ref="D375:E375"/>
    <mergeCell ref="D369:E369"/>
    <mergeCell ref="P423:T423"/>
    <mergeCell ref="P223:T223"/>
    <mergeCell ref="D160:E160"/>
    <mergeCell ref="P139:V139"/>
    <mergeCell ref="I17:I18"/>
    <mergeCell ref="D141:E141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A34:Z34"/>
    <mergeCell ref="P245:V245"/>
    <mergeCell ref="P516:V51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2026-10-07T09:49:05Z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