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AA6DD66-5A82-4631-9C31-5CBD148BD3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Y517" i="1" s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Y501" i="1" s="1"/>
  <c r="P493" i="1"/>
  <c r="BP492" i="1"/>
  <c r="BO492" i="1"/>
  <c r="BN492" i="1"/>
  <c r="BM492" i="1"/>
  <c r="Z492" i="1"/>
  <c r="Y492" i="1"/>
  <c r="P492" i="1"/>
  <c r="X488" i="1"/>
  <c r="Y487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BP468" i="1" s="1"/>
  <c r="P468" i="1"/>
  <c r="BP467" i="1"/>
  <c r="BO467" i="1"/>
  <c r="BN467" i="1"/>
  <c r="BM467" i="1"/>
  <c r="Z467" i="1"/>
  <c r="Y467" i="1"/>
  <c r="P467" i="1"/>
  <c r="BO466" i="1"/>
  <c r="BM466" i="1"/>
  <c r="Y466" i="1"/>
  <c r="BP466" i="1" s="1"/>
  <c r="P466" i="1"/>
  <c r="X462" i="1"/>
  <c r="X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Y462" i="1" s="1"/>
  <c r="P458" i="1"/>
  <c r="X456" i="1"/>
  <c r="X455" i="1"/>
  <c r="BO454" i="1"/>
  <c r="BM454" i="1"/>
  <c r="Y454" i="1"/>
  <c r="Y456" i="1" s="1"/>
  <c r="P454" i="1"/>
  <c r="X452" i="1"/>
  <c r="X451" i="1"/>
  <c r="BO450" i="1"/>
  <c r="BM450" i="1"/>
  <c r="Y450" i="1"/>
  <c r="Y452" i="1" s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Y445" i="1" s="1"/>
  <c r="P443" i="1"/>
  <c r="X441" i="1"/>
  <c r="X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Y435" i="1" s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O413" i="1"/>
  <c r="BM413" i="1"/>
  <c r="Y413" i="1"/>
  <c r="BP413" i="1" s="1"/>
  <c r="P413" i="1"/>
  <c r="BO412" i="1"/>
  <c r="BM412" i="1"/>
  <c r="Y412" i="1"/>
  <c r="V556" i="1" s="1"/>
  <c r="P412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X403" i="1"/>
  <c r="X402" i="1"/>
  <c r="BO401" i="1"/>
  <c r="BM401" i="1"/>
  <c r="Y401" i="1"/>
  <c r="BP401" i="1" s="1"/>
  <c r="P401" i="1"/>
  <c r="BO400" i="1"/>
  <c r="BM400" i="1"/>
  <c r="Y400" i="1"/>
  <c r="BP400" i="1" s="1"/>
  <c r="P400" i="1"/>
  <c r="BO399" i="1"/>
  <c r="BM399" i="1"/>
  <c r="Y399" i="1"/>
  <c r="Y403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Y397" i="1" s="1"/>
  <c r="P393" i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Y377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BP359" i="1" s="1"/>
  <c r="P359" i="1"/>
  <c r="BO358" i="1"/>
  <c r="BM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T556" i="1" s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BO339" i="1"/>
  <c r="BM339" i="1"/>
  <c r="Y339" i="1"/>
  <c r="Y343" i="1" s="1"/>
  <c r="P339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2" i="1"/>
  <c r="X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P25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8" i="1" s="1"/>
  <c r="P214" i="1"/>
  <c r="X212" i="1"/>
  <c r="X211" i="1"/>
  <c r="BO210" i="1"/>
  <c r="BM210" i="1"/>
  <c r="Y210" i="1"/>
  <c r="L556" i="1" s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BP161" i="1" s="1"/>
  <c r="P161" i="1"/>
  <c r="BO160" i="1"/>
  <c r="BM160" i="1"/>
  <c r="Y160" i="1"/>
  <c r="Y164" i="1" s="1"/>
  <c r="P160" i="1"/>
  <c r="BP159" i="1"/>
  <c r="BO159" i="1"/>
  <c r="BN159" i="1"/>
  <c r="BM159" i="1"/>
  <c r="Z159" i="1"/>
  <c r="Y159" i="1"/>
  <c r="P159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2" i="1"/>
  <c r="X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Y109" i="1" s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Y307" i="1" l="1"/>
  <c r="Y306" i="1"/>
  <c r="BP318" i="1"/>
  <c r="BN318" i="1"/>
  <c r="Z318" i="1"/>
  <c r="BP332" i="1"/>
  <c r="BN332" i="1"/>
  <c r="Z332" i="1"/>
  <c r="BP354" i="1"/>
  <c r="BN354" i="1"/>
  <c r="Z354" i="1"/>
  <c r="BP366" i="1"/>
  <c r="BN366" i="1"/>
  <c r="Z366" i="1"/>
  <c r="Y383" i="1"/>
  <c r="BP380" i="1"/>
  <c r="BN380" i="1"/>
  <c r="Z380" i="1"/>
  <c r="Z383" i="1" s="1"/>
  <c r="BP394" i="1"/>
  <c r="Z394" i="1"/>
  <c r="BP424" i="1"/>
  <c r="BN424" i="1"/>
  <c r="Z424" i="1"/>
  <c r="BP444" i="1"/>
  <c r="BN444" i="1"/>
  <c r="Z444" i="1"/>
  <c r="BP469" i="1"/>
  <c r="BN469" i="1"/>
  <c r="Z469" i="1"/>
  <c r="BP494" i="1"/>
  <c r="BN494" i="1"/>
  <c r="Z494" i="1"/>
  <c r="BP510" i="1"/>
  <c r="BN510" i="1"/>
  <c r="Z510" i="1"/>
  <c r="X550" i="1"/>
  <c r="X546" i="1"/>
  <c r="Y32" i="1"/>
  <c r="Z28" i="1"/>
  <c r="BN28" i="1"/>
  <c r="Z36" i="1"/>
  <c r="BN36" i="1"/>
  <c r="Z40" i="1"/>
  <c r="BN40" i="1"/>
  <c r="Z48" i="1"/>
  <c r="BN48" i="1"/>
  <c r="Y63" i="1"/>
  <c r="Z57" i="1"/>
  <c r="BN57" i="1"/>
  <c r="Z60" i="1"/>
  <c r="BN60" i="1"/>
  <c r="Z68" i="1"/>
  <c r="BN68" i="1"/>
  <c r="Y74" i="1"/>
  <c r="Z78" i="1"/>
  <c r="BN78" i="1"/>
  <c r="Y90" i="1"/>
  <c r="Z87" i="1"/>
  <c r="BN87" i="1"/>
  <c r="Z93" i="1"/>
  <c r="BN93" i="1"/>
  <c r="BP93" i="1"/>
  <c r="Z102" i="1"/>
  <c r="BN102" i="1"/>
  <c r="Z106" i="1"/>
  <c r="BN106" i="1"/>
  <c r="Z114" i="1"/>
  <c r="BN114" i="1"/>
  <c r="Z122" i="1"/>
  <c r="BN122" i="1"/>
  <c r="Z137" i="1"/>
  <c r="BN137" i="1"/>
  <c r="Z141" i="1"/>
  <c r="BN141" i="1"/>
  <c r="Z150" i="1"/>
  <c r="BN150" i="1"/>
  <c r="Z161" i="1"/>
  <c r="BN161" i="1"/>
  <c r="Z173" i="1"/>
  <c r="BN173" i="1"/>
  <c r="Z177" i="1"/>
  <c r="BN177" i="1"/>
  <c r="Z185" i="1"/>
  <c r="BN185" i="1"/>
  <c r="Y206" i="1"/>
  <c r="Z201" i="1"/>
  <c r="BN201" i="1"/>
  <c r="Z205" i="1"/>
  <c r="BN205" i="1"/>
  <c r="Z215" i="1"/>
  <c r="BN215" i="1"/>
  <c r="Z219" i="1"/>
  <c r="BN219" i="1"/>
  <c r="Z223" i="1"/>
  <c r="BN223" i="1"/>
  <c r="Z231" i="1"/>
  <c r="BN231" i="1"/>
  <c r="Z239" i="1"/>
  <c r="BN239" i="1"/>
  <c r="M556" i="1"/>
  <c r="Z254" i="1"/>
  <c r="BN254" i="1"/>
  <c r="Z262" i="1"/>
  <c r="BN262" i="1"/>
  <c r="Z266" i="1"/>
  <c r="BN266" i="1"/>
  <c r="Y283" i="1"/>
  <c r="Z272" i="1"/>
  <c r="BN272" i="1"/>
  <c r="Z276" i="1"/>
  <c r="BN276" i="1"/>
  <c r="Z280" i="1"/>
  <c r="BN280" i="1"/>
  <c r="Z291" i="1"/>
  <c r="BN291" i="1"/>
  <c r="Y298" i="1"/>
  <c r="Z295" i="1"/>
  <c r="BN295" i="1"/>
  <c r="Z301" i="1"/>
  <c r="Z302" i="1" s="1"/>
  <c r="BN301" i="1"/>
  <c r="BP301" i="1"/>
  <c r="Y302" i="1"/>
  <c r="Z305" i="1"/>
  <c r="Z306" i="1" s="1"/>
  <c r="BN305" i="1"/>
  <c r="BP305" i="1"/>
  <c r="Y311" i="1"/>
  <c r="BP309" i="1"/>
  <c r="BN309" i="1"/>
  <c r="Z309" i="1"/>
  <c r="BP325" i="1"/>
  <c r="BN325" i="1"/>
  <c r="Z325" i="1"/>
  <c r="BP340" i="1"/>
  <c r="BN340" i="1"/>
  <c r="Z340" i="1"/>
  <c r="BP358" i="1"/>
  <c r="BN358" i="1"/>
  <c r="Z358" i="1"/>
  <c r="BP374" i="1"/>
  <c r="BN374" i="1"/>
  <c r="Z374" i="1"/>
  <c r="Y391" i="1"/>
  <c r="BP386" i="1"/>
  <c r="BN386" i="1"/>
  <c r="Z386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Y312" i="1"/>
  <c r="P556" i="1"/>
  <c r="Y328" i="1"/>
  <c r="Y337" i="1"/>
  <c r="S556" i="1"/>
  <c r="Y371" i="1"/>
  <c r="U556" i="1"/>
  <c r="Y441" i="1"/>
  <c r="X556" i="1"/>
  <c r="H9" i="1"/>
  <c r="A10" i="1"/>
  <c r="B556" i="1"/>
  <c r="X547" i="1"/>
  <c r="X548" i="1"/>
  <c r="Y24" i="1"/>
  <c r="Z27" i="1"/>
  <c r="Z31" i="1" s="1"/>
  <c r="BN27" i="1"/>
  <c r="BP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BP59" i="1"/>
  <c r="BN59" i="1"/>
  <c r="BP61" i="1"/>
  <c r="BN61" i="1"/>
  <c r="Z61" i="1"/>
  <c r="Y70" i="1"/>
  <c r="BP65" i="1"/>
  <c r="BN65" i="1"/>
  <c r="Z65" i="1"/>
  <c r="Z69" i="1" s="1"/>
  <c r="Y69" i="1"/>
  <c r="BP73" i="1"/>
  <c r="BN73" i="1"/>
  <c r="Z73" i="1"/>
  <c r="Z74" i="1" s="1"/>
  <c r="Y75" i="1"/>
  <c r="Y80" i="1"/>
  <c r="BP77" i="1"/>
  <c r="BN77" i="1"/>
  <c r="Z77" i="1"/>
  <c r="BP86" i="1"/>
  <c r="BN86" i="1"/>
  <c r="Z86" i="1"/>
  <c r="BP94" i="1"/>
  <c r="BN94" i="1"/>
  <c r="Z94" i="1"/>
  <c r="BP103" i="1"/>
  <c r="BN103" i="1"/>
  <c r="Z103" i="1"/>
  <c r="BP107" i="1"/>
  <c r="BN107" i="1"/>
  <c r="Z107" i="1"/>
  <c r="Y116" i="1"/>
  <c r="BP111" i="1"/>
  <c r="BN111" i="1"/>
  <c r="Z111" i="1"/>
  <c r="BP115" i="1"/>
  <c r="BN115" i="1"/>
  <c r="Z115" i="1"/>
  <c r="Y117" i="1"/>
  <c r="Y124" i="1"/>
  <c r="BP119" i="1"/>
  <c r="BN119" i="1"/>
  <c r="Z119" i="1"/>
  <c r="Y123" i="1"/>
  <c r="BP132" i="1"/>
  <c r="BN132" i="1"/>
  <c r="Z132" i="1"/>
  <c r="Z133" i="1" s="1"/>
  <c r="Y134" i="1"/>
  <c r="Y139" i="1"/>
  <c r="BP136" i="1"/>
  <c r="BN136" i="1"/>
  <c r="Z136" i="1"/>
  <c r="Z138" i="1" s="1"/>
  <c r="Y143" i="1"/>
  <c r="BP149" i="1"/>
  <c r="BN149" i="1"/>
  <c r="Z149" i="1"/>
  <c r="BP162" i="1"/>
  <c r="BN162" i="1"/>
  <c r="Z162" i="1"/>
  <c r="Y169" i="1"/>
  <c r="BP166" i="1"/>
  <c r="BN166" i="1"/>
  <c r="Z166" i="1"/>
  <c r="Z168" i="1" s="1"/>
  <c r="Y181" i="1"/>
  <c r="BP174" i="1"/>
  <c r="BN174" i="1"/>
  <c r="Z174" i="1"/>
  <c r="BP178" i="1"/>
  <c r="BN178" i="1"/>
  <c r="Z178" i="1"/>
  <c r="F9" i="1"/>
  <c r="J9" i="1"/>
  <c r="Y41" i="1"/>
  <c r="Y51" i="1"/>
  <c r="E556" i="1"/>
  <c r="Y62" i="1"/>
  <c r="BP67" i="1"/>
  <c r="BN67" i="1"/>
  <c r="Z67" i="1"/>
  <c r="BP79" i="1"/>
  <c r="BN79" i="1"/>
  <c r="Z79" i="1"/>
  <c r="Y81" i="1"/>
  <c r="F556" i="1"/>
  <c r="Y91" i="1"/>
  <c r="BP84" i="1"/>
  <c r="BN84" i="1"/>
  <c r="Z84" i="1"/>
  <c r="Z90" i="1" s="1"/>
  <c r="BP88" i="1"/>
  <c r="BN88" i="1"/>
  <c r="Z88" i="1"/>
  <c r="BP96" i="1"/>
  <c r="BN96" i="1"/>
  <c r="Z96" i="1"/>
  <c r="Y98" i="1"/>
  <c r="G556" i="1"/>
  <c r="Y108" i="1"/>
  <c r="BP101" i="1"/>
  <c r="BN101" i="1"/>
  <c r="Z101" i="1"/>
  <c r="Z108" i="1" s="1"/>
  <c r="BP105" i="1"/>
  <c r="BN105" i="1"/>
  <c r="Z105" i="1"/>
  <c r="BP113" i="1"/>
  <c r="BN113" i="1"/>
  <c r="Z113" i="1"/>
  <c r="BP121" i="1"/>
  <c r="BN121" i="1"/>
  <c r="Z121" i="1"/>
  <c r="BP142" i="1"/>
  <c r="BN142" i="1"/>
  <c r="Z142" i="1"/>
  <c r="Z143" i="1" s="1"/>
  <c r="Y144" i="1"/>
  <c r="I556" i="1"/>
  <c r="Y152" i="1"/>
  <c r="BP147" i="1"/>
  <c r="BN147" i="1"/>
  <c r="Z147" i="1"/>
  <c r="Z151" i="1" s="1"/>
  <c r="Y151" i="1"/>
  <c r="BP160" i="1"/>
  <c r="BN160" i="1"/>
  <c r="Z160" i="1"/>
  <c r="Z163" i="1" s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6" i="1" s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49" i="1"/>
  <c r="Y252" i="1"/>
  <c r="Y256" i="1"/>
  <c r="BP261" i="1"/>
  <c r="BN261" i="1"/>
  <c r="Z261" i="1"/>
  <c r="H556" i="1"/>
  <c r="Y133" i="1"/>
  <c r="J556" i="1"/>
  <c r="Y163" i="1"/>
  <c r="K556" i="1"/>
  <c r="Z200" i="1"/>
  <c r="BN200" i="1"/>
  <c r="Z202" i="1"/>
  <c r="BN202" i="1"/>
  <c r="Z204" i="1"/>
  <c r="BN204" i="1"/>
  <c r="Y207" i="1"/>
  <c r="Y212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Z265" i="1"/>
  <c r="BN265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6" i="1"/>
  <c r="Z292" i="1"/>
  <c r="Z298" i="1" s="1"/>
  <c r="BN292" i="1"/>
  <c r="BP292" i="1"/>
  <c r="Z294" i="1"/>
  <c r="BN294" i="1"/>
  <c r="Z296" i="1"/>
  <c r="BN296" i="1"/>
  <c r="Y299" i="1"/>
  <c r="Z310" i="1"/>
  <c r="Z311" i="1" s="1"/>
  <c r="BN310" i="1"/>
  <c r="BP310" i="1"/>
  <c r="Z315" i="1"/>
  <c r="BN315" i="1"/>
  <c r="BP315" i="1"/>
  <c r="Z317" i="1"/>
  <c r="BN317" i="1"/>
  <c r="Z319" i="1"/>
  <c r="BN319" i="1"/>
  <c r="Y322" i="1"/>
  <c r="Q556" i="1"/>
  <c r="Z326" i="1"/>
  <c r="Z328" i="1" s="1"/>
  <c r="BN326" i="1"/>
  <c r="BP326" i="1"/>
  <c r="Y329" i="1"/>
  <c r="R556" i="1"/>
  <c r="Z333" i="1"/>
  <c r="BN333" i="1"/>
  <c r="BP333" i="1"/>
  <c r="Z335" i="1"/>
  <c r="BN335" i="1"/>
  <c r="Y336" i="1"/>
  <c r="Z339" i="1"/>
  <c r="BN339" i="1"/>
  <c r="BP339" i="1"/>
  <c r="Z341" i="1"/>
  <c r="BN341" i="1"/>
  <c r="Y342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Z359" i="1"/>
  <c r="BN359" i="1"/>
  <c r="Y360" i="1"/>
  <c r="Z363" i="1"/>
  <c r="BN363" i="1"/>
  <c r="BP363" i="1"/>
  <c r="Z365" i="1"/>
  <c r="BN365" i="1"/>
  <c r="Z367" i="1"/>
  <c r="BN367" i="1"/>
  <c r="Z369" i="1"/>
  <c r="BN369" i="1"/>
  <c r="Y370" i="1"/>
  <c r="Z373" i="1"/>
  <c r="BN373" i="1"/>
  <c r="BP373" i="1"/>
  <c r="Z375" i="1"/>
  <c r="BN375" i="1"/>
  <c r="Y378" i="1"/>
  <c r="Z381" i="1"/>
  <c r="BN381" i="1"/>
  <c r="Y384" i="1"/>
  <c r="Z387" i="1"/>
  <c r="BN387" i="1"/>
  <c r="Z389" i="1"/>
  <c r="BN389" i="1"/>
  <c r="Y390" i="1"/>
  <c r="Z393" i="1"/>
  <c r="BN393" i="1"/>
  <c r="BP393" i="1"/>
  <c r="Z395" i="1"/>
  <c r="BN395" i="1"/>
  <c r="Y396" i="1"/>
  <c r="Z399" i="1"/>
  <c r="BN399" i="1"/>
  <c r="BP399" i="1"/>
  <c r="Z401" i="1"/>
  <c r="BN401" i="1"/>
  <c r="Y402" i="1"/>
  <c r="Y409" i="1"/>
  <c r="Z413" i="1"/>
  <c r="BN413" i="1"/>
  <c r="Y416" i="1"/>
  <c r="BP423" i="1"/>
  <c r="BN423" i="1"/>
  <c r="Z423" i="1"/>
  <c r="BP427" i="1"/>
  <c r="BN427" i="1"/>
  <c r="Z427" i="1"/>
  <c r="Y321" i="1"/>
  <c r="Y350" i="1"/>
  <c r="Y361" i="1"/>
  <c r="BN394" i="1"/>
  <c r="Z400" i="1"/>
  <c r="BN400" i="1"/>
  <c r="Z407" i="1"/>
  <c r="Z408" i="1" s="1"/>
  <c r="BN407" i="1"/>
  <c r="Y408" i="1"/>
  <c r="Z412" i="1"/>
  <c r="Z415" i="1" s="1"/>
  <c r="BN412" i="1"/>
  <c r="BP412" i="1"/>
  <c r="Z414" i="1"/>
  <c r="BN414" i="1"/>
  <c r="Y415" i="1"/>
  <c r="BP421" i="1"/>
  <c r="BN421" i="1"/>
  <c r="Z421" i="1"/>
  <c r="BP425" i="1"/>
  <c r="BN425" i="1"/>
  <c r="Z425" i="1"/>
  <c r="W556" i="1"/>
  <c r="Y428" i="1"/>
  <c r="Z431" i="1"/>
  <c r="BN431" i="1"/>
  <c r="BP431" i="1"/>
  <c r="Z433" i="1"/>
  <c r="BN433" i="1"/>
  <c r="Y434" i="1"/>
  <c r="Z437" i="1"/>
  <c r="BN437" i="1"/>
  <c r="BP437" i="1"/>
  <c r="Z439" i="1"/>
  <c r="BN439" i="1"/>
  <c r="Y440" i="1"/>
  <c r="Z443" i="1"/>
  <c r="Z445" i="1" s="1"/>
  <c r="BN443" i="1"/>
  <c r="BP443" i="1"/>
  <c r="Y446" i="1"/>
  <c r="Z450" i="1"/>
  <c r="Z451" i="1" s="1"/>
  <c r="BN450" i="1"/>
  <c r="BP450" i="1"/>
  <c r="Y451" i="1"/>
  <c r="Z454" i="1"/>
  <c r="Z455" i="1" s="1"/>
  <c r="BN454" i="1"/>
  <c r="BP454" i="1"/>
  <c r="Y455" i="1"/>
  <c r="Z458" i="1"/>
  <c r="BN458" i="1"/>
  <c r="BP458" i="1"/>
  <c r="Z460" i="1"/>
  <c r="BN460" i="1"/>
  <c r="Y461" i="1"/>
  <c r="Z466" i="1"/>
  <c r="BN466" i="1"/>
  <c r="Z468" i="1"/>
  <c r="BN468" i="1"/>
  <c r="Z470" i="1"/>
  <c r="BN470" i="1"/>
  <c r="BP485" i="1"/>
  <c r="BN485" i="1"/>
  <c r="Z485" i="1"/>
  <c r="Z487" i="1" s="1"/>
  <c r="AA556" i="1"/>
  <c r="BP495" i="1"/>
  <c r="BN495" i="1"/>
  <c r="Z495" i="1"/>
  <c r="BP499" i="1"/>
  <c r="BN499" i="1"/>
  <c r="Z499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429" i="1"/>
  <c r="Y556" i="1"/>
  <c r="Y473" i="1"/>
  <c r="Y472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Z516" i="1" s="1"/>
  <c r="BP513" i="1"/>
  <c r="BN513" i="1"/>
  <c r="Z513" i="1"/>
  <c r="AB556" i="1"/>
  <c r="Y500" i="1"/>
  <c r="Y545" i="1"/>
  <c r="Z500" i="1" l="1"/>
  <c r="Z390" i="1"/>
  <c r="Z282" i="1"/>
  <c r="Z206" i="1"/>
  <c r="Y547" i="1"/>
  <c r="Y550" i="1"/>
  <c r="Z50" i="1"/>
  <c r="Z41" i="1"/>
  <c r="Y548" i="1"/>
  <c r="Z428" i="1"/>
  <c r="Z336" i="1"/>
  <c r="Z241" i="1"/>
  <c r="Z235" i="1"/>
  <c r="Z227" i="1"/>
  <c r="Z181" i="1"/>
  <c r="Z267" i="1"/>
  <c r="Z506" i="1"/>
  <c r="Z472" i="1"/>
  <c r="Z461" i="1"/>
  <c r="Z440" i="1"/>
  <c r="Z434" i="1"/>
  <c r="Z402" i="1"/>
  <c r="Z396" i="1"/>
  <c r="Z377" i="1"/>
  <c r="Z370" i="1"/>
  <c r="Z360" i="1"/>
  <c r="Z349" i="1"/>
  <c r="Z342" i="1"/>
  <c r="Z321" i="1"/>
  <c r="Z123" i="1"/>
  <c r="Z116" i="1"/>
  <c r="Z97" i="1"/>
  <c r="Z80" i="1"/>
  <c r="Z62" i="1"/>
  <c r="Z551" i="1" s="1"/>
  <c r="Y546" i="1"/>
  <c r="X549" i="1"/>
  <c r="Y549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<sst xmlns="http://schemas.openxmlformats.org/spreadsheetml/2006/main" count="2462" uniqueCount="893">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</sst>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13</v>
      </c>
      <c r="Y28" s="618">
        <f>IFERROR(IF(X28="",0,CEILING((X28/$H28),1)*$H28),"")</f>
        <v>14.4</v>
      </c>
      <c r="Z28" s="36">
        <f>IFERROR(IF(Y28=0,"",ROUNDUP(Y28/H28,0)*0.00651),"")</f>
        <v>5.2080000000000001E-2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22.966666666666669</v>
      </c>
      <c r="BN28" s="64">
        <f>IFERROR(Y28*I28/H28,"0")</f>
        <v>25.44</v>
      </c>
      <c r="BO28" s="64">
        <f>IFERROR(1/J28*(X28/H28),"0")</f>
        <v>3.9682539682539687E-2</v>
      </c>
      <c r="BP28" s="64">
        <f>IFERROR(1/J28*(Y28/H28),"0")</f>
        <v>4.3956043956043959E-2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27</v>
      </c>
      <c r="Y29" s="618">
        <f>IFERROR(IF(X29="",0,CEILING((X29/$H29),1)*$H29),"")</f>
        <v>27</v>
      </c>
      <c r="Z29" s="36">
        <f>IFERROR(IF(Y29=0,"",ROUNDUP(Y29/H29,0)*0.00651),"")</f>
        <v>9.7650000000000001E-2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47.699999999999996</v>
      </c>
      <c r="BN29" s="64">
        <f>IFERROR(Y29*I29/H29,"0")</f>
        <v>47.699999999999996</v>
      </c>
      <c r="BO29" s="64">
        <f>IFERROR(1/J29*(X29/H29),"0")</f>
        <v>8.241758241758243E-2</v>
      </c>
      <c r="BP29" s="64">
        <f>IFERROR(1/J29*(Y29/H29),"0")</f>
        <v>8.241758241758243E-2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22.222222222222221</v>
      </c>
      <c r="Y31" s="619">
        <f>IFERROR(Y26/H26,"0")+IFERROR(Y27/H27,"0")+IFERROR(Y28/H28,"0")+IFERROR(Y29/H29,"0")+IFERROR(Y30/H30,"0")</f>
        <v>23</v>
      </c>
      <c r="Z31" s="619">
        <f>IFERROR(IF(Z26="",0,Z26),"0")+IFERROR(IF(Z27="",0,Z27),"0")+IFERROR(IF(Z28="",0,Z28),"0")+IFERROR(IF(Z29="",0,Z29),"0")+IFERROR(IF(Z30="",0,Z30),"0")</f>
        <v>0.14973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40</v>
      </c>
      <c r="Y32" s="619">
        <f>IFERROR(SUM(Y26:Y30),"0")</f>
        <v>41.4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55</v>
      </c>
      <c r="Y49" s="618">
        <f>IFERROR(IF(X49="",0,CEILING((X49/$H49),1)*$H49),"")</f>
        <v>55.5</v>
      </c>
      <c r="Z49" s="36">
        <f>IFERROR(IF(Y49=0,"",ROUNDUP(Y49/H49,0)*0.00902),"")</f>
        <v>0.1353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57.824324324324323</v>
      </c>
      <c r="BN49" s="64">
        <f>IFERROR(Y49*I49/H49,"0")</f>
        <v>58.35</v>
      </c>
      <c r="BO49" s="64">
        <f>IFERROR(1/J49*(X49/H49),"0")</f>
        <v>0.11261261261261261</v>
      </c>
      <c r="BP49" s="64">
        <f>IFERROR(1/J49*(Y49/H49),"0")</f>
        <v>0.11363636363636365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14.864864864864865</v>
      </c>
      <c r="Y50" s="619">
        <f>IFERROR(Y46/H46,"0")+IFERROR(Y47/H47,"0")+IFERROR(Y48/H48,"0")+IFERROR(Y49/H49,"0")</f>
        <v>15</v>
      </c>
      <c r="Z50" s="619">
        <f>IFERROR(IF(Z46="",0,Z46),"0")+IFERROR(IF(Z47="",0,Z47),"0")+IFERROR(IF(Z48="",0,Z48),"0")+IFERROR(IF(Z49="",0,Z49),"0")</f>
        <v>0.1353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55</v>
      </c>
      <c r="Y51" s="619">
        <f>IFERROR(SUM(Y46:Y49),"0")</f>
        <v>55.5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35</v>
      </c>
      <c r="Y54" s="618">
        <f t="shared" ref="Y54:Y61" si="0">IFERROR(IF(X54="",0,CEILING((X54/$H54),1)*$H54),"")</f>
        <v>44.8</v>
      </c>
      <c r="Z54" s="36">
        <f>IFERROR(IF(Y54=0,"",ROUNDUP(Y54/H54,0)*0.01898),"")</f>
        <v>7.5920000000000001E-2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36.28125</v>
      </c>
      <c r="BN54" s="64">
        <f t="shared" ref="BN54:BN61" si="2">IFERROR(Y54*I54/H54,"0")</f>
        <v>46.44</v>
      </c>
      <c r="BO54" s="64">
        <f t="shared" ref="BO54:BO61" si="3">IFERROR(1/J54*(X54/H54),"0")</f>
        <v>4.8828125E-2</v>
      </c>
      <c r="BP54" s="64">
        <f t="shared" ref="BP54:BP61" si="4">IFERROR(1/J54*(Y54/H54),"0")</f>
        <v>6.25E-2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59</v>
      </c>
      <c r="Y55" s="618">
        <f t="shared" si="0"/>
        <v>64.800000000000011</v>
      </c>
      <c r="Z55" s="36">
        <f>IFERROR(IF(Y55=0,"",ROUNDUP(Y55/H55,0)*0.01898),"")</f>
        <v>0.11388000000000001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61.239814814814821</v>
      </c>
      <c r="BN55" s="64">
        <f t="shared" si="2"/>
        <v>67.260000000000005</v>
      </c>
      <c r="BO55" s="64">
        <f t="shared" si="3"/>
        <v>8.5358796296296294E-2</v>
      </c>
      <c r="BP55" s="64">
        <f t="shared" si="4"/>
        <v>9.3750000000000014E-2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9.5879629629629619</v>
      </c>
      <c r="Y62" s="619">
        <f>IFERROR(Y54/H54,"0")+IFERROR(Y55/H55,"0")+IFERROR(Y56/H56,"0")+IFERROR(Y57/H57,"0")+IFERROR(Y58/H58,"0")+IFERROR(Y59/H59,"0")+IFERROR(Y60/H60,"0")+IFERROR(Y61/H61,"0")</f>
        <v>11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0.19882000000000002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98</v>
      </c>
      <c r="Y63" s="619">
        <f>IFERROR(SUM(Y54:Y61),"0")</f>
        <v>113.60000000000001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220</v>
      </c>
      <c r="Y77" s="618">
        <f>IFERROR(IF(X77="",0,CEILING((X77/$H77),1)*$H77),"")</f>
        <v>226.2</v>
      </c>
      <c r="Z77" s="36">
        <f>IFERROR(IF(Y77=0,"",ROUNDUP(Y77/H77,0)*0.01898),"")</f>
        <v>0.55042000000000002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231.5641025641026</v>
      </c>
      <c r="BN77" s="64">
        <f>IFERROR(Y77*I77/H77,"0")</f>
        <v>238.09</v>
      </c>
      <c r="BO77" s="64">
        <f>IFERROR(1/J77*(X77/H77),"0")</f>
        <v>0.44070512820512819</v>
      </c>
      <c r="BP77" s="64">
        <f>IFERROR(1/J77*(Y77/H77),"0")</f>
        <v>0.453125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28.205128205128204</v>
      </c>
      <c r="Y80" s="619">
        <f>IFERROR(Y77/H77,"0")+IFERROR(Y78/H78,"0")+IFERROR(Y79/H79,"0")</f>
        <v>29</v>
      </c>
      <c r="Z80" s="619">
        <f>IFERROR(IF(Z77="",0,Z77),"0")+IFERROR(IF(Z78="",0,Z78),"0")+IFERROR(IF(Z79="",0,Z79),"0")</f>
        <v>0.55042000000000002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220</v>
      </c>
      <c r="Y81" s="619">
        <f>IFERROR(SUM(Y77:Y79),"0")</f>
        <v>226.2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270</v>
      </c>
      <c r="Y84" s="618">
        <f t="shared" ref="Y84:Y89" si="5">IFERROR(IF(X84="",0,CEILING((X84/$H84),1)*$H84),"")</f>
        <v>270</v>
      </c>
      <c r="Z84" s="36">
        <f>IFERROR(IF(Y84=0,"",ROUNDUP(Y84/H84,0)*0.01898),"")</f>
        <v>0.47450000000000003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280.25</v>
      </c>
      <c r="BN84" s="64">
        <f t="shared" ref="BN84:BN89" si="7">IFERROR(Y84*I84/H84,"0")</f>
        <v>280.25</v>
      </c>
      <c r="BO84" s="64">
        <f t="shared" ref="BO84:BO89" si="8">IFERROR(1/J84*(X84/H84),"0")</f>
        <v>0.390625</v>
      </c>
      <c r="BP84" s="64">
        <f t="shared" ref="BP84:BP89" si="9">IFERROR(1/J84*(Y84/H84),"0")</f>
        <v>0.390625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25</v>
      </c>
      <c r="Y90" s="619">
        <f>IFERROR(Y84/H84,"0")+IFERROR(Y85/H85,"0")+IFERROR(Y86/H86,"0")+IFERROR(Y87/H87,"0")+IFERROR(Y88/H88,"0")+IFERROR(Y89/H89,"0")</f>
        <v>25</v>
      </c>
      <c r="Z90" s="619">
        <f>IFERROR(IF(Z84="",0,Z84),"0")+IFERROR(IF(Z85="",0,Z85),"0")+IFERROR(IF(Z86="",0,Z86),"0")+IFERROR(IF(Z87="",0,Z87),"0")+IFERROR(IF(Z88="",0,Z88),"0")+IFERROR(IF(Z89="",0,Z89),"0")</f>
        <v>0.47450000000000003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270</v>
      </c>
      <c r="Y91" s="619">
        <f>IFERROR(SUM(Y84:Y89),"0")</f>
        <v>270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173</v>
      </c>
      <c r="Y101" s="618">
        <f t="shared" ref="Y101:Y107" si="10">IFERROR(IF(X101="",0,CEILING((X101/$H101),1)*$H101),"")</f>
        <v>183.60000000000002</v>
      </c>
      <c r="Z101" s="36">
        <f>IFERROR(IF(Y101=0,"",ROUNDUP(Y101/H101,0)*0.01898),"")</f>
        <v>0.32266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179.5675925925926</v>
      </c>
      <c r="BN101" s="64">
        <f t="shared" ref="BN101:BN107" si="12">IFERROR(Y101*I101/H101,"0")</f>
        <v>190.57000000000002</v>
      </c>
      <c r="BO101" s="64">
        <f t="shared" ref="BO101:BO107" si="13">IFERROR(1/J101*(X101/H101),"0")</f>
        <v>0.25028935185185186</v>
      </c>
      <c r="BP101" s="64">
        <f t="shared" ref="BP101:BP107" si="14">IFERROR(1/J101*(Y101/H101),"0")</f>
        <v>0.265625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16.018518518518519</v>
      </c>
      <c r="Y108" s="619">
        <f>IFERROR(Y101/H101,"0")+IFERROR(Y102/H102,"0")+IFERROR(Y103/H103,"0")+IFERROR(Y104/H104,"0")+IFERROR(Y105/H105,"0")+IFERROR(Y106/H106,"0")+IFERROR(Y107/H107,"0")</f>
        <v>17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0.32266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173</v>
      </c>
      <c r="Y109" s="619">
        <f>IFERROR(SUM(Y101:Y107),"0")</f>
        <v>183.60000000000002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3</v>
      </c>
      <c r="Y115" s="618">
        <f>IFERROR(IF(X115="",0,CEILING((X115/$H115),1)*$H115),"")</f>
        <v>4.8</v>
      </c>
      <c r="Z115" s="36">
        <f>IFERROR(IF(Y115=0,"",ROUNDUP(Y115/H115,0)*0.00651),"")</f>
        <v>1.302E-2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3.2250000000000001</v>
      </c>
      <c r="BN115" s="64">
        <f>IFERROR(Y115*I115/H115,"0")</f>
        <v>5.16</v>
      </c>
      <c r="BO115" s="64">
        <f>IFERROR(1/J115*(X115/H115),"0")</f>
        <v>6.8681318681318689E-3</v>
      </c>
      <c r="BP115" s="64">
        <f>IFERROR(1/J115*(Y115/H115),"0")</f>
        <v>1.098901098901099E-2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1.25</v>
      </c>
      <c r="Y116" s="619">
        <f>IFERROR(Y111/H111,"0")+IFERROR(Y112/H112,"0")+IFERROR(Y113/H113,"0")+IFERROR(Y114/H114,"0")+IFERROR(Y115/H115,"0")</f>
        <v>2</v>
      </c>
      <c r="Z116" s="619">
        <f>IFERROR(IF(Z111="",0,Z111),"0")+IFERROR(IF(Z112="",0,Z112),"0")+IFERROR(IF(Z113="",0,Z113),"0")+IFERROR(IF(Z114="",0,Z114),"0")+IFERROR(IF(Z115="",0,Z115),"0")</f>
        <v>1.302E-2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3</v>
      </c>
      <c r="Y117" s="619">
        <f>IFERROR(SUM(Y111:Y115),"0")</f>
        <v>4.8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529</v>
      </c>
      <c r="Y119" s="618">
        <f>IFERROR(IF(X119="",0,CEILING((X119/$H119),1)*$H119),"")</f>
        <v>534.6</v>
      </c>
      <c r="Z119" s="36">
        <f>IFERROR(IF(Y119=0,"",ROUNDUP(Y119/H119,0)*0.01898),"")</f>
        <v>1.25268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560.87061728395065</v>
      </c>
      <c r="BN119" s="64">
        <f>IFERROR(Y119*I119/H119,"0")</f>
        <v>566.80799999999999</v>
      </c>
      <c r="BO119" s="64">
        <f>IFERROR(1/J119*(X119/H119),"0")</f>
        <v>1.0204475308641976</v>
      </c>
      <c r="BP119" s="64">
        <f>IFERROR(1/J119*(Y119/H119),"0")</f>
        <v>1.03125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65.308641975308646</v>
      </c>
      <c r="Y123" s="619">
        <f>IFERROR(Y119/H119,"0")+IFERROR(Y120/H120,"0")+IFERROR(Y121/H121,"0")+IFERROR(Y122/H122,"0")</f>
        <v>66</v>
      </c>
      <c r="Z123" s="619">
        <f>IFERROR(IF(Z119="",0,Z119),"0")+IFERROR(IF(Z120="",0,Z120),"0")+IFERROR(IF(Z121="",0,Z121),"0")+IFERROR(IF(Z122="",0,Z122),"0")</f>
        <v>1.25268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529</v>
      </c>
      <c r="Y124" s="619">
        <f>IFERROR(SUM(Y119:Y122),"0")</f>
        <v>534.6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30</v>
      </c>
      <c r="Y126" s="618">
        <f>IFERROR(IF(X126="",0,CEILING((X126/$H126),1)*$H126),"")</f>
        <v>31.68</v>
      </c>
      <c r="Z126" s="36">
        <f>IFERROR(IF(Y126=0,"",ROUNDUP(Y126/H126,0)*0.00651),"")</f>
        <v>0.10416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33.909090909090907</v>
      </c>
      <c r="BN126" s="64">
        <f>IFERROR(Y126*I126/H126,"0")</f>
        <v>35.808</v>
      </c>
      <c r="BO126" s="64">
        <f>IFERROR(1/J126*(X126/H126),"0")</f>
        <v>8.3250083250083262E-2</v>
      </c>
      <c r="BP126" s="64">
        <f>IFERROR(1/J126*(Y126/H126),"0")</f>
        <v>8.7912087912087919E-2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15.151515151515152</v>
      </c>
      <c r="Y127" s="619">
        <f>IFERROR(Y126/H126,"0")</f>
        <v>16</v>
      </c>
      <c r="Z127" s="619">
        <f>IFERROR(IF(Z126="",0,Z126),"0")</f>
        <v>0.10416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30</v>
      </c>
      <c r="Y128" s="619">
        <f>IFERROR(SUM(Y126:Y126),"0")</f>
        <v>31.68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43</v>
      </c>
      <c r="Y141" s="618">
        <f>IFERROR(IF(X141="",0,CEILING((X141/$H141),1)*$H141),"")</f>
        <v>44.88</v>
      </c>
      <c r="Z141" s="36">
        <f>IFERROR(IF(Y141=0,"",ROUNDUP(Y141/H141,0)*0.00651),"")</f>
        <v>0.11067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47.36515151515151</v>
      </c>
      <c r="BN141" s="64">
        <f>IFERROR(Y141*I141/H141,"0")</f>
        <v>49.436</v>
      </c>
      <c r="BO141" s="64">
        <f>IFERROR(1/J141*(X141/H141),"0")</f>
        <v>8.9493839493839489E-2</v>
      </c>
      <c r="BP141" s="64">
        <f>IFERROR(1/J141*(Y141/H141),"0")</f>
        <v>9.3406593406593408E-2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16.287878787878785</v>
      </c>
      <c r="Y143" s="619">
        <f>IFERROR(Y141/H141,"0")+IFERROR(Y142/H142,"0")</f>
        <v>17</v>
      </c>
      <c r="Z143" s="619">
        <f>IFERROR(IF(Z141="",0,Z141),"0")+IFERROR(IF(Z142="",0,Z142),"0")</f>
        <v>0.11067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43</v>
      </c>
      <c r="Y144" s="619">
        <f>IFERROR(SUM(Y141:Y142),"0")</f>
        <v>44.88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205</v>
      </c>
      <c r="Y171" s="618">
        <f t="shared" ref="Y171:Y180" si="15">IFERROR(IF(X171="",0,CEILING((X171/$H171),1)*$H171),"")</f>
        <v>206.5</v>
      </c>
      <c r="Z171" s="36">
        <f>IFERROR(IF(Y171=0,"",ROUNDUP(Y171/H171,0)*0.00902),"")</f>
        <v>0.53217999999999999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216.12857142857143</v>
      </c>
      <c r="BN171" s="64">
        <f t="shared" ref="BN171:BN180" si="17">IFERROR(Y171*I171/H171,"0")</f>
        <v>217.71</v>
      </c>
      <c r="BO171" s="64">
        <f t="shared" ref="BO171:BO180" si="18">IFERROR(1/J171*(X171/H171),"0")</f>
        <v>0.44372294372294374</v>
      </c>
      <c r="BP171" s="64">
        <f t="shared" ref="BP171:BP180" si="19">IFERROR(1/J171*(Y171/H171),"0")</f>
        <v>0.44696969696969696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102</v>
      </c>
      <c r="Y173" s="618">
        <f t="shared" si="15"/>
        <v>105</v>
      </c>
      <c r="Z173" s="36">
        <f>IFERROR(IF(Y173=0,"",ROUNDUP(Y173/H173,0)*0.00902),"")</f>
        <v>0.27060000000000001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107.53714285714285</v>
      </c>
      <c r="BN173" s="64">
        <f t="shared" si="17"/>
        <v>110.7</v>
      </c>
      <c r="BO173" s="64">
        <f t="shared" si="18"/>
        <v>0.22077922077922077</v>
      </c>
      <c r="BP173" s="64">
        <f t="shared" si="19"/>
        <v>0.22727272727272729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3</v>
      </c>
      <c r="Y175" s="618">
        <f t="shared" si="15"/>
        <v>3.6</v>
      </c>
      <c r="Z175" s="36">
        <f>IFERROR(IF(Y175=0,"",ROUNDUP(Y175/H175,0)*0.00726),"")</f>
        <v>2.904E-2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3.7</v>
      </c>
      <c r="BN175" s="64">
        <f t="shared" si="17"/>
        <v>4.4400000000000004</v>
      </c>
      <c r="BO175" s="64">
        <f t="shared" si="18"/>
        <v>1.7361111111111108E-2</v>
      </c>
      <c r="BP175" s="64">
        <f t="shared" si="19"/>
        <v>2.0833333333333332E-2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31</v>
      </c>
      <c r="Y178" s="618">
        <f t="shared" si="15"/>
        <v>31.919999999999998</v>
      </c>
      <c r="Z178" s="36">
        <f>IFERROR(IF(Y178=0,"",ROUNDUP(Y178/H178,0)*0.00502),"")</f>
        <v>9.5380000000000006E-2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32.845238095238095</v>
      </c>
      <c r="BN178" s="64">
        <f t="shared" si="17"/>
        <v>33.82</v>
      </c>
      <c r="BO178" s="64">
        <f t="shared" si="18"/>
        <v>7.8856328856328858E-2</v>
      </c>
      <c r="BP178" s="64">
        <f t="shared" si="19"/>
        <v>8.11965811965812E-2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109.49999999999999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112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0.92720000000000002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341</v>
      </c>
      <c r="Y182" s="619">
        <f>IFERROR(SUM(Y171:Y180),"0")</f>
        <v>347.02000000000004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140</v>
      </c>
      <c r="Y214" s="618">
        <f t="shared" ref="Y214:Y226" si="26">IFERROR(IF(X214="",0,CEILING((X214/$H214),1)*$H214),"")</f>
        <v>142.80000000000001</v>
      </c>
      <c r="Z214" s="36">
        <f>IFERROR(IF(Y214=0,"",ROUNDUP(Y214/H214,0)*0.00902),"")</f>
        <v>0.30668000000000001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148.33333333333331</v>
      </c>
      <c r="BN214" s="64">
        <f t="shared" ref="BN214:BN226" si="28">IFERROR(Y214*I214/H214,"0")</f>
        <v>151.30000000000001</v>
      </c>
      <c r="BO214" s="64">
        <f t="shared" ref="BO214:BO226" si="29">IFERROR(1/J214*(X214/H214),"0")</f>
        <v>0.25252525252525249</v>
      </c>
      <c r="BP214" s="64">
        <f t="shared" ref="BP214:BP226" si="30">IFERROR(1/J214*(Y214/H214),"0")</f>
        <v>0.25757575757575757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5</v>
      </c>
      <c r="Y217" s="618">
        <f t="shared" si="26"/>
        <v>5.6000000000000005</v>
      </c>
      <c r="Z217" s="36">
        <f>IFERROR(IF(Y217=0,"",ROUNDUP(Y217/H217,0)*0.00556),"")</f>
        <v>3.8919999999999996E-2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5.8125</v>
      </c>
      <c r="BN217" s="64">
        <f t="shared" si="28"/>
        <v>6.5100000000000007</v>
      </c>
      <c r="BO217" s="64">
        <f t="shared" si="29"/>
        <v>2.48015873015873E-2</v>
      </c>
      <c r="BP217" s="64">
        <f t="shared" si="30"/>
        <v>2.7777777777777776E-2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11</v>
      </c>
      <c r="Y223" s="618">
        <f t="shared" si="26"/>
        <v>11.200000000000001</v>
      </c>
      <c r="Z223" s="36">
        <f>IFERROR(IF(Y223=0,"",ROUNDUP(Y223/H223,0)*0.00417),"")</f>
        <v>5.8380000000000001E-2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13.887499999999999</v>
      </c>
      <c r="BN223" s="64">
        <f t="shared" si="28"/>
        <v>14.14</v>
      </c>
      <c r="BO223" s="64">
        <f t="shared" si="29"/>
        <v>4.0922619047619048E-2</v>
      </c>
      <c r="BP223" s="64">
        <f t="shared" si="30"/>
        <v>4.1666666666666664E-2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53.333333333333329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55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0.40398000000000001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156</v>
      </c>
      <c r="Y228" s="619">
        <f>IFERROR(SUM(Y214:Y226),"0")</f>
        <v>159.6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4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3.1746031746031744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4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248</v>
      </c>
      <c r="Y259" s="618">
        <f t="shared" ref="Y259:Y266" si="31">IFERROR(IF(X259="",0,CEILING((X259/$H259),1)*$H259),"")</f>
        <v>248.4</v>
      </c>
      <c r="Z259" s="36">
        <f>IFERROR(IF(Y259=0,"",ROUNDUP(Y259/H259,0)*0.00902),"")</f>
        <v>0.41492000000000001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256.72592592592588</v>
      </c>
      <c r="BN259" s="64">
        <f t="shared" ref="BN259:BN266" si="33">IFERROR(Y259*I259/H259,"0")</f>
        <v>257.14</v>
      </c>
      <c r="BO259" s="64">
        <f t="shared" ref="BO259:BO266" si="34">IFERROR(1/J259*(X259/H259),"0")</f>
        <v>0.34792368125701456</v>
      </c>
      <c r="BP259" s="64">
        <f t="shared" ref="BP259:BP266" si="35">IFERROR(1/J259*(Y259/H259),"0")</f>
        <v>0.34848484848484851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152</v>
      </c>
      <c r="Y260" s="618">
        <f t="shared" si="31"/>
        <v>156.60000000000002</v>
      </c>
      <c r="Z260" s="36">
        <f>IFERROR(IF(Y260=0,"",ROUNDUP(Y260/H260,0)*0.00902),"")</f>
        <v>0.26158000000000003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157.34814814814814</v>
      </c>
      <c r="BN260" s="64">
        <f t="shared" si="33"/>
        <v>162.11000000000001</v>
      </c>
      <c r="BO260" s="64">
        <f t="shared" si="34"/>
        <v>0.21324354657687988</v>
      </c>
      <c r="BP260" s="64">
        <f t="shared" si="35"/>
        <v>0.21969696969696972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40</v>
      </c>
      <c r="Y261" s="618">
        <f t="shared" si="31"/>
        <v>43.2</v>
      </c>
      <c r="Z261" s="36">
        <f>IFERROR(IF(Y261=0,"",ROUNDUP(Y261/H261,0)*0.00902),"")</f>
        <v>7.2160000000000002E-2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41.407407407407405</v>
      </c>
      <c r="BN261" s="64">
        <f t="shared" si="33"/>
        <v>44.72</v>
      </c>
      <c r="BO261" s="64">
        <f t="shared" si="34"/>
        <v>5.6116722783389444E-2</v>
      </c>
      <c r="BP261" s="64">
        <f t="shared" si="35"/>
        <v>6.0606060606060608E-2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81.481481481481481</v>
      </c>
      <c r="Y267" s="619">
        <f>IFERROR(Y259/H259,"0")+IFERROR(Y260/H260,"0")+IFERROR(Y261/H261,"0")+IFERROR(Y262/H262,"0")+IFERROR(Y263/H263,"0")+IFERROR(Y264/H264,"0")+IFERROR(Y265/H265,"0")+IFERROR(Y266/H266,"0")</f>
        <v>83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0.7486600000000001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440</v>
      </c>
      <c r="Y268" s="619">
        <f>IFERROR(SUM(Y259:Y266),"0")</f>
        <v>448.2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84</v>
      </c>
      <c r="Y271" s="618">
        <f t="shared" si="36"/>
        <v>89.1</v>
      </c>
      <c r="Z271" s="36">
        <f>IFERROR(IF(Y271=0,"",ROUNDUP(Y271/H271,0)*0.01898),"")</f>
        <v>0.20877999999999999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88.936296296296305</v>
      </c>
      <c r="BN271" s="64">
        <f t="shared" si="38"/>
        <v>94.335999999999999</v>
      </c>
      <c r="BO271" s="64">
        <f t="shared" si="39"/>
        <v>0.16203703703703703</v>
      </c>
      <c r="BP271" s="64">
        <f t="shared" si="40"/>
        <v>0.171875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348</v>
      </c>
      <c r="Y273" s="618">
        <f t="shared" si="36"/>
        <v>348</v>
      </c>
      <c r="Z273" s="36">
        <f>IFERROR(IF(Y273=0,"",ROUNDUP(Y273/H273,0)*0.00651),"")</f>
        <v>0.94395000000000007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387.15</v>
      </c>
      <c r="BN273" s="64">
        <f t="shared" si="38"/>
        <v>387.15</v>
      </c>
      <c r="BO273" s="64">
        <f t="shared" si="39"/>
        <v>0.79670329670329676</v>
      </c>
      <c r="BP273" s="64">
        <f t="shared" si="40"/>
        <v>0.79670329670329676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127</v>
      </c>
      <c r="Y276" s="618">
        <f t="shared" si="36"/>
        <v>127.19999999999999</v>
      </c>
      <c r="Z276" s="36">
        <f>IFERROR(IF(Y276=0,"",ROUNDUP(Y276/H276,0)*0.00651),"")</f>
        <v>0.34503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140.33500000000001</v>
      </c>
      <c r="BN276" s="64">
        <f t="shared" si="38"/>
        <v>140.55599999999998</v>
      </c>
      <c r="BO276" s="64">
        <f t="shared" si="39"/>
        <v>0.29075091575091577</v>
      </c>
      <c r="BP276" s="64">
        <f t="shared" si="40"/>
        <v>0.29120879120879123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80</v>
      </c>
      <c r="Y280" s="618">
        <f t="shared" si="36"/>
        <v>81.599999999999994</v>
      </c>
      <c r="Z280" s="36">
        <f>IFERROR(IF(Y280=0,"",ROUNDUP(Y280/H280,0)*0.00651),"")</f>
        <v>0.22134000000000001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88.6</v>
      </c>
      <c r="BN280" s="64">
        <f t="shared" si="38"/>
        <v>90.371999999999986</v>
      </c>
      <c r="BO280" s="64">
        <f t="shared" si="39"/>
        <v>0.18315018315018317</v>
      </c>
      <c r="BP280" s="64">
        <f t="shared" si="40"/>
        <v>0.18681318681318682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241.62037037037041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243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1.7191000000000001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639</v>
      </c>
      <c r="Y283" s="619">
        <f>IFERROR(SUM(Y270:Y281),"0")</f>
        <v>645.9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5</v>
      </c>
      <c r="Y305" s="618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5.4861111111111107</v>
      </c>
      <c r="BN305" s="64">
        <f>IFERROR(Y305*I305/H305,"0")</f>
        <v>5.9250000000000007</v>
      </c>
      <c r="BO305" s="64">
        <f>IFERROR(1/J305*(X305/H305),"0")</f>
        <v>1.2860082304526748E-2</v>
      </c>
      <c r="BP305" s="64">
        <f>IFERROR(1/J305*(Y305/H305),"0")</f>
        <v>1.3888888888888888E-2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2.7777777777777777</v>
      </c>
      <c r="Y306" s="619">
        <f>IFERROR(Y305/H305,"0")</f>
        <v>3</v>
      </c>
      <c r="Z306" s="619">
        <f>IFERROR(IF(Z305="",0,Z305),"0")</f>
        <v>1.77E-2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5</v>
      </c>
      <c r="Y307" s="619">
        <f>IFERROR(SUM(Y305:Y305),"0")</f>
        <v>5.4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20</v>
      </c>
      <c r="Y326" s="618">
        <f>IFERROR(IF(X326="",0,CEILING((X326/$H326),1)*$H326),"")</f>
        <v>21.599999999999998</v>
      </c>
      <c r="Z326" s="36">
        <f>IFERROR(IF(Y326=0,"",ROUNDUP(Y326/H326,0)*0.00651),"")</f>
        <v>5.8590000000000003E-2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22.100000000000005</v>
      </c>
      <c r="BN326" s="64">
        <f>IFERROR(Y326*I326/H326,"0")</f>
        <v>23.868000000000002</v>
      </c>
      <c r="BO326" s="64">
        <f>IFERROR(1/J326*(X326/H326),"0")</f>
        <v>4.5787545787545791E-2</v>
      </c>
      <c r="BP326" s="64">
        <f>IFERROR(1/J326*(Y326/H326),"0")</f>
        <v>4.9450549450549455E-2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59</v>
      </c>
      <c r="Y327" s="618">
        <f>IFERROR(IF(X327="",0,CEILING((X327/$H327),1)*$H327),"")</f>
        <v>60</v>
      </c>
      <c r="Z327" s="36">
        <f>IFERROR(IF(Y327=0,"",ROUNDUP(Y327/H327,0)*0.00651),"")</f>
        <v>0.16275000000000001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63.425000000000004</v>
      </c>
      <c r="BN327" s="64">
        <f>IFERROR(Y327*I327/H327,"0")</f>
        <v>64.500000000000014</v>
      </c>
      <c r="BO327" s="64">
        <f>IFERROR(1/J327*(X327/H327),"0")</f>
        <v>0.13507326007326009</v>
      </c>
      <c r="BP327" s="64">
        <f>IFERROR(1/J327*(Y327/H327),"0")</f>
        <v>0.13736263736263737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32.916666666666671</v>
      </c>
      <c r="Y328" s="619">
        <f>IFERROR(Y325/H325,"0")+IFERROR(Y326/H326,"0")+IFERROR(Y327/H327,"0")</f>
        <v>34</v>
      </c>
      <c r="Z328" s="619">
        <f>IFERROR(IF(Z325="",0,Z325),"0")+IFERROR(IF(Z326="",0,Z326),"0")+IFERROR(IF(Z327="",0,Z327),"0")</f>
        <v>0.22134000000000001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79</v>
      </c>
      <c r="Y329" s="619">
        <f>IFERROR(SUM(Y325:Y327),"0")</f>
        <v>81.599999999999994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75</v>
      </c>
      <c r="Y346" s="618">
        <f>IFERROR(IF(X346="",0,CEILING((X346/$H346),1)*$H346),"")</f>
        <v>78</v>
      </c>
      <c r="Z346" s="36">
        <f>IFERROR(IF(Y346=0,"",ROUNDUP(Y346/H346,0)*0.01898),"")</f>
        <v>0.1898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78.942307692307708</v>
      </c>
      <c r="BN346" s="64">
        <f>IFERROR(Y346*I346/H346,"0")</f>
        <v>82.100000000000023</v>
      </c>
      <c r="BO346" s="64">
        <f>IFERROR(1/J346*(X346/H346),"0")</f>
        <v>0.15024038461538461</v>
      </c>
      <c r="BP346" s="64">
        <f>IFERROR(1/J346*(Y346/H346),"0")</f>
        <v>0.15625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83</v>
      </c>
      <c r="Y347" s="618">
        <f>IFERROR(IF(X347="",0,CEILING((X347/$H347),1)*$H347),"")</f>
        <v>85.8</v>
      </c>
      <c r="Z347" s="36">
        <f>IFERROR(IF(Y347=0,"",ROUNDUP(Y347/H347,0)*0.01898),"")</f>
        <v>0.20877999999999999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87.36282051282052</v>
      </c>
      <c r="BN347" s="64">
        <f>IFERROR(Y347*I347/H347,"0")</f>
        <v>90.31</v>
      </c>
      <c r="BO347" s="64">
        <f>IFERROR(1/J347*(X347/H347),"0")</f>
        <v>0.16626602564102563</v>
      </c>
      <c r="BP347" s="64">
        <f>IFERROR(1/J347*(Y347/H347),"0")</f>
        <v>0.171875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20.256410256410255</v>
      </c>
      <c r="Y349" s="619">
        <f>IFERROR(Y346/H346,"0")+IFERROR(Y347/H347,"0")+IFERROR(Y348/H348,"0")</f>
        <v>21</v>
      </c>
      <c r="Z349" s="619">
        <f>IFERROR(IF(Z346="",0,Z346),"0")+IFERROR(IF(Z347="",0,Z347),"0")+IFERROR(IF(Z348="",0,Z348),"0")</f>
        <v>0.39857999999999999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158</v>
      </c>
      <c r="Y350" s="619">
        <f>IFERROR(SUM(Y346:Y348),"0")</f>
        <v>163.80000000000001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67</v>
      </c>
      <c r="Y369" s="618">
        <f t="shared" si="56"/>
        <v>68.400000000000006</v>
      </c>
      <c r="Z369" s="36">
        <f>IFERROR(IF(Y369=0,"",ROUNDUP(Y369/H369,0)*0.00651),"")</f>
        <v>0.24738000000000002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75.486666666666665</v>
      </c>
      <c r="BN369" s="64">
        <f t="shared" si="58"/>
        <v>77.064000000000007</v>
      </c>
      <c r="BO369" s="64">
        <f t="shared" si="59"/>
        <v>0.20451770451770454</v>
      </c>
      <c r="BP369" s="64">
        <f t="shared" si="60"/>
        <v>0.2087912087912088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37.222222222222221</v>
      </c>
      <c r="Y370" s="619">
        <f>IFERROR(Y363/H363,"0")+IFERROR(Y364/H364,"0")+IFERROR(Y365/H365,"0")+IFERROR(Y366/H366,"0")+IFERROR(Y367/H367,"0")+IFERROR(Y368/H368,"0")+IFERROR(Y369/H369,"0")</f>
        <v>38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0.24738000000000002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67</v>
      </c>
      <c r="Y371" s="619">
        <f>IFERROR(SUM(Y363:Y369),"0")</f>
        <v>68.400000000000006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458</v>
      </c>
      <c r="Y381" s="618">
        <f>IFERROR(IF(X381="",0,CEILING((X381/$H381),1)*$H381),"")</f>
        <v>460.2</v>
      </c>
      <c r="Z381" s="36">
        <f>IFERROR(IF(Y381=0,"",ROUNDUP(Y381/H381,0)*0.01898),"")</f>
        <v>1.11982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487.00666666666666</v>
      </c>
      <c r="BN381" s="64">
        <f>IFERROR(Y381*I381/H381,"0")</f>
        <v>489.346</v>
      </c>
      <c r="BO381" s="64">
        <f>IFERROR(1/J381*(X381/H381),"0")</f>
        <v>0.91746794871794879</v>
      </c>
      <c r="BP381" s="64">
        <f>IFERROR(1/J381*(Y381/H381),"0")</f>
        <v>0.921875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30</v>
      </c>
      <c r="Y382" s="618">
        <f>IFERROR(IF(X382="",0,CEILING((X382/$H382),1)*$H382),"")</f>
        <v>33.6</v>
      </c>
      <c r="Z382" s="36">
        <f>IFERROR(IF(Y382=0,"",ROUNDUP(Y382/H382,0)*0.01898),"")</f>
        <v>7.5920000000000001E-2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31.764285714285712</v>
      </c>
      <c r="BN382" s="64">
        <f>IFERROR(Y382*I382/H382,"0")</f>
        <v>35.576000000000001</v>
      </c>
      <c r="BO382" s="64">
        <f>IFERROR(1/J382*(X382/H382),"0")</f>
        <v>5.5803571428571425E-2</v>
      </c>
      <c r="BP382" s="64">
        <f>IFERROR(1/J382*(Y382/H382),"0")</f>
        <v>6.25E-2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62.289377289377292</v>
      </c>
      <c r="Y383" s="619">
        <f>IFERROR(Y380/H380,"0")+IFERROR(Y381/H381,"0")+IFERROR(Y382/H382,"0")</f>
        <v>63</v>
      </c>
      <c r="Z383" s="619">
        <f>IFERROR(IF(Z380="",0,Z380),"0")+IFERROR(IF(Z381="",0,Z381),"0")+IFERROR(IF(Z382="",0,Z382),"0")</f>
        <v>1.19574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488</v>
      </c>
      <c r="Y384" s="619">
        <f>IFERROR(SUM(Y380:Y382),"0")</f>
        <v>493.8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4</v>
      </c>
      <c r="Y387" s="618">
        <f>IFERROR(IF(X387="",0,CEILING((X387/$H387),1)*$H387),"")</f>
        <v>6.08</v>
      </c>
      <c r="Z387" s="36">
        <f>IFERROR(IF(Y387=0,"",ROUNDUP(Y387/H387,0)*0.00902),"")</f>
        <v>1.804E-2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4.3026315789473681</v>
      </c>
      <c r="BN387" s="64">
        <f>IFERROR(Y387*I387/H387,"0")</f>
        <v>6.5399999999999991</v>
      </c>
      <c r="BO387" s="64">
        <f>IFERROR(1/J387*(X387/H387),"0")</f>
        <v>9.9681020733652318E-3</v>
      </c>
      <c r="BP387" s="64">
        <f>IFERROR(1/J387*(Y387/H387),"0")</f>
        <v>1.5151515151515152E-2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38</v>
      </c>
      <c r="Y389" s="618">
        <f>IFERROR(IF(X389="",0,CEILING((X389/$H389),1)*$H389),"")</f>
        <v>38.25</v>
      </c>
      <c r="Z389" s="36">
        <f>IFERROR(IF(Y389=0,"",ROUNDUP(Y389/H389,0)*0.00651),"")</f>
        <v>9.7650000000000001E-2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42.917647058823533</v>
      </c>
      <c r="BN389" s="64">
        <f>IFERROR(Y389*I389/H389,"0")</f>
        <v>43.2</v>
      </c>
      <c r="BO389" s="64">
        <f>IFERROR(1/J389*(X389/H389),"0")</f>
        <v>8.1878905408317187E-2</v>
      </c>
      <c r="BP389" s="64">
        <f>IFERROR(1/J389*(Y389/H389),"0")</f>
        <v>8.241758241758243E-2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16.217750257997935</v>
      </c>
      <c r="Y390" s="619">
        <f>IFERROR(Y386/H386,"0")+IFERROR(Y387/H387,"0")+IFERROR(Y388/H388,"0")+IFERROR(Y389/H389,"0")</f>
        <v>17</v>
      </c>
      <c r="Z390" s="619">
        <f>IFERROR(IF(Z386="",0,Z386),"0")+IFERROR(IF(Z387="",0,Z387),"0")+IFERROR(IF(Z388="",0,Z388),"0")+IFERROR(IF(Z389="",0,Z389),"0")</f>
        <v>0.11569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42</v>
      </c>
      <c r="Y391" s="619">
        <f>IFERROR(SUM(Y386:Y389),"0")</f>
        <v>44.33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0</v>
      </c>
      <c r="Y396" s="619">
        <f>IFERROR(Y393/H393,"0")+IFERROR(Y394/H394,"0")+IFERROR(Y395/H395,"0")</f>
        <v>0</v>
      </c>
      <c r="Z396" s="619">
        <f>IFERROR(IF(Z393="",0,Z393),"0")+IFERROR(IF(Z394="",0,Z394),"0")+IFERROR(IF(Z395="",0,Z395),"0")</f>
        <v>0</v>
      </c>
      <c r="AA396" s="620"/>
      <c r="AB396" s="620"/>
      <c r="AC396" s="620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0</v>
      </c>
      <c r="Y397" s="619">
        <f>IFERROR(SUM(Y393:Y395),"0")</f>
        <v>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15</v>
      </c>
      <c r="Y414" s="618">
        <f>IFERROR(IF(X414="",0,CEILING((X414/$H414),1)*$H414),"")</f>
        <v>16.8</v>
      </c>
      <c r="Z414" s="36">
        <f>IFERROR(IF(Y414=0,"",ROUNDUP(Y414/H414,0)*0.00651),"")</f>
        <v>5.2080000000000001E-2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16.714285714285712</v>
      </c>
      <c r="BN414" s="64">
        <f>IFERROR(Y414*I414/H414,"0")</f>
        <v>18.72</v>
      </c>
      <c r="BO414" s="64">
        <f>IFERROR(1/J414*(X414/H414),"0")</f>
        <v>3.924646781789639E-2</v>
      </c>
      <c r="BP414" s="64">
        <f>IFERROR(1/J414*(Y414/H414),"0")</f>
        <v>4.3956043956043959E-2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7.1428571428571423</v>
      </c>
      <c r="Y415" s="619">
        <f>IFERROR(Y412/H412,"0")+IFERROR(Y413/H413,"0")+IFERROR(Y414/H414,"0")</f>
        <v>8</v>
      </c>
      <c r="Z415" s="619">
        <f>IFERROR(IF(Z412="",0,Z412),"0")+IFERROR(IF(Z413="",0,Z413),"0")+IFERROR(IF(Z414="",0,Z414),"0")</f>
        <v>5.2080000000000001E-2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15</v>
      </c>
      <c r="Y416" s="619">
        <f>IFERROR(SUM(Y412:Y414),"0")</f>
        <v>16.8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hidden="1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0</v>
      </c>
      <c r="Y421" s="618">
        <f t="shared" si="61"/>
        <v>0</v>
      </c>
      <c r="Z421" s="36" t="str">
        <f>IFERROR(IF(Y421=0,"",ROUNDUP(Y421/H421,0)*0.02175),"")</f>
        <v/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0</v>
      </c>
      <c r="BN421" s="64">
        <f t="shared" si="63"/>
        <v>0</v>
      </c>
      <c r="BO421" s="64">
        <f t="shared" si="64"/>
        <v>0</v>
      </c>
      <c r="BP421" s="64">
        <f t="shared" si="65"/>
        <v>0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hidden="1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0</v>
      </c>
      <c r="Y428" s="619">
        <f>IFERROR(Y420/H420,"0")+IFERROR(Y421/H421,"0")+IFERROR(Y422/H422,"0")+IFERROR(Y423/H423,"0")+IFERROR(Y424/H424,"0")+IFERROR(Y425/H425,"0")+IFERROR(Y426/H426,"0")+IFERROR(Y427/H427,"0")</f>
        <v>0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</v>
      </c>
      <c r="AA428" s="620"/>
      <c r="AB428" s="620"/>
      <c r="AC428" s="620"/>
    </row>
    <row r="429" spans="1:68" hidden="1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0</v>
      </c>
      <c r="Y429" s="619">
        <f>IFERROR(SUM(Y420:Y427),"0")</f>
        <v>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19</v>
      </c>
      <c r="Y459" s="618">
        <f>IFERROR(IF(X459="",0,CEILING((X459/$H459),1)*$H459),"")</f>
        <v>19.2</v>
      </c>
      <c r="Z459" s="36">
        <f>IFERROR(IF(Y459=0,"",ROUNDUP(Y459/H459,0)*0.00651),"")</f>
        <v>5.2080000000000001E-2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21.09</v>
      </c>
      <c r="BN459" s="64">
        <f>IFERROR(Y459*I459/H459,"0")</f>
        <v>21.312000000000001</v>
      </c>
      <c r="BO459" s="64">
        <f>IFERROR(1/J459*(X459/H459),"0")</f>
        <v>4.3498168498168503E-2</v>
      </c>
      <c r="BP459" s="64">
        <f>IFERROR(1/J459*(Y459/H459),"0")</f>
        <v>4.3956043956043959E-2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7.916666666666667</v>
      </c>
      <c r="Y461" s="619">
        <f>IFERROR(Y458/H458,"0")+IFERROR(Y459/H459,"0")+IFERROR(Y460/H460,"0")</f>
        <v>8</v>
      </c>
      <c r="Z461" s="619">
        <f>IFERROR(IF(Z458="",0,Z458),"0")+IFERROR(IF(Z459="",0,Z459),"0")+IFERROR(IF(Z460="",0,Z460),"0")</f>
        <v>5.2080000000000001E-2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19</v>
      </c>
      <c r="Y462" s="619">
        <f>IFERROR(SUM(Y458:Y460),"0")</f>
        <v>19.2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96</v>
      </c>
      <c r="Y466" s="618">
        <f t="shared" ref="Y466:Y471" si="66">IFERROR(IF(X466="",0,CEILING((X466/$H466),1)*$H466),"")</f>
        <v>97.2</v>
      </c>
      <c r="Z466" s="36">
        <f>IFERROR(IF(Y466=0,"",ROUNDUP(Y466/H466,0)*0.00902),"")</f>
        <v>0.16236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99.377777777777766</v>
      </c>
      <c r="BN466" s="64">
        <f t="shared" ref="BN466:BN471" si="68">IFERROR(Y466*I466/H466,"0")</f>
        <v>100.61999999999999</v>
      </c>
      <c r="BO466" s="64">
        <f t="shared" ref="BO466:BO471" si="69">IFERROR(1/J466*(X466/H466),"0")</f>
        <v>0.13468013468013465</v>
      </c>
      <c r="BP466" s="64">
        <f t="shared" ref="BP466:BP471" si="70">IFERROR(1/J466*(Y466/H466),"0")</f>
        <v>0.13636363636363635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17.777777777777775</v>
      </c>
      <c r="Y472" s="619">
        <f>IFERROR(Y466/H466,"0")+IFERROR(Y467/H467,"0")+IFERROR(Y468/H468,"0")+IFERROR(Y469/H469,"0")+IFERROR(Y470/H470,"0")+IFERROR(Y471/H471,"0")</f>
        <v>18</v>
      </c>
      <c r="Z472" s="619">
        <f>IFERROR(IF(Z466="",0,Z466),"0")+IFERROR(IF(Z467="",0,Z467),"0")+IFERROR(IF(Z468="",0,Z468),"0")+IFERROR(IF(Z469="",0,Z469),"0")+IFERROR(IF(Z470="",0,Z470),"0")+IFERROR(IF(Z471="",0,Z471),"0")</f>
        <v>0.16236</v>
      </c>
      <c r="AA472" s="620"/>
      <c r="AB472" s="620"/>
      <c r="AC472" s="620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96</v>
      </c>
      <c r="Y473" s="619">
        <f>IFERROR(SUM(Y466:Y471),"0")</f>
        <v>97.2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85</v>
      </c>
      <c r="Y492" s="618">
        <f t="shared" ref="Y492:Y499" si="71">IFERROR(IF(X492="",0,CEILING((X492/$H492),1)*$H492),"")</f>
        <v>89.76</v>
      </c>
      <c r="Z492" s="36">
        <f>IFERROR(IF(Y492=0,"",ROUNDUP(Y492/H492,0)*0.01196),"")</f>
        <v>0.20332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90.634469696969688</v>
      </c>
      <c r="BN492" s="64">
        <f t="shared" ref="BN492:BN499" si="73">IFERROR(Y492*I492/H492,"0")</f>
        <v>95.710000000000008</v>
      </c>
      <c r="BO492" s="64">
        <f t="shared" ref="BO492:BO499" si="74">IFERROR(1/J492*(X492/H492),"0")</f>
        <v>0.15479312354312355</v>
      </c>
      <c r="BP492" s="64">
        <f t="shared" ref="BP492:BP499" si="75">IFERROR(1/J492*(Y492/H492),"0")</f>
        <v>0.16346153846153846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309</v>
      </c>
      <c r="Y496" s="618">
        <f t="shared" si="71"/>
        <v>311.52000000000004</v>
      </c>
      <c r="Z496" s="36">
        <f>IFERROR(IF(Y496=0,"",ROUNDUP(Y496/H496,0)*0.01196),"")</f>
        <v>0.70564000000000004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329.48295454545456</v>
      </c>
      <c r="BN496" s="64">
        <f t="shared" si="73"/>
        <v>332.17</v>
      </c>
      <c r="BO496" s="64">
        <f t="shared" si="74"/>
        <v>0.56271853146853146</v>
      </c>
      <c r="BP496" s="64">
        <f t="shared" si="75"/>
        <v>0.5673076923076924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74.621212121212125</v>
      </c>
      <c r="Y500" s="619">
        <f>IFERROR(Y492/H492,"0")+IFERROR(Y493/H493,"0")+IFERROR(Y494/H494,"0")+IFERROR(Y495/H495,"0")+IFERROR(Y496/H496,"0")+IFERROR(Y497/H497,"0")+IFERROR(Y498/H498,"0")+IFERROR(Y499/H499,"0")</f>
        <v>76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0.90895999999999999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394</v>
      </c>
      <c r="Y501" s="619">
        <f>IFERROR(SUM(Y492:Y499),"0")</f>
        <v>401.28000000000003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411</v>
      </c>
      <c r="Y511" s="618">
        <f t="shared" si="76"/>
        <v>411.84000000000003</v>
      </c>
      <c r="Z511" s="36">
        <f>IFERROR(IF(Y511=0,"",ROUNDUP(Y511/H511,0)*0.01196),"")</f>
        <v>0.93288000000000004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438.24431818181813</v>
      </c>
      <c r="BN511" s="64">
        <f t="shared" si="78"/>
        <v>439.14</v>
      </c>
      <c r="BO511" s="64">
        <f t="shared" si="79"/>
        <v>0.7484702797202798</v>
      </c>
      <c r="BP511" s="64">
        <f t="shared" si="80"/>
        <v>0.75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77.840909090909093</v>
      </c>
      <c r="Y516" s="619">
        <f>IFERROR(Y509/H509,"0")+IFERROR(Y510/H510,"0")+IFERROR(Y511/H511,"0")+IFERROR(Y512/H512,"0")+IFERROR(Y513/H513,"0")+IFERROR(Y514/H514,"0")+IFERROR(Y515/H515,"0")</f>
        <v>78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0.93288000000000004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411</v>
      </c>
      <c r="Y517" s="619">
        <f>IFERROR(SUM(Y509:Y515),"0")</f>
        <v>411.84000000000003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40</v>
      </c>
      <c r="Y533" s="618">
        <f>IFERROR(IF(X533="",0,CEILING((X533/$H533),1)*$H533),"")</f>
        <v>45</v>
      </c>
      <c r="Z533" s="36">
        <f>IFERROR(IF(Y533=0,"",ROUNDUP(Y533/H533,0)*0.01898),"")</f>
        <v>9.4899999999999998E-2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42.195555555555558</v>
      </c>
      <c r="BN533" s="64">
        <f>IFERROR(Y533*I533/H533,"0")</f>
        <v>47.47</v>
      </c>
      <c r="BO533" s="64">
        <f>IFERROR(1/J533*(X533/H533),"0")</f>
        <v>6.9444444444444448E-2</v>
      </c>
      <c r="BP533" s="64">
        <f>IFERROR(1/J533*(Y533/H533),"0")</f>
        <v>7.8125E-2</v>
      </c>
    </row>
    <row r="534" spans="1:68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4.4444444444444446</v>
      </c>
      <c r="Y534" s="619">
        <f>IFERROR(Y533/H533,"0")</f>
        <v>5</v>
      </c>
      <c r="Z534" s="619">
        <f>IFERROR(IF(Z533="",0,Z533),"0")</f>
        <v>9.4899999999999998E-2</v>
      </c>
      <c r="AA534" s="620"/>
      <c r="AB534" s="620"/>
      <c r="AC534" s="620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40</v>
      </c>
      <c r="Y535" s="619">
        <f>IFERROR(SUM(Y533:Y533),"0")</f>
        <v>45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4855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4960.67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5196.8373472394242</v>
      </c>
      <c r="Y547" s="619">
        <f>IFERROR(SUM(BN22:BN543),"0")</f>
        <v>5309.8770000000004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10</v>
      </c>
      <c r="Y548" s="38">
        <f>ROUNDUP(SUM(BP22:BP543),0)</f>
        <v>10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5446.8373472394242</v>
      </c>
      <c r="Y549" s="619">
        <f>GrossWeightTotalR+PalletQtyTotalR*25</f>
        <v>5559.8770000000004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1064.4305927625071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1087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11.534190000000002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41.4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55.5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339.8</v>
      </c>
      <c r="F556" s="46">
        <f>IFERROR(Y84*1,"0")+IFERROR(Y85*1,"0")+IFERROR(Y86*1,"0")+IFERROR(Y87*1,"0")+IFERROR(Y88*1,"0")+IFERROR(Y89*1,"0")+IFERROR(Y93*1,"0")+IFERROR(Y94*1,"0")+IFERROR(Y95*1,"0")+IFERROR(Y96*1,"0")</f>
        <v>270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754.68</v>
      </c>
      <c r="H556" s="46">
        <f>IFERROR(Y131*1,"0")+IFERROR(Y132*1,"0")+IFERROR(Y136*1,"0")+IFERROR(Y137*1,"0")+IFERROR(Y141*1,"0")+IFERROR(Y142*1,"0")</f>
        <v>44.88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347.02000000000004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164.64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1094.0999999999999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5.4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81.599999999999994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163.80000000000001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606.53000000000009</v>
      </c>
      <c r="U556" s="46">
        <f>IFERROR(Y406*1,"0")+IFERROR(Y407*1,"0")</f>
        <v>0</v>
      </c>
      <c r="V556" s="46">
        <f>IFERROR(Y412*1,"0")+IFERROR(Y413*1,"0")+IFERROR(Y414*1,"0")</f>
        <v>16.8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0</v>
      </c>
      <c r="X556" s="46">
        <f>IFERROR(Y449*1,"0")+IFERROR(Y450*1,"0")+IFERROR(Y454*1,"0")+IFERROR(Y458*1,"0")+IFERROR(Y459*1,"0")+IFERROR(Y460*1,"0")</f>
        <v>19.2</v>
      </c>
      <c r="Y556" s="46">
        <f>IFERROR(Y466*1,"0")+IFERROR(Y467*1,"0")+IFERROR(Y468*1,"0")+IFERROR(Y469*1,"0")+IFERROR(Y470*1,"0")+IFERROR(Y471*1,"0")+IFERROR(Y475*1,"0")</f>
        <v>97.2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813.12000000000012</v>
      </c>
      <c r="AB556" s="46">
        <f>IFERROR(Y521*1,"0")+IFERROR(Y525*1,"0")+IFERROR(Y529*1,"0")+IFERROR(Y533*1,"0")+IFERROR(Y537*1,"0")+IFERROR(Y538*1,"0")</f>
        <v>45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4,43"/>
        <filter val="1,25"/>
        <filter val="10"/>
        <filter val="102,00"/>
        <filter val="109,50"/>
        <filter val="11,00"/>
        <filter val="127,00"/>
        <filter val="13,00"/>
        <filter val="14,86"/>
        <filter val="140,00"/>
        <filter val="15,00"/>
        <filter val="15,15"/>
        <filter val="152,00"/>
        <filter val="156,00"/>
        <filter val="158,00"/>
        <filter val="16,02"/>
        <filter val="16,22"/>
        <filter val="16,29"/>
        <filter val="17,78"/>
        <filter val="173,00"/>
        <filter val="19,00"/>
        <filter val="2,78"/>
        <filter val="20,00"/>
        <filter val="20,26"/>
        <filter val="205,00"/>
        <filter val="22,22"/>
        <filter val="220,00"/>
        <filter val="241,62"/>
        <filter val="248,00"/>
        <filter val="25,00"/>
        <filter val="27,00"/>
        <filter val="270,00"/>
        <filter val="28,21"/>
        <filter val="3,00"/>
        <filter val="3,17"/>
        <filter val="30,00"/>
        <filter val="309,00"/>
        <filter val="31,00"/>
        <filter val="32,92"/>
        <filter val="341,00"/>
        <filter val="348,00"/>
        <filter val="35,00"/>
        <filter val="37,22"/>
        <filter val="38,00"/>
        <filter val="394,00"/>
        <filter val="4 855,00"/>
        <filter val="4,00"/>
        <filter val="4,44"/>
        <filter val="40,00"/>
        <filter val="411,00"/>
        <filter val="42,00"/>
        <filter val="43,00"/>
        <filter val="440,00"/>
        <filter val="458,00"/>
        <filter val="488,00"/>
        <filter val="5 196,84"/>
        <filter val="5 446,84"/>
        <filter val="5,00"/>
        <filter val="529,00"/>
        <filter val="53,33"/>
        <filter val="55,00"/>
        <filter val="59,00"/>
        <filter val="62,29"/>
        <filter val="639,00"/>
        <filter val="65,31"/>
        <filter val="67,00"/>
        <filter val="7,14"/>
        <filter val="7,92"/>
        <filter val="74,62"/>
        <filter val="75,00"/>
        <filter val="77,84"/>
        <filter val="79,00"/>
        <filter val="80,00"/>
        <filter val="81,48"/>
        <filter val="83,00"/>
        <filter val="84,00"/>
        <filter val="85,00"/>
        <filter val="9,59"/>
        <filter val="96,00"/>
        <filter val="98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2026-10-07T09:53:45Z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