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20500E3-B2F4-47BC-871D-4AB9428E74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<sst xmlns="http://schemas.openxmlformats.org/spreadsheetml/2006/main" count="40" uniqueCount="31">
  <si>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</si>
  <si>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</si>
  <si>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</si>
  <si>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</si>
  <si>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</si>
  <si>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</si>
  <si>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</si>
  <si>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</si>
  <si>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</si>
  <si>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</si>
  <si>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</si>
  <si>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Бейдерман</t>
  </si>
  <si>
    <t>Малахутин</t>
  </si>
  <si>
    <t>НПК ЛП</t>
  </si>
  <si>
    <t>Горняк Горловка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</si>
  <si>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</si>
  <si>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</si>
  <si>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</si>
  <si>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</si>
  <si>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</si>
  <si>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</si>
  <si>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</si>
  <si>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Мариуполь</t>
  </si>
  <si>
    <t>Бутырин НВ</t>
  </si>
  <si>
    <t>ПРС ЛП</t>
  </si>
  <si>
    <t>Патяка КСК</t>
  </si>
  <si>
    <t>Горняк Луганск НВ</t>
  </si>
  <si>
    <t>1 машина на 10,10</t>
  </si>
  <si>
    <t>2 машина на 10,10</t>
  </si>
  <si>
    <t>1 машина на 11,10</t>
  </si>
  <si>
    <t>2 машина на 11,10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</si>
</sst>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0" fillId="4" borderId="18" xfId="0" applyFill="1" applyBorder="1"/>
    <xf numFmtId="0" fontId="0" fillId="5" borderId="11" xfId="0" applyFill="1" applyBorder="1"/>
    <xf numFmtId="0" fontId="0" fillId="5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15" zoomScaleNormal="115" workbookViewId="0">
      <selection activeCell="T28" sqref="T2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7" t="s">
        <v>5</v>
      </c>
      <c r="B1" s="39" t="s">
        <v>15</v>
      </c>
      <c r="C1" s="39" t="s">
        <v>16</v>
      </c>
      <c r="D1" s="39" t="s">
        <v>17</v>
      </c>
      <c r="E1" s="37" t="s">
        <v>27</v>
      </c>
      <c r="F1" s="41"/>
      <c r="G1" s="42"/>
      <c r="H1" s="37" t="s">
        <v>28</v>
      </c>
      <c r="I1" s="41"/>
      <c r="J1" s="42"/>
      <c r="K1" s="37" t="s">
        <v>29</v>
      </c>
      <c r="L1" s="41"/>
      <c r="M1" s="42"/>
      <c r="N1" s="37" t="s">
        <v>30</v>
      </c>
      <c r="O1" s="41"/>
      <c r="P1" s="42"/>
      <c r="Q1" s="35" t="s">
        <v>6</v>
      </c>
    </row>
    <row r="2" spans="1:17" ht="30.75" thickBot="1" x14ac:dyDescent="0.3">
      <c r="A2" s="38"/>
      <c r="B2" s="40"/>
      <c r="C2" s="40"/>
      <c r="D2" s="40"/>
      <c r="E2" s="17" t="s">
        <v>8</v>
      </c>
      <c r="F2" s="18" t="s">
        <v>9</v>
      </c>
      <c r="G2" s="19" t="s">
        <v>10</v>
      </c>
      <c r="H2" s="17" t="s">
        <v>8</v>
      </c>
      <c r="I2" s="18" t="s">
        <v>9</v>
      </c>
      <c r="J2" s="19" t="s">
        <v>10</v>
      </c>
      <c r="K2" s="17" t="s">
        <v>8</v>
      </c>
      <c r="L2" s="18" t="s">
        <v>9</v>
      </c>
      <c r="M2" s="19" t="s">
        <v>10</v>
      </c>
      <c r="N2" s="17" t="s">
        <v>8</v>
      </c>
      <c r="O2" s="18" t="s">
        <v>9</v>
      </c>
      <c r="P2" s="19" t="s">
        <v>10</v>
      </c>
      <c r="Q2" s="36"/>
    </row>
    <row r="3" spans="1:17" x14ac:dyDescent="0.25">
      <c r="A3" s="33" t="s">
        <v>0</v>
      </c>
      <c r="B3" s="20">
        <v>8402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>
        <v>8402</v>
      </c>
      <c r="O3" s="3">
        <v>9357</v>
      </c>
      <c r="P3" s="7">
        <v>15</v>
      </c>
      <c r="Q3" s="8">
        <f>B3-E3-H3-K3-N3</f>
        <v>0</v>
      </c>
    </row>
    <row r="4" spans="1:17" x14ac:dyDescent="0.25">
      <c r="A4" s="31" t="s">
        <v>1</v>
      </c>
      <c r="B4" s="23">
        <v>28417</v>
      </c>
      <c r="C4" s="24"/>
      <c r="D4" s="25"/>
      <c r="E4" s="23">
        <v>13973</v>
      </c>
      <c r="F4" s="24">
        <v>15489</v>
      </c>
      <c r="G4" s="25">
        <v>24</v>
      </c>
      <c r="H4" s="4"/>
      <c r="I4" s="2"/>
      <c r="J4" s="5"/>
      <c r="K4" s="4">
        <v>14444</v>
      </c>
      <c r="L4" s="2">
        <v>15975</v>
      </c>
      <c r="M4" s="5">
        <v>25</v>
      </c>
      <c r="N4" s="4"/>
      <c r="O4" s="2"/>
      <c r="P4" s="5"/>
      <c r="Q4" s="8">
        <f t="shared" ref="Q4:Q20" si="0">B4-E4-H4-K4-N4</f>
        <v>0</v>
      </c>
    </row>
    <row r="5" spans="1:17" x14ac:dyDescent="0.25">
      <c r="A5" s="29" t="s">
        <v>2</v>
      </c>
      <c r="B5" s="23">
        <v>12006</v>
      </c>
      <c r="C5" s="24"/>
      <c r="D5" s="25"/>
      <c r="E5" s="23"/>
      <c r="F5" s="24"/>
      <c r="G5" s="25"/>
      <c r="H5" s="4">
        <v>12006</v>
      </c>
      <c r="I5" s="2">
        <v>13309</v>
      </c>
      <c r="J5" s="5">
        <v>21</v>
      </c>
      <c r="K5" s="4"/>
      <c r="L5" s="2"/>
      <c r="M5" s="5"/>
      <c r="N5" s="4"/>
      <c r="O5" s="2"/>
      <c r="P5" s="5"/>
      <c r="Q5" s="8">
        <f t="shared" si="0"/>
        <v>0</v>
      </c>
    </row>
    <row r="6" spans="1:17" x14ac:dyDescent="0.25">
      <c r="A6" s="34" t="s">
        <v>3</v>
      </c>
      <c r="B6" s="23">
        <v>4855</v>
      </c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>
        <v>4855</v>
      </c>
      <c r="O6" s="2">
        <v>5559</v>
      </c>
      <c r="P6" s="5">
        <v>10</v>
      </c>
      <c r="Q6" s="8">
        <f t="shared" si="0"/>
        <v>0</v>
      </c>
    </row>
    <row r="7" spans="1:17" x14ac:dyDescent="0.25">
      <c r="A7" s="31" t="s">
        <v>22</v>
      </c>
      <c r="B7" s="23">
        <v>3584</v>
      </c>
      <c r="C7" s="24"/>
      <c r="D7" s="25"/>
      <c r="E7" s="23">
        <v>3584</v>
      </c>
      <c r="F7" s="24">
        <v>4087</v>
      </c>
      <c r="G7" s="25">
        <v>7</v>
      </c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x14ac:dyDescent="0.25">
      <c r="A8" s="34" t="s">
        <v>25</v>
      </c>
      <c r="B8" s="23">
        <v>4158</v>
      </c>
      <c r="C8" s="24">
        <v>4647</v>
      </c>
      <c r="D8" s="25">
        <v>8</v>
      </c>
      <c r="E8" s="23"/>
      <c r="F8" s="24"/>
      <c r="G8" s="25"/>
      <c r="H8" s="4"/>
      <c r="I8" s="2"/>
      <c r="J8" s="5"/>
      <c r="K8" s="4"/>
      <c r="L8" s="2"/>
      <c r="M8" s="5"/>
      <c r="N8" s="23">
        <v>4158</v>
      </c>
      <c r="O8" s="24">
        <v>4647</v>
      </c>
      <c r="P8" s="25">
        <v>8</v>
      </c>
      <c r="Q8" s="8">
        <f t="shared" si="0"/>
        <v>0</v>
      </c>
    </row>
    <row r="9" spans="1:17" hidden="1" x14ac:dyDescent="0.25">
      <c r="A9" s="4" t="s">
        <v>11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hidden="1" x14ac:dyDescent="0.25">
      <c r="A11" s="9" t="s">
        <v>18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hidden="1" x14ac:dyDescent="0.25">
      <c r="A12" s="9" t="s">
        <v>24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hidden="1" x14ac:dyDescent="0.25">
      <c r="A13" s="9" t="s">
        <v>21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hidden="1" x14ac:dyDescent="0.25">
      <c r="A14" s="9" t="s">
        <v>13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hidden="1" x14ac:dyDescent="0.25">
      <c r="A15" s="9" t="s">
        <v>14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x14ac:dyDescent="0.25">
      <c r="A16" s="30" t="s">
        <v>26</v>
      </c>
      <c r="B16" s="23">
        <v>5582</v>
      </c>
      <c r="C16" s="24">
        <v>6044</v>
      </c>
      <c r="D16" s="25">
        <v>9</v>
      </c>
      <c r="E16" s="23"/>
      <c r="F16" s="24"/>
      <c r="G16" s="25"/>
      <c r="H16" s="4">
        <v>5582</v>
      </c>
      <c r="I16" s="24">
        <v>6044</v>
      </c>
      <c r="J16" s="25">
        <v>9</v>
      </c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t="15.75" thickBot="1" x14ac:dyDescent="0.3">
      <c r="A17" s="32" t="s">
        <v>23</v>
      </c>
      <c r="B17" s="26">
        <v>3111</v>
      </c>
      <c r="C17" s="27">
        <v>3422</v>
      </c>
      <c r="D17" s="28">
        <v>6</v>
      </c>
      <c r="E17" s="26"/>
      <c r="F17" s="27"/>
      <c r="G17" s="28"/>
      <c r="H17" s="9"/>
      <c r="I17" s="10"/>
      <c r="J17" s="11"/>
      <c r="K17" s="26">
        <v>3111</v>
      </c>
      <c r="L17" s="27">
        <v>3422</v>
      </c>
      <c r="M17" s="28">
        <v>6</v>
      </c>
      <c r="N17" s="9"/>
      <c r="O17" s="10"/>
      <c r="P17" s="11"/>
      <c r="Q17" s="8">
        <f t="shared" ref="Q17:Q19" si="1">B17-E17-H17-K17-N17</f>
        <v>0</v>
      </c>
    </row>
    <row r="18" spans="1:17" hidden="1" x14ac:dyDescent="0.25">
      <c r="A18" s="9" t="s">
        <v>12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idden="1" x14ac:dyDescent="0.25">
      <c r="A19" s="9" t="s">
        <v>20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ht="15.75" hidden="1" thickBot="1" x14ac:dyDescent="0.3">
      <c r="A20" s="9" t="s">
        <v>19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7</v>
      </c>
      <c r="B21" s="13">
        <f t="shared" ref="B21:M21" si="2">SUM(B3:B20)</f>
        <v>70115</v>
      </c>
      <c r="C21" s="13">
        <f t="shared" si="2"/>
        <v>14113</v>
      </c>
      <c r="D21" s="13">
        <f t="shared" si="2"/>
        <v>23</v>
      </c>
      <c r="E21" s="12">
        <f t="shared" si="2"/>
        <v>17557</v>
      </c>
      <c r="F21" s="14">
        <f t="shared" si="2"/>
        <v>19576</v>
      </c>
      <c r="G21" s="15">
        <f t="shared" si="2"/>
        <v>31</v>
      </c>
      <c r="H21" s="12">
        <f t="shared" si="2"/>
        <v>17588</v>
      </c>
      <c r="I21" s="14">
        <f t="shared" si="2"/>
        <v>19353</v>
      </c>
      <c r="J21" s="15">
        <f t="shared" si="2"/>
        <v>30</v>
      </c>
      <c r="K21" s="12">
        <f t="shared" si="2"/>
        <v>17555</v>
      </c>
      <c r="L21" s="14">
        <f t="shared" si="2"/>
        <v>19397</v>
      </c>
      <c r="M21" s="15">
        <f t="shared" si="2"/>
        <v>31</v>
      </c>
      <c r="N21" s="12">
        <f t="shared" ref="N21:P21" si="3">SUM(N3:N20)</f>
        <v>17415</v>
      </c>
      <c r="O21" s="14">
        <f t="shared" si="3"/>
        <v>19563</v>
      </c>
      <c r="P21" s="15">
        <f t="shared" si="3"/>
        <v>33</v>
      </c>
      <c r="Q21" s="16">
        <f>SUM(Q3:Q20)</f>
        <v>0</v>
      </c>
    </row>
    <row r="23" spans="1:17" x14ac:dyDescent="0.25">
      <c r="B23">
        <f>B21/17500</f>
        <v>4.0065714285714282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2026-10-07T09:54:33Z</dcterms:modified>
</cp:coreProperties>
</file>