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620D8AE-10FA-429C-B140-18BABFE0F37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P538" i="1"/>
  <c r="BO538" i="1"/>
  <c r="BN538" i="1"/>
  <c r="BM538" i="1"/>
  <c r="Z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Y349" i="1" s="1"/>
  <c r="P346" i="1"/>
  <c r="X343" i="1"/>
  <c r="X342" i="1"/>
  <c r="BO341" i="1"/>
  <c r="BM341" i="1"/>
  <c r="Y341" i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Y321" i="1" s="1"/>
  <c r="P315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H556" i="1" s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P46" i="1"/>
  <c r="BO46" i="1"/>
  <c r="BN46" i="1"/>
  <c r="BM46" i="1"/>
  <c r="Z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BP341" i="1" l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6" i="1"/>
  <c r="Y252" i="1"/>
  <c r="BP249" i="1"/>
  <c r="BN249" i="1"/>
  <c r="Z249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Z298" i="1" s="1"/>
  <c r="BP295" i="1"/>
  <c r="BN295" i="1"/>
  <c r="Z295" i="1"/>
  <c r="BP316" i="1"/>
  <c r="BN316" i="1"/>
  <c r="Z316" i="1"/>
  <c r="Z321" i="1" s="1"/>
  <c r="BP320" i="1"/>
  <c r="BN320" i="1"/>
  <c r="Z320" i="1"/>
  <c r="Y322" i="1"/>
  <c r="Q556" i="1"/>
  <c r="Y328" i="1"/>
  <c r="BP325" i="1"/>
  <c r="BN325" i="1"/>
  <c r="Z325" i="1"/>
  <c r="Z328" i="1" s="1"/>
  <c r="BP334" i="1"/>
  <c r="BN334" i="1"/>
  <c r="Z334" i="1"/>
  <c r="Y343" i="1"/>
  <c r="Z349" i="1"/>
  <c r="BP347" i="1"/>
  <c r="BN347" i="1"/>
  <c r="Z347" i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Z461" i="1" s="1"/>
  <c r="BP468" i="1"/>
  <c r="BN468" i="1"/>
  <c r="Z468" i="1"/>
  <c r="W556" i="1"/>
  <c r="Y428" i="1"/>
  <c r="Z487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151" i="1" l="1"/>
  <c r="Z123" i="1"/>
  <c r="Z116" i="1"/>
  <c r="Z90" i="1"/>
  <c r="Z69" i="1"/>
  <c r="Y548" i="1"/>
  <c r="Z31" i="1"/>
  <c r="Y550" i="1"/>
  <c r="Z500" i="1"/>
  <c r="Z440" i="1"/>
  <c r="Z383" i="1"/>
  <c r="Z370" i="1"/>
  <c r="Z360" i="1"/>
  <c r="Z377" i="1"/>
  <c r="Z241" i="1"/>
  <c r="Z133" i="1"/>
  <c r="Z108" i="1"/>
  <c r="Z97" i="1"/>
  <c r="Z80" i="1"/>
  <c r="Z50" i="1"/>
  <c r="Z41" i="1"/>
  <c r="Y547" i="1"/>
  <c r="Y549" i="1" s="1"/>
  <c r="X549" i="1"/>
  <c r="Z251" i="1"/>
  <c r="Z434" i="1"/>
  <c r="Z282" i="1"/>
  <c r="Z336" i="1"/>
  <c r="Z62" i="1"/>
  <c r="Z472" i="1"/>
  <c r="Z206" i="1"/>
  <c r="Z428" i="1"/>
  <c r="Z516" i="1"/>
  <c r="Z390" i="1"/>
  <c r="Z267" i="1"/>
  <c r="Z235" i="1"/>
  <c r="Z227" i="1"/>
  <c r="Z181" i="1"/>
  <c r="Y546" i="1"/>
  <c r="Z415" i="1"/>
  <c r="Z551" i="1" l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<sst xmlns="http://schemas.openxmlformats.org/spreadsheetml/2006/main" count="2462" uniqueCount="893">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</sst>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95</v>
      </c>
      <c r="Y46" s="618">
        <f>IFERROR(IF(X46="",0,CEILING((X46/$H46),1)*$H46),"")</f>
        <v>97.2</v>
      </c>
      <c r="Z46" s="36">
        <f>IFERROR(IF(Y46=0,"",ROUNDUP(Y46/H46,0)*0.01898),"")</f>
        <v>0.17082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98.606481481481481</v>
      </c>
      <c r="BN46" s="64">
        <f>IFERROR(Y46*I46/H46,"0")</f>
        <v>100.89</v>
      </c>
      <c r="BO46" s="64">
        <f>IFERROR(1/J46*(X46/H46),"0")</f>
        <v>0.13744212962962962</v>
      </c>
      <c r="BP46" s="64">
        <f>IFERROR(1/J46*(Y46/H46),"0")</f>
        <v>0.140625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8.7962962962962958</v>
      </c>
      <c r="Y50" s="619">
        <f>IFERROR(Y46/H46,"0")+IFERROR(Y47/H47,"0")+IFERROR(Y48/H48,"0")+IFERROR(Y49/H49,"0")</f>
        <v>9</v>
      </c>
      <c r="Z50" s="619">
        <f>IFERROR(IF(Z46="",0,Z46),"0")+IFERROR(IF(Z47="",0,Z47),"0")+IFERROR(IF(Z48="",0,Z48),"0")+IFERROR(IF(Z49="",0,Z49),"0")</f>
        <v>0.17082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95</v>
      </c>
      <c r="Y51" s="619">
        <f>IFERROR(SUM(Y46:Y49),"0")</f>
        <v>97.2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319</v>
      </c>
      <c r="Y55" s="618">
        <f t="shared" si="0"/>
        <v>324</v>
      </c>
      <c r="Z55" s="36">
        <f>IFERROR(IF(Y55=0,"",ROUNDUP(Y55/H55,0)*0.01898),"")</f>
        <v>0.56940000000000002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331.11018518518517</v>
      </c>
      <c r="BN55" s="64">
        <f t="shared" si="2"/>
        <v>336.3</v>
      </c>
      <c r="BO55" s="64">
        <f t="shared" si="3"/>
        <v>0.46151620370370366</v>
      </c>
      <c r="BP55" s="64">
        <f t="shared" si="4"/>
        <v>0.46874999999999994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72</v>
      </c>
      <c r="Y58" s="618">
        <f t="shared" si="0"/>
        <v>72</v>
      </c>
      <c r="Z58" s="36">
        <f>IFERROR(IF(Y58=0,"",ROUNDUP(Y58/H58,0)*0.00902),"")</f>
        <v>0.16236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75.42</v>
      </c>
      <c r="BN58" s="64">
        <f t="shared" si="2"/>
        <v>75.42</v>
      </c>
      <c r="BO58" s="64">
        <f t="shared" si="3"/>
        <v>0.13636363636363635</v>
      </c>
      <c r="BP58" s="64">
        <f t="shared" si="4"/>
        <v>0.13636363636363635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4</v>
      </c>
      <c r="Y61" s="618">
        <f t="shared" si="0"/>
        <v>4.5</v>
      </c>
      <c r="Z61" s="36">
        <f>IFERROR(IF(Y61=0,"",ROUNDUP(Y61/H61,0)*0.00902),"")</f>
        <v>9.0200000000000002E-3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4.1688888888888895</v>
      </c>
      <c r="BN61" s="64">
        <f t="shared" si="2"/>
        <v>4.6900000000000004</v>
      </c>
      <c r="BO61" s="64">
        <f t="shared" si="3"/>
        <v>6.7340067340067337E-3</v>
      </c>
      <c r="BP61" s="64">
        <f t="shared" si="4"/>
        <v>7.575757575757576E-3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48.425925925925924</v>
      </c>
      <c r="Y62" s="619">
        <f>IFERROR(Y54/H54,"0")+IFERROR(Y55/H55,"0")+IFERROR(Y56/H56,"0")+IFERROR(Y57/H57,"0")+IFERROR(Y58/H58,"0")+IFERROR(Y59/H59,"0")+IFERROR(Y60/H60,"0")+IFERROR(Y61/H61,"0")</f>
        <v>49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0.74077999999999999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395</v>
      </c>
      <c r="Y63" s="619">
        <f>IFERROR(SUM(Y54:Y61),"0")</f>
        <v>400.5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400</v>
      </c>
      <c r="Y65" s="618">
        <f>IFERROR(IF(X65="",0,CEILING((X65/$H65),1)*$H65),"")</f>
        <v>410.40000000000003</v>
      </c>
      <c r="Z65" s="36">
        <f>IFERROR(IF(Y65=0,"",ROUNDUP(Y65/H65,0)*0.01898),"")</f>
        <v>0.72123999999999999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415.18518518518516</v>
      </c>
      <c r="BN65" s="64">
        <f>IFERROR(Y65*I65/H65,"0")</f>
        <v>425.98</v>
      </c>
      <c r="BO65" s="64">
        <f>IFERROR(1/J65*(X65/H65),"0")</f>
        <v>0.57870370370370372</v>
      </c>
      <c r="BP65" s="64">
        <f>IFERROR(1/J65*(Y65/H65),"0")</f>
        <v>0.59375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37.037037037037038</v>
      </c>
      <c r="Y69" s="619">
        <f>IFERROR(Y65/H65,"0")+IFERROR(Y66/H66,"0")+IFERROR(Y67/H67,"0")+IFERROR(Y68/H68,"0")</f>
        <v>38</v>
      </c>
      <c r="Z69" s="619">
        <f>IFERROR(IF(Z65="",0,Z65),"0")+IFERROR(IF(Z66="",0,Z66),"0")+IFERROR(IF(Z67="",0,Z67),"0")+IFERROR(IF(Z68="",0,Z68),"0")</f>
        <v>0.72123999999999999</v>
      </c>
      <c r="AA69" s="620"/>
      <c r="AB69" s="620"/>
      <c r="AC69" s="620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400</v>
      </c>
      <c r="Y70" s="619">
        <f>IFERROR(SUM(Y65:Y68),"0")</f>
        <v>410.40000000000003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400</v>
      </c>
      <c r="Y84" s="618">
        <f t="shared" ref="Y84:Y89" si="5">IFERROR(IF(X84="",0,CEILING((X84/$H84),1)*$H84),"")</f>
        <v>410.40000000000003</v>
      </c>
      <c r="Z84" s="36">
        <f>IFERROR(IF(Y84=0,"",ROUNDUP(Y84/H84,0)*0.01898),"")</f>
        <v>0.72123999999999999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415.18518518518516</v>
      </c>
      <c r="BN84" s="64">
        <f t="shared" ref="BN84:BN89" si="7">IFERROR(Y84*I84/H84,"0")</f>
        <v>425.98</v>
      </c>
      <c r="BO84" s="64">
        <f t="shared" ref="BO84:BO89" si="8">IFERROR(1/J84*(X84/H84),"0")</f>
        <v>0.57870370370370372</v>
      </c>
      <c r="BP84" s="64">
        <f t="shared" ref="BP84:BP89" si="9">IFERROR(1/J84*(Y84/H84),"0")</f>
        <v>0.59375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60</v>
      </c>
      <c r="Y89" s="618">
        <f t="shared" si="5"/>
        <v>63</v>
      </c>
      <c r="Z89" s="36">
        <f>IFERROR(IF(Y89=0,"",ROUNDUP(Y89/H89,0)*0.00902),"")</f>
        <v>0.12628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62.533333333333339</v>
      </c>
      <c r="BN89" s="64">
        <f t="shared" si="7"/>
        <v>65.660000000000011</v>
      </c>
      <c r="BO89" s="64">
        <f t="shared" si="8"/>
        <v>0.10101010101010102</v>
      </c>
      <c r="BP89" s="64">
        <f t="shared" si="9"/>
        <v>0.10606060606060606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50.370370370370374</v>
      </c>
      <c r="Y90" s="619">
        <f>IFERROR(Y84/H84,"0")+IFERROR(Y85/H85,"0")+IFERROR(Y86/H86,"0")+IFERROR(Y87/H87,"0")+IFERROR(Y88/H88,"0")+IFERROR(Y89/H89,"0")</f>
        <v>52</v>
      </c>
      <c r="Z90" s="619">
        <f>IFERROR(IF(Z84="",0,Z84),"0")+IFERROR(IF(Z85="",0,Z85),"0")+IFERROR(IF(Z86="",0,Z86),"0")+IFERROR(IF(Z87="",0,Z87),"0")+IFERROR(IF(Z88="",0,Z88),"0")+IFERROR(IF(Z89="",0,Z89),"0")</f>
        <v>0.84752000000000005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460</v>
      </c>
      <c r="Y91" s="619">
        <f>IFERROR(SUM(Y84:Y89),"0")</f>
        <v>473.40000000000003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123</v>
      </c>
      <c r="Y95" s="618">
        <f>IFERROR(IF(X95="",0,CEILING((X95/$H95),1)*$H95),"")</f>
        <v>124.2</v>
      </c>
      <c r="Z95" s="36">
        <f>IFERROR(IF(Y95=0,"",ROUNDUP(Y95/H95,0)*0.00651),"")</f>
        <v>0.29946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134.47999999999999</v>
      </c>
      <c r="BN95" s="64">
        <f>IFERROR(Y95*I95/H95,"0")</f>
        <v>135.792</v>
      </c>
      <c r="BO95" s="64">
        <f>IFERROR(1/J95*(X95/H95),"0")</f>
        <v>0.2503052503052503</v>
      </c>
      <c r="BP95" s="64">
        <f>IFERROR(1/J95*(Y95/H95),"0")</f>
        <v>0.25274725274725279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45.55555555555555</v>
      </c>
      <c r="Y97" s="619">
        <f>IFERROR(Y93/H93,"0")+IFERROR(Y94/H94,"0")+IFERROR(Y95/H95,"0")+IFERROR(Y96/H96,"0")</f>
        <v>46</v>
      </c>
      <c r="Z97" s="619">
        <f>IFERROR(IF(Z93="",0,Z93),"0")+IFERROR(IF(Z94="",0,Z94),"0")+IFERROR(IF(Z95="",0,Z95),"0")+IFERROR(IF(Z96="",0,Z96),"0")</f>
        <v>0.29946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123</v>
      </c>
      <c r="Y98" s="619">
        <f>IFERROR(SUM(Y93:Y96),"0")</f>
        <v>124.2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606</v>
      </c>
      <c r="Y101" s="618">
        <f t="shared" ref="Y101:Y107" si="10">IFERROR(IF(X101="",0,CEILING((X101/$H101),1)*$H101),"")</f>
        <v>615.6</v>
      </c>
      <c r="Z101" s="36">
        <f>IFERROR(IF(Y101=0,"",ROUNDUP(Y101/H101,0)*0.01898),"")</f>
        <v>1.08186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629.00555555555559</v>
      </c>
      <c r="BN101" s="64">
        <f t="shared" ref="BN101:BN107" si="12">IFERROR(Y101*I101/H101,"0")</f>
        <v>638.97</v>
      </c>
      <c r="BO101" s="64">
        <f t="shared" ref="BO101:BO107" si="13">IFERROR(1/J101*(X101/H101),"0")</f>
        <v>0.87673611111111105</v>
      </c>
      <c r="BP101" s="64">
        <f t="shared" ref="BP101:BP107" si="14">IFERROR(1/J101*(Y101/H101),"0")</f>
        <v>0.890625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56.111111111111107</v>
      </c>
      <c r="Y108" s="619">
        <f>IFERROR(Y101/H101,"0")+IFERROR(Y102/H102,"0")+IFERROR(Y103/H103,"0")+IFERROR(Y104/H104,"0")+IFERROR(Y105/H105,"0")+IFERROR(Y106/H106,"0")+IFERROR(Y107/H107,"0")</f>
        <v>57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1.08186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606</v>
      </c>
      <c r="Y109" s="619">
        <f>IFERROR(SUM(Y101:Y107),"0")</f>
        <v>615.6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97</v>
      </c>
      <c r="Y111" s="618">
        <f>IFERROR(IF(X111="",0,CEILING((X111/$H111),1)*$H111),"")</f>
        <v>97.2</v>
      </c>
      <c r="Z111" s="36">
        <f>IFERROR(IF(Y111=0,"",ROUNDUP(Y111/H111,0)*0.01898),"")</f>
        <v>0.17082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100.68240740740741</v>
      </c>
      <c r="BN111" s="64">
        <f>IFERROR(Y111*I111/H111,"0")</f>
        <v>100.89</v>
      </c>
      <c r="BO111" s="64">
        <f>IFERROR(1/J111*(X111/H111),"0")</f>
        <v>0.14033564814814814</v>
      </c>
      <c r="BP111" s="64">
        <f>IFERROR(1/J111*(Y111/H111),"0")</f>
        <v>0.140625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40</v>
      </c>
      <c r="Y115" s="618">
        <f>IFERROR(IF(X115="",0,CEILING((X115/$H115),1)*$H115),"")</f>
        <v>40.799999999999997</v>
      </c>
      <c r="Z115" s="36">
        <f>IFERROR(IF(Y115=0,"",ROUNDUP(Y115/H115,0)*0.00651),"")</f>
        <v>0.11067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43</v>
      </c>
      <c r="BN115" s="64">
        <f>IFERROR(Y115*I115/H115,"0")</f>
        <v>43.86</v>
      </c>
      <c r="BO115" s="64">
        <f>IFERROR(1/J115*(X115/H115),"0")</f>
        <v>9.1575091575091583E-2</v>
      </c>
      <c r="BP115" s="64">
        <f>IFERROR(1/J115*(Y115/H115),"0")</f>
        <v>9.3406593406593408E-2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25.648148148148149</v>
      </c>
      <c r="Y116" s="619">
        <f>IFERROR(Y111/H111,"0")+IFERROR(Y112/H112,"0")+IFERROR(Y113/H113,"0")+IFERROR(Y114/H114,"0")+IFERROR(Y115/H115,"0")</f>
        <v>26</v>
      </c>
      <c r="Z116" s="619">
        <f>IFERROR(IF(Z111="",0,Z111),"0")+IFERROR(IF(Z112="",0,Z112),"0")+IFERROR(IF(Z113="",0,Z113),"0")+IFERROR(IF(Z114="",0,Z114),"0")+IFERROR(IF(Z115="",0,Z115),"0")</f>
        <v>0.28149000000000002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137</v>
      </c>
      <c r="Y117" s="619">
        <f>IFERROR(SUM(Y111:Y115),"0")</f>
        <v>138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14</v>
      </c>
      <c r="Y119" s="618">
        <f>IFERROR(IF(X119="",0,CEILING((X119/$H119),1)*$H119),"")</f>
        <v>16.2</v>
      </c>
      <c r="Z119" s="36">
        <f>IFERROR(IF(Y119=0,"",ROUNDUP(Y119/H119,0)*0.01898),"")</f>
        <v>3.7960000000000001E-2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14.843456790123456</v>
      </c>
      <c r="BN119" s="64">
        <f>IFERROR(Y119*I119/H119,"0")</f>
        <v>17.175999999999998</v>
      </c>
      <c r="BO119" s="64">
        <f>IFERROR(1/J119*(X119/H119),"0")</f>
        <v>2.7006172839506175E-2</v>
      </c>
      <c r="BP119" s="64">
        <f>IFERROR(1/J119*(Y119/H119),"0")</f>
        <v>3.125E-2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69</v>
      </c>
      <c r="Y121" s="618">
        <f>IFERROR(IF(X121="",0,CEILING((X121/$H121),1)*$H121),"")</f>
        <v>70.2</v>
      </c>
      <c r="Z121" s="36">
        <f>IFERROR(IF(Y121=0,"",ROUNDUP(Y121/H121,0)*0.00651),"")</f>
        <v>0.16925999999999999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75.44</v>
      </c>
      <c r="BN121" s="64">
        <f>IFERROR(Y121*I121/H121,"0")</f>
        <v>76.751999999999995</v>
      </c>
      <c r="BO121" s="64">
        <f>IFERROR(1/J121*(X121/H121),"0")</f>
        <v>0.14041514041514042</v>
      </c>
      <c r="BP121" s="64">
        <f>IFERROR(1/J121*(Y121/H121),"0")</f>
        <v>0.14285714285714288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27.283950617283949</v>
      </c>
      <c r="Y123" s="619">
        <f>IFERROR(Y119/H119,"0")+IFERROR(Y120/H120,"0")+IFERROR(Y121/H121,"0")+IFERROR(Y122/H122,"0")</f>
        <v>28</v>
      </c>
      <c r="Z123" s="619">
        <f>IFERROR(IF(Z119="",0,Z119),"0")+IFERROR(IF(Z120="",0,Z120),"0")+IFERROR(IF(Z121="",0,Z121),"0")+IFERROR(IF(Z122="",0,Z122),"0")</f>
        <v>0.20721999999999999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83</v>
      </c>
      <c r="Y124" s="619">
        <f>IFERROR(SUM(Y119:Y122),"0")</f>
        <v>86.4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9</v>
      </c>
      <c r="Y126" s="618">
        <f>IFERROR(IF(X126="",0,CEILING((X126/$H126),1)*$H126),"")</f>
        <v>9.9</v>
      </c>
      <c r="Z126" s="36">
        <f>IFERROR(IF(Y126=0,"",ROUNDUP(Y126/H126,0)*0.00651),"")</f>
        <v>3.2550000000000003E-2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10.172727272727272</v>
      </c>
      <c r="BN126" s="64">
        <f>IFERROR(Y126*I126/H126,"0")</f>
        <v>11.190000000000001</v>
      </c>
      <c r="BO126" s="64">
        <f>IFERROR(1/J126*(X126/H126),"0")</f>
        <v>2.4975024975024979E-2</v>
      </c>
      <c r="BP126" s="64">
        <f>IFERROR(1/J126*(Y126/H126),"0")</f>
        <v>2.7472527472527476E-2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4.5454545454545459</v>
      </c>
      <c r="Y127" s="619">
        <f>IFERROR(Y126/H126,"0")</f>
        <v>5</v>
      </c>
      <c r="Z127" s="619">
        <f>IFERROR(IF(Z126="",0,Z126),"0")</f>
        <v>3.2550000000000003E-2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9</v>
      </c>
      <c r="Y128" s="619">
        <f>IFERROR(SUM(Y126:Y126),"0")</f>
        <v>9.9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15</v>
      </c>
      <c r="Y131" s="618">
        <f>IFERROR(IF(X131="",0,CEILING((X131/$H131),1)*$H131),"")</f>
        <v>16</v>
      </c>
      <c r="Z131" s="36">
        <f>IFERROR(IF(Y131=0,"",ROUNDUP(Y131/H131,0)*0.00651),"")</f>
        <v>3.2550000000000003E-2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15.843749999999998</v>
      </c>
      <c r="BN131" s="64">
        <f>IFERROR(Y131*I131/H131,"0")</f>
        <v>16.899999999999999</v>
      </c>
      <c r="BO131" s="64">
        <f>IFERROR(1/J131*(X131/H131),"0")</f>
        <v>2.5755494505494508E-2</v>
      </c>
      <c r="BP131" s="64">
        <f>IFERROR(1/J131*(Y131/H131),"0")</f>
        <v>2.7472527472527476E-2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4.6875</v>
      </c>
      <c r="Y133" s="619">
        <f>IFERROR(Y131/H131,"0")+IFERROR(Y132/H132,"0")</f>
        <v>5</v>
      </c>
      <c r="Z133" s="619">
        <f>IFERROR(IF(Z131="",0,Z131),"0")+IFERROR(IF(Z132="",0,Z132),"0")</f>
        <v>3.2550000000000003E-2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15</v>
      </c>
      <c r="Y134" s="619">
        <f>IFERROR(SUM(Y131:Y132),"0")</f>
        <v>16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15</v>
      </c>
      <c r="Y136" s="618">
        <f>IFERROR(IF(X136="",0,CEILING((X136/$H136),1)*$H136),"")</f>
        <v>16.799999999999997</v>
      </c>
      <c r="Z136" s="36">
        <f>IFERROR(IF(Y136=0,"",ROUNDUP(Y136/H136,0)*0.00651),"")</f>
        <v>3.9059999999999997E-2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16.435714285714287</v>
      </c>
      <c r="BN136" s="64">
        <f>IFERROR(Y136*I136/H136,"0")</f>
        <v>18.407999999999998</v>
      </c>
      <c r="BO136" s="64">
        <f>IFERROR(1/J136*(X136/H136),"0")</f>
        <v>2.9434850863422297E-2</v>
      </c>
      <c r="BP136" s="64">
        <f>IFERROR(1/J136*(Y136/H136),"0")</f>
        <v>3.2967032967032968E-2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5.3571428571428577</v>
      </c>
      <c r="Y138" s="619">
        <f>IFERROR(Y136/H136,"0")+IFERROR(Y137/H137,"0")</f>
        <v>5.9999999999999991</v>
      </c>
      <c r="Z138" s="619">
        <f>IFERROR(IF(Z136="",0,Z136),"0")+IFERROR(IF(Z137="",0,Z137),"0")</f>
        <v>3.9059999999999997E-2</v>
      </c>
      <c r="AA138" s="620"/>
      <c r="AB138" s="620"/>
      <c r="AC138" s="620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15</v>
      </c>
      <c r="Y139" s="619">
        <f>IFERROR(SUM(Y136:Y137),"0")</f>
        <v>16.799999999999997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23</v>
      </c>
      <c r="Y141" s="618">
        <f>IFERROR(IF(X141="",0,CEILING((X141/$H141),1)*$H141),"")</f>
        <v>23.76</v>
      </c>
      <c r="Z141" s="36">
        <f>IFERROR(IF(Y141=0,"",ROUNDUP(Y141/H141,0)*0.00651),"")</f>
        <v>5.8590000000000003E-2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25.334848484848482</v>
      </c>
      <c r="BN141" s="64">
        <f>IFERROR(Y141*I141/H141,"0")</f>
        <v>26.172000000000001</v>
      </c>
      <c r="BO141" s="64">
        <f>IFERROR(1/J141*(X141/H141),"0")</f>
        <v>4.7868797868797865E-2</v>
      </c>
      <c r="BP141" s="64">
        <f>IFERROR(1/J141*(Y141/H141),"0")</f>
        <v>4.9450549450549455E-2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8.712121212121211</v>
      </c>
      <c r="Y143" s="619">
        <f>IFERROR(Y141/H141,"0")+IFERROR(Y142/H142,"0")</f>
        <v>9</v>
      </c>
      <c r="Z143" s="619">
        <f>IFERROR(IF(Z141="",0,Z141),"0")+IFERROR(IF(Z142="",0,Z142),"0")</f>
        <v>5.8590000000000003E-2</v>
      </c>
      <c r="AA143" s="620"/>
      <c r="AB143" s="620"/>
      <c r="AC143" s="620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23</v>
      </c>
      <c r="Y144" s="619">
        <f>IFERROR(SUM(Y141:Y142),"0")</f>
        <v>23.76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200</v>
      </c>
      <c r="Y171" s="618">
        <f t="shared" ref="Y171:Y180" si="15">IFERROR(IF(X171="",0,CEILING((X171/$H171),1)*$H171),"")</f>
        <v>203</v>
      </c>
      <c r="Z171" s="36">
        <f>IFERROR(IF(Y171=0,"",ROUNDUP(Y171/H171,0)*0.00902),"")</f>
        <v>0.52316000000000007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210.85714285714286</v>
      </c>
      <c r="BN171" s="64">
        <f t="shared" ref="BN171:BN180" si="17">IFERROR(Y171*I171/H171,"0")</f>
        <v>214.01999999999998</v>
      </c>
      <c r="BO171" s="64">
        <f t="shared" ref="BO171:BO180" si="18">IFERROR(1/J171*(X171/H171),"0")</f>
        <v>0.43290043290043295</v>
      </c>
      <c r="BP171" s="64">
        <f t="shared" ref="BP171:BP180" si="19">IFERROR(1/J171*(Y171/H171),"0")</f>
        <v>0.43939393939393939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650</v>
      </c>
      <c r="Y174" s="618">
        <f t="shared" si="15"/>
        <v>651</v>
      </c>
      <c r="Z174" s="36">
        <f>IFERROR(IF(Y174=0,"",ROUNDUP(Y174/H174,0)*0.00902),"")</f>
        <v>1.6777200000000001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685.28571428571433</v>
      </c>
      <c r="BN174" s="64">
        <f t="shared" si="17"/>
        <v>686.34</v>
      </c>
      <c r="BO174" s="64">
        <f t="shared" si="18"/>
        <v>1.4069264069264071</v>
      </c>
      <c r="BP174" s="64">
        <f t="shared" si="19"/>
        <v>1.4090909090909092</v>
      </c>
    </row>
    <row r="175" spans="1:68" ht="16.5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2</v>
      </c>
      <c r="Y175" s="618">
        <f t="shared" si="15"/>
        <v>2.7</v>
      </c>
      <c r="Z175" s="36">
        <f>IFERROR(IF(Y175=0,"",ROUNDUP(Y175/H175,0)*0.00726),"")</f>
        <v>2.1780000000000001E-2</v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2.4666666666666668</v>
      </c>
      <c r="BN175" s="64">
        <f t="shared" si="17"/>
        <v>3.33</v>
      </c>
      <c r="BO175" s="64">
        <f t="shared" si="18"/>
        <v>1.1574074074074073E-2</v>
      </c>
      <c r="BP175" s="64">
        <f t="shared" si="19"/>
        <v>1.5625E-2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98</v>
      </c>
      <c r="Y176" s="618">
        <f t="shared" si="15"/>
        <v>99.11999999999999</v>
      </c>
      <c r="Z176" s="36">
        <f>IFERROR(IF(Y176=0,"",ROUNDUP(Y176/H176,0)*0.00502),"")</f>
        <v>0.29618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103.83333333333334</v>
      </c>
      <c r="BN176" s="64">
        <f t="shared" si="17"/>
        <v>105.02</v>
      </c>
      <c r="BO176" s="64">
        <f t="shared" si="18"/>
        <v>0.24928774928774933</v>
      </c>
      <c r="BP176" s="64">
        <f t="shared" si="19"/>
        <v>0.25213675213675213</v>
      </c>
    </row>
    <row r="177" spans="1:68" ht="27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3</v>
      </c>
      <c r="Y177" s="618">
        <f t="shared" si="15"/>
        <v>3.6</v>
      </c>
      <c r="Z177" s="36">
        <f>IFERROR(IF(Y177=0,"",ROUNDUP(Y177/H177,0)*0.00417),"")</f>
        <v>1.668E-2</v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3.7</v>
      </c>
      <c r="BN177" s="64">
        <f t="shared" si="17"/>
        <v>4.4400000000000004</v>
      </c>
      <c r="BO177" s="64">
        <f t="shared" si="18"/>
        <v>9.9206349206349183E-3</v>
      </c>
      <c r="BP177" s="64">
        <f t="shared" si="19"/>
        <v>1.1904761904761904E-2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56</v>
      </c>
      <c r="Y180" s="618">
        <f t="shared" si="15"/>
        <v>57.12</v>
      </c>
      <c r="Z180" s="36">
        <f>IFERROR(IF(Y180=0,"",ROUNDUP(Y180/H180,0)*0.00502),"")</f>
        <v>0.17068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59.333333333333343</v>
      </c>
      <c r="BN180" s="64">
        <f t="shared" si="17"/>
        <v>60.519999999999996</v>
      </c>
      <c r="BO180" s="64">
        <f t="shared" si="18"/>
        <v>0.14245014245014248</v>
      </c>
      <c r="BP180" s="64">
        <f t="shared" si="19"/>
        <v>0.14529914529914531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340.07936507936506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344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2.7062000000000004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1009</v>
      </c>
      <c r="Y182" s="619">
        <f>IFERROR(SUM(Y171:Y180),"0")</f>
        <v>1016.5400000000001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154</v>
      </c>
      <c r="Y214" s="618">
        <f t="shared" ref="Y214:Y226" si="26">IFERROR(IF(X214="",0,CEILING((X214/$H214),1)*$H214),"")</f>
        <v>155.4</v>
      </c>
      <c r="Z214" s="36">
        <f>IFERROR(IF(Y214=0,"",ROUNDUP(Y214/H214,0)*0.00902),"")</f>
        <v>0.33374000000000004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163.16666666666669</v>
      </c>
      <c r="BN214" s="64">
        <f t="shared" ref="BN214:BN226" si="28">IFERROR(Y214*I214/H214,"0")</f>
        <v>164.65</v>
      </c>
      <c r="BO214" s="64">
        <f t="shared" ref="BO214:BO226" si="29">IFERROR(1/J214*(X214/H214),"0")</f>
        <v>0.27777777777777779</v>
      </c>
      <c r="BP214" s="64">
        <f t="shared" ref="BP214:BP226" si="30">IFERROR(1/J214*(Y214/H214),"0")</f>
        <v>0.28030303030303033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388</v>
      </c>
      <c r="Y216" s="618">
        <f t="shared" si="26"/>
        <v>390.6</v>
      </c>
      <c r="Z216" s="36">
        <f>IFERROR(IF(Y216=0,"",ROUNDUP(Y216/H216,0)*0.00902),"")</f>
        <v>0.83886000000000005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405.55238095238093</v>
      </c>
      <c r="BN216" s="64">
        <f t="shared" si="28"/>
        <v>408.27</v>
      </c>
      <c r="BO216" s="64">
        <f t="shared" si="29"/>
        <v>0.69985569985569984</v>
      </c>
      <c r="BP216" s="64">
        <f t="shared" si="30"/>
        <v>0.70454545454545459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8</v>
      </c>
      <c r="Y217" s="618">
        <f t="shared" si="26"/>
        <v>8</v>
      </c>
      <c r="Z217" s="36">
        <f>IFERROR(IF(Y217=0,"",ROUNDUP(Y217/H217,0)*0.00556),"")</f>
        <v>5.5599999999999997E-2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9.3000000000000007</v>
      </c>
      <c r="BN217" s="64">
        <f t="shared" si="28"/>
        <v>9.3000000000000007</v>
      </c>
      <c r="BO217" s="64">
        <f t="shared" si="29"/>
        <v>3.968253968253968E-2</v>
      </c>
      <c r="BP217" s="64">
        <f t="shared" si="30"/>
        <v>3.968253968253968E-2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123</v>
      </c>
      <c r="Y218" s="618">
        <f t="shared" si="26"/>
        <v>123.9</v>
      </c>
      <c r="Z218" s="36">
        <f>IFERROR(IF(Y218=0,"",ROUNDUP(Y218/H218,0)*0.00502),"")</f>
        <v>0.29618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130.61428571428573</v>
      </c>
      <c r="BN218" s="64">
        <f t="shared" si="28"/>
        <v>131.57</v>
      </c>
      <c r="BO218" s="64">
        <f t="shared" si="29"/>
        <v>0.2503052503052503</v>
      </c>
      <c r="BP218" s="64">
        <f t="shared" si="30"/>
        <v>0.25213675213675218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3</v>
      </c>
      <c r="Y222" s="618">
        <f t="shared" si="26"/>
        <v>3.6</v>
      </c>
      <c r="Z222" s="36">
        <f>IFERROR(IF(Y222=0,"",ROUNDUP(Y222/H222,0)*0.00502),"")</f>
        <v>1.004E-2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3.2166666666666668</v>
      </c>
      <c r="BN222" s="64">
        <f t="shared" si="28"/>
        <v>3.8599999999999994</v>
      </c>
      <c r="BO222" s="64">
        <f t="shared" si="29"/>
        <v>7.1225071225071226E-3</v>
      </c>
      <c r="BP222" s="64">
        <f t="shared" si="30"/>
        <v>8.5470085470085479E-3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1</v>
      </c>
      <c r="Y223" s="618">
        <f t="shared" si="26"/>
        <v>1.6</v>
      </c>
      <c r="Z223" s="36">
        <f>IFERROR(IF(Y223=0,"",ROUNDUP(Y223/H223,0)*0.00417),"")</f>
        <v>8.3400000000000002E-3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1.2625</v>
      </c>
      <c r="BN223" s="64">
        <f t="shared" si="28"/>
        <v>2.02</v>
      </c>
      <c r="BO223" s="64">
        <f t="shared" si="29"/>
        <v>3.720238095238095E-3</v>
      </c>
      <c r="BP223" s="64">
        <f t="shared" si="30"/>
        <v>5.9523809523809521E-3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350</v>
      </c>
      <c r="Y224" s="618">
        <f t="shared" si="26"/>
        <v>350.7</v>
      </c>
      <c r="Z224" s="36">
        <f>IFERROR(IF(Y224=0,"",ROUNDUP(Y224/H224,0)*0.00502),"")</f>
        <v>0.83833999999999997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366.66666666666669</v>
      </c>
      <c r="BN224" s="64">
        <f t="shared" si="28"/>
        <v>367.40000000000003</v>
      </c>
      <c r="BO224" s="64">
        <f t="shared" si="29"/>
        <v>0.71225071225071224</v>
      </c>
      <c r="BP224" s="64">
        <f t="shared" si="30"/>
        <v>0.71367521367521369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367.20238095238091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370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2.3811000000000004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1027</v>
      </c>
      <c r="Y228" s="619">
        <f>IFERROR(SUM(Y214:Y226),"0")</f>
        <v>1033.8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4</v>
      </c>
      <c r="Y240" s="61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3.1746031746031744</v>
      </c>
      <c r="Y241" s="619">
        <f>IFERROR(Y238/H238,"0")+IFERROR(Y239/H239,"0")+IFERROR(Y240/H240,"0")</f>
        <v>4</v>
      </c>
      <c r="Z241" s="619">
        <f>IFERROR(IF(Z238="",0,Z238),"0")+IFERROR(IF(Z239="",0,Z239),"0")+IFERROR(IF(Z240="",0,Z240),"0")</f>
        <v>2.3599999999999999E-2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4</v>
      </c>
      <c r="Y242" s="619">
        <f>IFERROR(SUM(Y238:Y240),"0")</f>
        <v>5.04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40</v>
      </c>
      <c r="Y261" s="618">
        <f t="shared" si="31"/>
        <v>43.2</v>
      </c>
      <c r="Z261" s="36">
        <f>IFERROR(IF(Y261=0,"",ROUNDUP(Y261/H261,0)*0.00902),"")</f>
        <v>7.2160000000000002E-2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41.407407407407405</v>
      </c>
      <c r="BN261" s="64">
        <f t="shared" si="33"/>
        <v>44.72</v>
      </c>
      <c r="BO261" s="64">
        <f t="shared" si="34"/>
        <v>5.6116722783389444E-2</v>
      </c>
      <c r="BP261" s="64">
        <f t="shared" si="35"/>
        <v>6.0606060606060608E-2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27</v>
      </c>
      <c r="Y262" s="618">
        <f t="shared" si="31"/>
        <v>27</v>
      </c>
      <c r="Z262" s="36">
        <f>IFERROR(IF(Y262=0,"",ROUNDUP(Y262/H262,0)*0.00902),"")</f>
        <v>4.5100000000000001E-2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27.95</v>
      </c>
      <c r="BN262" s="64">
        <f t="shared" si="33"/>
        <v>27.95</v>
      </c>
      <c r="BO262" s="64">
        <f t="shared" si="34"/>
        <v>3.787878787878788E-2</v>
      </c>
      <c r="BP262" s="64">
        <f t="shared" si="35"/>
        <v>3.787878787878788E-2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3</v>
      </c>
      <c r="Y263" s="618">
        <f t="shared" si="31"/>
        <v>3.6</v>
      </c>
      <c r="Z263" s="36">
        <f>IFERROR(IF(Y263=0,"",ROUNDUP(Y263/H263,0)*0.00502),"")</f>
        <v>1.004E-2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3.2166666666666668</v>
      </c>
      <c r="BN263" s="64">
        <f t="shared" si="33"/>
        <v>3.8599999999999994</v>
      </c>
      <c r="BO263" s="64">
        <f t="shared" si="34"/>
        <v>7.1225071225071226E-3</v>
      </c>
      <c r="BP263" s="64">
        <f t="shared" si="35"/>
        <v>8.5470085470085479E-3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3</v>
      </c>
      <c r="Y264" s="618">
        <f t="shared" si="31"/>
        <v>3.6</v>
      </c>
      <c r="Z264" s="36">
        <f>IFERROR(IF(Y264=0,"",ROUNDUP(Y264/H264,0)*0.00502),"")</f>
        <v>1.004E-2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3.1666666666666661</v>
      </c>
      <c r="BN264" s="64">
        <f t="shared" si="33"/>
        <v>3.8</v>
      </c>
      <c r="BO264" s="64">
        <f t="shared" si="34"/>
        <v>7.1225071225071226E-3</v>
      </c>
      <c r="BP264" s="64">
        <f t="shared" si="35"/>
        <v>8.5470085470085479E-3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3</v>
      </c>
      <c r="Y266" s="618">
        <f t="shared" si="31"/>
        <v>3.6</v>
      </c>
      <c r="Z266" s="36">
        <f>IFERROR(IF(Y266=0,"",ROUNDUP(Y266/H266,0)*0.00502),"")</f>
        <v>1.004E-2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3.1666666666666661</v>
      </c>
      <c r="BN266" s="64">
        <f t="shared" si="33"/>
        <v>3.8</v>
      </c>
      <c r="BO266" s="64">
        <f t="shared" si="34"/>
        <v>7.1225071225071226E-3</v>
      </c>
      <c r="BP266" s="64">
        <f t="shared" si="35"/>
        <v>8.5470085470085479E-3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17.407407407407405</v>
      </c>
      <c r="Y267" s="619">
        <f>IFERROR(Y259/H259,"0")+IFERROR(Y260/H260,"0")+IFERROR(Y261/H261,"0")+IFERROR(Y262/H262,"0")+IFERROR(Y263/H263,"0")+IFERROR(Y264/H264,"0")+IFERROR(Y265/H265,"0")+IFERROR(Y266/H266,"0")</f>
        <v>19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0.14737999999999998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76</v>
      </c>
      <c r="Y268" s="619">
        <f>IFERROR(SUM(Y259:Y266),"0")</f>
        <v>80.999999999999986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343</v>
      </c>
      <c r="Y271" s="618">
        <f t="shared" si="36"/>
        <v>348.3</v>
      </c>
      <c r="Z271" s="36">
        <f>IFERROR(IF(Y271=0,"",ROUNDUP(Y271/H271,0)*0.01898),"")</f>
        <v>0.81613999999999998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363.15654320987659</v>
      </c>
      <c r="BN271" s="64">
        <f t="shared" si="38"/>
        <v>368.76800000000003</v>
      </c>
      <c r="BO271" s="64">
        <f t="shared" si="39"/>
        <v>0.66165123456790131</v>
      </c>
      <c r="BP271" s="64">
        <f t="shared" si="40"/>
        <v>0.671875</v>
      </c>
    </row>
    <row r="272" spans="1:68" ht="27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150</v>
      </c>
      <c r="Y272" s="618">
        <f t="shared" si="36"/>
        <v>156.6</v>
      </c>
      <c r="Z272" s="36">
        <f>IFERROR(IF(Y272=0,"",ROUNDUP(Y272/H272,0)*0.01898),"")</f>
        <v>0.34164</v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158.51724137931038</v>
      </c>
      <c r="BN272" s="64">
        <f t="shared" si="38"/>
        <v>165.49200000000002</v>
      </c>
      <c r="BO272" s="64">
        <f t="shared" si="39"/>
        <v>0.26939655172413796</v>
      </c>
      <c r="BP272" s="64">
        <f t="shared" si="40"/>
        <v>0.28125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32</v>
      </c>
      <c r="Y273" s="618">
        <f t="shared" si="36"/>
        <v>33.6</v>
      </c>
      <c r="Z273" s="36">
        <f>IFERROR(IF(Y273=0,"",ROUNDUP(Y273/H273,0)*0.00651),"")</f>
        <v>9.1139999999999999E-2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35.6</v>
      </c>
      <c r="BN273" s="64">
        <f t="shared" si="38"/>
        <v>37.380000000000003</v>
      </c>
      <c r="BO273" s="64">
        <f t="shared" si="39"/>
        <v>7.3260073260073263E-2</v>
      </c>
      <c r="BP273" s="64">
        <f t="shared" si="40"/>
        <v>7.6923076923076941E-2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0</v>
      </c>
      <c r="Y276" s="618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0</v>
      </c>
      <c r="Y278" s="618">
        <f t="shared" si="36"/>
        <v>0</v>
      </c>
      <c r="Z278" s="36" t="str">
        <f>IFERROR(IF(Y278=0,"",ROUNDUP(Y278/H278,0)*0.00651),"")</f>
        <v/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33</v>
      </c>
      <c r="Y279" s="618">
        <f t="shared" si="36"/>
        <v>33.6</v>
      </c>
      <c r="Z279" s="36">
        <f>IFERROR(IF(Y279=0,"",ROUNDUP(Y279/H279,0)*0.00651),"")</f>
        <v>9.1139999999999999E-2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36.465000000000003</v>
      </c>
      <c r="BN279" s="64">
        <f t="shared" si="38"/>
        <v>37.128000000000007</v>
      </c>
      <c r="BO279" s="64">
        <f t="shared" si="39"/>
        <v>7.5549450549450559E-2</v>
      </c>
      <c r="BP279" s="64">
        <f t="shared" si="40"/>
        <v>7.6923076923076941E-2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1</v>
      </c>
      <c r="Y280" s="618">
        <f t="shared" si="36"/>
        <v>2.4</v>
      </c>
      <c r="Z280" s="36">
        <f>IFERROR(IF(Y280=0,"",ROUNDUP(Y280/H280,0)*0.00651),"")</f>
        <v>6.5100000000000002E-3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1.1074999999999999</v>
      </c>
      <c r="BN280" s="64">
        <f t="shared" si="38"/>
        <v>2.6579999999999999</v>
      </c>
      <c r="BO280" s="64">
        <f t="shared" si="39"/>
        <v>2.2893772893772895E-3</v>
      </c>
      <c r="BP280" s="64">
        <f t="shared" si="40"/>
        <v>5.4945054945054949E-3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87.08705832269051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90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1.34657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559</v>
      </c>
      <c r="Y283" s="619">
        <f>IFERROR(SUM(Y270:Y281),"0")</f>
        <v>574.5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10</v>
      </c>
      <c r="Y285" s="618">
        <f>IFERROR(IF(X285="",0,CEILING((X285/$H285),1)*$H285),"")</f>
        <v>12</v>
      </c>
      <c r="Z285" s="36">
        <f>IFERROR(IF(Y285=0,"",ROUNDUP(Y285/H285,0)*0.00651),"")</f>
        <v>3.2550000000000003E-2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11.050000000000002</v>
      </c>
      <c r="BN285" s="64">
        <f>IFERROR(Y285*I285/H285,"0")</f>
        <v>13.260000000000002</v>
      </c>
      <c r="BO285" s="64">
        <f>IFERROR(1/J285*(X285/H285),"0")</f>
        <v>2.2893772893772896E-2</v>
      </c>
      <c r="BP285" s="64">
        <f>IFERROR(1/J285*(Y285/H285),"0")</f>
        <v>2.7472527472527476E-2</v>
      </c>
    </row>
    <row r="286" spans="1:68" ht="27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8</v>
      </c>
      <c r="Y286" s="618">
        <f>IFERROR(IF(X286="",0,CEILING((X286/$H286),1)*$H286),"")</f>
        <v>9.6</v>
      </c>
      <c r="Z286" s="36">
        <f>IFERROR(IF(Y286=0,"",ROUNDUP(Y286/H286,0)*0.00651),"")</f>
        <v>2.6040000000000001E-2</v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8.8400000000000016</v>
      </c>
      <c r="BN286" s="64">
        <f>IFERROR(Y286*I286/H286,"0")</f>
        <v>10.608000000000001</v>
      </c>
      <c r="BO286" s="64">
        <f>IFERROR(1/J286*(X286/H286),"0")</f>
        <v>1.8315018315018316E-2</v>
      </c>
      <c r="BP286" s="64">
        <f>IFERROR(1/J286*(Y286/H286),"0")</f>
        <v>2.197802197802198E-2</v>
      </c>
    </row>
    <row r="287" spans="1:68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7.5</v>
      </c>
      <c r="Y287" s="619">
        <f>IFERROR(Y285/H285,"0")+IFERROR(Y286/H286,"0")</f>
        <v>9</v>
      </c>
      <c r="Z287" s="619">
        <f>IFERROR(IF(Z285="",0,Z285),"0")+IFERROR(IF(Z286="",0,Z286),"0")</f>
        <v>5.8590000000000003E-2</v>
      </c>
      <c r="AA287" s="620"/>
      <c r="AB287" s="620"/>
      <c r="AC287" s="620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18</v>
      </c>
      <c r="Y288" s="619">
        <f>IFERROR(SUM(Y285:Y286),"0")</f>
        <v>21.6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100</v>
      </c>
      <c r="Y291" s="618">
        <f t="shared" ref="Y291:Y297" si="41">IFERROR(IF(X291="",0,CEILING((X291/$H291),1)*$H291),"")</f>
        <v>104.39999999999999</v>
      </c>
      <c r="Z291" s="36">
        <f>IFERROR(IF(Y291=0,"",ROUNDUP(Y291/H291,0)*0.01898),"")</f>
        <v>0.17082</v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103.5344827586207</v>
      </c>
      <c r="BN291" s="64">
        <f t="shared" ref="BN291:BN297" si="43">IFERROR(Y291*I291/H291,"0")</f>
        <v>108.08999999999999</v>
      </c>
      <c r="BO291" s="64">
        <f t="shared" ref="BO291:BO297" si="44">IFERROR(1/J291*(X291/H291),"0")</f>
        <v>0.13469827586206898</v>
      </c>
      <c r="BP291" s="64">
        <f t="shared" ref="BP291:BP297" si="45">IFERROR(1/J291*(Y291/H291),"0")</f>
        <v>0.140625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6</v>
      </c>
      <c r="Y297" s="618">
        <f t="shared" si="41"/>
        <v>8</v>
      </c>
      <c r="Z297" s="36">
        <f>IFERROR(IF(Y297=0,"",ROUNDUP(Y297/H297,0)*0.00902),"")</f>
        <v>1.804E-2</v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6.2850000000000001</v>
      </c>
      <c r="BN297" s="64">
        <f t="shared" si="43"/>
        <v>8.3800000000000008</v>
      </c>
      <c r="BO297" s="64">
        <f t="shared" si="44"/>
        <v>1.1363636363636364E-2</v>
      </c>
      <c r="BP297" s="64">
        <f t="shared" si="45"/>
        <v>1.5151515151515152E-2</v>
      </c>
    </row>
    <row r="298" spans="1:68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10.120689655172415</v>
      </c>
      <c r="Y298" s="619">
        <f>IFERROR(Y291/H291,"0")+IFERROR(Y292/H292,"0")+IFERROR(Y293/H293,"0")+IFERROR(Y294/H294,"0")+IFERROR(Y295/H295,"0")+IFERROR(Y296/H296,"0")+IFERROR(Y297/H297,"0")</f>
        <v>11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0.18886</v>
      </c>
      <c r="AA298" s="620"/>
      <c r="AB298" s="620"/>
      <c r="AC298" s="620"/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106</v>
      </c>
      <c r="Y299" s="619">
        <f>IFERROR(SUM(Y291:Y297),"0")</f>
        <v>112.39999999999999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160</v>
      </c>
      <c r="Y326" s="618">
        <f>IFERROR(IF(X326="",0,CEILING((X326/$H326),1)*$H326),"")</f>
        <v>160.79999999999998</v>
      </c>
      <c r="Z326" s="36">
        <f>IFERROR(IF(Y326=0,"",ROUNDUP(Y326/H326,0)*0.00651),"")</f>
        <v>0.43617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176.80000000000004</v>
      </c>
      <c r="BN326" s="64">
        <f>IFERROR(Y326*I326/H326,"0")</f>
        <v>177.684</v>
      </c>
      <c r="BO326" s="64">
        <f>IFERROR(1/J326*(X326/H326),"0")</f>
        <v>0.36630036630036633</v>
      </c>
      <c r="BP326" s="64">
        <f>IFERROR(1/J326*(Y326/H326),"0")</f>
        <v>0.36813186813186816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13</v>
      </c>
      <c r="Y327" s="618">
        <f>IFERROR(IF(X327="",0,CEILING((X327/$H327),1)*$H327),"")</f>
        <v>14.399999999999999</v>
      </c>
      <c r="Z327" s="36">
        <f>IFERROR(IF(Y327=0,"",ROUNDUP(Y327/H327,0)*0.00651),"")</f>
        <v>3.9059999999999997E-2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13.975</v>
      </c>
      <c r="BN327" s="64">
        <f>IFERROR(Y327*I327/H327,"0")</f>
        <v>15.479999999999999</v>
      </c>
      <c r="BO327" s="64">
        <f>IFERROR(1/J327*(X327/H327),"0")</f>
        <v>2.9761904761904767E-2</v>
      </c>
      <c r="BP327" s="64">
        <f>IFERROR(1/J327*(Y327/H327),"0")</f>
        <v>3.2967032967032968E-2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72.083333333333343</v>
      </c>
      <c r="Y328" s="619">
        <f>IFERROR(Y325/H325,"0")+IFERROR(Y326/H326,"0")+IFERROR(Y327/H327,"0")</f>
        <v>73</v>
      </c>
      <c r="Z328" s="619">
        <f>IFERROR(IF(Z325="",0,Z325),"0")+IFERROR(IF(Z326="",0,Z326),"0")+IFERROR(IF(Z327="",0,Z327),"0")</f>
        <v>0.47522999999999999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173</v>
      </c>
      <c r="Y329" s="619">
        <f>IFERROR(SUM(Y325:Y327),"0")</f>
        <v>175.2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301</v>
      </c>
      <c r="Y346" s="618">
        <f>IFERROR(IF(X346="",0,CEILING((X346/$H346),1)*$H346),"")</f>
        <v>304.2</v>
      </c>
      <c r="Z346" s="36">
        <f>IFERROR(IF(Y346=0,"",ROUNDUP(Y346/H346,0)*0.01898),"")</f>
        <v>0.74021999999999999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316.82179487179491</v>
      </c>
      <c r="BN346" s="64">
        <f>IFERROR(Y346*I346/H346,"0")</f>
        <v>320.19</v>
      </c>
      <c r="BO346" s="64">
        <f>IFERROR(1/J346*(X346/H346),"0")</f>
        <v>0.60296474358974361</v>
      </c>
      <c r="BP346" s="64">
        <f>IFERROR(1/J346*(Y346/H346),"0")</f>
        <v>0.609375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402</v>
      </c>
      <c r="Y347" s="618">
        <f>IFERROR(IF(X347="",0,CEILING((X347/$H347),1)*$H347),"")</f>
        <v>405.59999999999997</v>
      </c>
      <c r="Z347" s="36">
        <f>IFERROR(IF(Y347=0,"",ROUNDUP(Y347/H347,0)*0.01898),"")</f>
        <v>0.98696000000000006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423.13076923076932</v>
      </c>
      <c r="BN347" s="64">
        <f>IFERROR(Y347*I347/H347,"0")</f>
        <v>426.92</v>
      </c>
      <c r="BO347" s="64">
        <f>IFERROR(1/J347*(X347/H347),"0")</f>
        <v>0.80528846153846156</v>
      </c>
      <c r="BP347" s="64">
        <f>IFERROR(1/J347*(Y347/H347),"0")</f>
        <v>0.8125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233</v>
      </c>
      <c r="Y348" s="618">
        <f>IFERROR(IF(X348="",0,CEILING((X348/$H348),1)*$H348),"")</f>
        <v>234</v>
      </c>
      <c r="Z348" s="36">
        <f>IFERROR(IF(Y348=0,"",ROUNDUP(Y348/H348,0)*0.01898),"")</f>
        <v>0.56940000000000002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245.24743589743593</v>
      </c>
      <c r="BN348" s="64">
        <f>IFERROR(Y348*I348/H348,"0")</f>
        <v>246.3</v>
      </c>
      <c r="BO348" s="64">
        <f>IFERROR(1/J348*(X348/H348),"0")</f>
        <v>0.46674679487179488</v>
      </c>
      <c r="BP348" s="64">
        <f>IFERROR(1/J348*(Y348/H348),"0")</f>
        <v>0.46875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120.00000000000001</v>
      </c>
      <c r="Y349" s="619">
        <f>IFERROR(Y346/H346,"0")+IFERROR(Y347/H347,"0")+IFERROR(Y348/H348,"0")</f>
        <v>121</v>
      </c>
      <c r="Z349" s="619">
        <f>IFERROR(IF(Z346="",0,Z346),"0")+IFERROR(IF(Z347="",0,Z347),"0")+IFERROR(IF(Z348="",0,Z348),"0")</f>
        <v>2.2965800000000001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936</v>
      </c>
      <c r="Y350" s="619">
        <f>IFERROR(SUM(Y346:Y348),"0")</f>
        <v>943.8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14</v>
      </c>
      <c r="Y357" s="618">
        <f t="shared" si="51"/>
        <v>21.6</v>
      </c>
      <c r="Z357" s="36">
        <f>IFERROR(IF(Y357=0,"",ROUNDUP(Y357/H357,0)*0.01898),"")</f>
        <v>3.7960000000000001E-2</v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14.53148148148148</v>
      </c>
      <c r="BN357" s="64">
        <f t="shared" si="53"/>
        <v>22.42</v>
      </c>
      <c r="BO357" s="64">
        <f t="shared" si="54"/>
        <v>2.0254629629629629E-2</v>
      </c>
      <c r="BP357" s="64">
        <f t="shared" si="55"/>
        <v>3.125E-2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1.2962962962962963</v>
      </c>
      <c r="Y360" s="619">
        <f>IFERROR(Y353/H353,"0")+IFERROR(Y354/H354,"0")+IFERROR(Y355/H355,"0")+IFERROR(Y356/H356,"0")+IFERROR(Y357/H357,"0")+IFERROR(Y358/H358,"0")+IFERROR(Y359/H359,"0")</f>
        <v>2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3.7960000000000001E-2</v>
      </c>
      <c r="AA360" s="620"/>
      <c r="AB360" s="620"/>
      <c r="AC360" s="620"/>
    </row>
    <row r="361" spans="1:68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14</v>
      </c>
      <c r="Y361" s="619">
        <f>IFERROR(SUM(Y353:Y359),"0")</f>
        <v>21.6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45</v>
      </c>
      <c r="Y369" s="618">
        <f t="shared" si="56"/>
        <v>45</v>
      </c>
      <c r="Z369" s="36">
        <f>IFERROR(IF(Y369=0,"",ROUNDUP(Y369/H369,0)*0.00651),"")</f>
        <v>0.16275000000000001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50.7</v>
      </c>
      <c r="BN369" s="64">
        <f t="shared" si="58"/>
        <v>50.7</v>
      </c>
      <c r="BO369" s="64">
        <f t="shared" si="59"/>
        <v>0.13736263736263737</v>
      </c>
      <c r="BP369" s="64">
        <f t="shared" si="60"/>
        <v>0.13736263736263737</v>
      </c>
    </row>
    <row r="370" spans="1:68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25</v>
      </c>
      <c r="Y370" s="619">
        <f>IFERROR(Y363/H363,"0")+IFERROR(Y364/H364,"0")+IFERROR(Y365/H365,"0")+IFERROR(Y366/H366,"0")+IFERROR(Y367/H367,"0")+IFERROR(Y368/H368,"0")+IFERROR(Y369/H369,"0")</f>
        <v>25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0.16275000000000001</v>
      </c>
      <c r="AA370" s="620"/>
      <c r="AB370" s="620"/>
      <c r="AC370" s="620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45</v>
      </c>
      <c r="Y371" s="619">
        <f>IFERROR(SUM(Y363:Y369),"0")</f>
        <v>45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305</v>
      </c>
      <c r="Y380" s="618">
        <f>IFERROR(IF(X380="",0,CEILING((X380/$H380),1)*$H380),"")</f>
        <v>310.8</v>
      </c>
      <c r="Z380" s="36">
        <f>IFERROR(IF(Y380=0,"",ROUNDUP(Y380/H380,0)*0.01898),"")</f>
        <v>0.70226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322.93690476190477</v>
      </c>
      <c r="BN380" s="64">
        <f>IFERROR(Y380*I380/H380,"0")</f>
        <v>329.07799999999997</v>
      </c>
      <c r="BO380" s="64">
        <f>IFERROR(1/J380*(X380/H380),"0")</f>
        <v>0.56733630952380953</v>
      </c>
      <c r="BP380" s="64">
        <f>IFERROR(1/J380*(Y380/H380),"0")</f>
        <v>0.578125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0</v>
      </c>
      <c r="Y381" s="61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121</v>
      </c>
      <c r="Y382" s="618">
        <f>IFERROR(IF(X382="",0,CEILING((X382/$H382),1)*$H382),"")</f>
        <v>126</v>
      </c>
      <c r="Z382" s="36">
        <f>IFERROR(IF(Y382=0,"",ROUNDUP(Y382/H382,0)*0.01898),"")</f>
        <v>0.28470000000000001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128.11595238095236</v>
      </c>
      <c r="BN382" s="64">
        <f>IFERROR(Y382*I382/H382,"0")</f>
        <v>133.41</v>
      </c>
      <c r="BO382" s="64">
        <f>IFERROR(1/J382*(X382/H382),"0")</f>
        <v>0.22507440476190474</v>
      </c>
      <c r="BP382" s="64">
        <f>IFERROR(1/J382*(Y382/H382),"0")</f>
        <v>0.234375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50.714285714285715</v>
      </c>
      <c r="Y383" s="619">
        <f>IFERROR(Y380/H380,"0")+IFERROR(Y381/H381,"0")+IFERROR(Y382/H382,"0")</f>
        <v>52</v>
      </c>
      <c r="Z383" s="619">
        <f>IFERROR(IF(Z380="",0,Z380),"0")+IFERROR(IF(Z381="",0,Z381),"0")+IFERROR(IF(Z382="",0,Z382),"0")</f>
        <v>0.98696000000000006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426</v>
      </c>
      <c r="Y384" s="619">
        <f>IFERROR(SUM(Y380:Y382),"0")</f>
        <v>436.8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28</v>
      </c>
      <c r="Y387" s="618">
        <f>IFERROR(IF(X387="",0,CEILING((X387/$H387),1)*$H387),"")</f>
        <v>30.4</v>
      </c>
      <c r="Z387" s="36">
        <f>IFERROR(IF(Y387=0,"",ROUNDUP(Y387/H387,0)*0.00902),"")</f>
        <v>9.0200000000000002E-2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30.118421052631579</v>
      </c>
      <c r="BN387" s="64">
        <f>IFERROR(Y387*I387/H387,"0")</f>
        <v>32.700000000000003</v>
      </c>
      <c r="BO387" s="64">
        <f>IFERROR(1/J387*(X387/H387),"0")</f>
        <v>6.9776714513556631E-2</v>
      </c>
      <c r="BP387" s="64">
        <f>IFERROR(1/J387*(Y387/H387),"0")</f>
        <v>7.575757575757576E-2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1</v>
      </c>
      <c r="Y388" s="618">
        <f>IFERROR(IF(X388="",0,CEILING((X388/$H388),1)*$H388),"")</f>
        <v>2.5499999999999998</v>
      </c>
      <c r="Z388" s="36">
        <f>IFERROR(IF(Y388=0,"",ROUNDUP(Y388/H388,0)*0.00651),"")</f>
        <v>6.5100000000000002E-3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1.1588235294117648</v>
      </c>
      <c r="BN388" s="64">
        <f>IFERROR(Y388*I388/H388,"0")</f>
        <v>2.9550000000000001</v>
      </c>
      <c r="BO388" s="64">
        <f>IFERROR(1/J388*(X388/H388),"0")</f>
        <v>2.1547080370609788E-3</v>
      </c>
      <c r="BP388" s="64">
        <f>IFERROR(1/J388*(Y388/H388),"0")</f>
        <v>5.4945054945054949E-3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26</v>
      </c>
      <c r="Y389" s="618">
        <f>IFERROR(IF(X389="",0,CEILING((X389/$H389),1)*$H389),"")</f>
        <v>28.049999999999997</v>
      </c>
      <c r="Z389" s="36">
        <f>IFERROR(IF(Y389=0,"",ROUNDUP(Y389/H389,0)*0.00651),"")</f>
        <v>7.1610000000000007E-2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29.36470588235294</v>
      </c>
      <c r="BN389" s="64">
        <f>IFERROR(Y389*I389/H389,"0")</f>
        <v>31.68</v>
      </c>
      <c r="BO389" s="64">
        <f>IFERROR(1/J389*(X389/H389),"0")</f>
        <v>5.6022408963585443E-2</v>
      </c>
      <c r="BP389" s="64">
        <f>IFERROR(1/J389*(Y389/H389),"0")</f>
        <v>6.0439560439560447E-2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19.798761609907125</v>
      </c>
      <c r="Y390" s="619">
        <f>IFERROR(Y386/H386,"0")+IFERROR(Y387/H387,"0")+IFERROR(Y388/H388,"0")+IFERROR(Y389/H389,"0")</f>
        <v>22</v>
      </c>
      <c r="Z390" s="619">
        <f>IFERROR(IF(Z386="",0,Z386),"0")+IFERROR(IF(Z387="",0,Z387),"0")+IFERROR(IF(Z388="",0,Z388),"0")+IFERROR(IF(Z389="",0,Z389),"0")</f>
        <v>0.16832000000000003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55</v>
      </c>
      <c r="Y391" s="619">
        <f>IFERROR(SUM(Y386:Y389),"0")</f>
        <v>60.999999999999993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10</v>
      </c>
      <c r="Y393" s="618">
        <f>IFERROR(IF(X393="",0,CEILING((X393/$H393),1)*$H393),"")</f>
        <v>10</v>
      </c>
      <c r="Z393" s="36">
        <f>IFERROR(IF(Y393=0,"",ROUNDUP(Y393/H393,0)*0.00474),"")</f>
        <v>2.3700000000000002E-2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11.200000000000001</v>
      </c>
      <c r="BN393" s="64">
        <f>IFERROR(Y393*I393/H393,"0")</f>
        <v>11.200000000000001</v>
      </c>
      <c r="BO393" s="64">
        <f>IFERROR(1/J393*(X393/H393),"0")</f>
        <v>2.1008403361344536E-2</v>
      </c>
      <c r="BP393" s="64">
        <f>IFERROR(1/J393*(Y393/H393),"0")</f>
        <v>2.1008403361344536E-2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21</v>
      </c>
      <c r="Y394" s="618">
        <f>IFERROR(IF(X394="",0,CEILING((X394/$H394),1)*$H394),"")</f>
        <v>22</v>
      </c>
      <c r="Z394" s="36">
        <f>IFERROR(IF(Y394=0,"",ROUNDUP(Y394/H394,0)*0.00474),"")</f>
        <v>5.2140000000000006E-2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23.520000000000003</v>
      </c>
      <c r="BN394" s="64">
        <f>IFERROR(Y394*I394/H394,"0")</f>
        <v>24.64</v>
      </c>
      <c r="BO394" s="64">
        <f>IFERROR(1/J394*(X394/H394),"0")</f>
        <v>4.4117647058823525E-2</v>
      </c>
      <c r="BP394" s="64">
        <f>IFERROR(1/J394*(Y394/H394),"0")</f>
        <v>4.6218487394957979E-2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8</v>
      </c>
      <c r="Y395" s="618">
        <f>IFERROR(IF(X395="",0,CEILING((X395/$H395),1)*$H395),"")</f>
        <v>8</v>
      </c>
      <c r="Z395" s="36">
        <f>IFERROR(IF(Y395=0,"",ROUNDUP(Y395/H395,0)*0.00474),"")</f>
        <v>1.8960000000000001E-2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8.9600000000000009</v>
      </c>
      <c r="BN395" s="64">
        <f>IFERROR(Y395*I395/H395,"0")</f>
        <v>8.9600000000000009</v>
      </c>
      <c r="BO395" s="64">
        <f>IFERROR(1/J395*(X395/H395),"0")</f>
        <v>1.680672268907563E-2</v>
      </c>
      <c r="BP395" s="64">
        <f>IFERROR(1/J395*(Y395/H395),"0")</f>
        <v>1.680672268907563E-2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19.5</v>
      </c>
      <c r="Y396" s="619">
        <f>IFERROR(Y393/H393,"0")+IFERROR(Y394/H394,"0")+IFERROR(Y395/H395,"0")</f>
        <v>20</v>
      </c>
      <c r="Z396" s="619">
        <f>IFERROR(IF(Z393="",0,Z393),"0")+IFERROR(IF(Z394="",0,Z394),"0")+IFERROR(IF(Z395="",0,Z395),"0")</f>
        <v>9.4800000000000009E-2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39</v>
      </c>
      <c r="Y397" s="619">
        <f>IFERROR(SUM(Y393:Y395),"0")</f>
        <v>40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38</v>
      </c>
      <c r="Y399" s="618">
        <f>IFERROR(IF(X399="",0,CEILING((X399/$H399),1)*$H399),"")</f>
        <v>39</v>
      </c>
      <c r="Z399" s="36">
        <f>IFERROR(IF(Y399=0,"",ROUNDUP(Y399/H399,0)*0.0045),"")</f>
        <v>5.8499999999999996E-2</v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40.786666666666669</v>
      </c>
      <c r="BN399" s="64">
        <f>IFERROR(Y399*I399/H399,"0")</f>
        <v>41.860000000000007</v>
      </c>
      <c r="BO399" s="64">
        <f>IFERROR(1/J399*(X399/H399),"0")</f>
        <v>5.6547619047619041E-2</v>
      </c>
      <c r="BP399" s="64">
        <f>IFERROR(1/J399*(Y399/H399),"0")</f>
        <v>5.8035714285714281E-2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50</v>
      </c>
      <c r="Y401" s="618">
        <f>IFERROR(IF(X401="",0,CEILING((X401/$H401),1)*$H401),"")</f>
        <v>51</v>
      </c>
      <c r="Z401" s="36">
        <f>IFERROR(IF(Y401=0,"",ROUNDUP(Y401/H401,0)*0.0045),"")</f>
        <v>7.6499999999999999E-2</v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53.666666666666664</v>
      </c>
      <c r="BN401" s="64">
        <f>IFERROR(Y401*I401/H401,"0")</f>
        <v>54.74</v>
      </c>
      <c r="BO401" s="64">
        <f>IFERROR(1/J401*(X401/H401),"0")</f>
        <v>7.4404761904761904E-2</v>
      </c>
      <c r="BP401" s="64">
        <f>IFERROR(1/J401*(Y401/H401),"0")</f>
        <v>7.5892857142857137E-2</v>
      </c>
    </row>
    <row r="402" spans="1:68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29.333333333333336</v>
      </c>
      <c r="Y402" s="619">
        <f>IFERROR(Y399/H399,"0")+IFERROR(Y400/H400,"0")+IFERROR(Y401/H401,"0")</f>
        <v>30</v>
      </c>
      <c r="Z402" s="619">
        <f>IFERROR(IF(Z399="",0,Z399),"0")+IFERROR(IF(Z400="",0,Z400),"0")+IFERROR(IF(Z401="",0,Z401),"0")</f>
        <v>0.13500000000000001</v>
      </c>
      <c r="AA402" s="620"/>
      <c r="AB402" s="620"/>
      <c r="AC402" s="620"/>
    </row>
    <row r="403" spans="1:68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88</v>
      </c>
      <c r="Y403" s="619">
        <f>IFERROR(SUM(Y399:Y401),"0")</f>
        <v>90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7</v>
      </c>
      <c r="Y413" s="618">
        <f>IFERROR(IF(X413="",0,CEILING((X413/$H413),1)*$H413),"")</f>
        <v>8.4</v>
      </c>
      <c r="Z413" s="36">
        <f>IFERROR(IF(Y413=0,"",ROUNDUP(Y413/H413,0)*0.00651),"")</f>
        <v>2.6040000000000001E-2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7.839999999999999</v>
      </c>
      <c r="BN413" s="64">
        <f>IFERROR(Y413*I413/H413,"0")</f>
        <v>9.4079999999999995</v>
      </c>
      <c r="BO413" s="64">
        <f>IFERROR(1/J413*(X413/H413),"0")</f>
        <v>1.8315018315018316E-2</v>
      </c>
      <c r="BP413" s="64">
        <f>IFERROR(1/J413*(Y413/H413),"0")</f>
        <v>2.197802197802198E-2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4</v>
      </c>
      <c r="Y414" s="618">
        <f>IFERROR(IF(X414="",0,CEILING((X414/$H414),1)*$H414),"")</f>
        <v>4.2</v>
      </c>
      <c r="Z414" s="36">
        <f>IFERROR(IF(Y414=0,"",ROUNDUP(Y414/H414,0)*0.00651),"")</f>
        <v>1.302E-2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4.4571428571428564</v>
      </c>
      <c r="BN414" s="64">
        <f>IFERROR(Y414*I414/H414,"0")</f>
        <v>4.68</v>
      </c>
      <c r="BO414" s="64">
        <f>IFERROR(1/J414*(X414/H414),"0")</f>
        <v>1.0465724751439037E-2</v>
      </c>
      <c r="BP414" s="64">
        <f>IFERROR(1/J414*(Y414/H414),"0")</f>
        <v>1.098901098901099E-2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5.2380952380952372</v>
      </c>
      <c r="Y415" s="619">
        <f>IFERROR(Y412/H412,"0")+IFERROR(Y413/H413,"0")+IFERROR(Y414/H414,"0")</f>
        <v>6</v>
      </c>
      <c r="Z415" s="619">
        <f>IFERROR(IF(Z412="",0,Z412),"0")+IFERROR(IF(Z413="",0,Z413),"0")+IFERROR(IF(Z414="",0,Z414),"0")</f>
        <v>3.9059999999999997E-2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11</v>
      </c>
      <c r="Y416" s="619">
        <f>IFERROR(SUM(Y412:Y414),"0")</f>
        <v>12.600000000000001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1300</v>
      </c>
      <c r="Y421" s="618">
        <f t="shared" si="61"/>
        <v>1305</v>
      </c>
      <c r="Z421" s="36">
        <f>IFERROR(IF(Y421=0,"",ROUNDUP(Y421/H421,0)*0.02175),"")</f>
        <v>1.8922499999999998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1340.7333333333333</v>
      </c>
      <c r="BN421" s="64">
        <f t="shared" si="63"/>
        <v>1345.89</v>
      </c>
      <c r="BO421" s="64">
        <f t="shared" si="64"/>
        <v>1.8055555555555556</v>
      </c>
      <c r="BP421" s="64">
        <f t="shared" si="65"/>
        <v>1.8125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113</v>
      </c>
      <c r="Y422" s="618">
        <f t="shared" si="61"/>
        <v>120</v>
      </c>
      <c r="Z422" s="36">
        <f>IFERROR(IF(Y422=0,"",ROUNDUP(Y422/H422,0)*0.02175),"")</f>
        <v>0.17399999999999999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116.54066666666668</v>
      </c>
      <c r="BN422" s="64">
        <f t="shared" si="63"/>
        <v>123.76</v>
      </c>
      <c r="BO422" s="64">
        <f t="shared" si="64"/>
        <v>0.15694444444444444</v>
      </c>
      <c r="BP422" s="64">
        <f t="shared" si="65"/>
        <v>0.16666666666666666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1030</v>
      </c>
      <c r="Y424" s="618">
        <f t="shared" si="61"/>
        <v>1035</v>
      </c>
      <c r="Z424" s="36">
        <f>IFERROR(IF(Y424=0,"",ROUNDUP(Y424/H424,0)*0.02175),"")</f>
        <v>1.5007499999999998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1062.2733333333333</v>
      </c>
      <c r="BN424" s="64">
        <f t="shared" si="63"/>
        <v>1067.43</v>
      </c>
      <c r="BO424" s="64">
        <f t="shared" si="64"/>
        <v>1.4305555555555556</v>
      </c>
      <c r="BP424" s="64">
        <f t="shared" si="65"/>
        <v>1.4375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162.86666666666667</v>
      </c>
      <c r="Y428" s="619">
        <f>IFERROR(Y420/H420,"0")+IFERROR(Y421/H421,"0")+IFERROR(Y422/H422,"0")+IFERROR(Y423/H423,"0")+IFERROR(Y424/H424,"0")+IFERROR(Y425/H425,"0")+IFERROR(Y426/H426,"0")+IFERROR(Y427/H427,"0")</f>
        <v>164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3.5669999999999993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2443</v>
      </c>
      <c r="Y429" s="619">
        <f>IFERROR(SUM(Y420:Y427),"0")</f>
        <v>2460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1300</v>
      </c>
      <c r="Y431" s="618">
        <f>IFERROR(IF(X431="",0,CEILING((X431/$H431),1)*$H431),"")</f>
        <v>1305</v>
      </c>
      <c r="Z431" s="36">
        <f>IFERROR(IF(Y431=0,"",ROUNDUP(Y431/H431,0)*0.02175),"")</f>
        <v>1.8922499999999998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1340.7333333333333</v>
      </c>
      <c r="BN431" s="64">
        <f>IFERROR(Y431*I431/H431,"0")</f>
        <v>1345.89</v>
      </c>
      <c r="BO431" s="64">
        <f>IFERROR(1/J431*(X431/H431),"0")</f>
        <v>1.8055555555555556</v>
      </c>
      <c r="BP431" s="64">
        <f>IFERROR(1/J431*(Y431/H431),"0")</f>
        <v>1.8125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86.666666666666671</v>
      </c>
      <c r="Y434" s="619">
        <f>IFERROR(Y431/H431,"0")+IFERROR(Y432/H432,"0")+IFERROR(Y433/H433,"0")</f>
        <v>87</v>
      </c>
      <c r="Z434" s="619">
        <f>IFERROR(IF(Z431="",0,Z431),"0")+IFERROR(IF(Z432="",0,Z432),"0")+IFERROR(IF(Z433="",0,Z433),"0")</f>
        <v>1.8922499999999998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1300</v>
      </c>
      <c r="Y435" s="619">
        <f>IFERROR(SUM(Y431:Y433),"0")</f>
        <v>1305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191</v>
      </c>
      <c r="Y444" s="618">
        <f>IFERROR(IF(X444="",0,CEILING((X444/$H444),1)*$H444),"")</f>
        <v>198</v>
      </c>
      <c r="Z444" s="36">
        <f>IFERROR(IF(Y444=0,"",ROUNDUP(Y444/H444,0)*0.01898),"")</f>
        <v>0.41755999999999999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201.48377777777779</v>
      </c>
      <c r="BN444" s="64">
        <f>IFERROR(Y444*I444/H444,"0")</f>
        <v>208.86799999999999</v>
      </c>
      <c r="BO444" s="64">
        <f>IFERROR(1/J444*(X444/H444),"0")</f>
        <v>0.33159722222222221</v>
      </c>
      <c r="BP444" s="64">
        <f>IFERROR(1/J444*(Y444/H444),"0")</f>
        <v>0.34375</v>
      </c>
    </row>
    <row r="445" spans="1:68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21.222222222222221</v>
      </c>
      <c r="Y445" s="619">
        <f>IFERROR(Y443/H443,"0")+IFERROR(Y444/H444,"0")</f>
        <v>22</v>
      </c>
      <c r="Z445" s="619">
        <f>IFERROR(IF(Z443="",0,Z443),"0")+IFERROR(IF(Z444="",0,Z444),"0")</f>
        <v>0.41755999999999999</v>
      </c>
      <c r="AA445" s="620"/>
      <c r="AB445" s="620"/>
      <c r="AC445" s="620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191</v>
      </c>
      <c r="Y446" s="619">
        <f>IFERROR(SUM(Y443:Y444),"0")</f>
        <v>198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290</v>
      </c>
      <c r="Y458" s="618">
        <f>IFERROR(IF(X458="",0,CEILING((X458/$H458),1)*$H458),"")</f>
        <v>297</v>
      </c>
      <c r="Z458" s="36">
        <f>IFERROR(IF(Y458=0,"",ROUNDUP(Y458/H458,0)*0.01898),"")</f>
        <v>0.62634000000000001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305.91777777777776</v>
      </c>
      <c r="BN458" s="64">
        <f>IFERROR(Y458*I458/H458,"0")</f>
        <v>313.30199999999996</v>
      </c>
      <c r="BO458" s="64">
        <f>IFERROR(1/J458*(X458/H458),"0")</f>
        <v>0.50347222222222221</v>
      </c>
      <c r="BP458" s="64">
        <f>IFERROR(1/J458*(Y458/H458),"0")</f>
        <v>0.515625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32.222222222222221</v>
      </c>
      <c r="Y461" s="619">
        <f>IFERROR(Y458/H458,"0")+IFERROR(Y459/H459,"0")+IFERROR(Y460/H460,"0")</f>
        <v>33</v>
      </c>
      <c r="Z461" s="619">
        <f>IFERROR(IF(Z458="",0,Z458),"0")+IFERROR(IF(Z459="",0,Z459),"0")+IFERROR(IF(Z460="",0,Z460),"0")</f>
        <v>0.62634000000000001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290</v>
      </c>
      <c r="Y462" s="619">
        <f>IFERROR(SUM(Y458:Y460),"0")</f>
        <v>297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40</v>
      </c>
      <c r="Y494" s="618">
        <f t="shared" si="71"/>
        <v>42.24</v>
      </c>
      <c r="Z494" s="36">
        <f>IFERROR(IF(Y494=0,"",ROUNDUP(Y494/H494,0)*0.01196),"")</f>
        <v>9.5680000000000001E-2</v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42.651515151515149</v>
      </c>
      <c r="BN494" s="64">
        <f t="shared" si="73"/>
        <v>45.04</v>
      </c>
      <c r="BO494" s="64">
        <f t="shared" si="74"/>
        <v>7.2843822843822847E-2</v>
      </c>
      <c r="BP494" s="64">
        <f t="shared" si="75"/>
        <v>7.6923076923076927E-2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246</v>
      </c>
      <c r="Y495" s="618">
        <f t="shared" si="71"/>
        <v>248.16000000000003</v>
      </c>
      <c r="Z495" s="36">
        <f>IFERROR(IF(Y495=0,"",ROUNDUP(Y495/H495,0)*0.01196),"")</f>
        <v>0.56211999999999995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262.30681818181819</v>
      </c>
      <c r="BN495" s="64">
        <f t="shared" si="73"/>
        <v>264.61</v>
      </c>
      <c r="BO495" s="64">
        <f t="shared" si="74"/>
        <v>0.44798951048951047</v>
      </c>
      <c r="BP495" s="64">
        <f t="shared" si="75"/>
        <v>0.45192307692307693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341</v>
      </c>
      <c r="Y496" s="618">
        <f t="shared" si="71"/>
        <v>343.2</v>
      </c>
      <c r="Z496" s="36">
        <f>IFERROR(IF(Y496=0,"",ROUNDUP(Y496/H496,0)*0.01196),"")</f>
        <v>0.77739999999999998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363.60416666666663</v>
      </c>
      <c r="BN496" s="64">
        <f t="shared" si="73"/>
        <v>365.95</v>
      </c>
      <c r="BO496" s="64">
        <f t="shared" si="74"/>
        <v>0.62099358974358976</v>
      </c>
      <c r="BP496" s="64">
        <f t="shared" si="75"/>
        <v>0.625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118.75</v>
      </c>
      <c r="Y500" s="619">
        <f>IFERROR(Y492/H492,"0")+IFERROR(Y493/H493,"0")+IFERROR(Y494/H494,"0")+IFERROR(Y495/H495,"0")+IFERROR(Y496/H496,"0")+IFERROR(Y497/H497,"0")+IFERROR(Y498/H498,"0")+IFERROR(Y499/H499,"0")</f>
        <v>120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1.4352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627</v>
      </c>
      <c r="Y501" s="619">
        <f>IFERROR(SUM(Y492:Y499),"0")</f>
        <v>633.6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96</v>
      </c>
      <c r="Y503" s="618">
        <f>IFERROR(IF(X503="",0,CEILING((X503/$H503),1)*$H503),"")</f>
        <v>100.32000000000001</v>
      </c>
      <c r="Z503" s="36">
        <f>IFERROR(IF(Y503=0,"",ROUNDUP(Y503/H503,0)*0.01196),"")</f>
        <v>0.22724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102.36363636363636</v>
      </c>
      <c r="BN503" s="64">
        <f>IFERROR(Y503*I503/H503,"0")</f>
        <v>106.97</v>
      </c>
      <c r="BO503" s="64">
        <f>IFERROR(1/J503*(X503/H503),"0")</f>
        <v>0.17482517482517482</v>
      </c>
      <c r="BP503" s="64">
        <f>IFERROR(1/J503*(Y503/H503),"0")</f>
        <v>0.18269230769230771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18.18181818181818</v>
      </c>
      <c r="Y506" s="619">
        <f>IFERROR(Y503/H503,"0")+IFERROR(Y504/H504,"0")+IFERROR(Y505/H505,"0")</f>
        <v>19</v>
      </c>
      <c r="Z506" s="619">
        <f>IFERROR(IF(Z503="",0,Z503),"0")+IFERROR(IF(Z504="",0,Z504),"0")+IFERROR(IF(Z505="",0,Z505),"0")</f>
        <v>0.22724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96</v>
      </c>
      <c r="Y507" s="619">
        <f>IFERROR(SUM(Y503:Y505),"0")</f>
        <v>100.32000000000001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19</v>
      </c>
      <c r="Y509" s="618">
        <f t="shared" ref="Y509:Y515" si="76">IFERROR(IF(X509="",0,CEILING((X509/$H509),1)*$H509),"")</f>
        <v>21.12</v>
      </c>
      <c r="Z509" s="36">
        <f>IFERROR(IF(Y509=0,"",ROUNDUP(Y509/H509,0)*0.01196),"")</f>
        <v>4.7840000000000001E-2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20.259469696969695</v>
      </c>
      <c r="BN509" s="64">
        <f t="shared" ref="BN509:BN515" si="78">IFERROR(Y509*I509/H509,"0")</f>
        <v>22.52</v>
      </c>
      <c r="BO509" s="64">
        <f t="shared" ref="BO509:BO515" si="79">IFERROR(1/J509*(X509/H509),"0")</f>
        <v>3.4600815850815848E-2</v>
      </c>
      <c r="BP509" s="64">
        <f t="shared" ref="BP509:BP515" si="80">IFERROR(1/J509*(Y509/H509),"0")</f>
        <v>3.8461538461538464E-2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24</v>
      </c>
      <c r="Y510" s="618">
        <f t="shared" si="76"/>
        <v>26.400000000000002</v>
      </c>
      <c r="Z510" s="36">
        <f>IFERROR(IF(Y510=0,"",ROUNDUP(Y510/H510,0)*0.01196),"")</f>
        <v>5.9799999999999999E-2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25.59090909090909</v>
      </c>
      <c r="BN510" s="64">
        <f t="shared" si="78"/>
        <v>28.15</v>
      </c>
      <c r="BO510" s="64">
        <f t="shared" si="79"/>
        <v>4.3706293706293704E-2</v>
      </c>
      <c r="BP510" s="64">
        <f t="shared" si="80"/>
        <v>4.807692307692308E-2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9</v>
      </c>
      <c r="Y511" s="618">
        <f t="shared" si="76"/>
        <v>10.56</v>
      </c>
      <c r="Z511" s="36">
        <f>IFERROR(IF(Y511=0,"",ROUNDUP(Y511/H511,0)*0.01196),"")</f>
        <v>2.392E-2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9.5965909090909083</v>
      </c>
      <c r="BN511" s="64">
        <f t="shared" si="78"/>
        <v>11.26</v>
      </c>
      <c r="BO511" s="64">
        <f t="shared" si="79"/>
        <v>1.638986013986014E-2</v>
      </c>
      <c r="BP511" s="64">
        <f t="shared" si="80"/>
        <v>1.9230769230769232E-2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9.8484848484848477</v>
      </c>
      <c r="Y516" s="619">
        <f>IFERROR(Y509/H509,"0")+IFERROR(Y510/H510,"0")+IFERROR(Y511/H511,"0")+IFERROR(Y512/H512,"0")+IFERROR(Y513/H513,"0")+IFERROR(Y514/H514,"0")+IFERROR(Y515/H515,"0")</f>
        <v>11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0.13156000000000001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52</v>
      </c>
      <c r="Y517" s="619">
        <f>IFERROR(SUM(Y509:Y515),"0")</f>
        <v>58.080000000000005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60</v>
      </c>
      <c r="Y533" s="618">
        <f>IFERROR(IF(X533="",0,CEILING((X533/$H533),1)*$H533),"")</f>
        <v>63</v>
      </c>
      <c r="Z533" s="36">
        <f>IFERROR(IF(Y533=0,"",ROUNDUP(Y533/H533,0)*0.01898),"")</f>
        <v>0.13286000000000001</v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63.293333333333329</v>
      </c>
      <c r="BN533" s="64">
        <f>IFERROR(Y533*I533/H533,"0")</f>
        <v>66.457999999999998</v>
      </c>
      <c r="BO533" s="64">
        <f>IFERROR(1/J533*(X533/H533),"0")</f>
        <v>0.10416666666666667</v>
      </c>
      <c r="BP533" s="64">
        <f>IFERROR(1/J533*(Y533/H533),"0")</f>
        <v>0.109375</v>
      </c>
    </row>
    <row r="534" spans="1:68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6.666666666666667</v>
      </c>
      <c r="Y534" s="619">
        <f>IFERROR(Y533/H533,"0")</f>
        <v>7</v>
      </c>
      <c r="Z534" s="619">
        <f>IFERROR(IF(Z533="",0,Z533),"0")</f>
        <v>0.13286000000000001</v>
      </c>
      <c r="AA534" s="620"/>
      <c r="AB534" s="620"/>
      <c r="AC534" s="620"/>
    </row>
    <row r="535" spans="1:68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60</v>
      </c>
      <c r="Y535" s="619">
        <f>IFERROR(SUM(Y533:Y533),"0")</f>
        <v>63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12006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12198.04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12581.449852452257</v>
      </c>
      <c r="Y547" s="619">
        <f>IFERROR(SUM(BN22:BN543),"0")</f>
        <v>12784.567000000003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21</v>
      </c>
      <c r="Y548" s="38">
        <f>ROUNDUP(SUM(BP22:BP543),0)</f>
        <v>21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13106.449852452257</v>
      </c>
      <c r="Y549" s="619">
        <f>GrossWeightTotalR+PalletQtyTotalR*25</f>
        <v>13309.567000000003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1954.4909712680651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1991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24.192109999999996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97.2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810.90000000000009</v>
      </c>
      <c r="F556" s="46">
        <f>IFERROR(Y84*1,"0")+IFERROR(Y85*1,"0")+IFERROR(Y86*1,"0")+IFERROR(Y87*1,"0")+IFERROR(Y88*1,"0")+IFERROR(Y89*1,"0")+IFERROR(Y93*1,"0")+IFERROR(Y94*1,"0")+IFERROR(Y95*1,"0")+IFERROR(Y96*1,"0")</f>
        <v>597.6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849.90000000000009</v>
      </c>
      <c r="H556" s="46">
        <f>IFERROR(Y131*1,"0")+IFERROR(Y132*1,"0")+IFERROR(Y136*1,"0")+IFERROR(Y137*1,"0")+IFERROR(Y141*1,"0")+IFERROR(Y142*1,"0")</f>
        <v>56.56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1016.5400000000001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1038.8399999999999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677.1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112.39999999999999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175.2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943.8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694.39999999999986</v>
      </c>
      <c r="U556" s="46">
        <f>IFERROR(Y406*1,"0")+IFERROR(Y407*1,"0")</f>
        <v>0</v>
      </c>
      <c r="V556" s="46">
        <f>IFERROR(Y412*1,"0")+IFERROR(Y413*1,"0")+IFERROR(Y414*1,"0")</f>
        <v>12.600000000000001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3963</v>
      </c>
      <c r="X556" s="46">
        <f>IFERROR(Y449*1,"0")+IFERROR(Y450*1,"0")+IFERROR(Y454*1,"0")+IFERROR(Y458*1,"0")+IFERROR(Y459*1,"0")+IFERROR(Y460*1,"0")</f>
        <v>297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792</v>
      </c>
      <c r="AB556" s="46">
        <f>IFERROR(Y521*1,"0")+IFERROR(Y525*1,"0")+IFERROR(Y529*1,"0")+IFERROR(Y533*1,"0")+IFERROR(Y537*1,"0")+IFERROR(Y538*1,"0")</f>
        <v>63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9,00"/>
        <filter val="1 027,00"/>
        <filter val="1 030,00"/>
        <filter val="1 300,00"/>
        <filter val="1 954,49"/>
        <filter val="1,00"/>
        <filter val="1,30"/>
        <filter val="10,00"/>
        <filter val="10,12"/>
        <filter val="100,00"/>
        <filter val="106,00"/>
        <filter val="11,00"/>
        <filter val="113,00"/>
        <filter val="118,75"/>
        <filter val="12 006,00"/>
        <filter val="12 581,45"/>
        <filter val="120,00"/>
        <filter val="121,00"/>
        <filter val="123,00"/>
        <filter val="13 106,45"/>
        <filter val="13,00"/>
        <filter val="137,00"/>
        <filter val="14,00"/>
        <filter val="15,00"/>
        <filter val="150,00"/>
        <filter val="154,00"/>
        <filter val="160,00"/>
        <filter val="162,87"/>
        <filter val="17,41"/>
        <filter val="173,00"/>
        <filter val="18,00"/>
        <filter val="18,18"/>
        <filter val="19,00"/>
        <filter val="19,50"/>
        <filter val="19,80"/>
        <filter val="191,00"/>
        <filter val="2 443,00"/>
        <filter val="2,00"/>
        <filter val="200,00"/>
        <filter val="21"/>
        <filter val="21,00"/>
        <filter val="21,22"/>
        <filter val="23,00"/>
        <filter val="233,00"/>
        <filter val="24,00"/>
        <filter val="246,00"/>
        <filter val="25,00"/>
        <filter val="25,65"/>
        <filter val="26,00"/>
        <filter val="27,00"/>
        <filter val="27,28"/>
        <filter val="28,00"/>
        <filter val="29,33"/>
        <filter val="290,00"/>
        <filter val="3,00"/>
        <filter val="3,17"/>
        <filter val="301,00"/>
        <filter val="305,00"/>
        <filter val="319,00"/>
        <filter val="32,00"/>
        <filter val="32,22"/>
        <filter val="33,00"/>
        <filter val="340,08"/>
        <filter val="341,00"/>
        <filter val="343,00"/>
        <filter val="350,00"/>
        <filter val="367,20"/>
        <filter val="37,04"/>
        <filter val="38,00"/>
        <filter val="388,00"/>
        <filter val="39,00"/>
        <filter val="395,00"/>
        <filter val="4,00"/>
        <filter val="4,55"/>
        <filter val="4,69"/>
        <filter val="40,00"/>
        <filter val="400,00"/>
        <filter val="402,00"/>
        <filter val="426,00"/>
        <filter val="45,00"/>
        <filter val="45,56"/>
        <filter val="460,00"/>
        <filter val="48,43"/>
        <filter val="5,24"/>
        <filter val="5,36"/>
        <filter val="50,00"/>
        <filter val="50,37"/>
        <filter val="50,71"/>
        <filter val="52,00"/>
        <filter val="55,00"/>
        <filter val="559,00"/>
        <filter val="56,00"/>
        <filter val="56,11"/>
        <filter val="6,00"/>
        <filter val="6,67"/>
        <filter val="60,00"/>
        <filter val="606,00"/>
        <filter val="627,00"/>
        <filter val="650,00"/>
        <filter val="69,00"/>
        <filter val="7,00"/>
        <filter val="7,50"/>
        <filter val="72,00"/>
        <filter val="72,08"/>
        <filter val="76,00"/>
        <filter val="8,00"/>
        <filter val="8,71"/>
        <filter val="8,80"/>
        <filter val="83,00"/>
        <filter val="86,67"/>
        <filter val="87,09"/>
        <filter val="88,00"/>
        <filter val="9,00"/>
        <filter val="9,85"/>
        <filter val="936,00"/>
        <filter val="95,00"/>
        <filter val="96,00"/>
        <filter val="97,00"/>
        <filter val="98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2026-10-07T09:43:53Z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