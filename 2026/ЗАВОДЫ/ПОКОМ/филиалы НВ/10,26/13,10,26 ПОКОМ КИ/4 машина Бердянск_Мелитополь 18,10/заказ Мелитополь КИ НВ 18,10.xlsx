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B75A939-7D4D-474E-BFB7-D44C135B95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Y349" i="1" s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21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H556" i="1" s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41" i="1" l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Z487" i="1" s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Z80" i="1" s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Z408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Z62" i="1" s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BP364" i="1"/>
  <c r="BN364" i="1"/>
  <c r="Z364" i="1"/>
  <c r="BP368" i="1"/>
  <c r="BN368" i="1"/>
  <c r="Z368" i="1"/>
  <c r="Z370" i="1" s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377" i="1" l="1"/>
  <c r="Z151" i="1"/>
  <c r="Z123" i="1"/>
  <c r="Z116" i="1"/>
  <c r="Z90" i="1"/>
  <c r="Z69" i="1"/>
  <c r="Y548" i="1"/>
  <c r="Z31" i="1"/>
  <c r="Z360" i="1"/>
  <c r="Y550" i="1"/>
  <c r="Z500" i="1"/>
  <c r="Z461" i="1"/>
  <c r="Z434" i="1"/>
  <c r="Z402" i="1"/>
  <c r="Z321" i="1"/>
  <c r="Z298" i="1"/>
  <c r="Z133" i="1"/>
  <c r="Z108" i="1"/>
  <c r="Z50" i="1"/>
  <c r="Z41" i="1"/>
  <c r="Y547" i="1"/>
  <c r="Z251" i="1"/>
  <c r="Y549" i="1"/>
  <c r="Z282" i="1"/>
  <c r="Z336" i="1"/>
  <c r="Z472" i="1"/>
  <c r="Z206" i="1"/>
  <c r="Z440" i="1"/>
  <c r="Z428" i="1"/>
  <c r="Z516" i="1"/>
  <c r="Z328" i="1"/>
  <c r="Z390" i="1"/>
  <c r="Z267" i="1"/>
  <c r="Z241" i="1"/>
  <c r="Z235" i="1"/>
  <c r="Z227" i="1"/>
  <c r="Z181" i="1"/>
  <c r="Z97" i="1"/>
  <c r="Z551" i="1" s="1"/>
  <c r="Y546" i="1"/>
  <c r="X549" i="1"/>
  <c r="Z415" i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<sst xmlns="http://schemas.openxmlformats.org/spreadsheetml/2006/main" count="2462" uniqueCount="893">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</sst>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695" t="s">
        <v>0</v>
      </c>
      <c r="E1" s="650"/>
      <c r="F1" s="650"/>
      <c r="G1" s="12" t="s">
        <v>1</v>
      </c>
      <c r="H1" s="695" t="s">
        <v>2</v>
      </c>
      <c r="I1" s="650"/>
      <c r="J1" s="650"/>
      <c r="K1" s="650"/>
      <c r="L1" s="650"/>
      <c r="M1" s="650"/>
      <c r="N1" s="650"/>
      <c r="O1" s="650"/>
      <c r="P1" s="650"/>
      <c r="Q1" s="650"/>
      <c r="R1" s="649" t="s">
        <v>3</v>
      </c>
      <c r="S1" s="650"/>
      <c r="T1" s="65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45" t="s">
        <v>8</v>
      </c>
      <c r="B5" s="675"/>
      <c r="C5" s="676"/>
      <c r="D5" s="701"/>
      <c r="E5" s="702"/>
      <c r="F5" s="931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5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4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8" t="str">
        <f>IF(Q5=0," ",CHOOSE(WEEKDAY(Q5,2),"Понедельник","Вторник","Среда","Четверг","Пятница","Суббота","Воскресенье"))</f>
        <v>Суббота</v>
      </c>
      <c r="R6" s="625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4" customFormat="1" ht="25.5" customHeight="1" x14ac:dyDescent="0.2">
      <c r="A8" s="972" t="s">
        <v>17</v>
      </c>
      <c r="B8" s="639"/>
      <c r="C8" s="640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1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4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4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15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4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8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6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1"/>
      <c r="R12" s="680"/>
      <c r="S12" s="23"/>
      <c r="U12" s="24"/>
      <c r="V12" s="650"/>
      <c r="W12" s="633"/>
      <c r="AB12" s="51"/>
      <c r="AC12" s="51"/>
      <c r="AD12" s="51"/>
      <c r="AE12" s="51"/>
    </row>
    <row r="13" spans="1:32" s="614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6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20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6" t="s">
        <v>33</v>
      </c>
      <c r="Q15" s="650"/>
      <c r="R15" s="650"/>
      <c r="S15" s="650"/>
      <c r="T15" s="65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7"/>
      <c r="Q16" s="777"/>
      <c r="R16" s="777"/>
      <c r="S16" s="777"/>
      <c r="T16" s="7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8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69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9" t="s">
        <v>54</v>
      </c>
      <c r="AB17" s="849" t="s">
        <v>55</v>
      </c>
      <c r="AC17" s="849" t="s">
        <v>56</v>
      </c>
      <c r="AD17" s="849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50"/>
      <c r="AB18" s="850"/>
      <c r="AC18" s="850"/>
      <c r="AD18" s="928"/>
      <c r="AE18" s="929"/>
      <c r="AF18" s="930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37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8" t="s">
        <v>69</v>
      </c>
      <c r="Q23" s="639"/>
      <c r="R23" s="639"/>
      <c r="S23" s="639"/>
      <c r="T23" s="639"/>
      <c r="U23" s="639"/>
      <c r="V23" s="640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8" t="s">
        <v>69</v>
      </c>
      <c r="Q24" s="639"/>
      <c r="R24" s="639"/>
      <c r="S24" s="639"/>
      <c r="T24" s="639"/>
      <c r="U24" s="639"/>
      <c r="V24" s="640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8" t="s">
        <v>69</v>
      </c>
      <c r="Q31" s="639"/>
      <c r="R31" s="639"/>
      <c r="S31" s="639"/>
      <c r="T31" s="639"/>
      <c r="U31" s="639"/>
      <c r="V31" s="640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8" t="s">
        <v>69</v>
      </c>
      <c r="Q32" s="639"/>
      <c r="R32" s="639"/>
      <c r="S32" s="639"/>
      <c r="T32" s="639"/>
      <c r="U32" s="639"/>
      <c r="V32" s="640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37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8" t="s">
        <v>69</v>
      </c>
      <c r="Q41" s="639"/>
      <c r="R41" s="639"/>
      <c r="S41" s="639"/>
      <c r="T41" s="639"/>
      <c r="U41" s="639"/>
      <c r="V41" s="640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8" t="s">
        <v>69</v>
      </c>
      <c r="Q42" s="639"/>
      <c r="R42" s="639"/>
      <c r="S42" s="639"/>
      <c r="T42" s="639"/>
      <c r="U42" s="639"/>
      <c r="V42" s="640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37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221</v>
      </c>
      <c r="Y46" s="618">
        <f>IFERROR(IF(X46="",0,CEILING((X46/$H46),1)*$H46),"")</f>
        <v>226.8</v>
      </c>
      <c r="Z46" s="36">
        <f>IFERROR(IF(Y46=0,"",ROUNDUP(Y46/H46,0)*0.01898),"")</f>
        <v>0.39857999999999999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229.38981481481483</v>
      </c>
      <c r="BN46" s="64">
        <f>IFERROR(Y46*I46/H46,"0")</f>
        <v>235.41000000000003</v>
      </c>
      <c r="BO46" s="64">
        <f>IFERROR(1/J46*(X46/H46),"0")</f>
        <v>0.31973379629629628</v>
      </c>
      <c r="BP46" s="64">
        <f>IFERROR(1/J46*(Y46/H46),"0")</f>
        <v>0.328125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8" t="s">
        <v>69</v>
      </c>
      <c r="Q50" s="639"/>
      <c r="R50" s="639"/>
      <c r="S50" s="639"/>
      <c r="T50" s="639"/>
      <c r="U50" s="639"/>
      <c r="V50" s="640"/>
      <c r="W50" s="37" t="s">
        <v>70</v>
      </c>
      <c r="X50" s="619">
        <f>IFERROR(X46/H46,"0")+IFERROR(X47/H47,"0")+IFERROR(X48/H48,"0")+IFERROR(X49/H49,"0")</f>
        <v>20.462962962962962</v>
      </c>
      <c r="Y50" s="619">
        <f>IFERROR(Y46/H46,"0")+IFERROR(Y47/H47,"0")+IFERROR(Y48/H48,"0")+IFERROR(Y49/H49,"0")</f>
        <v>21</v>
      </c>
      <c r="Z50" s="619">
        <f>IFERROR(IF(Z46="",0,Z46),"0")+IFERROR(IF(Z47="",0,Z47),"0")+IFERROR(IF(Z48="",0,Z48),"0")+IFERROR(IF(Z49="",0,Z49),"0")</f>
        <v>0.39857999999999999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8" t="s">
        <v>69</v>
      </c>
      <c r="Q51" s="639"/>
      <c r="R51" s="639"/>
      <c r="S51" s="639"/>
      <c r="T51" s="639"/>
      <c r="U51" s="639"/>
      <c r="V51" s="640"/>
      <c r="W51" s="37" t="s">
        <v>67</v>
      </c>
      <c r="X51" s="619">
        <f>IFERROR(SUM(X46:X49),"0")</f>
        <v>221</v>
      </c>
      <c r="Y51" s="619">
        <f>IFERROR(SUM(Y46:Y49),"0")</f>
        <v>226.8</v>
      </c>
      <c r="Z51" s="37"/>
      <c r="AA51" s="620"/>
      <c r="AB51" s="620"/>
      <c r="AC51" s="620"/>
    </row>
    <row r="52" spans="1:68" ht="16.5" hidden="1" customHeight="1" x14ac:dyDescent="0.25">
      <c r="A52" s="637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8" t="s">
        <v>69</v>
      </c>
      <c r="Q62" s="639"/>
      <c r="R62" s="639"/>
      <c r="S62" s="639"/>
      <c r="T62" s="639"/>
      <c r="U62" s="639"/>
      <c r="V62" s="640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0</v>
      </c>
      <c r="Y62" s="619">
        <f>IFERROR(Y54/H54,"0")+IFERROR(Y55/H55,"0")+IFERROR(Y56/H56,"0")+IFERROR(Y57/H57,"0")+IFERROR(Y58/H58,"0")+IFERROR(Y59/H59,"0")+IFERROR(Y60/H60,"0")+IFERROR(Y61/H61,"0")</f>
        <v>0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20"/>
      <c r="AB62" s="620"/>
      <c r="AC62" s="620"/>
    </row>
    <row r="63" spans="1:68" hidden="1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8" t="s">
        <v>69</v>
      </c>
      <c r="Q63" s="639"/>
      <c r="R63" s="639"/>
      <c r="S63" s="639"/>
      <c r="T63" s="639"/>
      <c r="U63" s="639"/>
      <c r="V63" s="640"/>
      <c r="W63" s="37" t="s">
        <v>67</v>
      </c>
      <c r="X63" s="619">
        <f>IFERROR(SUM(X54:X61),"0")</f>
        <v>0</v>
      </c>
      <c r="Y63" s="619">
        <f>IFERROR(SUM(Y54:Y61),"0")</f>
        <v>0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8" t="s">
        <v>69</v>
      </c>
      <c r="Q69" s="639"/>
      <c r="R69" s="639"/>
      <c r="S69" s="639"/>
      <c r="T69" s="639"/>
      <c r="U69" s="639"/>
      <c r="V69" s="640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8" t="s">
        <v>69</v>
      </c>
      <c r="Q70" s="639"/>
      <c r="R70" s="639"/>
      <c r="S70" s="639"/>
      <c r="T70" s="639"/>
      <c r="U70" s="639"/>
      <c r="V70" s="640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8" t="s">
        <v>69</v>
      </c>
      <c r="Q74" s="639"/>
      <c r="R74" s="639"/>
      <c r="S74" s="639"/>
      <c r="T74" s="639"/>
      <c r="U74" s="639"/>
      <c r="V74" s="640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8" t="s">
        <v>69</v>
      </c>
      <c r="Q75" s="639"/>
      <c r="R75" s="639"/>
      <c r="S75" s="639"/>
      <c r="T75" s="639"/>
      <c r="U75" s="639"/>
      <c r="V75" s="640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8" t="s">
        <v>69</v>
      </c>
      <c r="Q80" s="639"/>
      <c r="R80" s="639"/>
      <c r="S80" s="639"/>
      <c r="T80" s="639"/>
      <c r="U80" s="639"/>
      <c r="V80" s="640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8" t="s">
        <v>69</v>
      </c>
      <c r="Q81" s="639"/>
      <c r="R81" s="639"/>
      <c r="S81" s="639"/>
      <c r="T81" s="639"/>
      <c r="U81" s="639"/>
      <c r="V81" s="640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37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5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8" t="s">
        <v>69</v>
      </c>
      <c r="Q90" s="639"/>
      <c r="R90" s="639"/>
      <c r="S90" s="639"/>
      <c r="T90" s="639"/>
      <c r="U90" s="639"/>
      <c r="V90" s="640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8" t="s">
        <v>69</v>
      </c>
      <c r="Q91" s="639"/>
      <c r="R91" s="639"/>
      <c r="S91" s="639"/>
      <c r="T91" s="639"/>
      <c r="U91" s="639"/>
      <c r="V91" s="640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387</v>
      </c>
      <c r="Y93" s="618">
        <f>IFERROR(IF(X93="",0,CEILING((X93/$H93),1)*$H93),"")</f>
        <v>388.79999999999995</v>
      </c>
      <c r="Z93" s="36">
        <f>IFERROR(IF(Y93=0,"",ROUNDUP(Y93/H93,0)*0.01898),"")</f>
        <v>0.91104000000000007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410.60222222222222</v>
      </c>
      <c r="BN93" s="64">
        <f>IFERROR(Y93*I93/H93,"0")</f>
        <v>412.51199999999994</v>
      </c>
      <c r="BO93" s="64">
        <f>IFERROR(1/J93*(X93/H93),"0")</f>
        <v>0.74652777777777779</v>
      </c>
      <c r="BP93" s="64">
        <f>IFERROR(1/J93*(Y93/H93),"0")</f>
        <v>0.75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8" t="s">
        <v>69</v>
      </c>
      <c r="Q97" s="639"/>
      <c r="R97" s="639"/>
      <c r="S97" s="639"/>
      <c r="T97" s="639"/>
      <c r="U97" s="639"/>
      <c r="V97" s="640"/>
      <c r="W97" s="37" t="s">
        <v>70</v>
      </c>
      <c r="X97" s="619">
        <f>IFERROR(X93/H93,"0")+IFERROR(X94/H94,"0")+IFERROR(X95/H95,"0")+IFERROR(X96/H96,"0")</f>
        <v>47.777777777777779</v>
      </c>
      <c r="Y97" s="619">
        <f>IFERROR(Y93/H93,"0")+IFERROR(Y94/H94,"0")+IFERROR(Y95/H95,"0")+IFERROR(Y96/H96,"0")</f>
        <v>48</v>
      </c>
      <c r="Z97" s="619">
        <f>IFERROR(IF(Z93="",0,Z93),"0")+IFERROR(IF(Z94="",0,Z94),"0")+IFERROR(IF(Z95="",0,Z95),"0")+IFERROR(IF(Z96="",0,Z96),"0")</f>
        <v>0.91104000000000007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8" t="s">
        <v>69</v>
      </c>
      <c r="Q98" s="639"/>
      <c r="R98" s="639"/>
      <c r="S98" s="639"/>
      <c r="T98" s="639"/>
      <c r="U98" s="639"/>
      <c r="V98" s="640"/>
      <c r="W98" s="37" t="s">
        <v>67</v>
      </c>
      <c r="X98" s="619">
        <f>IFERROR(SUM(X93:X96),"0")</f>
        <v>387</v>
      </c>
      <c r="Y98" s="619">
        <f>IFERROR(SUM(Y93:Y96),"0")</f>
        <v>388.79999999999995</v>
      </c>
      <c r="Z98" s="37"/>
      <c r="AA98" s="620"/>
      <c r="AB98" s="620"/>
      <c r="AC98" s="620"/>
    </row>
    <row r="99" spans="1:68" ht="16.5" hidden="1" customHeight="1" x14ac:dyDescent="0.25">
      <c r="A99" s="637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8" t="s">
        <v>69</v>
      </c>
      <c r="Q108" s="639"/>
      <c r="R108" s="639"/>
      <c r="S108" s="639"/>
      <c r="T108" s="639"/>
      <c r="U108" s="639"/>
      <c r="V108" s="640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8" t="s">
        <v>69</v>
      </c>
      <c r="Q109" s="639"/>
      <c r="R109" s="639"/>
      <c r="S109" s="639"/>
      <c r="T109" s="639"/>
      <c r="U109" s="639"/>
      <c r="V109" s="640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8" t="s">
        <v>69</v>
      </c>
      <c r="Q116" s="639"/>
      <c r="R116" s="639"/>
      <c r="S116" s="639"/>
      <c r="T116" s="639"/>
      <c r="U116" s="639"/>
      <c r="V116" s="640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8" t="s">
        <v>69</v>
      </c>
      <c r="Q117" s="639"/>
      <c r="R117" s="639"/>
      <c r="S117" s="639"/>
      <c r="T117" s="639"/>
      <c r="U117" s="639"/>
      <c r="V117" s="640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367</v>
      </c>
      <c r="Y119" s="618">
        <f>IFERROR(IF(X119="",0,CEILING((X119/$H119),1)*$H119),"")</f>
        <v>372.59999999999997</v>
      </c>
      <c r="Z119" s="36">
        <f>IFERROR(IF(Y119=0,"",ROUNDUP(Y119/H119,0)*0.01898),"")</f>
        <v>0.87307999999999997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389.1106172839506</v>
      </c>
      <c r="BN119" s="64">
        <f>IFERROR(Y119*I119/H119,"0")</f>
        <v>395.04799999999994</v>
      </c>
      <c r="BO119" s="64">
        <f>IFERROR(1/J119*(X119/H119),"0")</f>
        <v>0.70794753086419759</v>
      </c>
      <c r="BP119" s="64">
        <f>IFERROR(1/J119*(Y119/H119),"0")</f>
        <v>0.71875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8" t="s">
        <v>69</v>
      </c>
      <c r="Q123" s="639"/>
      <c r="R123" s="639"/>
      <c r="S123" s="639"/>
      <c r="T123" s="639"/>
      <c r="U123" s="639"/>
      <c r="V123" s="640"/>
      <c r="W123" s="37" t="s">
        <v>70</v>
      </c>
      <c r="X123" s="619">
        <f>IFERROR(X119/H119,"0")+IFERROR(X120/H120,"0")+IFERROR(X121/H121,"0")+IFERROR(X122/H122,"0")</f>
        <v>45.308641975308646</v>
      </c>
      <c r="Y123" s="619">
        <f>IFERROR(Y119/H119,"0")+IFERROR(Y120/H120,"0")+IFERROR(Y121/H121,"0")+IFERROR(Y122/H122,"0")</f>
        <v>46</v>
      </c>
      <c r="Z123" s="619">
        <f>IFERROR(IF(Z119="",0,Z119),"0")+IFERROR(IF(Z120="",0,Z120),"0")+IFERROR(IF(Z121="",0,Z121),"0")+IFERROR(IF(Z122="",0,Z122),"0")</f>
        <v>0.87307999999999997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8" t="s">
        <v>69</v>
      </c>
      <c r="Q124" s="639"/>
      <c r="R124" s="639"/>
      <c r="S124" s="639"/>
      <c r="T124" s="639"/>
      <c r="U124" s="639"/>
      <c r="V124" s="640"/>
      <c r="W124" s="37" t="s">
        <v>67</v>
      </c>
      <c r="X124" s="619">
        <f>IFERROR(SUM(X119:X122),"0")</f>
        <v>367</v>
      </c>
      <c r="Y124" s="619">
        <f>IFERROR(SUM(Y119:Y122),"0")</f>
        <v>372.59999999999997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8" t="s">
        <v>69</v>
      </c>
      <c r="Q127" s="639"/>
      <c r="R127" s="639"/>
      <c r="S127" s="639"/>
      <c r="T127" s="639"/>
      <c r="U127" s="639"/>
      <c r="V127" s="640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8" t="s">
        <v>69</v>
      </c>
      <c r="Q128" s="639"/>
      <c r="R128" s="639"/>
      <c r="S128" s="639"/>
      <c r="T128" s="639"/>
      <c r="U128" s="639"/>
      <c r="V128" s="640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37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8" t="s">
        <v>69</v>
      </c>
      <c r="Q133" s="639"/>
      <c r="R133" s="639"/>
      <c r="S133" s="639"/>
      <c r="T133" s="639"/>
      <c r="U133" s="639"/>
      <c r="V133" s="640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8" t="s">
        <v>69</v>
      </c>
      <c r="Q134" s="639"/>
      <c r="R134" s="639"/>
      <c r="S134" s="639"/>
      <c r="T134" s="639"/>
      <c r="U134" s="639"/>
      <c r="V134" s="640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26</v>
      </c>
      <c r="Y136" s="618">
        <f>IFERROR(IF(X136="",0,CEILING((X136/$H136),1)*$H136),"")</f>
        <v>28</v>
      </c>
      <c r="Z136" s="36">
        <f>IFERROR(IF(Y136=0,"",ROUNDUP(Y136/H136,0)*0.00651),"")</f>
        <v>6.5100000000000005E-2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28.488571428571429</v>
      </c>
      <c r="BN136" s="64">
        <f>IFERROR(Y136*I136/H136,"0")</f>
        <v>30.68</v>
      </c>
      <c r="BO136" s="64">
        <f>IFERROR(1/J136*(X136/H136),"0")</f>
        <v>5.1020408163265314E-2</v>
      </c>
      <c r="BP136" s="64">
        <f>IFERROR(1/J136*(Y136/H136),"0")</f>
        <v>5.4945054945054951E-2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8" t="s">
        <v>69</v>
      </c>
      <c r="Q138" s="639"/>
      <c r="R138" s="639"/>
      <c r="S138" s="639"/>
      <c r="T138" s="639"/>
      <c r="U138" s="639"/>
      <c r="V138" s="640"/>
      <c r="W138" s="37" t="s">
        <v>70</v>
      </c>
      <c r="X138" s="619">
        <f>IFERROR(X136/H136,"0")+IFERROR(X137/H137,"0")</f>
        <v>9.2857142857142865</v>
      </c>
      <c r="Y138" s="619">
        <f>IFERROR(Y136/H136,"0")+IFERROR(Y137/H137,"0")</f>
        <v>10</v>
      </c>
      <c r="Z138" s="619">
        <f>IFERROR(IF(Z136="",0,Z136),"0")+IFERROR(IF(Z137="",0,Z137),"0")</f>
        <v>6.5100000000000005E-2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8" t="s">
        <v>69</v>
      </c>
      <c r="Q139" s="639"/>
      <c r="R139" s="639"/>
      <c r="S139" s="639"/>
      <c r="T139" s="639"/>
      <c r="U139" s="639"/>
      <c r="V139" s="640"/>
      <c r="W139" s="37" t="s">
        <v>67</v>
      </c>
      <c r="X139" s="619">
        <f>IFERROR(SUM(X136:X137),"0")</f>
        <v>26</v>
      </c>
      <c r="Y139" s="619">
        <f>IFERROR(SUM(Y136:Y137),"0")</f>
        <v>28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22</v>
      </c>
      <c r="Y141" s="618">
        <f>IFERROR(IF(X141="",0,CEILING((X141/$H141),1)*$H141),"")</f>
        <v>23.76</v>
      </c>
      <c r="Z141" s="36">
        <f>IFERROR(IF(Y141=0,"",ROUNDUP(Y141/H141,0)*0.00651),"")</f>
        <v>5.8590000000000003E-2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24.233333333333331</v>
      </c>
      <c r="BN141" s="64">
        <f>IFERROR(Y141*I141/H141,"0")</f>
        <v>26.172000000000001</v>
      </c>
      <c r="BO141" s="64">
        <f>IFERROR(1/J141*(X141/H141),"0")</f>
        <v>4.5787545787545784E-2</v>
      </c>
      <c r="BP141" s="64">
        <f>IFERROR(1/J141*(Y141/H141),"0")</f>
        <v>4.9450549450549455E-2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8" t="s">
        <v>69</v>
      </c>
      <c r="Q143" s="639"/>
      <c r="R143" s="639"/>
      <c r="S143" s="639"/>
      <c r="T143" s="639"/>
      <c r="U143" s="639"/>
      <c r="V143" s="640"/>
      <c r="W143" s="37" t="s">
        <v>70</v>
      </c>
      <c r="X143" s="619">
        <f>IFERROR(X141/H141,"0")+IFERROR(X142/H142,"0")</f>
        <v>8.3333333333333321</v>
      </c>
      <c r="Y143" s="619">
        <f>IFERROR(Y141/H141,"0")+IFERROR(Y142/H142,"0")</f>
        <v>9</v>
      </c>
      <c r="Z143" s="619">
        <f>IFERROR(IF(Z141="",0,Z141),"0")+IFERROR(IF(Z142="",0,Z142),"0")</f>
        <v>5.8590000000000003E-2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8" t="s">
        <v>69</v>
      </c>
      <c r="Q144" s="639"/>
      <c r="R144" s="639"/>
      <c r="S144" s="639"/>
      <c r="T144" s="639"/>
      <c r="U144" s="639"/>
      <c r="V144" s="640"/>
      <c r="W144" s="37" t="s">
        <v>67</v>
      </c>
      <c r="X144" s="619">
        <f>IFERROR(SUM(X141:X142),"0")</f>
        <v>22</v>
      </c>
      <c r="Y144" s="619">
        <f>IFERROR(SUM(Y141:Y142),"0")</f>
        <v>23.76</v>
      </c>
      <c r="Z144" s="37"/>
      <c r="AA144" s="620"/>
      <c r="AB144" s="620"/>
      <c r="AC144" s="620"/>
    </row>
    <row r="145" spans="1:68" ht="16.5" hidden="1" customHeight="1" x14ac:dyDescent="0.25">
      <c r="A145" s="637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8" t="s">
        <v>69</v>
      </c>
      <c r="Q151" s="639"/>
      <c r="R151" s="639"/>
      <c r="S151" s="639"/>
      <c r="T151" s="639"/>
      <c r="U151" s="639"/>
      <c r="V151" s="640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8" t="s">
        <v>69</v>
      </c>
      <c r="Q152" s="639"/>
      <c r="R152" s="639"/>
      <c r="S152" s="639"/>
      <c r="T152" s="639"/>
      <c r="U152" s="639"/>
      <c r="V152" s="640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8" t="s">
        <v>69</v>
      </c>
      <c r="Q155" s="639"/>
      <c r="R155" s="639"/>
      <c r="S155" s="639"/>
      <c r="T155" s="639"/>
      <c r="U155" s="639"/>
      <c r="V155" s="640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8" t="s">
        <v>69</v>
      </c>
      <c r="Q156" s="639"/>
      <c r="R156" s="639"/>
      <c r="S156" s="639"/>
      <c r="T156" s="639"/>
      <c r="U156" s="639"/>
      <c r="V156" s="640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37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8" t="s">
        <v>69</v>
      </c>
      <c r="Q163" s="639"/>
      <c r="R163" s="639"/>
      <c r="S163" s="639"/>
      <c r="T163" s="639"/>
      <c r="U163" s="639"/>
      <c r="V163" s="640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8" t="s">
        <v>69</v>
      </c>
      <c r="Q164" s="639"/>
      <c r="R164" s="639"/>
      <c r="S164" s="639"/>
      <c r="T164" s="639"/>
      <c r="U164" s="639"/>
      <c r="V164" s="640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8" t="s">
        <v>69</v>
      </c>
      <c r="Q168" s="639"/>
      <c r="R168" s="639"/>
      <c r="S168" s="639"/>
      <c r="T168" s="639"/>
      <c r="U168" s="639"/>
      <c r="V168" s="640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8" t="s">
        <v>69</v>
      </c>
      <c r="Q169" s="639"/>
      <c r="R169" s="639"/>
      <c r="S169" s="639"/>
      <c r="T169" s="639"/>
      <c r="U169" s="639"/>
      <c r="V169" s="640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187</v>
      </c>
      <c r="Y174" s="618">
        <f t="shared" si="15"/>
        <v>189</v>
      </c>
      <c r="Z174" s="36">
        <f>IFERROR(IF(Y174=0,"",ROUNDUP(Y174/H174,0)*0.00902),"")</f>
        <v>0.48708000000000001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197.15142857142857</v>
      </c>
      <c r="BN174" s="64">
        <f t="shared" si="17"/>
        <v>199.26</v>
      </c>
      <c r="BO174" s="64">
        <f t="shared" si="18"/>
        <v>0.40476190476190477</v>
      </c>
      <c r="BP174" s="64">
        <f t="shared" si="19"/>
        <v>0.40909090909090912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38</v>
      </c>
      <c r="Y176" s="618">
        <f t="shared" si="15"/>
        <v>38.64</v>
      </c>
      <c r="Z176" s="36">
        <f>IFERROR(IF(Y176=0,"",ROUNDUP(Y176/H176,0)*0.00502),"")</f>
        <v>0.11546000000000001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40.261904761904766</v>
      </c>
      <c r="BN176" s="64">
        <f t="shared" si="17"/>
        <v>40.940000000000005</v>
      </c>
      <c r="BO176" s="64">
        <f t="shared" si="18"/>
        <v>9.6662596662596675E-2</v>
      </c>
      <c r="BP176" s="64">
        <f t="shared" si="19"/>
        <v>9.8290598290598302E-2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8" t="s">
        <v>69</v>
      </c>
      <c r="Q181" s="639"/>
      <c r="R181" s="639"/>
      <c r="S181" s="639"/>
      <c r="T181" s="639"/>
      <c r="U181" s="639"/>
      <c r="V181" s="640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76.047619047619051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77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0.60254000000000008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8" t="s">
        <v>69</v>
      </c>
      <c r="Q182" s="639"/>
      <c r="R182" s="639"/>
      <c r="S182" s="639"/>
      <c r="T182" s="639"/>
      <c r="U182" s="639"/>
      <c r="V182" s="640"/>
      <c r="W182" s="37" t="s">
        <v>67</v>
      </c>
      <c r="X182" s="619">
        <f>IFERROR(SUM(X171:X180),"0")</f>
        <v>225</v>
      </c>
      <c r="Y182" s="619">
        <f>IFERROR(SUM(Y171:Y180),"0")</f>
        <v>227.64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8" t="s">
        <v>69</v>
      </c>
      <c r="Q186" s="639"/>
      <c r="R186" s="639"/>
      <c r="S186" s="639"/>
      <c r="T186" s="639"/>
      <c r="U186" s="639"/>
      <c r="V186" s="640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8" t="s">
        <v>69</v>
      </c>
      <c r="Q187" s="639"/>
      <c r="R187" s="639"/>
      <c r="S187" s="639"/>
      <c r="T187" s="639"/>
      <c r="U187" s="639"/>
      <c r="V187" s="640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8" t="s">
        <v>69</v>
      </c>
      <c r="Q190" s="639"/>
      <c r="R190" s="639"/>
      <c r="S190" s="639"/>
      <c r="T190" s="639"/>
      <c r="U190" s="639"/>
      <c r="V190" s="640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8" t="s">
        <v>69</v>
      </c>
      <c r="Q191" s="639"/>
      <c r="R191" s="639"/>
      <c r="S191" s="639"/>
      <c r="T191" s="639"/>
      <c r="U191" s="639"/>
      <c r="V191" s="640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8" t="s">
        <v>69</v>
      </c>
      <c r="Q194" s="639"/>
      <c r="R194" s="639"/>
      <c r="S194" s="639"/>
      <c r="T194" s="639"/>
      <c r="U194" s="639"/>
      <c r="V194" s="640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8" t="s">
        <v>69</v>
      </c>
      <c r="Q195" s="639"/>
      <c r="R195" s="639"/>
      <c r="S195" s="639"/>
      <c r="T195" s="639"/>
      <c r="U195" s="639"/>
      <c r="V195" s="640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37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8" t="s">
        <v>69</v>
      </c>
      <c r="Q206" s="639"/>
      <c r="R206" s="639"/>
      <c r="S206" s="639"/>
      <c r="T206" s="639"/>
      <c r="U206" s="639"/>
      <c r="V206" s="640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8" t="s">
        <v>69</v>
      </c>
      <c r="Q207" s="639"/>
      <c r="R207" s="639"/>
      <c r="S207" s="639"/>
      <c r="T207" s="639"/>
      <c r="U207" s="639"/>
      <c r="V207" s="640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37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8" t="s">
        <v>69</v>
      </c>
      <c r="Q211" s="639"/>
      <c r="R211" s="639"/>
      <c r="S211" s="639"/>
      <c r="T211" s="639"/>
      <c r="U211" s="639"/>
      <c r="V211" s="640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8" t="s">
        <v>69</v>
      </c>
      <c r="Q212" s="639"/>
      <c r="R212" s="639"/>
      <c r="S212" s="639"/>
      <c r="T212" s="639"/>
      <c r="U212" s="639"/>
      <c r="V212" s="640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169</v>
      </c>
      <c r="Y214" s="618">
        <f t="shared" ref="Y214:Y226" si="26">IFERROR(IF(X214="",0,CEILING((X214/$H214),1)*$H214),"")</f>
        <v>172.20000000000002</v>
      </c>
      <c r="Z214" s="36">
        <f>IFERROR(IF(Y214=0,"",ROUNDUP(Y214/H214,0)*0.00902),"")</f>
        <v>0.36982000000000004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179.05952380952382</v>
      </c>
      <c r="BN214" s="64">
        <f t="shared" ref="BN214:BN226" si="28">IFERROR(Y214*I214/H214,"0")</f>
        <v>182.45000000000002</v>
      </c>
      <c r="BO214" s="64">
        <f t="shared" ref="BO214:BO226" si="29">IFERROR(1/J214*(X214/H214),"0")</f>
        <v>0.30483405483405479</v>
      </c>
      <c r="BP214" s="64">
        <f t="shared" ref="BP214:BP226" si="30">IFERROR(1/J214*(Y214/H214),"0")</f>
        <v>0.31060606060606061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190</v>
      </c>
      <c r="Y216" s="618">
        <f t="shared" si="26"/>
        <v>193.20000000000002</v>
      </c>
      <c r="Z216" s="36">
        <f>IFERROR(IF(Y216=0,"",ROUNDUP(Y216/H216,0)*0.00902),"")</f>
        <v>0.41492000000000001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198.59523809523807</v>
      </c>
      <c r="BN216" s="64">
        <f t="shared" si="28"/>
        <v>201.94</v>
      </c>
      <c r="BO216" s="64">
        <f t="shared" si="29"/>
        <v>0.34271284271284269</v>
      </c>
      <c r="BP216" s="64">
        <f t="shared" si="30"/>
        <v>0.34848484848484851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7</v>
      </c>
      <c r="Y217" s="618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3.4722222222222224E-2</v>
      </c>
      <c r="BP217" s="64">
        <f t="shared" si="30"/>
        <v>3.5714285714285712E-2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108</v>
      </c>
      <c r="Y224" s="618">
        <f t="shared" si="26"/>
        <v>109.2</v>
      </c>
      <c r="Z224" s="36">
        <f>IFERROR(IF(Y224=0,"",ROUNDUP(Y224/H224,0)*0.00502),"")</f>
        <v>0.26103999999999999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113.14285714285715</v>
      </c>
      <c r="BN224" s="64">
        <f t="shared" si="28"/>
        <v>114.40000000000002</v>
      </c>
      <c r="BO224" s="64">
        <f t="shared" si="29"/>
        <v>0.21978021978021978</v>
      </c>
      <c r="BP224" s="64">
        <f t="shared" si="30"/>
        <v>0.22222222222222224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8" t="s">
        <v>69</v>
      </c>
      <c r="Q227" s="639"/>
      <c r="R227" s="639"/>
      <c r="S227" s="639"/>
      <c r="T227" s="639"/>
      <c r="U227" s="639"/>
      <c r="V227" s="640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145.6547619047619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148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1.09582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8" t="s">
        <v>69</v>
      </c>
      <c r="Q228" s="639"/>
      <c r="R228" s="639"/>
      <c r="S228" s="639"/>
      <c r="T228" s="639"/>
      <c r="U228" s="639"/>
      <c r="V228" s="640"/>
      <c r="W228" s="37" t="s">
        <v>67</v>
      </c>
      <c r="X228" s="619">
        <f>IFERROR(SUM(X214:X226),"0")</f>
        <v>474</v>
      </c>
      <c r="Y228" s="619">
        <f>IFERROR(SUM(Y214:Y226),"0")</f>
        <v>481.8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8" t="s">
        <v>69</v>
      </c>
      <c r="Q235" s="639"/>
      <c r="R235" s="639"/>
      <c r="S235" s="639"/>
      <c r="T235" s="639"/>
      <c r="U235" s="639"/>
      <c r="V235" s="640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8" t="s">
        <v>69</v>
      </c>
      <c r="Q236" s="639"/>
      <c r="R236" s="639"/>
      <c r="S236" s="639"/>
      <c r="T236" s="639"/>
      <c r="U236" s="639"/>
      <c r="V236" s="640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8" t="s">
        <v>69</v>
      </c>
      <c r="Q241" s="639"/>
      <c r="R241" s="639"/>
      <c r="S241" s="639"/>
      <c r="T241" s="639"/>
      <c r="U241" s="639"/>
      <c r="V241" s="640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8" t="s">
        <v>69</v>
      </c>
      <c r="Q242" s="639"/>
      <c r="R242" s="639"/>
      <c r="S242" s="639"/>
      <c r="T242" s="639"/>
      <c r="U242" s="639"/>
      <c r="V242" s="640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8" t="s">
        <v>69</v>
      </c>
      <c r="Q245" s="639"/>
      <c r="R245" s="639"/>
      <c r="S245" s="639"/>
      <c r="T245" s="639"/>
      <c r="U245" s="639"/>
      <c r="V245" s="640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8" t="s">
        <v>69</v>
      </c>
      <c r="Q246" s="639"/>
      <c r="R246" s="639"/>
      <c r="S246" s="639"/>
      <c r="T246" s="639"/>
      <c r="U246" s="639"/>
      <c r="V246" s="640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37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8" t="s">
        <v>69</v>
      </c>
      <c r="Q251" s="639"/>
      <c r="R251" s="639"/>
      <c r="S251" s="639"/>
      <c r="T251" s="639"/>
      <c r="U251" s="639"/>
      <c r="V251" s="640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8" t="s">
        <v>69</v>
      </c>
      <c r="Q252" s="639"/>
      <c r="R252" s="639"/>
      <c r="S252" s="639"/>
      <c r="T252" s="639"/>
      <c r="U252" s="639"/>
      <c r="V252" s="640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8" t="s">
        <v>69</v>
      </c>
      <c r="Q256" s="639"/>
      <c r="R256" s="639"/>
      <c r="S256" s="639"/>
      <c r="T256" s="639"/>
      <c r="U256" s="639"/>
      <c r="V256" s="640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8" t="s">
        <v>69</v>
      </c>
      <c r="Q257" s="639"/>
      <c r="R257" s="639"/>
      <c r="S257" s="639"/>
      <c r="T257" s="639"/>
      <c r="U257" s="639"/>
      <c r="V257" s="640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78</v>
      </c>
      <c r="Y262" s="618">
        <f t="shared" si="31"/>
        <v>81</v>
      </c>
      <c r="Z262" s="36">
        <f>IFERROR(IF(Y262=0,"",ROUNDUP(Y262/H262,0)*0.00902),"")</f>
        <v>0.1353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80.74444444444444</v>
      </c>
      <c r="BN262" s="64">
        <f t="shared" si="33"/>
        <v>83.85</v>
      </c>
      <c r="BO262" s="64">
        <f t="shared" si="34"/>
        <v>0.10942760942760942</v>
      </c>
      <c r="BP262" s="64">
        <f t="shared" si="35"/>
        <v>0.11363636363636363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8" t="s">
        <v>69</v>
      </c>
      <c r="Q267" s="639"/>
      <c r="R267" s="639"/>
      <c r="S267" s="639"/>
      <c r="T267" s="639"/>
      <c r="U267" s="639"/>
      <c r="V267" s="640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14.444444444444443</v>
      </c>
      <c r="Y267" s="619">
        <f>IFERROR(Y259/H259,"0")+IFERROR(Y260/H260,"0")+IFERROR(Y261/H261,"0")+IFERROR(Y262/H262,"0")+IFERROR(Y263/H263,"0")+IFERROR(Y264/H264,"0")+IFERROR(Y265/H265,"0")+IFERROR(Y266/H266,"0")</f>
        <v>14.999999999999998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0.1353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8" t="s">
        <v>69</v>
      </c>
      <c r="Q268" s="639"/>
      <c r="R268" s="639"/>
      <c r="S268" s="639"/>
      <c r="T268" s="639"/>
      <c r="U268" s="639"/>
      <c r="V268" s="640"/>
      <c r="W268" s="37" t="s">
        <v>67</v>
      </c>
      <c r="X268" s="619">
        <f>IFERROR(SUM(X259:X266),"0")</f>
        <v>78</v>
      </c>
      <c r="Y268" s="619">
        <f>IFERROR(SUM(Y259:Y266),"0")</f>
        <v>81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246</v>
      </c>
      <c r="Y276" s="618">
        <f t="shared" si="36"/>
        <v>247.2</v>
      </c>
      <c r="Z276" s="36">
        <f>IFERROR(IF(Y276=0,"",ROUNDUP(Y276/H276,0)*0.00651),"")</f>
        <v>0.67053000000000007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271.83000000000004</v>
      </c>
      <c r="BN276" s="64">
        <f t="shared" si="38"/>
        <v>273.15600000000001</v>
      </c>
      <c r="BO276" s="64">
        <f t="shared" si="39"/>
        <v>0.56318681318681318</v>
      </c>
      <c r="BP276" s="64">
        <f t="shared" si="40"/>
        <v>0.56593406593406603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143</v>
      </c>
      <c r="Y278" s="618">
        <f t="shared" si="36"/>
        <v>144</v>
      </c>
      <c r="Z278" s="36">
        <f>IFERROR(IF(Y278=0,"",ROUNDUP(Y278/H278,0)*0.00651),"")</f>
        <v>0.3906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158.01500000000001</v>
      </c>
      <c r="BN278" s="64">
        <f t="shared" si="38"/>
        <v>159.12000000000003</v>
      </c>
      <c r="BO278" s="64">
        <f t="shared" si="39"/>
        <v>0.32738095238095244</v>
      </c>
      <c r="BP278" s="64">
        <f t="shared" si="40"/>
        <v>0.32967032967032972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72</v>
      </c>
      <c r="Y280" s="618">
        <f t="shared" si="36"/>
        <v>72</v>
      </c>
      <c r="Z280" s="36">
        <f>IFERROR(IF(Y280=0,"",ROUNDUP(Y280/H280,0)*0.00651),"")</f>
        <v>0.1953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79.740000000000009</v>
      </c>
      <c r="BN280" s="64">
        <f t="shared" si="38"/>
        <v>79.740000000000009</v>
      </c>
      <c r="BO280" s="64">
        <f t="shared" si="39"/>
        <v>0.16483516483516486</v>
      </c>
      <c r="BP280" s="64">
        <f t="shared" si="40"/>
        <v>0.16483516483516486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8" t="s">
        <v>69</v>
      </c>
      <c r="Q282" s="639"/>
      <c r="R282" s="639"/>
      <c r="S282" s="639"/>
      <c r="T282" s="639"/>
      <c r="U282" s="639"/>
      <c r="V282" s="640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192.08333333333334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193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1.2564300000000002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8" t="s">
        <v>69</v>
      </c>
      <c r="Q283" s="639"/>
      <c r="R283" s="639"/>
      <c r="S283" s="639"/>
      <c r="T283" s="639"/>
      <c r="U283" s="639"/>
      <c r="V283" s="640"/>
      <c r="W283" s="37" t="s">
        <v>67</v>
      </c>
      <c r="X283" s="619">
        <f>IFERROR(SUM(X270:X281),"0")</f>
        <v>461</v>
      </c>
      <c r="Y283" s="619">
        <f>IFERROR(SUM(Y270:Y281),"0")</f>
        <v>463.2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8" t="s">
        <v>69</v>
      </c>
      <c r="Q287" s="639"/>
      <c r="R287" s="639"/>
      <c r="S287" s="639"/>
      <c r="T287" s="639"/>
      <c r="U287" s="639"/>
      <c r="V287" s="640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8" t="s">
        <v>69</v>
      </c>
      <c r="Q288" s="639"/>
      <c r="R288" s="639"/>
      <c r="S288" s="639"/>
      <c r="T288" s="639"/>
      <c r="U288" s="639"/>
      <c r="V288" s="640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37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8" t="s">
        <v>69</v>
      </c>
      <c r="Q298" s="639"/>
      <c r="R298" s="639"/>
      <c r="S298" s="639"/>
      <c r="T298" s="639"/>
      <c r="U298" s="639"/>
      <c r="V298" s="640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8" t="s">
        <v>69</v>
      </c>
      <c r="Q299" s="639"/>
      <c r="R299" s="639"/>
      <c r="S299" s="639"/>
      <c r="T299" s="639"/>
      <c r="U299" s="639"/>
      <c r="V299" s="640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8" t="s">
        <v>69</v>
      </c>
      <c r="Q302" s="639"/>
      <c r="R302" s="639"/>
      <c r="S302" s="639"/>
      <c r="T302" s="639"/>
      <c r="U302" s="639"/>
      <c r="V302" s="640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8" t="s">
        <v>69</v>
      </c>
      <c r="Q303" s="639"/>
      <c r="R303" s="639"/>
      <c r="S303" s="639"/>
      <c r="T303" s="639"/>
      <c r="U303" s="639"/>
      <c r="V303" s="640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8" t="s">
        <v>69</v>
      </c>
      <c r="Q306" s="639"/>
      <c r="R306" s="639"/>
      <c r="S306" s="639"/>
      <c r="T306" s="639"/>
      <c r="U306" s="639"/>
      <c r="V306" s="640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8" t="s">
        <v>69</v>
      </c>
      <c r="Q307" s="639"/>
      <c r="R307" s="639"/>
      <c r="S307" s="639"/>
      <c r="T307" s="639"/>
      <c r="U307" s="639"/>
      <c r="V307" s="640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8" t="s">
        <v>69</v>
      </c>
      <c r="Q311" s="639"/>
      <c r="R311" s="639"/>
      <c r="S311" s="639"/>
      <c r="T311" s="639"/>
      <c r="U311" s="639"/>
      <c r="V311" s="640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8" t="s">
        <v>69</v>
      </c>
      <c r="Q312" s="639"/>
      <c r="R312" s="639"/>
      <c r="S312" s="639"/>
      <c r="T312" s="639"/>
      <c r="U312" s="639"/>
      <c r="V312" s="640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37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8" t="s">
        <v>69</v>
      </c>
      <c r="Q321" s="639"/>
      <c r="R321" s="639"/>
      <c r="S321" s="639"/>
      <c r="T321" s="639"/>
      <c r="U321" s="639"/>
      <c r="V321" s="640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8" t="s">
        <v>69</v>
      </c>
      <c r="Q322" s="639"/>
      <c r="R322" s="639"/>
      <c r="S322" s="639"/>
      <c r="T322" s="639"/>
      <c r="U322" s="639"/>
      <c r="V322" s="640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37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8" t="s">
        <v>69</v>
      </c>
      <c r="Q328" s="639"/>
      <c r="R328" s="639"/>
      <c r="S328" s="639"/>
      <c r="T328" s="639"/>
      <c r="U328" s="639"/>
      <c r="V328" s="640"/>
      <c r="W328" s="37" t="s">
        <v>70</v>
      </c>
      <c r="X328" s="619">
        <f>IFERROR(X325/H325,"0")+IFERROR(X326/H326,"0")+IFERROR(X327/H327,"0")</f>
        <v>0</v>
      </c>
      <c r="Y328" s="619">
        <f>IFERROR(Y325/H325,"0")+IFERROR(Y326/H326,"0")+IFERROR(Y327/H327,"0")</f>
        <v>0</v>
      </c>
      <c r="Z328" s="619">
        <f>IFERROR(IF(Z325="",0,Z325),"0")+IFERROR(IF(Z326="",0,Z326),"0")+IFERROR(IF(Z327="",0,Z327),"0")</f>
        <v>0</v>
      </c>
      <c r="AA328" s="620"/>
      <c r="AB328" s="620"/>
      <c r="AC328" s="620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8" t="s">
        <v>69</v>
      </c>
      <c r="Q329" s="639"/>
      <c r="R329" s="639"/>
      <c r="S329" s="639"/>
      <c r="T329" s="639"/>
      <c r="U329" s="639"/>
      <c r="V329" s="640"/>
      <c r="W329" s="37" t="s">
        <v>67</v>
      </c>
      <c r="X329" s="619">
        <f>IFERROR(SUM(X325:X327),"0")</f>
        <v>0</v>
      </c>
      <c r="Y329" s="619">
        <f>IFERROR(SUM(Y325:Y327),"0")</f>
        <v>0</v>
      </c>
      <c r="Z329" s="37"/>
      <c r="AA329" s="620"/>
      <c r="AB329" s="620"/>
      <c r="AC329" s="620"/>
    </row>
    <row r="330" spans="1:68" ht="16.5" hidden="1" customHeight="1" x14ac:dyDescent="0.25">
      <c r="A330" s="637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8" t="s">
        <v>69</v>
      </c>
      <c r="Q336" s="639"/>
      <c r="R336" s="639"/>
      <c r="S336" s="639"/>
      <c r="T336" s="639"/>
      <c r="U336" s="639"/>
      <c r="V336" s="640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8" t="s">
        <v>69</v>
      </c>
      <c r="Q337" s="639"/>
      <c r="R337" s="639"/>
      <c r="S337" s="639"/>
      <c r="T337" s="639"/>
      <c r="U337" s="639"/>
      <c r="V337" s="640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8" t="s">
        <v>69</v>
      </c>
      <c r="Q342" s="639"/>
      <c r="R342" s="639"/>
      <c r="S342" s="639"/>
      <c r="T342" s="639"/>
      <c r="U342" s="639"/>
      <c r="V342" s="640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8" t="s">
        <v>69</v>
      </c>
      <c r="Q343" s="639"/>
      <c r="R343" s="639"/>
      <c r="S343" s="639"/>
      <c r="T343" s="639"/>
      <c r="U343" s="639"/>
      <c r="V343" s="640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37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136</v>
      </c>
      <c r="Y346" s="618">
        <f>IFERROR(IF(X346="",0,CEILING((X346/$H346),1)*$H346),"")</f>
        <v>140.4</v>
      </c>
      <c r="Z346" s="36">
        <f>IFERROR(IF(Y346=0,"",ROUNDUP(Y346/H346,0)*0.01898),"")</f>
        <v>0.34164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143.14871794871797</v>
      </c>
      <c r="BN346" s="64">
        <f>IFERROR(Y346*I346/H346,"0")</f>
        <v>147.78000000000003</v>
      </c>
      <c r="BO346" s="64">
        <f>IFERROR(1/J346*(X346/H346),"0")</f>
        <v>0.27243589743589747</v>
      </c>
      <c r="BP346" s="64">
        <f>IFERROR(1/J346*(Y346/H346),"0")</f>
        <v>0.28125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191</v>
      </c>
      <c r="Y347" s="618">
        <f>IFERROR(IF(X347="",0,CEILING((X347/$H347),1)*$H347),"")</f>
        <v>195</v>
      </c>
      <c r="Z347" s="36">
        <f>IFERROR(IF(Y347=0,"",ROUNDUP(Y347/H347,0)*0.01898),"")</f>
        <v>0.47450000000000003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201.03974358974361</v>
      </c>
      <c r="BN347" s="64">
        <f>IFERROR(Y347*I347/H347,"0")</f>
        <v>205.25000000000003</v>
      </c>
      <c r="BO347" s="64">
        <f>IFERROR(1/J347*(X347/H347),"0")</f>
        <v>0.38261217948717952</v>
      </c>
      <c r="BP347" s="64">
        <f>IFERROR(1/J347*(Y347/H347),"0")</f>
        <v>0.390625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8" t="s">
        <v>69</v>
      </c>
      <c r="Q349" s="639"/>
      <c r="R349" s="639"/>
      <c r="S349" s="639"/>
      <c r="T349" s="639"/>
      <c r="U349" s="639"/>
      <c r="V349" s="640"/>
      <c r="W349" s="37" t="s">
        <v>70</v>
      </c>
      <c r="X349" s="619">
        <f>IFERROR(X346/H346,"0")+IFERROR(X347/H347,"0")+IFERROR(X348/H348,"0")</f>
        <v>41.923076923076927</v>
      </c>
      <c r="Y349" s="619">
        <f>IFERROR(Y346/H346,"0")+IFERROR(Y347/H347,"0")+IFERROR(Y348/H348,"0")</f>
        <v>43</v>
      </c>
      <c r="Z349" s="619">
        <f>IFERROR(IF(Z346="",0,Z346),"0")+IFERROR(IF(Z347="",0,Z347),"0")+IFERROR(IF(Z348="",0,Z348),"0")</f>
        <v>0.81614000000000009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8" t="s">
        <v>69</v>
      </c>
      <c r="Q350" s="639"/>
      <c r="R350" s="639"/>
      <c r="S350" s="639"/>
      <c r="T350" s="639"/>
      <c r="U350" s="639"/>
      <c r="V350" s="640"/>
      <c r="W350" s="37" t="s">
        <v>67</v>
      </c>
      <c r="X350" s="619">
        <f>IFERROR(SUM(X346:X348),"0")</f>
        <v>327</v>
      </c>
      <c r="Y350" s="619">
        <f>IFERROR(SUM(Y346:Y348),"0")</f>
        <v>335.4</v>
      </c>
      <c r="Z350" s="37"/>
      <c r="AA350" s="620"/>
      <c r="AB350" s="620"/>
      <c r="AC350" s="620"/>
    </row>
    <row r="351" spans="1:68" ht="16.5" hidden="1" customHeight="1" x14ac:dyDescent="0.25">
      <c r="A351" s="637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8" t="s">
        <v>69</v>
      </c>
      <c r="Q360" s="639"/>
      <c r="R360" s="639"/>
      <c r="S360" s="639"/>
      <c r="T360" s="639"/>
      <c r="U360" s="639"/>
      <c r="V360" s="640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8" t="s">
        <v>69</v>
      </c>
      <c r="Q361" s="639"/>
      <c r="R361" s="639"/>
      <c r="S361" s="639"/>
      <c r="T361" s="639"/>
      <c r="U361" s="639"/>
      <c r="V361" s="640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8" t="s">
        <v>69</v>
      </c>
      <c r="Q370" s="639"/>
      <c r="R370" s="639"/>
      <c r="S370" s="639"/>
      <c r="T370" s="639"/>
      <c r="U370" s="639"/>
      <c r="V370" s="640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8" t="s">
        <v>69</v>
      </c>
      <c r="Q371" s="639"/>
      <c r="R371" s="639"/>
      <c r="S371" s="639"/>
      <c r="T371" s="639"/>
      <c r="U371" s="639"/>
      <c r="V371" s="640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8" t="s">
        <v>69</v>
      </c>
      <c r="Q377" s="639"/>
      <c r="R377" s="639"/>
      <c r="S377" s="639"/>
      <c r="T377" s="639"/>
      <c r="U377" s="639"/>
      <c r="V377" s="640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8" t="s">
        <v>69</v>
      </c>
      <c r="Q378" s="639"/>
      <c r="R378" s="639"/>
      <c r="S378" s="639"/>
      <c r="T378" s="639"/>
      <c r="U378" s="639"/>
      <c r="V378" s="640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82</v>
      </c>
      <c r="Y380" s="618">
        <f>IFERROR(IF(X380="",0,CEILING((X380/$H380),1)*$H380),"")</f>
        <v>84</v>
      </c>
      <c r="Z380" s="36">
        <f>IFERROR(IF(Y380=0,"",ROUNDUP(Y380/H380,0)*0.01898),"")</f>
        <v>0.1898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86.822380952380954</v>
      </c>
      <c r="BN380" s="64">
        <f>IFERROR(Y380*I380/H380,"0")</f>
        <v>88.94</v>
      </c>
      <c r="BO380" s="64">
        <f>IFERROR(1/J380*(X380/H380),"0")</f>
        <v>0.15252976190476189</v>
      </c>
      <c r="BP380" s="64">
        <f>IFERROR(1/J380*(Y380/H380),"0")</f>
        <v>0.15625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166</v>
      </c>
      <c r="Y381" s="618">
        <f>IFERROR(IF(X381="",0,CEILING((X381/$H381),1)*$H381),"")</f>
        <v>171.6</v>
      </c>
      <c r="Z381" s="36">
        <f>IFERROR(IF(Y381=0,"",ROUNDUP(Y381/H381,0)*0.01898),"")</f>
        <v>0.41755999999999999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176.51333333333335</v>
      </c>
      <c r="BN381" s="64">
        <f>IFERROR(Y381*I381/H381,"0")</f>
        <v>182.46800000000002</v>
      </c>
      <c r="BO381" s="64">
        <f>IFERROR(1/J381*(X381/H381),"0")</f>
        <v>0.33253205128205127</v>
      </c>
      <c r="BP381" s="64">
        <f>IFERROR(1/J381*(Y381/H381),"0")</f>
        <v>0.34375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8" t="s">
        <v>69</v>
      </c>
      <c r="Q383" s="639"/>
      <c r="R383" s="639"/>
      <c r="S383" s="639"/>
      <c r="T383" s="639"/>
      <c r="U383" s="639"/>
      <c r="V383" s="640"/>
      <c r="W383" s="37" t="s">
        <v>70</v>
      </c>
      <c r="X383" s="619">
        <f>IFERROR(X380/H380,"0")+IFERROR(X381/H381,"0")+IFERROR(X382/H382,"0")</f>
        <v>31.043956043956044</v>
      </c>
      <c r="Y383" s="619">
        <f>IFERROR(Y380/H380,"0")+IFERROR(Y381/H381,"0")+IFERROR(Y382/H382,"0")</f>
        <v>32</v>
      </c>
      <c r="Z383" s="619">
        <f>IFERROR(IF(Z380="",0,Z380),"0")+IFERROR(IF(Z381="",0,Z381),"0")+IFERROR(IF(Z382="",0,Z382),"0")</f>
        <v>0.60736000000000001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8" t="s">
        <v>69</v>
      </c>
      <c r="Q384" s="639"/>
      <c r="R384" s="639"/>
      <c r="S384" s="639"/>
      <c r="T384" s="639"/>
      <c r="U384" s="639"/>
      <c r="V384" s="640"/>
      <c r="W384" s="37" t="s">
        <v>67</v>
      </c>
      <c r="X384" s="619">
        <f>IFERROR(SUM(X380:X382),"0")</f>
        <v>248</v>
      </c>
      <c r="Y384" s="619">
        <f>IFERROR(SUM(Y380:Y382),"0")</f>
        <v>255.6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8" t="s">
        <v>69</v>
      </c>
      <c r="Q390" s="639"/>
      <c r="R390" s="639"/>
      <c r="S390" s="639"/>
      <c r="T390" s="639"/>
      <c r="U390" s="639"/>
      <c r="V390" s="640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8" t="s">
        <v>69</v>
      </c>
      <c r="Q391" s="639"/>
      <c r="R391" s="639"/>
      <c r="S391" s="639"/>
      <c r="T391" s="639"/>
      <c r="U391" s="639"/>
      <c r="V391" s="640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23</v>
      </c>
      <c r="Y393" s="618">
        <f>IFERROR(IF(X393="",0,CEILING((X393/$H393),1)*$H393),"")</f>
        <v>24</v>
      </c>
      <c r="Z393" s="36">
        <f>IFERROR(IF(Y393=0,"",ROUNDUP(Y393/H393,0)*0.00474),"")</f>
        <v>5.688E-2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25.76</v>
      </c>
      <c r="BN393" s="64">
        <f>IFERROR(Y393*I393/H393,"0")</f>
        <v>26.880000000000003</v>
      </c>
      <c r="BO393" s="64">
        <f>IFERROR(1/J393*(X393/H393),"0")</f>
        <v>4.8319327731092432E-2</v>
      </c>
      <c r="BP393" s="64">
        <f>IFERROR(1/J393*(Y393/H393),"0")</f>
        <v>5.0420168067226892E-2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30</v>
      </c>
      <c r="Y394" s="618">
        <f>IFERROR(IF(X394="",0,CEILING((X394/$H394),1)*$H394),"")</f>
        <v>30</v>
      </c>
      <c r="Z394" s="36">
        <f>IFERROR(IF(Y394=0,"",ROUNDUP(Y394/H394,0)*0.00474),"")</f>
        <v>7.110000000000001E-2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33.6</v>
      </c>
      <c r="BN394" s="64">
        <f>IFERROR(Y394*I394/H394,"0")</f>
        <v>33.6</v>
      </c>
      <c r="BO394" s="64">
        <f>IFERROR(1/J394*(X394/H394),"0")</f>
        <v>6.3025210084033612E-2</v>
      </c>
      <c r="BP394" s="64">
        <f>IFERROR(1/J394*(Y394/H394),"0")</f>
        <v>6.3025210084033612E-2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32</v>
      </c>
      <c r="Y395" s="618">
        <f>IFERROR(IF(X395="",0,CEILING((X395/$H395),1)*$H395),"")</f>
        <v>32</v>
      </c>
      <c r="Z395" s="36">
        <f>IFERROR(IF(Y395=0,"",ROUNDUP(Y395/H395,0)*0.00474),"")</f>
        <v>7.5840000000000005E-2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35.840000000000003</v>
      </c>
      <c r="BN395" s="64">
        <f>IFERROR(Y395*I395/H395,"0")</f>
        <v>35.840000000000003</v>
      </c>
      <c r="BO395" s="64">
        <f>IFERROR(1/J395*(X395/H395),"0")</f>
        <v>6.7226890756302518E-2</v>
      </c>
      <c r="BP395" s="64">
        <f>IFERROR(1/J395*(Y395/H395),"0")</f>
        <v>6.7226890756302518E-2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8" t="s">
        <v>69</v>
      </c>
      <c r="Q396" s="639"/>
      <c r="R396" s="639"/>
      <c r="S396" s="639"/>
      <c r="T396" s="639"/>
      <c r="U396" s="639"/>
      <c r="V396" s="640"/>
      <c r="W396" s="37" t="s">
        <v>70</v>
      </c>
      <c r="X396" s="619">
        <f>IFERROR(X393/H393,"0")+IFERROR(X394/H394,"0")+IFERROR(X395/H395,"0")</f>
        <v>42.5</v>
      </c>
      <c r="Y396" s="619">
        <f>IFERROR(Y393/H393,"0")+IFERROR(Y394/H394,"0")+IFERROR(Y395/H395,"0")</f>
        <v>43</v>
      </c>
      <c r="Z396" s="619">
        <f>IFERROR(IF(Z393="",0,Z393),"0")+IFERROR(IF(Z394="",0,Z394),"0")+IFERROR(IF(Z395="",0,Z395),"0")</f>
        <v>0.20382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8" t="s">
        <v>69</v>
      </c>
      <c r="Q397" s="639"/>
      <c r="R397" s="639"/>
      <c r="S397" s="639"/>
      <c r="T397" s="639"/>
      <c r="U397" s="639"/>
      <c r="V397" s="640"/>
      <c r="W397" s="37" t="s">
        <v>67</v>
      </c>
      <c r="X397" s="619">
        <f>IFERROR(SUM(X393:X395),"0")</f>
        <v>85</v>
      </c>
      <c r="Y397" s="619">
        <f>IFERROR(SUM(Y393:Y395),"0")</f>
        <v>86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8" t="s">
        <v>69</v>
      </c>
      <c r="Q402" s="639"/>
      <c r="R402" s="639"/>
      <c r="S402" s="639"/>
      <c r="T402" s="639"/>
      <c r="U402" s="639"/>
      <c r="V402" s="640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8" t="s">
        <v>69</v>
      </c>
      <c r="Q403" s="639"/>
      <c r="R403" s="639"/>
      <c r="S403" s="639"/>
      <c r="T403" s="639"/>
      <c r="U403" s="639"/>
      <c r="V403" s="640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37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8" t="s">
        <v>69</v>
      </c>
      <c r="Q408" s="639"/>
      <c r="R408" s="639"/>
      <c r="S408" s="639"/>
      <c r="T408" s="639"/>
      <c r="U408" s="639"/>
      <c r="V408" s="640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8" t="s">
        <v>69</v>
      </c>
      <c r="Q409" s="639"/>
      <c r="R409" s="639"/>
      <c r="S409" s="639"/>
      <c r="T409" s="639"/>
      <c r="U409" s="639"/>
      <c r="V409" s="640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37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8" t="s">
        <v>69</v>
      </c>
      <c r="Q415" s="639"/>
      <c r="R415" s="639"/>
      <c r="S415" s="639"/>
      <c r="T415" s="639"/>
      <c r="U415" s="639"/>
      <c r="V415" s="640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8" t="s">
        <v>69</v>
      </c>
      <c r="Q416" s="639"/>
      <c r="R416" s="639"/>
      <c r="S416" s="639"/>
      <c r="T416" s="639"/>
      <c r="U416" s="639"/>
      <c r="V416" s="640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37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1648</v>
      </c>
      <c r="Y421" s="618">
        <f t="shared" si="61"/>
        <v>1650</v>
      </c>
      <c r="Z421" s="36">
        <f>IFERROR(IF(Y421=0,"",ROUNDUP(Y421/H421,0)*0.02175),"")</f>
        <v>2.3924999999999996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1699.6373333333333</v>
      </c>
      <c r="BN421" s="64">
        <f t="shared" si="63"/>
        <v>1701.7</v>
      </c>
      <c r="BO421" s="64">
        <f t="shared" si="64"/>
        <v>2.2888888888888888</v>
      </c>
      <c r="BP421" s="64">
        <f t="shared" si="65"/>
        <v>2.2916666666666665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1583</v>
      </c>
      <c r="Y422" s="618">
        <f t="shared" si="61"/>
        <v>1590</v>
      </c>
      <c r="Z422" s="36">
        <f>IFERROR(IF(Y422=0,"",ROUNDUP(Y422/H422,0)*0.02175),"")</f>
        <v>2.3054999999999999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1632.6006666666667</v>
      </c>
      <c r="BN422" s="64">
        <f t="shared" si="63"/>
        <v>1639.82</v>
      </c>
      <c r="BO422" s="64">
        <f t="shared" si="64"/>
        <v>2.1986111111111111</v>
      </c>
      <c r="BP422" s="64">
        <f t="shared" si="65"/>
        <v>2.208333333333333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608</v>
      </c>
      <c r="Y424" s="618">
        <f t="shared" si="61"/>
        <v>615</v>
      </c>
      <c r="Z424" s="36">
        <f>IFERROR(IF(Y424=0,"",ROUNDUP(Y424/H424,0)*0.02175),"")</f>
        <v>0.89174999999999993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627.05066666666664</v>
      </c>
      <c r="BN424" s="64">
        <f t="shared" si="63"/>
        <v>634.2700000000001</v>
      </c>
      <c r="BO424" s="64">
        <f t="shared" si="64"/>
        <v>0.84444444444444433</v>
      </c>
      <c r="BP424" s="64">
        <f t="shared" si="65"/>
        <v>0.85416666666666663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8" t="s">
        <v>69</v>
      </c>
      <c r="Q428" s="639"/>
      <c r="R428" s="639"/>
      <c r="S428" s="639"/>
      <c r="T428" s="639"/>
      <c r="U428" s="639"/>
      <c r="V428" s="640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255.93333333333331</v>
      </c>
      <c r="Y428" s="619">
        <f>IFERROR(Y420/H420,"0")+IFERROR(Y421/H421,"0")+IFERROR(Y422/H422,"0")+IFERROR(Y423/H423,"0")+IFERROR(Y424/H424,"0")+IFERROR(Y425/H425,"0")+IFERROR(Y426/H426,"0")+IFERROR(Y427/H427,"0")</f>
        <v>257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5.5897499999999996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8" t="s">
        <v>69</v>
      </c>
      <c r="Q429" s="639"/>
      <c r="R429" s="639"/>
      <c r="S429" s="639"/>
      <c r="T429" s="639"/>
      <c r="U429" s="639"/>
      <c r="V429" s="640"/>
      <c r="W429" s="37" t="s">
        <v>67</v>
      </c>
      <c r="X429" s="619">
        <f>IFERROR(SUM(X420:X427),"0")</f>
        <v>3839</v>
      </c>
      <c r="Y429" s="619">
        <f>IFERROR(SUM(Y420:Y427),"0")</f>
        <v>3855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1531</v>
      </c>
      <c r="Y431" s="618">
        <f>IFERROR(IF(X431="",0,CEILING((X431/$H431),1)*$H431),"")</f>
        <v>1545</v>
      </c>
      <c r="Z431" s="36">
        <f>IFERROR(IF(Y431=0,"",ROUNDUP(Y431/H431,0)*0.02175),"")</f>
        <v>2.2402499999999996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1578.9713333333334</v>
      </c>
      <c r="BN431" s="64">
        <f>IFERROR(Y431*I431/H431,"0")</f>
        <v>1593.41</v>
      </c>
      <c r="BO431" s="64">
        <f>IFERROR(1/J431*(X431/H431),"0")</f>
        <v>2.1263888888888887</v>
      </c>
      <c r="BP431" s="64">
        <f>IFERROR(1/J431*(Y431/H431),"0")</f>
        <v>2.145833333333333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8" t="s">
        <v>69</v>
      </c>
      <c r="Q434" s="639"/>
      <c r="R434" s="639"/>
      <c r="S434" s="639"/>
      <c r="T434" s="639"/>
      <c r="U434" s="639"/>
      <c r="V434" s="640"/>
      <c r="W434" s="37" t="s">
        <v>70</v>
      </c>
      <c r="X434" s="619">
        <f>IFERROR(X431/H431,"0")+IFERROR(X432/H432,"0")+IFERROR(X433/H433,"0")</f>
        <v>102.06666666666666</v>
      </c>
      <c r="Y434" s="619">
        <f>IFERROR(Y431/H431,"0")+IFERROR(Y432/H432,"0")+IFERROR(Y433/H433,"0")</f>
        <v>103</v>
      </c>
      <c r="Z434" s="619">
        <f>IFERROR(IF(Z431="",0,Z431),"0")+IFERROR(IF(Z432="",0,Z432),"0")+IFERROR(IF(Z433="",0,Z433),"0")</f>
        <v>2.2402499999999996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8" t="s">
        <v>69</v>
      </c>
      <c r="Q435" s="639"/>
      <c r="R435" s="639"/>
      <c r="S435" s="639"/>
      <c r="T435" s="639"/>
      <c r="U435" s="639"/>
      <c r="V435" s="640"/>
      <c r="W435" s="37" t="s">
        <v>67</v>
      </c>
      <c r="X435" s="619">
        <f>IFERROR(SUM(X431:X433),"0")</f>
        <v>1531</v>
      </c>
      <c r="Y435" s="619">
        <f>IFERROR(SUM(Y431:Y433),"0")</f>
        <v>1545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8" t="s">
        <v>69</v>
      </c>
      <c r="Q440" s="639"/>
      <c r="R440" s="639"/>
      <c r="S440" s="639"/>
      <c r="T440" s="639"/>
      <c r="U440" s="639"/>
      <c r="V440" s="640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8" t="s">
        <v>69</v>
      </c>
      <c r="Q441" s="639"/>
      <c r="R441" s="639"/>
      <c r="S441" s="639"/>
      <c r="T441" s="639"/>
      <c r="U441" s="639"/>
      <c r="V441" s="640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8" t="s">
        <v>69</v>
      </c>
      <c r="Q445" s="639"/>
      <c r="R445" s="639"/>
      <c r="S445" s="639"/>
      <c r="T445" s="639"/>
      <c r="U445" s="639"/>
      <c r="V445" s="640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8" t="s">
        <v>69</v>
      </c>
      <c r="Q446" s="639"/>
      <c r="R446" s="639"/>
      <c r="S446" s="639"/>
      <c r="T446" s="639"/>
      <c r="U446" s="639"/>
      <c r="V446" s="640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37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8" t="s">
        <v>69</v>
      </c>
      <c r="Q451" s="639"/>
      <c r="R451" s="639"/>
      <c r="S451" s="639"/>
      <c r="T451" s="639"/>
      <c r="U451" s="639"/>
      <c r="V451" s="640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8" t="s">
        <v>69</v>
      </c>
      <c r="Q452" s="639"/>
      <c r="R452" s="639"/>
      <c r="S452" s="639"/>
      <c r="T452" s="639"/>
      <c r="U452" s="639"/>
      <c r="V452" s="640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8" t="s">
        <v>69</v>
      </c>
      <c r="Q455" s="639"/>
      <c r="R455" s="639"/>
      <c r="S455" s="639"/>
      <c r="T455" s="639"/>
      <c r="U455" s="639"/>
      <c r="V455" s="640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8" t="s">
        <v>69</v>
      </c>
      <c r="Q456" s="639"/>
      <c r="R456" s="639"/>
      <c r="S456" s="639"/>
      <c r="T456" s="639"/>
      <c r="U456" s="639"/>
      <c r="V456" s="640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211</v>
      </c>
      <c r="Y458" s="618">
        <f>IFERROR(IF(X458="",0,CEILING((X458/$H458),1)*$H458),"")</f>
        <v>216</v>
      </c>
      <c r="Z458" s="36">
        <f>IFERROR(IF(Y458=0,"",ROUNDUP(Y458/H458,0)*0.01898),"")</f>
        <v>0.45552000000000004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222.58155555555555</v>
      </c>
      <c r="BN458" s="64">
        <f>IFERROR(Y458*I458/H458,"0")</f>
        <v>227.85599999999997</v>
      </c>
      <c r="BO458" s="64">
        <f>IFERROR(1/J458*(X458/H458),"0")</f>
        <v>0.36631944444444442</v>
      </c>
      <c r="BP458" s="64">
        <f>IFERROR(1/J458*(Y458/H458),"0")</f>
        <v>0.375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8" t="s">
        <v>69</v>
      </c>
      <c r="Q461" s="639"/>
      <c r="R461" s="639"/>
      <c r="S461" s="639"/>
      <c r="T461" s="639"/>
      <c r="U461" s="639"/>
      <c r="V461" s="640"/>
      <c r="W461" s="37" t="s">
        <v>70</v>
      </c>
      <c r="X461" s="619">
        <f>IFERROR(X458/H458,"0")+IFERROR(X459/H459,"0")+IFERROR(X460/H460,"0")</f>
        <v>23.444444444444443</v>
      </c>
      <c r="Y461" s="619">
        <f>IFERROR(Y458/H458,"0")+IFERROR(Y459/H459,"0")+IFERROR(Y460/H460,"0")</f>
        <v>24</v>
      </c>
      <c r="Z461" s="619">
        <f>IFERROR(IF(Z458="",0,Z458),"0")+IFERROR(IF(Z459="",0,Z459),"0")+IFERROR(IF(Z460="",0,Z460),"0")</f>
        <v>0.45552000000000004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8" t="s">
        <v>69</v>
      </c>
      <c r="Q462" s="639"/>
      <c r="R462" s="639"/>
      <c r="S462" s="639"/>
      <c r="T462" s="639"/>
      <c r="U462" s="639"/>
      <c r="V462" s="640"/>
      <c r="W462" s="37" t="s">
        <v>67</v>
      </c>
      <c r="X462" s="619">
        <f>IFERROR(SUM(X458:X460),"0")</f>
        <v>211</v>
      </c>
      <c r="Y462" s="619">
        <f>IFERROR(SUM(Y458:Y460),"0")</f>
        <v>216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37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8" t="s">
        <v>69</v>
      </c>
      <c r="Q472" s="639"/>
      <c r="R472" s="639"/>
      <c r="S472" s="639"/>
      <c r="T472" s="639"/>
      <c r="U472" s="639"/>
      <c r="V472" s="640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8" t="s">
        <v>69</v>
      </c>
      <c r="Q473" s="639"/>
      <c r="R473" s="639"/>
      <c r="S473" s="639"/>
      <c r="T473" s="639"/>
      <c r="U473" s="639"/>
      <c r="V473" s="640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8" t="s">
        <v>69</v>
      </c>
      <c r="Q476" s="639"/>
      <c r="R476" s="639"/>
      <c r="S476" s="639"/>
      <c r="T476" s="639"/>
      <c r="U476" s="639"/>
      <c r="V476" s="640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8" t="s">
        <v>69</v>
      </c>
      <c r="Q477" s="639"/>
      <c r="R477" s="639"/>
      <c r="S477" s="639"/>
      <c r="T477" s="639"/>
      <c r="U477" s="639"/>
      <c r="V477" s="640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37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8" t="s">
        <v>69</v>
      </c>
      <c r="Q481" s="639"/>
      <c r="R481" s="639"/>
      <c r="S481" s="639"/>
      <c r="T481" s="639"/>
      <c r="U481" s="639"/>
      <c r="V481" s="640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8" t="s">
        <v>69</v>
      </c>
      <c r="Q482" s="639"/>
      <c r="R482" s="639"/>
      <c r="S482" s="639"/>
      <c r="T482" s="639"/>
      <c r="U482" s="639"/>
      <c r="V482" s="640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8" t="s">
        <v>69</v>
      </c>
      <c r="Q487" s="639"/>
      <c r="R487" s="639"/>
      <c r="S487" s="639"/>
      <c r="T487" s="639"/>
      <c r="U487" s="639"/>
      <c r="V487" s="640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8" t="s">
        <v>69</v>
      </c>
      <c r="Q488" s="639"/>
      <c r="R488" s="639"/>
      <c r="S488" s="639"/>
      <c r="T488" s="639"/>
      <c r="U488" s="639"/>
      <c r="V488" s="640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37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208</v>
      </c>
      <c r="Y495" s="618">
        <f t="shared" si="71"/>
        <v>211.20000000000002</v>
      </c>
      <c r="Z495" s="36">
        <f>IFERROR(IF(Y495=0,"",ROUNDUP(Y495/H495,0)*0.01196),"")</f>
        <v>0.47839999999999999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221.78787878787878</v>
      </c>
      <c r="BN495" s="64">
        <f t="shared" si="73"/>
        <v>225.2</v>
      </c>
      <c r="BO495" s="64">
        <f t="shared" si="74"/>
        <v>0.37878787878787878</v>
      </c>
      <c r="BP495" s="64">
        <f t="shared" si="75"/>
        <v>0.38461538461538464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292</v>
      </c>
      <c r="Y496" s="618">
        <f t="shared" si="71"/>
        <v>295.68</v>
      </c>
      <c r="Z496" s="36">
        <f>IFERROR(IF(Y496=0,"",ROUNDUP(Y496/H496,0)*0.01196),"")</f>
        <v>0.66976000000000002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311.35606060606062</v>
      </c>
      <c r="BN496" s="64">
        <f t="shared" si="73"/>
        <v>315.27999999999997</v>
      </c>
      <c r="BO496" s="64">
        <f t="shared" si="74"/>
        <v>0.5317599067599067</v>
      </c>
      <c r="BP496" s="64">
        <f t="shared" si="75"/>
        <v>0.53846153846153855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8" t="s">
        <v>69</v>
      </c>
      <c r="Q500" s="639"/>
      <c r="R500" s="639"/>
      <c r="S500" s="639"/>
      <c r="T500" s="639"/>
      <c r="U500" s="639"/>
      <c r="V500" s="640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94.696969696969688</v>
      </c>
      <c r="Y500" s="619">
        <f>IFERROR(Y492/H492,"0")+IFERROR(Y493/H493,"0")+IFERROR(Y494/H494,"0")+IFERROR(Y495/H495,"0")+IFERROR(Y496/H496,"0")+IFERROR(Y497/H497,"0")+IFERROR(Y498/H498,"0")+IFERROR(Y499/H499,"0")</f>
        <v>96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1.1481600000000001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8" t="s">
        <v>69</v>
      </c>
      <c r="Q501" s="639"/>
      <c r="R501" s="639"/>
      <c r="S501" s="639"/>
      <c r="T501" s="639"/>
      <c r="U501" s="639"/>
      <c r="V501" s="640"/>
      <c r="W501" s="37" t="s">
        <v>67</v>
      </c>
      <c r="X501" s="619">
        <f>IFERROR(SUM(X492:X499),"0")</f>
        <v>500</v>
      </c>
      <c r="Y501" s="619">
        <f>IFERROR(SUM(Y492:Y499),"0")</f>
        <v>506.88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278</v>
      </c>
      <c r="Y503" s="618">
        <f>IFERROR(IF(X503="",0,CEILING((X503/$H503),1)*$H503),"")</f>
        <v>279.84000000000003</v>
      </c>
      <c r="Z503" s="36">
        <f>IFERROR(IF(Y503=0,"",ROUNDUP(Y503/H503,0)*0.01196),"")</f>
        <v>0.63388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296.42803030303025</v>
      </c>
      <c r="BN503" s="64">
        <f>IFERROR(Y503*I503/H503,"0")</f>
        <v>298.39000000000004</v>
      </c>
      <c r="BO503" s="64">
        <f>IFERROR(1/J503*(X503/H503),"0")</f>
        <v>0.50626456876456871</v>
      </c>
      <c r="BP503" s="64">
        <f>IFERROR(1/J503*(Y503/H503),"0")</f>
        <v>0.50961538461538469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8" t="s">
        <v>69</v>
      </c>
      <c r="Q506" s="639"/>
      <c r="R506" s="639"/>
      <c r="S506" s="639"/>
      <c r="T506" s="639"/>
      <c r="U506" s="639"/>
      <c r="V506" s="640"/>
      <c r="W506" s="37" t="s">
        <v>70</v>
      </c>
      <c r="X506" s="619">
        <f>IFERROR(X503/H503,"0")+IFERROR(X504/H504,"0")+IFERROR(X505/H505,"0")</f>
        <v>52.651515151515149</v>
      </c>
      <c r="Y506" s="619">
        <f>IFERROR(Y503/H503,"0")+IFERROR(Y504/H504,"0")+IFERROR(Y505/H505,"0")</f>
        <v>53</v>
      </c>
      <c r="Z506" s="619">
        <f>IFERROR(IF(Z503="",0,Z503),"0")+IFERROR(IF(Z504="",0,Z504),"0")+IFERROR(IF(Z505="",0,Z505),"0")</f>
        <v>0.63388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8" t="s">
        <v>69</v>
      </c>
      <c r="Q507" s="639"/>
      <c r="R507" s="639"/>
      <c r="S507" s="639"/>
      <c r="T507" s="639"/>
      <c r="U507" s="639"/>
      <c r="V507" s="640"/>
      <c r="W507" s="37" t="s">
        <v>67</v>
      </c>
      <c r="X507" s="619">
        <f>IFERROR(SUM(X503:X505),"0")</f>
        <v>278</v>
      </c>
      <c r="Y507" s="619">
        <f>IFERROR(SUM(Y503:Y505),"0")</f>
        <v>279.84000000000003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66</v>
      </c>
      <c r="Y509" s="618">
        <f t="shared" ref="Y509:Y515" si="76">IFERROR(IF(X509="",0,CEILING((X509/$H509),1)*$H509),"")</f>
        <v>68.64</v>
      </c>
      <c r="Z509" s="36">
        <f>IFERROR(IF(Y509=0,"",ROUNDUP(Y509/H509,0)*0.01196),"")</f>
        <v>0.15548000000000001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70.375</v>
      </c>
      <c r="BN509" s="64">
        <f t="shared" ref="BN509:BN515" si="78">IFERROR(Y509*I509/H509,"0")</f>
        <v>73.19</v>
      </c>
      <c r="BO509" s="64">
        <f t="shared" ref="BO509:BO515" si="79">IFERROR(1/J509*(X509/H509),"0")</f>
        <v>0.1201923076923077</v>
      </c>
      <c r="BP509" s="64">
        <f t="shared" ref="BP509:BP515" si="80">IFERROR(1/J509*(Y509/H509),"0")</f>
        <v>0.125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140</v>
      </c>
      <c r="Y511" s="618">
        <f t="shared" si="76"/>
        <v>142.56</v>
      </c>
      <c r="Z511" s="36">
        <f>IFERROR(IF(Y511=0,"",ROUNDUP(Y511/H511,0)*0.01196),"")</f>
        <v>0.32291999999999998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149.280303030303</v>
      </c>
      <c r="BN511" s="64">
        <f t="shared" si="78"/>
        <v>152.01</v>
      </c>
      <c r="BO511" s="64">
        <f t="shared" si="79"/>
        <v>0.25495337995337997</v>
      </c>
      <c r="BP511" s="64">
        <f t="shared" si="80"/>
        <v>0.25961538461538464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8" t="s">
        <v>69</v>
      </c>
      <c r="Q516" s="639"/>
      <c r="R516" s="639"/>
      <c r="S516" s="639"/>
      <c r="T516" s="639"/>
      <c r="U516" s="639"/>
      <c r="V516" s="640"/>
      <c r="W516" s="37" t="s">
        <v>70</v>
      </c>
      <c r="X516" s="619">
        <f>IFERROR(X509/H509,"0")+IFERROR(X510/H510,"0")+IFERROR(X511/H511,"0")+IFERROR(X512/H512,"0")+IFERROR(X513/H513,"0")+IFERROR(X514/H514,"0")+IFERROR(X515/H515,"0")</f>
        <v>39.015151515151516</v>
      </c>
      <c r="Y516" s="619">
        <f>IFERROR(Y509/H509,"0")+IFERROR(Y510/H510,"0")+IFERROR(Y511/H511,"0")+IFERROR(Y512/H512,"0")+IFERROR(Y513/H513,"0")+IFERROR(Y514/H514,"0")+IFERROR(Y515/H515,"0")</f>
        <v>40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0.47839999999999999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8" t="s">
        <v>69</v>
      </c>
      <c r="Q517" s="639"/>
      <c r="R517" s="639"/>
      <c r="S517" s="639"/>
      <c r="T517" s="639"/>
      <c r="U517" s="639"/>
      <c r="V517" s="640"/>
      <c r="W517" s="37" t="s">
        <v>67</v>
      </c>
      <c r="X517" s="619">
        <f>IFERROR(SUM(X509:X515),"0")</f>
        <v>206</v>
      </c>
      <c r="Y517" s="619">
        <f>IFERROR(SUM(Y509:Y515),"0")</f>
        <v>211.2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37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8" t="s">
        <v>69</v>
      </c>
      <c r="Q522" s="639"/>
      <c r="R522" s="639"/>
      <c r="S522" s="639"/>
      <c r="T522" s="639"/>
      <c r="U522" s="639"/>
      <c r="V522" s="640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8" t="s">
        <v>69</v>
      </c>
      <c r="Q523" s="639"/>
      <c r="R523" s="639"/>
      <c r="S523" s="639"/>
      <c r="T523" s="639"/>
      <c r="U523" s="639"/>
      <c r="V523" s="640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8" t="s">
        <v>69</v>
      </c>
      <c r="Q526" s="639"/>
      <c r="R526" s="639"/>
      <c r="S526" s="639"/>
      <c r="T526" s="639"/>
      <c r="U526" s="639"/>
      <c r="V526" s="640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8" t="s">
        <v>69</v>
      </c>
      <c r="Q527" s="639"/>
      <c r="R527" s="639"/>
      <c r="S527" s="639"/>
      <c r="T527" s="639"/>
      <c r="U527" s="639"/>
      <c r="V527" s="640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8" t="s">
        <v>69</v>
      </c>
      <c r="Q530" s="639"/>
      <c r="R530" s="639"/>
      <c r="S530" s="639"/>
      <c r="T530" s="639"/>
      <c r="U530" s="639"/>
      <c r="V530" s="640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8" t="s">
        <v>69</v>
      </c>
      <c r="Q531" s="639"/>
      <c r="R531" s="639"/>
      <c r="S531" s="639"/>
      <c r="T531" s="639"/>
      <c r="U531" s="639"/>
      <c r="V531" s="640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8" t="s">
        <v>69</v>
      </c>
      <c r="Q534" s="639"/>
      <c r="R534" s="639"/>
      <c r="S534" s="639"/>
      <c r="T534" s="639"/>
      <c r="U534" s="639"/>
      <c r="V534" s="640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8" t="s">
        <v>69</v>
      </c>
      <c r="Q535" s="639"/>
      <c r="R535" s="639"/>
      <c r="S535" s="639"/>
      <c r="T535" s="639"/>
      <c r="U535" s="639"/>
      <c r="V535" s="640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8" t="s">
        <v>69</v>
      </c>
      <c r="Q539" s="639"/>
      <c r="R539" s="639"/>
      <c r="S539" s="639"/>
      <c r="T539" s="639"/>
      <c r="U539" s="639"/>
      <c r="V539" s="640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8" t="s">
        <v>69</v>
      </c>
      <c r="Q540" s="639"/>
      <c r="R540" s="639"/>
      <c r="S540" s="639"/>
      <c r="T540" s="639"/>
      <c r="U540" s="639"/>
      <c r="V540" s="640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37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8" t="s">
        <v>69</v>
      </c>
      <c r="Q544" s="639"/>
      <c r="R544" s="639"/>
      <c r="S544" s="639"/>
      <c r="T544" s="639"/>
      <c r="U544" s="639"/>
      <c r="V544" s="640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8" t="s">
        <v>69</v>
      </c>
      <c r="Q545" s="639"/>
      <c r="R545" s="639"/>
      <c r="S545" s="639"/>
      <c r="T545" s="639"/>
      <c r="U545" s="639"/>
      <c r="V545" s="640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1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9486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9584.52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9921.2954600152952</v>
      </c>
      <c r="Y547" s="619">
        <f>IFERROR(SUM(BN22:BN543),"0")</f>
        <v>10024.932000000003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16</v>
      </c>
      <c r="Y548" s="38">
        <f>ROUNDUP(SUM(BP22:BP543),0)</f>
        <v>16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10321.295460015295</v>
      </c>
      <c r="Y549" s="619">
        <f>GrossWeightTotalR+PalletQtyTotalR*25</f>
        <v>10424.932000000003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1242.6737028403695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1258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17.569760000000002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17"/>
      <c r="F553" s="817"/>
      <c r="G553" s="817"/>
      <c r="H553" s="817"/>
      <c r="I553" s="817"/>
      <c r="J553" s="631"/>
      <c r="K553" s="630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5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0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226.8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46">
        <f>IFERROR(Y84*1,"0")+IFERROR(Y85*1,"0")+IFERROR(Y86*1,"0")+IFERROR(Y87*1,"0")+IFERROR(Y88*1,"0")+IFERROR(Y89*1,"0")+IFERROR(Y93*1,"0")+IFERROR(Y94*1,"0")+IFERROR(Y95*1,"0")+IFERROR(Y96*1,"0")</f>
        <v>388.79999999999995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372.59999999999997</v>
      </c>
      <c r="H556" s="46">
        <f>IFERROR(Y131*1,"0")+IFERROR(Y132*1,"0")+IFERROR(Y136*1,"0")+IFERROR(Y137*1,"0")+IFERROR(Y141*1,"0")+IFERROR(Y142*1,"0")</f>
        <v>51.760000000000005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227.64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481.8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544.20000000000005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0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335.4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341.6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5400</v>
      </c>
      <c r="X556" s="46">
        <f>IFERROR(Y449*1,"0")+IFERROR(Y450*1,"0")+IFERROR(Y454*1,"0")+IFERROR(Y458*1,"0")+IFERROR(Y459*1,"0")+IFERROR(Y460*1,"0")</f>
        <v>216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997.92000000000007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2,67"/>
        <filter val="1 531,00"/>
        <filter val="1 583,00"/>
        <filter val="1 648,00"/>
        <filter val="10 321,30"/>
        <filter val="102,07"/>
        <filter val="108,00"/>
        <filter val="136,00"/>
        <filter val="14,44"/>
        <filter val="140,00"/>
        <filter val="143,00"/>
        <filter val="145,65"/>
        <filter val="16"/>
        <filter val="166,00"/>
        <filter val="169,00"/>
        <filter val="187,00"/>
        <filter val="190,00"/>
        <filter val="191,00"/>
        <filter val="192,08"/>
        <filter val="20,46"/>
        <filter val="206,00"/>
        <filter val="208,00"/>
        <filter val="211,00"/>
        <filter val="22,00"/>
        <filter val="221,00"/>
        <filter val="225,00"/>
        <filter val="23,00"/>
        <filter val="23,44"/>
        <filter val="246,00"/>
        <filter val="248,00"/>
        <filter val="255,93"/>
        <filter val="26,00"/>
        <filter val="278,00"/>
        <filter val="292,00"/>
        <filter val="3 839,00"/>
        <filter val="30,00"/>
        <filter val="31,04"/>
        <filter val="32,00"/>
        <filter val="327,00"/>
        <filter val="367,00"/>
        <filter val="38,00"/>
        <filter val="387,00"/>
        <filter val="39,02"/>
        <filter val="41,92"/>
        <filter val="42,50"/>
        <filter val="45,31"/>
        <filter val="461,00"/>
        <filter val="47,78"/>
        <filter val="474,00"/>
        <filter val="500,00"/>
        <filter val="52,65"/>
        <filter val="608,00"/>
        <filter val="66,00"/>
        <filter val="7,00"/>
        <filter val="72,00"/>
        <filter val="76,05"/>
        <filter val="78,00"/>
        <filter val="8,33"/>
        <filter val="82,00"/>
        <filter val="85,00"/>
        <filter val="9 486,00"/>
        <filter val="9 921,30"/>
        <filter val="9,29"/>
        <filter val="94,7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O554:O555"/>
    <mergeCell ref="D249:E249"/>
    <mergeCell ref="P262:T262"/>
    <mergeCell ref="D105:E105"/>
    <mergeCell ref="D276:E276"/>
    <mergeCell ref="P433:T433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P149:T149"/>
    <mergeCell ref="P174:T174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305:E305"/>
    <mergeCell ref="D270:E270"/>
    <mergeCell ref="P420:T420"/>
    <mergeCell ref="A130:Z130"/>
    <mergeCell ref="D310:E310"/>
    <mergeCell ref="A245:O246"/>
    <mergeCell ref="R554:R555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226:E226"/>
    <mergeCell ref="P354:T354"/>
    <mergeCell ref="P523:V523"/>
    <mergeCell ref="A404:Z404"/>
    <mergeCell ref="A544:O545"/>
    <mergeCell ref="P364:T364"/>
    <mergeCell ref="P509:T509"/>
    <mergeCell ref="A546:O551"/>
    <mergeCell ref="P107:T107"/>
    <mergeCell ref="D150:E150"/>
    <mergeCell ref="P278:T278"/>
    <mergeCell ref="P63:V63"/>
    <mergeCell ref="P101:T101"/>
    <mergeCell ref="D215:E215"/>
    <mergeCell ref="D386:E386"/>
    <mergeCell ref="P194:V194"/>
    <mergeCell ref="A402:O403"/>
    <mergeCell ref="D513:E513"/>
    <mergeCell ref="D223:E223"/>
    <mergeCell ref="D279:E279"/>
    <mergeCell ref="D394:E394"/>
    <mergeCell ref="A434:O435"/>
    <mergeCell ref="D450:E450"/>
    <mergeCell ref="P121:T121"/>
    <mergeCell ref="A428:O429"/>
    <mergeCell ref="D521:E521"/>
    <mergeCell ref="P357:T357"/>
    <mergeCell ref="D216:E216"/>
    <mergeCell ref="D265:E265"/>
    <mergeCell ref="P195:V195"/>
    <mergeCell ref="AB554:AB555"/>
    <mergeCell ref="A518:Z518"/>
    <mergeCell ref="P176:T176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P470:T470"/>
    <mergeCell ref="A127:O128"/>
    <mergeCell ref="P301:T301"/>
    <mergeCell ref="A520:Z520"/>
    <mergeCell ref="P295:T295"/>
    <mergeCell ref="P178:T178"/>
    <mergeCell ref="P105:T105"/>
    <mergeCell ref="P276:T276"/>
    <mergeCell ref="D86:E86"/>
    <mergeCell ref="P214:T214"/>
    <mergeCell ref="P270:T270"/>
    <mergeCell ref="P341:T341"/>
    <mergeCell ref="A457:Z457"/>
    <mergeCell ref="G554:G555"/>
    <mergeCell ref="P48:T48"/>
    <mergeCell ref="I554:I555"/>
    <mergeCell ref="D292:E292"/>
    <mergeCell ref="P346:T346"/>
    <mergeCell ref="A476:O477"/>
    <mergeCell ref="D525:E525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D529:E529"/>
    <mergeCell ref="A336:O337"/>
    <mergeCell ref="P116:V116"/>
    <mergeCell ref="P32:V32"/>
    <mergeCell ref="Q13:R13"/>
    <mergeCell ref="P97:V97"/>
    <mergeCell ref="P539:V539"/>
    <mergeCell ref="H554:H555"/>
    <mergeCell ref="J554:J555"/>
    <mergeCell ref="D222:E222"/>
    <mergeCell ref="P476:V476"/>
    <mergeCell ref="G17:G18"/>
    <mergeCell ref="P333:T333"/>
    <mergeCell ref="P399:T399"/>
    <mergeCell ref="P242:V242"/>
    <mergeCell ref="D159:E159"/>
    <mergeCell ref="P42:V42"/>
    <mergeCell ref="D459:E459"/>
    <mergeCell ref="P59:T59"/>
    <mergeCell ref="P123:V123"/>
    <mergeCell ref="A532:Z532"/>
    <mergeCell ref="D136:E136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V6:W9"/>
    <mergeCell ref="D199:E199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22:T22"/>
    <mergeCell ref="D65:E65"/>
    <mergeCell ref="P193:T193"/>
    <mergeCell ref="P320:T320"/>
    <mergeCell ref="P40:T40"/>
    <mergeCell ref="P236:V236"/>
    <mergeCell ref="D368:E368"/>
    <mergeCell ref="P106:T106"/>
    <mergeCell ref="P177:T177"/>
    <mergeCell ref="P475:T475"/>
    <mergeCell ref="P93:T93"/>
    <mergeCell ref="P226:T226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A50:O51"/>
    <mergeCell ref="A158:Z158"/>
    <mergeCell ref="A351:Z351"/>
    <mergeCell ref="D273:E273"/>
    <mergeCell ref="S554:S555"/>
    <mergeCell ref="U554:U555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A338:Z338"/>
    <mergeCell ref="D374:E374"/>
    <mergeCell ref="P549:V549"/>
    <mergeCell ref="P232:T232"/>
    <mergeCell ref="P395:T395"/>
    <mergeCell ref="D438:E438"/>
    <mergeCell ref="D509:E509"/>
    <mergeCell ref="D425:E425"/>
    <mergeCell ref="D359:E359"/>
    <mergeCell ref="P327:T327"/>
    <mergeCell ref="P252:V252"/>
    <mergeCell ref="A464:Z464"/>
    <mergeCell ref="A489:Z489"/>
    <mergeCell ref="P512:T51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A390:O391"/>
    <mergeCell ref="D203:E203"/>
    <mergeCell ref="P152:V152"/>
    <mergeCell ref="A82:Z82"/>
    <mergeCell ref="K553:V553"/>
    <mergeCell ref="P307:V307"/>
    <mergeCell ref="P380:T380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530:O531"/>
    <mergeCell ref="A419:Z419"/>
    <mergeCell ref="P77:T77"/>
    <mergeCell ref="P204:T204"/>
    <mergeCell ref="P179:T179"/>
    <mergeCell ref="A198:Z198"/>
    <mergeCell ref="P375:T375"/>
    <mergeCell ref="P159:T159"/>
    <mergeCell ref="P26:T26"/>
    <mergeCell ref="P461:V461"/>
    <mergeCell ref="A143:O144"/>
    <mergeCell ref="P511:T511"/>
    <mergeCell ref="P507:V507"/>
    <mergeCell ref="A92:Z92"/>
    <mergeCell ref="A506:O507"/>
    <mergeCell ref="P534:V534"/>
    <mergeCell ref="P227:V227"/>
    <mergeCell ref="D36:E36"/>
    <mergeCell ref="P96:T96"/>
    <mergeCell ref="A80:O81"/>
    <mergeCell ref="D39:E39"/>
    <mergeCell ref="P525:T525"/>
    <mergeCell ref="D449:E449"/>
    <mergeCell ref="P49:T49"/>
    <mergeCell ref="P428:V428"/>
    <mergeCell ref="P36:T36"/>
    <mergeCell ref="P50:V50"/>
    <mergeCell ref="D29:E29"/>
    <mergeCell ref="Q10:R10"/>
    <mergeCell ref="A442:Z442"/>
    <mergeCell ref="D185:E185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P387:T387"/>
    <mergeCell ref="P124:V124"/>
    <mergeCell ref="P360:V360"/>
    <mergeCell ref="D422:E422"/>
    <mergeCell ref="P80:V80"/>
    <mergeCell ref="P87:T87"/>
    <mergeCell ref="P151:V151"/>
    <mergeCell ref="D68:E68"/>
    <mergeCell ref="D201:E201"/>
    <mergeCell ref="D335:E335"/>
    <mergeCell ref="A440:O441"/>
    <mergeCell ref="T5:U5"/>
    <mergeCell ref="D119:E119"/>
    <mergeCell ref="V5:W5"/>
    <mergeCell ref="P203:T203"/>
    <mergeCell ref="D46:E46"/>
    <mergeCell ref="P374:T374"/>
    <mergeCell ref="A490:Z490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P310:T310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272:T272"/>
    <mergeCell ref="P210:T210"/>
    <mergeCell ref="D327:E327"/>
    <mergeCell ref="A267:O268"/>
    <mergeCell ref="D106:E106"/>
    <mergeCell ref="A41:O42"/>
    <mergeCell ref="P185:T185"/>
    <mergeCell ref="P427:T427"/>
    <mergeCell ref="D93:E93"/>
    <mergeCell ref="D264:E264"/>
    <mergeCell ref="A133:O134"/>
    <mergeCell ref="D220:E220"/>
    <mergeCell ref="P277:T277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P132:T132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A6:C6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P167:T167"/>
    <mergeCell ref="P336:V336"/>
    <mergeCell ref="P55:T55"/>
    <mergeCell ref="D115:E115"/>
    <mergeCell ref="Q12:R12"/>
    <mergeCell ref="P280:T280"/>
    <mergeCell ref="D261:E261"/>
    <mergeCell ref="D388:E388"/>
    <mergeCell ref="P119:T119"/>
    <mergeCell ref="P62:V62"/>
    <mergeCell ref="P133:V133"/>
    <mergeCell ref="A328:O329"/>
    <mergeCell ref="P127:V127"/>
    <mergeCell ref="P298:V298"/>
    <mergeCell ref="D339:E339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2026-10-14T10:21:05Z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