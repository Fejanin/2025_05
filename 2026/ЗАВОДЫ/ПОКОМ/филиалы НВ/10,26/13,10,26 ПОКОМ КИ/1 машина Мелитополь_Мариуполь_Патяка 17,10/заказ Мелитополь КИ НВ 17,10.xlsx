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86C6759-70AE-4AFC-AABC-F4B2D85A85A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Z377" i="1" s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Z90" i="1" s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Z428" i="1" s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500" i="1" l="1"/>
  <c r="Z151" i="1"/>
  <c r="Z123" i="1"/>
  <c r="Z116" i="1"/>
  <c r="Z69" i="1"/>
  <c r="Y548" i="1"/>
  <c r="Z31" i="1"/>
  <c r="Z487" i="1"/>
  <c r="Z461" i="1"/>
  <c r="Z370" i="1"/>
  <c r="Z267" i="1"/>
  <c r="Z241" i="1"/>
  <c r="Z235" i="1"/>
  <c r="Z227" i="1"/>
  <c r="Z133" i="1"/>
  <c r="Z108" i="1"/>
  <c r="Z97" i="1"/>
  <c r="Z80" i="1"/>
  <c r="Z50" i="1"/>
  <c r="Z41" i="1"/>
  <c r="Y547" i="1"/>
  <c r="X549" i="1"/>
  <c r="Z251" i="1"/>
  <c r="Y550" i="1"/>
  <c r="Z390" i="1"/>
  <c r="Z181" i="1"/>
  <c r="Z434" i="1"/>
  <c r="Z298" i="1"/>
  <c r="Z282" i="1"/>
  <c r="Z336" i="1"/>
  <c r="Z62" i="1"/>
  <c r="Z472" i="1"/>
  <c r="Z206" i="1"/>
  <c r="Z516" i="1"/>
  <c r="Y546" i="1"/>
  <c r="Z415" i="1"/>
  <c r="Z551" i="1" l="1"/>
  <c r="Y549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<sst xmlns="http://schemas.openxmlformats.org/spreadsheetml/2006/main" count="2462" uniqueCount="893">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</sst>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440" zoomScaleNormal="100" zoomScaleSheetLayoutView="100" workbookViewId="0">
      <selection activeCell="AA552" sqref="AA552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1</v>
      </c>
      <c r="Y28" s="618">
        <f>IFERROR(IF(X28="",0,CEILING((X28/$H28),1)*$H28),"")</f>
        <v>1.8</v>
      </c>
      <c r="Z28" s="36">
        <f>IFERROR(IF(Y28=0,"",ROUNDUP(Y28/H28,0)*0.00651),"")</f>
        <v>6.5100000000000002E-3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1.7666666666666666</v>
      </c>
      <c r="BN28" s="64">
        <f>IFERROR(Y28*I28/H28,"0")</f>
        <v>3.18</v>
      </c>
      <c r="BO28" s="64">
        <f>IFERROR(1/J28*(X28/H28),"0")</f>
        <v>3.0525030525030529E-3</v>
      </c>
      <c r="BP28" s="64">
        <f>IFERROR(1/J28*(Y28/H28),"0")</f>
        <v>5.4945054945054949E-3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0.55555555555555558</v>
      </c>
      <c r="Y31" s="619">
        <f>IFERROR(Y26/H26,"0")+IFERROR(Y27/H27,"0")+IFERROR(Y28/H28,"0")+IFERROR(Y29/H29,"0")+IFERROR(Y30/H30,"0")</f>
        <v>1</v>
      </c>
      <c r="Z31" s="619">
        <f>IFERROR(IF(Z26="",0,Z26),"0")+IFERROR(IF(Z27="",0,Z27),"0")+IFERROR(IF(Z28="",0,Z28),"0")+IFERROR(IF(Z29="",0,Z29),"0")+IFERROR(IF(Z30="",0,Z30),"0")</f>
        <v>6.5100000000000002E-3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1</v>
      </c>
      <c r="Y32" s="619">
        <f>IFERROR(SUM(Y26:Y30),"0")</f>
        <v>1.8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123</v>
      </c>
      <c r="Y46" s="618">
        <f>IFERROR(IF(X46="",0,CEILING((X46/$H46),1)*$H46),"")</f>
        <v>129.60000000000002</v>
      </c>
      <c r="Z46" s="36">
        <f>IFERROR(IF(Y46=0,"",ROUNDUP(Y46/H46,0)*0.01898),"")</f>
        <v>0.22776000000000002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127.66944444444445</v>
      </c>
      <c r="BN46" s="64">
        <f>IFERROR(Y46*I46/H46,"0")</f>
        <v>134.52000000000001</v>
      </c>
      <c r="BO46" s="64">
        <f>IFERROR(1/J46*(X46/H46),"0")</f>
        <v>0.17795138888888887</v>
      </c>
      <c r="BP46" s="64">
        <f>IFERROR(1/J46*(Y46/H46),"0")</f>
        <v>0.18750000000000003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11.388888888888888</v>
      </c>
      <c r="Y50" s="619">
        <f>IFERROR(Y46/H46,"0")+IFERROR(Y47/H47,"0")+IFERROR(Y48/H48,"0")+IFERROR(Y49/H49,"0")</f>
        <v>12.000000000000002</v>
      </c>
      <c r="Z50" s="619">
        <f>IFERROR(IF(Z46="",0,Z46),"0")+IFERROR(IF(Z47="",0,Z47),"0")+IFERROR(IF(Z48="",0,Z48),"0")+IFERROR(IF(Z49="",0,Z49),"0")</f>
        <v>0.22776000000000002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123</v>
      </c>
      <c r="Y51" s="619">
        <f>IFERROR(SUM(Y46:Y49),"0")</f>
        <v>129.60000000000002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0</v>
      </c>
      <c r="Y62" s="619">
        <f>IFERROR(Y54/H54,"0")+IFERROR(Y55/H55,"0")+IFERROR(Y56/H56,"0")+IFERROR(Y57/H57,"0")+IFERROR(Y58/H58,"0")+IFERROR(Y59/H59,"0")+IFERROR(Y60/H60,"0")+IFERROR(Y61/H61,"0")</f>
        <v>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20"/>
      <c r="AB62" s="620"/>
      <c r="AC62" s="620"/>
    </row>
    <row r="63" spans="1:68" hidden="1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0</v>
      </c>
      <c r="Y63" s="619">
        <f>IFERROR(SUM(Y54:Y61),"0")</f>
        <v>0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4</v>
      </c>
      <c r="Y65" s="618">
        <f>IFERROR(IF(X65="",0,CEILING((X65/$H65),1)*$H65),"")</f>
        <v>10.8</v>
      </c>
      <c r="Z65" s="36">
        <f>IFERROR(IF(Y65=0,"",ROUNDUP(Y65/H65,0)*0.01898),"")</f>
        <v>1.898E-2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4.1518518518518519</v>
      </c>
      <c r="BN65" s="64">
        <f>IFERROR(Y65*I65/H65,"0")</f>
        <v>11.21</v>
      </c>
      <c r="BO65" s="64">
        <f>IFERROR(1/J65*(X65/H65),"0")</f>
        <v>5.7870370370370367E-3</v>
      </c>
      <c r="BP65" s="64">
        <f>IFERROR(1/J65*(Y65/H65),"0")</f>
        <v>1.5625E-2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0.37037037037037035</v>
      </c>
      <c r="Y69" s="619">
        <f>IFERROR(Y65/H65,"0")+IFERROR(Y66/H66,"0")+IFERROR(Y67/H67,"0")+IFERROR(Y68/H68,"0")</f>
        <v>1</v>
      </c>
      <c r="Z69" s="619">
        <f>IFERROR(IF(Z65="",0,Z65),"0")+IFERROR(IF(Z66="",0,Z66),"0")+IFERROR(IF(Z67="",0,Z67),"0")+IFERROR(IF(Z68="",0,Z68),"0")</f>
        <v>1.898E-2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4</v>
      </c>
      <c r="Y70" s="619">
        <f>IFERROR(SUM(Y65:Y68),"0")</f>
        <v>10.8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216</v>
      </c>
      <c r="Y93" s="618">
        <f>IFERROR(IF(X93="",0,CEILING((X93/$H93),1)*$H93),"")</f>
        <v>218.7</v>
      </c>
      <c r="Z93" s="36">
        <f>IFERROR(IF(Y93=0,"",ROUNDUP(Y93/H93,0)*0.01898),"")</f>
        <v>0.51246000000000003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229.17333333333332</v>
      </c>
      <c r="BN93" s="64">
        <f>IFERROR(Y93*I93/H93,"0")</f>
        <v>232.03799999999998</v>
      </c>
      <c r="BO93" s="64">
        <f>IFERROR(1/J93*(X93/H93),"0")</f>
        <v>0.41666666666666669</v>
      </c>
      <c r="BP93" s="64">
        <f>IFERROR(1/J93*(Y93/H93),"0")</f>
        <v>0.421875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26.666666666666668</v>
      </c>
      <c r="Y97" s="619">
        <f>IFERROR(Y93/H93,"0")+IFERROR(Y94/H94,"0")+IFERROR(Y95/H95,"0")+IFERROR(Y96/H96,"0")</f>
        <v>27</v>
      </c>
      <c r="Z97" s="619">
        <f>IFERROR(IF(Z93="",0,Z93),"0")+IFERROR(IF(Z94="",0,Z94),"0")+IFERROR(IF(Z95="",0,Z95),"0")+IFERROR(IF(Z96="",0,Z96),"0")</f>
        <v>0.51246000000000003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216</v>
      </c>
      <c r="Y98" s="619">
        <f>IFERROR(SUM(Y93:Y96),"0")</f>
        <v>218.7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24</v>
      </c>
      <c r="Y115" s="618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10</v>
      </c>
      <c r="Y116" s="619">
        <f>IFERROR(Y111/H111,"0")+IFERROR(Y112/H112,"0")+IFERROR(Y113/H113,"0")+IFERROR(Y114/H114,"0")+IFERROR(Y115/H115,"0")</f>
        <v>10</v>
      </c>
      <c r="Z116" s="619">
        <f>IFERROR(IF(Z111="",0,Z111),"0")+IFERROR(IF(Z112="",0,Z112),"0")+IFERROR(IF(Z113="",0,Z113),"0")+IFERROR(IF(Z114="",0,Z114),"0")+IFERROR(IF(Z115="",0,Z115),"0")</f>
        <v>6.5100000000000005E-2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24</v>
      </c>
      <c r="Y117" s="619">
        <f>IFERROR(SUM(Y111:Y115),"0")</f>
        <v>24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204</v>
      </c>
      <c r="Y119" s="618">
        <f>IFERROR(IF(X119="",0,CEILING((X119/$H119),1)*$H119),"")</f>
        <v>210.6</v>
      </c>
      <c r="Z119" s="36">
        <f>IFERROR(IF(Y119=0,"",ROUNDUP(Y119/H119,0)*0.01898),"")</f>
        <v>0.49348000000000003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216.29037037037034</v>
      </c>
      <c r="BN119" s="64">
        <f>IFERROR(Y119*I119/H119,"0")</f>
        <v>223.28799999999998</v>
      </c>
      <c r="BO119" s="64">
        <f>IFERROR(1/J119*(X119/H119),"0")</f>
        <v>0.39351851851851855</v>
      </c>
      <c r="BP119" s="64">
        <f>IFERROR(1/J119*(Y119/H119),"0")</f>
        <v>0.40625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25.185185185185187</v>
      </c>
      <c r="Y123" s="619">
        <f>IFERROR(Y119/H119,"0")+IFERROR(Y120/H120,"0")+IFERROR(Y121/H121,"0")+IFERROR(Y122/H122,"0")</f>
        <v>26</v>
      </c>
      <c r="Z123" s="619">
        <f>IFERROR(IF(Z119="",0,Z119),"0")+IFERROR(IF(Z120="",0,Z120),"0")+IFERROR(IF(Z121="",0,Z121),"0")+IFERROR(IF(Z122="",0,Z122),"0")</f>
        <v>0.49348000000000003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204</v>
      </c>
      <c r="Y124" s="619">
        <f>IFERROR(SUM(Y119:Y122),"0")</f>
        <v>210.6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21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22.181249999999999</v>
      </c>
      <c r="BN131" s="64">
        <f>IFERROR(Y131*I131/H131,"0")</f>
        <v>23.66</v>
      </c>
      <c r="BO131" s="64">
        <f>IFERROR(1/J131*(X131/H131),"0")</f>
        <v>3.6057692307692311E-2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6.5625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21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14</v>
      </c>
      <c r="Y136" s="618">
        <f>IFERROR(IF(X136="",0,CEILING((X136/$H136),1)*$H136),"")</f>
        <v>14</v>
      </c>
      <c r="Z136" s="36">
        <f>IFERROR(IF(Y136=0,"",ROUNDUP(Y136/H136,0)*0.00651),"")</f>
        <v>3.2550000000000003E-2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15.34</v>
      </c>
      <c r="BN136" s="64">
        <f>IFERROR(Y136*I136/H136,"0")</f>
        <v>15.34</v>
      </c>
      <c r="BO136" s="64">
        <f>IFERROR(1/J136*(X136/H136),"0")</f>
        <v>2.7472527472527476E-2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5</v>
      </c>
      <c r="Y138" s="619">
        <f>IFERROR(Y136/H136,"0")+IFERROR(Y137/H137,"0")</f>
        <v>5</v>
      </c>
      <c r="Z138" s="619">
        <f>IFERROR(IF(Z136="",0,Z136),"0")+IFERROR(IF(Z137="",0,Z137),"0")</f>
        <v>3.2550000000000003E-2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14</v>
      </c>
      <c r="Y139" s="619">
        <f>IFERROR(SUM(Y136:Y137),"0")</f>
        <v>14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12</v>
      </c>
      <c r="Y141" s="618">
        <f>IFERROR(IF(X141="",0,CEILING((X141/$H141),1)*$H141),"")</f>
        <v>13.200000000000001</v>
      </c>
      <c r="Z141" s="36">
        <f>IFERROR(IF(Y141=0,"",ROUNDUP(Y141/H141,0)*0.00651),"")</f>
        <v>3.2550000000000003E-2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13.218181818181819</v>
      </c>
      <c r="BN141" s="64">
        <f>IFERROR(Y141*I141/H141,"0")</f>
        <v>14.540000000000001</v>
      </c>
      <c r="BO141" s="64">
        <f>IFERROR(1/J141*(X141/H141),"0")</f>
        <v>2.4975024975024976E-2</v>
      </c>
      <c r="BP141" s="64">
        <f>IFERROR(1/J141*(Y141/H141),"0")</f>
        <v>2.7472527472527476E-2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4.545454545454545</v>
      </c>
      <c r="Y143" s="619">
        <f>IFERROR(Y141/H141,"0")+IFERROR(Y142/H142,"0")</f>
        <v>5</v>
      </c>
      <c r="Z143" s="619">
        <f>IFERROR(IF(Z141="",0,Z141),"0")+IFERROR(IF(Z142="",0,Z142),"0")</f>
        <v>3.2550000000000003E-2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12</v>
      </c>
      <c r="Y144" s="619">
        <f>IFERROR(SUM(Y141:Y142),"0")</f>
        <v>13.200000000000001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104</v>
      </c>
      <c r="Y174" s="618">
        <f t="shared" si="15"/>
        <v>105</v>
      </c>
      <c r="Z174" s="36">
        <f>IFERROR(IF(Y174=0,"",ROUNDUP(Y174/H174,0)*0.00902),"")</f>
        <v>0.27060000000000001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109.64571428571428</v>
      </c>
      <c r="BN174" s="64">
        <f t="shared" si="17"/>
        <v>110.7</v>
      </c>
      <c r="BO174" s="64">
        <f t="shared" si="18"/>
        <v>0.22510822510822512</v>
      </c>
      <c r="BP174" s="64">
        <f t="shared" si="19"/>
        <v>0.22727272727272729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21</v>
      </c>
      <c r="Y176" s="618">
        <f t="shared" si="15"/>
        <v>21.84</v>
      </c>
      <c r="Z176" s="36">
        <f>IFERROR(IF(Y176=0,"",ROUNDUP(Y176/H176,0)*0.00502),"")</f>
        <v>6.5259999999999999E-2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22.250000000000004</v>
      </c>
      <c r="BN176" s="64">
        <f t="shared" si="17"/>
        <v>23.14</v>
      </c>
      <c r="BO176" s="64">
        <f t="shared" si="18"/>
        <v>5.3418803418803423E-2</v>
      </c>
      <c r="BP176" s="64">
        <f t="shared" si="19"/>
        <v>5.5555555555555559E-2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42.214285714285715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43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0.33585999999999999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125</v>
      </c>
      <c r="Y182" s="619">
        <f>IFERROR(SUM(Y171:Y180),"0")</f>
        <v>126.84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94</v>
      </c>
      <c r="Y214" s="618">
        <f t="shared" ref="Y214:Y226" si="26">IFERROR(IF(X214="",0,CEILING((X214/$H214),1)*$H214),"")</f>
        <v>96.600000000000009</v>
      </c>
      <c r="Z214" s="36">
        <f>IFERROR(IF(Y214=0,"",ROUNDUP(Y214/H214,0)*0.00902),"")</f>
        <v>0.20746000000000001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99.595238095238088</v>
      </c>
      <c r="BN214" s="64">
        <f t="shared" ref="BN214:BN226" si="28">IFERROR(Y214*I214/H214,"0")</f>
        <v>102.35000000000001</v>
      </c>
      <c r="BO214" s="64">
        <f t="shared" ref="BO214:BO226" si="29">IFERROR(1/J214*(X214/H214),"0")</f>
        <v>0.16955266955266954</v>
      </c>
      <c r="BP214" s="64">
        <f t="shared" ref="BP214:BP226" si="30">IFERROR(1/J214*(Y214/H214),"0")</f>
        <v>0.17424242424242425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106</v>
      </c>
      <c r="Y216" s="618">
        <f t="shared" si="26"/>
        <v>109.2</v>
      </c>
      <c r="Z216" s="36">
        <f>IFERROR(IF(Y216=0,"",ROUNDUP(Y216/H216,0)*0.00902),"")</f>
        <v>0.23452000000000001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110.79523809523809</v>
      </c>
      <c r="BN216" s="64">
        <f t="shared" si="28"/>
        <v>114.13999999999999</v>
      </c>
      <c r="BO216" s="64">
        <f t="shared" si="29"/>
        <v>0.1911976911976912</v>
      </c>
      <c r="BP216" s="64">
        <f t="shared" si="30"/>
        <v>0.19696969696969696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60</v>
      </c>
      <c r="Y224" s="618">
        <f t="shared" si="26"/>
        <v>60.900000000000006</v>
      </c>
      <c r="Z224" s="36">
        <f>IFERROR(IF(Y224=0,"",ROUNDUP(Y224/H224,0)*0.00502),"")</f>
        <v>0.14558000000000001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62.857142857142854</v>
      </c>
      <c r="BN224" s="64">
        <f t="shared" si="28"/>
        <v>63.800000000000004</v>
      </c>
      <c r="BO224" s="64">
        <f t="shared" si="29"/>
        <v>0.12210012210012211</v>
      </c>
      <c r="BP224" s="64">
        <f t="shared" si="30"/>
        <v>0.12393162393162395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81.19047619047619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83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0.61536000000000002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264</v>
      </c>
      <c r="Y228" s="619">
        <f>IFERROR(SUM(Y214:Y226),"0")</f>
        <v>270.70000000000005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3</v>
      </c>
      <c r="Y239" s="618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1</v>
      </c>
      <c r="Y240" s="618">
        <f>IFERROR(IF(X240="",0,CEILING((X240/$H240),1)*$H240),"")</f>
        <v>1.26</v>
      </c>
      <c r="Z240" s="36">
        <f>IFERROR(IF(Y240=0,"",ROUNDUP(Y240/H240,0)*0.0059),"")</f>
        <v>5.8999999999999999E-3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1.1507936507936507</v>
      </c>
      <c r="BN240" s="64">
        <f>IFERROR(Y240*I240/H240,"0")</f>
        <v>1.45</v>
      </c>
      <c r="BO240" s="64">
        <f>IFERROR(1/J240*(X240/H240),"0")</f>
        <v>3.6743092298647849E-3</v>
      </c>
      <c r="BP240" s="64">
        <f>IFERROR(1/J240*(Y240/H240),"0")</f>
        <v>4.6296296296296294E-3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43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44.512962962962959</v>
      </c>
      <c r="BN262" s="64">
        <f t="shared" si="33"/>
        <v>44.72</v>
      </c>
      <c r="BO262" s="64">
        <f t="shared" si="34"/>
        <v>6.0325476992143662E-2</v>
      </c>
      <c r="BP262" s="64">
        <f t="shared" si="35"/>
        <v>6.0606060606060608E-2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15.37037037037037</v>
      </c>
      <c r="Y267" s="619">
        <f>IFERROR(Y259/H259,"0")+IFERROR(Y260/H260,"0")+IFERROR(Y261/H261,"0")+IFERROR(Y262/H262,"0")+IFERROR(Y263/H263,"0")+IFERROR(Y264/H264,"0")+IFERROR(Y265/H265,"0")+IFERROR(Y266/H266,"0")</f>
        <v>16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0.14432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83</v>
      </c>
      <c r="Y268" s="619">
        <f>IFERROR(SUM(Y259:Y266),"0")</f>
        <v>86.4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137</v>
      </c>
      <c r="Y276" s="618">
        <f t="shared" si="36"/>
        <v>139.19999999999999</v>
      </c>
      <c r="Z276" s="36">
        <f>IFERROR(IF(Y276=0,"",ROUNDUP(Y276/H276,0)*0.00651),"")</f>
        <v>0.37758000000000003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151.38500000000002</v>
      </c>
      <c r="BN276" s="64">
        <f t="shared" si="38"/>
        <v>153.816</v>
      </c>
      <c r="BO276" s="64">
        <f t="shared" si="39"/>
        <v>0.3136446886446887</v>
      </c>
      <c r="BP276" s="64">
        <f t="shared" si="40"/>
        <v>0.31868131868131871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80</v>
      </c>
      <c r="Y278" s="618">
        <f t="shared" si="36"/>
        <v>81.599999999999994</v>
      </c>
      <c r="Z278" s="36">
        <f>IFERROR(IF(Y278=0,"",ROUNDUP(Y278/H278,0)*0.00651),"")</f>
        <v>0.22134000000000001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88.40000000000002</v>
      </c>
      <c r="BN278" s="64">
        <f t="shared" si="38"/>
        <v>90.168000000000006</v>
      </c>
      <c r="BO278" s="64">
        <f t="shared" si="39"/>
        <v>0.18315018315018317</v>
      </c>
      <c r="BP278" s="64">
        <f t="shared" si="40"/>
        <v>0.18681318681318682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107.08333333333334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109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0.70959000000000005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257</v>
      </c>
      <c r="Y283" s="619">
        <f>IFERROR(SUM(Y270:Y281),"0")</f>
        <v>261.59999999999997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76</v>
      </c>
      <c r="Y346" s="618">
        <f>IFERROR(IF(X346="",0,CEILING((X346/$H346),1)*$H346),"")</f>
        <v>78</v>
      </c>
      <c r="Z346" s="36">
        <f>IFERROR(IF(Y346=0,"",ROUNDUP(Y346/H346,0)*0.01898),"")</f>
        <v>0.1898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79.994871794871798</v>
      </c>
      <c r="BN346" s="64">
        <f>IFERROR(Y346*I346/H346,"0")</f>
        <v>82.100000000000023</v>
      </c>
      <c r="BO346" s="64">
        <f>IFERROR(1/J346*(X346/H346),"0")</f>
        <v>0.15224358974358976</v>
      </c>
      <c r="BP346" s="64">
        <f>IFERROR(1/J346*(Y346/H346),"0")</f>
        <v>0.15625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107</v>
      </c>
      <c r="Y347" s="618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112.624358974359</v>
      </c>
      <c r="BN347" s="64">
        <f>IFERROR(Y347*I347/H347,"0")</f>
        <v>114.94000000000003</v>
      </c>
      <c r="BO347" s="64">
        <f>IFERROR(1/J347*(X347/H347),"0")</f>
        <v>0.21434294871794873</v>
      </c>
      <c r="BP347" s="64">
        <f>IFERROR(1/J347*(Y347/H347),"0")</f>
        <v>0.21875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23.461538461538463</v>
      </c>
      <c r="Y349" s="619">
        <f>IFERROR(Y346/H346,"0")+IFERROR(Y347/H347,"0")+IFERROR(Y348/H348,"0")</f>
        <v>24</v>
      </c>
      <c r="Z349" s="619">
        <f>IFERROR(IF(Z346="",0,Z346),"0")+IFERROR(IF(Z347="",0,Z347),"0")+IFERROR(IF(Z348="",0,Z348),"0")</f>
        <v>0.45552000000000004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183</v>
      </c>
      <c r="Y350" s="619">
        <f>IFERROR(SUM(Y346:Y348),"0")</f>
        <v>187.2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46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48.705238095238094</v>
      </c>
      <c r="BN380" s="64">
        <f>IFERROR(Y380*I380/H380,"0")</f>
        <v>53.364000000000004</v>
      </c>
      <c r="BO380" s="64">
        <f>IFERROR(1/J380*(X380/H380),"0")</f>
        <v>8.5565476190476192E-2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92</v>
      </c>
      <c r="Y381" s="618">
        <f>IFERROR(IF(X381="",0,CEILING((X381/$H381),1)*$H381),"")</f>
        <v>93.6</v>
      </c>
      <c r="Z381" s="36">
        <f>IFERROR(IF(Y381=0,"",ROUNDUP(Y381/H381,0)*0.01898),"")</f>
        <v>0.22776000000000002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97.826666666666668</v>
      </c>
      <c r="BN381" s="64">
        <f>IFERROR(Y381*I381/H381,"0")</f>
        <v>99.528000000000006</v>
      </c>
      <c r="BO381" s="64">
        <f>IFERROR(1/J381*(X381/H381),"0")</f>
        <v>0.18429487179487181</v>
      </c>
      <c r="BP381" s="64">
        <f>IFERROR(1/J381*(Y381/H381),"0")</f>
        <v>0.1875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17.27106227106227</v>
      </c>
      <c r="Y383" s="619">
        <f>IFERROR(Y380/H380,"0")+IFERROR(Y381/H381,"0")+IFERROR(Y382/H382,"0")</f>
        <v>18</v>
      </c>
      <c r="Z383" s="619">
        <f>IFERROR(IF(Z380="",0,Z380),"0")+IFERROR(IF(Z381="",0,Z381),"0")+IFERROR(IF(Z382="",0,Z382),"0")</f>
        <v>0.34164000000000005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138</v>
      </c>
      <c r="Y384" s="619">
        <f>IFERROR(SUM(Y380:Y382),"0")</f>
        <v>144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13</v>
      </c>
      <c r="Y393" s="618">
        <f>IFERROR(IF(X393="",0,CEILING((X393/$H393),1)*$H393),"")</f>
        <v>14</v>
      </c>
      <c r="Z393" s="36">
        <f>IFERROR(IF(Y393=0,"",ROUNDUP(Y393/H393,0)*0.00474),"")</f>
        <v>3.3180000000000001E-2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14.560000000000002</v>
      </c>
      <c r="BN393" s="64">
        <f>IFERROR(Y393*I393/H393,"0")</f>
        <v>15.680000000000001</v>
      </c>
      <c r="BO393" s="64">
        <f>IFERROR(1/J393*(X393/H393),"0")</f>
        <v>2.7310924369747899E-2</v>
      </c>
      <c r="BP393" s="64">
        <f>IFERROR(1/J393*(Y393/H393),"0")</f>
        <v>2.9411764705882353E-2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17</v>
      </c>
      <c r="Y394" s="618">
        <f>IFERROR(IF(X394="",0,CEILING((X394/$H394),1)*$H394),"")</f>
        <v>18</v>
      </c>
      <c r="Z394" s="36">
        <f>IFERROR(IF(Y394=0,"",ROUNDUP(Y394/H394,0)*0.00474),"")</f>
        <v>4.2660000000000003E-2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19.040000000000003</v>
      </c>
      <c r="BN394" s="64">
        <f>IFERROR(Y394*I394/H394,"0")</f>
        <v>20.160000000000004</v>
      </c>
      <c r="BO394" s="64">
        <f>IFERROR(1/J394*(X394/H394),"0")</f>
        <v>3.5714285714285712E-2</v>
      </c>
      <c r="BP394" s="64">
        <f>IFERROR(1/J394*(Y394/H394),"0")</f>
        <v>3.7815126050420166E-2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24</v>
      </c>
      <c r="Y396" s="619">
        <f>IFERROR(Y393/H393,"0")+IFERROR(Y394/H394,"0")+IFERROR(Y395/H395,"0")</f>
        <v>25</v>
      </c>
      <c r="Z396" s="619">
        <f>IFERROR(IF(Z393="",0,Z393),"0")+IFERROR(IF(Z394="",0,Z394),"0")+IFERROR(IF(Z395="",0,Z395),"0")</f>
        <v>0.11850000000000001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48</v>
      </c>
      <c r="Y397" s="619">
        <f>IFERROR(SUM(Y393:Y395),"0")</f>
        <v>50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919</v>
      </c>
      <c r="Y421" s="618">
        <f t="shared" si="61"/>
        <v>930</v>
      </c>
      <c r="Z421" s="36">
        <f>IFERROR(IF(Y421=0,"",ROUNDUP(Y421/H421,0)*0.02175),"")</f>
        <v>1.3484999999999998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947.79533333333336</v>
      </c>
      <c r="BN421" s="64">
        <f t="shared" si="63"/>
        <v>959.14</v>
      </c>
      <c r="BO421" s="64">
        <f t="shared" si="64"/>
        <v>1.2763888888888888</v>
      </c>
      <c r="BP421" s="64">
        <f t="shared" si="65"/>
        <v>1.2916666666666665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883</v>
      </c>
      <c r="Y422" s="618">
        <f t="shared" si="61"/>
        <v>885</v>
      </c>
      <c r="Z422" s="36">
        <f>IFERROR(IF(Y422=0,"",ROUNDUP(Y422/H422,0)*0.02175),"")</f>
        <v>1.28325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910.66733333333332</v>
      </c>
      <c r="BN422" s="64">
        <f t="shared" si="63"/>
        <v>912.73</v>
      </c>
      <c r="BO422" s="64">
        <f t="shared" si="64"/>
        <v>1.2263888888888888</v>
      </c>
      <c r="BP422" s="64">
        <f t="shared" si="65"/>
        <v>1.2291666666666665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339</v>
      </c>
      <c r="Y424" s="618">
        <f t="shared" si="61"/>
        <v>345</v>
      </c>
      <c r="Z424" s="36">
        <f>IFERROR(IF(Y424=0,"",ROUNDUP(Y424/H424,0)*0.02175),"")</f>
        <v>0.50024999999999997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349.62200000000001</v>
      </c>
      <c r="BN424" s="64">
        <f t="shared" si="63"/>
        <v>355.81000000000006</v>
      </c>
      <c r="BO424" s="64">
        <f t="shared" si="64"/>
        <v>0.47083333333333333</v>
      </c>
      <c r="BP424" s="64">
        <f t="shared" si="65"/>
        <v>0.47916666666666663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142.73333333333332</v>
      </c>
      <c r="Y428" s="619">
        <f>IFERROR(Y420/H420,"0")+IFERROR(Y421/H421,"0")+IFERROR(Y422/H422,"0")+IFERROR(Y423/H423,"0")+IFERROR(Y424/H424,"0")+IFERROR(Y425/H425,"0")+IFERROR(Y426/H426,"0")+IFERROR(Y427/H427,"0")</f>
        <v>144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3.1319999999999997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2141</v>
      </c>
      <c r="Y429" s="619">
        <f>IFERROR(SUM(Y420:Y427),"0")</f>
        <v>2160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954</v>
      </c>
      <c r="Y431" s="618">
        <f>IFERROR(IF(X431="",0,CEILING((X431/$H431),1)*$H431),"")</f>
        <v>960</v>
      </c>
      <c r="Z431" s="36">
        <f>IFERROR(IF(Y431=0,"",ROUNDUP(Y431/H431,0)*0.02175),"")</f>
        <v>1.3919999999999999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983.89200000000005</v>
      </c>
      <c r="BN431" s="64">
        <f>IFERROR(Y431*I431/H431,"0")</f>
        <v>990.08</v>
      </c>
      <c r="BO431" s="64">
        <f>IFERROR(1/J431*(X431/H431),"0")</f>
        <v>1.325</v>
      </c>
      <c r="BP431" s="64">
        <f>IFERROR(1/J431*(Y431/H431),"0")</f>
        <v>1.3333333333333333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63.6</v>
      </c>
      <c r="Y434" s="619">
        <f>IFERROR(Y431/H431,"0")+IFERROR(Y432/H432,"0")+IFERROR(Y433/H433,"0")</f>
        <v>64</v>
      </c>
      <c r="Z434" s="619">
        <f>IFERROR(IF(Z431="",0,Z431),"0")+IFERROR(IF(Z432="",0,Z432),"0")+IFERROR(IF(Z433="",0,Z433),"0")</f>
        <v>1.3919999999999999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954</v>
      </c>
      <c r="Y435" s="619">
        <f>IFERROR(SUM(Y431:Y433),"0")</f>
        <v>960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39</v>
      </c>
      <c r="Y438" s="618">
        <f>IFERROR(IF(X438="",0,CEILING((X438/$H438),1)*$H438),"")</f>
        <v>45</v>
      </c>
      <c r="Z438" s="36">
        <f>IFERROR(IF(Y438=0,"",ROUNDUP(Y438/H438,0)*0.01898),"")</f>
        <v>9.4899999999999998E-2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41.140666666666661</v>
      </c>
      <c r="BN438" s="64">
        <f>IFERROR(Y438*I438/H438,"0")</f>
        <v>47.47</v>
      </c>
      <c r="BO438" s="64">
        <f>IFERROR(1/J438*(X438/H438),"0")</f>
        <v>6.7708333333333329E-2</v>
      </c>
      <c r="BP438" s="64">
        <f>IFERROR(1/J438*(Y438/H438),"0")</f>
        <v>7.8125E-2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4.333333333333333</v>
      </c>
      <c r="Y440" s="619">
        <f>IFERROR(Y437/H437,"0")+IFERROR(Y438/H438,"0")+IFERROR(Y439/H439,"0")</f>
        <v>5</v>
      </c>
      <c r="Z440" s="619">
        <f>IFERROR(IF(Z437="",0,Z437),"0")+IFERROR(IF(Z438="",0,Z438),"0")+IFERROR(IF(Z439="",0,Z439),"0")</f>
        <v>9.4899999999999998E-2</v>
      </c>
      <c r="AA440" s="620"/>
      <c r="AB440" s="620"/>
      <c r="AC440" s="620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39</v>
      </c>
      <c r="Y441" s="619">
        <f>IFERROR(SUM(Y437:Y439),"0")</f>
        <v>45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88</v>
      </c>
      <c r="Y444" s="618">
        <f>IFERROR(IF(X444="",0,CEILING((X444/$H444),1)*$H444),"")</f>
        <v>90</v>
      </c>
      <c r="Z444" s="36">
        <f>IFERROR(IF(Y444=0,"",ROUNDUP(Y444/H444,0)*0.01898),"")</f>
        <v>0.1898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92.830222222222218</v>
      </c>
      <c r="BN444" s="64">
        <f>IFERROR(Y444*I444/H444,"0")</f>
        <v>94.94</v>
      </c>
      <c r="BO444" s="64">
        <f>IFERROR(1/J444*(X444/H444),"0")</f>
        <v>0.15277777777777779</v>
      </c>
      <c r="BP444" s="64">
        <f>IFERROR(1/J444*(Y444/H444),"0")</f>
        <v>0.15625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9.7777777777777786</v>
      </c>
      <c r="Y445" s="619">
        <f>IFERROR(Y443/H443,"0")+IFERROR(Y444/H444,"0")</f>
        <v>10</v>
      </c>
      <c r="Z445" s="619">
        <f>IFERROR(IF(Z443="",0,Z443),"0")+IFERROR(IF(Z444="",0,Z444),"0")</f>
        <v>0.1898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88</v>
      </c>
      <c r="Y446" s="619">
        <f>IFERROR(SUM(Y443:Y444),"0")</f>
        <v>90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118</v>
      </c>
      <c r="Y458" s="618">
        <f>IFERROR(IF(X458="",0,CEILING((X458/$H458),1)*$H458),"")</f>
        <v>126</v>
      </c>
      <c r="Z458" s="36">
        <f>IFERROR(IF(Y458=0,"",ROUNDUP(Y458/H458,0)*0.01898),"")</f>
        <v>0.26572000000000001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124.47688888888888</v>
      </c>
      <c r="BN458" s="64">
        <f>IFERROR(Y458*I458/H458,"0")</f>
        <v>132.916</v>
      </c>
      <c r="BO458" s="64">
        <f>IFERROR(1/J458*(X458/H458),"0")</f>
        <v>0.2048611111111111</v>
      </c>
      <c r="BP458" s="64">
        <f>IFERROR(1/J458*(Y458/H458),"0")</f>
        <v>0.21875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13.111111111111111</v>
      </c>
      <c r="Y461" s="619">
        <f>IFERROR(Y458/H458,"0")+IFERROR(Y459/H459,"0")+IFERROR(Y460/H460,"0")</f>
        <v>14</v>
      </c>
      <c r="Z461" s="619">
        <f>IFERROR(IF(Z458="",0,Z458),"0")+IFERROR(IF(Z459="",0,Z459),"0")+IFERROR(IF(Z460="",0,Z460),"0")</f>
        <v>0.26572000000000001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118</v>
      </c>
      <c r="Y462" s="619">
        <f>IFERROR(SUM(Y458:Y460),"0")</f>
        <v>126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6</v>
      </c>
      <c r="Y492" s="618">
        <f t="shared" ref="Y492:Y499" si="71">IFERROR(IF(X492="",0,CEILING((X492/$H492),1)*$H492),"")</f>
        <v>10.56</v>
      </c>
      <c r="Z492" s="36">
        <f>IFERROR(IF(Y492=0,"",ROUNDUP(Y492/H492,0)*0.01196),"")</f>
        <v>2.392E-2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6.3977272727272725</v>
      </c>
      <c r="BN492" s="64">
        <f t="shared" ref="BN492:BN499" si="73">IFERROR(Y492*I492/H492,"0")</f>
        <v>11.26</v>
      </c>
      <c r="BO492" s="64">
        <f t="shared" ref="BO492:BO499" si="74">IFERROR(1/J492*(X492/H492),"0")</f>
        <v>1.0926573426573426E-2</v>
      </c>
      <c r="BP492" s="64">
        <f t="shared" ref="BP492:BP499" si="75">IFERROR(1/J492*(Y492/H492),"0")</f>
        <v>1.9230769230769232E-2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33</v>
      </c>
      <c r="Y494" s="618">
        <f t="shared" si="71"/>
        <v>36.96</v>
      </c>
      <c r="Z494" s="36">
        <f>IFERROR(IF(Y494=0,"",ROUNDUP(Y494/H494,0)*0.01196),"")</f>
        <v>8.3720000000000003E-2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35.1875</v>
      </c>
      <c r="BN494" s="64">
        <f t="shared" si="73"/>
        <v>39.409999999999997</v>
      </c>
      <c r="BO494" s="64">
        <f t="shared" si="74"/>
        <v>6.0096153846153848E-2</v>
      </c>
      <c r="BP494" s="64">
        <f t="shared" si="75"/>
        <v>6.7307692307692318E-2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116</v>
      </c>
      <c r="Y495" s="618">
        <f t="shared" si="71"/>
        <v>116.16000000000001</v>
      </c>
      <c r="Z495" s="36">
        <f>IFERROR(IF(Y495=0,"",ROUNDUP(Y495/H495,0)*0.01196),"")</f>
        <v>0.26312000000000002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123.68939393939394</v>
      </c>
      <c r="BN495" s="64">
        <f t="shared" si="73"/>
        <v>123.86</v>
      </c>
      <c r="BO495" s="64">
        <f t="shared" si="74"/>
        <v>0.21124708624708624</v>
      </c>
      <c r="BP495" s="64">
        <f t="shared" si="75"/>
        <v>0.21153846153846156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163</v>
      </c>
      <c r="Y496" s="618">
        <f t="shared" si="71"/>
        <v>163.68</v>
      </c>
      <c r="Z496" s="36">
        <f>IFERROR(IF(Y496=0,"",ROUNDUP(Y496/H496,0)*0.01196),"")</f>
        <v>0.37075999999999998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173.80492424242422</v>
      </c>
      <c r="BN496" s="64">
        <f t="shared" si="73"/>
        <v>174.53</v>
      </c>
      <c r="BO496" s="64">
        <f t="shared" si="74"/>
        <v>0.29683857808857811</v>
      </c>
      <c r="BP496" s="64">
        <f t="shared" si="75"/>
        <v>0.29807692307692307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52</v>
      </c>
      <c r="Y499" s="618">
        <f t="shared" si="71"/>
        <v>52.8</v>
      </c>
      <c r="Z499" s="36">
        <f>IFERROR(IF(Y499=0,"",ROUNDUP(Y499/H499,0)*0.00902),"")</f>
        <v>9.9220000000000003E-2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74.858333333333334</v>
      </c>
      <c r="BN499" s="64">
        <f t="shared" si="73"/>
        <v>76.010000000000005</v>
      </c>
      <c r="BO499" s="64">
        <f t="shared" si="74"/>
        <v>8.2070707070707072E-2</v>
      </c>
      <c r="BP499" s="64">
        <f t="shared" si="75"/>
        <v>8.3333333333333343E-2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71.060606060606062</v>
      </c>
      <c r="Y500" s="619">
        <f>IFERROR(Y492/H492,"0")+IFERROR(Y493/H493,"0")+IFERROR(Y494/H494,"0")+IFERROR(Y495/H495,"0")+IFERROR(Y496/H496,"0")+IFERROR(Y497/H497,"0")+IFERROR(Y498/H498,"0")+IFERROR(Y499/H499,"0")</f>
        <v>73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0.84073999999999993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370</v>
      </c>
      <c r="Y501" s="619">
        <f>IFERROR(SUM(Y492:Y499),"0")</f>
        <v>380.16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155</v>
      </c>
      <c r="Y503" s="618">
        <f>IFERROR(IF(X503="",0,CEILING((X503/$H503),1)*$H503),"")</f>
        <v>158.4</v>
      </c>
      <c r="Z503" s="36">
        <f>IFERROR(IF(Y503=0,"",ROUNDUP(Y503/H503,0)*0.01196),"")</f>
        <v>0.35880000000000001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165.27462121212119</v>
      </c>
      <c r="BN503" s="64">
        <f>IFERROR(Y503*I503/H503,"0")</f>
        <v>168.9</v>
      </c>
      <c r="BO503" s="64">
        <f>IFERROR(1/J503*(X503/H503),"0")</f>
        <v>0.28226981351981351</v>
      </c>
      <c r="BP503" s="64">
        <f>IFERROR(1/J503*(Y503/H503),"0")</f>
        <v>0.28846153846153849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29.356060606060606</v>
      </c>
      <c r="Y506" s="619">
        <f>IFERROR(Y503/H503,"0")+IFERROR(Y504/H504,"0")+IFERROR(Y505/H505,"0")</f>
        <v>30</v>
      </c>
      <c r="Z506" s="619">
        <f>IFERROR(IF(Z503="",0,Z503),"0")+IFERROR(IF(Z504="",0,Z504),"0")+IFERROR(IF(Z505="",0,Z505),"0")</f>
        <v>0.35880000000000001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155</v>
      </c>
      <c r="Y507" s="619">
        <f>IFERROR(SUM(Y503:Y505),"0")</f>
        <v>158.4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37</v>
      </c>
      <c r="Y509" s="618">
        <f t="shared" ref="Y509:Y515" si="76">IFERROR(IF(X509="",0,CEILING((X509/$H509),1)*$H509),"")</f>
        <v>42.24</v>
      </c>
      <c r="Z509" s="36">
        <f>IFERROR(IF(Y509=0,"",ROUNDUP(Y509/H509,0)*0.01196),"")</f>
        <v>9.5680000000000001E-2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39.452651515151516</v>
      </c>
      <c r="BN509" s="64">
        <f t="shared" ref="BN509:BN515" si="78">IFERROR(Y509*I509/H509,"0")</f>
        <v>45.04</v>
      </c>
      <c r="BO509" s="64">
        <f t="shared" ref="BO509:BO515" si="79">IFERROR(1/J509*(X509/H509),"0")</f>
        <v>6.7380536130536128E-2</v>
      </c>
      <c r="BP509" s="64">
        <f t="shared" ref="BP509:BP515" si="80">IFERROR(1/J509*(Y509/H509),"0")</f>
        <v>7.6923076923076927E-2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78</v>
      </c>
      <c r="Y511" s="618">
        <f t="shared" si="76"/>
        <v>79.2</v>
      </c>
      <c r="Z511" s="36">
        <f>IFERROR(IF(Y511=0,"",ROUNDUP(Y511/H511,0)*0.01196),"")</f>
        <v>0.1794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83.170454545454533</v>
      </c>
      <c r="BN511" s="64">
        <f t="shared" si="78"/>
        <v>84.45</v>
      </c>
      <c r="BO511" s="64">
        <f t="shared" si="79"/>
        <v>0.14204545454545453</v>
      </c>
      <c r="BP511" s="64">
        <f t="shared" si="80"/>
        <v>0.14423076923076925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21.780303030303028</v>
      </c>
      <c r="Y516" s="619">
        <f>IFERROR(Y509/H509,"0")+IFERROR(Y510/H510,"0")+IFERROR(Y511/H511,"0")+IFERROR(Y512/H512,"0")+IFERROR(Y513/H513,"0")+IFERROR(Y514/H514,"0")+IFERROR(Y515/H515,"0")</f>
        <v>23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0.27507999999999999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115</v>
      </c>
      <c r="Y517" s="619">
        <f>IFERROR(SUM(Y509:Y515),"0")</f>
        <v>121.44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5701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5817.8799999999992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5985.1641628279131</v>
      </c>
      <c r="Y547" s="619">
        <f>IFERROR(SUM(BN22:BN543),"0")</f>
        <v>6109.2439999999997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10</v>
      </c>
      <c r="Y548" s="38">
        <f>ROUNDUP(SUM(BP22:BP543),0)</f>
        <v>10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6235.1641628279131</v>
      </c>
      <c r="Y549" s="619">
        <f>GrossWeightTotalR+PalletQtyTotalR*25</f>
        <v>6359.2439999999997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759.79281598031605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779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10.728390000000001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1.8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129.60000000000002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10.8</v>
      </c>
      <c r="F556" s="46">
        <f>IFERROR(Y84*1,"0")+IFERROR(Y85*1,"0")+IFERROR(Y86*1,"0")+IFERROR(Y87*1,"0")+IFERROR(Y88*1,"0")+IFERROR(Y89*1,"0")+IFERROR(Y93*1,"0")+IFERROR(Y94*1,"0")+IFERROR(Y95*1,"0")+IFERROR(Y96*1,"0")</f>
        <v>218.7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234.6</v>
      </c>
      <c r="H556" s="46">
        <f>IFERROR(Y131*1,"0")+IFERROR(Y132*1,"0")+IFERROR(Y136*1,"0")+IFERROR(Y137*1,"0")+IFERROR(Y141*1,"0")+IFERROR(Y142*1,"0")</f>
        <v>49.600000000000009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126.84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275.74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348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187.2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194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3255</v>
      </c>
      <c r="X556" s="46">
        <f>IFERROR(Y449*1,"0")+IFERROR(Y450*1,"0")+IFERROR(Y454*1,"0")+IFERROR(Y458*1,"0")+IFERROR(Y459*1,"0")+IFERROR(Y460*1,"0")</f>
        <v>126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660.00000000000011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,00"/>
        <filter val="10"/>
        <filter val="10,00"/>
        <filter val="104,00"/>
        <filter val="106,00"/>
        <filter val="107,00"/>
        <filter val="107,08"/>
        <filter val="11,39"/>
        <filter val="115,00"/>
        <filter val="116,00"/>
        <filter val="118,00"/>
        <filter val="12,00"/>
        <filter val="123,00"/>
        <filter val="125,00"/>
        <filter val="13,00"/>
        <filter val="13,11"/>
        <filter val="137,00"/>
        <filter val="138,00"/>
        <filter val="14,00"/>
        <filter val="142,73"/>
        <filter val="15,37"/>
        <filter val="155,00"/>
        <filter val="163,00"/>
        <filter val="17,00"/>
        <filter val="17,27"/>
        <filter val="18,00"/>
        <filter val="183,00"/>
        <filter val="2 141,00"/>
        <filter val="204,00"/>
        <filter val="21,00"/>
        <filter val="21,78"/>
        <filter val="216,00"/>
        <filter val="23,46"/>
        <filter val="24,00"/>
        <filter val="25,19"/>
        <filter val="257,00"/>
        <filter val="26,67"/>
        <filter val="264,00"/>
        <filter val="29,36"/>
        <filter val="3,00"/>
        <filter val="3,17"/>
        <filter val="33,00"/>
        <filter val="339,00"/>
        <filter val="37,00"/>
        <filter val="370,00"/>
        <filter val="39,00"/>
        <filter val="4,00"/>
        <filter val="4,33"/>
        <filter val="4,55"/>
        <filter val="40,00"/>
        <filter val="42,21"/>
        <filter val="43,00"/>
        <filter val="46,00"/>
        <filter val="48,00"/>
        <filter val="5 701,00"/>
        <filter val="5 985,16"/>
        <filter val="5,00"/>
        <filter val="52,00"/>
        <filter val="6 235,16"/>
        <filter val="6,00"/>
        <filter val="6,56"/>
        <filter val="60,00"/>
        <filter val="63,60"/>
        <filter val="71,06"/>
        <filter val="759,79"/>
        <filter val="76,00"/>
        <filter val="78,00"/>
        <filter val="80,00"/>
        <filter val="81,19"/>
        <filter val="83,00"/>
        <filter val="88,00"/>
        <filter val="883,00"/>
        <filter val="9,78"/>
        <filter val="919,00"/>
        <filter val="92,00"/>
        <filter val="94,00"/>
        <filter val="954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