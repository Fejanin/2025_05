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129CC16-9A9F-43D9-9115-0B0DD45D1F9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X539" i="1"/>
  <c r="BO538" i="1"/>
  <c r="BM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Y396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BO339" i="1"/>
  <c r="BM339" i="1"/>
  <c r="Y339" i="1"/>
  <c r="Y343" i="1" s="1"/>
  <c r="P339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BP315" i="1" s="1"/>
  <c r="P315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P126" i="1"/>
  <c r="X124" i="1"/>
  <c r="X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BO111" i="1"/>
  <c r="BM111" i="1"/>
  <c r="Y111" i="1"/>
  <c r="Y117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P49" i="1"/>
  <c r="BO48" i="1"/>
  <c r="BM48" i="1"/>
  <c r="Y48" i="1"/>
  <c r="BP48" i="1" s="1"/>
  <c r="P48" i="1"/>
  <c r="BO47" i="1"/>
  <c r="BM47" i="1"/>
  <c r="Y47" i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P39" i="1"/>
  <c r="BP38" i="1"/>
  <c r="BO38" i="1"/>
  <c r="BN38" i="1"/>
  <c r="BM38" i="1"/>
  <c r="Z38" i="1"/>
  <c r="Y38" i="1"/>
  <c r="P38" i="1"/>
  <c r="BO37" i="1"/>
  <c r="BM37" i="1"/>
  <c r="Y37" i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80" i="1" l="1"/>
  <c r="Y342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BP401" i="1"/>
  <c r="BN401" i="1"/>
  <c r="Z401" i="1"/>
  <c r="BP423" i="1"/>
  <c r="BN423" i="1"/>
  <c r="Z423" i="1"/>
  <c r="BP433" i="1"/>
  <c r="BN433" i="1"/>
  <c r="Z433" i="1"/>
  <c r="Y456" i="1"/>
  <c r="Y455" i="1"/>
  <c r="BP454" i="1"/>
  <c r="BN454" i="1"/>
  <c r="Z454" i="1"/>
  <c r="Z455" i="1" s="1"/>
  <c r="Y462" i="1"/>
  <c r="BP458" i="1"/>
  <c r="BN458" i="1"/>
  <c r="Z458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BP484" i="1"/>
  <c r="BN484" i="1"/>
  <c r="Z484" i="1"/>
  <c r="BP496" i="1"/>
  <c r="BN496" i="1"/>
  <c r="Z496" i="1"/>
  <c r="BP512" i="1"/>
  <c r="BN512" i="1"/>
  <c r="Z512" i="1"/>
  <c r="X546" i="1"/>
  <c r="Y32" i="1"/>
  <c r="Z28" i="1"/>
  <c r="BN28" i="1"/>
  <c r="Z36" i="1"/>
  <c r="BN36" i="1"/>
  <c r="Y41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Z86" i="1"/>
  <c r="BN86" i="1"/>
  <c r="Z94" i="1"/>
  <c r="BN94" i="1"/>
  <c r="Z101" i="1"/>
  <c r="BN101" i="1"/>
  <c r="Z105" i="1"/>
  <c r="BN105" i="1"/>
  <c r="Z111" i="1"/>
  <c r="BN111" i="1"/>
  <c r="BP111" i="1"/>
  <c r="Z115" i="1"/>
  <c r="BN115" i="1"/>
  <c r="Y123" i="1"/>
  <c r="Z121" i="1"/>
  <c r="BN121" i="1"/>
  <c r="Z136" i="1"/>
  <c r="BN136" i="1"/>
  <c r="BP136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0" i="1"/>
  <c r="BN270" i="1"/>
  <c r="BP270" i="1"/>
  <c r="Z274" i="1"/>
  <c r="BN274" i="1"/>
  <c r="Z278" i="1"/>
  <c r="BN278" i="1"/>
  <c r="Z286" i="1"/>
  <c r="BN286" i="1"/>
  <c r="Z293" i="1"/>
  <c r="BN293" i="1"/>
  <c r="Z297" i="1"/>
  <c r="BN297" i="1"/>
  <c r="Z315" i="1"/>
  <c r="BN315" i="1"/>
  <c r="Z319" i="1"/>
  <c r="BN319" i="1"/>
  <c r="Z333" i="1"/>
  <c r="BN333" i="1"/>
  <c r="Z339" i="1"/>
  <c r="BN339" i="1"/>
  <c r="BP339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13" i="1"/>
  <c r="BN413" i="1"/>
  <c r="Z413" i="1"/>
  <c r="BP427" i="1"/>
  <c r="BN427" i="1"/>
  <c r="Z427" i="1"/>
  <c r="BP439" i="1"/>
  <c r="BN439" i="1"/>
  <c r="Z439" i="1"/>
  <c r="BP443" i="1"/>
  <c r="BN443" i="1"/>
  <c r="Z443" i="1"/>
  <c r="Y461" i="1"/>
  <c r="BP468" i="1"/>
  <c r="BN468" i="1"/>
  <c r="Z468" i="1"/>
  <c r="AA556" i="1"/>
  <c r="BP492" i="1"/>
  <c r="BN492" i="1"/>
  <c r="Z492" i="1"/>
  <c r="BP504" i="1"/>
  <c r="BN504" i="1"/>
  <c r="Z504" i="1"/>
  <c r="BP538" i="1"/>
  <c r="BN538" i="1"/>
  <c r="Z538" i="1"/>
  <c r="T556" i="1"/>
  <c r="Y377" i="1"/>
  <c r="Y441" i="1"/>
  <c r="Y440" i="1"/>
  <c r="BP47" i="1"/>
  <c r="BN47" i="1"/>
  <c r="Z47" i="1"/>
  <c r="BP56" i="1"/>
  <c r="BN56" i="1"/>
  <c r="Z56" i="1"/>
  <c r="BP68" i="1"/>
  <c r="BN68" i="1"/>
  <c r="Z68" i="1"/>
  <c r="Y70" i="1"/>
  <c r="BP85" i="1"/>
  <c r="BN85" i="1"/>
  <c r="Z85" i="1"/>
  <c r="BP89" i="1"/>
  <c r="BN89" i="1"/>
  <c r="Z89" i="1"/>
  <c r="Y91" i="1"/>
  <c r="Y98" i="1"/>
  <c r="BP93" i="1"/>
  <c r="BN93" i="1"/>
  <c r="Z93" i="1"/>
  <c r="Y97" i="1"/>
  <c r="BP102" i="1"/>
  <c r="BN102" i="1"/>
  <c r="Z102" i="1"/>
  <c r="BP106" i="1"/>
  <c r="BN106" i="1"/>
  <c r="Z106" i="1"/>
  <c r="BP114" i="1"/>
  <c r="BN114" i="1"/>
  <c r="Z114" i="1"/>
  <c r="BP122" i="1"/>
  <c r="BN122" i="1"/>
  <c r="Z122" i="1"/>
  <c r="Y124" i="1"/>
  <c r="Y127" i="1"/>
  <c r="BP126" i="1"/>
  <c r="BN126" i="1"/>
  <c r="Z126" i="1"/>
  <c r="Z127" i="1" s="1"/>
  <c r="Y128" i="1"/>
  <c r="H556" i="1"/>
  <c r="Y134" i="1"/>
  <c r="BP131" i="1"/>
  <c r="BN131" i="1"/>
  <c r="Z131" i="1"/>
  <c r="Z133" i="1" s="1"/>
  <c r="BP148" i="1"/>
  <c r="BN148" i="1"/>
  <c r="Z148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Y252" i="1"/>
  <c r="BP249" i="1"/>
  <c r="BN249" i="1"/>
  <c r="Z249" i="1"/>
  <c r="Z251" i="1" s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1" i="1" s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Y329" i="1"/>
  <c r="BP334" i="1"/>
  <c r="BN334" i="1"/>
  <c r="Z334" i="1"/>
  <c r="BP356" i="1"/>
  <c r="BN356" i="1"/>
  <c r="Z356" i="1"/>
  <c r="Y360" i="1"/>
  <c r="BP364" i="1"/>
  <c r="BN364" i="1"/>
  <c r="Z364" i="1"/>
  <c r="Y370" i="1"/>
  <c r="BP368" i="1"/>
  <c r="BN368" i="1"/>
  <c r="Z368" i="1"/>
  <c r="Z402" i="1"/>
  <c r="BP400" i="1"/>
  <c r="BN400" i="1"/>
  <c r="Z400" i="1"/>
  <c r="Y402" i="1"/>
  <c r="BP444" i="1"/>
  <c r="BN444" i="1"/>
  <c r="Z444" i="1"/>
  <c r="Y446" i="1"/>
  <c r="X556" i="1"/>
  <c r="Y452" i="1"/>
  <c r="BP449" i="1"/>
  <c r="BN449" i="1"/>
  <c r="Z449" i="1"/>
  <c r="Z451" i="1" s="1"/>
  <c r="Y451" i="1"/>
  <c r="M556" i="1"/>
  <c r="Y31" i="1"/>
  <c r="BP37" i="1"/>
  <c r="BN37" i="1"/>
  <c r="Z37" i="1"/>
  <c r="BP60" i="1"/>
  <c r="BN60" i="1"/>
  <c r="Z60" i="1"/>
  <c r="Y75" i="1"/>
  <c r="BP72" i="1"/>
  <c r="BN72" i="1"/>
  <c r="Z72" i="1"/>
  <c r="Z74" i="1" s="1"/>
  <c r="H9" i="1"/>
  <c r="B556" i="1"/>
  <c r="X547" i="1"/>
  <c r="X548" i="1"/>
  <c r="X550" i="1"/>
  <c r="Y24" i="1"/>
  <c r="Z27" i="1"/>
  <c r="BN27" i="1"/>
  <c r="Z29" i="1"/>
  <c r="BN29" i="1"/>
  <c r="BP39" i="1"/>
  <c r="BN39" i="1"/>
  <c r="Z39" i="1"/>
  <c r="BP49" i="1"/>
  <c r="BN49" i="1"/>
  <c r="Z49" i="1"/>
  <c r="Y51" i="1"/>
  <c r="Y63" i="1"/>
  <c r="BP54" i="1"/>
  <c r="BN54" i="1"/>
  <c r="Z54" i="1"/>
  <c r="BP58" i="1"/>
  <c r="BN58" i="1"/>
  <c r="Z58" i="1"/>
  <c r="Y62" i="1"/>
  <c r="BP66" i="1"/>
  <c r="BN66" i="1"/>
  <c r="Z66" i="1"/>
  <c r="Z69" i="1" s="1"/>
  <c r="Y74" i="1"/>
  <c r="BP78" i="1"/>
  <c r="BN78" i="1"/>
  <c r="Z78" i="1"/>
  <c r="Z80" i="1" s="1"/>
  <c r="BP87" i="1"/>
  <c r="BN87" i="1"/>
  <c r="Z87" i="1"/>
  <c r="BP95" i="1"/>
  <c r="BN95" i="1"/>
  <c r="Z95" i="1"/>
  <c r="BP104" i="1"/>
  <c r="BN104" i="1"/>
  <c r="Z104" i="1"/>
  <c r="Y108" i="1"/>
  <c r="BP112" i="1"/>
  <c r="BN112" i="1"/>
  <c r="Z112" i="1"/>
  <c r="Y116" i="1"/>
  <c r="BP120" i="1"/>
  <c r="BN120" i="1"/>
  <c r="Z120" i="1"/>
  <c r="Y133" i="1"/>
  <c r="BP137" i="1"/>
  <c r="BN137" i="1"/>
  <c r="Z137" i="1"/>
  <c r="Z138" i="1" s="1"/>
  <c r="Y139" i="1"/>
  <c r="Y144" i="1"/>
  <c r="BP141" i="1"/>
  <c r="BN141" i="1"/>
  <c r="Z141" i="1"/>
  <c r="Z143" i="1" s="1"/>
  <c r="I556" i="1"/>
  <c r="BP150" i="1"/>
  <c r="BN150" i="1"/>
  <c r="Z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Z298" i="1" s="1"/>
  <c r="BP296" i="1"/>
  <c r="BN296" i="1"/>
  <c r="Z296" i="1"/>
  <c r="Z349" i="1"/>
  <c r="BP347" i="1"/>
  <c r="BN347" i="1"/>
  <c r="Z347" i="1"/>
  <c r="Y349" i="1"/>
  <c r="BP376" i="1"/>
  <c r="BN376" i="1"/>
  <c r="Z376" i="1"/>
  <c r="Y378" i="1"/>
  <c r="Y383" i="1"/>
  <c r="BP380" i="1"/>
  <c r="BN380" i="1"/>
  <c r="Z380" i="1"/>
  <c r="Y384" i="1"/>
  <c r="BP388" i="1"/>
  <c r="BN388" i="1"/>
  <c r="Z388" i="1"/>
  <c r="BP414" i="1"/>
  <c r="BN414" i="1"/>
  <c r="Z414" i="1"/>
  <c r="Y416" i="1"/>
  <c r="W556" i="1"/>
  <c r="Y429" i="1"/>
  <c r="BP420" i="1"/>
  <c r="BN420" i="1"/>
  <c r="Z420" i="1"/>
  <c r="BP424" i="1"/>
  <c r="BN424" i="1"/>
  <c r="Z424" i="1"/>
  <c r="Y428" i="1"/>
  <c r="Z434" i="1"/>
  <c r="BP432" i="1"/>
  <c r="BN432" i="1"/>
  <c r="Z432" i="1"/>
  <c r="Y434" i="1"/>
  <c r="BP467" i="1"/>
  <c r="BN467" i="1"/>
  <c r="Z467" i="1"/>
  <c r="BP471" i="1"/>
  <c r="BN471" i="1"/>
  <c r="Z471" i="1"/>
  <c r="BP485" i="1"/>
  <c r="BN485" i="1"/>
  <c r="Z485" i="1"/>
  <c r="Z487" i="1" s="1"/>
  <c r="Y487" i="1"/>
  <c r="Z556" i="1"/>
  <c r="E556" i="1"/>
  <c r="V556" i="1"/>
  <c r="C556" i="1"/>
  <c r="Y42" i="1"/>
  <c r="D556" i="1"/>
  <c r="Y50" i="1"/>
  <c r="F556" i="1"/>
  <c r="Y90" i="1"/>
  <c r="G556" i="1"/>
  <c r="Y109" i="1"/>
  <c r="Y151" i="1"/>
  <c r="O556" i="1"/>
  <c r="Y299" i="1"/>
  <c r="Y312" i="1"/>
  <c r="Y311" i="1"/>
  <c r="P556" i="1"/>
  <c r="BP318" i="1"/>
  <c r="BN318" i="1"/>
  <c r="Z318" i="1"/>
  <c r="BP327" i="1"/>
  <c r="BN327" i="1"/>
  <c r="Z327" i="1"/>
  <c r="Y337" i="1"/>
  <c r="BP332" i="1"/>
  <c r="BN332" i="1"/>
  <c r="Z332" i="1"/>
  <c r="Y336" i="1"/>
  <c r="BP340" i="1"/>
  <c r="BN340" i="1"/>
  <c r="Z340" i="1"/>
  <c r="Z342" i="1" s="1"/>
  <c r="BP354" i="1"/>
  <c r="BN354" i="1"/>
  <c r="Z354" i="1"/>
  <c r="BP358" i="1"/>
  <c r="BN358" i="1"/>
  <c r="Z358" i="1"/>
  <c r="Z360" i="1" s="1"/>
  <c r="Y371" i="1"/>
  <c r="BP366" i="1"/>
  <c r="BN366" i="1"/>
  <c r="Z366" i="1"/>
  <c r="Z370" i="1" s="1"/>
  <c r="BP374" i="1"/>
  <c r="BN374" i="1"/>
  <c r="Z374" i="1"/>
  <c r="BP382" i="1"/>
  <c r="BN382" i="1"/>
  <c r="Z382" i="1"/>
  <c r="Y391" i="1"/>
  <c r="BP386" i="1"/>
  <c r="BN386" i="1"/>
  <c r="Z386" i="1"/>
  <c r="Z390" i="1" s="1"/>
  <c r="Y390" i="1"/>
  <c r="Z396" i="1"/>
  <c r="BP394" i="1"/>
  <c r="BN394" i="1"/>
  <c r="Z394" i="1"/>
  <c r="Y403" i="1"/>
  <c r="BP407" i="1"/>
  <c r="BN407" i="1"/>
  <c r="Z407" i="1"/>
  <c r="Z408" i="1" s="1"/>
  <c r="Y409" i="1"/>
  <c r="Y415" i="1"/>
  <c r="BP412" i="1"/>
  <c r="BN412" i="1"/>
  <c r="Z412" i="1"/>
  <c r="Z415" i="1" s="1"/>
  <c r="BP422" i="1"/>
  <c r="BN422" i="1"/>
  <c r="Z422" i="1"/>
  <c r="BP426" i="1"/>
  <c r="BN426" i="1"/>
  <c r="Z426" i="1"/>
  <c r="Y435" i="1"/>
  <c r="Z440" i="1"/>
  <c r="BP438" i="1"/>
  <c r="BN438" i="1"/>
  <c r="Z438" i="1"/>
  <c r="Y445" i="1"/>
  <c r="BP459" i="1"/>
  <c r="BN459" i="1"/>
  <c r="Z459" i="1"/>
  <c r="BP469" i="1"/>
  <c r="BN469" i="1"/>
  <c r="Z469" i="1"/>
  <c r="BP495" i="1"/>
  <c r="BN495" i="1"/>
  <c r="Z495" i="1"/>
  <c r="BP499" i="1"/>
  <c r="BN499" i="1"/>
  <c r="Z499" i="1"/>
  <c r="Y501" i="1"/>
  <c r="Y506" i="1"/>
  <c r="BP503" i="1"/>
  <c r="BN503" i="1"/>
  <c r="Z503" i="1"/>
  <c r="Y507" i="1"/>
  <c r="BP511" i="1"/>
  <c r="BN511" i="1"/>
  <c r="Z511" i="1"/>
  <c r="BP515" i="1"/>
  <c r="BN515" i="1"/>
  <c r="Z515" i="1"/>
  <c r="Y517" i="1"/>
  <c r="Y522" i="1"/>
  <c r="BP521" i="1"/>
  <c r="BN521" i="1"/>
  <c r="Z521" i="1"/>
  <c r="Z522" i="1" s="1"/>
  <c r="AB556" i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Y539" i="1"/>
  <c r="R556" i="1"/>
  <c r="Y321" i="1"/>
  <c r="S556" i="1"/>
  <c r="Y350" i="1"/>
  <c r="Y361" i="1"/>
  <c r="U556" i="1"/>
  <c r="Y408" i="1"/>
  <c r="Y556" i="1"/>
  <c r="Y473" i="1"/>
  <c r="Y472" i="1"/>
  <c r="Y488" i="1"/>
  <c r="BP493" i="1"/>
  <c r="BN493" i="1"/>
  <c r="Z493" i="1"/>
  <c r="BP497" i="1"/>
  <c r="BN497" i="1"/>
  <c r="Z497" i="1"/>
  <c r="BP505" i="1"/>
  <c r="BN505" i="1"/>
  <c r="Z505" i="1"/>
  <c r="Y516" i="1"/>
  <c r="BP509" i="1"/>
  <c r="BN509" i="1"/>
  <c r="Z509" i="1"/>
  <c r="BP513" i="1"/>
  <c r="BN513" i="1"/>
  <c r="Z513" i="1"/>
  <c r="Y500" i="1"/>
  <c r="Y545" i="1"/>
  <c r="Y547" i="1" l="1"/>
  <c r="Y550" i="1"/>
  <c r="Z151" i="1"/>
  <c r="Z516" i="1"/>
  <c r="Z500" i="1"/>
  <c r="Z461" i="1"/>
  <c r="Z377" i="1"/>
  <c r="Z336" i="1"/>
  <c r="Z472" i="1"/>
  <c r="Z267" i="1"/>
  <c r="Z163" i="1"/>
  <c r="Z123" i="1"/>
  <c r="Z116" i="1"/>
  <c r="Z62" i="1"/>
  <c r="Z31" i="1"/>
  <c r="X549" i="1"/>
  <c r="Z41" i="1"/>
  <c r="Y548" i="1"/>
  <c r="Z445" i="1"/>
  <c r="Z321" i="1"/>
  <c r="Z108" i="1"/>
  <c r="Z90" i="1"/>
  <c r="Z50" i="1"/>
  <c r="Y549" i="1"/>
  <c r="Z506" i="1"/>
  <c r="Z428" i="1"/>
  <c r="Z282" i="1"/>
  <c r="Z235" i="1"/>
  <c r="Z227" i="1"/>
  <c r="Z181" i="1"/>
  <c r="Y546" i="1"/>
  <c r="Z328" i="1"/>
  <c r="Z97" i="1"/>
  <c r="Z383" i="1"/>
  <c r="Z206" i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<sst xmlns="http://schemas.openxmlformats.org/spreadsheetml/2006/main" count="2462" uniqueCount="893">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</sst>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695" t="s">
        <v>0</v>
      </c>
      <c r="E1" s="650"/>
      <c r="F1" s="650"/>
      <c r="G1" s="12" t="s">
        <v>1</v>
      </c>
      <c r="H1" s="695" t="s">
        <v>2</v>
      </c>
      <c r="I1" s="650"/>
      <c r="J1" s="650"/>
      <c r="K1" s="650"/>
      <c r="L1" s="650"/>
      <c r="M1" s="650"/>
      <c r="N1" s="650"/>
      <c r="O1" s="650"/>
      <c r="P1" s="650"/>
      <c r="Q1" s="650"/>
      <c r="R1" s="649" t="s">
        <v>3</v>
      </c>
      <c r="S1" s="650"/>
      <c r="T1" s="65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45" t="s">
        <v>8</v>
      </c>
      <c r="B5" s="675"/>
      <c r="C5" s="676"/>
      <c r="D5" s="701"/>
      <c r="E5" s="702"/>
      <c r="F5" s="931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5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4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8" t="str">
        <f>IF(Q5=0," ",CHOOSE(WEEKDAY(Q5,2),"Понедельник","Вторник","Среда","Четверг","Пятница","Суббота","Воскресенье"))</f>
        <v>Суббота</v>
      </c>
      <c r="R6" s="625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4" customFormat="1" ht="25.5" customHeight="1" x14ac:dyDescent="0.2">
      <c r="A8" s="972" t="s">
        <v>17</v>
      </c>
      <c r="B8" s="639"/>
      <c r="C8" s="640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1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4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4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15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4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8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6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1"/>
      <c r="R12" s="680"/>
      <c r="S12" s="23"/>
      <c r="U12" s="24"/>
      <c r="V12" s="650"/>
      <c r="W12" s="633"/>
      <c r="AB12" s="51"/>
      <c r="AC12" s="51"/>
      <c r="AD12" s="51"/>
      <c r="AE12" s="51"/>
    </row>
    <row r="13" spans="1:32" s="614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6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20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6" t="s">
        <v>33</v>
      </c>
      <c r="Q15" s="650"/>
      <c r="R15" s="650"/>
      <c r="S15" s="650"/>
      <c r="T15" s="65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7"/>
      <c r="Q16" s="777"/>
      <c r="R16" s="777"/>
      <c r="S16" s="777"/>
      <c r="T16" s="7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8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69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9" t="s">
        <v>54</v>
      </c>
      <c r="AB17" s="849" t="s">
        <v>55</v>
      </c>
      <c r="AC17" s="849" t="s">
        <v>56</v>
      </c>
      <c r="AD17" s="849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50"/>
      <c r="AB18" s="850"/>
      <c r="AC18" s="850"/>
      <c r="AD18" s="928"/>
      <c r="AE18" s="929"/>
      <c r="AF18" s="930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37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8" t="s">
        <v>69</v>
      </c>
      <c r="Q23" s="639"/>
      <c r="R23" s="639"/>
      <c r="S23" s="639"/>
      <c r="T23" s="639"/>
      <c r="U23" s="639"/>
      <c r="V23" s="640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8" t="s">
        <v>69</v>
      </c>
      <c r="Q24" s="639"/>
      <c r="R24" s="639"/>
      <c r="S24" s="639"/>
      <c r="T24" s="639"/>
      <c r="U24" s="639"/>
      <c r="V24" s="640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8" t="s">
        <v>69</v>
      </c>
      <c r="Q31" s="639"/>
      <c r="R31" s="639"/>
      <c r="S31" s="639"/>
      <c r="T31" s="639"/>
      <c r="U31" s="639"/>
      <c r="V31" s="640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8" t="s">
        <v>69</v>
      </c>
      <c r="Q32" s="639"/>
      <c r="R32" s="639"/>
      <c r="S32" s="639"/>
      <c r="T32" s="639"/>
      <c r="U32" s="639"/>
      <c r="V32" s="640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37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8" t="s">
        <v>69</v>
      </c>
      <c r="Q41" s="639"/>
      <c r="R41" s="639"/>
      <c r="S41" s="639"/>
      <c r="T41" s="639"/>
      <c r="U41" s="639"/>
      <c r="V41" s="640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8" t="s">
        <v>69</v>
      </c>
      <c r="Q42" s="639"/>
      <c r="R42" s="639"/>
      <c r="S42" s="639"/>
      <c r="T42" s="639"/>
      <c r="U42" s="639"/>
      <c r="V42" s="640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37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69</v>
      </c>
      <c r="Y46" s="618">
        <f>IFERROR(IF(X46="",0,CEILING((X46/$H46),1)*$H46),"")</f>
        <v>75.600000000000009</v>
      </c>
      <c r="Z46" s="36">
        <f>IFERROR(IF(Y46=0,"",ROUNDUP(Y46/H46,0)*0.01898),"")</f>
        <v>0.13286000000000001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71.61944444444444</v>
      </c>
      <c r="BN46" s="64">
        <f>IFERROR(Y46*I46/H46,"0")</f>
        <v>78.47</v>
      </c>
      <c r="BO46" s="64">
        <f>IFERROR(1/J46*(X46/H46),"0")</f>
        <v>9.9826388888888881E-2</v>
      </c>
      <c r="BP46" s="64">
        <f>IFERROR(1/J46*(Y46/H46),"0")</f>
        <v>0.109375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6</v>
      </c>
      <c r="Y49" s="618">
        <f>IFERROR(IF(X49="",0,CEILING((X49/$H49),1)*$H49),"")</f>
        <v>7.4</v>
      </c>
      <c r="Z49" s="36">
        <f>IFERROR(IF(Y49=0,"",ROUNDUP(Y49/H49,0)*0.00902),"")</f>
        <v>1.804E-2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6.3081081081081081</v>
      </c>
      <c r="BN49" s="64">
        <f>IFERROR(Y49*I49/H49,"0")</f>
        <v>7.78</v>
      </c>
      <c r="BO49" s="64">
        <f>IFERROR(1/J49*(X49/H49),"0")</f>
        <v>1.2285012285012284E-2</v>
      </c>
      <c r="BP49" s="64">
        <f>IFERROR(1/J49*(Y49/H49),"0")</f>
        <v>1.5151515151515152E-2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8" t="s">
        <v>69</v>
      </c>
      <c r="Q50" s="639"/>
      <c r="R50" s="639"/>
      <c r="S50" s="639"/>
      <c r="T50" s="639"/>
      <c r="U50" s="639"/>
      <c r="V50" s="640"/>
      <c r="W50" s="37" t="s">
        <v>70</v>
      </c>
      <c r="X50" s="619">
        <f>IFERROR(X46/H46,"0")+IFERROR(X47/H47,"0")+IFERROR(X48/H48,"0")+IFERROR(X49/H49,"0")</f>
        <v>8.0105105105105103</v>
      </c>
      <c r="Y50" s="619">
        <f>IFERROR(Y46/H46,"0")+IFERROR(Y47/H47,"0")+IFERROR(Y48/H48,"0")+IFERROR(Y49/H49,"0")</f>
        <v>9</v>
      </c>
      <c r="Z50" s="619">
        <f>IFERROR(IF(Z46="",0,Z46),"0")+IFERROR(IF(Z47="",0,Z47),"0")+IFERROR(IF(Z48="",0,Z48),"0")+IFERROR(IF(Z49="",0,Z49),"0")</f>
        <v>0.15090000000000001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8" t="s">
        <v>69</v>
      </c>
      <c r="Q51" s="639"/>
      <c r="R51" s="639"/>
      <c r="S51" s="639"/>
      <c r="T51" s="639"/>
      <c r="U51" s="639"/>
      <c r="V51" s="640"/>
      <c r="W51" s="37" t="s">
        <v>67</v>
      </c>
      <c r="X51" s="619">
        <f>IFERROR(SUM(X46:X49),"0")</f>
        <v>75</v>
      </c>
      <c r="Y51" s="619">
        <f>IFERROR(SUM(Y46:Y49),"0")</f>
        <v>83.000000000000014</v>
      </c>
      <c r="Z51" s="37"/>
      <c r="AA51" s="620"/>
      <c r="AB51" s="620"/>
      <c r="AC51" s="620"/>
    </row>
    <row r="52" spans="1:68" ht="16.5" hidden="1" customHeight="1" x14ac:dyDescent="0.25">
      <c r="A52" s="637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9</v>
      </c>
      <c r="Y54" s="618">
        <f t="shared" ref="Y54:Y61" si="0">IFERROR(IF(X54="",0,CEILING((X54/$H54),1)*$H54),"")</f>
        <v>11.2</v>
      </c>
      <c r="Z54" s="36">
        <f>IFERROR(IF(Y54=0,"",ROUNDUP(Y54/H54,0)*0.01898),"")</f>
        <v>1.898E-2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9.3294642857142858</v>
      </c>
      <c r="BN54" s="64">
        <f t="shared" ref="BN54:BN61" si="2">IFERROR(Y54*I54/H54,"0")</f>
        <v>11.61</v>
      </c>
      <c r="BO54" s="64">
        <f t="shared" ref="BO54:BO61" si="3">IFERROR(1/J54*(X54/H54),"0")</f>
        <v>1.2555803571428572E-2</v>
      </c>
      <c r="BP54" s="64">
        <f t="shared" ref="BP54:BP61" si="4">IFERROR(1/J54*(Y54/H54),"0")</f>
        <v>1.5625E-2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2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2.0950000000000002</v>
      </c>
      <c r="BN58" s="64">
        <f t="shared" si="2"/>
        <v>4.1900000000000004</v>
      </c>
      <c r="BO58" s="64">
        <f t="shared" si="3"/>
        <v>3.787878787878788E-3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16</v>
      </c>
      <c r="Y61" s="618">
        <f t="shared" si="0"/>
        <v>18</v>
      </c>
      <c r="Z61" s="36">
        <f>IFERROR(IF(Y61=0,"",ROUNDUP(Y61/H61,0)*0.00902),"")</f>
        <v>3.6080000000000001E-2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16.675555555555558</v>
      </c>
      <c r="BN61" s="64">
        <f t="shared" si="2"/>
        <v>18.760000000000002</v>
      </c>
      <c r="BO61" s="64">
        <f t="shared" si="3"/>
        <v>2.6936026936026935E-2</v>
      </c>
      <c r="BP61" s="64">
        <f t="shared" si="4"/>
        <v>3.0303030303030304E-2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8" t="s">
        <v>69</v>
      </c>
      <c r="Q62" s="639"/>
      <c r="R62" s="639"/>
      <c r="S62" s="639"/>
      <c r="T62" s="639"/>
      <c r="U62" s="639"/>
      <c r="V62" s="640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4.8591269841269842</v>
      </c>
      <c r="Y62" s="619">
        <f>IFERROR(Y54/H54,"0")+IFERROR(Y55/H55,"0")+IFERROR(Y56/H56,"0")+IFERROR(Y57/H57,"0")+IFERROR(Y58/H58,"0")+IFERROR(Y59/H59,"0")+IFERROR(Y60/H60,"0")+IFERROR(Y61/H61,"0")</f>
        <v>6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6.4079999999999998E-2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8" t="s">
        <v>69</v>
      </c>
      <c r="Q63" s="639"/>
      <c r="R63" s="639"/>
      <c r="S63" s="639"/>
      <c r="T63" s="639"/>
      <c r="U63" s="639"/>
      <c r="V63" s="640"/>
      <c r="W63" s="37" t="s">
        <v>67</v>
      </c>
      <c r="X63" s="619">
        <f>IFERROR(SUM(X54:X61),"0")</f>
        <v>27</v>
      </c>
      <c r="Y63" s="619">
        <f>IFERROR(SUM(Y54:Y61),"0")</f>
        <v>33.200000000000003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47</v>
      </c>
      <c r="Y65" s="618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48.784259259259258</v>
      </c>
      <c r="BN65" s="64">
        <f>IFERROR(Y65*I65/H65,"0")</f>
        <v>56.05</v>
      </c>
      <c r="BO65" s="64">
        <f>IFERROR(1/J65*(X65/H65),"0")</f>
        <v>6.7997685185185175E-2</v>
      </c>
      <c r="BP65" s="64">
        <f>IFERROR(1/J65*(Y65/H65),"0")</f>
        <v>7.8125E-2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8" t="s">
        <v>69</v>
      </c>
      <c r="Q69" s="639"/>
      <c r="R69" s="639"/>
      <c r="S69" s="639"/>
      <c r="T69" s="639"/>
      <c r="U69" s="639"/>
      <c r="V69" s="640"/>
      <c r="W69" s="37" t="s">
        <v>70</v>
      </c>
      <c r="X69" s="619">
        <f>IFERROR(X65/H65,"0")+IFERROR(X66/H66,"0")+IFERROR(X67/H67,"0")+IFERROR(X68/H68,"0")</f>
        <v>4.3518518518518512</v>
      </c>
      <c r="Y69" s="619">
        <f>IFERROR(Y65/H65,"0")+IFERROR(Y66/H66,"0")+IFERROR(Y67/H67,"0")+IFERROR(Y68/H68,"0")</f>
        <v>5</v>
      </c>
      <c r="Z69" s="619">
        <f>IFERROR(IF(Z65="",0,Z65),"0")+IFERROR(IF(Z66="",0,Z66),"0")+IFERROR(IF(Z67="",0,Z67),"0")+IFERROR(IF(Z68="",0,Z68),"0")</f>
        <v>9.4899999999999998E-2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8" t="s">
        <v>69</v>
      </c>
      <c r="Q70" s="639"/>
      <c r="R70" s="639"/>
      <c r="S70" s="639"/>
      <c r="T70" s="639"/>
      <c r="U70" s="639"/>
      <c r="V70" s="640"/>
      <c r="W70" s="37" t="s">
        <v>67</v>
      </c>
      <c r="X70" s="619">
        <f>IFERROR(SUM(X65:X68),"0")</f>
        <v>47</v>
      </c>
      <c r="Y70" s="619">
        <f>IFERROR(SUM(Y65:Y68),"0")</f>
        <v>54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8" t="s">
        <v>69</v>
      </c>
      <c r="Q74" s="639"/>
      <c r="R74" s="639"/>
      <c r="S74" s="639"/>
      <c r="T74" s="639"/>
      <c r="U74" s="639"/>
      <c r="V74" s="640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8" t="s">
        <v>69</v>
      </c>
      <c r="Q75" s="639"/>
      <c r="R75" s="639"/>
      <c r="S75" s="639"/>
      <c r="T75" s="639"/>
      <c r="U75" s="639"/>
      <c r="V75" s="640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8" t="s">
        <v>69</v>
      </c>
      <c r="Q80" s="639"/>
      <c r="R80" s="639"/>
      <c r="S80" s="639"/>
      <c r="T80" s="639"/>
      <c r="U80" s="639"/>
      <c r="V80" s="640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8" t="s">
        <v>69</v>
      </c>
      <c r="Q81" s="639"/>
      <c r="R81" s="639"/>
      <c r="S81" s="639"/>
      <c r="T81" s="639"/>
      <c r="U81" s="639"/>
      <c r="V81" s="640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37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5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8" t="s">
        <v>69</v>
      </c>
      <c r="Q90" s="639"/>
      <c r="R90" s="639"/>
      <c r="S90" s="639"/>
      <c r="T90" s="639"/>
      <c r="U90" s="639"/>
      <c r="V90" s="640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8" t="s">
        <v>69</v>
      </c>
      <c r="Q91" s="639"/>
      <c r="R91" s="639"/>
      <c r="S91" s="639"/>
      <c r="T91" s="639"/>
      <c r="U91" s="639"/>
      <c r="V91" s="640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8" t="s">
        <v>69</v>
      </c>
      <c r="Q97" s="639"/>
      <c r="R97" s="639"/>
      <c r="S97" s="639"/>
      <c r="T97" s="639"/>
      <c r="U97" s="639"/>
      <c r="V97" s="640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8" t="s">
        <v>69</v>
      </c>
      <c r="Q98" s="639"/>
      <c r="R98" s="639"/>
      <c r="S98" s="639"/>
      <c r="T98" s="639"/>
      <c r="U98" s="639"/>
      <c r="V98" s="640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37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72</v>
      </c>
      <c r="Y101" s="618">
        <f t="shared" ref="Y101:Y107" si="10">IFERROR(IF(X101="",0,CEILING((X101/$H101),1)*$H101),"")</f>
        <v>75.600000000000009</v>
      </c>
      <c r="Z101" s="36">
        <f>IFERROR(IF(Y101=0,"",ROUNDUP(Y101/H101,0)*0.01898),"")</f>
        <v>0.13286000000000001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74.733333333333334</v>
      </c>
      <c r="BN101" s="64">
        <f t="shared" ref="BN101:BN107" si="12">IFERROR(Y101*I101/H101,"0")</f>
        <v>78.47</v>
      </c>
      <c r="BO101" s="64">
        <f t="shared" ref="BO101:BO107" si="13">IFERROR(1/J101*(X101/H101),"0")</f>
        <v>0.10416666666666666</v>
      </c>
      <c r="BP101" s="64">
        <f t="shared" ref="BP101:BP107" si="14">IFERROR(1/J101*(Y101/H101),"0")</f>
        <v>0.109375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14</v>
      </c>
      <c r="Y105" s="618">
        <f t="shared" si="10"/>
        <v>18</v>
      </c>
      <c r="Z105" s="36">
        <f>IFERROR(IF(Y105=0,"",ROUNDUP(Y105/H105,0)*0.00902),"")</f>
        <v>3.6080000000000001E-2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14.591111111111113</v>
      </c>
      <c r="BN105" s="64">
        <f t="shared" si="12"/>
        <v>18.760000000000002</v>
      </c>
      <c r="BO105" s="64">
        <f t="shared" si="13"/>
        <v>2.3569023569023569E-2</v>
      </c>
      <c r="BP105" s="64">
        <f t="shared" si="14"/>
        <v>3.0303030303030304E-2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8" t="s">
        <v>69</v>
      </c>
      <c r="Q108" s="639"/>
      <c r="R108" s="639"/>
      <c r="S108" s="639"/>
      <c r="T108" s="639"/>
      <c r="U108" s="639"/>
      <c r="V108" s="640"/>
      <c r="W108" s="37" t="s">
        <v>70</v>
      </c>
      <c r="X108" s="619">
        <f>IFERROR(X101/H101,"0")+IFERROR(X102/H102,"0")+IFERROR(X103/H103,"0")+IFERROR(X104/H104,"0")+IFERROR(X105/H105,"0")+IFERROR(X106/H106,"0")+IFERROR(X107/H107,"0")</f>
        <v>9.7777777777777768</v>
      </c>
      <c r="Y108" s="619">
        <f>IFERROR(Y101/H101,"0")+IFERROR(Y102/H102,"0")+IFERROR(Y103/H103,"0")+IFERROR(Y104/H104,"0")+IFERROR(Y105/H105,"0")+IFERROR(Y106/H106,"0")+IFERROR(Y107/H107,"0")</f>
        <v>11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0.16894000000000001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8" t="s">
        <v>69</v>
      </c>
      <c r="Q109" s="639"/>
      <c r="R109" s="639"/>
      <c r="S109" s="639"/>
      <c r="T109" s="639"/>
      <c r="U109" s="639"/>
      <c r="V109" s="640"/>
      <c r="W109" s="37" t="s">
        <v>67</v>
      </c>
      <c r="X109" s="619">
        <f>IFERROR(SUM(X101:X107),"0")</f>
        <v>86</v>
      </c>
      <c r="Y109" s="619">
        <f>IFERROR(SUM(Y101:Y107),"0")</f>
        <v>93.600000000000009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15</v>
      </c>
      <c r="Y111" s="618">
        <f>IFERROR(IF(X111="",0,CEILING((X111/$H111),1)*$H111),"")</f>
        <v>21.6</v>
      </c>
      <c r="Z111" s="36">
        <f>IFERROR(IF(Y111=0,"",ROUNDUP(Y111/H111,0)*0.01898),"")</f>
        <v>3.7960000000000001E-2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15.569444444444445</v>
      </c>
      <c r="BN111" s="64">
        <f>IFERROR(Y111*I111/H111,"0")</f>
        <v>22.42</v>
      </c>
      <c r="BO111" s="64">
        <f>IFERROR(1/J111*(X111/H111),"0")</f>
        <v>2.1701388888888888E-2</v>
      </c>
      <c r="BP111" s="64">
        <f>IFERROR(1/J111*(Y111/H111),"0")</f>
        <v>3.125E-2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8" t="s">
        <v>69</v>
      </c>
      <c r="Q116" s="639"/>
      <c r="R116" s="639"/>
      <c r="S116" s="639"/>
      <c r="T116" s="639"/>
      <c r="U116" s="639"/>
      <c r="V116" s="640"/>
      <c r="W116" s="37" t="s">
        <v>70</v>
      </c>
      <c r="X116" s="619">
        <f>IFERROR(X111/H111,"0")+IFERROR(X112/H112,"0")+IFERROR(X113/H113,"0")+IFERROR(X114/H114,"0")+IFERROR(X115/H115,"0")</f>
        <v>1.3888888888888888</v>
      </c>
      <c r="Y116" s="619">
        <f>IFERROR(Y111/H111,"0")+IFERROR(Y112/H112,"0")+IFERROR(Y113/H113,"0")+IFERROR(Y114/H114,"0")+IFERROR(Y115/H115,"0")</f>
        <v>2</v>
      </c>
      <c r="Z116" s="619">
        <f>IFERROR(IF(Z111="",0,Z111),"0")+IFERROR(IF(Z112="",0,Z112),"0")+IFERROR(IF(Z113="",0,Z113),"0")+IFERROR(IF(Z114="",0,Z114),"0")+IFERROR(IF(Z115="",0,Z115),"0")</f>
        <v>3.7960000000000001E-2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8" t="s">
        <v>69</v>
      </c>
      <c r="Q117" s="639"/>
      <c r="R117" s="639"/>
      <c r="S117" s="639"/>
      <c r="T117" s="639"/>
      <c r="U117" s="639"/>
      <c r="V117" s="640"/>
      <c r="W117" s="37" t="s">
        <v>67</v>
      </c>
      <c r="X117" s="619">
        <f>IFERROR(SUM(X111:X115),"0")</f>
        <v>15</v>
      </c>
      <c r="Y117" s="619">
        <f>IFERROR(SUM(Y111:Y115),"0")</f>
        <v>21.6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hidden="1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0</v>
      </c>
      <c r="Y119" s="618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8" t="s">
        <v>69</v>
      </c>
      <c r="Q123" s="639"/>
      <c r="R123" s="639"/>
      <c r="S123" s="639"/>
      <c r="T123" s="639"/>
      <c r="U123" s="639"/>
      <c r="V123" s="640"/>
      <c r="W123" s="37" t="s">
        <v>70</v>
      </c>
      <c r="X123" s="619">
        <f>IFERROR(X119/H119,"0")+IFERROR(X120/H120,"0")+IFERROR(X121/H121,"0")+IFERROR(X122/H122,"0")</f>
        <v>0</v>
      </c>
      <c r="Y123" s="619">
        <f>IFERROR(Y119/H119,"0")+IFERROR(Y120/H120,"0")+IFERROR(Y121/H121,"0")+IFERROR(Y122/H122,"0")</f>
        <v>0</v>
      </c>
      <c r="Z123" s="619">
        <f>IFERROR(IF(Z119="",0,Z119),"0")+IFERROR(IF(Z120="",0,Z120),"0")+IFERROR(IF(Z121="",0,Z121),"0")+IFERROR(IF(Z122="",0,Z122),"0")</f>
        <v>0</v>
      </c>
      <c r="AA123" s="620"/>
      <c r="AB123" s="620"/>
      <c r="AC123" s="620"/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8" t="s">
        <v>69</v>
      </c>
      <c r="Q124" s="639"/>
      <c r="R124" s="639"/>
      <c r="S124" s="639"/>
      <c r="T124" s="639"/>
      <c r="U124" s="639"/>
      <c r="V124" s="640"/>
      <c r="W124" s="37" t="s">
        <v>67</v>
      </c>
      <c r="X124" s="619">
        <f>IFERROR(SUM(X119:X122),"0")</f>
        <v>0</v>
      </c>
      <c r="Y124" s="619">
        <f>IFERROR(SUM(Y119:Y122),"0")</f>
        <v>0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8" t="s">
        <v>69</v>
      </c>
      <c r="Q127" s="639"/>
      <c r="R127" s="639"/>
      <c r="S127" s="639"/>
      <c r="T127" s="639"/>
      <c r="U127" s="639"/>
      <c r="V127" s="640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8" t="s">
        <v>69</v>
      </c>
      <c r="Q128" s="639"/>
      <c r="R128" s="639"/>
      <c r="S128" s="639"/>
      <c r="T128" s="639"/>
      <c r="U128" s="639"/>
      <c r="V128" s="640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37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26</v>
      </c>
      <c r="Y131" s="618">
        <f>IFERROR(IF(X131="",0,CEILING((X131/$H131),1)*$H131),"")</f>
        <v>28.8</v>
      </c>
      <c r="Z131" s="36">
        <f>IFERROR(IF(Y131=0,"",ROUNDUP(Y131/H131,0)*0.00651),"")</f>
        <v>5.8590000000000003E-2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27.462499999999999</v>
      </c>
      <c r="BN131" s="64">
        <f>IFERROR(Y131*I131/H131,"0")</f>
        <v>30.419999999999998</v>
      </c>
      <c r="BO131" s="64">
        <f>IFERROR(1/J131*(X131/H131),"0")</f>
        <v>4.4642857142857144E-2</v>
      </c>
      <c r="BP131" s="64">
        <f>IFERROR(1/J131*(Y131/H131),"0")</f>
        <v>4.9450549450549455E-2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8" t="s">
        <v>69</v>
      </c>
      <c r="Q133" s="639"/>
      <c r="R133" s="639"/>
      <c r="S133" s="639"/>
      <c r="T133" s="639"/>
      <c r="U133" s="639"/>
      <c r="V133" s="640"/>
      <c r="W133" s="37" t="s">
        <v>70</v>
      </c>
      <c r="X133" s="619">
        <f>IFERROR(X131/H131,"0")+IFERROR(X132/H132,"0")</f>
        <v>8.125</v>
      </c>
      <c r="Y133" s="619">
        <f>IFERROR(Y131/H131,"0")+IFERROR(Y132/H132,"0")</f>
        <v>9</v>
      </c>
      <c r="Z133" s="619">
        <f>IFERROR(IF(Z131="",0,Z131),"0")+IFERROR(IF(Z132="",0,Z132),"0")</f>
        <v>5.8590000000000003E-2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8" t="s">
        <v>69</v>
      </c>
      <c r="Q134" s="639"/>
      <c r="R134" s="639"/>
      <c r="S134" s="639"/>
      <c r="T134" s="639"/>
      <c r="U134" s="639"/>
      <c r="V134" s="640"/>
      <c r="W134" s="37" t="s">
        <v>67</v>
      </c>
      <c r="X134" s="619">
        <f>IFERROR(SUM(X131:X132),"0")</f>
        <v>26</v>
      </c>
      <c r="Y134" s="619">
        <f>IFERROR(SUM(Y131:Y132),"0")</f>
        <v>28.8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8" t="s">
        <v>69</v>
      </c>
      <c r="Q138" s="639"/>
      <c r="R138" s="639"/>
      <c r="S138" s="639"/>
      <c r="T138" s="639"/>
      <c r="U138" s="639"/>
      <c r="V138" s="640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8" t="s">
        <v>69</v>
      </c>
      <c r="Q139" s="639"/>
      <c r="R139" s="639"/>
      <c r="S139" s="639"/>
      <c r="T139" s="639"/>
      <c r="U139" s="639"/>
      <c r="V139" s="640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7</v>
      </c>
      <c r="Y141" s="618">
        <f>IFERROR(IF(X141="",0,CEILING((X141/$H141),1)*$H141),"")</f>
        <v>7.92</v>
      </c>
      <c r="Z141" s="36">
        <f>IFERROR(IF(Y141=0,"",ROUNDUP(Y141/H141,0)*0.00651),"")</f>
        <v>1.9529999999999999E-2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7.7106060606060591</v>
      </c>
      <c r="BN141" s="64">
        <f>IFERROR(Y141*I141/H141,"0")</f>
        <v>8.7240000000000002</v>
      </c>
      <c r="BO141" s="64">
        <f>IFERROR(1/J141*(X141/H141),"0")</f>
        <v>1.456876456876457E-2</v>
      </c>
      <c r="BP141" s="64">
        <f>IFERROR(1/J141*(Y141/H141),"0")</f>
        <v>1.6483516483516484E-2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8" t="s">
        <v>69</v>
      </c>
      <c r="Q143" s="639"/>
      <c r="R143" s="639"/>
      <c r="S143" s="639"/>
      <c r="T143" s="639"/>
      <c r="U143" s="639"/>
      <c r="V143" s="640"/>
      <c r="W143" s="37" t="s">
        <v>70</v>
      </c>
      <c r="X143" s="619">
        <f>IFERROR(X141/H141,"0")+IFERROR(X142/H142,"0")</f>
        <v>2.6515151515151514</v>
      </c>
      <c r="Y143" s="619">
        <f>IFERROR(Y141/H141,"0")+IFERROR(Y142/H142,"0")</f>
        <v>3</v>
      </c>
      <c r="Z143" s="619">
        <f>IFERROR(IF(Z141="",0,Z141),"0")+IFERROR(IF(Z142="",0,Z142),"0")</f>
        <v>1.9529999999999999E-2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8" t="s">
        <v>69</v>
      </c>
      <c r="Q144" s="639"/>
      <c r="R144" s="639"/>
      <c r="S144" s="639"/>
      <c r="T144" s="639"/>
      <c r="U144" s="639"/>
      <c r="V144" s="640"/>
      <c r="W144" s="37" t="s">
        <v>67</v>
      </c>
      <c r="X144" s="619">
        <f>IFERROR(SUM(X141:X142),"0")</f>
        <v>7</v>
      </c>
      <c r="Y144" s="619">
        <f>IFERROR(SUM(Y141:Y142),"0")</f>
        <v>7.92</v>
      </c>
      <c r="Z144" s="37"/>
      <c r="AA144" s="620"/>
      <c r="AB144" s="620"/>
      <c r="AC144" s="620"/>
    </row>
    <row r="145" spans="1:68" ht="16.5" hidden="1" customHeight="1" x14ac:dyDescent="0.25">
      <c r="A145" s="637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8" t="s">
        <v>69</v>
      </c>
      <c r="Q151" s="639"/>
      <c r="R151" s="639"/>
      <c r="S151" s="639"/>
      <c r="T151" s="639"/>
      <c r="U151" s="639"/>
      <c r="V151" s="640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8" t="s">
        <v>69</v>
      </c>
      <c r="Q152" s="639"/>
      <c r="R152" s="639"/>
      <c r="S152" s="639"/>
      <c r="T152" s="639"/>
      <c r="U152" s="639"/>
      <c r="V152" s="640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8" t="s">
        <v>69</v>
      </c>
      <c r="Q155" s="639"/>
      <c r="R155" s="639"/>
      <c r="S155" s="639"/>
      <c r="T155" s="639"/>
      <c r="U155" s="639"/>
      <c r="V155" s="640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8" t="s">
        <v>69</v>
      </c>
      <c r="Q156" s="639"/>
      <c r="R156" s="639"/>
      <c r="S156" s="639"/>
      <c r="T156" s="639"/>
      <c r="U156" s="639"/>
      <c r="V156" s="640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37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8" t="s">
        <v>69</v>
      </c>
      <c r="Q163" s="639"/>
      <c r="R163" s="639"/>
      <c r="S163" s="639"/>
      <c r="T163" s="639"/>
      <c r="U163" s="639"/>
      <c r="V163" s="640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8" t="s">
        <v>69</v>
      </c>
      <c r="Q164" s="639"/>
      <c r="R164" s="639"/>
      <c r="S164" s="639"/>
      <c r="T164" s="639"/>
      <c r="U164" s="639"/>
      <c r="V164" s="640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8" t="s">
        <v>69</v>
      </c>
      <c r="Q168" s="639"/>
      <c r="R168" s="639"/>
      <c r="S168" s="639"/>
      <c r="T168" s="639"/>
      <c r="U168" s="639"/>
      <c r="V168" s="640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8" t="s">
        <v>69</v>
      </c>
      <c r="Q169" s="639"/>
      <c r="R169" s="639"/>
      <c r="S169" s="639"/>
      <c r="T169" s="639"/>
      <c r="U169" s="639"/>
      <c r="V169" s="640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1</v>
      </c>
      <c r="Y175" s="618">
        <f t="shared" si="15"/>
        <v>1.8</v>
      </c>
      <c r="Z175" s="36">
        <f>IFERROR(IF(Y175=0,"",ROUNDUP(Y175/H175,0)*0.00726),"")</f>
        <v>1.452E-2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1.2333333333333334</v>
      </c>
      <c r="BN175" s="64">
        <f t="shared" si="17"/>
        <v>2.2200000000000002</v>
      </c>
      <c r="BO175" s="64">
        <f t="shared" si="18"/>
        <v>5.7870370370370367E-3</v>
      </c>
      <c r="BP175" s="64">
        <f t="shared" si="19"/>
        <v>1.0416666666666666E-2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8</v>
      </c>
      <c r="Y178" s="618">
        <f t="shared" si="15"/>
        <v>8.4</v>
      </c>
      <c r="Z178" s="36">
        <f>IFERROR(IF(Y178=0,"",ROUNDUP(Y178/H178,0)*0.00502),"")</f>
        <v>2.5100000000000001E-2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8.4761904761904763</v>
      </c>
      <c r="BN178" s="64">
        <f t="shared" si="17"/>
        <v>8.9000000000000021</v>
      </c>
      <c r="BO178" s="64">
        <f t="shared" si="18"/>
        <v>2.0350020350020353E-2</v>
      </c>
      <c r="BP178" s="64">
        <f t="shared" si="19"/>
        <v>2.1367521367521368E-2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8" t="s">
        <v>69</v>
      </c>
      <c r="Q181" s="639"/>
      <c r="R181" s="639"/>
      <c r="S181" s="639"/>
      <c r="T181" s="639"/>
      <c r="U181" s="639"/>
      <c r="V181" s="640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5.8730158730158735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7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3.9620000000000002E-2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8" t="s">
        <v>69</v>
      </c>
      <c r="Q182" s="639"/>
      <c r="R182" s="639"/>
      <c r="S182" s="639"/>
      <c r="T182" s="639"/>
      <c r="U182" s="639"/>
      <c r="V182" s="640"/>
      <c r="W182" s="37" t="s">
        <v>67</v>
      </c>
      <c r="X182" s="619">
        <f>IFERROR(SUM(X171:X180),"0")</f>
        <v>9</v>
      </c>
      <c r="Y182" s="619">
        <f>IFERROR(SUM(Y171:Y180),"0")</f>
        <v>10.200000000000001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8" t="s">
        <v>69</v>
      </c>
      <c r="Q186" s="639"/>
      <c r="R186" s="639"/>
      <c r="S186" s="639"/>
      <c r="T186" s="639"/>
      <c r="U186" s="639"/>
      <c r="V186" s="640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8" t="s">
        <v>69</v>
      </c>
      <c r="Q187" s="639"/>
      <c r="R187" s="639"/>
      <c r="S187" s="639"/>
      <c r="T187" s="639"/>
      <c r="U187" s="639"/>
      <c r="V187" s="640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8" t="s">
        <v>69</v>
      </c>
      <c r="Q190" s="639"/>
      <c r="R190" s="639"/>
      <c r="S190" s="639"/>
      <c r="T190" s="639"/>
      <c r="U190" s="639"/>
      <c r="V190" s="640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8" t="s">
        <v>69</v>
      </c>
      <c r="Q191" s="639"/>
      <c r="R191" s="639"/>
      <c r="S191" s="639"/>
      <c r="T191" s="639"/>
      <c r="U191" s="639"/>
      <c r="V191" s="640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8" t="s">
        <v>69</v>
      </c>
      <c r="Q194" s="639"/>
      <c r="R194" s="639"/>
      <c r="S194" s="639"/>
      <c r="T194" s="639"/>
      <c r="U194" s="639"/>
      <c r="V194" s="640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8" t="s">
        <v>69</v>
      </c>
      <c r="Q195" s="639"/>
      <c r="R195" s="639"/>
      <c r="S195" s="639"/>
      <c r="T195" s="639"/>
      <c r="U195" s="639"/>
      <c r="V195" s="640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37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8" t="s">
        <v>69</v>
      </c>
      <c r="Q206" s="639"/>
      <c r="R206" s="639"/>
      <c r="S206" s="639"/>
      <c r="T206" s="639"/>
      <c r="U206" s="639"/>
      <c r="V206" s="640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8" t="s">
        <v>69</v>
      </c>
      <c r="Q207" s="639"/>
      <c r="R207" s="639"/>
      <c r="S207" s="639"/>
      <c r="T207" s="639"/>
      <c r="U207" s="639"/>
      <c r="V207" s="640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37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8" t="s">
        <v>69</v>
      </c>
      <c r="Q211" s="639"/>
      <c r="R211" s="639"/>
      <c r="S211" s="639"/>
      <c r="T211" s="639"/>
      <c r="U211" s="639"/>
      <c r="V211" s="640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8" t="s">
        <v>69</v>
      </c>
      <c r="Q212" s="639"/>
      <c r="R212" s="639"/>
      <c r="S212" s="639"/>
      <c r="T212" s="639"/>
      <c r="U212" s="639"/>
      <c r="V212" s="640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5</v>
      </c>
      <c r="Y217" s="618">
        <f t="shared" si="26"/>
        <v>5.6000000000000005</v>
      </c>
      <c r="Z217" s="36">
        <f>IFERROR(IF(Y217=0,"",ROUNDUP(Y217/H217,0)*0.00556),"")</f>
        <v>3.8919999999999996E-2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5.8125</v>
      </c>
      <c r="BN217" s="64">
        <f t="shared" si="28"/>
        <v>6.5100000000000007</v>
      </c>
      <c r="BO217" s="64">
        <f t="shared" si="29"/>
        <v>2.48015873015873E-2</v>
      </c>
      <c r="BP217" s="64">
        <f t="shared" si="30"/>
        <v>2.7777777777777776E-2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8" t="s">
        <v>69</v>
      </c>
      <c r="Q227" s="639"/>
      <c r="R227" s="639"/>
      <c r="S227" s="639"/>
      <c r="T227" s="639"/>
      <c r="U227" s="639"/>
      <c r="V227" s="640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6.25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7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3.8919999999999996E-2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8" t="s">
        <v>69</v>
      </c>
      <c r="Q228" s="639"/>
      <c r="R228" s="639"/>
      <c r="S228" s="639"/>
      <c r="T228" s="639"/>
      <c r="U228" s="639"/>
      <c r="V228" s="640"/>
      <c r="W228" s="37" t="s">
        <v>67</v>
      </c>
      <c r="X228" s="619">
        <f>IFERROR(SUM(X214:X226),"0")</f>
        <v>5</v>
      </c>
      <c r="Y228" s="619">
        <f>IFERROR(SUM(Y214:Y226),"0")</f>
        <v>5.6000000000000005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8" t="s">
        <v>69</v>
      </c>
      <c r="Q235" s="639"/>
      <c r="R235" s="639"/>
      <c r="S235" s="639"/>
      <c r="T235" s="639"/>
      <c r="U235" s="639"/>
      <c r="V235" s="640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8" t="s">
        <v>69</v>
      </c>
      <c r="Q236" s="639"/>
      <c r="R236" s="639"/>
      <c r="S236" s="639"/>
      <c r="T236" s="639"/>
      <c r="U236" s="639"/>
      <c r="V236" s="640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8" t="s">
        <v>69</v>
      </c>
      <c r="Q241" s="639"/>
      <c r="R241" s="639"/>
      <c r="S241" s="639"/>
      <c r="T241" s="639"/>
      <c r="U241" s="639"/>
      <c r="V241" s="640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8" t="s">
        <v>69</v>
      </c>
      <c r="Q242" s="639"/>
      <c r="R242" s="639"/>
      <c r="S242" s="639"/>
      <c r="T242" s="639"/>
      <c r="U242" s="639"/>
      <c r="V242" s="640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8" t="s">
        <v>69</v>
      </c>
      <c r="Q245" s="639"/>
      <c r="R245" s="639"/>
      <c r="S245" s="639"/>
      <c r="T245" s="639"/>
      <c r="U245" s="639"/>
      <c r="V245" s="640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8" t="s">
        <v>69</v>
      </c>
      <c r="Q246" s="639"/>
      <c r="R246" s="639"/>
      <c r="S246" s="639"/>
      <c r="T246" s="639"/>
      <c r="U246" s="639"/>
      <c r="V246" s="640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37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8" t="s">
        <v>69</v>
      </c>
      <c r="Q251" s="639"/>
      <c r="R251" s="639"/>
      <c r="S251" s="639"/>
      <c r="T251" s="639"/>
      <c r="U251" s="639"/>
      <c r="V251" s="640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8" t="s">
        <v>69</v>
      </c>
      <c r="Q252" s="639"/>
      <c r="R252" s="639"/>
      <c r="S252" s="639"/>
      <c r="T252" s="639"/>
      <c r="U252" s="639"/>
      <c r="V252" s="640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8" t="s">
        <v>69</v>
      </c>
      <c r="Q256" s="639"/>
      <c r="R256" s="639"/>
      <c r="S256" s="639"/>
      <c r="T256" s="639"/>
      <c r="U256" s="639"/>
      <c r="V256" s="640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8" t="s">
        <v>69</v>
      </c>
      <c r="Q257" s="639"/>
      <c r="R257" s="639"/>
      <c r="S257" s="639"/>
      <c r="T257" s="639"/>
      <c r="U257" s="639"/>
      <c r="V257" s="640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idden="1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8" t="s">
        <v>69</v>
      </c>
      <c r="Q267" s="639"/>
      <c r="R267" s="639"/>
      <c r="S267" s="639"/>
      <c r="T267" s="639"/>
      <c r="U267" s="639"/>
      <c r="V267" s="640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0</v>
      </c>
      <c r="Y267" s="619">
        <f>IFERROR(Y259/H259,"0")+IFERROR(Y260/H260,"0")+IFERROR(Y261/H261,"0")+IFERROR(Y262/H262,"0")+IFERROR(Y263/H263,"0")+IFERROR(Y264/H264,"0")+IFERROR(Y265/H265,"0")+IFERROR(Y266/H266,"0")</f>
        <v>0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20"/>
      <c r="AB267" s="620"/>
      <c r="AC267" s="620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8" t="s">
        <v>69</v>
      </c>
      <c r="Q268" s="639"/>
      <c r="R268" s="639"/>
      <c r="S268" s="639"/>
      <c r="T268" s="639"/>
      <c r="U268" s="639"/>
      <c r="V268" s="640"/>
      <c r="W268" s="37" t="s">
        <v>67</v>
      </c>
      <c r="X268" s="619">
        <f>IFERROR(SUM(X259:X266),"0")</f>
        <v>0</v>
      </c>
      <c r="Y268" s="619">
        <f>IFERROR(SUM(Y259:Y266),"0")</f>
        <v>0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52</v>
      </c>
      <c r="Y273" s="618">
        <f t="shared" si="36"/>
        <v>52.8</v>
      </c>
      <c r="Z273" s="36">
        <f>IFERROR(IF(Y273=0,"",ROUNDUP(Y273/H273,0)*0.00651),"")</f>
        <v>0.14322000000000001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57.85</v>
      </c>
      <c r="BN273" s="64">
        <f t="shared" si="38"/>
        <v>58.74</v>
      </c>
      <c r="BO273" s="64">
        <f t="shared" si="39"/>
        <v>0.11904761904761907</v>
      </c>
      <c r="BP273" s="64">
        <f t="shared" si="40"/>
        <v>0.12087912087912089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40</v>
      </c>
      <c r="Y278" s="618">
        <f t="shared" si="36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44.20000000000001</v>
      </c>
      <c r="BN278" s="64">
        <f t="shared" si="38"/>
        <v>45.084000000000003</v>
      </c>
      <c r="BO278" s="64">
        <f t="shared" si="39"/>
        <v>9.1575091575091583E-2</v>
      </c>
      <c r="BP278" s="64">
        <f t="shared" si="40"/>
        <v>9.3406593406593408E-2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0</v>
      </c>
      <c r="Y280" s="618">
        <f t="shared" si="36"/>
        <v>0</v>
      </c>
      <c r="Z280" s="36" t="str">
        <f>IFERROR(IF(Y280=0,"",ROUNDUP(Y280/H280,0)*0.00651),"")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8" t="s">
        <v>69</v>
      </c>
      <c r="Q282" s="639"/>
      <c r="R282" s="639"/>
      <c r="S282" s="639"/>
      <c r="T282" s="639"/>
      <c r="U282" s="639"/>
      <c r="V282" s="640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38.333333333333336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39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0.25389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8" t="s">
        <v>69</v>
      </c>
      <c r="Q283" s="639"/>
      <c r="R283" s="639"/>
      <c r="S283" s="639"/>
      <c r="T283" s="639"/>
      <c r="U283" s="639"/>
      <c r="V283" s="640"/>
      <c r="W283" s="37" t="s">
        <v>67</v>
      </c>
      <c r="X283" s="619">
        <f>IFERROR(SUM(X270:X281),"0")</f>
        <v>92</v>
      </c>
      <c r="Y283" s="619">
        <f>IFERROR(SUM(Y270:Y281),"0")</f>
        <v>93.6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8" t="s">
        <v>69</v>
      </c>
      <c r="Q287" s="639"/>
      <c r="R287" s="639"/>
      <c r="S287" s="639"/>
      <c r="T287" s="639"/>
      <c r="U287" s="639"/>
      <c r="V287" s="640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8" t="s">
        <v>69</v>
      </c>
      <c r="Q288" s="639"/>
      <c r="R288" s="639"/>
      <c r="S288" s="639"/>
      <c r="T288" s="639"/>
      <c r="U288" s="639"/>
      <c r="V288" s="640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37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8" t="s">
        <v>69</v>
      </c>
      <c r="Q298" s="639"/>
      <c r="R298" s="639"/>
      <c r="S298" s="639"/>
      <c r="T298" s="639"/>
      <c r="U298" s="639"/>
      <c r="V298" s="640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8" t="s">
        <v>69</v>
      </c>
      <c r="Q299" s="639"/>
      <c r="R299" s="639"/>
      <c r="S299" s="639"/>
      <c r="T299" s="639"/>
      <c r="U299" s="639"/>
      <c r="V299" s="640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8" t="s">
        <v>69</v>
      </c>
      <c r="Q302" s="639"/>
      <c r="R302" s="639"/>
      <c r="S302" s="639"/>
      <c r="T302" s="639"/>
      <c r="U302" s="639"/>
      <c r="V302" s="640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8" t="s">
        <v>69</v>
      </c>
      <c r="Q303" s="639"/>
      <c r="R303" s="639"/>
      <c r="S303" s="639"/>
      <c r="T303" s="639"/>
      <c r="U303" s="639"/>
      <c r="V303" s="640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8" t="s">
        <v>69</v>
      </c>
      <c r="Q306" s="639"/>
      <c r="R306" s="639"/>
      <c r="S306" s="639"/>
      <c r="T306" s="639"/>
      <c r="U306" s="639"/>
      <c r="V306" s="640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8" t="s">
        <v>69</v>
      </c>
      <c r="Q307" s="639"/>
      <c r="R307" s="639"/>
      <c r="S307" s="639"/>
      <c r="T307" s="639"/>
      <c r="U307" s="639"/>
      <c r="V307" s="640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8" t="s">
        <v>69</v>
      </c>
      <c r="Q311" s="639"/>
      <c r="R311" s="639"/>
      <c r="S311" s="639"/>
      <c r="T311" s="639"/>
      <c r="U311" s="639"/>
      <c r="V311" s="640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8" t="s">
        <v>69</v>
      </c>
      <c r="Q312" s="639"/>
      <c r="R312" s="639"/>
      <c r="S312" s="639"/>
      <c r="T312" s="639"/>
      <c r="U312" s="639"/>
      <c r="V312" s="640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37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8" t="s">
        <v>69</v>
      </c>
      <c r="Q321" s="639"/>
      <c r="R321" s="639"/>
      <c r="S321" s="639"/>
      <c r="T321" s="639"/>
      <c r="U321" s="639"/>
      <c r="V321" s="640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8" t="s">
        <v>69</v>
      </c>
      <c r="Q322" s="639"/>
      <c r="R322" s="639"/>
      <c r="S322" s="639"/>
      <c r="T322" s="639"/>
      <c r="U322" s="639"/>
      <c r="V322" s="640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37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16</v>
      </c>
      <c r="Y326" s="618">
        <f>IFERROR(IF(X326="",0,CEILING((X326/$H326),1)*$H326),"")</f>
        <v>16.8</v>
      </c>
      <c r="Z326" s="36">
        <f>IFERROR(IF(Y326=0,"",ROUNDUP(Y326/H326,0)*0.00651),"")</f>
        <v>4.5569999999999999E-2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17.680000000000003</v>
      </c>
      <c r="BN326" s="64">
        <f>IFERROR(Y326*I326/H326,"0")</f>
        <v>18.564000000000004</v>
      </c>
      <c r="BO326" s="64">
        <f>IFERROR(1/J326*(X326/H326),"0")</f>
        <v>3.6630036630036632E-2</v>
      </c>
      <c r="BP326" s="64">
        <f>IFERROR(1/J326*(Y326/H326),"0")</f>
        <v>3.8461538461538471E-2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37</v>
      </c>
      <c r="Y327" s="618">
        <f>IFERROR(IF(X327="",0,CEILING((X327/$H327),1)*$H327),"")</f>
        <v>38.4</v>
      </c>
      <c r="Z327" s="36">
        <f>IFERROR(IF(Y327=0,"",ROUNDUP(Y327/H327,0)*0.00651),"")</f>
        <v>0.10416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39.775000000000006</v>
      </c>
      <c r="BN327" s="64">
        <f>IFERROR(Y327*I327/H327,"0")</f>
        <v>41.28</v>
      </c>
      <c r="BO327" s="64">
        <f>IFERROR(1/J327*(X327/H327),"0")</f>
        <v>8.4706959706959725E-2</v>
      </c>
      <c r="BP327" s="64">
        <f>IFERROR(1/J327*(Y327/H327),"0")</f>
        <v>8.7912087912087919E-2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8" t="s">
        <v>69</v>
      </c>
      <c r="Q328" s="639"/>
      <c r="R328" s="639"/>
      <c r="S328" s="639"/>
      <c r="T328" s="639"/>
      <c r="U328" s="639"/>
      <c r="V328" s="640"/>
      <c r="W328" s="37" t="s">
        <v>70</v>
      </c>
      <c r="X328" s="619">
        <f>IFERROR(X325/H325,"0")+IFERROR(X326/H326,"0")+IFERROR(X327/H327,"0")</f>
        <v>22.083333333333336</v>
      </c>
      <c r="Y328" s="619">
        <f>IFERROR(Y325/H325,"0")+IFERROR(Y326/H326,"0")+IFERROR(Y327/H327,"0")</f>
        <v>23</v>
      </c>
      <c r="Z328" s="619">
        <f>IFERROR(IF(Z325="",0,Z325),"0")+IFERROR(IF(Z326="",0,Z326),"0")+IFERROR(IF(Z327="",0,Z327),"0")</f>
        <v>0.14973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8" t="s">
        <v>69</v>
      </c>
      <c r="Q329" s="639"/>
      <c r="R329" s="639"/>
      <c r="S329" s="639"/>
      <c r="T329" s="639"/>
      <c r="U329" s="639"/>
      <c r="V329" s="640"/>
      <c r="W329" s="37" t="s">
        <v>67</v>
      </c>
      <c r="X329" s="619">
        <f>IFERROR(SUM(X325:X327),"0")</f>
        <v>53</v>
      </c>
      <c r="Y329" s="619">
        <f>IFERROR(SUM(Y325:Y327),"0")</f>
        <v>55.2</v>
      </c>
      <c r="Z329" s="37"/>
      <c r="AA329" s="620"/>
      <c r="AB329" s="620"/>
      <c r="AC329" s="620"/>
    </row>
    <row r="330" spans="1:68" ht="16.5" hidden="1" customHeight="1" x14ac:dyDescent="0.25">
      <c r="A330" s="637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8" t="s">
        <v>69</v>
      </c>
      <c r="Q336" s="639"/>
      <c r="R336" s="639"/>
      <c r="S336" s="639"/>
      <c r="T336" s="639"/>
      <c r="U336" s="639"/>
      <c r="V336" s="640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8" t="s">
        <v>69</v>
      </c>
      <c r="Q337" s="639"/>
      <c r="R337" s="639"/>
      <c r="S337" s="639"/>
      <c r="T337" s="639"/>
      <c r="U337" s="639"/>
      <c r="V337" s="640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8" t="s">
        <v>69</v>
      </c>
      <c r="Q342" s="639"/>
      <c r="R342" s="639"/>
      <c r="S342" s="639"/>
      <c r="T342" s="639"/>
      <c r="U342" s="639"/>
      <c r="V342" s="640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8" t="s">
        <v>69</v>
      </c>
      <c r="Q343" s="639"/>
      <c r="R343" s="639"/>
      <c r="S343" s="639"/>
      <c r="T343" s="639"/>
      <c r="U343" s="639"/>
      <c r="V343" s="640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37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49</v>
      </c>
      <c r="Y347" s="618">
        <f>IFERROR(IF(X347="",0,CEILING((X347/$H347),1)*$H347),"")</f>
        <v>54.6</v>
      </c>
      <c r="Z347" s="36">
        <f>IFERROR(IF(Y347=0,"",ROUNDUP(Y347/H347,0)*0.01898),"")</f>
        <v>0.13286000000000001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51.575641025641026</v>
      </c>
      <c r="BN347" s="64">
        <f>IFERROR(Y347*I347/H347,"0")</f>
        <v>57.470000000000013</v>
      </c>
      <c r="BO347" s="64">
        <f>IFERROR(1/J347*(X347/H347),"0")</f>
        <v>9.815705128205128E-2</v>
      </c>
      <c r="BP347" s="64">
        <f>IFERROR(1/J347*(Y347/H347),"0")</f>
        <v>0.109375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8" t="s">
        <v>69</v>
      </c>
      <c r="Q349" s="639"/>
      <c r="R349" s="639"/>
      <c r="S349" s="639"/>
      <c r="T349" s="639"/>
      <c r="U349" s="639"/>
      <c r="V349" s="640"/>
      <c r="W349" s="37" t="s">
        <v>70</v>
      </c>
      <c r="X349" s="619">
        <f>IFERROR(X346/H346,"0")+IFERROR(X347/H347,"0")+IFERROR(X348/H348,"0")</f>
        <v>6.2820512820512819</v>
      </c>
      <c r="Y349" s="619">
        <f>IFERROR(Y346/H346,"0")+IFERROR(Y347/H347,"0")+IFERROR(Y348/H348,"0")</f>
        <v>7</v>
      </c>
      <c r="Z349" s="619">
        <f>IFERROR(IF(Z346="",0,Z346),"0")+IFERROR(IF(Z347="",0,Z347),"0")+IFERROR(IF(Z348="",0,Z348),"0")</f>
        <v>0.13286000000000001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8" t="s">
        <v>69</v>
      </c>
      <c r="Q350" s="639"/>
      <c r="R350" s="639"/>
      <c r="S350" s="639"/>
      <c r="T350" s="639"/>
      <c r="U350" s="639"/>
      <c r="V350" s="640"/>
      <c r="W350" s="37" t="s">
        <v>67</v>
      </c>
      <c r="X350" s="619">
        <f>IFERROR(SUM(X346:X348),"0")</f>
        <v>49</v>
      </c>
      <c r="Y350" s="619">
        <f>IFERROR(SUM(Y346:Y348),"0")</f>
        <v>54.6</v>
      </c>
      <c r="Z350" s="37"/>
      <c r="AA350" s="620"/>
      <c r="AB350" s="620"/>
      <c r="AC350" s="620"/>
    </row>
    <row r="351" spans="1:68" ht="16.5" hidden="1" customHeight="1" x14ac:dyDescent="0.25">
      <c r="A351" s="637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8" t="s">
        <v>69</v>
      </c>
      <c r="Q360" s="639"/>
      <c r="R360" s="639"/>
      <c r="S360" s="639"/>
      <c r="T360" s="639"/>
      <c r="U360" s="639"/>
      <c r="V360" s="640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8" t="s">
        <v>69</v>
      </c>
      <c r="Q361" s="639"/>
      <c r="R361" s="639"/>
      <c r="S361" s="639"/>
      <c r="T361" s="639"/>
      <c r="U361" s="639"/>
      <c r="V361" s="640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8" t="s">
        <v>69</v>
      </c>
      <c r="Q370" s="639"/>
      <c r="R370" s="639"/>
      <c r="S370" s="639"/>
      <c r="T370" s="639"/>
      <c r="U370" s="639"/>
      <c r="V370" s="640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8" t="s">
        <v>69</v>
      </c>
      <c r="Q371" s="639"/>
      <c r="R371" s="639"/>
      <c r="S371" s="639"/>
      <c r="T371" s="639"/>
      <c r="U371" s="639"/>
      <c r="V371" s="640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8" t="s">
        <v>69</v>
      </c>
      <c r="Q377" s="639"/>
      <c r="R377" s="639"/>
      <c r="S377" s="639"/>
      <c r="T377" s="639"/>
      <c r="U377" s="639"/>
      <c r="V377" s="640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8" t="s">
        <v>69</v>
      </c>
      <c r="Q378" s="639"/>
      <c r="R378" s="639"/>
      <c r="S378" s="639"/>
      <c r="T378" s="639"/>
      <c r="U378" s="639"/>
      <c r="V378" s="640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8" t="s">
        <v>69</v>
      </c>
      <c r="Q383" s="639"/>
      <c r="R383" s="639"/>
      <c r="S383" s="639"/>
      <c r="T383" s="639"/>
      <c r="U383" s="639"/>
      <c r="V383" s="640"/>
      <c r="W383" s="37" t="s">
        <v>70</v>
      </c>
      <c r="X383" s="619">
        <f>IFERROR(X380/H380,"0")+IFERROR(X381/H381,"0")+IFERROR(X382/H382,"0")</f>
        <v>0</v>
      </c>
      <c r="Y383" s="619">
        <f>IFERROR(Y380/H380,"0")+IFERROR(Y381/H381,"0")+IFERROR(Y382/H382,"0")</f>
        <v>0</v>
      </c>
      <c r="Z383" s="619">
        <f>IFERROR(IF(Z380="",0,Z380),"0")+IFERROR(IF(Z381="",0,Z381),"0")+IFERROR(IF(Z382="",0,Z382),"0")</f>
        <v>0</v>
      </c>
      <c r="AA383" s="620"/>
      <c r="AB383" s="620"/>
      <c r="AC383" s="620"/>
    </row>
    <row r="384" spans="1:68" hidden="1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8" t="s">
        <v>69</v>
      </c>
      <c r="Q384" s="639"/>
      <c r="R384" s="639"/>
      <c r="S384" s="639"/>
      <c r="T384" s="639"/>
      <c r="U384" s="639"/>
      <c r="V384" s="640"/>
      <c r="W384" s="37" t="s">
        <v>67</v>
      </c>
      <c r="X384" s="619">
        <f>IFERROR(SUM(X380:X382),"0")</f>
        <v>0</v>
      </c>
      <c r="Y384" s="619">
        <f>IFERROR(SUM(Y380:Y382),"0")</f>
        <v>0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16</v>
      </c>
      <c r="Y388" s="618">
        <f>IFERROR(IF(X388="",0,CEILING((X388/$H388),1)*$H388),"")</f>
        <v>17.849999999999998</v>
      </c>
      <c r="Z388" s="36">
        <f>IFERROR(IF(Y388=0,"",ROUNDUP(Y388/H388,0)*0.00651),"")</f>
        <v>4.5569999999999999E-2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18.541176470588237</v>
      </c>
      <c r="BN388" s="64">
        <f>IFERROR(Y388*I388/H388,"0")</f>
        <v>20.684999999999999</v>
      </c>
      <c r="BO388" s="64">
        <f>IFERROR(1/J388*(X388/H388),"0")</f>
        <v>3.4475328592975661E-2</v>
      </c>
      <c r="BP388" s="64">
        <f>IFERROR(1/J388*(Y388/H388),"0")</f>
        <v>3.8461538461538464E-2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10</v>
      </c>
      <c r="Y389" s="618">
        <f>IFERROR(IF(X389="",0,CEILING((X389/$H389),1)*$H389),"")</f>
        <v>10.199999999999999</v>
      </c>
      <c r="Z389" s="36">
        <f>IFERROR(IF(Y389=0,"",ROUNDUP(Y389/H389,0)*0.00651),"")</f>
        <v>2.6040000000000001E-2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11.294117647058822</v>
      </c>
      <c r="BN389" s="64">
        <f>IFERROR(Y389*I389/H389,"0")</f>
        <v>11.52</v>
      </c>
      <c r="BO389" s="64">
        <f>IFERROR(1/J389*(X389/H389),"0")</f>
        <v>2.1547080370609786E-2</v>
      </c>
      <c r="BP389" s="64">
        <f>IFERROR(1/J389*(Y389/H389),"0")</f>
        <v>2.197802197802198E-2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8" t="s">
        <v>69</v>
      </c>
      <c r="Q390" s="639"/>
      <c r="R390" s="639"/>
      <c r="S390" s="639"/>
      <c r="T390" s="639"/>
      <c r="U390" s="639"/>
      <c r="V390" s="640"/>
      <c r="W390" s="37" t="s">
        <v>70</v>
      </c>
      <c r="X390" s="619">
        <f>IFERROR(X386/H386,"0")+IFERROR(X387/H387,"0")+IFERROR(X388/H388,"0")+IFERROR(X389/H389,"0")</f>
        <v>10.19607843137255</v>
      </c>
      <c r="Y390" s="619">
        <f>IFERROR(Y386/H386,"0")+IFERROR(Y387/H387,"0")+IFERROR(Y388/H388,"0")+IFERROR(Y389/H389,"0")</f>
        <v>11</v>
      </c>
      <c r="Z390" s="619">
        <f>IFERROR(IF(Z386="",0,Z386),"0")+IFERROR(IF(Z387="",0,Z387),"0")+IFERROR(IF(Z388="",0,Z388),"0")+IFERROR(IF(Z389="",0,Z389),"0")</f>
        <v>7.1610000000000007E-2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8" t="s">
        <v>69</v>
      </c>
      <c r="Q391" s="639"/>
      <c r="R391" s="639"/>
      <c r="S391" s="639"/>
      <c r="T391" s="639"/>
      <c r="U391" s="639"/>
      <c r="V391" s="640"/>
      <c r="W391" s="37" t="s">
        <v>67</v>
      </c>
      <c r="X391" s="619">
        <f>IFERROR(SUM(X386:X389),"0")</f>
        <v>26</v>
      </c>
      <c r="Y391" s="619">
        <f>IFERROR(SUM(Y386:Y389),"0")</f>
        <v>28.049999999999997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8" t="s">
        <v>69</v>
      </c>
      <c r="Q396" s="639"/>
      <c r="R396" s="639"/>
      <c r="S396" s="639"/>
      <c r="T396" s="639"/>
      <c r="U396" s="639"/>
      <c r="V396" s="640"/>
      <c r="W396" s="37" t="s">
        <v>70</v>
      </c>
      <c r="X396" s="619">
        <f>IFERROR(X393/H393,"0")+IFERROR(X394/H394,"0")+IFERROR(X395/H395,"0")</f>
        <v>0</v>
      </c>
      <c r="Y396" s="619">
        <f>IFERROR(Y393/H393,"0")+IFERROR(Y394/H394,"0")+IFERROR(Y395/H395,"0")</f>
        <v>0</v>
      </c>
      <c r="Z396" s="619">
        <f>IFERROR(IF(Z393="",0,Z393),"0")+IFERROR(IF(Z394="",0,Z394),"0")+IFERROR(IF(Z395="",0,Z395),"0")</f>
        <v>0</v>
      </c>
      <c r="AA396" s="620"/>
      <c r="AB396" s="620"/>
      <c r="AC396" s="620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8" t="s">
        <v>69</v>
      </c>
      <c r="Q397" s="639"/>
      <c r="R397" s="639"/>
      <c r="S397" s="639"/>
      <c r="T397" s="639"/>
      <c r="U397" s="639"/>
      <c r="V397" s="640"/>
      <c r="W397" s="37" t="s">
        <v>67</v>
      </c>
      <c r="X397" s="619">
        <f>IFERROR(SUM(X393:X395),"0")</f>
        <v>0</v>
      </c>
      <c r="Y397" s="619">
        <f>IFERROR(SUM(Y393:Y395),"0")</f>
        <v>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8" t="s">
        <v>69</v>
      </c>
      <c r="Q402" s="639"/>
      <c r="R402" s="639"/>
      <c r="S402" s="639"/>
      <c r="T402" s="639"/>
      <c r="U402" s="639"/>
      <c r="V402" s="640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8" t="s">
        <v>69</v>
      </c>
      <c r="Q403" s="639"/>
      <c r="R403" s="639"/>
      <c r="S403" s="639"/>
      <c r="T403" s="639"/>
      <c r="U403" s="639"/>
      <c r="V403" s="640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37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8" t="s">
        <v>69</v>
      </c>
      <c r="Q408" s="639"/>
      <c r="R408" s="639"/>
      <c r="S408" s="639"/>
      <c r="T408" s="639"/>
      <c r="U408" s="639"/>
      <c r="V408" s="640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8" t="s">
        <v>69</v>
      </c>
      <c r="Q409" s="639"/>
      <c r="R409" s="639"/>
      <c r="S409" s="639"/>
      <c r="T409" s="639"/>
      <c r="U409" s="639"/>
      <c r="V409" s="640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37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8</v>
      </c>
      <c r="Y413" s="618">
        <f>IFERROR(IF(X413="",0,CEILING((X413/$H413),1)*$H413),"")</f>
        <v>8.4</v>
      </c>
      <c r="Z413" s="36">
        <f>IFERROR(IF(Y413=0,"",ROUNDUP(Y413/H413,0)*0.00651),"")</f>
        <v>2.6040000000000001E-2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8.9599999999999991</v>
      </c>
      <c r="BN413" s="64">
        <f>IFERROR(Y413*I413/H413,"0")</f>
        <v>9.4079999999999995</v>
      </c>
      <c r="BO413" s="64">
        <f>IFERROR(1/J413*(X413/H413),"0")</f>
        <v>2.0931449502878074E-2</v>
      </c>
      <c r="BP413" s="64">
        <f>IFERROR(1/J413*(Y413/H413),"0")</f>
        <v>2.197802197802198E-2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14</v>
      </c>
      <c r="Y414" s="618">
        <f>IFERROR(IF(X414="",0,CEILING((X414/$H414),1)*$H414),"")</f>
        <v>14.700000000000001</v>
      </c>
      <c r="Z414" s="36">
        <f>IFERROR(IF(Y414=0,"",ROUNDUP(Y414/H414,0)*0.00651),"")</f>
        <v>4.5569999999999999E-2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15.599999999999998</v>
      </c>
      <c r="BN414" s="64">
        <f>IFERROR(Y414*I414/H414,"0")</f>
        <v>16.380000000000003</v>
      </c>
      <c r="BO414" s="64">
        <f>IFERROR(1/J414*(X414/H414),"0")</f>
        <v>3.6630036630036632E-2</v>
      </c>
      <c r="BP414" s="64">
        <f>IFERROR(1/J414*(Y414/H414),"0")</f>
        <v>3.8461538461538464E-2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8" t="s">
        <v>69</v>
      </c>
      <c r="Q415" s="639"/>
      <c r="R415" s="639"/>
      <c r="S415" s="639"/>
      <c r="T415" s="639"/>
      <c r="U415" s="639"/>
      <c r="V415" s="640"/>
      <c r="W415" s="37" t="s">
        <v>70</v>
      </c>
      <c r="X415" s="619">
        <f>IFERROR(X412/H412,"0")+IFERROR(X413/H413,"0")+IFERROR(X414/H414,"0")</f>
        <v>10.476190476190474</v>
      </c>
      <c r="Y415" s="619">
        <f>IFERROR(Y412/H412,"0")+IFERROR(Y413/H413,"0")+IFERROR(Y414/H414,"0")</f>
        <v>11</v>
      </c>
      <c r="Z415" s="619">
        <f>IFERROR(IF(Z412="",0,Z412),"0")+IFERROR(IF(Z413="",0,Z413),"0")+IFERROR(IF(Z414="",0,Z414),"0")</f>
        <v>7.1610000000000007E-2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8" t="s">
        <v>69</v>
      </c>
      <c r="Q416" s="639"/>
      <c r="R416" s="639"/>
      <c r="S416" s="639"/>
      <c r="T416" s="639"/>
      <c r="U416" s="639"/>
      <c r="V416" s="640"/>
      <c r="W416" s="37" t="s">
        <v>67</v>
      </c>
      <c r="X416" s="619">
        <f>IFERROR(SUM(X412:X414),"0")</f>
        <v>22</v>
      </c>
      <c r="Y416" s="619">
        <f>IFERROR(SUM(Y412:Y414),"0")</f>
        <v>23.1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37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358</v>
      </c>
      <c r="Y421" s="618">
        <f t="shared" si="61"/>
        <v>360</v>
      </c>
      <c r="Z421" s="36">
        <f>IFERROR(IF(Y421=0,"",ROUNDUP(Y421/H421,0)*0.02175),"")</f>
        <v>0.52200000000000002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369.21733333333333</v>
      </c>
      <c r="BN421" s="64">
        <f t="shared" si="63"/>
        <v>371.28</v>
      </c>
      <c r="BO421" s="64">
        <f t="shared" si="64"/>
        <v>0.49722222222222223</v>
      </c>
      <c r="BP421" s="64">
        <f t="shared" si="65"/>
        <v>0.5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148</v>
      </c>
      <c r="Y422" s="618">
        <f t="shared" si="61"/>
        <v>150</v>
      </c>
      <c r="Z422" s="36">
        <f>IFERROR(IF(Y422=0,"",ROUNDUP(Y422/H422,0)*0.02175),"")</f>
        <v>0.21749999999999997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152.63733333333332</v>
      </c>
      <c r="BN422" s="64">
        <f t="shared" si="63"/>
        <v>154.69999999999999</v>
      </c>
      <c r="BO422" s="64">
        <f t="shared" si="64"/>
        <v>0.20555555555555555</v>
      </c>
      <c r="BP422" s="64">
        <f t="shared" si="65"/>
        <v>0.20833333333333331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182</v>
      </c>
      <c r="Y423" s="618">
        <f t="shared" si="61"/>
        <v>195</v>
      </c>
      <c r="Z423" s="36">
        <f>IFERROR(IF(Y423=0,"",ROUNDUP(Y423/H423,0)*0.02175),"")</f>
        <v>0.28275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187.70266666666666</v>
      </c>
      <c r="BN423" s="64">
        <f t="shared" si="63"/>
        <v>201.11</v>
      </c>
      <c r="BO423" s="64">
        <f t="shared" si="64"/>
        <v>0.25277777777777777</v>
      </c>
      <c r="BP423" s="64">
        <f t="shared" si="65"/>
        <v>0.27083333333333331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8" t="s">
        <v>69</v>
      </c>
      <c r="Q428" s="639"/>
      <c r="R428" s="639"/>
      <c r="S428" s="639"/>
      <c r="T428" s="639"/>
      <c r="U428" s="639"/>
      <c r="V428" s="640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45.866666666666667</v>
      </c>
      <c r="Y428" s="619">
        <f>IFERROR(Y420/H420,"0")+IFERROR(Y421/H421,"0")+IFERROR(Y422/H422,"0")+IFERROR(Y423/H423,"0")+IFERROR(Y424/H424,"0")+IFERROR(Y425/H425,"0")+IFERROR(Y426/H426,"0")+IFERROR(Y427/H427,"0")</f>
        <v>47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1.0222500000000001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8" t="s">
        <v>69</v>
      </c>
      <c r="Q429" s="639"/>
      <c r="R429" s="639"/>
      <c r="S429" s="639"/>
      <c r="T429" s="639"/>
      <c r="U429" s="639"/>
      <c r="V429" s="640"/>
      <c r="W429" s="37" t="s">
        <v>67</v>
      </c>
      <c r="X429" s="619">
        <f>IFERROR(SUM(X420:X427),"0")</f>
        <v>688</v>
      </c>
      <c r="Y429" s="619">
        <f>IFERROR(SUM(Y420:Y427),"0")</f>
        <v>705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453</v>
      </c>
      <c r="Y431" s="618">
        <f>IFERROR(IF(X431="",0,CEILING((X431/$H431),1)*$H431),"")</f>
        <v>465</v>
      </c>
      <c r="Z431" s="36">
        <f>IFERROR(IF(Y431=0,"",ROUNDUP(Y431/H431,0)*0.02175),"")</f>
        <v>0.6742499999999999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467.19400000000002</v>
      </c>
      <c r="BN431" s="64">
        <f>IFERROR(Y431*I431/H431,"0")</f>
        <v>479.57</v>
      </c>
      <c r="BO431" s="64">
        <f>IFERROR(1/J431*(X431/H431),"0")</f>
        <v>0.62916666666666665</v>
      </c>
      <c r="BP431" s="64">
        <f>IFERROR(1/J431*(Y431/H431),"0")</f>
        <v>0.64583333333333326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8" t="s">
        <v>69</v>
      </c>
      <c r="Q434" s="639"/>
      <c r="R434" s="639"/>
      <c r="S434" s="639"/>
      <c r="T434" s="639"/>
      <c r="U434" s="639"/>
      <c r="V434" s="640"/>
      <c r="W434" s="37" t="s">
        <v>70</v>
      </c>
      <c r="X434" s="619">
        <f>IFERROR(X431/H431,"0")+IFERROR(X432/H432,"0")+IFERROR(X433/H433,"0")</f>
        <v>30.2</v>
      </c>
      <c r="Y434" s="619">
        <f>IFERROR(Y431/H431,"0")+IFERROR(Y432/H432,"0")+IFERROR(Y433/H433,"0")</f>
        <v>31</v>
      </c>
      <c r="Z434" s="619">
        <f>IFERROR(IF(Z431="",0,Z431),"0")+IFERROR(IF(Z432="",0,Z432),"0")+IFERROR(IF(Z433="",0,Z433),"0")</f>
        <v>0.6742499999999999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8" t="s">
        <v>69</v>
      </c>
      <c r="Q435" s="639"/>
      <c r="R435" s="639"/>
      <c r="S435" s="639"/>
      <c r="T435" s="639"/>
      <c r="U435" s="639"/>
      <c r="V435" s="640"/>
      <c r="W435" s="37" t="s">
        <v>67</v>
      </c>
      <c r="X435" s="619">
        <f>IFERROR(SUM(X431:X433),"0")</f>
        <v>453</v>
      </c>
      <c r="Y435" s="619">
        <f>IFERROR(SUM(Y431:Y433),"0")</f>
        <v>465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8" t="s">
        <v>69</v>
      </c>
      <c r="Q440" s="639"/>
      <c r="R440" s="639"/>
      <c r="S440" s="639"/>
      <c r="T440" s="639"/>
      <c r="U440" s="639"/>
      <c r="V440" s="640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8" t="s">
        <v>69</v>
      </c>
      <c r="Q441" s="639"/>
      <c r="R441" s="639"/>
      <c r="S441" s="639"/>
      <c r="T441" s="639"/>
      <c r="U441" s="639"/>
      <c r="V441" s="640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8" t="s">
        <v>69</v>
      </c>
      <c r="Q445" s="639"/>
      <c r="R445" s="639"/>
      <c r="S445" s="639"/>
      <c r="T445" s="639"/>
      <c r="U445" s="639"/>
      <c r="V445" s="640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8" t="s">
        <v>69</v>
      </c>
      <c r="Q446" s="639"/>
      <c r="R446" s="639"/>
      <c r="S446" s="639"/>
      <c r="T446" s="639"/>
      <c r="U446" s="639"/>
      <c r="V446" s="640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37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8" t="s">
        <v>69</v>
      </c>
      <c r="Q451" s="639"/>
      <c r="R451" s="639"/>
      <c r="S451" s="639"/>
      <c r="T451" s="639"/>
      <c r="U451" s="639"/>
      <c r="V451" s="640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8" t="s">
        <v>69</v>
      </c>
      <c r="Q452" s="639"/>
      <c r="R452" s="639"/>
      <c r="S452" s="639"/>
      <c r="T452" s="639"/>
      <c r="U452" s="639"/>
      <c r="V452" s="640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8" t="s">
        <v>69</v>
      </c>
      <c r="Q455" s="639"/>
      <c r="R455" s="639"/>
      <c r="S455" s="639"/>
      <c r="T455" s="639"/>
      <c r="U455" s="639"/>
      <c r="V455" s="640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8" t="s">
        <v>69</v>
      </c>
      <c r="Q456" s="639"/>
      <c r="R456" s="639"/>
      <c r="S456" s="639"/>
      <c r="T456" s="639"/>
      <c r="U456" s="639"/>
      <c r="V456" s="640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293</v>
      </c>
      <c r="Y458" s="618">
        <f>IFERROR(IF(X458="",0,CEILING((X458/$H458),1)*$H458),"")</f>
        <v>297</v>
      </c>
      <c r="Z458" s="36">
        <f>IFERROR(IF(Y458=0,"",ROUNDUP(Y458/H458,0)*0.01898),"")</f>
        <v>0.62634000000000001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309.08244444444443</v>
      </c>
      <c r="BN458" s="64">
        <f>IFERROR(Y458*I458/H458,"0")</f>
        <v>313.30199999999996</v>
      </c>
      <c r="BO458" s="64">
        <f>IFERROR(1/J458*(X458/H458),"0")</f>
        <v>0.50868055555555558</v>
      </c>
      <c r="BP458" s="64">
        <f>IFERROR(1/J458*(Y458/H458),"0")</f>
        <v>0.515625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8" t="s">
        <v>69</v>
      </c>
      <c r="Q461" s="639"/>
      <c r="R461" s="639"/>
      <c r="S461" s="639"/>
      <c r="T461" s="639"/>
      <c r="U461" s="639"/>
      <c r="V461" s="640"/>
      <c r="W461" s="37" t="s">
        <v>70</v>
      </c>
      <c r="X461" s="619">
        <f>IFERROR(X458/H458,"0")+IFERROR(X459/H459,"0")+IFERROR(X460/H460,"0")</f>
        <v>32.555555555555557</v>
      </c>
      <c r="Y461" s="619">
        <f>IFERROR(Y458/H458,"0")+IFERROR(Y459/H459,"0")+IFERROR(Y460/H460,"0")</f>
        <v>33</v>
      </c>
      <c r="Z461" s="619">
        <f>IFERROR(IF(Z458="",0,Z458),"0")+IFERROR(IF(Z459="",0,Z459),"0")+IFERROR(IF(Z460="",0,Z460),"0")</f>
        <v>0.62634000000000001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8" t="s">
        <v>69</v>
      </c>
      <c r="Q462" s="639"/>
      <c r="R462" s="639"/>
      <c r="S462" s="639"/>
      <c r="T462" s="639"/>
      <c r="U462" s="639"/>
      <c r="V462" s="640"/>
      <c r="W462" s="37" t="s">
        <v>67</v>
      </c>
      <c r="X462" s="619">
        <f>IFERROR(SUM(X458:X460),"0")</f>
        <v>293</v>
      </c>
      <c r="Y462" s="619">
        <f>IFERROR(SUM(Y458:Y460),"0")</f>
        <v>297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37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8" t="s">
        <v>69</v>
      </c>
      <c r="Q472" s="639"/>
      <c r="R472" s="639"/>
      <c r="S472" s="639"/>
      <c r="T472" s="639"/>
      <c r="U472" s="639"/>
      <c r="V472" s="640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8" t="s">
        <v>69</v>
      </c>
      <c r="Q473" s="639"/>
      <c r="R473" s="639"/>
      <c r="S473" s="639"/>
      <c r="T473" s="639"/>
      <c r="U473" s="639"/>
      <c r="V473" s="640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8" t="s">
        <v>69</v>
      </c>
      <c r="Q476" s="639"/>
      <c r="R476" s="639"/>
      <c r="S476" s="639"/>
      <c r="T476" s="639"/>
      <c r="U476" s="639"/>
      <c r="V476" s="640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8" t="s">
        <v>69</v>
      </c>
      <c r="Q477" s="639"/>
      <c r="R477" s="639"/>
      <c r="S477" s="639"/>
      <c r="T477" s="639"/>
      <c r="U477" s="639"/>
      <c r="V477" s="640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37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8" t="s">
        <v>69</v>
      </c>
      <c r="Q481" s="639"/>
      <c r="R481" s="639"/>
      <c r="S481" s="639"/>
      <c r="T481" s="639"/>
      <c r="U481" s="639"/>
      <c r="V481" s="640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8" t="s">
        <v>69</v>
      </c>
      <c r="Q482" s="639"/>
      <c r="R482" s="639"/>
      <c r="S482" s="639"/>
      <c r="T482" s="639"/>
      <c r="U482" s="639"/>
      <c r="V482" s="640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8" t="s">
        <v>69</v>
      </c>
      <c r="Q487" s="639"/>
      <c r="R487" s="639"/>
      <c r="S487" s="639"/>
      <c r="T487" s="639"/>
      <c r="U487" s="639"/>
      <c r="V487" s="640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8" t="s">
        <v>69</v>
      </c>
      <c r="Q488" s="639"/>
      <c r="R488" s="639"/>
      <c r="S488" s="639"/>
      <c r="T488" s="639"/>
      <c r="U488" s="639"/>
      <c r="V488" s="640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37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37</v>
      </c>
      <c r="Y492" s="618">
        <f t="shared" ref="Y492:Y499" si="71">IFERROR(IF(X492="",0,CEILING((X492/$H492),1)*$H492),"")</f>
        <v>42.24</v>
      </c>
      <c r="Z492" s="36">
        <f>IFERROR(IF(Y492=0,"",ROUNDUP(Y492/H492,0)*0.01196),"")</f>
        <v>9.5680000000000001E-2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39.452651515151516</v>
      </c>
      <c r="BN492" s="64">
        <f t="shared" ref="BN492:BN499" si="73">IFERROR(Y492*I492/H492,"0")</f>
        <v>45.04</v>
      </c>
      <c r="BO492" s="64">
        <f t="shared" ref="BO492:BO499" si="74">IFERROR(1/J492*(X492/H492),"0")</f>
        <v>6.7380536130536128E-2</v>
      </c>
      <c r="BP492" s="64">
        <f t="shared" ref="BP492:BP499" si="75">IFERROR(1/J492*(Y492/H492),"0")</f>
        <v>7.6923076923076927E-2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48</v>
      </c>
      <c r="Y494" s="618">
        <f t="shared" si="71"/>
        <v>52.800000000000004</v>
      </c>
      <c r="Z494" s="36">
        <f>IFERROR(IF(Y494=0,"",ROUNDUP(Y494/H494,0)*0.01196),"")</f>
        <v>0.1196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51.18181818181818</v>
      </c>
      <c r="BN494" s="64">
        <f t="shared" si="73"/>
        <v>56.3</v>
      </c>
      <c r="BO494" s="64">
        <f t="shared" si="74"/>
        <v>8.7412587412587409E-2</v>
      </c>
      <c r="BP494" s="64">
        <f t="shared" si="75"/>
        <v>9.6153846153846159E-2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113</v>
      </c>
      <c r="Y495" s="618">
        <f t="shared" si="71"/>
        <v>116.16000000000001</v>
      </c>
      <c r="Z495" s="36">
        <f>IFERROR(IF(Y495=0,"",ROUNDUP(Y495/H495,0)*0.01196),"")</f>
        <v>0.26312000000000002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120.49053030303028</v>
      </c>
      <c r="BN495" s="64">
        <f t="shared" si="73"/>
        <v>123.86</v>
      </c>
      <c r="BO495" s="64">
        <f t="shared" si="74"/>
        <v>0.20578379953379955</v>
      </c>
      <c r="BP495" s="64">
        <f t="shared" si="75"/>
        <v>0.21153846153846156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173</v>
      </c>
      <c r="Y496" s="618">
        <f t="shared" si="71"/>
        <v>174.24</v>
      </c>
      <c r="Z496" s="36">
        <f>IFERROR(IF(Y496=0,"",ROUNDUP(Y496/H496,0)*0.01196),"")</f>
        <v>0.39468000000000003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184.46780303030303</v>
      </c>
      <c r="BN496" s="64">
        <f t="shared" si="73"/>
        <v>185.79</v>
      </c>
      <c r="BO496" s="64">
        <f t="shared" si="74"/>
        <v>0.31504953379953382</v>
      </c>
      <c r="BP496" s="64">
        <f t="shared" si="75"/>
        <v>0.31730769230769235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39</v>
      </c>
      <c r="Y499" s="618">
        <f t="shared" si="71"/>
        <v>43.199999999999996</v>
      </c>
      <c r="Z499" s="36">
        <f>IFERROR(IF(Y499=0,"",ROUNDUP(Y499/H499,0)*0.00902),"")</f>
        <v>8.1180000000000002E-2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56.143750000000004</v>
      </c>
      <c r="BN499" s="64">
        <f t="shared" si="73"/>
        <v>62.190000000000005</v>
      </c>
      <c r="BO499" s="64">
        <f t="shared" si="74"/>
        <v>6.1553030303030304E-2</v>
      </c>
      <c r="BP499" s="64">
        <f t="shared" si="75"/>
        <v>6.8181818181818177E-2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8" t="s">
        <v>69</v>
      </c>
      <c r="Q500" s="639"/>
      <c r="R500" s="639"/>
      <c r="S500" s="639"/>
      <c r="T500" s="639"/>
      <c r="U500" s="639"/>
      <c r="V500" s="640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78.390151515151516</v>
      </c>
      <c r="Y500" s="619">
        <f>IFERROR(Y492/H492,"0")+IFERROR(Y493/H493,"0")+IFERROR(Y494/H494,"0")+IFERROR(Y495/H495,"0")+IFERROR(Y496/H496,"0")+IFERROR(Y497/H497,"0")+IFERROR(Y498/H498,"0")+IFERROR(Y499/H499,"0")</f>
        <v>82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0.95426000000000011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8" t="s">
        <v>69</v>
      </c>
      <c r="Q501" s="639"/>
      <c r="R501" s="639"/>
      <c r="S501" s="639"/>
      <c r="T501" s="639"/>
      <c r="U501" s="639"/>
      <c r="V501" s="640"/>
      <c r="W501" s="37" t="s">
        <v>67</v>
      </c>
      <c r="X501" s="619">
        <f>IFERROR(SUM(X492:X499),"0")</f>
        <v>410</v>
      </c>
      <c r="Y501" s="619">
        <f>IFERROR(SUM(Y492:Y499),"0")</f>
        <v>428.64000000000004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331</v>
      </c>
      <c r="Y503" s="618">
        <f>IFERROR(IF(X503="",0,CEILING((X503/$H503),1)*$H503),"")</f>
        <v>332.64000000000004</v>
      </c>
      <c r="Z503" s="36">
        <f>IFERROR(IF(Y503=0,"",ROUNDUP(Y503/H503,0)*0.01196),"")</f>
        <v>0.75348000000000004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352.94128787878788</v>
      </c>
      <c r="BN503" s="64">
        <f>IFERROR(Y503*I503/H503,"0")</f>
        <v>354.69</v>
      </c>
      <c r="BO503" s="64">
        <f>IFERROR(1/J503*(X503/H503),"0")</f>
        <v>0.6027826340326341</v>
      </c>
      <c r="BP503" s="64">
        <f>IFERROR(1/J503*(Y503/H503),"0")</f>
        <v>0.60576923076923084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60</v>
      </c>
      <c r="Y505" s="618">
        <f>IFERROR(IF(X505="",0,CEILING((X505/$H505),1)*$H505),"")</f>
        <v>62.4</v>
      </c>
      <c r="Z505" s="36">
        <f>IFERROR(IF(Y505=0,"",ROUNDUP(Y505/H505,0)*0.00902),"")</f>
        <v>0.11726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86.375000000000014</v>
      </c>
      <c r="BN505" s="64">
        <f>IFERROR(Y505*I505/H505,"0")</f>
        <v>89.830000000000013</v>
      </c>
      <c r="BO505" s="64">
        <f>IFERROR(1/J505*(X505/H505),"0")</f>
        <v>9.4696969696969696E-2</v>
      </c>
      <c r="BP505" s="64">
        <f>IFERROR(1/J505*(Y505/H505),"0")</f>
        <v>9.8484848484848481E-2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8" t="s">
        <v>69</v>
      </c>
      <c r="Q506" s="639"/>
      <c r="R506" s="639"/>
      <c r="S506" s="639"/>
      <c r="T506" s="639"/>
      <c r="U506" s="639"/>
      <c r="V506" s="640"/>
      <c r="W506" s="37" t="s">
        <v>70</v>
      </c>
      <c r="X506" s="619">
        <f>IFERROR(X503/H503,"0")+IFERROR(X504/H504,"0")+IFERROR(X505/H505,"0")</f>
        <v>75.189393939393938</v>
      </c>
      <c r="Y506" s="619">
        <f>IFERROR(Y503/H503,"0")+IFERROR(Y504/H504,"0")+IFERROR(Y505/H505,"0")</f>
        <v>76</v>
      </c>
      <c r="Z506" s="619">
        <f>IFERROR(IF(Z503="",0,Z503),"0")+IFERROR(IF(Z504="",0,Z504),"0")+IFERROR(IF(Z505="",0,Z505),"0")</f>
        <v>0.87074000000000007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8" t="s">
        <v>69</v>
      </c>
      <c r="Q507" s="639"/>
      <c r="R507" s="639"/>
      <c r="S507" s="639"/>
      <c r="T507" s="639"/>
      <c r="U507" s="639"/>
      <c r="V507" s="640"/>
      <c r="W507" s="37" t="s">
        <v>67</v>
      </c>
      <c r="X507" s="619">
        <f>IFERROR(SUM(X503:X505),"0")</f>
        <v>391</v>
      </c>
      <c r="Y507" s="619">
        <f>IFERROR(SUM(Y503:Y505),"0")</f>
        <v>395.04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180</v>
      </c>
      <c r="Y510" s="618">
        <f t="shared" si="76"/>
        <v>184.8</v>
      </c>
      <c r="Z510" s="36">
        <f>IFERROR(IF(Y510=0,"",ROUNDUP(Y510/H510,0)*0.01196),"")</f>
        <v>0.41860000000000003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191.93181818181816</v>
      </c>
      <c r="BN510" s="64">
        <f t="shared" si="78"/>
        <v>197.04999999999998</v>
      </c>
      <c r="BO510" s="64">
        <f t="shared" si="79"/>
        <v>0.32779720279720276</v>
      </c>
      <c r="BP510" s="64">
        <f t="shared" si="80"/>
        <v>0.33653846153846156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114</v>
      </c>
      <c r="Y511" s="618">
        <f t="shared" si="76"/>
        <v>116.16000000000001</v>
      </c>
      <c r="Z511" s="36">
        <f>IFERROR(IF(Y511=0,"",ROUNDUP(Y511/H511,0)*0.01196),"")</f>
        <v>0.26312000000000002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121.55681818181816</v>
      </c>
      <c r="BN511" s="64">
        <f t="shared" si="78"/>
        <v>123.86</v>
      </c>
      <c r="BO511" s="64">
        <f t="shared" si="79"/>
        <v>0.2076048951048951</v>
      </c>
      <c r="BP511" s="64">
        <f t="shared" si="80"/>
        <v>0.21153846153846156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8" t="s">
        <v>69</v>
      </c>
      <c r="Q516" s="639"/>
      <c r="R516" s="639"/>
      <c r="S516" s="639"/>
      <c r="T516" s="639"/>
      <c r="U516" s="639"/>
      <c r="V516" s="640"/>
      <c r="W516" s="37" t="s">
        <v>70</v>
      </c>
      <c r="X516" s="619">
        <f>IFERROR(X509/H509,"0")+IFERROR(X510/H510,"0")+IFERROR(X511/H511,"0")+IFERROR(X512/H512,"0")+IFERROR(X513/H513,"0")+IFERROR(X514/H514,"0")+IFERROR(X515/H515,"0")</f>
        <v>55.681818181818173</v>
      </c>
      <c r="Y516" s="619">
        <f>IFERROR(Y509/H509,"0")+IFERROR(Y510/H510,"0")+IFERROR(Y511/H511,"0")+IFERROR(Y512/H512,"0")+IFERROR(Y513/H513,"0")+IFERROR(Y514/H514,"0")+IFERROR(Y515/H515,"0")</f>
        <v>57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0.6817200000000001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8" t="s">
        <v>69</v>
      </c>
      <c r="Q517" s="639"/>
      <c r="R517" s="639"/>
      <c r="S517" s="639"/>
      <c r="T517" s="639"/>
      <c r="U517" s="639"/>
      <c r="V517" s="640"/>
      <c r="W517" s="37" t="s">
        <v>67</v>
      </c>
      <c r="X517" s="619">
        <f>IFERROR(SUM(X509:X515),"0")</f>
        <v>294</v>
      </c>
      <c r="Y517" s="619">
        <f>IFERROR(SUM(Y509:Y515),"0")</f>
        <v>300.96000000000004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37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8" t="s">
        <v>69</v>
      </c>
      <c r="Q522" s="639"/>
      <c r="R522" s="639"/>
      <c r="S522" s="639"/>
      <c r="T522" s="639"/>
      <c r="U522" s="639"/>
      <c r="V522" s="640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8" t="s">
        <v>69</v>
      </c>
      <c r="Q523" s="639"/>
      <c r="R523" s="639"/>
      <c r="S523" s="639"/>
      <c r="T523" s="639"/>
      <c r="U523" s="639"/>
      <c r="V523" s="640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8" t="s">
        <v>69</v>
      </c>
      <c r="Q526" s="639"/>
      <c r="R526" s="639"/>
      <c r="S526" s="639"/>
      <c r="T526" s="639"/>
      <c r="U526" s="639"/>
      <c r="V526" s="640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8" t="s">
        <v>69</v>
      </c>
      <c r="Q527" s="639"/>
      <c r="R527" s="639"/>
      <c r="S527" s="639"/>
      <c r="T527" s="639"/>
      <c r="U527" s="639"/>
      <c r="V527" s="640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8" t="s">
        <v>69</v>
      </c>
      <c r="Q530" s="639"/>
      <c r="R530" s="639"/>
      <c r="S530" s="639"/>
      <c r="T530" s="639"/>
      <c r="U530" s="639"/>
      <c r="V530" s="640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8" t="s">
        <v>69</v>
      </c>
      <c r="Q531" s="639"/>
      <c r="R531" s="639"/>
      <c r="S531" s="639"/>
      <c r="T531" s="639"/>
      <c r="U531" s="639"/>
      <c r="V531" s="640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8" t="s">
        <v>69</v>
      </c>
      <c r="Q534" s="639"/>
      <c r="R534" s="639"/>
      <c r="S534" s="639"/>
      <c r="T534" s="639"/>
      <c r="U534" s="639"/>
      <c r="V534" s="640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8" t="s">
        <v>69</v>
      </c>
      <c r="Q535" s="639"/>
      <c r="R535" s="639"/>
      <c r="S535" s="639"/>
      <c r="T535" s="639"/>
      <c r="U535" s="639"/>
      <c r="V535" s="640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8" t="s">
        <v>69</v>
      </c>
      <c r="Q539" s="639"/>
      <c r="R539" s="639"/>
      <c r="S539" s="639"/>
      <c r="T539" s="639"/>
      <c r="U539" s="639"/>
      <c r="V539" s="640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8" t="s">
        <v>69</v>
      </c>
      <c r="Q540" s="639"/>
      <c r="R540" s="639"/>
      <c r="S540" s="639"/>
      <c r="T540" s="639"/>
      <c r="U540" s="639"/>
      <c r="V540" s="640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37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8" t="s">
        <v>69</v>
      </c>
      <c r="Q544" s="639"/>
      <c r="R544" s="639"/>
      <c r="S544" s="639"/>
      <c r="T544" s="639"/>
      <c r="U544" s="639"/>
      <c r="V544" s="640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8" t="s">
        <v>69</v>
      </c>
      <c r="Q545" s="639"/>
      <c r="R545" s="639"/>
      <c r="S545" s="639"/>
      <c r="T545" s="639"/>
      <c r="U545" s="639"/>
      <c r="V545" s="640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1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3068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3184.11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3266.2520406058934</v>
      </c>
      <c r="Y547" s="619">
        <f>IFERROR(SUM(BN22:BN543),"0")</f>
        <v>3390.9870000000005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6</v>
      </c>
      <c r="Y548" s="38">
        <f>ROUNDUP(SUM(BP22:BP543),0)</f>
        <v>6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3416.2520406058934</v>
      </c>
      <c r="Y549" s="619">
        <f>GrossWeightTotalR+PalletQtyTotalR*25</f>
        <v>3540.9870000000005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456.54225975255389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476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6.1827000000000005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17"/>
      <c r="F553" s="817"/>
      <c r="G553" s="817"/>
      <c r="H553" s="817"/>
      <c r="I553" s="817"/>
      <c r="J553" s="631"/>
      <c r="K553" s="630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5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0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83.000000000000014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87.2</v>
      </c>
      <c r="F556" s="46">
        <f>IFERROR(Y84*1,"0")+IFERROR(Y85*1,"0")+IFERROR(Y86*1,"0")+IFERROR(Y87*1,"0")+IFERROR(Y88*1,"0")+IFERROR(Y89*1,"0")+IFERROR(Y93*1,"0")+IFERROR(Y94*1,"0")+IFERROR(Y95*1,"0")+IFERROR(Y96*1,"0")</f>
        <v>0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115.20000000000002</v>
      </c>
      <c r="H556" s="46">
        <f>IFERROR(Y131*1,"0")+IFERROR(Y132*1,"0")+IFERROR(Y136*1,"0")+IFERROR(Y137*1,"0")+IFERROR(Y141*1,"0")+IFERROR(Y142*1,"0")</f>
        <v>36.72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10.200000000000001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5.6000000000000005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93.6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55.2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54.6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28.049999999999997</v>
      </c>
      <c r="U556" s="46">
        <f>IFERROR(Y406*1,"0")+IFERROR(Y407*1,"0")</f>
        <v>0</v>
      </c>
      <c r="V556" s="46">
        <f>IFERROR(Y412*1,"0")+IFERROR(Y413*1,"0")+IFERROR(Y414*1,"0")</f>
        <v>23.1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1170</v>
      </c>
      <c r="X556" s="46">
        <f>IFERROR(Y449*1,"0")+IFERROR(Y450*1,"0")+IFERROR(Y454*1,"0")+IFERROR(Y458*1,"0")+IFERROR(Y459*1,"0")+IFERROR(Y460*1,"0")</f>
        <v>297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1124.6400000000001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39"/>
        <filter val="10,00"/>
        <filter val="10,20"/>
        <filter val="10,48"/>
        <filter val="113,00"/>
        <filter val="114,00"/>
        <filter val="14,00"/>
        <filter val="148,00"/>
        <filter val="15,00"/>
        <filter val="16,00"/>
        <filter val="173,00"/>
        <filter val="180,00"/>
        <filter val="182,00"/>
        <filter val="2,00"/>
        <filter val="2,65"/>
        <filter val="22,00"/>
        <filter val="22,08"/>
        <filter val="26,00"/>
        <filter val="27,00"/>
        <filter val="293,00"/>
        <filter val="294,00"/>
        <filter val="3 068,00"/>
        <filter val="3 266,25"/>
        <filter val="3 416,25"/>
        <filter val="30,20"/>
        <filter val="32,56"/>
        <filter val="331,00"/>
        <filter val="358,00"/>
        <filter val="37,00"/>
        <filter val="38,33"/>
        <filter val="39,00"/>
        <filter val="391,00"/>
        <filter val="4,35"/>
        <filter val="4,86"/>
        <filter val="40,00"/>
        <filter val="410,00"/>
        <filter val="45,87"/>
        <filter val="453,00"/>
        <filter val="456,54"/>
        <filter val="47,00"/>
        <filter val="48,00"/>
        <filter val="49,00"/>
        <filter val="5,00"/>
        <filter val="5,87"/>
        <filter val="52,00"/>
        <filter val="53,00"/>
        <filter val="55,68"/>
        <filter val="6"/>
        <filter val="6,00"/>
        <filter val="6,25"/>
        <filter val="6,28"/>
        <filter val="60,00"/>
        <filter val="688,00"/>
        <filter val="69,00"/>
        <filter val="7,00"/>
        <filter val="72,00"/>
        <filter val="75,00"/>
        <filter val="75,19"/>
        <filter val="78,39"/>
        <filter val="8,00"/>
        <filter val="8,01"/>
        <filter val="8,13"/>
        <filter val="86,00"/>
        <filter val="9,00"/>
        <filter val="9,78"/>
        <filter val="92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O554:O555"/>
    <mergeCell ref="D249:E249"/>
    <mergeCell ref="P262:T262"/>
    <mergeCell ref="D105:E105"/>
    <mergeCell ref="D276:E276"/>
    <mergeCell ref="P433:T433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P149:T149"/>
    <mergeCell ref="P174:T174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305:E305"/>
    <mergeCell ref="D270:E270"/>
    <mergeCell ref="P420:T420"/>
    <mergeCell ref="A130:Z130"/>
    <mergeCell ref="D310:E310"/>
    <mergeCell ref="A245:O246"/>
    <mergeCell ref="R554:R555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226:E226"/>
    <mergeCell ref="P354:T354"/>
    <mergeCell ref="P523:V523"/>
    <mergeCell ref="A404:Z404"/>
    <mergeCell ref="A544:O545"/>
    <mergeCell ref="P364:T364"/>
    <mergeCell ref="P509:T509"/>
    <mergeCell ref="A546:O551"/>
    <mergeCell ref="P107:T107"/>
    <mergeCell ref="D150:E150"/>
    <mergeCell ref="P278:T278"/>
    <mergeCell ref="P63:V63"/>
    <mergeCell ref="P101:T101"/>
    <mergeCell ref="D215:E215"/>
    <mergeCell ref="D386:E386"/>
    <mergeCell ref="P194:V194"/>
    <mergeCell ref="A402:O403"/>
    <mergeCell ref="D513:E513"/>
    <mergeCell ref="D223:E223"/>
    <mergeCell ref="D279:E279"/>
    <mergeCell ref="D394:E394"/>
    <mergeCell ref="A434:O435"/>
    <mergeCell ref="D450:E450"/>
    <mergeCell ref="P121:T121"/>
    <mergeCell ref="A428:O429"/>
    <mergeCell ref="D521:E521"/>
    <mergeCell ref="P357:T357"/>
    <mergeCell ref="D216:E216"/>
    <mergeCell ref="D265:E265"/>
    <mergeCell ref="P195:V195"/>
    <mergeCell ref="AB554:AB555"/>
    <mergeCell ref="A518:Z518"/>
    <mergeCell ref="P176:T176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P470:T470"/>
    <mergeCell ref="A127:O128"/>
    <mergeCell ref="P301:T301"/>
    <mergeCell ref="A520:Z520"/>
    <mergeCell ref="P295:T295"/>
    <mergeCell ref="P178:T178"/>
    <mergeCell ref="P105:T105"/>
    <mergeCell ref="P276:T276"/>
    <mergeCell ref="D86:E86"/>
    <mergeCell ref="P214:T214"/>
    <mergeCell ref="P270:T270"/>
    <mergeCell ref="P341:T341"/>
    <mergeCell ref="A457:Z457"/>
    <mergeCell ref="G554:G555"/>
    <mergeCell ref="P48:T48"/>
    <mergeCell ref="I554:I555"/>
    <mergeCell ref="D292:E292"/>
    <mergeCell ref="P346:T346"/>
    <mergeCell ref="A476:O477"/>
    <mergeCell ref="D525:E525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D529:E529"/>
    <mergeCell ref="A336:O337"/>
    <mergeCell ref="P116:V116"/>
    <mergeCell ref="P32:V32"/>
    <mergeCell ref="Q13:R13"/>
    <mergeCell ref="P97:V97"/>
    <mergeCell ref="P539:V539"/>
    <mergeCell ref="H554:H555"/>
    <mergeCell ref="J554:J555"/>
    <mergeCell ref="D222:E222"/>
    <mergeCell ref="P476:V476"/>
    <mergeCell ref="G17:G18"/>
    <mergeCell ref="P333:T333"/>
    <mergeCell ref="P399:T399"/>
    <mergeCell ref="P242:V242"/>
    <mergeCell ref="D159:E159"/>
    <mergeCell ref="P42:V42"/>
    <mergeCell ref="D459:E459"/>
    <mergeCell ref="P59:T59"/>
    <mergeCell ref="P123:V123"/>
    <mergeCell ref="A532:Z532"/>
    <mergeCell ref="D136:E136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V6:W9"/>
    <mergeCell ref="D199:E199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22:T22"/>
    <mergeCell ref="D65:E65"/>
    <mergeCell ref="P193:T193"/>
    <mergeCell ref="P320:T320"/>
    <mergeCell ref="P40:T40"/>
    <mergeCell ref="P236:V236"/>
    <mergeCell ref="D368:E368"/>
    <mergeCell ref="P106:T106"/>
    <mergeCell ref="P177:T177"/>
    <mergeCell ref="P475:T475"/>
    <mergeCell ref="P93:T93"/>
    <mergeCell ref="P226:T226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A50:O51"/>
    <mergeCell ref="A158:Z158"/>
    <mergeCell ref="A351:Z351"/>
    <mergeCell ref="D273:E273"/>
    <mergeCell ref="S554:S555"/>
    <mergeCell ref="U554:U555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A338:Z338"/>
    <mergeCell ref="D374:E374"/>
    <mergeCell ref="P549:V549"/>
    <mergeCell ref="P232:T232"/>
    <mergeCell ref="P395:T395"/>
    <mergeCell ref="D438:E438"/>
    <mergeCell ref="D509:E509"/>
    <mergeCell ref="D425:E425"/>
    <mergeCell ref="D359:E359"/>
    <mergeCell ref="P327:T327"/>
    <mergeCell ref="P252:V252"/>
    <mergeCell ref="A464:Z464"/>
    <mergeCell ref="A489:Z489"/>
    <mergeCell ref="P512:T51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A390:O391"/>
    <mergeCell ref="D203:E203"/>
    <mergeCell ref="P152:V152"/>
    <mergeCell ref="A82:Z82"/>
    <mergeCell ref="K553:V553"/>
    <mergeCell ref="P307:V307"/>
    <mergeCell ref="P380:T380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530:O531"/>
    <mergeCell ref="A419:Z419"/>
    <mergeCell ref="P77:T77"/>
    <mergeCell ref="P204:T204"/>
    <mergeCell ref="P179:T179"/>
    <mergeCell ref="A198:Z198"/>
    <mergeCell ref="P375:T375"/>
    <mergeCell ref="P159:T159"/>
    <mergeCell ref="P26:T26"/>
    <mergeCell ref="P461:V461"/>
    <mergeCell ref="A143:O144"/>
    <mergeCell ref="P511:T511"/>
    <mergeCell ref="P507:V507"/>
    <mergeCell ref="A92:Z92"/>
    <mergeCell ref="A506:O507"/>
    <mergeCell ref="P534:V534"/>
    <mergeCell ref="P227:V227"/>
    <mergeCell ref="D36:E36"/>
    <mergeCell ref="P96:T96"/>
    <mergeCell ref="A80:O81"/>
    <mergeCell ref="D39:E39"/>
    <mergeCell ref="P525:T525"/>
    <mergeCell ref="D449:E449"/>
    <mergeCell ref="P49:T49"/>
    <mergeCell ref="P428:V428"/>
    <mergeCell ref="P36:T36"/>
    <mergeCell ref="P50:V50"/>
    <mergeCell ref="D29:E29"/>
    <mergeCell ref="Q10:R10"/>
    <mergeCell ref="A442:Z442"/>
    <mergeCell ref="D185:E185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P387:T387"/>
    <mergeCell ref="P124:V124"/>
    <mergeCell ref="P360:V360"/>
    <mergeCell ref="D422:E422"/>
    <mergeCell ref="P80:V80"/>
    <mergeCell ref="P87:T87"/>
    <mergeCell ref="P151:V151"/>
    <mergeCell ref="D68:E68"/>
    <mergeCell ref="D201:E201"/>
    <mergeCell ref="D335:E335"/>
    <mergeCell ref="A440:O441"/>
    <mergeCell ref="T5:U5"/>
    <mergeCell ref="D119:E119"/>
    <mergeCell ref="V5:W5"/>
    <mergeCell ref="P203:T203"/>
    <mergeCell ref="D46:E46"/>
    <mergeCell ref="P374:T374"/>
    <mergeCell ref="A490:Z490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P310:T310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272:T272"/>
    <mergeCell ref="P210:T210"/>
    <mergeCell ref="D327:E327"/>
    <mergeCell ref="A267:O268"/>
    <mergeCell ref="D106:E106"/>
    <mergeCell ref="A41:O42"/>
    <mergeCell ref="P185:T185"/>
    <mergeCell ref="P427:T427"/>
    <mergeCell ref="D93:E93"/>
    <mergeCell ref="D264:E264"/>
    <mergeCell ref="A133:O134"/>
    <mergeCell ref="D220:E220"/>
    <mergeCell ref="P277:T277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P132:T132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A6:C6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P167:T167"/>
    <mergeCell ref="P336:V336"/>
    <mergeCell ref="P55:T55"/>
    <mergeCell ref="D115:E115"/>
    <mergeCell ref="Q12:R12"/>
    <mergeCell ref="P280:T280"/>
    <mergeCell ref="D261:E261"/>
    <mergeCell ref="D388:E388"/>
    <mergeCell ref="P119:T119"/>
    <mergeCell ref="P62:V62"/>
    <mergeCell ref="P133:V133"/>
    <mergeCell ref="A328:O329"/>
    <mergeCell ref="P127:V127"/>
    <mergeCell ref="P298:V298"/>
    <mergeCell ref="D339:E339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