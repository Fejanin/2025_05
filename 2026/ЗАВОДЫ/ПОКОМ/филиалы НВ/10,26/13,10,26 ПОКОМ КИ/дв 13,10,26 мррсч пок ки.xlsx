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B067F96-BD1E-4703-B618-E6C4A0F078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6" i="1" l="1"/>
  <c r="U7" i="1" l="1"/>
  <c r="U8" i="1"/>
  <c r="U9" i="1"/>
  <c r="U10" i="1"/>
  <c r="U11" i="1"/>
  <c r="U13" i="1"/>
  <c r="U18" i="1"/>
  <c r="AE18" i="1" s="1"/>
  <c r="U19" i="1"/>
  <c r="U21" i="1"/>
  <c r="U23" i="1"/>
  <c r="U24" i="1"/>
  <c r="AE24" i="1" s="1"/>
  <c r="U26" i="1"/>
  <c r="U28" i="1"/>
  <c r="AE28" i="1" s="1"/>
  <c r="U29" i="1"/>
  <c r="AE29" i="1" s="1"/>
  <c r="U30" i="1"/>
  <c r="AE30" i="1" s="1"/>
  <c r="U31" i="1"/>
  <c r="AE31" i="1" s="1"/>
  <c r="U33" i="1"/>
  <c r="AE33" i="1" s="1"/>
  <c r="U34" i="1"/>
  <c r="U35" i="1"/>
  <c r="AE35" i="1" s="1"/>
  <c r="U36" i="1"/>
  <c r="U37" i="1"/>
  <c r="AE37" i="1" s="1"/>
  <c r="U38" i="1"/>
  <c r="U39" i="1"/>
  <c r="AE39" i="1" s="1"/>
  <c r="U40" i="1"/>
  <c r="U41" i="1"/>
  <c r="AE41" i="1" s="1"/>
  <c r="U42" i="1"/>
  <c r="U43" i="1"/>
  <c r="AE43" i="1" s="1"/>
  <c r="U44" i="1"/>
  <c r="U45" i="1"/>
  <c r="AE45" i="1" s="1"/>
  <c r="U46" i="1"/>
  <c r="U48" i="1"/>
  <c r="AE48" i="1" s="1"/>
  <c r="U49" i="1"/>
  <c r="AE49" i="1" s="1"/>
  <c r="U50" i="1"/>
  <c r="U52" i="1"/>
  <c r="AE52" i="1" s="1"/>
  <c r="U53" i="1"/>
  <c r="AE53" i="1" s="1"/>
  <c r="U55" i="1"/>
  <c r="AE55" i="1" s="1"/>
  <c r="U56" i="1"/>
  <c r="AE56" i="1" s="1"/>
  <c r="U57" i="1"/>
  <c r="AE57" i="1" s="1"/>
  <c r="U58" i="1"/>
  <c r="AE58" i="1" s="1"/>
  <c r="U59" i="1"/>
  <c r="AE59" i="1" s="1"/>
  <c r="U62" i="1"/>
  <c r="AE62" i="1" s="1"/>
  <c r="U63" i="1"/>
  <c r="AE63" i="1" s="1"/>
  <c r="U64" i="1"/>
  <c r="U65" i="1"/>
  <c r="AE65" i="1" s="1"/>
  <c r="U67" i="1"/>
  <c r="AE67" i="1" s="1"/>
  <c r="U68" i="1"/>
  <c r="AE68" i="1" s="1"/>
  <c r="U69" i="1"/>
  <c r="AE69" i="1" s="1"/>
  <c r="U70" i="1"/>
  <c r="U71" i="1"/>
  <c r="AE71" i="1" s="1"/>
  <c r="U72" i="1"/>
  <c r="AE72" i="1" s="1"/>
  <c r="U73" i="1"/>
  <c r="AE73" i="1" s="1"/>
  <c r="U76" i="1"/>
  <c r="U77" i="1"/>
  <c r="AE77" i="1" s="1"/>
  <c r="U79" i="1"/>
  <c r="AE79" i="1" s="1"/>
  <c r="U80" i="1"/>
  <c r="AE80" i="1" s="1"/>
  <c r="U81" i="1"/>
  <c r="AE81" i="1" s="1"/>
  <c r="U84" i="1"/>
  <c r="AE84" i="1" s="1"/>
  <c r="U85" i="1"/>
  <c r="AE85" i="1" s="1"/>
  <c r="U86" i="1"/>
  <c r="AE86" i="1" s="1"/>
  <c r="U88" i="1"/>
  <c r="U92" i="1"/>
  <c r="AE92" i="1" s="1"/>
  <c r="U93" i="1"/>
  <c r="AE93" i="1" s="1"/>
  <c r="U94" i="1"/>
  <c r="AE94" i="1" s="1"/>
  <c r="U95" i="1"/>
  <c r="AE95" i="1" s="1"/>
  <c r="U96" i="1"/>
  <c r="AE96" i="1" s="1"/>
  <c r="U97" i="1"/>
  <c r="AE97" i="1" s="1"/>
  <c r="U98" i="1"/>
  <c r="U99" i="1"/>
  <c r="AE99" i="1" s="1"/>
  <c r="U100" i="1"/>
  <c r="AE100" i="1" s="1"/>
  <c r="U101" i="1"/>
  <c r="AE101" i="1" s="1"/>
  <c r="U103" i="1"/>
  <c r="AE103" i="1" s="1"/>
  <c r="U104" i="1"/>
  <c r="U105" i="1"/>
  <c r="AE105" i="1" s="1"/>
  <c r="U106" i="1"/>
  <c r="AE106" i="1" s="1"/>
  <c r="U107" i="1"/>
  <c r="AE107" i="1" s="1"/>
  <c r="U108" i="1"/>
  <c r="U109" i="1"/>
  <c r="AE109" i="1" s="1"/>
  <c r="U110" i="1"/>
  <c r="AE110" i="1" s="1"/>
  <c r="U111" i="1"/>
  <c r="AE111" i="1" s="1"/>
  <c r="U112" i="1"/>
  <c r="U113" i="1"/>
  <c r="AE113" i="1" s="1"/>
  <c r="U114" i="1"/>
  <c r="AE114" i="1" s="1"/>
  <c r="U116" i="1"/>
  <c r="AE116" i="1" s="1"/>
  <c r="U117" i="1"/>
  <c r="AE117" i="1" s="1"/>
  <c r="U119" i="1"/>
  <c r="AE119" i="1" s="1"/>
  <c r="U120" i="1"/>
  <c r="AE120" i="1" s="1"/>
  <c r="U121" i="1"/>
  <c r="AE121" i="1" s="1"/>
  <c r="U122" i="1"/>
  <c r="U123" i="1"/>
  <c r="AE123" i="1" s="1"/>
  <c r="U124" i="1"/>
  <c r="AE124" i="1" s="1"/>
  <c r="U125" i="1"/>
  <c r="AE125" i="1" s="1"/>
  <c r="U126" i="1"/>
  <c r="U128" i="1"/>
  <c r="AE128" i="1" s="1"/>
  <c r="U129" i="1"/>
  <c r="AE129" i="1" s="1"/>
  <c r="U130" i="1"/>
  <c r="U132" i="1"/>
  <c r="U133" i="1"/>
  <c r="AE133" i="1" s="1"/>
  <c r="AE8" i="1"/>
  <c r="AE10" i="1"/>
  <c r="AE26" i="1"/>
  <c r="AE34" i="1"/>
  <c r="AE36" i="1"/>
  <c r="AE38" i="1"/>
  <c r="AE40" i="1"/>
  <c r="AE42" i="1"/>
  <c r="AE44" i="1"/>
  <c r="AE46" i="1"/>
  <c r="AE50" i="1"/>
  <c r="AE64" i="1"/>
  <c r="AE70" i="1"/>
  <c r="AE76" i="1"/>
  <c r="AE88" i="1"/>
  <c r="AE98" i="1"/>
  <c r="AE104" i="1"/>
  <c r="AE108" i="1"/>
  <c r="AE112" i="1"/>
  <c r="AE122" i="1"/>
  <c r="AE126" i="1"/>
  <c r="AE130" i="1"/>
  <c r="AE131" i="1"/>
  <c r="AE132" i="1"/>
  <c r="AE21" i="1" l="1"/>
  <c r="AE11" i="1"/>
  <c r="AE9" i="1"/>
  <c r="AE7" i="1"/>
  <c r="AE23" i="1"/>
  <c r="AE19" i="1"/>
  <c r="AE13" i="1"/>
  <c r="S133" i="1"/>
  <c r="S132" i="1"/>
  <c r="W132" i="1" s="1"/>
  <c r="S131" i="1"/>
  <c r="X131" i="1" l="1"/>
  <c r="W131" i="1"/>
  <c r="X133" i="1"/>
  <c r="W133" i="1"/>
  <c r="X132" i="1"/>
  <c r="S130" i="1"/>
  <c r="L130" i="1"/>
  <c r="S129" i="1"/>
  <c r="W129" i="1" s="1"/>
  <c r="L129" i="1"/>
  <c r="S128" i="1"/>
  <c r="W128" i="1" s="1"/>
  <c r="L128" i="1"/>
  <c r="S127" i="1"/>
  <c r="L127" i="1"/>
  <c r="S126" i="1"/>
  <c r="W126" i="1" s="1"/>
  <c r="L126" i="1"/>
  <c r="S125" i="1"/>
  <c r="W125" i="1" s="1"/>
  <c r="L125" i="1"/>
  <c r="S124" i="1"/>
  <c r="W124" i="1" s="1"/>
  <c r="L124" i="1"/>
  <c r="S123" i="1"/>
  <c r="W123" i="1" s="1"/>
  <c r="L123" i="1"/>
  <c r="S122" i="1"/>
  <c r="W122" i="1" s="1"/>
  <c r="L122" i="1"/>
  <c r="S121" i="1"/>
  <c r="W121" i="1" s="1"/>
  <c r="L121" i="1"/>
  <c r="S120" i="1"/>
  <c r="W120" i="1" s="1"/>
  <c r="L120" i="1"/>
  <c r="S119" i="1"/>
  <c r="W119" i="1" s="1"/>
  <c r="L119" i="1"/>
  <c r="S118" i="1"/>
  <c r="L118" i="1"/>
  <c r="S117" i="1"/>
  <c r="W117" i="1" s="1"/>
  <c r="L117" i="1"/>
  <c r="S116" i="1"/>
  <c r="W116" i="1" s="1"/>
  <c r="L116" i="1"/>
  <c r="S115" i="1"/>
  <c r="L115" i="1"/>
  <c r="S114" i="1"/>
  <c r="W114" i="1" s="1"/>
  <c r="L114" i="1"/>
  <c r="S113" i="1"/>
  <c r="W113" i="1" s="1"/>
  <c r="L113" i="1"/>
  <c r="S112" i="1"/>
  <c r="W112" i="1" s="1"/>
  <c r="L112" i="1"/>
  <c r="S111" i="1"/>
  <c r="W111" i="1" s="1"/>
  <c r="L111" i="1"/>
  <c r="S110" i="1"/>
  <c r="W110" i="1" s="1"/>
  <c r="L110" i="1"/>
  <c r="S109" i="1"/>
  <c r="W109" i="1" s="1"/>
  <c r="L109" i="1"/>
  <c r="S108" i="1"/>
  <c r="L108" i="1"/>
  <c r="S107" i="1"/>
  <c r="W107" i="1" s="1"/>
  <c r="L107" i="1"/>
  <c r="S106" i="1"/>
  <c r="W106" i="1" s="1"/>
  <c r="L106" i="1"/>
  <c r="S105" i="1"/>
  <c r="W105" i="1" s="1"/>
  <c r="L105" i="1"/>
  <c r="S104" i="1"/>
  <c r="W104" i="1" s="1"/>
  <c r="L104" i="1"/>
  <c r="S103" i="1"/>
  <c r="W103" i="1" s="1"/>
  <c r="L103" i="1"/>
  <c r="S102" i="1"/>
  <c r="L102" i="1"/>
  <c r="S101" i="1"/>
  <c r="L101" i="1"/>
  <c r="S100" i="1"/>
  <c r="W100" i="1" s="1"/>
  <c r="L100" i="1"/>
  <c r="F99" i="1"/>
  <c r="E99" i="1"/>
  <c r="L99" i="1" s="1"/>
  <c r="S98" i="1"/>
  <c r="W98" i="1" s="1"/>
  <c r="L98" i="1"/>
  <c r="S97" i="1"/>
  <c r="W97" i="1" s="1"/>
  <c r="L97" i="1"/>
  <c r="S96" i="1"/>
  <c r="W96" i="1" s="1"/>
  <c r="L96" i="1"/>
  <c r="S95" i="1"/>
  <c r="W95" i="1" s="1"/>
  <c r="L95" i="1"/>
  <c r="S94" i="1"/>
  <c r="W94" i="1" s="1"/>
  <c r="L94" i="1"/>
  <c r="S93" i="1"/>
  <c r="W93" i="1" s="1"/>
  <c r="L93" i="1"/>
  <c r="S92" i="1"/>
  <c r="L92" i="1"/>
  <c r="S91" i="1"/>
  <c r="L91" i="1"/>
  <c r="S90" i="1"/>
  <c r="L90" i="1"/>
  <c r="S89" i="1"/>
  <c r="L89" i="1"/>
  <c r="S88" i="1"/>
  <c r="W88" i="1" s="1"/>
  <c r="L88" i="1"/>
  <c r="S87" i="1"/>
  <c r="L87" i="1"/>
  <c r="S86" i="1"/>
  <c r="W86" i="1" s="1"/>
  <c r="L86" i="1"/>
  <c r="S85" i="1"/>
  <c r="L85" i="1"/>
  <c r="S84" i="1"/>
  <c r="L84" i="1"/>
  <c r="S83" i="1"/>
  <c r="L83" i="1"/>
  <c r="S82" i="1"/>
  <c r="T82" i="1" s="1"/>
  <c r="U82" i="1" s="1"/>
  <c r="L82" i="1"/>
  <c r="S81" i="1"/>
  <c r="W81" i="1" s="1"/>
  <c r="L81" i="1"/>
  <c r="S80" i="1"/>
  <c r="W80" i="1" s="1"/>
  <c r="L80" i="1"/>
  <c r="S79" i="1"/>
  <c r="W79" i="1" s="1"/>
  <c r="L79" i="1"/>
  <c r="S78" i="1"/>
  <c r="L78" i="1"/>
  <c r="S77" i="1"/>
  <c r="W77" i="1" s="1"/>
  <c r="L77" i="1"/>
  <c r="S76" i="1"/>
  <c r="W76" i="1" s="1"/>
  <c r="L76" i="1"/>
  <c r="S75" i="1"/>
  <c r="L75" i="1"/>
  <c r="S74" i="1"/>
  <c r="L74" i="1"/>
  <c r="S73" i="1"/>
  <c r="W73" i="1" s="1"/>
  <c r="L73" i="1"/>
  <c r="S72" i="1"/>
  <c r="W72" i="1" s="1"/>
  <c r="L72" i="1"/>
  <c r="S71" i="1"/>
  <c r="W71" i="1" s="1"/>
  <c r="L71" i="1"/>
  <c r="S70" i="1"/>
  <c r="W70" i="1" s="1"/>
  <c r="L70" i="1"/>
  <c r="S69" i="1"/>
  <c r="W69" i="1" s="1"/>
  <c r="L69" i="1"/>
  <c r="S68" i="1"/>
  <c r="W68" i="1" s="1"/>
  <c r="L68" i="1"/>
  <c r="S67" i="1"/>
  <c r="W67" i="1" s="1"/>
  <c r="L67" i="1"/>
  <c r="S66" i="1"/>
  <c r="L66" i="1"/>
  <c r="S65" i="1"/>
  <c r="W65" i="1" s="1"/>
  <c r="L65" i="1"/>
  <c r="S64" i="1"/>
  <c r="W64" i="1" s="1"/>
  <c r="L64" i="1"/>
  <c r="S63" i="1"/>
  <c r="W63" i="1" s="1"/>
  <c r="L63" i="1"/>
  <c r="S62" i="1"/>
  <c r="W62" i="1" s="1"/>
  <c r="L62" i="1"/>
  <c r="S61" i="1"/>
  <c r="L61" i="1"/>
  <c r="S60" i="1"/>
  <c r="L60" i="1"/>
  <c r="F59" i="1"/>
  <c r="E59" i="1"/>
  <c r="L59" i="1" s="1"/>
  <c r="S58" i="1"/>
  <c r="W58" i="1" s="1"/>
  <c r="L58" i="1"/>
  <c r="S57" i="1"/>
  <c r="W57" i="1" s="1"/>
  <c r="L57" i="1"/>
  <c r="S56" i="1"/>
  <c r="W56" i="1" s="1"/>
  <c r="L56" i="1"/>
  <c r="S55" i="1"/>
  <c r="W55" i="1" s="1"/>
  <c r="L55" i="1"/>
  <c r="S54" i="1"/>
  <c r="L54" i="1"/>
  <c r="S53" i="1"/>
  <c r="W53" i="1" s="1"/>
  <c r="L53" i="1"/>
  <c r="S52" i="1"/>
  <c r="W52" i="1" s="1"/>
  <c r="L52" i="1"/>
  <c r="S51" i="1"/>
  <c r="L51" i="1"/>
  <c r="S50" i="1"/>
  <c r="W50" i="1" s="1"/>
  <c r="L50" i="1"/>
  <c r="S49" i="1"/>
  <c r="W49" i="1" s="1"/>
  <c r="L49" i="1"/>
  <c r="S48" i="1"/>
  <c r="W48" i="1" s="1"/>
  <c r="L48" i="1"/>
  <c r="S47" i="1"/>
  <c r="L47" i="1"/>
  <c r="S46" i="1"/>
  <c r="W46" i="1" s="1"/>
  <c r="L46" i="1"/>
  <c r="S45" i="1"/>
  <c r="W45" i="1" s="1"/>
  <c r="L45" i="1"/>
  <c r="S44" i="1"/>
  <c r="W44" i="1" s="1"/>
  <c r="L44" i="1"/>
  <c r="S43" i="1"/>
  <c r="W43" i="1" s="1"/>
  <c r="L43" i="1"/>
  <c r="S42" i="1"/>
  <c r="W42" i="1" s="1"/>
  <c r="L42" i="1"/>
  <c r="S41" i="1"/>
  <c r="W41" i="1" s="1"/>
  <c r="L41" i="1"/>
  <c r="S40" i="1"/>
  <c r="W40" i="1" s="1"/>
  <c r="L40" i="1"/>
  <c r="S39" i="1"/>
  <c r="W39" i="1" s="1"/>
  <c r="L39" i="1"/>
  <c r="S38" i="1"/>
  <c r="W38" i="1" s="1"/>
  <c r="L38" i="1"/>
  <c r="S37" i="1"/>
  <c r="W37" i="1" s="1"/>
  <c r="L37" i="1"/>
  <c r="S36" i="1"/>
  <c r="L36" i="1"/>
  <c r="S35" i="1"/>
  <c r="W35" i="1" s="1"/>
  <c r="L35" i="1"/>
  <c r="S34" i="1"/>
  <c r="W34" i="1" s="1"/>
  <c r="L34" i="1"/>
  <c r="S33" i="1"/>
  <c r="W33" i="1" s="1"/>
  <c r="L33" i="1"/>
  <c r="S32" i="1"/>
  <c r="L32" i="1"/>
  <c r="S31" i="1"/>
  <c r="W31" i="1" s="1"/>
  <c r="L31" i="1"/>
  <c r="S30" i="1"/>
  <c r="W30" i="1" s="1"/>
  <c r="L30" i="1"/>
  <c r="S29" i="1"/>
  <c r="W29" i="1" s="1"/>
  <c r="L29" i="1"/>
  <c r="S28" i="1"/>
  <c r="W28" i="1" s="1"/>
  <c r="L28" i="1"/>
  <c r="S27" i="1"/>
  <c r="L27" i="1"/>
  <c r="S26" i="1"/>
  <c r="W26" i="1" s="1"/>
  <c r="L26" i="1"/>
  <c r="S25" i="1"/>
  <c r="L25" i="1"/>
  <c r="S24" i="1"/>
  <c r="W24" i="1" s="1"/>
  <c r="L24" i="1"/>
  <c r="S23" i="1"/>
  <c r="W23" i="1" s="1"/>
  <c r="L23" i="1"/>
  <c r="S22" i="1"/>
  <c r="L22" i="1"/>
  <c r="S21" i="1"/>
  <c r="W21" i="1" s="1"/>
  <c r="L21" i="1"/>
  <c r="S20" i="1"/>
  <c r="L20" i="1"/>
  <c r="S19" i="1"/>
  <c r="L19" i="1"/>
  <c r="S18" i="1"/>
  <c r="W18" i="1" s="1"/>
  <c r="L18" i="1"/>
  <c r="S17" i="1"/>
  <c r="L17" i="1"/>
  <c r="S16" i="1"/>
  <c r="L16" i="1"/>
  <c r="S15" i="1"/>
  <c r="L15" i="1"/>
  <c r="S14" i="1"/>
  <c r="L14" i="1"/>
  <c r="S13" i="1"/>
  <c r="W13" i="1" s="1"/>
  <c r="L13" i="1"/>
  <c r="S12" i="1"/>
  <c r="L12" i="1"/>
  <c r="S11" i="1"/>
  <c r="W11" i="1" s="1"/>
  <c r="L11" i="1"/>
  <c r="S10" i="1"/>
  <c r="W10" i="1" s="1"/>
  <c r="L10" i="1"/>
  <c r="S9" i="1"/>
  <c r="L9" i="1"/>
  <c r="S8" i="1"/>
  <c r="W8" i="1" s="1"/>
  <c r="L8" i="1"/>
  <c r="S7" i="1"/>
  <c r="W7" i="1" s="1"/>
  <c r="L7" i="1"/>
  <c r="S6" i="1"/>
  <c r="L6" i="1"/>
  <c r="AC5" i="1"/>
  <c r="AB5" i="1"/>
  <c r="AA5" i="1"/>
  <c r="Z5" i="1"/>
  <c r="Y5" i="1"/>
  <c r="R5" i="1"/>
  <c r="Q5" i="1"/>
  <c r="P5" i="1"/>
  <c r="O5" i="1"/>
  <c r="N5" i="1"/>
  <c r="M5" i="1"/>
  <c r="K5" i="1"/>
  <c r="U47" i="1" l="1"/>
  <c r="AE47" i="1" s="1"/>
  <c r="U54" i="1"/>
  <c r="AE54" i="1" s="1"/>
  <c r="U89" i="1"/>
  <c r="AE89" i="1" s="1"/>
  <c r="U127" i="1"/>
  <c r="AE127" i="1" s="1"/>
  <c r="X9" i="1"/>
  <c r="W9" i="1"/>
  <c r="X19" i="1"/>
  <c r="W19" i="1"/>
  <c r="X36" i="1"/>
  <c r="W36" i="1"/>
  <c r="W82" i="1"/>
  <c r="AE82" i="1"/>
  <c r="X84" i="1"/>
  <c r="W84" i="1"/>
  <c r="X85" i="1"/>
  <c r="W85" i="1"/>
  <c r="X92" i="1"/>
  <c r="W92" i="1"/>
  <c r="X101" i="1"/>
  <c r="W101" i="1"/>
  <c r="X108" i="1"/>
  <c r="W108" i="1"/>
  <c r="X130" i="1"/>
  <c r="W130" i="1"/>
  <c r="L5" i="1"/>
  <c r="X18" i="1"/>
  <c r="X22" i="1"/>
  <c r="T22" i="1"/>
  <c r="U22" i="1" s="1"/>
  <c r="X34" i="1"/>
  <c r="X41" i="1"/>
  <c r="X47" i="1"/>
  <c r="X50" i="1"/>
  <c r="X60" i="1"/>
  <c r="T60" i="1"/>
  <c r="U60" i="1" s="1"/>
  <c r="X64" i="1"/>
  <c r="X68" i="1"/>
  <c r="X72" i="1"/>
  <c r="T75" i="1"/>
  <c r="U75" i="1" s="1"/>
  <c r="X78" i="1"/>
  <c r="T78" i="1"/>
  <c r="U78" i="1" s="1"/>
  <c r="X86" i="1"/>
  <c r="T91" i="1"/>
  <c r="U91" i="1" s="1"/>
  <c r="X96" i="1"/>
  <c r="X104" i="1"/>
  <c r="E5" i="1"/>
  <c r="T6" i="1"/>
  <c r="U6" i="1" s="1"/>
  <c r="X10" i="1"/>
  <c r="X16" i="1"/>
  <c r="T16" i="1"/>
  <c r="X25" i="1"/>
  <c r="T25" i="1"/>
  <c r="U25" i="1" s="1"/>
  <c r="X32" i="1"/>
  <c r="T32" i="1"/>
  <c r="U32" i="1" s="1"/>
  <c r="X39" i="1"/>
  <c r="X49" i="1"/>
  <c r="X52" i="1"/>
  <c r="X58" i="1"/>
  <c r="X62" i="1"/>
  <c r="X66" i="1"/>
  <c r="T66" i="1"/>
  <c r="U66" i="1" s="1"/>
  <c r="X70" i="1"/>
  <c r="X80" i="1"/>
  <c r="T83" i="1"/>
  <c r="U83" i="1" s="1"/>
  <c r="X93" i="1"/>
  <c r="X98" i="1"/>
  <c r="X102" i="1"/>
  <c r="T102" i="1"/>
  <c r="U102" i="1" s="1"/>
  <c r="X106" i="1"/>
  <c r="T118" i="1"/>
  <c r="U118" i="1" s="1"/>
  <c r="X7" i="1"/>
  <c r="X12" i="1"/>
  <c r="T12" i="1"/>
  <c r="U12" i="1" s="1"/>
  <c r="X14" i="1"/>
  <c r="T14" i="1"/>
  <c r="U14" i="1" s="1"/>
  <c r="T15" i="1"/>
  <c r="U15" i="1" s="1"/>
  <c r="T17" i="1"/>
  <c r="U17" i="1" s="1"/>
  <c r="X20" i="1"/>
  <c r="T20" i="1"/>
  <c r="U20" i="1" s="1"/>
  <c r="X27" i="1"/>
  <c r="T27" i="1"/>
  <c r="U27" i="1" s="1"/>
  <c r="X30" i="1"/>
  <c r="X37" i="1"/>
  <c r="X43" i="1"/>
  <c r="X45" i="1"/>
  <c r="T51" i="1"/>
  <c r="U51" i="1" s="1"/>
  <c r="X54" i="1"/>
  <c r="X56" i="1"/>
  <c r="T61" i="1"/>
  <c r="U61" i="1" s="1"/>
  <c r="X74" i="1"/>
  <c r="T74" i="1"/>
  <c r="U74" i="1" s="1"/>
  <c r="X76" i="1"/>
  <c r="X82" i="1"/>
  <c r="X87" i="1"/>
  <c r="T87" i="1"/>
  <c r="U87" i="1" s="1"/>
  <c r="X90" i="1"/>
  <c r="T90" i="1"/>
  <c r="U90" i="1" s="1"/>
  <c r="X109" i="1"/>
  <c r="X111" i="1"/>
  <c r="X113" i="1"/>
  <c r="X115" i="1"/>
  <c r="T115" i="1"/>
  <c r="U115" i="1" s="1"/>
  <c r="X117" i="1"/>
  <c r="X119" i="1"/>
  <c r="X121" i="1"/>
  <c r="X123" i="1"/>
  <c r="X126" i="1"/>
  <c r="X128" i="1"/>
  <c r="S99" i="1"/>
  <c r="W99" i="1" s="1"/>
  <c r="F5" i="1"/>
  <c r="S59" i="1"/>
  <c r="X59" i="1" s="1"/>
  <c r="X61" i="1"/>
  <c r="X63" i="1"/>
  <c r="X65" i="1"/>
  <c r="X67" i="1"/>
  <c r="X69" i="1"/>
  <c r="X71" i="1"/>
  <c r="X88" i="1"/>
  <c r="X94" i="1"/>
  <c r="X103" i="1"/>
  <c r="X105" i="1"/>
  <c r="X107" i="1"/>
  <c r="X110" i="1"/>
  <c r="X112" i="1"/>
  <c r="X114" i="1"/>
  <c r="X116" i="1"/>
  <c r="X118" i="1"/>
  <c r="X120" i="1"/>
  <c r="X122" i="1"/>
  <c r="X124" i="1"/>
  <c r="X6" i="1"/>
  <c r="X8" i="1"/>
  <c r="X11" i="1"/>
  <c r="X13" i="1"/>
  <c r="X15" i="1"/>
  <c r="X17" i="1"/>
  <c r="X21" i="1"/>
  <c r="X23" i="1"/>
  <c r="X24" i="1"/>
  <c r="X26" i="1"/>
  <c r="X28" i="1"/>
  <c r="X29" i="1"/>
  <c r="X31" i="1"/>
  <c r="X33" i="1"/>
  <c r="X35" i="1"/>
  <c r="X38" i="1"/>
  <c r="X40" i="1"/>
  <c r="X42" i="1"/>
  <c r="X44" i="1"/>
  <c r="X46" i="1"/>
  <c r="X48" i="1"/>
  <c r="X51" i="1"/>
  <c r="X53" i="1"/>
  <c r="X55" i="1"/>
  <c r="X57" i="1"/>
  <c r="X73" i="1"/>
  <c r="X75" i="1"/>
  <c r="X77" i="1"/>
  <c r="X79" i="1"/>
  <c r="X81" i="1"/>
  <c r="X83" i="1"/>
  <c r="X89" i="1"/>
  <c r="X91" i="1"/>
  <c r="X95" i="1"/>
  <c r="X97" i="1"/>
  <c r="X100" i="1"/>
  <c r="X125" i="1"/>
  <c r="X127" i="1"/>
  <c r="X129" i="1"/>
  <c r="W127" i="1" l="1"/>
  <c r="W89" i="1"/>
  <c r="W54" i="1"/>
  <c r="W47" i="1"/>
  <c r="W59" i="1"/>
  <c r="AE115" i="1"/>
  <c r="W115" i="1"/>
  <c r="AE51" i="1"/>
  <c r="W51" i="1"/>
  <c r="AE15" i="1"/>
  <c r="W15" i="1"/>
  <c r="W118" i="1"/>
  <c r="AE118" i="1"/>
  <c r="W102" i="1"/>
  <c r="AE102" i="1"/>
  <c r="AE83" i="1"/>
  <c r="W83" i="1"/>
  <c r="AE32" i="1"/>
  <c r="W32" i="1"/>
  <c r="AE25" i="1"/>
  <c r="W25" i="1"/>
  <c r="AE16" i="1"/>
  <c r="W16" i="1"/>
  <c r="W90" i="1"/>
  <c r="AE90" i="1"/>
  <c r="AE87" i="1"/>
  <c r="W87" i="1"/>
  <c r="W74" i="1"/>
  <c r="AE74" i="1"/>
  <c r="AE61" i="1"/>
  <c r="W61" i="1"/>
  <c r="AE27" i="1"/>
  <c r="W27" i="1"/>
  <c r="AE20" i="1"/>
  <c r="W20" i="1"/>
  <c r="AE17" i="1"/>
  <c r="W17" i="1"/>
  <c r="AE14" i="1"/>
  <c r="W14" i="1"/>
  <c r="AE12" i="1"/>
  <c r="W12" i="1"/>
  <c r="W66" i="1"/>
  <c r="AE66" i="1"/>
  <c r="W6" i="1"/>
  <c r="AE6" i="1"/>
  <c r="U5" i="1"/>
  <c r="AE91" i="1"/>
  <c r="W91" i="1"/>
  <c r="W78" i="1"/>
  <c r="AE78" i="1"/>
  <c r="AE75" i="1"/>
  <c r="W75" i="1"/>
  <c r="AE60" i="1"/>
  <c r="W60" i="1"/>
  <c r="AE22" i="1"/>
  <c r="W22" i="1"/>
  <c r="S5" i="1"/>
  <c r="T5" i="1"/>
  <c r="X99" i="1"/>
  <c r="AE5" i="1" l="1"/>
</calcChain>
</file>

<file path=xl/sharedStrings.xml><?xml version="1.0" encoding="utf-8"?>
<sst xmlns="http://schemas.openxmlformats.org/spreadsheetml/2006/main" count="468" uniqueCount="180">
  <si>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</si>
  <si>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</si>
  <si>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</si>
  <si>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</si>
  <si>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</si>
  <si>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</si>
  <si>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</si>
  <si>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</si>
  <si>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</si>
  <si>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</si>
  <si>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</si>
  <si>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</si>
  <si>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</si>
  <si>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</si>
  <si>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</si>
  <si>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</si>
  <si>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</si>
  <si>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</si>
  <si>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</si>
  <si>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</si>
  <si>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</si>
  <si>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</si>
  <si>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</si>
  <si>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</si>
  <si>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10,10,</t>
  </si>
  <si>
    <t>12,10,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</si>
  <si>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</si>
  <si>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</si>
  <si>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</si>
  <si>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</si>
  <si>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</si>
  <si>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</si>
  <si>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</si>
  <si>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</si>
  <si>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</si>
  <si>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</si>
  <si>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</si>
  <si>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</si>
  <si>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</si>
  <si>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</si>
  <si>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</si>
  <si>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</si>
  <si>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</si>
  <si>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</si>
  <si>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</si>
  <si>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</si>
  <si>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</si>
  <si>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</si>
  <si>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</si>
  <si>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</si>
  <si>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</si>
  <si>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</si>
  <si>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</si>
  <si>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</si>
  <si>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</si>
  <si>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</si>
  <si>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</si>
  <si>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</si>
  <si>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</si>
  <si>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</si>
  <si>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</si>
  <si>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</si>
  <si>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</si>
  <si>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</si>
  <si>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</si>
  <si>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</si>
  <si>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</si>
  <si>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</si>
  <si>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</si>
  <si>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</si>
  <si>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</si>
  <si>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</si>
  <si>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</si>
  <si>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</si>
  <si>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</si>
  <si>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</si>
  <si>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</si>
  <si>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</si>
  <si>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</si>
  <si>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</si>
  <si>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</si>
  <si>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</si>
  <si>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</si>
  <si>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</si>
  <si>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</si>
  <si>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</si>
  <si>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</si>
  <si>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</si>
  <si>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</si>
  <si>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</si>
  <si>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</si>
  <si>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</si>
  <si>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</si>
  <si>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</si>
  <si>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</si>
  <si>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</si>
  <si>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</si>
  <si>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</si>
  <si>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</si>
  <si>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</si>
  <si>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</si>
  <si>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</si>
  <si>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</si>
  <si>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</si>
  <si>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</si>
  <si>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</si>
  <si>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</si>
  <si>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</si>
  <si>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</si>
  <si>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</si>
  <si>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</si>
  <si>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</si>
  <si>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</si>
  <si>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</si>
  <si>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</si>
  <si>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</si>
  <si>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</si>
  <si>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</si>
  <si>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</si>
  <si>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</si>
  <si>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</si>
  <si>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</si>
  <si>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</si>
  <si>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</si>
  <si>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</si>
  <si>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</si>
  <si>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</si>
  <si>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</si>
  <si>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</si>
  <si>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</si>
  <si>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</si>
  <si>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</si>
  <si>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</si>
  <si>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</si>
  <si>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</si>
  <si>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</si>
  <si>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</si>
  <si>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</si>
  <si>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</si>
  <si>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</si>
  <si>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</si>
  <si>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</si>
  <si>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</si>
  <si>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</si>
  <si>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</si>
  <si>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</si>
  <si>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</si>
  <si>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</si>
  <si>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</si>
  <si>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</si>
  <si>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</si>
  <si>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</si>
  <si>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</si>
  <si>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</si>
  <si>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</si>
  <si>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</si>
  <si>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</si>
  <si>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</si>
  <si>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</si>
  <si>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</si>
  <si>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</si>
  <si>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</si>
  <si>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</si>
  <si>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</si>
  <si>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</si>
  <si>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</si>
  <si>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</si>
  <si>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</si>
  <si>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</si>
  <si>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12шт списано (10,10,26)</t>
  </si>
  <si>
    <t>168кг списано (10,10,26)</t>
  </si>
  <si>
    <t>ТК</t>
  </si>
  <si>
    <t>Боярко</t>
  </si>
  <si>
    <t>Колбаса варено-копченая Сервелат Европейский ТМ Вязанка вес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</si>
  <si>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</si>
  <si>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</si>
  <si>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дн</t>
  </si>
  <si>
    <t>заказ</t>
  </si>
  <si>
    <t>17,10,</t>
  </si>
  <si>
    <t>SU004314 / новинка / на стопе (после 22,10)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</si>
</sst>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8" borderId="1" xfId="1" applyNumberFormat="1" applyFill="1"/>
    <xf numFmtId="2" fontId="1" fillId="8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6" sqref="AD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7" style="20" customWidth="1"/>
    <col min="23" max="24" width="5" customWidth="1"/>
    <col min="25" max="29" width="6" customWidth="1"/>
    <col min="30" max="30" width="43" customWidth="1"/>
    <col min="31" max="31" width="7" customWidth="1"/>
    <col min="32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3">
        <v>2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176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177</v>
      </c>
      <c r="V3" s="3" t="s">
        <v>171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178</v>
      </c>
      <c r="V4" s="1" t="s">
        <v>172</v>
      </c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8929.123999999998</v>
      </c>
      <c r="F5" s="4">
        <f>SUM(F6:F498)</f>
        <v>7704.2990000000018</v>
      </c>
      <c r="G5" s="7"/>
      <c r="H5" s="1"/>
      <c r="I5" s="1"/>
      <c r="J5" s="1"/>
      <c r="K5" s="4">
        <f t="shared" ref="K5:U5" si="0">SUM(K6:K498)</f>
        <v>11281.895000000002</v>
      </c>
      <c r="L5" s="4">
        <f t="shared" si="0"/>
        <v>-2352.7709999999997</v>
      </c>
      <c r="M5" s="4">
        <f t="shared" si="0"/>
        <v>0</v>
      </c>
      <c r="N5" s="4">
        <f t="shared" si="0"/>
        <v>0</v>
      </c>
      <c r="O5" s="4">
        <f t="shared" si="0"/>
        <v>4295.6332802177858</v>
      </c>
      <c r="P5" s="4">
        <f t="shared" si="0"/>
        <v>3516.1213999175316</v>
      </c>
      <c r="Q5" s="4">
        <f t="shared" si="0"/>
        <v>5445.1202714208675</v>
      </c>
      <c r="R5" s="4">
        <f t="shared" si="0"/>
        <v>6447.0335768743544</v>
      </c>
      <c r="S5" s="4">
        <f t="shared" si="0"/>
        <v>1785.8247999999996</v>
      </c>
      <c r="T5" s="4">
        <f t="shared" si="0"/>
        <v>1579.9219999999991</v>
      </c>
      <c r="U5" s="4">
        <f t="shared" si="0"/>
        <v>3707.4575999999993</v>
      </c>
      <c r="V5" s="4"/>
      <c r="W5" s="1"/>
      <c r="X5" s="1"/>
      <c r="Y5" s="4">
        <f>SUM(Y6:Y498)</f>
        <v>1891.4219999999993</v>
      </c>
      <c r="Z5" s="4">
        <f>SUM(Z6:Z498)</f>
        <v>1619.0564000000002</v>
      </c>
      <c r="AA5" s="4">
        <f>SUM(AA6:AA498)</f>
        <v>1535.2779999999998</v>
      </c>
      <c r="AB5" s="4">
        <f>SUM(AB6:AB498)</f>
        <v>1488.0051999999996</v>
      </c>
      <c r="AC5" s="4">
        <f>SUM(AC6:AC498)</f>
        <v>1172.1378</v>
      </c>
      <c r="AD5" s="1"/>
      <c r="AE5" s="4">
        <f>SUM(AE6:AE498)</f>
        <v>3068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32</v>
      </c>
      <c r="B6" s="1" t="s">
        <v>33</v>
      </c>
      <c r="C6" s="1">
        <v>4.84</v>
      </c>
      <c r="D6" s="1">
        <v>283.08100000000002</v>
      </c>
      <c r="E6" s="1">
        <v>98.245999999999995</v>
      </c>
      <c r="F6" s="1">
        <v>143.70500000000001</v>
      </c>
      <c r="G6" s="7">
        <v>1</v>
      </c>
      <c r="H6" s="1">
        <v>50</v>
      </c>
      <c r="I6" s="1" t="s">
        <v>34</v>
      </c>
      <c r="J6" s="1"/>
      <c r="K6" s="1">
        <v>137.80000000000001</v>
      </c>
      <c r="L6" s="1">
        <f t="shared" ref="L6:L37" si="1">E6-K6</f>
        <v>-39.554000000000016</v>
      </c>
      <c r="M6" s="1"/>
      <c r="N6" s="1"/>
      <c r="O6" s="1">
        <v>0</v>
      </c>
      <c r="P6" s="1"/>
      <c r="Q6" s="1">
        <v>42.618400000000022</v>
      </c>
      <c r="R6" s="1">
        <v>0</v>
      </c>
      <c r="S6" s="1">
        <f t="shared" ref="S6:S37" si="2">E6/5</f>
        <v>19.6492</v>
      </c>
      <c r="T6" s="5">
        <f>11*S6-R6-Q6-P6-O6-F6</f>
        <v>29.817799999999949</v>
      </c>
      <c r="U6" s="5">
        <f>T6+S6*$U$1</f>
        <v>69.116199999999949</v>
      </c>
      <c r="V6" s="18"/>
      <c r="W6" s="1">
        <f>(F6+O6+P6+Q6+R6+U6)/S6</f>
        <v>12.999999999999998</v>
      </c>
      <c r="X6" s="1">
        <f t="shared" ref="X6:X37" si="3">(F6+O6+P6+Q6+R6)/S6</f>
        <v>9.482492925920651</v>
      </c>
      <c r="Y6" s="1">
        <v>19.663399999999999</v>
      </c>
      <c r="Z6" s="1">
        <v>24.488199999999999</v>
      </c>
      <c r="AA6" s="1">
        <v>15.6044</v>
      </c>
      <c r="AB6" s="1">
        <v>21.5792</v>
      </c>
      <c r="AC6" s="1">
        <v>26.789200000000001</v>
      </c>
      <c r="AD6" s="1"/>
      <c r="AE6" s="1">
        <f>ROUND(G6*U6,0)</f>
        <v>69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35</v>
      </c>
      <c r="B7" s="1" t="s">
        <v>33</v>
      </c>
      <c r="C7" s="1">
        <v>450.03500000000003</v>
      </c>
      <c r="D7" s="1">
        <v>109.349</v>
      </c>
      <c r="E7" s="1">
        <v>127.944</v>
      </c>
      <c r="F7" s="1">
        <v>331.90800000000002</v>
      </c>
      <c r="G7" s="7">
        <v>1</v>
      </c>
      <c r="H7" s="1">
        <v>45</v>
      </c>
      <c r="I7" s="1" t="s">
        <v>34</v>
      </c>
      <c r="J7" s="1"/>
      <c r="K7" s="1">
        <v>143.30000000000001</v>
      </c>
      <c r="L7" s="1">
        <f t="shared" si="1"/>
        <v>-15.356000000000009</v>
      </c>
      <c r="M7" s="1"/>
      <c r="N7" s="1"/>
      <c r="O7" s="1">
        <v>0</v>
      </c>
      <c r="P7" s="1"/>
      <c r="Q7" s="1">
        <v>0</v>
      </c>
      <c r="R7" s="1">
        <v>0</v>
      </c>
      <c r="S7" s="1">
        <f t="shared" si="2"/>
        <v>25.588799999999999</v>
      </c>
      <c r="T7" s="5"/>
      <c r="U7" s="5">
        <f t="shared" ref="U7:U70" si="4">T7</f>
        <v>0</v>
      </c>
      <c r="V7" s="18"/>
      <c r="W7" s="1">
        <f t="shared" ref="W7:W70" si="5">(F7+O7+P7+Q7+R7+U7)/S7</f>
        <v>12.970830988557495</v>
      </c>
      <c r="X7" s="1">
        <f t="shared" si="3"/>
        <v>12.970830988557495</v>
      </c>
      <c r="Y7" s="1">
        <v>22.931799999999999</v>
      </c>
      <c r="Z7" s="1">
        <v>24.117799999999999</v>
      </c>
      <c r="AA7" s="1">
        <v>22.6374</v>
      </c>
      <c r="AB7" s="1">
        <v>20.7254</v>
      </c>
      <c r="AC7" s="1">
        <v>21.689</v>
      </c>
      <c r="AD7" s="14" t="s">
        <v>36</v>
      </c>
      <c r="AE7" s="1">
        <f t="shared" ref="AE7:AE70" si="6">ROUND(G7*U7,0)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37</v>
      </c>
      <c r="B8" s="1" t="s">
        <v>33</v>
      </c>
      <c r="C8" s="1">
        <v>125.004</v>
      </c>
      <c r="D8" s="1">
        <v>17.899000000000001</v>
      </c>
      <c r="E8" s="1">
        <v>114.22199999999999</v>
      </c>
      <c r="F8" s="1">
        <v>1.373</v>
      </c>
      <c r="G8" s="7">
        <v>1</v>
      </c>
      <c r="H8" s="1">
        <v>45</v>
      </c>
      <c r="I8" s="9" t="s">
        <v>38</v>
      </c>
      <c r="J8" s="1"/>
      <c r="K8" s="1">
        <v>143.5</v>
      </c>
      <c r="L8" s="1">
        <f t="shared" si="1"/>
        <v>-29.278000000000006</v>
      </c>
      <c r="M8" s="1"/>
      <c r="N8" s="1"/>
      <c r="O8" s="1">
        <v>99</v>
      </c>
      <c r="P8" s="1">
        <v>30</v>
      </c>
      <c r="Q8" s="1">
        <v>200</v>
      </c>
      <c r="R8" s="1">
        <v>0</v>
      </c>
      <c r="S8" s="1">
        <f t="shared" si="2"/>
        <v>22.8444</v>
      </c>
      <c r="T8" s="5"/>
      <c r="U8" s="5">
        <f t="shared" si="4"/>
        <v>0</v>
      </c>
      <c r="V8" s="18"/>
      <c r="W8" s="1">
        <f t="shared" si="5"/>
        <v>14.461881248796203</v>
      </c>
      <c r="X8" s="1">
        <f t="shared" si="3"/>
        <v>14.461881248796203</v>
      </c>
      <c r="Y8" s="1">
        <v>26.839200000000002</v>
      </c>
      <c r="Z8" s="1">
        <v>22.239000000000001</v>
      </c>
      <c r="AA8" s="1">
        <v>23.381799999999998</v>
      </c>
      <c r="AB8" s="1">
        <v>24.181999999999999</v>
      </c>
      <c r="AC8" s="1">
        <v>21.139399999999998</v>
      </c>
      <c r="AD8" s="1"/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34</v>
      </c>
      <c r="J9" s="10"/>
      <c r="K9" s="10"/>
      <c r="L9" s="10">
        <f t="shared" si="1"/>
        <v>0</v>
      </c>
      <c r="M9" s="10"/>
      <c r="N9" s="10"/>
      <c r="O9" s="10">
        <v>0</v>
      </c>
      <c r="P9" s="10"/>
      <c r="Q9" s="10">
        <v>0</v>
      </c>
      <c r="R9" s="10">
        <v>0</v>
      </c>
      <c r="S9" s="10">
        <f t="shared" si="2"/>
        <v>0</v>
      </c>
      <c r="T9" s="12"/>
      <c r="U9" s="5">
        <f t="shared" si="4"/>
        <v>0</v>
      </c>
      <c r="V9" s="19"/>
      <c r="W9" s="1" t="e">
        <f t="shared" si="5"/>
        <v>#DIV/0!</v>
      </c>
      <c r="X9" s="10" t="e">
        <f t="shared" si="3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40</v>
      </c>
      <c r="C10" s="1">
        <v>385</v>
      </c>
      <c r="D10" s="1">
        <v>17</v>
      </c>
      <c r="E10" s="1">
        <v>391</v>
      </c>
      <c r="F10" s="1">
        <v>2</v>
      </c>
      <c r="G10" s="7">
        <v>0.45</v>
      </c>
      <c r="H10" s="1">
        <v>45</v>
      </c>
      <c r="I10" s="1" t="s">
        <v>34</v>
      </c>
      <c r="J10" s="1"/>
      <c r="K10" s="1">
        <v>431</v>
      </c>
      <c r="L10" s="1">
        <f t="shared" si="1"/>
        <v>-40</v>
      </c>
      <c r="M10" s="1"/>
      <c r="N10" s="1"/>
      <c r="O10" s="1">
        <v>300</v>
      </c>
      <c r="P10" s="1"/>
      <c r="Q10" s="1">
        <v>0</v>
      </c>
      <c r="R10" s="1">
        <v>621.20000000000005</v>
      </c>
      <c r="S10" s="1">
        <f t="shared" si="2"/>
        <v>78.2</v>
      </c>
      <c r="T10" s="5"/>
      <c r="U10" s="5">
        <f t="shared" si="4"/>
        <v>0</v>
      </c>
      <c r="V10" s="18"/>
      <c r="W10" s="1">
        <f t="shared" si="5"/>
        <v>11.805626598465473</v>
      </c>
      <c r="X10" s="1">
        <f t="shared" si="3"/>
        <v>11.805626598465473</v>
      </c>
      <c r="Y10" s="1">
        <v>88.2</v>
      </c>
      <c r="Z10" s="1">
        <v>26.2</v>
      </c>
      <c r="AA10" s="1">
        <v>23.6</v>
      </c>
      <c r="AB10" s="1">
        <v>21.8</v>
      </c>
      <c r="AC10" s="1">
        <v>-0.6</v>
      </c>
      <c r="AD10" s="1"/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43</v>
      </c>
      <c r="B11" s="1" t="s">
        <v>40</v>
      </c>
      <c r="C11" s="1">
        <v>521</v>
      </c>
      <c r="D11" s="1">
        <v>293.39999999999998</v>
      </c>
      <c r="E11" s="1">
        <v>357</v>
      </c>
      <c r="F11" s="1">
        <v>212</v>
      </c>
      <c r="G11" s="7">
        <v>0.45</v>
      </c>
      <c r="H11" s="1">
        <v>45</v>
      </c>
      <c r="I11" s="1" t="s">
        <v>34</v>
      </c>
      <c r="J11" s="1"/>
      <c r="K11" s="1">
        <v>464</v>
      </c>
      <c r="L11" s="1">
        <f t="shared" si="1"/>
        <v>-107</v>
      </c>
      <c r="M11" s="1"/>
      <c r="N11" s="1"/>
      <c r="O11" s="1">
        <v>0</v>
      </c>
      <c r="P11" s="1">
        <v>342.29294306335203</v>
      </c>
      <c r="Q11" s="1">
        <v>200</v>
      </c>
      <c r="R11" s="1">
        <v>349.10705693664812</v>
      </c>
      <c r="S11" s="1">
        <f t="shared" si="2"/>
        <v>71.400000000000006</v>
      </c>
      <c r="T11" s="5"/>
      <c r="U11" s="5">
        <f t="shared" si="4"/>
        <v>0</v>
      </c>
      <c r="V11" s="18"/>
      <c r="W11" s="1">
        <f t="shared" si="5"/>
        <v>15.453781512605042</v>
      </c>
      <c r="X11" s="1">
        <f t="shared" si="3"/>
        <v>15.453781512605042</v>
      </c>
      <c r="Y11" s="1">
        <v>93.2</v>
      </c>
      <c r="Z11" s="1">
        <v>82</v>
      </c>
      <c r="AA11" s="1">
        <v>82.6</v>
      </c>
      <c r="AB11" s="1">
        <v>72.2</v>
      </c>
      <c r="AC11" s="1">
        <v>58.4</v>
      </c>
      <c r="AD11" s="1"/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40</v>
      </c>
      <c r="C12" s="1">
        <v>109</v>
      </c>
      <c r="D12" s="1">
        <v>6</v>
      </c>
      <c r="E12" s="1">
        <v>81</v>
      </c>
      <c r="F12" s="1">
        <v>32</v>
      </c>
      <c r="G12" s="7">
        <v>0.17</v>
      </c>
      <c r="H12" s="1">
        <v>180</v>
      </c>
      <c r="I12" s="1" t="s">
        <v>34</v>
      </c>
      <c r="J12" s="1"/>
      <c r="K12" s="1">
        <v>85</v>
      </c>
      <c r="L12" s="1">
        <f t="shared" si="1"/>
        <v>-4</v>
      </c>
      <c r="M12" s="1"/>
      <c r="N12" s="1"/>
      <c r="O12" s="1">
        <v>0</v>
      </c>
      <c r="P12" s="1"/>
      <c r="Q12" s="1">
        <v>0</v>
      </c>
      <c r="R12" s="1">
        <v>86</v>
      </c>
      <c r="S12" s="1">
        <f t="shared" si="2"/>
        <v>16.2</v>
      </c>
      <c r="T12" s="5">
        <f t="shared" ref="T12:T17" si="7">11*S12-R12-Q12-P12-O12-F12</f>
        <v>60.199999999999989</v>
      </c>
      <c r="U12" s="5">
        <f>T12+S12*$U$1</f>
        <v>92.6</v>
      </c>
      <c r="V12" s="18"/>
      <c r="W12" s="1">
        <f t="shared" si="5"/>
        <v>13</v>
      </c>
      <c r="X12" s="1">
        <f t="shared" si="3"/>
        <v>7.283950617283951</v>
      </c>
      <c r="Y12" s="1">
        <v>12</v>
      </c>
      <c r="Z12" s="1">
        <v>7</v>
      </c>
      <c r="AA12" s="1">
        <v>6</v>
      </c>
      <c r="AB12" s="1">
        <v>2.8</v>
      </c>
      <c r="AC12" s="1">
        <v>4.8</v>
      </c>
      <c r="AD12" s="1"/>
      <c r="AE12" s="1">
        <f t="shared" si="6"/>
        <v>16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45</v>
      </c>
      <c r="B13" s="1" t="s">
        <v>40</v>
      </c>
      <c r="C13" s="1">
        <v>35</v>
      </c>
      <c r="D13" s="1">
        <v>4</v>
      </c>
      <c r="E13" s="1">
        <v>21</v>
      </c>
      <c r="F13" s="1">
        <v>14</v>
      </c>
      <c r="G13" s="7">
        <v>0.3</v>
      </c>
      <c r="H13" s="1">
        <v>40</v>
      </c>
      <c r="I13" s="1" t="s">
        <v>34</v>
      </c>
      <c r="J13" s="1"/>
      <c r="K13" s="1">
        <v>23</v>
      </c>
      <c r="L13" s="1">
        <f t="shared" si="1"/>
        <v>-2</v>
      </c>
      <c r="M13" s="1"/>
      <c r="N13" s="1"/>
      <c r="O13" s="1">
        <v>0</v>
      </c>
      <c r="P13" s="1">
        <v>18.5089005235602</v>
      </c>
      <c r="Q13" s="1">
        <v>70</v>
      </c>
      <c r="R13" s="1">
        <v>0</v>
      </c>
      <c r="S13" s="1">
        <f t="shared" si="2"/>
        <v>4.2</v>
      </c>
      <c r="T13" s="5"/>
      <c r="U13" s="5">
        <f t="shared" si="4"/>
        <v>0</v>
      </c>
      <c r="V13" s="18"/>
      <c r="W13" s="1">
        <f t="shared" si="5"/>
        <v>24.406881077038143</v>
      </c>
      <c r="X13" s="1">
        <f t="shared" si="3"/>
        <v>24.406881077038143</v>
      </c>
      <c r="Y13" s="1">
        <v>6.4</v>
      </c>
      <c r="Z13" s="1">
        <v>6.8</v>
      </c>
      <c r="AA13" s="1">
        <v>5.6</v>
      </c>
      <c r="AB13" s="1">
        <v>3</v>
      </c>
      <c r="AC13" s="1">
        <v>0</v>
      </c>
      <c r="AD13" s="14" t="s">
        <v>36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46</v>
      </c>
      <c r="B14" s="1" t="s">
        <v>40</v>
      </c>
      <c r="C14" s="1">
        <v>197</v>
      </c>
      <c r="D14" s="1">
        <v>19</v>
      </c>
      <c r="E14" s="1">
        <v>109</v>
      </c>
      <c r="F14" s="1">
        <v>99</v>
      </c>
      <c r="G14" s="7">
        <v>0.17</v>
      </c>
      <c r="H14" s="1">
        <v>180</v>
      </c>
      <c r="I14" s="1" t="s">
        <v>34</v>
      </c>
      <c r="J14" s="1"/>
      <c r="K14" s="1">
        <v>116</v>
      </c>
      <c r="L14" s="1">
        <f t="shared" si="1"/>
        <v>-7</v>
      </c>
      <c r="M14" s="1"/>
      <c r="N14" s="1"/>
      <c r="O14" s="1">
        <v>0</v>
      </c>
      <c r="P14" s="1">
        <v>10.600000000000019</v>
      </c>
      <c r="Q14" s="1">
        <v>70</v>
      </c>
      <c r="R14" s="1">
        <v>47.799999999999947</v>
      </c>
      <c r="S14" s="1">
        <f t="shared" si="2"/>
        <v>21.8</v>
      </c>
      <c r="T14" s="5">
        <f t="shared" si="7"/>
        <v>12.400000000000034</v>
      </c>
      <c r="U14" s="5">
        <f t="shared" ref="U14:U17" si="8">T14+S14*$U$1</f>
        <v>56.000000000000036</v>
      </c>
      <c r="V14" s="18"/>
      <c r="W14" s="1">
        <f t="shared" si="5"/>
        <v>13.000000000000002</v>
      </c>
      <c r="X14" s="1">
        <f t="shared" si="3"/>
        <v>10.431192660550458</v>
      </c>
      <c r="Y14" s="1">
        <v>21.2</v>
      </c>
      <c r="Z14" s="1">
        <v>18.2</v>
      </c>
      <c r="AA14" s="1">
        <v>20.8</v>
      </c>
      <c r="AB14" s="1">
        <v>17.8</v>
      </c>
      <c r="AC14" s="1">
        <v>12.8</v>
      </c>
      <c r="AD14" s="1"/>
      <c r="AE14" s="1">
        <f t="shared" si="6"/>
        <v>10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47</v>
      </c>
      <c r="B15" s="1" t="s">
        <v>33</v>
      </c>
      <c r="C15" s="1">
        <v>170.01300000000001</v>
      </c>
      <c r="D15" s="1">
        <v>440.50299999999999</v>
      </c>
      <c r="E15" s="1">
        <v>301.553</v>
      </c>
      <c r="F15" s="1">
        <v>252.642</v>
      </c>
      <c r="G15" s="7">
        <v>1</v>
      </c>
      <c r="H15" s="1">
        <v>70</v>
      </c>
      <c r="I15" s="1" t="s">
        <v>34</v>
      </c>
      <c r="J15" s="1"/>
      <c r="K15" s="1">
        <v>451.6</v>
      </c>
      <c r="L15" s="1">
        <f t="shared" si="1"/>
        <v>-150.04700000000003</v>
      </c>
      <c r="M15" s="1"/>
      <c r="N15" s="1"/>
      <c r="O15" s="1">
        <v>50</v>
      </c>
      <c r="P15" s="1"/>
      <c r="Q15" s="1">
        <v>150</v>
      </c>
      <c r="R15" s="1">
        <v>0</v>
      </c>
      <c r="S15" s="1">
        <f t="shared" si="2"/>
        <v>60.310600000000001</v>
      </c>
      <c r="T15" s="5">
        <f t="shared" si="7"/>
        <v>210.77460000000002</v>
      </c>
      <c r="U15" s="5">
        <f t="shared" si="8"/>
        <v>331.39580000000001</v>
      </c>
      <c r="V15" s="18"/>
      <c r="W15" s="1">
        <f t="shared" si="5"/>
        <v>13</v>
      </c>
      <c r="X15" s="1">
        <f t="shared" si="3"/>
        <v>7.5051815103812594</v>
      </c>
      <c r="Y15" s="1">
        <v>38.077800000000003</v>
      </c>
      <c r="Z15" s="1">
        <v>38.4358</v>
      </c>
      <c r="AA15" s="1">
        <v>20.296600000000002</v>
      </c>
      <c r="AB15" s="1">
        <v>45.934399999999997</v>
      </c>
      <c r="AC15" s="1">
        <v>54.014000000000003</v>
      </c>
      <c r="AD15" s="1"/>
      <c r="AE15" s="1">
        <f t="shared" si="6"/>
        <v>331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48</v>
      </c>
      <c r="B16" s="1" t="s">
        <v>33</v>
      </c>
      <c r="C16" s="1">
        <v>1655.4970000000001</v>
      </c>
      <c r="D16" s="1">
        <v>557.75599999999997</v>
      </c>
      <c r="E16" s="1">
        <v>761.84699999999998</v>
      </c>
      <c r="F16" s="1">
        <v>909.63400000000001</v>
      </c>
      <c r="G16" s="7">
        <v>1</v>
      </c>
      <c r="H16" s="1">
        <v>50</v>
      </c>
      <c r="I16" s="1" t="s">
        <v>34</v>
      </c>
      <c r="J16" s="1"/>
      <c r="K16" s="1">
        <v>815</v>
      </c>
      <c r="L16" s="1">
        <f t="shared" si="1"/>
        <v>-53.15300000000002</v>
      </c>
      <c r="M16" s="1"/>
      <c r="N16" s="1"/>
      <c r="O16" s="1">
        <v>0</v>
      </c>
      <c r="P16" s="1">
        <v>348.0912000000003</v>
      </c>
      <c r="Q16" s="1">
        <v>0</v>
      </c>
      <c r="R16" s="1">
        <v>370</v>
      </c>
      <c r="S16" s="1">
        <f t="shared" si="2"/>
        <v>152.36939999999998</v>
      </c>
      <c r="T16" s="5">
        <f t="shared" si="7"/>
        <v>48.33819999999946</v>
      </c>
      <c r="U16" s="5">
        <f>T16+S16*$U$1+100</f>
        <v>453.07699999999943</v>
      </c>
      <c r="V16" s="18"/>
      <c r="W16" s="1">
        <f t="shared" si="5"/>
        <v>13.656299755725231</v>
      </c>
      <c r="X16" s="1">
        <f t="shared" si="3"/>
        <v>10.682756511478029</v>
      </c>
      <c r="Y16" s="1">
        <v>153.6754</v>
      </c>
      <c r="Z16" s="1">
        <v>153.47040000000001</v>
      </c>
      <c r="AA16" s="1">
        <v>191.55760000000001</v>
      </c>
      <c r="AB16" s="1">
        <v>201.6146</v>
      </c>
      <c r="AC16" s="1">
        <v>130.29419999999999</v>
      </c>
      <c r="AD16" s="1"/>
      <c r="AE16" s="1">
        <f t="shared" si="6"/>
        <v>453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49</v>
      </c>
      <c r="B17" s="1" t="s">
        <v>33</v>
      </c>
      <c r="C17" s="1">
        <v>8.0129999999999999</v>
      </c>
      <c r="D17" s="1">
        <v>98.248000000000005</v>
      </c>
      <c r="E17" s="1">
        <v>61.131999999999998</v>
      </c>
      <c r="F17" s="1">
        <v>1.8260000000000001</v>
      </c>
      <c r="G17" s="7">
        <v>1</v>
      </c>
      <c r="H17" s="1">
        <v>60</v>
      </c>
      <c r="I17" s="1" t="s">
        <v>34</v>
      </c>
      <c r="J17" s="1"/>
      <c r="K17" s="1">
        <v>99.3</v>
      </c>
      <c r="L17" s="1">
        <f t="shared" si="1"/>
        <v>-38.167999999999999</v>
      </c>
      <c r="M17" s="1"/>
      <c r="N17" s="1"/>
      <c r="O17" s="1">
        <v>85.312799999999982</v>
      </c>
      <c r="P17" s="1">
        <v>34.571599999999997</v>
      </c>
      <c r="Q17" s="1">
        <v>0</v>
      </c>
      <c r="R17" s="1">
        <v>0</v>
      </c>
      <c r="S17" s="1">
        <f t="shared" si="2"/>
        <v>12.2264</v>
      </c>
      <c r="T17" s="5">
        <f t="shared" si="7"/>
        <v>12.780000000000022</v>
      </c>
      <c r="U17" s="5">
        <f t="shared" si="8"/>
        <v>37.232800000000026</v>
      </c>
      <c r="V17" s="18"/>
      <c r="W17" s="1">
        <f t="shared" si="5"/>
        <v>13</v>
      </c>
      <c r="X17" s="1">
        <f t="shared" si="3"/>
        <v>9.9547209317542347</v>
      </c>
      <c r="Y17" s="1">
        <v>3.5379999999999998</v>
      </c>
      <c r="Z17" s="1">
        <v>4.5628000000000002</v>
      </c>
      <c r="AA17" s="1">
        <v>15.856400000000001</v>
      </c>
      <c r="AB17" s="1">
        <v>15.5992</v>
      </c>
      <c r="AC17" s="1">
        <v>9.6205999999999996</v>
      </c>
      <c r="AD17" s="1"/>
      <c r="AE17" s="1">
        <f t="shared" si="6"/>
        <v>37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0" t="s">
        <v>50</v>
      </c>
      <c r="B18" s="10" t="s">
        <v>33</v>
      </c>
      <c r="C18" s="10">
        <v>-0.86099999999999999</v>
      </c>
      <c r="D18" s="10">
        <v>0.86099999999999999</v>
      </c>
      <c r="E18" s="10"/>
      <c r="F18" s="10"/>
      <c r="G18" s="11">
        <v>0</v>
      </c>
      <c r="H18" s="10"/>
      <c r="I18" s="10" t="s">
        <v>51</v>
      </c>
      <c r="J18" s="10"/>
      <c r="K18" s="10"/>
      <c r="L18" s="10">
        <f t="shared" si="1"/>
        <v>0</v>
      </c>
      <c r="M18" s="10"/>
      <c r="N18" s="10"/>
      <c r="O18" s="10">
        <v>0</v>
      </c>
      <c r="P18" s="10"/>
      <c r="Q18" s="10">
        <v>0</v>
      </c>
      <c r="R18" s="10">
        <v>0</v>
      </c>
      <c r="S18" s="10">
        <f t="shared" si="2"/>
        <v>0</v>
      </c>
      <c r="T18" s="12"/>
      <c r="U18" s="5">
        <f t="shared" si="4"/>
        <v>0</v>
      </c>
      <c r="V18" s="19"/>
      <c r="W18" s="1" t="e">
        <f t="shared" si="5"/>
        <v>#DIV/0!</v>
      </c>
      <c r="X18" s="10" t="e">
        <f t="shared" si="3"/>
        <v>#DIV/0!</v>
      </c>
      <c r="Y18" s="10">
        <v>0</v>
      </c>
      <c r="Z18" s="10">
        <v>0.17219999999999999</v>
      </c>
      <c r="AA18" s="10">
        <v>0.17219999999999999</v>
      </c>
      <c r="AB18" s="10">
        <v>0</v>
      </c>
      <c r="AC18" s="10">
        <v>0</v>
      </c>
      <c r="AD18" s="10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52</v>
      </c>
      <c r="B19" s="10" t="s">
        <v>33</v>
      </c>
      <c r="C19" s="10">
        <v>-12.473000000000001</v>
      </c>
      <c r="D19" s="10">
        <v>12.473000000000001</v>
      </c>
      <c r="E19" s="10"/>
      <c r="F19" s="10"/>
      <c r="G19" s="11">
        <v>0</v>
      </c>
      <c r="H19" s="10"/>
      <c r="I19" s="10" t="s">
        <v>51</v>
      </c>
      <c r="J19" s="10" t="s">
        <v>53</v>
      </c>
      <c r="K19" s="10"/>
      <c r="L19" s="10">
        <f t="shared" si="1"/>
        <v>0</v>
      </c>
      <c r="M19" s="10"/>
      <c r="N19" s="10"/>
      <c r="O19" s="10">
        <v>0</v>
      </c>
      <c r="P19" s="10"/>
      <c r="Q19" s="10">
        <v>0</v>
      </c>
      <c r="R19" s="10">
        <v>0</v>
      </c>
      <c r="S19" s="10">
        <f t="shared" si="2"/>
        <v>0</v>
      </c>
      <c r="T19" s="12"/>
      <c r="U19" s="5">
        <f t="shared" si="4"/>
        <v>0</v>
      </c>
      <c r="V19" s="19"/>
      <c r="W19" s="1" t="e">
        <f t="shared" si="5"/>
        <v>#DIV/0!</v>
      </c>
      <c r="X19" s="10" t="e">
        <f t="shared" si="3"/>
        <v>#DIV/0!</v>
      </c>
      <c r="Y19" s="10">
        <v>0</v>
      </c>
      <c r="Z19" s="10">
        <v>2.4946000000000002</v>
      </c>
      <c r="AA19" s="10">
        <v>2.4946000000000002</v>
      </c>
      <c r="AB19" s="10">
        <v>0</v>
      </c>
      <c r="AC19" s="10">
        <v>0</v>
      </c>
      <c r="AD19" s="10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54</v>
      </c>
      <c r="B20" s="1" t="s">
        <v>33</v>
      </c>
      <c r="C20" s="1">
        <v>1.173</v>
      </c>
      <c r="D20" s="1">
        <v>59.706000000000003</v>
      </c>
      <c r="E20" s="1">
        <v>34.061999999999998</v>
      </c>
      <c r="F20" s="1">
        <v>20.120999999999999</v>
      </c>
      <c r="G20" s="7">
        <v>1</v>
      </c>
      <c r="H20" s="1">
        <v>60</v>
      </c>
      <c r="I20" s="1" t="s">
        <v>34</v>
      </c>
      <c r="J20" s="1"/>
      <c r="K20" s="1">
        <v>47.9</v>
      </c>
      <c r="L20" s="1">
        <f t="shared" si="1"/>
        <v>-13.838000000000001</v>
      </c>
      <c r="M20" s="1"/>
      <c r="N20" s="1"/>
      <c r="O20" s="1">
        <v>20.084199999999999</v>
      </c>
      <c r="P20" s="1"/>
      <c r="Q20" s="1">
        <v>0</v>
      </c>
      <c r="R20" s="1">
        <v>0</v>
      </c>
      <c r="S20" s="1">
        <f t="shared" si="2"/>
        <v>6.8123999999999993</v>
      </c>
      <c r="T20" s="5">
        <f t="shared" ref="T20:T22" si="9">11*S20-R20-Q20-P20-O20-F20</f>
        <v>34.731200000000001</v>
      </c>
      <c r="U20" s="5">
        <f>T20+S20*$U$1</f>
        <v>48.356000000000002</v>
      </c>
      <c r="V20" s="18"/>
      <c r="W20" s="1">
        <f t="shared" si="5"/>
        <v>13.000000000000002</v>
      </c>
      <c r="X20" s="1">
        <f t="shared" si="3"/>
        <v>5.9017673653925193</v>
      </c>
      <c r="Y20" s="1">
        <v>2.4491999999999998</v>
      </c>
      <c r="Z20" s="1">
        <v>0.35659999999999997</v>
      </c>
      <c r="AA20" s="1">
        <v>3.3452000000000002</v>
      </c>
      <c r="AB20" s="1">
        <v>6.4581999999999997</v>
      </c>
      <c r="AC20" s="1">
        <v>6.0523999999999996</v>
      </c>
      <c r="AD20" s="1"/>
      <c r="AE20" s="1">
        <f t="shared" si="6"/>
        <v>48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55</v>
      </c>
      <c r="B21" s="1" t="s">
        <v>33</v>
      </c>
      <c r="C21" s="1">
        <v>65.738</v>
      </c>
      <c r="D21" s="1">
        <v>39.722999999999999</v>
      </c>
      <c r="E21" s="1">
        <v>7.9640000000000004</v>
      </c>
      <c r="F21" s="1">
        <v>75.650000000000006</v>
      </c>
      <c r="G21" s="7">
        <v>1</v>
      </c>
      <c r="H21" s="1">
        <v>180</v>
      </c>
      <c r="I21" s="1" t="s">
        <v>34</v>
      </c>
      <c r="J21" s="1"/>
      <c r="K21" s="1">
        <v>6.25</v>
      </c>
      <c r="L21" s="1">
        <f t="shared" si="1"/>
        <v>1.7140000000000004</v>
      </c>
      <c r="M21" s="1"/>
      <c r="N21" s="1"/>
      <c r="O21" s="1">
        <v>0</v>
      </c>
      <c r="P21" s="1"/>
      <c r="Q21" s="1">
        <v>0</v>
      </c>
      <c r="R21" s="1">
        <v>0</v>
      </c>
      <c r="S21" s="1">
        <f t="shared" si="2"/>
        <v>1.5928</v>
      </c>
      <c r="T21" s="5"/>
      <c r="U21" s="5">
        <f t="shared" si="4"/>
        <v>0</v>
      </c>
      <c r="V21" s="18"/>
      <c r="W21" s="1">
        <f t="shared" si="5"/>
        <v>47.49497739829232</v>
      </c>
      <c r="X21" s="1">
        <f t="shared" si="3"/>
        <v>47.49497739829232</v>
      </c>
      <c r="Y21" s="1">
        <v>1.4348000000000001</v>
      </c>
      <c r="Z21" s="1">
        <v>1.0733999999999999</v>
      </c>
      <c r="AA21" s="1">
        <v>0.58299999999999996</v>
      </c>
      <c r="AB21" s="1">
        <v>0.36120000000000002</v>
      </c>
      <c r="AC21" s="1">
        <v>0.43280000000000002</v>
      </c>
      <c r="AD21" s="15" t="s">
        <v>56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57</v>
      </c>
      <c r="B22" s="1" t="s">
        <v>33</v>
      </c>
      <c r="C22" s="1">
        <v>45.192999999999998</v>
      </c>
      <c r="D22" s="1">
        <v>648.72</v>
      </c>
      <c r="E22" s="1">
        <v>254.06299999999999</v>
      </c>
      <c r="F22" s="1">
        <v>339.62799999999999</v>
      </c>
      <c r="G22" s="7">
        <v>1</v>
      </c>
      <c r="H22" s="1">
        <v>60</v>
      </c>
      <c r="I22" s="1" t="s">
        <v>34</v>
      </c>
      <c r="J22" s="1"/>
      <c r="K22" s="1">
        <v>265.89999999999998</v>
      </c>
      <c r="L22" s="1">
        <f t="shared" si="1"/>
        <v>-11.836999999999989</v>
      </c>
      <c r="M22" s="1"/>
      <c r="N22" s="1"/>
      <c r="O22" s="1">
        <v>0</v>
      </c>
      <c r="P22" s="1"/>
      <c r="Q22" s="1">
        <v>100</v>
      </c>
      <c r="R22" s="1">
        <v>48.014599999999973</v>
      </c>
      <c r="S22" s="1">
        <f t="shared" si="2"/>
        <v>50.812599999999996</v>
      </c>
      <c r="T22" s="5">
        <f t="shared" si="9"/>
        <v>71.295999999999992</v>
      </c>
      <c r="U22" s="5">
        <f>T22+S22*$U$1</f>
        <v>172.9212</v>
      </c>
      <c r="V22" s="18"/>
      <c r="W22" s="1">
        <f t="shared" si="5"/>
        <v>12.999999999999998</v>
      </c>
      <c r="X22" s="1">
        <f t="shared" si="3"/>
        <v>9.596883450167871</v>
      </c>
      <c r="Y22" s="1">
        <v>48.222799999999999</v>
      </c>
      <c r="Z22" s="1">
        <v>24.840199999999999</v>
      </c>
      <c r="AA22" s="1">
        <v>17.950800000000001</v>
      </c>
      <c r="AB22" s="1">
        <v>46.0608</v>
      </c>
      <c r="AC22" s="1">
        <v>52.321800000000003</v>
      </c>
      <c r="AD22" s="1"/>
      <c r="AE22" s="1">
        <f t="shared" si="6"/>
        <v>173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0" t="s">
        <v>58</v>
      </c>
      <c r="B23" s="10" t="s">
        <v>33</v>
      </c>
      <c r="C23" s="10">
        <v>-22.350999999999999</v>
      </c>
      <c r="D23" s="10">
        <v>22.350999999999999</v>
      </c>
      <c r="E23" s="10"/>
      <c r="F23" s="10"/>
      <c r="G23" s="11">
        <v>0</v>
      </c>
      <c r="H23" s="10"/>
      <c r="I23" s="10" t="s">
        <v>51</v>
      </c>
      <c r="J23" s="10" t="s">
        <v>59</v>
      </c>
      <c r="K23" s="10"/>
      <c r="L23" s="10">
        <f t="shared" si="1"/>
        <v>0</v>
      </c>
      <c r="M23" s="10"/>
      <c r="N23" s="10"/>
      <c r="O23" s="10">
        <v>0</v>
      </c>
      <c r="P23" s="10"/>
      <c r="Q23" s="10">
        <v>0</v>
      </c>
      <c r="R23" s="10">
        <v>0</v>
      </c>
      <c r="S23" s="10">
        <f t="shared" si="2"/>
        <v>0</v>
      </c>
      <c r="T23" s="12"/>
      <c r="U23" s="5">
        <f t="shared" si="4"/>
        <v>0</v>
      </c>
      <c r="V23" s="19"/>
      <c r="W23" s="1" t="e">
        <f t="shared" si="5"/>
        <v>#DIV/0!</v>
      </c>
      <c r="X23" s="10" t="e">
        <f t="shared" si="3"/>
        <v>#DIV/0!</v>
      </c>
      <c r="Y23" s="10">
        <v>0</v>
      </c>
      <c r="Z23" s="10">
        <v>4.4702000000000002</v>
      </c>
      <c r="AA23" s="10">
        <v>4.4702000000000002</v>
      </c>
      <c r="AB23" s="10">
        <v>0</v>
      </c>
      <c r="AC23" s="10">
        <v>0</v>
      </c>
      <c r="AD23" s="10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60</v>
      </c>
      <c r="B24" s="1" t="s">
        <v>33</v>
      </c>
      <c r="C24" s="1">
        <v>59.106999999999999</v>
      </c>
      <c r="D24" s="1">
        <v>55.893999999999998</v>
      </c>
      <c r="E24" s="1">
        <v>64.402000000000001</v>
      </c>
      <c r="F24" s="1">
        <v>-4.7E-2</v>
      </c>
      <c r="G24" s="7">
        <v>1</v>
      </c>
      <c r="H24" s="1">
        <v>70</v>
      </c>
      <c r="I24" s="1" t="s">
        <v>34</v>
      </c>
      <c r="J24" s="1"/>
      <c r="K24" s="1">
        <v>93.2</v>
      </c>
      <c r="L24" s="1">
        <f t="shared" si="1"/>
        <v>-28.798000000000002</v>
      </c>
      <c r="M24" s="1"/>
      <c r="N24" s="1"/>
      <c r="O24" s="1">
        <v>0</v>
      </c>
      <c r="P24" s="1">
        <v>51.844200000000029</v>
      </c>
      <c r="Q24" s="1">
        <v>150</v>
      </c>
      <c r="R24" s="1">
        <v>56.230999999999973</v>
      </c>
      <c r="S24" s="1">
        <f t="shared" si="2"/>
        <v>12.8804</v>
      </c>
      <c r="T24" s="5"/>
      <c r="U24" s="5">
        <f t="shared" si="4"/>
        <v>0</v>
      </c>
      <c r="V24" s="18"/>
      <c r="W24" s="1">
        <f t="shared" si="5"/>
        <v>20.032623210459306</v>
      </c>
      <c r="X24" s="1">
        <f t="shared" si="3"/>
        <v>20.032623210459306</v>
      </c>
      <c r="Y24" s="1">
        <v>21.585599999999999</v>
      </c>
      <c r="Z24" s="1">
        <v>18.66</v>
      </c>
      <c r="AA24" s="1">
        <v>13.150600000000001</v>
      </c>
      <c r="AB24" s="1">
        <v>8.1453999999999986</v>
      </c>
      <c r="AC24" s="1">
        <v>4.9426000000000014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61</v>
      </c>
      <c r="B25" s="1" t="s">
        <v>33</v>
      </c>
      <c r="C25" s="1">
        <v>3.2469999999999999</v>
      </c>
      <c r="D25" s="1">
        <v>260.03199999999998</v>
      </c>
      <c r="E25" s="1">
        <v>156.55500000000001</v>
      </c>
      <c r="F25" s="1">
        <v>29.244</v>
      </c>
      <c r="G25" s="7">
        <v>1</v>
      </c>
      <c r="H25" s="1">
        <v>70</v>
      </c>
      <c r="I25" s="1" t="s">
        <v>34</v>
      </c>
      <c r="J25" s="1"/>
      <c r="K25" s="1">
        <v>191.1</v>
      </c>
      <c r="L25" s="1">
        <f t="shared" si="1"/>
        <v>-34.544999999999987</v>
      </c>
      <c r="M25" s="1"/>
      <c r="N25" s="1"/>
      <c r="O25" s="1">
        <v>80</v>
      </c>
      <c r="P25" s="1">
        <v>17.31960000000003</v>
      </c>
      <c r="Q25" s="1">
        <v>100</v>
      </c>
      <c r="R25" s="1">
        <v>0</v>
      </c>
      <c r="S25" s="1">
        <f t="shared" si="2"/>
        <v>31.311</v>
      </c>
      <c r="T25" s="5">
        <f t="shared" ref="T25:T27" si="10">11*S25-R25-Q25-P25-O25-F25</f>
        <v>117.85739999999996</v>
      </c>
      <c r="U25" s="5">
        <f>T25+S25*$U$1</f>
        <v>180.47939999999994</v>
      </c>
      <c r="V25" s="18"/>
      <c r="W25" s="1">
        <f t="shared" si="5"/>
        <v>13</v>
      </c>
      <c r="X25" s="1">
        <f t="shared" si="3"/>
        <v>7.2359107023090941</v>
      </c>
      <c r="Y25" s="1">
        <v>9.8379999999999992</v>
      </c>
      <c r="Z25" s="1">
        <v>10.2186</v>
      </c>
      <c r="AA25" s="1">
        <v>23.747800000000002</v>
      </c>
      <c r="AB25" s="1">
        <v>26.411799999999999</v>
      </c>
      <c r="AC25" s="1">
        <v>22.914000000000001</v>
      </c>
      <c r="AD25" s="1"/>
      <c r="AE25" s="1">
        <f t="shared" si="6"/>
        <v>180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62</v>
      </c>
      <c r="B26" s="1" t="s">
        <v>33</v>
      </c>
      <c r="C26" s="1">
        <v>60.081000000000003</v>
      </c>
      <c r="D26" s="1">
        <v>40.427</v>
      </c>
      <c r="E26" s="1">
        <v>7.3070000000000004</v>
      </c>
      <c r="F26" s="1">
        <v>51.322000000000003</v>
      </c>
      <c r="G26" s="7">
        <v>1</v>
      </c>
      <c r="H26" s="1">
        <v>180</v>
      </c>
      <c r="I26" s="1" t="s">
        <v>34</v>
      </c>
      <c r="J26" s="1"/>
      <c r="K26" s="1">
        <v>7.43</v>
      </c>
      <c r="L26" s="1">
        <f t="shared" si="1"/>
        <v>-0.12299999999999933</v>
      </c>
      <c r="M26" s="1"/>
      <c r="N26" s="1"/>
      <c r="O26" s="1">
        <v>0</v>
      </c>
      <c r="P26" s="1"/>
      <c r="Q26" s="1">
        <v>0</v>
      </c>
      <c r="R26" s="1">
        <v>0</v>
      </c>
      <c r="S26" s="1">
        <f t="shared" si="2"/>
        <v>1.4614</v>
      </c>
      <c r="T26" s="5"/>
      <c r="U26" s="5">
        <f t="shared" si="4"/>
        <v>0</v>
      </c>
      <c r="V26" s="18"/>
      <c r="W26" s="1">
        <f t="shared" si="5"/>
        <v>35.11837963596551</v>
      </c>
      <c r="X26" s="1">
        <f t="shared" si="3"/>
        <v>35.11837963596551</v>
      </c>
      <c r="Y26" s="1">
        <v>1.6612</v>
      </c>
      <c r="Z26" s="1">
        <v>1.1819999999999999</v>
      </c>
      <c r="AA26" s="1">
        <v>0.97240000000000004</v>
      </c>
      <c r="AB26" s="1">
        <v>0.84079999999999999</v>
      </c>
      <c r="AC26" s="1">
        <v>0.34420000000000001</v>
      </c>
      <c r="AD26" s="15" t="s">
        <v>56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63</v>
      </c>
      <c r="B27" s="1" t="s">
        <v>33</v>
      </c>
      <c r="C27" s="1">
        <v>105.086</v>
      </c>
      <c r="D27" s="1">
        <v>183.029</v>
      </c>
      <c r="E27" s="1">
        <v>187.065</v>
      </c>
      <c r="F27" s="1">
        <v>60.784999999999997</v>
      </c>
      <c r="G27" s="7">
        <v>1</v>
      </c>
      <c r="H27" s="1">
        <v>70</v>
      </c>
      <c r="I27" s="1" t="s">
        <v>34</v>
      </c>
      <c r="J27" s="1"/>
      <c r="K27" s="1">
        <v>208.1</v>
      </c>
      <c r="L27" s="1">
        <f t="shared" si="1"/>
        <v>-21.034999999999997</v>
      </c>
      <c r="M27" s="1"/>
      <c r="N27" s="1"/>
      <c r="O27" s="1">
        <v>0</v>
      </c>
      <c r="P27" s="1">
        <v>25</v>
      </c>
      <c r="Q27" s="1">
        <v>250</v>
      </c>
      <c r="R27" s="1">
        <v>36.160599999999988</v>
      </c>
      <c r="S27" s="1">
        <f t="shared" si="2"/>
        <v>37.412999999999997</v>
      </c>
      <c r="T27" s="5">
        <f t="shared" si="10"/>
        <v>39.597399999999965</v>
      </c>
      <c r="U27" s="5">
        <f>T27+S27*$U$1</f>
        <v>114.42339999999996</v>
      </c>
      <c r="V27" s="18"/>
      <c r="W27" s="1">
        <f t="shared" si="5"/>
        <v>12.999999999999998</v>
      </c>
      <c r="X27" s="1">
        <f t="shared" si="3"/>
        <v>9.9416138775292016</v>
      </c>
      <c r="Y27" s="1">
        <v>35.633800000000001</v>
      </c>
      <c r="Z27" s="1">
        <v>34.274799999999999</v>
      </c>
      <c r="AA27" s="1">
        <v>25.488199999999999</v>
      </c>
      <c r="AB27" s="1">
        <v>14.996600000000001</v>
      </c>
      <c r="AC27" s="1">
        <v>18.1692</v>
      </c>
      <c r="AD27" s="1"/>
      <c r="AE27" s="1">
        <f t="shared" si="6"/>
        <v>114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0" t="s">
        <v>64</v>
      </c>
      <c r="B28" s="10" t="s">
        <v>33</v>
      </c>
      <c r="C28" s="10"/>
      <c r="D28" s="10"/>
      <c r="E28" s="10"/>
      <c r="F28" s="10"/>
      <c r="G28" s="11">
        <v>0</v>
      </c>
      <c r="H28" s="10"/>
      <c r="I28" s="10" t="s">
        <v>34</v>
      </c>
      <c r="J28" s="10"/>
      <c r="K28" s="10"/>
      <c r="L28" s="10">
        <f t="shared" si="1"/>
        <v>0</v>
      </c>
      <c r="M28" s="10"/>
      <c r="N28" s="10"/>
      <c r="O28" s="10">
        <v>0</v>
      </c>
      <c r="P28" s="10"/>
      <c r="Q28" s="10">
        <v>0</v>
      </c>
      <c r="R28" s="10">
        <v>0</v>
      </c>
      <c r="S28" s="10">
        <f t="shared" si="2"/>
        <v>0</v>
      </c>
      <c r="T28" s="12"/>
      <c r="U28" s="5">
        <f t="shared" si="4"/>
        <v>0</v>
      </c>
      <c r="V28" s="19"/>
      <c r="W28" s="1" t="e">
        <f t="shared" si="5"/>
        <v>#DIV/0!</v>
      </c>
      <c r="X28" s="10" t="e">
        <f t="shared" si="3"/>
        <v>#DIV/0!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 t="s">
        <v>41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65</v>
      </c>
      <c r="B29" s="1" t="s">
        <v>33</v>
      </c>
      <c r="C29" s="1">
        <v>33.566000000000003</v>
      </c>
      <c r="D29" s="1">
        <v>7.5389999999999997</v>
      </c>
      <c r="E29" s="1">
        <v>20.568000000000001</v>
      </c>
      <c r="F29" s="1">
        <v>9.3409999999999993</v>
      </c>
      <c r="G29" s="7">
        <v>1</v>
      </c>
      <c r="H29" s="1"/>
      <c r="I29" s="1" t="s">
        <v>34</v>
      </c>
      <c r="J29" s="1"/>
      <c r="K29" s="1">
        <v>32.200000000000003</v>
      </c>
      <c r="L29" s="1">
        <f t="shared" si="1"/>
        <v>-11.632000000000001</v>
      </c>
      <c r="M29" s="1"/>
      <c r="N29" s="1"/>
      <c r="O29" s="1">
        <v>0</v>
      </c>
      <c r="P29" s="1">
        <v>14.7133870310641</v>
      </c>
      <c r="Q29" s="1">
        <v>49.176412968935892</v>
      </c>
      <c r="R29" s="1">
        <v>0</v>
      </c>
      <c r="S29" s="1">
        <f t="shared" si="2"/>
        <v>4.1135999999999999</v>
      </c>
      <c r="T29" s="5"/>
      <c r="U29" s="5">
        <f t="shared" si="4"/>
        <v>0</v>
      </c>
      <c r="V29" s="18"/>
      <c r="W29" s="1">
        <f t="shared" si="5"/>
        <v>17.802119797744066</v>
      </c>
      <c r="X29" s="1">
        <f t="shared" si="3"/>
        <v>17.802119797744066</v>
      </c>
      <c r="Y29" s="1">
        <v>6.1719999999999997</v>
      </c>
      <c r="Z29" s="1">
        <v>8.7397999999999989</v>
      </c>
      <c r="AA29" s="1">
        <v>4.5697999999999999</v>
      </c>
      <c r="AB29" s="1">
        <v>0.8044</v>
      </c>
      <c r="AC29" s="1">
        <v>1.3652</v>
      </c>
      <c r="AD29" s="1"/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66</v>
      </c>
      <c r="B30" s="1" t="s">
        <v>33</v>
      </c>
      <c r="C30" s="1">
        <v>10.769</v>
      </c>
      <c r="D30" s="1">
        <v>16.791</v>
      </c>
      <c r="E30" s="1">
        <v>10.721</v>
      </c>
      <c r="F30" s="1">
        <v>7.6820000000000004</v>
      </c>
      <c r="G30" s="7">
        <v>1</v>
      </c>
      <c r="H30" s="1">
        <v>40</v>
      </c>
      <c r="I30" s="9" t="s">
        <v>38</v>
      </c>
      <c r="J30" s="1"/>
      <c r="K30" s="1">
        <v>9.1</v>
      </c>
      <c r="L30" s="1">
        <f t="shared" si="1"/>
        <v>1.6210000000000004</v>
      </c>
      <c r="M30" s="1"/>
      <c r="N30" s="1"/>
      <c r="O30" s="1">
        <v>0</v>
      </c>
      <c r="P30" s="1"/>
      <c r="Q30" s="1">
        <v>30</v>
      </c>
      <c r="R30" s="1">
        <v>0</v>
      </c>
      <c r="S30" s="1">
        <f t="shared" si="2"/>
        <v>2.1442000000000001</v>
      </c>
      <c r="T30" s="5"/>
      <c r="U30" s="5">
        <f t="shared" si="4"/>
        <v>0</v>
      </c>
      <c r="V30" s="18"/>
      <c r="W30" s="1">
        <f t="shared" si="5"/>
        <v>17.573920343251562</v>
      </c>
      <c r="X30" s="1">
        <f t="shared" si="3"/>
        <v>17.573920343251562</v>
      </c>
      <c r="Y30" s="1">
        <v>1.5289999999999999</v>
      </c>
      <c r="Z30" s="1">
        <v>1.5289999999999999</v>
      </c>
      <c r="AA30" s="1">
        <v>0</v>
      </c>
      <c r="AB30" s="1">
        <v>0</v>
      </c>
      <c r="AC30" s="1">
        <v>0</v>
      </c>
      <c r="AD30" s="1"/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67</v>
      </c>
      <c r="B31" s="1" t="s">
        <v>33</v>
      </c>
      <c r="C31" s="1">
        <v>-1.38</v>
      </c>
      <c r="D31" s="1">
        <v>1.38</v>
      </c>
      <c r="E31" s="1"/>
      <c r="F31" s="1"/>
      <c r="G31" s="7">
        <v>1</v>
      </c>
      <c r="H31" s="1">
        <v>30</v>
      </c>
      <c r="I31" s="9" t="s">
        <v>38</v>
      </c>
      <c r="J31" s="1"/>
      <c r="K31" s="1">
        <v>6.5</v>
      </c>
      <c r="L31" s="1">
        <f t="shared" si="1"/>
        <v>-6.5</v>
      </c>
      <c r="M31" s="1"/>
      <c r="N31" s="1"/>
      <c r="O31" s="1">
        <v>250</v>
      </c>
      <c r="P31" s="1"/>
      <c r="Q31" s="1">
        <v>50</v>
      </c>
      <c r="R31" s="1">
        <v>200</v>
      </c>
      <c r="S31" s="1">
        <f t="shared" si="2"/>
        <v>0</v>
      </c>
      <c r="T31" s="5"/>
      <c r="U31" s="5">
        <f t="shared" si="4"/>
        <v>0</v>
      </c>
      <c r="V31" s="18"/>
      <c r="W31" s="1" t="e">
        <f t="shared" si="5"/>
        <v>#DIV/0!</v>
      </c>
      <c r="X31" s="1" t="e">
        <f t="shared" si="3"/>
        <v>#DIV/0!</v>
      </c>
      <c r="Y31" s="1">
        <v>0</v>
      </c>
      <c r="Z31" s="1">
        <v>1.0782</v>
      </c>
      <c r="AA31" s="1">
        <v>10.61</v>
      </c>
      <c r="AB31" s="1">
        <v>10.623799999999999</v>
      </c>
      <c r="AC31" s="1">
        <v>1.38</v>
      </c>
      <c r="AD31" s="1"/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68</v>
      </c>
      <c r="B32" s="1" t="s">
        <v>33</v>
      </c>
      <c r="C32" s="1">
        <v>19.681999999999999</v>
      </c>
      <c r="D32" s="1">
        <v>548.51400000000001</v>
      </c>
      <c r="E32" s="1">
        <v>297.11</v>
      </c>
      <c r="F32" s="1">
        <v>122.217</v>
      </c>
      <c r="G32" s="7">
        <v>1</v>
      </c>
      <c r="H32" s="1">
        <v>40</v>
      </c>
      <c r="I32" s="1" t="s">
        <v>34</v>
      </c>
      <c r="J32" s="1"/>
      <c r="K32" s="1">
        <v>344.4</v>
      </c>
      <c r="L32" s="1">
        <f t="shared" si="1"/>
        <v>-47.289999999999964</v>
      </c>
      <c r="M32" s="1"/>
      <c r="N32" s="1"/>
      <c r="O32" s="1">
        <v>0</v>
      </c>
      <c r="P32" s="1">
        <v>357.00320000000011</v>
      </c>
      <c r="Q32" s="1">
        <v>0</v>
      </c>
      <c r="R32" s="1">
        <v>0</v>
      </c>
      <c r="S32" s="1">
        <f t="shared" si="2"/>
        <v>59.422000000000004</v>
      </c>
      <c r="T32" s="5">
        <f t="shared" ref="T32" si="11">11*S32-R32-Q32-P32-O32-F32</f>
        <v>174.42179999999996</v>
      </c>
      <c r="U32" s="5">
        <f>T32+S32*$U$1</f>
        <v>293.26579999999996</v>
      </c>
      <c r="V32" s="18"/>
      <c r="W32" s="1">
        <f t="shared" si="5"/>
        <v>13</v>
      </c>
      <c r="X32" s="1">
        <f t="shared" si="3"/>
        <v>8.0646932112685548</v>
      </c>
      <c r="Y32" s="1">
        <v>44.277200000000001</v>
      </c>
      <c r="Z32" s="1">
        <v>55.958399999999997</v>
      </c>
      <c r="AA32" s="1">
        <v>72.36760000000001</v>
      </c>
      <c r="AB32" s="1">
        <v>47.904000000000003</v>
      </c>
      <c r="AC32" s="1">
        <v>60.401599999999988</v>
      </c>
      <c r="AD32" s="1"/>
      <c r="AE32" s="1">
        <f t="shared" si="6"/>
        <v>293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69</v>
      </c>
      <c r="B33" s="1" t="s">
        <v>33</v>
      </c>
      <c r="C33" s="1">
        <v>34.688000000000002</v>
      </c>
      <c r="D33" s="1"/>
      <c r="E33" s="1">
        <v>1.42</v>
      </c>
      <c r="F33" s="1">
        <v>31.808</v>
      </c>
      <c r="G33" s="7">
        <v>1</v>
      </c>
      <c r="H33" s="1">
        <v>40</v>
      </c>
      <c r="I33" s="1" t="s">
        <v>34</v>
      </c>
      <c r="J33" s="1"/>
      <c r="K33" s="1">
        <v>1.3</v>
      </c>
      <c r="L33" s="1">
        <f t="shared" si="1"/>
        <v>0.11999999999999988</v>
      </c>
      <c r="M33" s="1"/>
      <c r="N33" s="1"/>
      <c r="O33" s="1">
        <v>0</v>
      </c>
      <c r="P33" s="1">
        <v>10</v>
      </c>
      <c r="Q33" s="1">
        <v>0</v>
      </c>
      <c r="R33" s="1">
        <v>0</v>
      </c>
      <c r="S33" s="1">
        <f t="shared" si="2"/>
        <v>0.28399999999999997</v>
      </c>
      <c r="T33" s="5"/>
      <c r="U33" s="5">
        <f t="shared" si="4"/>
        <v>0</v>
      </c>
      <c r="V33" s="18"/>
      <c r="W33" s="1">
        <f t="shared" si="5"/>
        <v>147.21126760563382</v>
      </c>
      <c r="X33" s="1">
        <f t="shared" si="3"/>
        <v>147.21126760563382</v>
      </c>
      <c r="Y33" s="1">
        <v>0.28399999999999997</v>
      </c>
      <c r="Z33" s="1">
        <v>0</v>
      </c>
      <c r="AA33" s="1">
        <v>0</v>
      </c>
      <c r="AB33" s="1">
        <v>0</v>
      </c>
      <c r="AC33" s="1">
        <v>0</v>
      </c>
      <c r="AD33" s="15" t="s">
        <v>56</v>
      </c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70</v>
      </c>
      <c r="B34" s="1" t="s">
        <v>33</v>
      </c>
      <c r="C34" s="1">
        <v>39.491</v>
      </c>
      <c r="D34" s="1"/>
      <c r="E34" s="1"/>
      <c r="F34" s="1">
        <v>39.335999999999999</v>
      </c>
      <c r="G34" s="7">
        <v>1</v>
      </c>
      <c r="H34" s="1">
        <v>30</v>
      </c>
      <c r="I34" s="9" t="s">
        <v>38</v>
      </c>
      <c r="J34" s="1"/>
      <c r="K34" s="1">
        <v>1.3</v>
      </c>
      <c r="L34" s="1">
        <f t="shared" si="1"/>
        <v>-1.3</v>
      </c>
      <c r="M34" s="1"/>
      <c r="N34" s="1"/>
      <c r="O34" s="1">
        <v>0</v>
      </c>
      <c r="P34" s="1"/>
      <c r="Q34" s="1">
        <v>0</v>
      </c>
      <c r="R34" s="1">
        <v>0</v>
      </c>
      <c r="S34" s="1">
        <f t="shared" si="2"/>
        <v>0</v>
      </c>
      <c r="T34" s="5"/>
      <c r="U34" s="5">
        <f t="shared" si="4"/>
        <v>0</v>
      </c>
      <c r="V34" s="18"/>
      <c r="W34" s="1" t="e">
        <f t="shared" si="5"/>
        <v>#DIV/0!</v>
      </c>
      <c r="X34" s="1" t="e">
        <f t="shared" si="3"/>
        <v>#DIV/0!</v>
      </c>
      <c r="Y34" s="1">
        <v>0</v>
      </c>
      <c r="Z34" s="1">
        <v>0.26960000000000001</v>
      </c>
      <c r="AA34" s="1">
        <v>0.26960000000000001</v>
      </c>
      <c r="AB34" s="1">
        <v>0</v>
      </c>
      <c r="AC34" s="1">
        <v>0</v>
      </c>
      <c r="AD34" s="15" t="s">
        <v>56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71</v>
      </c>
      <c r="B35" s="1" t="s">
        <v>33</v>
      </c>
      <c r="C35" s="1">
        <v>195.828</v>
      </c>
      <c r="D35" s="1">
        <v>45.531999999999996</v>
      </c>
      <c r="E35" s="1">
        <v>25.515999999999998</v>
      </c>
      <c r="F35" s="1">
        <v>195.81800000000001</v>
      </c>
      <c r="G35" s="7">
        <v>1</v>
      </c>
      <c r="H35" s="1">
        <v>50</v>
      </c>
      <c r="I35" s="1" t="s">
        <v>34</v>
      </c>
      <c r="J35" s="1"/>
      <c r="K35" s="1">
        <v>25.257000000000001</v>
      </c>
      <c r="L35" s="1">
        <f t="shared" si="1"/>
        <v>0.25899999999999679</v>
      </c>
      <c r="M35" s="1"/>
      <c r="N35" s="1"/>
      <c r="O35" s="1">
        <v>0</v>
      </c>
      <c r="P35" s="1"/>
      <c r="Q35" s="1">
        <v>0</v>
      </c>
      <c r="R35" s="1">
        <v>0</v>
      </c>
      <c r="S35" s="1">
        <f t="shared" si="2"/>
        <v>5.1031999999999993</v>
      </c>
      <c r="T35" s="5"/>
      <c r="U35" s="5">
        <f t="shared" si="4"/>
        <v>0</v>
      </c>
      <c r="V35" s="18"/>
      <c r="W35" s="1">
        <f t="shared" si="5"/>
        <v>38.371609970214777</v>
      </c>
      <c r="X35" s="1">
        <f t="shared" si="3"/>
        <v>38.371609970214777</v>
      </c>
      <c r="Y35" s="1">
        <v>2.7387999999999999</v>
      </c>
      <c r="Z35" s="1">
        <v>2.1768000000000001</v>
      </c>
      <c r="AA35" s="1">
        <v>2.9064000000000001</v>
      </c>
      <c r="AB35" s="1">
        <v>1.2767999999999999</v>
      </c>
      <c r="AC35" s="1">
        <v>-0.1764</v>
      </c>
      <c r="AD35" s="15" t="s">
        <v>56</v>
      </c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0" t="s">
        <v>72</v>
      </c>
      <c r="B36" s="10" t="s">
        <v>33</v>
      </c>
      <c r="C36" s="10">
        <v>-9.9120000000000008</v>
      </c>
      <c r="D36" s="10">
        <v>9.9120000000000008</v>
      </c>
      <c r="E36" s="10"/>
      <c r="F36" s="10"/>
      <c r="G36" s="11">
        <v>0</v>
      </c>
      <c r="H36" s="10"/>
      <c r="I36" s="10" t="s">
        <v>51</v>
      </c>
      <c r="J36" s="10"/>
      <c r="K36" s="10"/>
      <c r="L36" s="10">
        <f t="shared" si="1"/>
        <v>0</v>
      </c>
      <c r="M36" s="10"/>
      <c r="N36" s="10"/>
      <c r="O36" s="10">
        <v>0</v>
      </c>
      <c r="P36" s="10"/>
      <c r="Q36" s="10">
        <v>0</v>
      </c>
      <c r="R36" s="10">
        <v>0</v>
      </c>
      <c r="S36" s="10">
        <f t="shared" si="2"/>
        <v>0</v>
      </c>
      <c r="T36" s="12"/>
      <c r="U36" s="5">
        <f t="shared" si="4"/>
        <v>0</v>
      </c>
      <c r="V36" s="19"/>
      <c r="W36" s="1" t="e">
        <f t="shared" si="5"/>
        <v>#DIV/0!</v>
      </c>
      <c r="X36" s="10" t="e">
        <f t="shared" si="3"/>
        <v>#DIV/0!</v>
      </c>
      <c r="Y36" s="10">
        <v>0.36380000000000001</v>
      </c>
      <c r="Z36" s="10">
        <v>0.71340000000000003</v>
      </c>
      <c r="AA36" s="10">
        <v>1.6186</v>
      </c>
      <c r="AB36" s="10">
        <v>1.2689999999999999</v>
      </c>
      <c r="AC36" s="10">
        <v>0</v>
      </c>
      <c r="AD36" s="10"/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73</v>
      </c>
      <c r="B37" s="1" t="s">
        <v>33</v>
      </c>
      <c r="C37" s="1">
        <v>97.603999999999999</v>
      </c>
      <c r="D37" s="1">
        <v>2.7130000000000001</v>
      </c>
      <c r="E37" s="1">
        <v>3.6309999999999998</v>
      </c>
      <c r="F37" s="1">
        <v>83.135000000000005</v>
      </c>
      <c r="G37" s="7">
        <v>1</v>
      </c>
      <c r="H37" s="1">
        <v>50</v>
      </c>
      <c r="I37" s="1" t="s">
        <v>34</v>
      </c>
      <c r="J37" s="1"/>
      <c r="K37" s="1">
        <v>4.3</v>
      </c>
      <c r="L37" s="1">
        <f t="shared" si="1"/>
        <v>-0.66900000000000004</v>
      </c>
      <c r="M37" s="1"/>
      <c r="N37" s="1"/>
      <c r="O37" s="1">
        <v>0</v>
      </c>
      <c r="P37" s="1"/>
      <c r="Q37" s="1">
        <v>0</v>
      </c>
      <c r="R37" s="1">
        <v>0</v>
      </c>
      <c r="S37" s="1">
        <f t="shared" si="2"/>
        <v>0.72619999999999996</v>
      </c>
      <c r="T37" s="5"/>
      <c r="U37" s="5">
        <f t="shared" si="4"/>
        <v>0</v>
      </c>
      <c r="V37" s="18"/>
      <c r="W37" s="1">
        <f t="shared" si="5"/>
        <v>114.47948223629855</v>
      </c>
      <c r="X37" s="1">
        <f t="shared" si="3"/>
        <v>114.47948223629855</v>
      </c>
      <c r="Y37" s="1">
        <v>0.54480000000000006</v>
      </c>
      <c r="Z37" s="1">
        <v>1.0824</v>
      </c>
      <c r="AA37" s="1">
        <v>0.90259999999999996</v>
      </c>
      <c r="AB37" s="1">
        <v>0</v>
      </c>
      <c r="AC37" s="1">
        <v>0.36520000000000002</v>
      </c>
      <c r="AD37" s="15" t="s">
        <v>56</v>
      </c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74</v>
      </c>
      <c r="B38" s="1" t="s">
        <v>40</v>
      </c>
      <c r="C38" s="1">
        <v>204</v>
      </c>
      <c r="D38" s="1">
        <v>130</v>
      </c>
      <c r="E38" s="1">
        <v>268</v>
      </c>
      <c r="F38" s="1">
        <v>-2</v>
      </c>
      <c r="G38" s="7">
        <v>0.4</v>
      </c>
      <c r="H38" s="1">
        <v>45</v>
      </c>
      <c r="I38" s="9" t="s">
        <v>38</v>
      </c>
      <c r="J38" s="1"/>
      <c r="K38" s="1">
        <v>397</v>
      </c>
      <c r="L38" s="1">
        <f t="shared" ref="L38:L69" si="12">E38-K38</f>
        <v>-129</v>
      </c>
      <c r="M38" s="1"/>
      <c r="N38" s="1"/>
      <c r="O38" s="1">
        <v>300</v>
      </c>
      <c r="P38" s="1">
        <v>200</v>
      </c>
      <c r="Q38" s="1">
        <v>300</v>
      </c>
      <c r="R38" s="1">
        <v>422.40000000000009</v>
      </c>
      <c r="S38" s="1">
        <f t="shared" ref="S38:S69" si="13">E38/5</f>
        <v>53.6</v>
      </c>
      <c r="T38" s="5"/>
      <c r="U38" s="5">
        <f t="shared" si="4"/>
        <v>0</v>
      </c>
      <c r="V38" s="18"/>
      <c r="W38" s="1">
        <f t="shared" si="5"/>
        <v>22.768656716417912</v>
      </c>
      <c r="X38" s="1">
        <f t="shared" ref="X38:X69" si="14">(F38+O38+P38+Q38+R38)/S38</f>
        <v>22.768656716417912</v>
      </c>
      <c r="Y38" s="1">
        <v>102.2</v>
      </c>
      <c r="Z38" s="1">
        <v>53.4</v>
      </c>
      <c r="AA38" s="1">
        <v>26.6</v>
      </c>
      <c r="AB38" s="1">
        <v>28.2</v>
      </c>
      <c r="AC38" s="1">
        <v>39</v>
      </c>
      <c r="AD38" s="1"/>
      <c r="AE38" s="1">
        <f t="shared" si="6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75</v>
      </c>
      <c r="B39" s="1" t="s">
        <v>40</v>
      </c>
      <c r="C39" s="1">
        <v>313</v>
      </c>
      <c r="D39" s="1">
        <v>136</v>
      </c>
      <c r="E39" s="1">
        <v>160</v>
      </c>
      <c r="F39" s="1">
        <v>165</v>
      </c>
      <c r="G39" s="7">
        <v>0.45</v>
      </c>
      <c r="H39" s="1">
        <v>50</v>
      </c>
      <c r="I39" s="1" t="s">
        <v>34</v>
      </c>
      <c r="J39" s="1"/>
      <c r="K39" s="1">
        <v>215</v>
      </c>
      <c r="L39" s="1">
        <f t="shared" si="12"/>
        <v>-55</v>
      </c>
      <c r="M39" s="1"/>
      <c r="N39" s="1"/>
      <c r="O39" s="1">
        <v>0</v>
      </c>
      <c r="P39" s="1">
        <v>127.4</v>
      </c>
      <c r="Q39" s="1">
        <v>0</v>
      </c>
      <c r="R39" s="1">
        <v>151.4</v>
      </c>
      <c r="S39" s="1">
        <f t="shared" si="13"/>
        <v>32</v>
      </c>
      <c r="T39" s="5">
        <v>30</v>
      </c>
      <c r="U39" s="5">
        <f t="shared" si="4"/>
        <v>30</v>
      </c>
      <c r="V39" s="18"/>
      <c r="W39" s="1">
        <f t="shared" si="5"/>
        <v>14.806249999999999</v>
      </c>
      <c r="X39" s="1">
        <f t="shared" si="14"/>
        <v>13.868749999999999</v>
      </c>
      <c r="Y39" s="1">
        <v>38.4</v>
      </c>
      <c r="Z39" s="1">
        <v>39.4</v>
      </c>
      <c r="AA39" s="1">
        <v>42.2</v>
      </c>
      <c r="AB39" s="1">
        <v>30.8</v>
      </c>
      <c r="AC39" s="1">
        <v>24.6</v>
      </c>
      <c r="AD39" s="1"/>
      <c r="AE39" s="1">
        <f t="shared" si="6"/>
        <v>14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76</v>
      </c>
      <c r="B40" s="1" t="s">
        <v>40</v>
      </c>
      <c r="C40" s="1">
        <v>33</v>
      </c>
      <c r="D40" s="1">
        <v>359</v>
      </c>
      <c r="E40" s="1">
        <v>216</v>
      </c>
      <c r="F40" s="1">
        <v>3</v>
      </c>
      <c r="G40" s="7">
        <v>0.4</v>
      </c>
      <c r="H40" s="1">
        <v>45</v>
      </c>
      <c r="I40" s="1" t="s">
        <v>34</v>
      </c>
      <c r="J40" s="1"/>
      <c r="K40" s="1">
        <v>351</v>
      </c>
      <c r="L40" s="1">
        <f t="shared" si="12"/>
        <v>-135</v>
      </c>
      <c r="M40" s="1"/>
      <c r="N40" s="1"/>
      <c r="O40" s="1">
        <v>250</v>
      </c>
      <c r="P40" s="1">
        <v>150</v>
      </c>
      <c r="Q40" s="1">
        <v>100</v>
      </c>
      <c r="R40" s="1">
        <v>56</v>
      </c>
      <c r="S40" s="1">
        <f t="shared" si="13"/>
        <v>43.2</v>
      </c>
      <c r="T40" s="5">
        <v>100</v>
      </c>
      <c r="U40" s="5">
        <f t="shared" si="4"/>
        <v>100</v>
      </c>
      <c r="V40" s="18"/>
      <c r="W40" s="1">
        <f t="shared" si="5"/>
        <v>15.254629629629628</v>
      </c>
      <c r="X40" s="1">
        <f t="shared" si="14"/>
        <v>12.939814814814813</v>
      </c>
      <c r="Y40" s="1">
        <v>46</v>
      </c>
      <c r="Z40" s="1">
        <v>28</v>
      </c>
      <c r="AA40" s="1">
        <v>30.6</v>
      </c>
      <c r="AB40" s="1">
        <v>40.799999999999997</v>
      </c>
      <c r="AC40" s="1">
        <v>33</v>
      </c>
      <c r="AD40" s="1"/>
      <c r="AE40" s="1">
        <f t="shared" si="6"/>
        <v>40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77</v>
      </c>
      <c r="B41" s="1" t="s">
        <v>40</v>
      </c>
      <c r="C41" s="1">
        <v>92</v>
      </c>
      <c r="D41" s="1">
        <v>70</v>
      </c>
      <c r="E41" s="1">
        <v>100</v>
      </c>
      <c r="F41" s="1">
        <v>49</v>
      </c>
      <c r="G41" s="7">
        <v>0.4</v>
      </c>
      <c r="H41" s="1">
        <v>40</v>
      </c>
      <c r="I41" s="1" t="s">
        <v>34</v>
      </c>
      <c r="J41" s="1"/>
      <c r="K41" s="1">
        <v>104</v>
      </c>
      <c r="L41" s="1">
        <f t="shared" si="12"/>
        <v>-4</v>
      </c>
      <c r="M41" s="1"/>
      <c r="N41" s="1"/>
      <c r="O41" s="1">
        <v>60</v>
      </c>
      <c r="P41" s="1">
        <v>50</v>
      </c>
      <c r="Q41" s="1">
        <v>30</v>
      </c>
      <c r="R41" s="1">
        <v>45.799999999999983</v>
      </c>
      <c r="S41" s="1">
        <f t="shared" si="13"/>
        <v>20</v>
      </c>
      <c r="T41" s="5"/>
      <c r="U41" s="5">
        <f t="shared" si="4"/>
        <v>0</v>
      </c>
      <c r="V41" s="18"/>
      <c r="W41" s="1">
        <f t="shared" si="5"/>
        <v>11.739999999999998</v>
      </c>
      <c r="X41" s="1">
        <f t="shared" si="14"/>
        <v>11.739999999999998</v>
      </c>
      <c r="Y41" s="1">
        <v>20.399999999999999</v>
      </c>
      <c r="Z41" s="1">
        <v>16.8</v>
      </c>
      <c r="AA41" s="1">
        <v>14.4</v>
      </c>
      <c r="AB41" s="1">
        <v>0.8</v>
      </c>
      <c r="AC41" s="1">
        <v>0</v>
      </c>
      <c r="AD41" s="1"/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78</v>
      </c>
      <c r="B42" s="1" t="s">
        <v>33</v>
      </c>
      <c r="C42" s="1">
        <v>58</v>
      </c>
      <c r="D42" s="1">
        <v>38.515999999999998</v>
      </c>
      <c r="E42" s="1">
        <v>2.8530000000000002</v>
      </c>
      <c r="F42" s="1">
        <v>55.243000000000002</v>
      </c>
      <c r="G42" s="7">
        <v>1</v>
      </c>
      <c r="H42" s="1">
        <v>45</v>
      </c>
      <c r="I42" s="9" t="s">
        <v>38</v>
      </c>
      <c r="J42" s="1"/>
      <c r="K42" s="1">
        <v>2.6</v>
      </c>
      <c r="L42" s="1">
        <f t="shared" si="12"/>
        <v>0.25300000000000011</v>
      </c>
      <c r="M42" s="1"/>
      <c r="N42" s="1"/>
      <c r="O42" s="1">
        <v>0</v>
      </c>
      <c r="P42" s="1"/>
      <c r="Q42" s="1">
        <v>0</v>
      </c>
      <c r="R42" s="1">
        <v>0</v>
      </c>
      <c r="S42" s="1">
        <f t="shared" si="13"/>
        <v>0.5706</v>
      </c>
      <c r="T42" s="5"/>
      <c r="U42" s="5">
        <f t="shared" si="4"/>
        <v>0</v>
      </c>
      <c r="V42" s="18"/>
      <c r="W42" s="1">
        <f t="shared" si="5"/>
        <v>96.815632667367694</v>
      </c>
      <c r="X42" s="1">
        <f t="shared" si="14"/>
        <v>96.815632667367694</v>
      </c>
      <c r="Y42" s="1">
        <v>0</v>
      </c>
      <c r="Z42" s="1">
        <v>0</v>
      </c>
      <c r="AA42" s="1">
        <v>0.28079999999999999</v>
      </c>
      <c r="AB42" s="1">
        <v>0.28079999999999999</v>
      </c>
      <c r="AC42" s="1">
        <v>0.86159999999999992</v>
      </c>
      <c r="AD42" s="15" t="s">
        <v>56</v>
      </c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79</v>
      </c>
      <c r="B43" s="1" t="s">
        <v>40</v>
      </c>
      <c r="C43" s="1">
        <v>343</v>
      </c>
      <c r="D43" s="1">
        <v>53</v>
      </c>
      <c r="E43" s="1">
        <v>38</v>
      </c>
      <c r="F43" s="1">
        <v>288</v>
      </c>
      <c r="G43" s="7">
        <v>0.1</v>
      </c>
      <c r="H43" s="1">
        <v>731</v>
      </c>
      <c r="I43" s="1" t="s">
        <v>34</v>
      </c>
      <c r="J43" s="1"/>
      <c r="K43" s="1">
        <v>51</v>
      </c>
      <c r="L43" s="1">
        <f t="shared" si="12"/>
        <v>-13</v>
      </c>
      <c r="M43" s="1"/>
      <c r="N43" s="1"/>
      <c r="O43" s="1">
        <v>0</v>
      </c>
      <c r="P43" s="1"/>
      <c r="Q43" s="1">
        <v>0</v>
      </c>
      <c r="R43" s="1">
        <v>0</v>
      </c>
      <c r="S43" s="1">
        <f t="shared" si="13"/>
        <v>7.6</v>
      </c>
      <c r="T43" s="5"/>
      <c r="U43" s="5">
        <f t="shared" si="4"/>
        <v>0</v>
      </c>
      <c r="V43" s="18"/>
      <c r="W43" s="1">
        <f t="shared" si="5"/>
        <v>37.894736842105267</v>
      </c>
      <c r="X43" s="1">
        <f t="shared" si="14"/>
        <v>37.894736842105267</v>
      </c>
      <c r="Y43" s="1">
        <v>9.4</v>
      </c>
      <c r="Z43" s="1">
        <v>10</v>
      </c>
      <c r="AA43" s="1">
        <v>7.4</v>
      </c>
      <c r="AB43" s="1">
        <v>3.4</v>
      </c>
      <c r="AC43" s="1">
        <v>6.6</v>
      </c>
      <c r="AD43" s="15" t="s">
        <v>56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80</v>
      </c>
      <c r="B44" s="1" t="s">
        <v>40</v>
      </c>
      <c r="C44" s="1"/>
      <c r="D44" s="1">
        <v>6</v>
      </c>
      <c r="E44" s="1">
        <v>3</v>
      </c>
      <c r="F44" s="1">
        <v>3</v>
      </c>
      <c r="G44" s="7">
        <v>0.35</v>
      </c>
      <c r="H44" s="1">
        <v>40</v>
      </c>
      <c r="I44" s="9" t="s">
        <v>38</v>
      </c>
      <c r="J44" s="1"/>
      <c r="K44" s="1">
        <v>5</v>
      </c>
      <c r="L44" s="1">
        <f t="shared" si="12"/>
        <v>-2</v>
      </c>
      <c r="M44" s="1"/>
      <c r="N44" s="1"/>
      <c r="O44" s="1">
        <v>60</v>
      </c>
      <c r="P44" s="1"/>
      <c r="Q44" s="1">
        <v>130</v>
      </c>
      <c r="R44" s="1">
        <v>100</v>
      </c>
      <c r="S44" s="1">
        <f t="shared" si="13"/>
        <v>0.6</v>
      </c>
      <c r="T44" s="5"/>
      <c r="U44" s="5">
        <f t="shared" si="4"/>
        <v>0</v>
      </c>
      <c r="V44" s="18"/>
      <c r="W44" s="1">
        <f t="shared" si="5"/>
        <v>488.33333333333337</v>
      </c>
      <c r="X44" s="1">
        <f t="shared" si="14"/>
        <v>488.33333333333337</v>
      </c>
      <c r="Y44" s="1">
        <v>0</v>
      </c>
      <c r="Z44" s="1">
        <v>0</v>
      </c>
      <c r="AA44" s="1">
        <v>0</v>
      </c>
      <c r="AB44" s="1">
        <v>0</v>
      </c>
      <c r="AC44" s="1">
        <v>0.2</v>
      </c>
      <c r="AD44" s="1"/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81</v>
      </c>
      <c r="B45" s="1" t="s">
        <v>33</v>
      </c>
      <c r="C45" s="1">
        <v>34.697000000000003</v>
      </c>
      <c r="D45" s="1">
        <v>66.876999999999995</v>
      </c>
      <c r="E45" s="1">
        <v>37.622999999999998</v>
      </c>
      <c r="F45" s="1">
        <v>50.926000000000002</v>
      </c>
      <c r="G45" s="7">
        <v>1</v>
      </c>
      <c r="H45" s="1">
        <v>40</v>
      </c>
      <c r="I45" s="1" t="s">
        <v>34</v>
      </c>
      <c r="J45" s="1"/>
      <c r="K45" s="1">
        <v>40.700000000000003</v>
      </c>
      <c r="L45" s="1">
        <f t="shared" si="12"/>
        <v>-3.0770000000000053</v>
      </c>
      <c r="M45" s="1"/>
      <c r="N45" s="1"/>
      <c r="O45" s="1">
        <v>0</v>
      </c>
      <c r="P45" s="1">
        <v>10</v>
      </c>
      <c r="Q45" s="1">
        <v>30</v>
      </c>
      <c r="R45" s="1">
        <v>50</v>
      </c>
      <c r="S45" s="1">
        <f t="shared" si="13"/>
        <v>7.5245999999999995</v>
      </c>
      <c r="T45" s="5"/>
      <c r="U45" s="5">
        <f t="shared" si="4"/>
        <v>0</v>
      </c>
      <c r="V45" s="18"/>
      <c r="W45" s="1">
        <f t="shared" si="5"/>
        <v>18.728703186880367</v>
      </c>
      <c r="X45" s="1">
        <f t="shared" si="14"/>
        <v>18.728703186880367</v>
      </c>
      <c r="Y45" s="1">
        <v>4.3243999999999998</v>
      </c>
      <c r="Z45" s="1">
        <v>5.9077999999999999</v>
      </c>
      <c r="AA45" s="1">
        <v>5.9042000000000003</v>
      </c>
      <c r="AB45" s="1">
        <v>1.0089999999999999</v>
      </c>
      <c r="AC45" s="1">
        <v>0</v>
      </c>
      <c r="AD45" s="1"/>
      <c r="AE45" s="1">
        <f t="shared" si="6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82</v>
      </c>
      <c r="B46" s="1" t="s">
        <v>40</v>
      </c>
      <c r="C46" s="1">
        <v>24</v>
      </c>
      <c r="D46" s="1">
        <v>20</v>
      </c>
      <c r="E46" s="1">
        <v>24</v>
      </c>
      <c r="F46" s="1">
        <v>1</v>
      </c>
      <c r="G46" s="7">
        <v>0.4</v>
      </c>
      <c r="H46" s="1">
        <v>40</v>
      </c>
      <c r="I46" s="9" t="s">
        <v>38</v>
      </c>
      <c r="J46" s="1"/>
      <c r="K46" s="1">
        <v>157</v>
      </c>
      <c r="L46" s="1">
        <f t="shared" si="12"/>
        <v>-133</v>
      </c>
      <c r="M46" s="1"/>
      <c r="N46" s="1"/>
      <c r="O46" s="1">
        <v>150</v>
      </c>
      <c r="P46" s="1"/>
      <c r="Q46" s="1">
        <v>0</v>
      </c>
      <c r="R46" s="1">
        <v>73.399999999999977</v>
      </c>
      <c r="S46" s="1">
        <f t="shared" si="13"/>
        <v>4.8</v>
      </c>
      <c r="T46" s="5">
        <v>40</v>
      </c>
      <c r="U46" s="5">
        <f t="shared" si="4"/>
        <v>40</v>
      </c>
      <c r="V46" s="18"/>
      <c r="W46" s="1">
        <f t="shared" si="5"/>
        <v>55.083333333333329</v>
      </c>
      <c r="X46" s="1">
        <f t="shared" si="14"/>
        <v>46.75</v>
      </c>
      <c r="Y46" s="1">
        <v>18.2</v>
      </c>
      <c r="Z46" s="1">
        <v>13.4</v>
      </c>
      <c r="AA46" s="1">
        <v>1</v>
      </c>
      <c r="AB46" s="1">
        <v>6.4</v>
      </c>
      <c r="AC46" s="1">
        <v>11.2</v>
      </c>
      <c r="AD46" s="1"/>
      <c r="AE46" s="1">
        <f t="shared" si="6"/>
        <v>16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6" t="s">
        <v>83</v>
      </c>
      <c r="B47" s="1" t="s">
        <v>40</v>
      </c>
      <c r="C47" s="1">
        <v>126</v>
      </c>
      <c r="D47" s="1">
        <v>46</v>
      </c>
      <c r="E47" s="1">
        <v>157</v>
      </c>
      <c r="F47" s="1">
        <v>3</v>
      </c>
      <c r="G47" s="7">
        <v>0.4</v>
      </c>
      <c r="H47" s="1">
        <v>45</v>
      </c>
      <c r="I47" s="9" t="s">
        <v>38</v>
      </c>
      <c r="J47" s="1"/>
      <c r="K47" s="1">
        <v>241</v>
      </c>
      <c r="L47" s="1">
        <f t="shared" si="12"/>
        <v>-84</v>
      </c>
      <c r="M47" s="1"/>
      <c r="N47" s="1"/>
      <c r="O47" s="1">
        <v>0</v>
      </c>
      <c r="P47" s="1"/>
      <c r="Q47" s="1">
        <v>20</v>
      </c>
      <c r="R47" s="1">
        <v>319.8</v>
      </c>
      <c r="S47" s="1">
        <f t="shared" si="13"/>
        <v>31.4</v>
      </c>
      <c r="T47" s="5">
        <v>30</v>
      </c>
      <c r="U47" s="5">
        <f>T47+S47*$U$1</f>
        <v>92.8</v>
      </c>
      <c r="V47" s="18"/>
      <c r="W47" s="1">
        <f t="shared" si="5"/>
        <v>13.872611464968154</v>
      </c>
      <c r="X47" s="1">
        <f t="shared" si="14"/>
        <v>10.917197452229301</v>
      </c>
      <c r="Y47" s="1">
        <v>41.6</v>
      </c>
      <c r="Z47" s="1">
        <v>10.199999999999999</v>
      </c>
      <c r="AA47" s="1">
        <v>2.8</v>
      </c>
      <c r="AB47" s="1">
        <v>16.8</v>
      </c>
      <c r="AC47" s="1">
        <v>13.6</v>
      </c>
      <c r="AD47" s="1"/>
      <c r="AE47" s="1">
        <f t="shared" si="6"/>
        <v>37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6" t="s">
        <v>84</v>
      </c>
      <c r="B48" s="1" t="s">
        <v>33</v>
      </c>
      <c r="C48" s="1">
        <v>19.167999999999999</v>
      </c>
      <c r="D48" s="1">
        <v>68.744</v>
      </c>
      <c r="E48" s="1">
        <v>63.319000000000003</v>
      </c>
      <c r="F48" s="1">
        <v>24.593</v>
      </c>
      <c r="G48" s="7">
        <v>1</v>
      </c>
      <c r="H48" s="1">
        <v>40</v>
      </c>
      <c r="I48" s="9" t="s">
        <v>38</v>
      </c>
      <c r="J48" s="1"/>
      <c r="K48" s="1">
        <v>68.236999999999995</v>
      </c>
      <c r="L48" s="1">
        <f t="shared" si="12"/>
        <v>-4.9179999999999922</v>
      </c>
      <c r="M48" s="1"/>
      <c r="N48" s="1"/>
      <c r="O48" s="1">
        <v>20</v>
      </c>
      <c r="P48" s="1">
        <v>52.641200000000012</v>
      </c>
      <c r="Q48" s="1">
        <v>100</v>
      </c>
      <c r="R48" s="1">
        <v>0</v>
      </c>
      <c r="S48" s="1">
        <f t="shared" si="13"/>
        <v>12.6638</v>
      </c>
      <c r="T48" s="5"/>
      <c r="U48" s="5">
        <f t="shared" si="4"/>
        <v>0</v>
      </c>
      <c r="V48" s="18"/>
      <c r="W48" s="1">
        <f t="shared" si="5"/>
        <v>15.574645840900837</v>
      </c>
      <c r="X48" s="1">
        <f t="shared" si="14"/>
        <v>15.574645840900837</v>
      </c>
      <c r="Y48" s="1">
        <v>8.3835999999999995</v>
      </c>
      <c r="Z48" s="1">
        <v>14.5374</v>
      </c>
      <c r="AA48" s="1">
        <v>13.6366</v>
      </c>
      <c r="AB48" s="1">
        <v>1.7524</v>
      </c>
      <c r="AC48" s="1">
        <v>0</v>
      </c>
      <c r="AD48" s="1"/>
      <c r="AE48" s="1">
        <f t="shared" si="6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6" t="s">
        <v>85</v>
      </c>
      <c r="B49" s="1" t="s">
        <v>40</v>
      </c>
      <c r="C49" s="1"/>
      <c r="D49" s="1"/>
      <c r="E49" s="1"/>
      <c r="F49" s="1"/>
      <c r="G49" s="7">
        <v>0.35</v>
      </c>
      <c r="H49" s="1">
        <v>40</v>
      </c>
      <c r="I49" s="9" t="s">
        <v>38</v>
      </c>
      <c r="J49" s="1"/>
      <c r="K49" s="1">
        <v>12</v>
      </c>
      <c r="L49" s="1">
        <f t="shared" si="12"/>
        <v>-12</v>
      </c>
      <c r="M49" s="1"/>
      <c r="N49" s="1"/>
      <c r="O49" s="1">
        <v>250</v>
      </c>
      <c r="P49" s="1"/>
      <c r="Q49" s="1">
        <v>0</v>
      </c>
      <c r="R49" s="1">
        <v>100</v>
      </c>
      <c r="S49" s="1">
        <f t="shared" si="13"/>
        <v>0</v>
      </c>
      <c r="T49" s="5"/>
      <c r="U49" s="5">
        <f t="shared" si="4"/>
        <v>0</v>
      </c>
      <c r="V49" s="18"/>
      <c r="W49" s="1" t="e">
        <f t="shared" si="5"/>
        <v>#DIV/0!</v>
      </c>
      <c r="X49" s="1" t="e">
        <f t="shared" si="14"/>
        <v>#DIV/0!</v>
      </c>
      <c r="Y49" s="1">
        <v>0</v>
      </c>
      <c r="Z49" s="1">
        <v>0</v>
      </c>
      <c r="AA49" s="1">
        <v>0</v>
      </c>
      <c r="AB49" s="1">
        <v>0</v>
      </c>
      <c r="AC49" s="1">
        <v>0.2</v>
      </c>
      <c r="AD49" s="1"/>
      <c r="AE49" s="1">
        <f t="shared" si="6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86</v>
      </c>
      <c r="B50" s="1" t="s">
        <v>40</v>
      </c>
      <c r="C50" s="1">
        <v>121</v>
      </c>
      <c r="D50" s="1">
        <v>76</v>
      </c>
      <c r="E50" s="1">
        <v>144</v>
      </c>
      <c r="F50" s="1">
        <v>14</v>
      </c>
      <c r="G50" s="7">
        <v>0.4</v>
      </c>
      <c r="H50" s="1">
        <v>40</v>
      </c>
      <c r="I50" s="1" t="s">
        <v>34</v>
      </c>
      <c r="J50" s="1"/>
      <c r="K50" s="1">
        <v>165</v>
      </c>
      <c r="L50" s="1">
        <f t="shared" si="12"/>
        <v>-21</v>
      </c>
      <c r="M50" s="1"/>
      <c r="N50" s="1"/>
      <c r="O50" s="1">
        <v>141.19999999999999</v>
      </c>
      <c r="P50" s="1">
        <v>201.6</v>
      </c>
      <c r="Q50" s="1">
        <v>0</v>
      </c>
      <c r="R50" s="1">
        <v>63.799999999999983</v>
      </c>
      <c r="S50" s="1">
        <f t="shared" si="13"/>
        <v>28.8</v>
      </c>
      <c r="T50" s="5"/>
      <c r="U50" s="5">
        <f t="shared" si="4"/>
        <v>0</v>
      </c>
      <c r="V50" s="18"/>
      <c r="W50" s="1">
        <f t="shared" si="5"/>
        <v>14.604166666666663</v>
      </c>
      <c r="X50" s="1">
        <f t="shared" si="14"/>
        <v>14.604166666666663</v>
      </c>
      <c r="Y50" s="1">
        <v>33.799999999999997</v>
      </c>
      <c r="Z50" s="1">
        <v>31.8</v>
      </c>
      <c r="AA50" s="1">
        <v>42.4</v>
      </c>
      <c r="AB50" s="1">
        <v>36.200000000000003</v>
      </c>
      <c r="AC50" s="1">
        <v>21.6</v>
      </c>
      <c r="AD50" s="1"/>
      <c r="AE50" s="1">
        <f t="shared" si="6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87</v>
      </c>
      <c r="B51" s="1" t="s">
        <v>33</v>
      </c>
      <c r="C51" s="1">
        <v>-0.311</v>
      </c>
      <c r="D51" s="1">
        <v>162.553</v>
      </c>
      <c r="E51" s="1">
        <v>73.165999999999997</v>
      </c>
      <c r="F51" s="1">
        <v>86.314999999999998</v>
      </c>
      <c r="G51" s="7">
        <v>1</v>
      </c>
      <c r="H51" s="1">
        <v>50</v>
      </c>
      <c r="I51" s="1" t="s">
        <v>34</v>
      </c>
      <c r="J51" s="1"/>
      <c r="K51" s="1">
        <v>106</v>
      </c>
      <c r="L51" s="1">
        <f t="shared" si="12"/>
        <v>-32.834000000000003</v>
      </c>
      <c r="M51" s="1"/>
      <c r="N51" s="1"/>
      <c r="O51" s="1">
        <v>0</v>
      </c>
      <c r="P51" s="1"/>
      <c r="Q51" s="1">
        <v>0</v>
      </c>
      <c r="R51" s="1">
        <v>57.009399999999999</v>
      </c>
      <c r="S51" s="1">
        <f t="shared" si="13"/>
        <v>14.633199999999999</v>
      </c>
      <c r="T51" s="5">
        <f t="shared" ref="T51:T66" si="15">11*S51-R51-Q51-P51-O51-F51</f>
        <v>17.640799999999984</v>
      </c>
      <c r="U51" s="5">
        <f>T51+S51*$U$1</f>
        <v>46.907199999999982</v>
      </c>
      <c r="V51" s="18"/>
      <c r="W51" s="1">
        <f t="shared" si="5"/>
        <v>13</v>
      </c>
      <c r="X51" s="1">
        <f t="shared" si="14"/>
        <v>9.7944673755569536</v>
      </c>
      <c r="Y51" s="1">
        <v>11.450200000000001</v>
      </c>
      <c r="Z51" s="1">
        <v>3.2991999999999999</v>
      </c>
      <c r="AA51" s="1">
        <v>0.27300000000000002</v>
      </c>
      <c r="AB51" s="1">
        <v>4.8428000000000004</v>
      </c>
      <c r="AC51" s="1">
        <v>10.234400000000001</v>
      </c>
      <c r="AD51" s="1"/>
      <c r="AE51" s="1">
        <f t="shared" si="6"/>
        <v>47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88</v>
      </c>
      <c r="B52" s="1" t="s">
        <v>33</v>
      </c>
      <c r="C52" s="1">
        <v>-2.5999999999999999E-2</v>
      </c>
      <c r="D52" s="1">
        <v>26.382999999999999</v>
      </c>
      <c r="E52" s="1">
        <v>-0.35599999999999998</v>
      </c>
      <c r="F52" s="1"/>
      <c r="G52" s="7">
        <v>1</v>
      </c>
      <c r="H52" s="1">
        <v>50</v>
      </c>
      <c r="I52" s="1" t="s">
        <v>34</v>
      </c>
      <c r="J52" s="1"/>
      <c r="K52" s="1">
        <v>14.5</v>
      </c>
      <c r="L52" s="1">
        <f t="shared" si="12"/>
        <v>-14.856</v>
      </c>
      <c r="M52" s="1"/>
      <c r="N52" s="1"/>
      <c r="O52" s="1">
        <v>54.752200000000023</v>
      </c>
      <c r="P52" s="1">
        <v>112.13199999999991</v>
      </c>
      <c r="Q52" s="1">
        <v>150</v>
      </c>
      <c r="R52" s="1">
        <v>50</v>
      </c>
      <c r="S52" s="1">
        <f t="shared" si="13"/>
        <v>-7.1199999999999999E-2</v>
      </c>
      <c r="T52" s="5"/>
      <c r="U52" s="5">
        <f t="shared" si="4"/>
        <v>0</v>
      </c>
      <c r="V52" s="18"/>
      <c r="W52" s="1">
        <f t="shared" si="5"/>
        <v>-5152.8679775280898</v>
      </c>
      <c r="X52" s="1">
        <f t="shared" si="14"/>
        <v>-5152.8679775280898</v>
      </c>
      <c r="Y52" s="1">
        <v>10.792199999999999</v>
      </c>
      <c r="Z52" s="1">
        <v>20.430599999999998</v>
      </c>
      <c r="AA52" s="1">
        <v>18.401599999999998</v>
      </c>
      <c r="AB52" s="1">
        <v>12.501200000000001</v>
      </c>
      <c r="AC52" s="1">
        <v>3.7355999999999998</v>
      </c>
      <c r="AD52" s="1"/>
      <c r="AE52" s="1">
        <f t="shared" si="6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6" t="s">
        <v>89</v>
      </c>
      <c r="B53" s="1" t="s">
        <v>33</v>
      </c>
      <c r="C53" s="1">
        <v>131.11799999999999</v>
      </c>
      <c r="D53" s="1">
        <v>0.44700000000000001</v>
      </c>
      <c r="E53" s="1">
        <v>6.1459999999999999</v>
      </c>
      <c r="F53" s="1">
        <v>125.419</v>
      </c>
      <c r="G53" s="7">
        <v>1</v>
      </c>
      <c r="H53" s="1">
        <v>45</v>
      </c>
      <c r="I53" s="9" t="s">
        <v>38</v>
      </c>
      <c r="J53" s="1"/>
      <c r="K53" s="1">
        <v>5.2</v>
      </c>
      <c r="L53" s="1">
        <f t="shared" si="12"/>
        <v>0.94599999999999973</v>
      </c>
      <c r="M53" s="1"/>
      <c r="N53" s="1"/>
      <c r="O53" s="1">
        <v>0</v>
      </c>
      <c r="P53" s="1"/>
      <c r="Q53" s="1">
        <v>0</v>
      </c>
      <c r="R53" s="1">
        <v>0</v>
      </c>
      <c r="S53" s="1">
        <f t="shared" si="13"/>
        <v>1.2292000000000001</v>
      </c>
      <c r="T53" s="5"/>
      <c r="U53" s="5">
        <f t="shared" si="4"/>
        <v>0</v>
      </c>
      <c r="V53" s="18"/>
      <c r="W53" s="1">
        <f t="shared" si="5"/>
        <v>102.03302961275625</v>
      </c>
      <c r="X53" s="1">
        <f t="shared" si="14"/>
        <v>102.03302961275625</v>
      </c>
      <c r="Y53" s="1">
        <v>2.7778</v>
      </c>
      <c r="Z53" s="1">
        <v>4.9185999999999996</v>
      </c>
      <c r="AA53" s="1">
        <v>2.7618</v>
      </c>
      <c r="AB53" s="1">
        <v>0</v>
      </c>
      <c r="AC53" s="1">
        <v>0</v>
      </c>
      <c r="AD53" s="15" t="s">
        <v>56</v>
      </c>
      <c r="AE53" s="1">
        <f t="shared" si="6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90</v>
      </c>
      <c r="B54" s="1" t="s">
        <v>40</v>
      </c>
      <c r="C54" s="1">
        <v>194</v>
      </c>
      <c r="D54" s="1">
        <v>86</v>
      </c>
      <c r="E54" s="1">
        <v>87</v>
      </c>
      <c r="F54" s="1">
        <v>145</v>
      </c>
      <c r="G54" s="7">
        <v>0.45</v>
      </c>
      <c r="H54" s="1">
        <v>50</v>
      </c>
      <c r="I54" s="1" t="s">
        <v>34</v>
      </c>
      <c r="J54" s="1"/>
      <c r="K54" s="1">
        <v>96</v>
      </c>
      <c r="L54" s="1">
        <f t="shared" si="12"/>
        <v>-9</v>
      </c>
      <c r="M54" s="1"/>
      <c r="N54" s="1"/>
      <c r="O54" s="1">
        <v>0</v>
      </c>
      <c r="P54" s="1"/>
      <c r="Q54" s="1">
        <v>0</v>
      </c>
      <c r="R54" s="1">
        <v>46.800000000000011</v>
      </c>
      <c r="S54" s="1">
        <f t="shared" si="13"/>
        <v>17.399999999999999</v>
      </c>
      <c r="T54" s="5"/>
      <c r="U54" s="5">
        <f>T54+S54*$U$1</f>
        <v>34.799999999999997</v>
      </c>
      <c r="V54" s="18"/>
      <c r="W54" s="1">
        <f t="shared" si="5"/>
        <v>13.022988505747129</v>
      </c>
      <c r="X54" s="1">
        <f t="shared" si="14"/>
        <v>11.022988505747128</v>
      </c>
      <c r="Y54" s="1">
        <v>14.4</v>
      </c>
      <c r="Z54" s="1">
        <v>9.1999999999999993</v>
      </c>
      <c r="AA54" s="1">
        <v>16</v>
      </c>
      <c r="AB54" s="1">
        <v>15.4</v>
      </c>
      <c r="AC54" s="1">
        <v>9.6</v>
      </c>
      <c r="AD54" s="1"/>
      <c r="AE54" s="1">
        <f t="shared" si="6"/>
        <v>16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91</v>
      </c>
      <c r="B55" s="1" t="s">
        <v>40</v>
      </c>
      <c r="C55" s="1">
        <v>140</v>
      </c>
      <c r="D55" s="1">
        <v>81</v>
      </c>
      <c r="E55" s="1">
        <v>134</v>
      </c>
      <c r="F55" s="1">
        <v>1</v>
      </c>
      <c r="G55" s="7">
        <v>0.45</v>
      </c>
      <c r="H55" s="1">
        <v>50</v>
      </c>
      <c r="I55" s="1" t="s">
        <v>34</v>
      </c>
      <c r="J55" s="1"/>
      <c r="K55" s="1">
        <v>168</v>
      </c>
      <c r="L55" s="1">
        <f t="shared" si="12"/>
        <v>-34</v>
      </c>
      <c r="M55" s="1"/>
      <c r="N55" s="1"/>
      <c r="O55" s="1">
        <v>47.111627906976743</v>
      </c>
      <c r="P55" s="1">
        <v>81.19999999999996</v>
      </c>
      <c r="Q55" s="1">
        <v>50</v>
      </c>
      <c r="R55" s="1">
        <v>200</v>
      </c>
      <c r="S55" s="1">
        <f t="shared" si="13"/>
        <v>26.8</v>
      </c>
      <c r="T55" s="5"/>
      <c r="U55" s="5">
        <f t="shared" si="4"/>
        <v>0</v>
      </c>
      <c r="V55" s="18"/>
      <c r="W55" s="1">
        <f t="shared" si="5"/>
        <v>14.153418951752862</v>
      </c>
      <c r="X55" s="1">
        <f t="shared" si="14"/>
        <v>14.153418951752862</v>
      </c>
      <c r="Y55" s="1">
        <v>31.6</v>
      </c>
      <c r="Z55" s="1">
        <v>24.4</v>
      </c>
      <c r="AA55" s="1">
        <v>26</v>
      </c>
      <c r="AB55" s="1">
        <v>25.8</v>
      </c>
      <c r="AC55" s="1">
        <v>21.2</v>
      </c>
      <c r="AD55" s="1"/>
      <c r="AE55" s="1">
        <f t="shared" si="6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92</v>
      </c>
      <c r="B56" s="1" t="s">
        <v>40</v>
      </c>
      <c r="C56" s="1">
        <v>6</v>
      </c>
      <c r="D56" s="1">
        <v>12</v>
      </c>
      <c r="E56" s="1"/>
      <c r="F56" s="1"/>
      <c r="G56" s="7">
        <v>0.4</v>
      </c>
      <c r="H56" s="1">
        <v>40</v>
      </c>
      <c r="I56" s="1" t="s">
        <v>34</v>
      </c>
      <c r="J56" s="1"/>
      <c r="K56" s="1">
        <v>6</v>
      </c>
      <c r="L56" s="1">
        <f t="shared" si="12"/>
        <v>-6</v>
      </c>
      <c r="M56" s="1"/>
      <c r="N56" s="1"/>
      <c r="O56" s="1">
        <v>5</v>
      </c>
      <c r="P56" s="1"/>
      <c r="Q56" s="1">
        <v>40</v>
      </c>
      <c r="R56" s="1">
        <v>0</v>
      </c>
      <c r="S56" s="1">
        <f t="shared" si="13"/>
        <v>0</v>
      </c>
      <c r="T56" s="5"/>
      <c r="U56" s="5">
        <f t="shared" si="4"/>
        <v>0</v>
      </c>
      <c r="V56" s="18"/>
      <c r="W56" s="1" t="e">
        <f t="shared" si="5"/>
        <v>#DIV/0!</v>
      </c>
      <c r="X56" s="1" t="e">
        <f t="shared" si="14"/>
        <v>#DIV/0!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/>
      <c r="AE56" s="1">
        <f t="shared" si="6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93</v>
      </c>
      <c r="B57" s="1" t="s">
        <v>40</v>
      </c>
      <c r="C57" s="1">
        <v>18</v>
      </c>
      <c r="D57" s="1">
        <v>13</v>
      </c>
      <c r="E57" s="1">
        <v>6</v>
      </c>
      <c r="F57" s="1">
        <v>1</v>
      </c>
      <c r="G57" s="7">
        <v>0.4</v>
      </c>
      <c r="H57" s="1">
        <v>40</v>
      </c>
      <c r="I57" s="1" t="s">
        <v>34</v>
      </c>
      <c r="J57" s="1"/>
      <c r="K57" s="1">
        <v>9</v>
      </c>
      <c r="L57" s="1">
        <f t="shared" si="12"/>
        <v>-3</v>
      </c>
      <c r="M57" s="1"/>
      <c r="N57" s="1"/>
      <c r="O57" s="1">
        <v>5</v>
      </c>
      <c r="P57" s="1"/>
      <c r="Q57" s="1">
        <v>40</v>
      </c>
      <c r="R57" s="1">
        <v>0</v>
      </c>
      <c r="S57" s="1">
        <f t="shared" si="13"/>
        <v>1.2</v>
      </c>
      <c r="T57" s="5"/>
      <c r="U57" s="5">
        <f t="shared" si="4"/>
        <v>0</v>
      </c>
      <c r="V57" s="18"/>
      <c r="W57" s="1">
        <f t="shared" si="5"/>
        <v>38.333333333333336</v>
      </c>
      <c r="X57" s="1">
        <f t="shared" si="14"/>
        <v>38.333333333333336</v>
      </c>
      <c r="Y57" s="1">
        <v>0.2</v>
      </c>
      <c r="Z57" s="1">
        <v>0</v>
      </c>
      <c r="AA57" s="1">
        <v>0</v>
      </c>
      <c r="AB57" s="1">
        <v>0</v>
      </c>
      <c r="AC57" s="1">
        <v>0</v>
      </c>
      <c r="AD57" s="1"/>
      <c r="AE57" s="1">
        <f t="shared" si="6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94</v>
      </c>
      <c r="B58" s="1" t="s">
        <v>33</v>
      </c>
      <c r="C58" s="1">
        <v>76.584999999999994</v>
      </c>
      <c r="D58" s="1">
        <v>23.146000000000001</v>
      </c>
      <c r="E58" s="1">
        <v>49.085999999999999</v>
      </c>
      <c r="F58" s="1">
        <v>6.8010000000000002</v>
      </c>
      <c r="G58" s="7">
        <v>1</v>
      </c>
      <c r="H58" s="1">
        <v>50</v>
      </c>
      <c r="I58" s="1" t="s">
        <v>34</v>
      </c>
      <c r="J58" s="1"/>
      <c r="K58" s="1">
        <v>50.6</v>
      </c>
      <c r="L58" s="1">
        <f t="shared" si="12"/>
        <v>-1.5140000000000029</v>
      </c>
      <c r="M58" s="1"/>
      <c r="N58" s="1"/>
      <c r="O58" s="1">
        <v>0</v>
      </c>
      <c r="P58" s="1">
        <v>10</v>
      </c>
      <c r="Q58" s="1">
        <v>100</v>
      </c>
      <c r="R58" s="1">
        <v>100</v>
      </c>
      <c r="S58" s="1">
        <f t="shared" si="13"/>
        <v>9.8171999999999997</v>
      </c>
      <c r="T58" s="5"/>
      <c r="U58" s="5">
        <f t="shared" si="4"/>
        <v>0</v>
      </c>
      <c r="V58" s="18"/>
      <c r="W58" s="1">
        <f t="shared" si="5"/>
        <v>22.083791712504585</v>
      </c>
      <c r="X58" s="1">
        <f t="shared" si="14"/>
        <v>22.083791712504585</v>
      </c>
      <c r="Y58" s="1">
        <v>12.250400000000001</v>
      </c>
      <c r="Z58" s="1">
        <v>12.776199999999999</v>
      </c>
      <c r="AA58" s="1">
        <v>9.5141999999999989</v>
      </c>
      <c r="AB58" s="1">
        <v>3.2652000000000001</v>
      </c>
      <c r="AC58" s="1">
        <v>7.0168000000000008</v>
      </c>
      <c r="AD58" s="1"/>
      <c r="AE58" s="1">
        <f t="shared" si="6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95</v>
      </c>
      <c r="B59" s="1" t="s">
        <v>40</v>
      </c>
      <c r="C59" s="1">
        <v>83</v>
      </c>
      <c r="D59" s="1">
        <v>34</v>
      </c>
      <c r="E59" s="13">
        <f>32+E130</f>
        <v>52</v>
      </c>
      <c r="F59" s="13">
        <f>83+F130</f>
        <v>80</v>
      </c>
      <c r="G59" s="7">
        <v>0.1</v>
      </c>
      <c r="H59" s="1">
        <v>731</v>
      </c>
      <c r="I59" s="1" t="s">
        <v>34</v>
      </c>
      <c r="J59" s="1"/>
      <c r="K59" s="1">
        <v>39</v>
      </c>
      <c r="L59" s="1">
        <f t="shared" si="12"/>
        <v>13</v>
      </c>
      <c r="M59" s="1"/>
      <c r="N59" s="1"/>
      <c r="O59" s="1">
        <v>0</v>
      </c>
      <c r="P59" s="1"/>
      <c r="Q59" s="1">
        <v>200</v>
      </c>
      <c r="R59" s="1">
        <v>0</v>
      </c>
      <c r="S59" s="1">
        <f t="shared" si="13"/>
        <v>10.4</v>
      </c>
      <c r="T59" s="5"/>
      <c r="U59" s="5">
        <f t="shared" si="4"/>
        <v>0</v>
      </c>
      <c r="V59" s="18"/>
      <c r="W59" s="1">
        <f t="shared" si="5"/>
        <v>26.923076923076923</v>
      </c>
      <c r="X59" s="1">
        <f t="shared" si="14"/>
        <v>26.923076923076923</v>
      </c>
      <c r="Y59" s="1">
        <v>13.2</v>
      </c>
      <c r="Z59" s="1">
        <v>17</v>
      </c>
      <c r="AA59" s="1">
        <v>12.2</v>
      </c>
      <c r="AB59" s="1">
        <v>6.2</v>
      </c>
      <c r="AC59" s="1">
        <v>5.8</v>
      </c>
      <c r="AD59" s="14" t="s">
        <v>36</v>
      </c>
      <c r="AE59" s="1">
        <f t="shared" si="6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96</v>
      </c>
      <c r="B60" s="1" t="s">
        <v>33</v>
      </c>
      <c r="C60" s="1">
        <v>122.902</v>
      </c>
      <c r="D60" s="1">
        <v>40.841000000000001</v>
      </c>
      <c r="E60" s="1">
        <v>126.244</v>
      </c>
      <c r="F60" s="1">
        <v>6.0140000000000002</v>
      </c>
      <c r="G60" s="7">
        <v>1</v>
      </c>
      <c r="H60" s="1">
        <v>50</v>
      </c>
      <c r="I60" s="1" t="s">
        <v>34</v>
      </c>
      <c r="J60" s="1"/>
      <c r="K60" s="1">
        <v>147.1</v>
      </c>
      <c r="L60" s="1">
        <f t="shared" si="12"/>
        <v>-20.855999999999995</v>
      </c>
      <c r="M60" s="1"/>
      <c r="N60" s="1"/>
      <c r="O60" s="1">
        <v>0</v>
      </c>
      <c r="P60" s="1"/>
      <c r="Q60" s="1">
        <v>150</v>
      </c>
      <c r="R60" s="1">
        <v>99.765399999999985</v>
      </c>
      <c r="S60" s="1">
        <f t="shared" si="13"/>
        <v>25.248799999999999</v>
      </c>
      <c r="T60" s="5">
        <f t="shared" si="15"/>
        <v>21.957400000000018</v>
      </c>
      <c r="U60" s="5">
        <f t="shared" ref="U60:U61" si="16">T60+S60*$U$1</f>
        <v>72.455000000000013</v>
      </c>
      <c r="V60" s="18"/>
      <c r="W60" s="1">
        <f t="shared" si="5"/>
        <v>13.000000000000002</v>
      </c>
      <c r="X60" s="1">
        <f t="shared" si="14"/>
        <v>10.130358670511075</v>
      </c>
      <c r="Y60" s="1">
        <v>25.1602</v>
      </c>
      <c r="Z60" s="1">
        <v>21.5242</v>
      </c>
      <c r="AA60" s="1">
        <v>11.835599999999999</v>
      </c>
      <c r="AB60" s="1">
        <v>11.785399999999999</v>
      </c>
      <c r="AC60" s="1">
        <v>12.861000000000001</v>
      </c>
      <c r="AD60" s="1"/>
      <c r="AE60" s="1">
        <f t="shared" si="6"/>
        <v>72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97</v>
      </c>
      <c r="B61" s="1" t="s">
        <v>33</v>
      </c>
      <c r="C61" s="1">
        <v>20.257999999999999</v>
      </c>
      <c r="D61" s="1">
        <v>10.776</v>
      </c>
      <c r="E61" s="1">
        <v>14.859</v>
      </c>
      <c r="F61" s="1">
        <v>4.0389999999999997</v>
      </c>
      <c r="G61" s="7">
        <v>1</v>
      </c>
      <c r="H61" s="1">
        <v>55</v>
      </c>
      <c r="I61" s="1" t="s">
        <v>34</v>
      </c>
      <c r="J61" s="1"/>
      <c r="K61" s="1">
        <v>16.899999999999999</v>
      </c>
      <c r="L61" s="1">
        <f t="shared" si="12"/>
        <v>-2.0409999999999986</v>
      </c>
      <c r="M61" s="1"/>
      <c r="N61" s="1"/>
      <c r="O61" s="1">
        <v>10</v>
      </c>
      <c r="P61" s="1"/>
      <c r="Q61" s="1">
        <v>10</v>
      </c>
      <c r="R61" s="1">
        <v>0</v>
      </c>
      <c r="S61" s="1">
        <f t="shared" si="13"/>
        <v>2.9718</v>
      </c>
      <c r="T61" s="5">
        <f t="shared" si="15"/>
        <v>8.6507999999999985</v>
      </c>
      <c r="U61" s="5">
        <f t="shared" si="16"/>
        <v>14.594399999999998</v>
      </c>
      <c r="V61" s="18"/>
      <c r="W61" s="1">
        <f t="shared" si="5"/>
        <v>13</v>
      </c>
      <c r="X61" s="1">
        <f t="shared" si="14"/>
        <v>8.089036947304665</v>
      </c>
      <c r="Y61" s="1">
        <v>1.3515999999999999</v>
      </c>
      <c r="Z61" s="1">
        <v>0.27039999999999997</v>
      </c>
      <c r="AA61" s="1">
        <v>0</v>
      </c>
      <c r="AB61" s="1">
        <v>0</v>
      </c>
      <c r="AC61" s="1">
        <v>0.54339999999999999</v>
      </c>
      <c r="AD61" s="1"/>
      <c r="AE61" s="1">
        <f t="shared" si="6"/>
        <v>15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98</v>
      </c>
      <c r="B62" s="1" t="s">
        <v>40</v>
      </c>
      <c r="C62" s="1">
        <v>187</v>
      </c>
      <c r="D62" s="1">
        <v>11</v>
      </c>
      <c r="E62" s="1">
        <v>40</v>
      </c>
      <c r="F62" s="1">
        <v>145</v>
      </c>
      <c r="G62" s="7">
        <v>0.1</v>
      </c>
      <c r="H62" s="1">
        <v>731</v>
      </c>
      <c r="I62" s="1" t="s">
        <v>34</v>
      </c>
      <c r="J62" s="1"/>
      <c r="K62" s="1">
        <v>56</v>
      </c>
      <c r="L62" s="1">
        <f t="shared" si="12"/>
        <v>-16</v>
      </c>
      <c r="M62" s="1"/>
      <c r="N62" s="1"/>
      <c r="O62" s="1">
        <v>0</v>
      </c>
      <c r="P62" s="1"/>
      <c r="Q62" s="1">
        <v>50</v>
      </c>
      <c r="R62" s="1">
        <v>0</v>
      </c>
      <c r="S62" s="1">
        <f t="shared" si="13"/>
        <v>8</v>
      </c>
      <c r="T62" s="5"/>
      <c r="U62" s="5">
        <f t="shared" si="4"/>
        <v>0</v>
      </c>
      <c r="V62" s="18"/>
      <c r="W62" s="1">
        <f t="shared" si="5"/>
        <v>24.375</v>
      </c>
      <c r="X62" s="1">
        <f t="shared" si="14"/>
        <v>24.375</v>
      </c>
      <c r="Y62" s="1">
        <v>10.199999999999999</v>
      </c>
      <c r="Z62" s="1">
        <v>9.4</v>
      </c>
      <c r="AA62" s="1">
        <v>6.6</v>
      </c>
      <c r="AB62" s="1">
        <v>3.8</v>
      </c>
      <c r="AC62" s="1">
        <v>3.2</v>
      </c>
      <c r="AD62" s="14" t="s">
        <v>36</v>
      </c>
      <c r="AE62" s="1">
        <f t="shared" si="6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99</v>
      </c>
      <c r="B63" s="1" t="s">
        <v>40</v>
      </c>
      <c r="C63" s="1">
        <v>14</v>
      </c>
      <c r="D63" s="1">
        <v>2</v>
      </c>
      <c r="E63" s="1">
        <v>2</v>
      </c>
      <c r="F63" s="1"/>
      <c r="G63" s="7">
        <v>0.4</v>
      </c>
      <c r="H63" s="1">
        <v>50</v>
      </c>
      <c r="I63" s="1" t="s">
        <v>34</v>
      </c>
      <c r="J63" s="1"/>
      <c r="K63" s="1">
        <v>2</v>
      </c>
      <c r="L63" s="1">
        <f t="shared" si="12"/>
        <v>0</v>
      </c>
      <c r="M63" s="1"/>
      <c r="N63" s="1"/>
      <c r="O63" s="1">
        <v>0</v>
      </c>
      <c r="P63" s="1">
        <v>6</v>
      </c>
      <c r="Q63" s="1">
        <v>0</v>
      </c>
      <c r="R63" s="1">
        <v>0</v>
      </c>
      <c r="S63" s="1">
        <f t="shared" si="13"/>
        <v>0.4</v>
      </c>
      <c r="T63" s="5">
        <v>6</v>
      </c>
      <c r="U63" s="5">
        <f t="shared" si="4"/>
        <v>6</v>
      </c>
      <c r="V63" s="18"/>
      <c r="W63" s="1">
        <f t="shared" si="5"/>
        <v>30</v>
      </c>
      <c r="X63" s="1">
        <f t="shared" si="14"/>
        <v>15</v>
      </c>
      <c r="Y63" s="1">
        <v>0.4</v>
      </c>
      <c r="Z63" s="1">
        <v>0.8</v>
      </c>
      <c r="AA63" s="1">
        <v>1</v>
      </c>
      <c r="AB63" s="1">
        <v>0.4</v>
      </c>
      <c r="AC63" s="1">
        <v>0</v>
      </c>
      <c r="AD63" s="17" t="s">
        <v>169</v>
      </c>
      <c r="AE63" s="1">
        <f t="shared" si="6"/>
        <v>2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6" t="s">
        <v>100</v>
      </c>
      <c r="B64" s="1" t="s">
        <v>33</v>
      </c>
      <c r="C64" s="1">
        <v>0.06</v>
      </c>
      <c r="D64" s="1">
        <v>49.253</v>
      </c>
      <c r="E64" s="1"/>
      <c r="F64" s="1">
        <v>49.253</v>
      </c>
      <c r="G64" s="7">
        <v>1</v>
      </c>
      <c r="H64" s="1">
        <v>40</v>
      </c>
      <c r="I64" s="9" t="s">
        <v>38</v>
      </c>
      <c r="J64" s="1"/>
      <c r="K64" s="1">
        <v>16</v>
      </c>
      <c r="L64" s="1">
        <f t="shared" si="12"/>
        <v>-16</v>
      </c>
      <c r="M64" s="1"/>
      <c r="N64" s="1"/>
      <c r="O64" s="1">
        <v>50</v>
      </c>
      <c r="P64" s="1"/>
      <c r="Q64" s="1">
        <v>40</v>
      </c>
      <c r="R64" s="1">
        <v>0</v>
      </c>
      <c r="S64" s="1">
        <f t="shared" si="13"/>
        <v>0</v>
      </c>
      <c r="T64" s="5"/>
      <c r="U64" s="5">
        <f t="shared" si="4"/>
        <v>0</v>
      </c>
      <c r="V64" s="18"/>
      <c r="W64" s="1" t="e">
        <f t="shared" si="5"/>
        <v>#DIV/0!</v>
      </c>
      <c r="X64" s="1" t="e">
        <f t="shared" si="14"/>
        <v>#DIV/0!</v>
      </c>
      <c r="Y64" s="1">
        <v>4.7404000000000002</v>
      </c>
      <c r="Z64" s="1">
        <v>4.7404000000000002</v>
      </c>
      <c r="AA64" s="1">
        <v>0</v>
      </c>
      <c r="AB64" s="1">
        <v>7.9903999999999993</v>
      </c>
      <c r="AC64" s="1">
        <v>7.9903999999999993</v>
      </c>
      <c r="AD64" s="1"/>
      <c r="AE64" s="1">
        <f t="shared" si="6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101</v>
      </c>
      <c r="B65" s="1" t="s">
        <v>33</v>
      </c>
      <c r="C65" s="1">
        <v>16.701000000000001</v>
      </c>
      <c r="D65" s="1">
        <v>16.314</v>
      </c>
      <c r="E65" s="1">
        <v>4.1639999999999997</v>
      </c>
      <c r="F65" s="1">
        <v>20.693999999999999</v>
      </c>
      <c r="G65" s="7">
        <v>1</v>
      </c>
      <c r="H65" s="1">
        <v>40</v>
      </c>
      <c r="I65" s="1" t="s">
        <v>34</v>
      </c>
      <c r="J65" s="1"/>
      <c r="K65" s="1">
        <v>4</v>
      </c>
      <c r="L65" s="1">
        <f t="shared" si="12"/>
        <v>0.1639999999999997</v>
      </c>
      <c r="M65" s="1"/>
      <c r="N65" s="1"/>
      <c r="O65" s="1">
        <v>50</v>
      </c>
      <c r="P65" s="1"/>
      <c r="Q65" s="1">
        <v>0</v>
      </c>
      <c r="R65" s="1">
        <v>0</v>
      </c>
      <c r="S65" s="1">
        <f t="shared" si="13"/>
        <v>0.83279999999999998</v>
      </c>
      <c r="T65" s="5"/>
      <c r="U65" s="5">
        <f t="shared" si="4"/>
        <v>0</v>
      </c>
      <c r="V65" s="18"/>
      <c r="W65" s="1">
        <f t="shared" si="5"/>
        <v>84.88712776176753</v>
      </c>
      <c r="X65" s="1">
        <f t="shared" si="14"/>
        <v>84.88712776176753</v>
      </c>
      <c r="Y65" s="1">
        <v>0.83279999999999998</v>
      </c>
      <c r="Z65" s="1">
        <v>0</v>
      </c>
      <c r="AA65" s="1">
        <v>0</v>
      </c>
      <c r="AB65" s="1">
        <v>0</v>
      </c>
      <c r="AC65" s="1">
        <v>0.26440000000000002</v>
      </c>
      <c r="AD65" s="15" t="s">
        <v>56</v>
      </c>
      <c r="AE65" s="1">
        <f t="shared" si="6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102</v>
      </c>
      <c r="B66" s="1" t="s">
        <v>40</v>
      </c>
      <c r="C66" s="1">
        <v>214</v>
      </c>
      <c r="D66" s="1">
        <v>97</v>
      </c>
      <c r="E66" s="1">
        <v>214</v>
      </c>
      <c r="F66" s="1">
        <v>6</v>
      </c>
      <c r="G66" s="7">
        <v>0.4</v>
      </c>
      <c r="H66" s="1">
        <v>40</v>
      </c>
      <c r="I66" s="1" t="s">
        <v>34</v>
      </c>
      <c r="J66" s="1"/>
      <c r="K66" s="1">
        <v>370</v>
      </c>
      <c r="L66" s="1">
        <f t="shared" si="12"/>
        <v>-156</v>
      </c>
      <c r="M66" s="1"/>
      <c r="N66" s="1"/>
      <c r="O66" s="1">
        <v>0</v>
      </c>
      <c r="P66" s="1">
        <v>115.0649199417758</v>
      </c>
      <c r="Q66" s="1">
        <v>181.1350800582243</v>
      </c>
      <c r="R66" s="1">
        <v>123</v>
      </c>
      <c r="S66" s="1">
        <f t="shared" si="13"/>
        <v>42.8</v>
      </c>
      <c r="T66" s="5">
        <f t="shared" si="15"/>
        <v>45.599999999999852</v>
      </c>
      <c r="U66" s="5">
        <f>T66+S66*$U$1</f>
        <v>131.19999999999985</v>
      </c>
      <c r="V66" s="18"/>
      <c r="W66" s="1">
        <f t="shared" si="5"/>
        <v>13</v>
      </c>
      <c r="X66" s="1">
        <f t="shared" si="14"/>
        <v>9.9345794392523388</v>
      </c>
      <c r="Y66" s="1">
        <v>43.6</v>
      </c>
      <c r="Z66" s="1">
        <v>46.2</v>
      </c>
      <c r="AA66" s="1">
        <v>34.4</v>
      </c>
      <c r="AB66" s="1">
        <v>15.4</v>
      </c>
      <c r="AC66" s="1">
        <v>15.8</v>
      </c>
      <c r="AD66" s="1"/>
      <c r="AE66" s="1">
        <f t="shared" si="6"/>
        <v>52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6" t="s">
        <v>103</v>
      </c>
      <c r="B67" s="1" t="s">
        <v>40</v>
      </c>
      <c r="C67" s="1">
        <v>32</v>
      </c>
      <c r="D67" s="1">
        <v>59</v>
      </c>
      <c r="E67" s="1">
        <v>79</v>
      </c>
      <c r="F67" s="1">
        <v>-1</v>
      </c>
      <c r="G67" s="7">
        <v>0.4</v>
      </c>
      <c r="H67" s="1">
        <v>40</v>
      </c>
      <c r="I67" s="9" t="s">
        <v>38</v>
      </c>
      <c r="J67" s="1"/>
      <c r="K67" s="1">
        <v>101</v>
      </c>
      <c r="L67" s="1">
        <f t="shared" si="12"/>
        <v>-22</v>
      </c>
      <c r="M67" s="1"/>
      <c r="N67" s="1"/>
      <c r="O67" s="1">
        <v>100</v>
      </c>
      <c r="P67" s="1"/>
      <c r="Q67" s="1">
        <v>0</v>
      </c>
      <c r="R67" s="1">
        <v>147.6</v>
      </c>
      <c r="S67" s="1">
        <f t="shared" si="13"/>
        <v>15.8</v>
      </c>
      <c r="T67" s="5"/>
      <c r="U67" s="5">
        <f t="shared" si="4"/>
        <v>0</v>
      </c>
      <c r="V67" s="18"/>
      <c r="W67" s="1">
        <f t="shared" si="5"/>
        <v>15.60759493670886</v>
      </c>
      <c r="X67" s="1">
        <f t="shared" si="14"/>
        <v>15.60759493670886</v>
      </c>
      <c r="Y67" s="1">
        <v>21.6</v>
      </c>
      <c r="Z67" s="1">
        <v>6</v>
      </c>
      <c r="AA67" s="1">
        <v>0</v>
      </c>
      <c r="AB67" s="1">
        <v>0</v>
      </c>
      <c r="AC67" s="1">
        <v>0</v>
      </c>
      <c r="AD67" s="1"/>
      <c r="AE67" s="1">
        <f t="shared" si="6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6" t="s">
        <v>104</v>
      </c>
      <c r="B68" s="1" t="s">
        <v>33</v>
      </c>
      <c r="C68" s="1">
        <v>6.5359999999999996</v>
      </c>
      <c r="D68" s="1">
        <v>34.14</v>
      </c>
      <c r="E68" s="1">
        <v>16.303999999999998</v>
      </c>
      <c r="F68" s="1"/>
      <c r="G68" s="7">
        <v>1</v>
      </c>
      <c r="H68" s="1">
        <v>40</v>
      </c>
      <c r="I68" s="9" t="s">
        <v>38</v>
      </c>
      <c r="J68" s="1"/>
      <c r="K68" s="1">
        <v>40.6</v>
      </c>
      <c r="L68" s="1">
        <f t="shared" si="12"/>
        <v>-24.296000000000003</v>
      </c>
      <c r="M68" s="1"/>
      <c r="N68" s="1"/>
      <c r="O68" s="1">
        <v>0</v>
      </c>
      <c r="P68" s="1">
        <v>100</v>
      </c>
      <c r="Q68" s="1">
        <v>10</v>
      </c>
      <c r="R68" s="1">
        <v>0</v>
      </c>
      <c r="S68" s="1">
        <f t="shared" si="13"/>
        <v>3.2607999999999997</v>
      </c>
      <c r="T68" s="5"/>
      <c r="U68" s="5">
        <f t="shared" si="4"/>
        <v>0</v>
      </c>
      <c r="V68" s="18"/>
      <c r="W68" s="1">
        <f t="shared" si="5"/>
        <v>33.734052993130526</v>
      </c>
      <c r="X68" s="1">
        <f t="shared" si="14"/>
        <v>33.734052993130526</v>
      </c>
      <c r="Y68" s="1">
        <v>3.4409999999999998</v>
      </c>
      <c r="Z68" s="1">
        <v>11.0456</v>
      </c>
      <c r="AA68" s="1">
        <v>15.014200000000001</v>
      </c>
      <c r="AB68" s="1">
        <v>4.5118</v>
      </c>
      <c r="AC68" s="1">
        <v>5.2612000000000014</v>
      </c>
      <c r="AD68" s="1"/>
      <c r="AE68" s="1">
        <f t="shared" si="6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6" t="s">
        <v>105</v>
      </c>
      <c r="B69" s="1" t="s">
        <v>33</v>
      </c>
      <c r="C69" s="1">
        <v>3.5680000000000001</v>
      </c>
      <c r="D69" s="1">
        <v>5.3970000000000002</v>
      </c>
      <c r="E69" s="1"/>
      <c r="F69" s="1"/>
      <c r="G69" s="7">
        <v>1</v>
      </c>
      <c r="H69" s="1">
        <v>40</v>
      </c>
      <c r="I69" s="9" t="s">
        <v>38</v>
      </c>
      <c r="J69" s="1"/>
      <c r="K69" s="1">
        <v>39.1</v>
      </c>
      <c r="L69" s="1">
        <f t="shared" si="12"/>
        <v>-39.1</v>
      </c>
      <c r="M69" s="1"/>
      <c r="N69" s="1"/>
      <c r="O69" s="1">
        <v>0</v>
      </c>
      <c r="P69" s="1">
        <v>100</v>
      </c>
      <c r="Q69" s="1">
        <v>120</v>
      </c>
      <c r="R69" s="1">
        <v>0</v>
      </c>
      <c r="S69" s="1">
        <f t="shared" si="13"/>
        <v>0</v>
      </c>
      <c r="T69" s="5"/>
      <c r="U69" s="5">
        <f t="shared" si="4"/>
        <v>0</v>
      </c>
      <c r="V69" s="18"/>
      <c r="W69" s="1" t="e">
        <f t="shared" si="5"/>
        <v>#DIV/0!</v>
      </c>
      <c r="X69" s="1" t="e">
        <f t="shared" si="14"/>
        <v>#DIV/0!</v>
      </c>
      <c r="Y69" s="1">
        <v>5.3816000000000006</v>
      </c>
      <c r="Z69" s="1">
        <v>16.513000000000002</v>
      </c>
      <c r="AA69" s="1">
        <v>15.0838</v>
      </c>
      <c r="AB69" s="1">
        <v>4.3112000000000004</v>
      </c>
      <c r="AC69" s="1">
        <v>0</v>
      </c>
      <c r="AD69" s="1"/>
      <c r="AE69" s="1">
        <f t="shared" si="6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6" t="s">
        <v>106</v>
      </c>
      <c r="B70" s="1" t="s">
        <v>33</v>
      </c>
      <c r="C70" s="1">
        <v>-5.69</v>
      </c>
      <c r="D70" s="1">
        <v>10.034000000000001</v>
      </c>
      <c r="E70" s="1"/>
      <c r="F70" s="1"/>
      <c r="G70" s="7">
        <v>1</v>
      </c>
      <c r="H70" s="1">
        <v>40</v>
      </c>
      <c r="I70" s="9" t="s">
        <v>38</v>
      </c>
      <c r="J70" s="1"/>
      <c r="K70" s="1">
        <v>40.5</v>
      </c>
      <c r="L70" s="1">
        <f t="shared" ref="L70:L100" si="17">E70-K70</f>
        <v>-40.5</v>
      </c>
      <c r="M70" s="1"/>
      <c r="N70" s="1"/>
      <c r="O70" s="1">
        <v>0</v>
      </c>
      <c r="P70" s="1">
        <v>50</v>
      </c>
      <c r="Q70" s="1">
        <v>30</v>
      </c>
      <c r="R70" s="1">
        <v>100</v>
      </c>
      <c r="S70" s="1">
        <f t="shared" ref="S70:S100" si="18">E70/5</f>
        <v>0</v>
      </c>
      <c r="T70" s="5"/>
      <c r="U70" s="5">
        <f t="shared" si="4"/>
        <v>0</v>
      </c>
      <c r="V70" s="18"/>
      <c r="W70" s="1" t="e">
        <f t="shared" si="5"/>
        <v>#DIV/0!</v>
      </c>
      <c r="X70" s="1" t="e">
        <f t="shared" ref="X70:X100" si="19">(F70+O70+P70+Q70+R70)/S70</f>
        <v>#DIV/0!</v>
      </c>
      <c r="Y70" s="1">
        <v>0.1852</v>
      </c>
      <c r="Z70" s="1">
        <v>0.73</v>
      </c>
      <c r="AA70" s="1">
        <v>4.1936</v>
      </c>
      <c r="AB70" s="1">
        <v>18.5868</v>
      </c>
      <c r="AC70" s="1">
        <v>23.832799999999999</v>
      </c>
      <c r="AD70" s="1"/>
      <c r="AE70" s="1">
        <f t="shared" si="6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6" t="s">
        <v>107</v>
      </c>
      <c r="B71" s="1" t="s">
        <v>33</v>
      </c>
      <c r="C71" s="1">
        <v>31.061</v>
      </c>
      <c r="D71" s="1">
        <v>1.8149999999999999</v>
      </c>
      <c r="E71" s="1">
        <v>23.747</v>
      </c>
      <c r="F71" s="1">
        <v>0.91200000000000003</v>
      </c>
      <c r="G71" s="7">
        <v>1</v>
      </c>
      <c r="H71" s="1">
        <v>40</v>
      </c>
      <c r="I71" s="9" t="s">
        <v>38</v>
      </c>
      <c r="J71" s="1"/>
      <c r="K71" s="1">
        <v>28.085000000000001</v>
      </c>
      <c r="L71" s="1">
        <f t="shared" si="17"/>
        <v>-4.338000000000001</v>
      </c>
      <c r="M71" s="1"/>
      <c r="N71" s="1"/>
      <c r="O71" s="1">
        <v>0</v>
      </c>
      <c r="P71" s="1"/>
      <c r="Q71" s="1">
        <v>40</v>
      </c>
      <c r="R71" s="1">
        <v>60</v>
      </c>
      <c r="S71" s="1">
        <f t="shared" si="18"/>
        <v>4.7493999999999996</v>
      </c>
      <c r="T71" s="5"/>
      <c r="U71" s="5">
        <f t="shared" ref="U71:U133" si="20">T71</f>
        <v>0</v>
      </c>
      <c r="V71" s="18"/>
      <c r="W71" s="1">
        <f t="shared" ref="W71:W133" si="21">(F71+O71+P71+Q71+R71+U71)/S71</f>
        <v>21.247315450372682</v>
      </c>
      <c r="X71" s="1">
        <f t="shared" si="19"/>
        <v>21.247315450372682</v>
      </c>
      <c r="Y71" s="1">
        <v>7.492</v>
      </c>
      <c r="Z71" s="1">
        <v>2.5602</v>
      </c>
      <c r="AA71" s="1">
        <v>0</v>
      </c>
      <c r="AB71" s="1">
        <v>0</v>
      </c>
      <c r="AC71" s="1">
        <v>0</v>
      </c>
      <c r="AD71" s="1"/>
      <c r="AE71" s="1">
        <f t="shared" ref="AE71:AE133" si="22">ROUND(G71*U71,0)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108</v>
      </c>
      <c r="B72" s="1" t="s">
        <v>33</v>
      </c>
      <c r="C72" s="1">
        <v>5.282</v>
      </c>
      <c r="D72" s="1">
        <v>77.548000000000002</v>
      </c>
      <c r="E72" s="1">
        <v>29.946999999999999</v>
      </c>
      <c r="F72" s="1">
        <v>29.745999999999999</v>
      </c>
      <c r="G72" s="7">
        <v>1</v>
      </c>
      <c r="H72" s="1">
        <v>30</v>
      </c>
      <c r="I72" s="1" t="s">
        <v>34</v>
      </c>
      <c r="J72" s="1"/>
      <c r="K72" s="1">
        <v>29.6</v>
      </c>
      <c r="L72" s="1">
        <f t="shared" si="17"/>
        <v>0.34699999999999775</v>
      </c>
      <c r="M72" s="1"/>
      <c r="N72" s="1"/>
      <c r="O72" s="1">
        <v>120</v>
      </c>
      <c r="P72" s="1"/>
      <c r="Q72" s="1">
        <v>0</v>
      </c>
      <c r="R72" s="1">
        <v>0</v>
      </c>
      <c r="S72" s="1">
        <f t="shared" si="18"/>
        <v>5.9893999999999998</v>
      </c>
      <c r="T72" s="5"/>
      <c r="U72" s="5">
        <f t="shared" si="20"/>
        <v>0</v>
      </c>
      <c r="V72" s="18"/>
      <c r="W72" s="1">
        <f t="shared" si="21"/>
        <v>25.001836577954389</v>
      </c>
      <c r="X72" s="1">
        <f t="shared" si="19"/>
        <v>25.001836577954389</v>
      </c>
      <c r="Y72" s="1">
        <v>1.8408</v>
      </c>
      <c r="Z72" s="1">
        <v>0.5272</v>
      </c>
      <c r="AA72" s="1">
        <v>0</v>
      </c>
      <c r="AB72" s="1">
        <v>0</v>
      </c>
      <c r="AC72" s="1">
        <v>4.5743999999999998</v>
      </c>
      <c r="AD72" s="1"/>
      <c r="AE72" s="1">
        <f t="shared" si="22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109</v>
      </c>
      <c r="B73" s="1" t="s">
        <v>40</v>
      </c>
      <c r="C73" s="1">
        <v>305</v>
      </c>
      <c r="D73" s="1">
        <v>168</v>
      </c>
      <c r="E73" s="1">
        <v>102</v>
      </c>
      <c r="F73" s="1">
        <v>209</v>
      </c>
      <c r="G73" s="7">
        <v>0.6</v>
      </c>
      <c r="H73" s="1">
        <v>60</v>
      </c>
      <c r="I73" s="1" t="s">
        <v>34</v>
      </c>
      <c r="J73" s="1"/>
      <c r="K73" s="1">
        <v>121</v>
      </c>
      <c r="L73" s="1">
        <f t="shared" si="17"/>
        <v>-19</v>
      </c>
      <c r="M73" s="1"/>
      <c r="N73" s="1"/>
      <c r="O73" s="1">
        <v>0</v>
      </c>
      <c r="P73" s="1"/>
      <c r="Q73" s="1">
        <v>0</v>
      </c>
      <c r="R73" s="1">
        <v>73</v>
      </c>
      <c r="S73" s="1">
        <f t="shared" si="18"/>
        <v>20.399999999999999</v>
      </c>
      <c r="T73" s="5"/>
      <c r="U73" s="5">
        <f t="shared" si="20"/>
        <v>0</v>
      </c>
      <c r="V73" s="18"/>
      <c r="W73" s="1">
        <f t="shared" si="21"/>
        <v>13.823529411764707</v>
      </c>
      <c r="X73" s="1">
        <f t="shared" si="19"/>
        <v>13.823529411764707</v>
      </c>
      <c r="Y73" s="1">
        <v>23</v>
      </c>
      <c r="Z73" s="1">
        <v>3.8</v>
      </c>
      <c r="AA73" s="1">
        <v>3.6</v>
      </c>
      <c r="AB73" s="1">
        <v>5.9474</v>
      </c>
      <c r="AC73" s="1">
        <v>7</v>
      </c>
      <c r="AD73" s="1"/>
      <c r="AE73" s="1">
        <f t="shared" si="22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110</v>
      </c>
      <c r="B74" s="1" t="s">
        <v>40</v>
      </c>
      <c r="C74" s="1">
        <v>243</v>
      </c>
      <c r="D74" s="1">
        <v>29</v>
      </c>
      <c r="E74" s="1">
        <v>144</v>
      </c>
      <c r="F74" s="1">
        <v>100</v>
      </c>
      <c r="G74" s="7">
        <v>0.6</v>
      </c>
      <c r="H74" s="1">
        <v>60</v>
      </c>
      <c r="I74" s="1" t="s">
        <v>34</v>
      </c>
      <c r="J74" s="1"/>
      <c r="K74" s="1">
        <v>174</v>
      </c>
      <c r="L74" s="1">
        <f t="shared" si="17"/>
        <v>-30</v>
      </c>
      <c r="M74" s="1"/>
      <c r="N74" s="1"/>
      <c r="O74" s="1">
        <v>0</v>
      </c>
      <c r="P74" s="1"/>
      <c r="Q74" s="1">
        <v>0</v>
      </c>
      <c r="R74" s="1">
        <v>209.8</v>
      </c>
      <c r="S74" s="1">
        <f t="shared" si="18"/>
        <v>28.8</v>
      </c>
      <c r="T74" s="5">
        <f t="shared" ref="T74:T83" si="23">11*S74-R74-Q74-P74-O74-F74</f>
        <v>7</v>
      </c>
      <c r="U74" s="5">
        <f t="shared" ref="U74:U75" si="24">T74+S74*$U$1</f>
        <v>64.599999999999994</v>
      </c>
      <c r="V74" s="18"/>
      <c r="W74" s="1">
        <f t="shared" si="21"/>
        <v>12.999999999999998</v>
      </c>
      <c r="X74" s="1">
        <f t="shared" si="19"/>
        <v>10.756944444444445</v>
      </c>
      <c r="Y74" s="1">
        <v>29.8</v>
      </c>
      <c r="Z74" s="1">
        <v>6</v>
      </c>
      <c r="AA74" s="1">
        <v>3.6</v>
      </c>
      <c r="AB74" s="1">
        <v>9.4</v>
      </c>
      <c r="AC74" s="1">
        <v>10.6</v>
      </c>
      <c r="AD74" s="1"/>
      <c r="AE74" s="1">
        <f t="shared" si="22"/>
        <v>39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111</v>
      </c>
      <c r="B75" s="1" t="s">
        <v>40</v>
      </c>
      <c r="C75" s="1">
        <v>128</v>
      </c>
      <c r="D75" s="1">
        <v>6</v>
      </c>
      <c r="E75" s="1">
        <v>50</v>
      </c>
      <c r="F75" s="1">
        <v>53</v>
      </c>
      <c r="G75" s="7">
        <v>0.4</v>
      </c>
      <c r="H75" s="1">
        <v>90</v>
      </c>
      <c r="I75" s="1" t="s">
        <v>34</v>
      </c>
      <c r="J75" s="1"/>
      <c r="K75" s="1">
        <v>56</v>
      </c>
      <c r="L75" s="1">
        <f t="shared" si="17"/>
        <v>-6</v>
      </c>
      <c r="M75" s="1"/>
      <c r="N75" s="1"/>
      <c r="O75" s="1">
        <v>0</v>
      </c>
      <c r="P75" s="1"/>
      <c r="Q75" s="1">
        <v>0</v>
      </c>
      <c r="R75" s="1">
        <v>10.80000000000001</v>
      </c>
      <c r="S75" s="1">
        <f t="shared" si="18"/>
        <v>10</v>
      </c>
      <c r="T75" s="5">
        <f t="shared" si="23"/>
        <v>46.199999999999989</v>
      </c>
      <c r="U75" s="5">
        <f t="shared" si="24"/>
        <v>66.199999999999989</v>
      </c>
      <c r="V75" s="18"/>
      <c r="W75" s="1">
        <f t="shared" si="21"/>
        <v>13</v>
      </c>
      <c r="X75" s="1">
        <f t="shared" si="19"/>
        <v>6.3800000000000008</v>
      </c>
      <c r="Y75" s="1">
        <v>8.4</v>
      </c>
      <c r="Z75" s="1">
        <v>9.6</v>
      </c>
      <c r="AA75" s="1">
        <v>6.2</v>
      </c>
      <c r="AB75" s="1">
        <v>1.8</v>
      </c>
      <c r="AC75" s="1">
        <v>5.4</v>
      </c>
      <c r="AD75" s="1"/>
      <c r="AE75" s="1">
        <f t="shared" si="22"/>
        <v>26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6" t="s">
        <v>112</v>
      </c>
      <c r="B76" s="1" t="s">
        <v>40</v>
      </c>
      <c r="C76" s="1">
        <v>167</v>
      </c>
      <c r="D76" s="1">
        <v>52</v>
      </c>
      <c r="E76" s="1">
        <v>52</v>
      </c>
      <c r="F76" s="1">
        <v>121</v>
      </c>
      <c r="G76" s="7">
        <v>0.33</v>
      </c>
      <c r="H76" s="1">
        <v>60</v>
      </c>
      <c r="I76" s="9" t="s">
        <v>38</v>
      </c>
      <c r="J76" s="1"/>
      <c r="K76" s="1">
        <v>68</v>
      </c>
      <c r="L76" s="1">
        <f t="shared" si="17"/>
        <v>-16</v>
      </c>
      <c r="M76" s="1"/>
      <c r="N76" s="1"/>
      <c r="O76" s="1">
        <v>0</v>
      </c>
      <c r="P76" s="1"/>
      <c r="Q76" s="1">
        <v>0</v>
      </c>
      <c r="R76" s="1">
        <v>0</v>
      </c>
      <c r="S76" s="1">
        <f t="shared" si="18"/>
        <v>10.4</v>
      </c>
      <c r="T76" s="5">
        <v>20</v>
      </c>
      <c r="U76" s="5">
        <f t="shared" si="20"/>
        <v>20</v>
      </c>
      <c r="V76" s="18"/>
      <c r="W76" s="1">
        <f t="shared" si="21"/>
        <v>13.557692307692307</v>
      </c>
      <c r="X76" s="1">
        <f t="shared" si="19"/>
        <v>11.634615384615385</v>
      </c>
      <c r="Y76" s="1">
        <v>9.4</v>
      </c>
      <c r="Z76" s="1">
        <v>13.2</v>
      </c>
      <c r="AA76" s="1">
        <v>10</v>
      </c>
      <c r="AB76" s="1">
        <v>9.4</v>
      </c>
      <c r="AC76" s="1">
        <v>7.2</v>
      </c>
      <c r="AD76" s="1"/>
      <c r="AE76" s="1">
        <f t="shared" si="22"/>
        <v>7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113</v>
      </c>
      <c r="B77" s="1" t="s">
        <v>40</v>
      </c>
      <c r="C77" s="1">
        <v>199</v>
      </c>
      <c r="D77" s="1">
        <v>42</v>
      </c>
      <c r="E77" s="1">
        <v>74</v>
      </c>
      <c r="F77" s="1">
        <v>161</v>
      </c>
      <c r="G77" s="7">
        <v>0.35</v>
      </c>
      <c r="H77" s="1">
        <v>90</v>
      </c>
      <c r="I77" s="1" t="s">
        <v>34</v>
      </c>
      <c r="J77" s="1"/>
      <c r="K77" s="1">
        <v>80</v>
      </c>
      <c r="L77" s="1">
        <f t="shared" si="17"/>
        <v>-6</v>
      </c>
      <c r="M77" s="1"/>
      <c r="N77" s="1"/>
      <c r="O77" s="1">
        <v>0</v>
      </c>
      <c r="P77" s="1"/>
      <c r="Q77" s="1">
        <v>0</v>
      </c>
      <c r="R77" s="1">
        <v>16.800000000000011</v>
      </c>
      <c r="S77" s="1">
        <f t="shared" si="18"/>
        <v>14.8</v>
      </c>
      <c r="T77" s="5"/>
      <c r="U77" s="5">
        <f t="shared" si="20"/>
        <v>0</v>
      </c>
      <c r="V77" s="18"/>
      <c r="W77" s="1">
        <f t="shared" si="21"/>
        <v>12.013513513513514</v>
      </c>
      <c r="X77" s="1">
        <f t="shared" si="19"/>
        <v>12.013513513513514</v>
      </c>
      <c r="Y77" s="1">
        <v>13.4</v>
      </c>
      <c r="Z77" s="1">
        <v>13</v>
      </c>
      <c r="AA77" s="1">
        <v>9.1999999999999993</v>
      </c>
      <c r="AB77" s="1">
        <v>2</v>
      </c>
      <c r="AC77" s="1">
        <v>5.8</v>
      </c>
      <c r="AD77" s="1"/>
      <c r="AE77" s="1">
        <f t="shared" si="22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114</v>
      </c>
      <c r="B78" s="1" t="s">
        <v>40</v>
      </c>
      <c r="C78" s="1">
        <v>27</v>
      </c>
      <c r="D78" s="1"/>
      <c r="E78" s="1">
        <v>10</v>
      </c>
      <c r="F78" s="1">
        <v>9</v>
      </c>
      <c r="G78" s="7">
        <v>0.37</v>
      </c>
      <c r="H78" s="1"/>
      <c r="I78" s="1" t="s">
        <v>34</v>
      </c>
      <c r="J78" s="1"/>
      <c r="K78" s="1">
        <v>11</v>
      </c>
      <c r="L78" s="1">
        <f t="shared" si="17"/>
        <v>-1</v>
      </c>
      <c r="M78" s="1"/>
      <c r="N78" s="1"/>
      <c r="O78" s="1">
        <v>0</v>
      </c>
      <c r="P78" s="1"/>
      <c r="Q78" s="1">
        <v>0</v>
      </c>
      <c r="R78" s="1">
        <v>0</v>
      </c>
      <c r="S78" s="1">
        <f t="shared" si="18"/>
        <v>2</v>
      </c>
      <c r="T78" s="5">
        <f t="shared" si="23"/>
        <v>13</v>
      </c>
      <c r="U78" s="5">
        <f>T78+S78*$U$1</f>
        <v>17</v>
      </c>
      <c r="V78" s="18"/>
      <c r="W78" s="1">
        <f t="shared" si="21"/>
        <v>13</v>
      </c>
      <c r="X78" s="1">
        <f t="shared" si="19"/>
        <v>4.5</v>
      </c>
      <c r="Y78" s="1">
        <v>1.6</v>
      </c>
      <c r="Z78" s="1">
        <v>0.4</v>
      </c>
      <c r="AA78" s="1">
        <v>0.2</v>
      </c>
      <c r="AB78" s="1">
        <v>0.4</v>
      </c>
      <c r="AC78" s="1">
        <v>0</v>
      </c>
      <c r="AD78" s="1"/>
      <c r="AE78" s="1">
        <f t="shared" si="22"/>
        <v>6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115</v>
      </c>
      <c r="B79" s="1" t="s">
        <v>40</v>
      </c>
      <c r="C79" s="1">
        <v>243.2</v>
      </c>
      <c r="D79" s="1"/>
      <c r="E79" s="1">
        <v>41</v>
      </c>
      <c r="F79" s="1">
        <v>34</v>
      </c>
      <c r="G79" s="7">
        <v>0.6</v>
      </c>
      <c r="H79" s="1">
        <v>70</v>
      </c>
      <c r="I79" s="1" t="s">
        <v>34</v>
      </c>
      <c r="J79" s="1"/>
      <c r="K79" s="1">
        <v>114</v>
      </c>
      <c r="L79" s="1">
        <f t="shared" si="17"/>
        <v>-73</v>
      </c>
      <c r="M79" s="1"/>
      <c r="N79" s="1"/>
      <c r="O79" s="1">
        <v>0</v>
      </c>
      <c r="P79" s="1"/>
      <c r="Q79" s="1">
        <v>0</v>
      </c>
      <c r="R79" s="1">
        <v>0</v>
      </c>
      <c r="S79" s="1">
        <f t="shared" si="18"/>
        <v>8.1999999999999993</v>
      </c>
      <c r="T79" s="5">
        <v>100</v>
      </c>
      <c r="U79" s="5">
        <f t="shared" si="20"/>
        <v>100</v>
      </c>
      <c r="V79" s="18"/>
      <c r="W79" s="1">
        <f t="shared" si="21"/>
        <v>16.341463414634148</v>
      </c>
      <c r="X79" s="1">
        <f t="shared" si="19"/>
        <v>4.1463414634146343</v>
      </c>
      <c r="Y79" s="1">
        <v>1.8</v>
      </c>
      <c r="Z79" s="1">
        <v>1.2</v>
      </c>
      <c r="AA79" s="1">
        <v>4.2</v>
      </c>
      <c r="AB79" s="1">
        <v>7</v>
      </c>
      <c r="AC79" s="1">
        <v>7.6</v>
      </c>
      <c r="AD79" s="17" t="s">
        <v>170</v>
      </c>
      <c r="AE79" s="1">
        <f t="shared" si="22"/>
        <v>60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116</v>
      </c>
      <c r="B80" s="1" t="s">
        <v>40</v>
      </c>
      <c r="C80" s="1">
        <v>-6</v>
      </c>
      <c r="D80" s="1">
        <v>30</v>
      </c>
      <c r="E80" s="1">
        <v>12</v>
      </c>
      <c r="F80" s="1"/>
      <c r="G80" s="7">
        <v>0.33</v>
      </c>
      <c r="H80" s="1">
        <v>40</v>
      </c>
      <c r="I80" s="1" t="s">
        <v>34</v>
      </c>
      <c r="J80" s="1"/>
      <c r="K80" s="1">
        <v>57</v>
      </c>
      <c r="L80" s="1">
        <f t="shared" si="17"/>
        <v>-45</v>
      </c>
      <c r="M80" s="1"/>
      <c r="N80" s="1"/>
      <c r="O80" s="1">
        <v>0</v>
      </c>
      <c r="P80" s="1">
        <v>10.981659388646291</v>
      </c>
      <c r="Q80" s="1">
        <v>71.418340611353699</v>
      </c>
      <c r="R80" s="1">
        <v>24.40000000000002</v>
      </c>
      <c r="S80" s="1">
        <f t="shared" si="18"/>
        <v>2.4</v>
      </c>
      <c r="T80" s="5"/>
      <c r="U80" s="5">
        <f t="shared" si="20"/>
        <v>0</v>
      </c>
      <c r="V80" s="18"/>
      <c r="W80" s="1">
        <f t="shared" si="21"/>
        <v>44.500000000000007</v>
      </c>
      <c r="X80" s="1">
        <f t="shared" si="19"/>
        <v>44.500000000000007</v>
      </c>
      <c r="Y80" s="1">
        <v>8.4</v>
      </c>
      <c r="Z80" s="1">
        <v>9.6</v>
      </c>
      <c r="AA80" s="1">
        <v>3.6</v>
      </c>
      <c r="AB80" s="1">
        <v>0</v>
      </c>
      <c r="AC80" s="1">
        <v>-0.6</v>
      </c>
      <c r="AD80" s="1"/>
      <c r="AE80" s="1">
        <f t="shared" si="22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6" t="s">
        <v>117</v>
      </c>
      <c r="B81" s="1" t="s">
        <v>40</v>
      </c>
      <c r="C81" s="1">
        <v>42</v>
      </c>
      <c r="D81" s="1">
        <v>6</v>
      </c>
      <c r="E81" s="1">
        <v>7</v>
      </c>
      <c r="F81" s="1">
        <v>35</v>
      </c>
      <c r="G81" s="7">
        <v>0.4</v>
      </c>
      <c r="H81" s="1">
        <v>55</v>
      </c>
      <c r="I81" s="9" t="s">
        <v>38</v>
      </c>
      <c r="J81" s="1"/>
      <c r="K81" s="1">
        <v>8</v>
      </c>
      <c r="L81" s="1">
        <f t="shared" si="17"/>
        <v>-1</v>
      </c>
      <c r="M81" s="1"/>
      <c r="N81" s="1"/>
      <c r="O81" s="1">
        <v>0</v>
      </c>
      <c r="P81" s="1"/>
      <c r="Q81" s="1">
        <v>0</v>
      </c>
      <c r="R81" s="1">
        <v>0</v>
      </c>
      <c r="S81" s="1">
        <f t="shared" si="18"/>
        <v>1.4</v>
      </c>
      <c r="T81" s="5"/>
      <c r="U81" s="5">
        <f t="shared" si="20"/>
        <v>0</v>
      </c>
      <c r="V81" s="18"/>
      <c r="W81" s="1">
        <f t="shared" si="21"/>
        <v>25</v>
      </c>
      <c r="X81" s="1">
        <f t="shared" si="19"/>
        <v>25</v>
      </c>
      <c r="Y81" s="1">
        <v>0.8</v>
      </c>
      <c r="Z81" s="1">
        <v>0.2</v>
      </c>
      <c r="AA81" s="1">
        <v>2</v>
      </c>
      <c r="AB81" s="1">
        <v>2.2000000000000002</v>
      </c>
      <c r="AC81" s="1">
        <v>0.6</v>
      </c>
      <c r="AD81" s="15" t="s">
        <v>56</v>
      </c>
      <c r="AE81" s="1">
        <f t="shared" si="22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6" t="s">
        <v>118</v>
      </c>
      <c r="B82" s="1" t="s">
        <v>40</v>
      </c>
      <c r="C82" s="1">
        <v>32</v>
      </c>
      <c r="D82" s="1">
        <v>5</v>
      </c>
      <c r="E82" s="1">
        <v>27</v>
      </c>
      <c r="F82" s="1"/>
      <c r="G82" s="7">
        <v>0.35</v>
      </c>
      <c r="H82" s="1">
        <v>40</v>
      </c>
      <c r="I82" s="9" t="s">
        <v>38</v>
      </c>
      <c r="J82" s="1"/>
      <c r="K82" s="1">
        <v>38</v>
      </c>
      <c r="L82" s="1">
        <f t="shared" si="17"/>
        <v>-11</v>
      </c>
      <c r="M82" s="1"/>
      <c r="N82" s="1"/>
      <c r="O82" s="1">
        <v>0</v>
      </c>
      <c r="P82" s="1"/>
      <c r="Q82" s="1">
        <v>0</v>
      </c>
      <c r="R82" s="1">
        <v>20.599999999999991</v>
      </c>
      <c r="S82" s="1">
        <f t="shared" si="18"/>
        <v>5.4</v>
      </c>
      <c r="T82" s="5">
        <f t="shared" si="23"/>
        <v>38.800000000000011</v>
      </c>
      <c r="U82" s="5">
        <f t="shared" si="20"/>
        <v>38.800000000000011</v>
      </c>
      <c r="V82" s="18"/>
      <c r="W82" s="1">
        <f t="shared" si="21"/>
        <v>11</v>
      </c>
      <c r="X82" s="1">
        <f t="shared" si="19"/>
        <v>3.8148148148148127</v>
      </c>
      <c r="Y82" s="1">
        <v>2.8</v>
      </c>
      <c r="Z82" s="1">
        <v>0.4</v>
      </c>
      <c r="AA82" s="1">
        <v>0.2</v>
      </c>
      <c r="AB82" s="1">
        <v>0.4</v>
      </c>
      <c r="AC82" s="1">
        <v>0.4</v>
      </c>
      <c r="AD82" s="1"/>
      <c r="AE82" s="1">
        <f t="shared" si="22"/>
        <v>14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6" t="s">
        <v>119</v>
      </c>
      <c r="B83" s="1" t="s">
        <v>40</v>
      </c>
      <c r="C83" s="1">
        <v>22</v>
      </c>
      <c r="D83" s="1">
        <v>5</v>
      </c>
      <c r="E83" s="1">
        <v>18</v>
      </c>
      <c r="F83" s="1">
        <v>4</v>
      </c>
      <c r="G83" s="7">
        <v>0.35</v>
      </c>
      <c r="H83" s="1">
        <v>45</v>
      </c>
      <c r="I83" s="9" t="s">
        <v>38</v>
      </c>
      <c r="J83" s="1"/>
      <c r="K83" s="1">
        <v>23</v>
      </c>
      <c r="L83" s="1">
        <f t="shared" si="17"/>
        <v>-5</v>
      </c>
      <c r="M83" s="1"/>
      <c r="N83" s="1"/>
      <c r="O83" s="1">
        <v>0</v>
      </c>
      <c r="P83" s="1"/>
      <c r="Q83" s="1">
        <v>0</v>
      </c>
      <c r="R83" s="1">
        <v>19.399999999999999</v>
      </c>
      <c r="S83" s="1">
        <f t="shared" si="18"/>
        <v>3.6</v>
      </c>
      <c r="T83" s="5">
        <f t="shared" si="23"/>
        <v>16.200000000000003</v>
      </c>
      <c r="U83" s="5">
        <f>T83+S83*$U$1</f>
        <v>23.400000000000002</v>
      </c>
      <c r="V83" s="18"/>
      <c r="W83" s="1">
        <f t="shared" si="21"/>
        <v>12.999999999999998</v>
      </c>
      <c r="X83" s="1">
        <f t="shared" si="19"/>
        <v>6.4999999999999991</v>
      </c>
      <c r="Y83" s="1">
        <v>2.6</v>
      </c>
      <c r="Z83" s="1">
        <v>2.8</v>
      </c>
      <c r="AA83" s="1">
        <v>2.2000000000000002</v>
      </c>
      <c r="AB83" s="1">
        <v>0</v>
      </c>
      <c r="AC83" s="1">
        <v>-0.4</v>
      </c>
      <c r="AD83" s="1"/>
      <c r="AE83" s="1">
        <f t="shared" si="22"/>
        <v>8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0" t="s">
        <v>120</v>
      </c>
      <c r="B84" s="10" t="s">
        <v>40</v>
      </c>
      <c r="C84" s="10"/>
      <c r="D84" s="10"/>
      <c r="E84" s="10"/>
      <c r="F84" s="10"/>
      <c r="G84" s="11">
        <v>0</v>
      </c>
      <c r="H84" s="10"/>
      <c r="I84" s="10" t="s">
        <v>34</v>
      </c>
      <c r="J84" s="10"/>
      <c r="K84" s="10"/>
      <c r="L84" s="10">
        <f t="shared" si="17"/>
        <v>0</v>
      </c>
      <c r="M84" s="10"/>
      <c r="N84" s="10"/>
      <c r="O84" s="10">
        <v>0</v>
      </c>
      <c r="P84" s="10"/>
      <c r="Q84" s="10">
        <v>0</v>
      </c>
      <c r="R84" s="10">
        <v>0</v>
      </c>
      <c r="S84" s="10">
        <f t="shared" si="18"/>
        <v>0</v>
      </c>
      <c r="T84" s="12"/>
      <c r="U84" s="5">
        <f t="shared" si="20"/>
        <v>0</v>
      </c>
      <c r="V84" s="19"/>
      <c r="W84" s="1" t="e">
        <f t="shared" si="21"/>
        <v>#DIV/0!</v>
      </c>
      <c r="X84" s="10" t="e">
        <f t="shared" si="19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 t="s">
        <v>41</v>
      </c>
      <c r="AE84" s="1">
        <f t="shared" si="22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0" t="s">
        <v>121</v>
      </c>
      <c r="B85" s="10" t="s">
        <v>33</v>
      </c>
      <c r="C85" s="10"/>
      <c r="D85" s="10"/>
      <c r="E85" s="10"/>
      <c r="F85" s="10"/>
      <c r="G85" s="11">
        <v>0</v>
      </c>
      <c r="H85" s="10"/>
      <c r="I85" s="10" t="s">
        <v>34</v>
      </c>
      <c r="J85" s="10"/>
      <c r="K85" s="10"/>
      <c r="L85" s="10">
        <f t="shared" si="17"/>
        <v>0</v>
      </c>
      <c r="M85" s="10"/>
      <c r="N85" s="10"/>
      <c r="O85" s="10">
        <v>0</v>
      </c>
      <c r="P85" s="10"/>
      <c r="Q85" s="10">
        <v>0</v>
      </c>
      <c r="R85" s="10">
        <v>0</v>
      </c>
      <c r="S85" s="10">
        <f t="shared" si="18"/>
        <v>0</v>
      </c>
      <c r="T85" s="12"/>
      <c r="U85" s="5">
        <f t="shared" si="20"/>
        <v>0</v>
      </c>
      <c r="V85" s="19"/>
      <c r="W85" s="1" t="e">
        <f t="shared" si="21"/>
        <v>#DIV/0!</v>
      </c>
      <c r="X85" s="10" t="e">
        <f t="shared" si="19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 t="s">
        <v>41</v>
      </c>
      <c r="AE85" s="1">
        <f t="shared" si="22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0" t="s">
        <v>122</v>
      </c>
      <c r="B86" s="10" t="s">
        <v>33</v>
      </c>
      <c r="C86" s="10"/>
      <c r="D86" s="10"/>
      <c r="E86" s="10"/>
      <c r="F86" s="10"/>
      <c r="G86" s="11">
        <v>0</v>
      </c>
      <c r="H86" s="10"/>
      <c r="I86" s="10" t="s">
        <v>34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/>
      <c r="Q86" s="10">
        <v>0</v>
      </c>
      <c r="R86" s="10">
        <v>0</v>
      </c>
      <c r="S86" s="10">
        <f t="shared" si="18"/>
        <v>0</v>
      </c>
      <c r="T86" s="12"/>
      <c r="U86" s="5">
        <f t="shared" si="20"/>
        <v>0</v>
      </c>
      <c r="V86" s="19"/>
      <c r="W86" s="1" t="e">
        <f t="shared" si="21"/>
        <v>#DIV/0!</v>
      </c>
      <c r="X86" s="10" t="e">
        <f t="shared" si="19"/>
        <v>#DIV/0!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 t="s">
        <v>41</v>
      </c>
      <c r="AE86" s="1">
        <f t="shared" si="22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123</v>
      </c>
      <c r="B87" s="1" t="s">
        <v>33</v>
      </c>
      <c r="C87" s="1">
        <v>-7.66</v>
      </c>
      <c r="D87" s="1">
        <v>286.92</v>
      </c>
      <c r="E87" s="1">
        <v>119.161</v>
      </c>
      <c r="F87" s="1">
        <v>98.007999999999996</v>
      </c>
      <c r="G87" s="7">
        <v>1</v>
      </c>
      <c r="H87" s="1">
        <v>60</v>
      </c>
      <c r="I87" s="1" t="s">
        <v>34</v>
      </c>
      <c r="J87" s="1"/>
      <c r="K87" s="1">
        <v>145.1</v>
      </c>
      <c r="L87" s="1">
        <f t="shared" si="17"/>
        <v>-25.938999999999993</v>
      </c>
      <c r="M87" s="1"/>
      <c r="N87" s="1"/>
      <c r="O87" s="1">
        <v>0</v>
      </c>
      <c r="P87" s="1"/>
      <c r="Q87" s="1">
        <v>85</v>
      </c>
      <c r="R87" s="1">
        <v>14.279800000000019</v>
      </c>
      <c r="S87" s="1">
        <f t="shared" si="18"/>
        <v>23.8322</v>
      </c>
      <c r="T87" s="5">
        <f>11*S87-R87-Q87-P87-O87-F87</f>
        <v>64.866399999999985</v>
      </c>
      <c r="U87" s="5">
        <f>T87+S87*$U$1</f>
        <v>112.53079999999999</v>
      </c>
      <c r="V87" s="18"/>
      <c r="W87" s="1">
        <f t="shared" si="21"/>
        <v>13</v>
      </c>
      <c r="X87" s="1">
        <f t="shared" si="19"/>
        <v>8.2782034390446544</v>
      </c>
      <c r="Y87" s="1">
        <v>20.955400000000001</v>
      </c>
      <c r="Z87" s="1">
        <v>14.3246</v>
      </c>
      <c r="AA87" s="1">
        <v>2.42</v>
      </c>
      <c r="AB87" s="1">
        <v>12.898199999999999</v>
      </c>
      <c r="AC87" s="1">
        <v>19.516999999999999</v>
      </c>
      <c r="AD87" s="1"/>
      <c r="AE87" s="1">
        <f t="shared" si="22"/>
        <v>113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0" t="s">
        <v>124</v>
      </c>
      <c r="B88" s="10" t="s">
        <v>40</v>
      </c>
      <c r="C88" s="10"/>
      <c r="D88" s="10"/>
      <c r="E88" s="10"/>
      <c r="F88" s="10"/>
      <c r="G88" s="11">
        <v>0</v>
      </c>
      <c r="H88" s="10"/>
      <c r="I88" s="10" t="s">
        <v>34</v>
      </c>
      <c r="J88" s="10"/>
      <c r="K88" s="10"/>
      <c r="L88" s="10">
        <f t="shared" si="17"/>
        <v>0</v>
      </c>
      <c r="M88" s="10"/>
      <c r="N88" s="10"/>
      <c r="O88" s="10">
        <v>0</v>
      </c>
      <c r="P88" s="10"/>
      <c r="Q88" s="10">
        <v>0</v>
      </c>
      <c r="R88" s="10">
        <v>0</v>
      </c>
      <c r="S88" s="10">
        <f t="shared" si="18"/>
        <v>0</v>
      </c>
      <c r="T88" s="12"/>
      <c r="U88" s="5">
        <f t="shared" si="20"/>
        <v>0</v>
      </c>
      <c r="V88" s="19"/>
      <c r="W88" s="1" t="e">
        <f t="shared" si="21"/>
        <v>#DIV/0!</v>
      </c>
      <c r="X88" s="10" t="e">
        <f t="shared" si="19"/>
        <v>#DIV/0!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 t="s">
        <v>41</v>
      </c>
      <c r="AE88" s="1">
        <f t="shared" si="22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125</v>
      </c>
      <c r="B89" s="1" t="s">
        <v>33</v>
      </c>
      <c r="C89" s="1">
        <v>1118.2639999999999</v>
      </c>
      <c r="D89" s="1">
        <v>566.75300000000004</v>
      </c>
      <c r="E89" s="1">
        <v>368.77</v>
      </c>
      <c r="F89" s="1">
        <v>752.13400000000001</v>
      </c>
      <c r="G89" s="7">
        <v>1</v>
      </c>
      <c r="H89" s="1">
        <v>60</v>
      </c>
      <c r="I89" s="1" t="s">
        <v>34</v>
      </c>
      <c r="J89" s="1"/>
      <c r="K89" s="1">
        <v>397.5</v>
      </c>
      <c r="L89" s="1">
        <f t="shared" si="17"/>
        <v>-28.730000000000018</v>
      </c>
      <c r="M89" s="1"/>
      <c r="N89" s="1"/>
      <c r="O89" s="1">
        <v>0</v>
      </c>
      <c r="P89" s="1">
        <v>27.225830600724521</v>
      </c>
      <c r="Q89" s="1">
        <v>0</v>
      </c>
      <c r="R89" s="1">
        <v>56.636569399275572</v>
      </c>
      <c r="S89" s="1">
        <f t="shared" si="18"/>
        <v>73.753999999999991</v>
      </c>
      <c r="T89" s="5"/>
      <c r="U89" s="5">
        <f t="shared" ref="U89:U91" si="25">T89+S89*$U$1</f>
        <v>147.50799999999998</v>
      </c>
      <c r="V89" s="18"/>
      <c r="W89" s="1">
        <f t="shared" si="21"/>
        <v>13.334929630935273</v>
      </c>
      <c r="X89" s="1">
        <f t="shared" si="19"/>
        <v>11.334929630935275</v>
      </c>
      <c r="Y89" s="1">
        <v>82.291200000000003</v>
      </c>
      <c r="Z89" s="1">
        <v>76.831199999999995</v>
      </c>
      <c r="AA89" s="1">
        <v>111.5638</v>
      </c>
      <c r="AB89" s="1">
        <v>119.0112</v>
      </c>
      <c r="AC89" s="1">
        <v>67.967799999999997</v>
      </c>
      <c r="AD89" s="1"/>
      <c r="AE89" s="1">
        <f t="shared" si="22"/>
        <v>148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126</v>
      </c>
      <c r="B90" s="1" t="s">
        <v>33</v>
      </c>
      <c r="C90" s="1">
        <v>547.56299999999999</v>
      </c>
      <c r="D90" s="1">
        <v>183.90799999999999</v>
      </c>
      <c r="E90" s="1">
        <v>381.32400000000001</v>
      </c>
      <c r="F90" s="1">
        <v>161.6</v>
      </c>
      <c r="G90" s="7">
        <v>1</v>
      </c>
      <c r="H90" s="1">
        <v>60</v>
      </c>
      <c r="I90" s="1" t="s">
        <v>34</v>
      </c>
      <c r="J90" s="1"/>
      <c r="K90" s="1">
        <v>408</v>
      </c>
      <c r="L90" s="1">
        <f t="shared" si="17"/>
        <v>-26.675999999999988</v>
      </c>
      <c r="M90" s="1"/>
      <c r="N90" s="1"/>
      <c r="O90" s="1">
        <v>0</v>
      </c>
      <c r="P90" s="1">
        <v>479.92177665822271</v>
      </c>
      <c r="Q90" s="1">
        <v>0</v>
      </c>
      <c r="R90" s="1">
        <v>167.9470233417772</v>
      </c>
      <c r="S90" s="1">
        <f t="shared" si="18"/>
        <v>76.264800000000008</v>
      </c>
      <c r="T90" s="5">
        <f t="shared" ref="T90:T91" si="26">11*S90-R90-Q90-P90-O90-F90</f>
        <v>29.444000000000216</v>
      </c>
      <c r="U90" s="5">
        <f t="shared" si="25"/>
        <v>181.97360000000023</v>
      </c>
      <c r="V90" s="18"/>
      <c r="W90" s="1">
        <f t="shared" si="21"/>
        <v>13</v>
      </c>
      <c r="X90" s="1">
        <f t="shared" si="19"/>
        <v>10.61392411702384</v>
      </c>
      <c r="Y90" s="1">
        <v>80.529399999999995</v>
      </c>
      <c r="Z90" s="1">
        <v>76.1738</v>
      </c>
      <c r="AA90" s="1">
        <v>98.932400000000001</v>
      </c>
      <c r="AB90" s="1">
        <v>67.966399999999993</v>
      </c>
      <c r="AC90" s="1">
        <v>26.086600000000001</v>
      </c>
      <c r="AD90" s="1"/>
      <c r="AE90" s="1">
        <f t="shared" si="22"/>
        <v>182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59</v>
      </c>
      <c r="B91" s="1" t="s">
        <v>33</v>
      </c>
      <c r="C91" s="1">
        <v>408.12799999999999</v>
      </c>
      <c r="D91" s="1">
        <v>673.09799999999996</v>
      </c>
      <c r="E91" s="1">
        <v>802.07399999999996</v>
      </c>
      <c r="F91" s="1">
        <v>-2.3879999999999999</v>
      </c>
      <c r="G91" s="7">
        <v>1</v>
      </c>
      <c r="H91" s="1">
        <v>60</v>
      </c>
      <c r="I91" s="1" t="s">
        <v>34</v>
      </c>
      <c r="J91" s="1"/>
      <c r="K91" s="1">
        <v>841</v>
      </c>
      <c r="L91" s="1">
        <f t="shared" si="17"/>
        <v>-38.926000000000045</v>
      </c>
      <c r="M91" s="1"/>
      <c r="N91" s="1"/>
      <c r="O91" s="1">
        <v>251.10125231080929</v>
      </c>
      <c r="P91" s="1">
        <v>234.9879999999996</v>
      </c>
      <c r="Q91" s="1">
        <v>588.9493476891912</v>
      </c>
      <c r="R91" s="1">
        <v>654.91039999999975</v>
      </c>
      <c r="S91" s="1">
        <f t="shared" si="18"/>
        <v>160.41479999999999</v>
      </c>
      <c r="T91" s="5">
        <f t="shared" si="26"/>
        <v>37.001800000000081</v>
      </c>
      <c r="U91" s="5">
        <f t="shared" si="25"/>
        <v>357.83140000000003</v>
      </c>
      <c r="V91" s="18"/>
      <c r="W91" s="1">
        <f t="shared" si="21"/>
        <v>13</v>
      </c>
      <c r="X91" s="1">
        <f t="shared" si="19"/>
        <v>10.769336744489909</v>
      </c>
      <c r="Y91" s="1">
        <v>168.05799999999999</v>
      </c>
      <c r="Z91" s="1">
        <v>164.81059999999999</v>
      </c>
      <c r="AA91" s="1">
        <v>136.1634</v>
      </c>
      <c r="AB91" s="1">
        <v>154.62280000000001</v>
      </c>
      <c r="AC91" s="1">
        <v>109.41240000000001</v>
      </c>
      <c r="AD91" s="1"/>
      <c r="AE91" s="1">
        <f t="shared" si="22"/>
        <v>358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0" t="s">
        <v>127</v>
      </c>
      <c r="B92" s="10" t="s">
        <v>33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17"/>
        <v>0</v>
      </c>
      <c r="M92" s="10"/>
      <c r="N92" s="10"/>
      <c r="O92" s="10">
        <v>0</v>
      </c>
      <c r="P92" s="10"/>
      <c r="Q92" s="10">
        <v>0</v>
      </c>
      <c r="R92" s="10">
        <v>0</v>
      </c>
      <c r="S92" s="10">
        <f t="shared" si="18"/>
        <v>0</v>
      </c>
      <c r="T92" s="12"/>
      <c r="U92" s="5">
        <f t="shared" si="20"/>
        <v>0</v>
      </c>
      <c r="V92" s="19"/>
      <c r="W92" s="1" t="e">
        <f t="shared" si="21"/>
        <v>#DIV/0!</v>
      </c>
      <c r="X92" s="10" t="e">
        <f t="shared" si="19"/>
        <v>#DIV/0!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 t="s">
        <v>41</v>
      </c>
      <c r="AE92" s="1">
        <f t="shared" si="22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6" t="s">
        <v>128</v>
      </c>
      <c r="B93" s="1" t="s">
        <v>40</v>
      </c>
      <c r="C93" s="1"/>
      <c r="D93" s="1"/>
      <c r="E93" s="1"/>
      <c r="F93" s="1"/>
      <c r="G93" s="7">
        <v>0.3</v>
      </c>
      <c r="H93" s="1">
        <v>40</v>
      </c>
      <c r="I93" s="9" t="s">
        <v>38</v>
      </c>
      <c r="J93" s="1"/>
      <c r="K93" s="1"/>
      <c r="L93" s="1">
        <f t="shared" si="17"/>
        <v>0</v>
      </c>
      <c r="M93" s="1"/>
      <c r="N93" s="1"/>
      <c r="O93" s="1">
        <v>100</v>
      </c>
      <c r="P93" s="1"/>
      <c r="Q93" s="1">
        <v>50</v>
      </c>
      <c r="R93" s="1">
        <v>50</v>
      </c>
      <c r="S93" s="1">
        <f t="shared" si="18"/>
        <v>0</v>
      </c>
      <c r="T93" s="5"/>
      <c r="U93" s="5">
        <f t="shared" si="20"/>
        <v>0</v>
      </c>
      <c r="V93" s="18"/>
      <c r="W93" s="1" t="e">
        <f t="shared" si="21"/>
        <v>#DIV/0!</v>
      </c>
      <c r="X93" s="1" t="e">
        <f t="shared" si="19"/>
        <v>#DIV/0!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/>
      <c r="AE93" s="1">
        <f t="shared" si="22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0" t="s">
        <v>129</v>
      </c>
      <c r="B94" s="10" t="s">
        <v>40</v>
      </c>
      <c r="C94" s="10"/>
      <c r="D94" s="10"/>
      <c r="E94" s="10"/>
      <c r="F94" s="10"/>
      <c r="G94" s="11">
        <v>0</v>
      </c>
      <c r="H94" s="10"/>
      <c r="I94" s="10" t="s">
        <v>38</v>
      </c>
      <c r="J94" s="10"/>
      <c r="K94" s="10"/>
      <c r="L94" s="10">
        <f t="shared" si="17"/>
        <v>0</v>
      </c>
      <c r="M94" s="10"/>
      <c r="N94" s="10"/>
      <c r="O94" s="10">
        <v>0</v>
      </c>
      <c r="P94" s="10"/>
      <c r="Q94" s="10">
        <v>0</v>
      </c>
      <c r="R94" s="10">
        <v>0</v>
      </c>
      <c r="S94" s="10">
        <f t="shared" si="18"/>
        <v>0</v>
      </c>
      <c r="T94" s="12"/>
      <c r="U94" s="5">
        <f t="shared" si="20"/>
        <v>0</v>
      </c>
      <c r="V94" s="19"/>
      <c r="W94" s="1" t="e">
        <f t="shared" si="21"/>
        <v>#DIV/0!</v>
      </c>
      <c r="X94" s="10" t="e">
        <f t="shared" si="19"/>
        <v>#DIV/0!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 t="s">
        <v>41</v>
      </c>
      <c r="AE94" s="1">
        <f t="shared" si="22"/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6" t="s">
        <v>130</v>
      </c>
      <c r="B95" s="1" t="s">
        <v>40</v>
      </c>
      <c r="C95" s="1">
        <v>3</v>
      </c>
      <c r="D95" s="1">
        <v>10</v>
      </c>
      <c r="E95" s="1">
        <v>3</v>
      </c>
      <c r="F95" s="1"/>
      <c r="G95" s="7">
        <v>7.0000000000000007E-2</v>
      </c>
      <c r="H95" s="1">
        <v>90</v>
      </c>
      <c r="I95" s="9" t="s">
        <v>38</v>
      </c>
      <c r="J95" s="1"/>
      <c r="K95" s="1">
        <v>8</v>
      </c>
      <c r="L95" s="1">
        <f t="shared" si="17"/>
        <v>-5</v>
      </c>
      <c r="M95" s="1"/>
      <c r="N95" s="1"/>
      <c r="O95" s="1">
        <v>50</v>
      </c>
      <c r="P95" s="1"/>
      <c r="Q95" s="1">
        <v>50</v>
      </c>
      <c r="R95" s="1">
        <v>50</v>
      </c>
      <c r="S95" s="1">
        <f t="shared" si="18"/>
        <v>0.6</v>
      </c>
      <c r="T95" s="5"/>
      <c r="U95" s="5">
        <f t="shared" si="20"/>
        <v>0</v>
      </c>
      <c r="V95" s="18"/>
      <c r="W95" s="1">
        <f t="shared" si="21"/>
        <v>250</v>
      </c>
      <c r="X95" s="1">
        <f t="shared" si="19"/>
        <v>250</v>
      </c>
      <c r="Y95" s="1">
        <v>5.2</v>
      </c>
      <c r="Z95" s="1">
        <v>6</v>
      </c>
      <c r="AA95" s="1">
        <v>2</v>
      </c>
      <c r="AB95" s="1">
        <v>0.6</v>
      </c>
      <c r="AC95" s="1">
        <v>0</v>
      </c>
      <c r="AD95" s="1"/>
      <c r="AE95" s="1">
        <f t="shared" si="22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6" t="s">
        <v>131</v>
      </c>
      <c r="B96" s="1" t="s">
        <v>40</v>
      </c>
      <c r="C96" s="1">
        <v>-3</v>
      </c>
      <c r="D96" s="1">
        <v>3</v>
      </c>
      <c r="E96" s="1"/>
      <c r="F96" s="1"/>
      <c r="G96" s="7">
        <v>7.0000000000000007E-2</v>
      </c>
      <c r="H96" s="1">
        <v>90</v>
      </c>
      <c r="I96" s="9" t="s">
        <v>38</v>
      </c>
      <c r="J96" s="1"/>
      <c r="K96" s="1"/>
      <c r="L96" s="1">
        <f t="shared" si="17"/>
        <v>0</v>
      </c>
      <c r="M96" s="1"/>
      <c r="N96" s="1"/>
      <c r="O96" s="1">
        <v>40</v>
      </c>
      <c r="P96" s="1">
        <v>10</v>
      </c>
      <c r="Q96" s="1">
        <v>30</v>
      </c>
      <c r="R96" s="1">
        <v>50</v>
      </c>
      <c r="S96" s="1">
        <f t="shared" si="18"/>
        <v>0</v>
      </c>
      <c r="T96" s="5"/>
      <c r="U96" s="5">
        <f t="shared" si="20"/>
        <v>0</v>
      </c>
      <c r="V96" s="18"/>
      <c r="W96" s="1" t="e">
        <f t="shared" si="21"/>
        <v>#DIV/0!</v>
      </c>
      <c r="X96" s="1" t="e">
        <f t="shared" si="19"/>
        <v>#DIV/0!</v>
      </c>
      <c r="Y96" s="1">
        <v>0</v>
      </c>
      <c r="Z96" s="1">
        <v>0</v>
      </c>
      <c r="AA96" s="1">
        <v>0.6</v>
      </c>
      <c r="AB96" s="1">
        <v>0.6</v>
      </c>
      <c r="AC96" s="1">
        <v>0</v>
      </c>
      <c r="AD96" s="1"/>
      <c r="AE96" s="1">
        <f t="shared" si="22"/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132</v>
      </c>
      <c r="B97" s="1" t="s">
        <v>40</v>
      </c>
      <c r="C97" s="1">
        <v>49</v>
      </c>
      <c r="D97" s="1">
        <v>6</v>
      </c>
      <c r="E97" s="1">
        <v>44</v>
      </c>
      <c r="F97" s="1">
        <v>7</v>
      </c>
      <c r="G97" s="7">
        <v>7.0000000000000007E-2</v>
      </c>
      <c r="H97" s="1">
        <v>90</v>
      </c>
      <c r="I97" s="1" t="s">
        <v>34</v>
      </c>
      <c r="J97" s="1"/>
      <c r="K97" s="1">
        <v>50</v>
      </c>
      <c r="L97" s="1">
        <f t="shared" si="17"/>
        <v>-6</v>
      </c>
      <c r="M97" s="1"/>
      <c r="N97" s="1"/>
      <c r="O97" s="1">
        <v>0</v>
      </c>
      <c r="P97" s="1">
        <v>10</v>
      </c>
      <c r="Q97" s="1">
        <v>50</v>
      </c>
      <c r="R97" s="1">
        <v>60</v>
      </c>
      <c r="S97" s="1">
        <f t="shared" si="18"/>
        <v>8.8000000000000007</v>
      </c>
      <c r="T97" s="5"/>
      <c r="U97" s="5">
        <f t="shared" si="20"/>
        <v>0</v>
      </c>
      <c r="V97" s="18"/>
      <c r="W97" s="1">
        <f t="shared" si="21"/>
        <v>14.43181818181818</v>
      </c>
      <c r="X97" s="1">
        <f t="shared" si="19"/>
        <v>14.43181818181818</v>
      </c>
      <c r="Y97" s="1">
        <v>11</v>
      </c>
      <c r="Z97" s="1">
        <v>5.6</v>
      </c>
      <c r="AA97" s="1">
        <v>3.8</v>
      </c>
      <c r="AB97" s="1">
        <v>2.6</v>
      </c>
      <c r="AC97" s="1">
        <v>0.8</v>
      </c>
      <c r="AD97" s="1"/>
      <c r="AE97" s="1">
        <f t="shared" si="22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133</v>
      </c>
      <c r="B98" s="1" t="s">
        <v>40</v>
      </c>
      <c r="C98" s="1">
        <v>28</v>
      </c>
      <c r="D98" s="1">
        <v>1</v>
      </c>
      <c r="E98" s="1">
        <v>20</v>
      </c>
      <c r="F98" s="1">
        <v>8</v>
      </c>
      <c r="G98" s="7">
        <v>0.3</v>
      </c>
      <c r="H98" s="1"/>
      <c r="I98" s="1" t="s">
        <v>34</v>
      </c>
      <c r="J98" s="1"/>
      <c r="K98" s="1">
        <v>20</v>
      </c>
      <c r="L98" s="1">
        <f t="shared" si="17"/>
        <v>0</v>
      </c>
      <c r="M98" s="1"/>
      <c r="N98" s="1"/>
      <c r="O98" s="1">
        <v>20</v>
      </c>
      <c r="P98" s="1">
        <v>20</v>
      </c>
      <c r="Q98" s="1">
        <v>0</v>
      </c>
      <c r="R98" s="1">
        <v>16.599999999999991</v>
      </c>
      <c r="S98" s="1">
        <f t="shared" si="18"/>
        <v>4</v>
      </c>
      <c r="T98" s="5"/>
      <c r="U98" s="5">
        <f t="shared" si="20"/>
        <v>0</v>
      </c>
      <c r="V98" s="18"/>
      <c r="W98" s="1">
        <f t="shared" si="21"/>
        <v>16.149999999999999</v>
      </c>
      <c r="X98" s="1">
        <f t="shared" si="19"/>
        <v>16.149999999999999</v>
      </c>
      <c r="Y98" s="1">
        <v>5.8</v>
      </c>
      <c r="Z98" s="1">
        <v>4.8</v>
      </c>
      <c r="AA98" s="1">
        <v>6</v>
      </c>
      <c r="AB98" s="1">
        <v>4</v>
      </c>
      <c r="AC98" s="1">
        <v>0</v>
      </c>
      <c r="AD98" s="1"/>
      <c r="AE98" s="1">
        <f t="shared" si="22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0" t="s">
        <v>134</v>
      </c>
      <c r="B99" s="10" t="s">
        <v>33</v>
      </c>
      <c r="C99" s="10">
        <v>2.681</v>
      </c>
      <c r="D99" s="10">
        <v>1.675</v>
      </c>
      <c r="E99" s="13">
        <f>4.356+E124</f>
        <v>9.7259999999999991</v>
      </c>
      <c r="F99" s="13">
        <f>0+F124</f>
        <v>11.631</v>
      </c>
      <c r="G99" s="11">
        <v>0</v>
      </c>
      <c r="H99" s="10">
        <v>55</v>
      </c>
      <c r="I99" s="10" t="s">
        <v>135</v>
      </c>
      <c r="J99" s="10"/>
      <c r="K99" s="10">
        <v>5.2</v>
      </c>
      <c r="L99" s="10">
        <f t="shared" si="17"/>
        <v>4.5259999999999989</v>
      </c>
      <c r="M99" s="10"/>
      <c r="N99" s="10"/>
      <c r="O99" s="10">
        <v>0</v>
      </c>
      <c r="P99" s="10">
        <v>20.95419999999999</v>
      </c>
      <c r="Q99" s="10">
        <v>0</v>
      </c>
      <c r="R99" s="10">
        <v>0</v>
      </c>
      <c r="S99" s="10">
        <f t="shared" si="18"/>
        <v>1.9451999999999998</v>
      </c>
      <c r="T99" s="12"/>
      <c r="U99" s="5">
        <f t="shared" si="20"/>
        <v>0</v>
      </c>
      <c r="V99" s="19"/>
      <c r="W99" s="1">
        <f t="shared" si="21"/>
        <v>16.751593666461027</v>
      </c>
      <c r="X99" s="10">
        <f t="shared" si="19"/>
        <v>16.751593666461027</v>
      </c>
      <c r="Y99" s="10">
        <v>1.4776</v>
      </c>
      <c r="Z99" s="10">
        <v>3.1019999999999999</v>
      </c>
      <c r="AA99" s="10">
        <v>3.3056000000000001</v>
      </c>
      <c r="AB99" s="10">
        <v>1.2108000000000001</v>
      </c>
      <c r="AC99" s="10">
        <v>0.40079999999999999</v>
      </c>
      <c r="AD99" s="10" t="s">
        <v>36</v>
      </c>
      <c r="AE99" s="1">
        <f t="shared" si="22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136</v>
      </c>
      <c r="B100" s="1" t="s">
        <v>40</v>
      </c>
      <c r="C100" s="1">
        <v>75</v>
      </c>
      <c r="D100" s="1">
        <v>27</v>
      </c>
      <c r="E100" s="1">
        <v>1</v>
      </c>
      <c r="F100" s="1">
        <v>65</v>
      </c>
      <c r="G100" s="7">
        <v>0.11</v>
      </c>
      <c r="H100" s="1">
        <v>30</v>
      </c>
      <c r="I100" s="1" t="s">
        <v>34</v>
      </c>
      <c r="J100" s="1"/>
      <c r="K100" s="1">
        <v>51</v>
      </c>
      <c r="L100" s="1">
        <f t="shared" si="17"/>
        <v>-50</v>
      </c>
      <c r="M100" s="1"/>
      <c r="N100" s="1"/>
      <c r="O100" s="1">
        <v>0</v>
      </c>
      <c r="P100" s="1"/>
      <c r="Q100" s="1">
        <v>0</v>
      </c>
      <c r="R100" s="1">
        <v>0</v>
      </c>
      <c r="S100" s="1">
        <f t="shared" si="18"/>
        <v>0.2</v>
      </c>
      <c r="T100" s="5"/>
      <c r="U100" s="5">
        <f t="shared" si="20"/>
        <v>0</v>
      </c>
      <c r="V100" s="18"/>
      <c r="W100" s="1">
        <f t="shared" si="21"/>
        <v>325</v>
      </c>
      <c r="X100" s="1">
        <f t="shared" si="19"/>
        <v>325</v>
      </c>
      <c r="Y100" s="1">
        <v>0.2</v>
      </c>
      <c r="Z100" s="1">
        <v>4.2</v>
      </c>
      <c r="AA100" s="1">
        <v>4</v>
      </c>
      <c r="AB100" s="1">
        <v>2</v>
      </c>
      <c r="AC100" s="1">
        <v>2</v>
      </c>
      <c r="AD100" s="15" t="s">
        <v>56</v>
      </c>
      <c r="AE100" s="1">
        <f t="shared" si="22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0" t="s">
        <v>137</v>
      </c>
      <c r="B101" s="10" t="s">
        <v>40</v>
      </c>
      <c r="C101" s="10"/>
      <c r="D101" s="10"/>
      <c r="E101" s="10"/>
      <c r="F101" s="10"/>
      <c r="G101" s="11">
        <v>0</v>
      </c>
      <c r="H101" s="10"/>
      <c r="I101" s="10" t="s">
        <v>34</v>
      </c>
      <c r="J101" s="10"/>
      <c r="K101" s="10"/>
      <c r="L101" s="10">
        <f t="shared" ref="L101:L130" si="27">E101-K101</f>
        <v>0</v>
      </c>
      <c r="M101" s="10"/>
      <c r="N101" s="10"/>
      <c r="O101" s="10">
        <v>0</v>
      </c>
      <c r="P101" s="10"/>
      <c r="Q101" s="10">
        <v>0</v>
      </c>
      <c r="R101" s="10">
        <v>0</v>
      </c>
      <c r="S101" s="10">
        <f t="shared" ref="S101:S130" si="28">E101/5</f>
        <v>0</v>
      </c>
      <c r="T101" s="12"/>
      <c r="U101" s="5">
        <f t="shared" si="20"/>
        <v>0</v>
      </c>
      <c r="V101" s="19"/>
      <c r="W101" s="1" t="e">
        <f t="shared" si="21"/>
        <v>#DIV/0!</v>
      </c>
      <c r="X101" s="10" t="e">
        <f t="shared" ref="X101:X130" si="29">(F101+O101+P101+Q101+R101)/S101</f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 t="s">
        <v>41</v>
      </c>
      <c r="AE101" s="1">
        <f t="shared" si="22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138</v>
      </c>
      <c r="B102" s="1" t="s">
        <v>40</v>
      </c>
      <c r="C102" s="1">
        <v>23</v>
      </c>
      <c r="D102" s="1">
        <v>51</v>
      </c>
      <c r="E102" s="1">
        <v>55</v>
      </c>
      <c r="F102" s="1">
        <v>6</v>
      </c>
      <c r="G102" s="7">
        <v>0.08</v>
      </c>
      <c r="H102" s="1">
        <v>45</v>
      </c>
      <c r="I102" s="1" t="s">
        <v>34</v>
      </c>
      <c r="J102" s="1"/>
      <c r="K102" s="1">
        <v>71</v>
      </c>
      <c r="L102" s="1">
        <f t="shared" si="27"/>
        <v>-16</v>
      </c>
      <c r="M102" s="1"/>
      <c r="N102" s="1"/>
      <c r="O102" s="1">
        <v>30</v>
      </c>
      <c r="P102" s="1"/>
      <c r="Q102" s="1">
        <v>50</v>
      </c>
      <c r="R102" s="1">
        <v>0</v>
      </c>
      <c r="S102" s="1">
        <f t="shared" si="28"/>
        <v>11</v>
      </c>
      <c r="T102" s="5">
        <f t="shared" ref="T102" si="30">11*S102-R102-Q102-P102-O102-F102</f>
        <v>35</v>
      </c>
      <c r="U102" s="5">
        <f>T102+S102*$U$1</f>
        <v>57</v>
      </c>
      <c r="V102" s="18"/>
      <c r="W102" s="1">
        <f t="shared" si="21"/>
        <v>13</v>
      </c>
      <c r="X102" s="1">
        <f t="shared" si="29"/>
        <v>7.8181818181818183</v>
      </c>
      <c r="Y102" s="1">
        <v>8.1999999999999993</v>
      </c>
      <c r="Z102" s="1">
        <v>3.4</v>
      </c>
      <c r="AA102" s="1">
        <v>0</v>
      </c>
      <c r="AB102" s="1">
        <v>0</v>
      </c>
      <c r="AC102" s="1">
        <v>-0.2</v>
      </c>
      <c r="AD102" s="1"/>
      <c r="AE102" s="1">
        <f t="shared" si="22"/>
        <v>5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139</v>
      </c>
      <c r="B103" s="1" t="s">
        <v>40</v>
      </c>
      <c r="C103" s="1">
        <v>53</v>
      </c>
      <c r="D103" s="1">
        <v>11</v>
      </c>
      <c r="E103" s="1">
        <v>41</v>
      </c>
      <c r="F103" s="1">
        <v>-2</v>
      </c>
      <c r="G103" s="7">
        <v>0.08</v>
      </c>
      <c r="H103" s="1">
        <v>45</v>
      </c>
      <c r="I103" s="1" t="s">
        <v>34</v>
      </c>
      <c r="J103" s="1"/>
      <c r="K103" s="1">
        <v>93</v>
      </c>
      <c r="L103" s="1">
        <f t="shared" si="27"/>
        <v>-52</v>
      </c>
      <c r="M103" s="1"/>
      <c r="N103" s="1"/>
      <c r="O103" s="1">
        <v>0</v>
      </c>
      <c r="P103" s="1">
        <v>5.7756838905775041</v>
      </c>
      <c r="Q103" s="1">
        <v>61.624316109422487</v>
      </c>
      <c r="R103" s="1">
        <v>78.400000000000006</v>
      </c>
      <c r="S103" s="1">
        <f t="shared" si="28"/>
        <v>8.1999999999999993</v>
      </c>
      <c r="T103" s="5"/>
      <c r="U103" s="5">
        <f t="shared" si="20"/>
        <v>0</v>
      </c>
      <c r="V103" s="18"/>
      <c r="W103" s="1">
        <f t="shared" si="21"/>
        <v>17.536585365853661</v>
      </c>
      <c r="X103" s="1">
        <f t="shared" si="29"/>
        <v>17.536585365853661</v>
      </c>
      <c r="Y103" s="1">
        <v>13.4</v>
      </c>
      <c r="Z103" s="1">
        <v>9.4</v>
      </c>
      <c r="AA103" s="1">
        <v>6.8</v>
      </c>
      <c r="AB103" s="1">
        <v>4</v>
      </c>
      <c r="AC103" s="1">
        <v>1</v>
      </c>
      <c r="AD103" s="1"/>
      <c r="AE103" s="1">
        <f t="shared" si="22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6" t="s">
        <v>140</v>
      </c>
      <c r="B104" s="1" t="s">
        <v>40</v>
      </c>
      <c r="C104" s="1">
        <v>24</v>
      </c>
      <c r="D104" s="1">
        <v>34</v>
      </c>
      <c r="E104" s="1">
        <v>11</v>
      </c>
      <c r="F104" s="1">
        <v>31</v>
      </c>
      <c r="G104" s="7">
        <v>0.17</v>
      </c>
      <c r="H104" s="1">
        <v>30</v>
      </c>
      <c r="I104" s="9" t="s">
        <v>38</v>
      </c>
      <c r="J104" s="1"/>
      <c r="K104" s="1">
        <v>11</v>
      </c>
      <c r="L104" s="1">
        <f t="shared" si="27"/>
        <v>0</v>
      </c>
      <c r="M104" s="1"/>
      <c r="N104" s="1"/>
      <c r="O104" s="1">
        <v>0</v>
      </c>
      <c r="P104" s="1"/>
      <c r="Q104" s="1">
        <v>0</v>
      </c>
      <c r="R104" s="1">
        <v>0</v>
      </c>
      <c r="S104" s="1">
        <f t="shared" si="28"/>
        <v>2.2000000000000002</v>
      </c>
      <c r="T104" s="5"/>
      <c r="U104" s="5">
        <f t="shared" si="20"/>
        <v>0</v>
      </c>
      <c r="V104" s="18"/>
      <c r="W104" s="1">
        <f t="shared" si="21"/>
        <v>14.09090909090909</v>
      </c>
      <c r="X104" s="1">
        <f t="shared" si="29"/>
        <v>14.09090909090909</v>
      </c>
      <c r="Y104" s="1">
        <v>2</v>
      </c>
      <c r="Z104" s="1">
        <v>0</v>
      </c>
      <c r="AA104" s="1">
        <v>0</v>
      </c>
      <c r="AB104" s="1">
        <v>0</v>
      </c>
      <c r="AC104" s="1">
        <v>0</v>
      </c>
      <c r="AD104" s="1"/>
      <c r="AE104" s="1">
        <f t="shared" si="22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6" t="s">
        <v>141</v>
      </c>
      <c r="B105" s="1" t="s">
        <v>33</v>
      </c>
      <c r="C105" s="1">
        <v>11.523</v>
      </c>
      <c r="D105" s="1">
        <v>30.349</v>
      </c>
      <c r="E105" s="1">
        <v>31.071999999999999</v>
      </c>
      <c r="F105" s="1"/>
      <c r="G105" s="7">
        <v>1</v>
      </c>
      <c r="H105" s="1">
        <v>40</v>
      </c>
      <c r="I105" s="9" t="s">
        <v>38</v>
      </c>
      <c r="J105" s="1"/>
      <c r="K105" s="1">
        <v>33.4</v>
      </c>
      <c r="L105" s="1">
        <f t="shared" si="27"/>
        <v>-2.3279999999999994</v>
      </c>
      <c r="M105" s="1"/>
      <c r="N105" s="1"/>
      <c r="O105" s="1">
        <v>200</v>
      </c>
      <c r="P105" s="1"/>
      <c r="Q105" s="1">
        <v>20</v>
      </c>
      <c r="R105" s="1">
        <v>40</v>
      </c>
      <c r="S105" s="1">
        <f t="shared" si="28"/>
        <v>6.2143999999999995</v>
      </c>
      <c r="T105" s="5"/>
      <c r="U105" s="5">
        <f t="shared" si="20"/>
        <v>0</v>
      </c>
      <c r="V105" s="18"/>
      <c r="W105" s="1">
        <f t="shared" si="21"/>
        <v>41.838311019567463</v>
      </c>
      <c r="X105" s="1">
        <f t="shared" si="29"/>
        <v>41.838311019567463</v>
      </c>
      <c r="Y105" s="1">
        <v>6.7900000000000009</v>
      </c>
      <c r="Z105" s="1">
        <v>2.7458</v>
      </c>
      <c r="AA105" s="1">
        <v>0</v>
      </c>
      <c r="AB105" s="1">
        <v>0</v>
      </c>
      <c r="AC105" s="1">
        <v>0</v>
      </c>
      <c r="AD105" s="1"/>
      <c r="AE105" s="1">
        <f t="shared" si="22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6" t="s">
        <v>142</v>
      </c>
      <c r="B106" s="1" t="s">
        <v>33</v>
      </c>
      <c r="C106" s="1">
        <v>179.922</v>
      </c>
      <c r="D106" s="1">
        <v>7.1879999999999997</v>
      </c>
      <c r="E106" s="1">
        <v>87.387</v>
      </c>
      <c r="F106" s="1">
        <v>93.816999999999993</v>
      </c>
      <c r="G106" s="7">
        <v>1</v>
      </c>
      <c r="H106" s="1">
        <v>40</v>
      </c>
      <c r="I106" s="9" t="s">
        <v>38</v>
      </c>
      <c r="J106" s="1"/>
      <c r="K106" s="1">
        <v>87.436000000000007</v>
      </c>
      <c r="L106" s="1">
        <f t="shared" si="27"/>
        <v>-4.9000000000006594E-2</v>
      </c>
      <c r="M106" s="1"/>
      <c r="N106" s="1"/>
      <c r="O106" s="1">
        <v>0</v>
      </c>
      <c r="P106" s="1"/>
      <c r="Q106" s="1">
        <v>70</v>
      </c>
      <c r="R106" s="1">
        <v>60</v>
      </c>
      <c r="S106" s="1">
        <f t="shared" si="28"/>
        <v>17.477399999999999</v>
      </c>
      <c r="T106" s="5"/>
      <c r="U106" s="5">
        <f t="shared" si="20"/>
        <v>0</v>
      </c>
      <c r="V106" s="18"/>
      <c r="W106" s="1">
        <f t="shared" si="21"/>
        <v>12.806080996029159</v>
      </c>
      <c r="X106" s="1">
        <f t="shared" si="29"/>
        <v>12.806080996029159</v>
      </c>
      <c r="Y106" s="1">
        <v>11.980600000000001</v>
      </c>
      <c r="Z106" s="1">
        <v>12.179600000000001</v>
      </c>
      <c r="AA106" s="1">
        <v>7.9207999999999998</v>
      </c>
      <c r="AB106" s="1">
        <v>2.3073999999999999</v>
      </c>
      <c r="AC106" s="1">
        <v>0</v>
      </c>
      <c r="AD106" s="1"/>
      <c r="AE106" s="1">
        <f t="shared" si="22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6" t="s">
        <v>143</v>
      </c>
      <c r="B107" s="1" t="s">
        <v>33</v>
      </c>
      <c r="C107" s="1"/>
      <c r="D107" s="1">
        <v>7.1050000000000004</v>
      </c>
      <c r="E107" s="1">
        <v>6.3890000000000002</v>
      </c>
      <c r="F107" s="1"/>
      <c r="G107" s="7">
        <v>1</v>
      </c>
      <c r="H107" s="1">
        <v>40</v>
      </c>
      <c r="I107" s="9" t="s">
        <v>38</v>
      </c>
      <c r="J107" s="1"/>
      <c r="K107" s="1">
        <v>16.600000000000001</v>
      </c>
      <c r="L107" s="1">
        <f t="shared" si="27"/>
        <v>-10.211000000000002</v>
      </c>
      <c r="M107" s="1"/>
      <c r="N107" s="1"/>
      <c r="O107" s="1">
        <v>200</v>
      </c>
      <c r="P107" s="1"/>
      <c r="Q107" s="1">
        <v>70</v>
      </c>
      <c r="R107" s="1">
        <v>80</v>
      </c>
      <c r="S107" s="1">
        <f t="shared" si="28"/>
        <v>1.2778</v>
      </c>
      <c r="T107" s="5"/>
      <c r="U107" s="5">
        <f t="shared" si="20"/>
        <v>0</v>
      </c>
      <c r="V107" s="18"/>
      <c r="W107" s="1">
        <f t="shared" si="21"/>
        <v>273.90827985600248</v>
      </c>
      <c r="X107" s="1">
        <f t="shared" si="29"/>
        <v>273.90827985600248</v>
      </c>
      <c r="Y107" s="1">
        <v>0.2828</v>
      </c>
      <c r="Z107" s="1">
        <v>0</v>
      </c>
      <c r="AA107" s="1">
        <v>0</v>
      </c>
      <c r="AB107" s="1">
        <v>0</v>
      </c>
      <c r="AC107" s="1">
        <v>-0.14399999999999999</v>
      </c>
      <c r="AD107" s="1"/>
      <c r="AE107" s="1">
        <f t="shared" si="22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0" t="s">
        <v>144</v>
      </c>
      <c r="B108" s="10" t="s">
        <v>40</v>
      </c>
      <c r="C108" s="10"/>
      <c r="D108" s="10"/>
      <c r="E108" s="10"/>
      <c r="F108" s="10"/>
      <c r="G108" s="11">
        <v>0</v>
      </c>
      <c r="H108" s="10"/>
      <c r="I108" s="10" t="s">
        <v>34</v>
      </c>
      <c r="J108" s="10"/>
      <c r="K108" s="10"/>
      <c r="L108" s="10">
        <f t="shared" si="27"/>
        <v>0</v>
      </c>
      <c r="M108" s="10"/>
      <c r="N108" s="10"/>
      <c r="O108" s="10">
        <v>0</v>
      </c>
      <c r="P108" s="10"/>
      <c r="Q108" s="10">
        <v>0</v>
      </c>
      <c r="R108" s="10">
        <v>0</v>
      </c>
      <c r="S108" s="10">
        <f t="shared" si="28"/>
        <v>0</v>
      </c>
      <c r="T108" s="12"/>
      <c r="U108" s="5">
        <f t="shared" si="20"/>
        <v>0</v>
      </c>
      <c r="V108" s="19"/>
      <c r="W108" s="1" t="e">
        <f t="shared" si="21"/>
        <v>#DIV/0!</v>
      </c>
      <c r="X108" s="10" t="e">
        <f t="shared" si="29"/>
        <v>#DIV/0!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 t="s">
        <v>145</v>
      </c>
      <c r="AE108" s="1">
        <f t="shared" si="22"/>
        <v>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6" t="s">
        <v>146</v>
      </c>
      <c r="B109" s="1" t="s">
        <v>40</v>
      </c>
      <c r="C109" s="1">
        <v>71</v>
      </c>
      <c r="D109" s="1">
        <v>3</v>
      </c>
      <c r="E109" s="1">
        <v>68</v>
      </c>
      <c r="F109" s="1">
        <v>-1</v>
      </c>
      <c r="G109" s="7">
        <v>0.28000000000000003</v>
      </c>
      <c r="H109" s="1">
        <v>40</v>
      </c>
      <c r="I109" s="9" t="s">
        <v>38</v>
      </c>
      <c r="J109" s="1"/>
      <c r="K109" s="1">
        <v>95</v>
      </c>
      <c r="L109" s="1">
        <f t="shared" si="27"/>
        <v>-27</v>
      </c>
      <c r="M109" s="1"/>
      <c r="N109" s="1"/>
      <c r="O109" s="1">
        <v>150</v>
      </c>
      <c r="P109" s="1"/>
      <c r="Q109" s="1">
        <v>30</v>
      </c>
      <c r="R109" s="1">
        <v>80</v>
      </c>
      <c r="S109" s="1">
        <f t="shared" si="28"/>
        <v>13.6</v>
      </c>
      <c r="T109" s="5"/>
      <c r="U109" s="5">
        <f t="shared" si="20"/>
        <v>0</v>
      </c>
      <c r="V109" s="18"/>
      <c r="W109" s="1">
        <f t="shared" si="21"/>
        <v>19.044117647058822</v>
      </c>
      <c r="X109" s="1">
        <f t="shared" si="29"/>
        <v>19.044117647058822</v>
      </c>
      <c r="Y109" s="1">
        <v>14.8</v>
      </c>
      <c r="Z109" s="1">
        <v>1.4</v>
      </c>
      <c r="AA109" s="1">
        <v>0</v>
      </c>
      <c r="AB109" s="1">
        <v>0</v>
      </c>
      <c r="AC109" s="1">
        <v>-0.4</v>
      </c>
      <c r="AD109" s="1"/>
      <c r="AE109" s="1">
        <f t="shared" si="22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6" t="s">
        <v>147</v>
      </c>
      <c r="B110" s="1" t="s">
        <v>40</v>
      </c>
      <c r="C110" s="1">
        <v>115</v>
      </c>
      <c r="D110" s="1">
        <v>12</v>
      </c>
      <c r="E110" s="1">
        <v>75</v>
      </c>
      <c r="F110" s="1">
        <v>41</v>
      </c>
      <c r="G110" s="7">
        <v>0.28000000000000003</v>
      </c>
      <c r="H110" s="1">
        <v>40</v>
      </c>
      <c r="I110" s="9" t="s">
        <v>38</v>
      </c>
      <c r="J110" s="1"/>
      <c r="K110" s="1">
        <v>115</v>
      </c>
      <c r="L110" s="1">
        <f t="shared" si="27"/>
        <v>-40</v>
      </c>
      <c r="M110" s="1"/>
      <c r="N110" s="1"/>
      <c r="O110" s="1">
        <v>0</v>
      </c>
      <c r="P110" s="1"/>
      <c r="Q110" s="1">
        <v>150</v>
      </c>
      <c r="R110" s="1">
        <v>0</v>
      </c>
      <c r="S110" s="1">
        <f t="shared" si="28"/>
        <v>15</v>
      </c>
      <c r="T110" s="5">
        <v>30</v>
      </c>
      <c r="U110" s="5">
        <f t="shared" si="20"/>
        <v>30</v>
      </c>
      <c r="V110" s="18"/>
      <c r="W110" s="1">
        <f t="shared" si="21"/>
        <v>14.733333333333333</v>
      </c>
      <c r="X110" s="1">
        <f t="shared" si="29"/>
        <v>12.733333333333333</v>
      </c>
      <c r="Y110" s="1">
        <v>16.2</v>
      </c>
      <c r="Z110" s="1">
        <v>26</v>
      </c>
      <c r="AA110" s="1">
        <v>15.2</v>
      </c>
      <c r="AB110" s="1">
        <v>1.2</v>
      </c>
      <c r="AC110" s="1">
        <v>0</v>
      </c>
      <c r="AD110" s="1"/>
      <c r="AE110" s="1">
        <f t="shared" si="22"/>
        <v>8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6" t="s">
        <v>148</v>
      </c>
      <c r="B111" s="1" t="s">
        <v>40</v>
      </c>
      <c r="C111" s="1"/>
      <c r="D111" s="1"/>
      <c r="E111" s="1"/>
      <c r="F111" s="1"/>
      <c r="G111" s="7">
        <v>0.28000000000000003</v>
      </c>
      <c r="H111" s="1">
        <v>40</v>
      </c>
      <c r="I111" s="9" t="s">
        <v>38</v>
      </c>
      <c r="J111" s="1"/>
      <c r="K111" s="1">
        <v>78</v>
      </c>
      <c r="L111" s="1">
        <f t="shared" si="27"/>
        <v>-78</v>
      </c>
      <c r="M111" s="1"/>
      <c r="N111" s="1"/>
      <c r="O111" s="1">
        <v>150</v>
      </c>
      <c r="P111" s="1"/>
      <c r="Q111" s="1">
        <v>200</v>
      </c>
      <c r="R111" s="1">
        <v>50</v>
      </c>
      <c r="S111" s="1">
        <f t="shared" si="28"/>
        <v>0</v>
      </c>
      <c r="T111" s="5"/>
      <c r="U111" s="5">
        <f t="shared" si="20"/>
        <v>0</v>
      </c>
      <c r="V111" s="18"/>
      <c r="W111" s="1" t="e">
        <f t="shared" si="21"/>
        <v>#DIV/0!</v>
      </c>
      <c r="X111" s="1" t="e">
        <f t="shared" si="29"/>
        <v>#DIV/0!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/>
      <c r="AE111" s="1">
        <f t="shared" si="22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149</v>
      </c>
      <c r="B112" s="1" t="s">
        <v>40</v>
      </c>
      <c r="C112" s="1">
        <v>27</v>
      </c>
      <c r="D112" s="1">
        <v>22</v>
      </c>
      <c r="E112" s="1">
        <v>16</v>
      </c>
      <c r="F112" s="1">
        <v>23</v>
      </c>
      <c r="G112" s="7">
        <v>0.09</v>
      </c>
      <c r="H112" s="1">
        <v>45</v>
      </c>
      <c r="I112" s="1" t="s">
        <v>34</v>
      </c>
      <c r="J112" s="1"/>
      <c r="K112" s="1">
        <v>16</v>
      </c>
      <c r="L112" s="1">
        <f t="shared" si="27"/>
        <v>0</v>
      </c>
      <c r="M112" s="1"/>
      <c r="N112" s="1"/>
      <c r="O112" s="1">
        <v>0</v>
      </c>
      <c r="P112" s="1">
        <v>17.03347280334728</v>
      </c>
      <c r="Q112" s="1">
        <v>0</v>
      </c>
      <c r="R112" s="1">
        <v>21.366527196652729</v>
      </c>
      <c r="S112" s="1">
        <f t="shared" si="28"/>
        <v>3.2</v>
      </c>
      <c r="T112" s="5"/>
      <c r="U112" s="5">
        <f t="shared" si="20"/>
        <v>0</v>
      </c>
      <c r="V112" s="18"/>
      <c r="W112" s="1">
        <f t="shared" si="21"/>
        <v>19.1875</v>
      </c>
      <c r="X112" s="1">
        <f t="shared" si="29"/>
        <v>19.1875</v>
      </c>
      <c r="Y112" s="1">
        <v>4.2</v>
      </c>
      <c r="Z112" s="1">
        <v>3.8</v>
      </c>
      <c r="AA112" s="1">
        <v>3</v>
      </c>
      <c r="AB112" s="1">
        <v>0.8</v>
      </c>
      <c r="AC112" s="1">
        <v>0.8</v>
      </c>
      <c r="AD112" s="1"/>
      <c r="AE112" s="1">
        <f t="shared" si="22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150</v>
      </c>
      <c r="B113" s="1" t="s">
        <v>33</v>
      </c>
      <c r="C113" s="1"/>
      <c r="D113" s="1">
        <v>2.5070000000000001</v>
      </c>
      <c r="E113" s="1"/>
      <c r="F113" s="1"/>
      <c r="G113" s="7">
        <v>1</v>
      </c>
      <c r="H113" s="1">
        <v>60</v>
      </c>
      <c r="I113" s="1" t="s">
        <v>34</v>
      </c>
      <c r="J113" s="1"/>
      <c r="K113" s="1">
        <v>5</v>
      </c>
      <c r="L113" s="1">
        <f t="shared" si="27"/>
        <v>-5</v>
      </c>
      <c r="M113" s="1"/>
      <c r="N113" s="1"/>
      <c r="O113" s="1">
        <v>0</v>
      </c>
      <c r="P113" s="1">
        <v>20.856000000000002</v>
      </c>
      <c r="Q113" s="1">
        <v>50</v>
      </c>
      <c r="R113" s="1">
        <v>0</v>
      </c>
      <c r="S113" s="1">
        <f t="shared" si="28"/>
        <v>0</v>
      </c>
      <c r="T113" s="5"/>
      <c r="U113" s="5">
        <f t="shared" si="20"/>
        <v>0</v>
      </c>
      <c r="V113" s="18"/>
      <c r="W113" s="1" t="e">
        <f t="shared" si="21"/>
        <v>#DIV/0!</v>
      </c>
      <c r="X113" s="1" t="e">
        <f t="shared" si="29"/>
        <v>#DIV/0!</v>
      </c>
      <c r="Y113" s="1">
        <v>3.0287999999999999</v>
      </c>
      <c r="Z113" s="1">
        <v>5.5287999999999986</v>
      </c>
      <c r="AA113" s="1">
        <v>3</v>
      </c>
      <c r="AB113" s="1">
        <v>0.5</v>
      </c>
      <c r="AC113" s="1">
        <v>0</v>
      </c>
      <c r="AD113" s="1"/>
      <c r="AE113" s="1">
        <f t="shared" si="22"/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151</v>
      </c>
      <c r="B114" s="1" t="s">
        <v>33</v>
      </c>
      <c r="C114" s="1">
        <v>47.350999999999999</v>
      </c>
      <c r="D114" s="1">
        <v>4.9960000000000004</v>
      </c>
      <c r="E114" s="1">
        <v>12.478999999999999</v>
      </c>
      <c r="F114" s="1">
        <v>34.881</v>
      </c>
      <c r="G114" s="7">
        <v>1</v>
      </c>
      <c r="H114" s="1">
        <v>50</v>
      </c>
      <c r="I114" s="1" t="s">
        <v>34</v>
      </c>
      <c r="J114" s="1"/>
      <c r="K114" s="1">
        <v>20</v>
      </c>
      <c r="L114" s="1">
        <f t="shared" si="27"/>
        <v>-7.5210000000000008</v>
      </c>
      <c r="M114" s="1"/>
      <c r="N114" s="1"/>
      <c r="O114" s="1">
        <v>0</v>
      </c>
      <c r="P114" s="1"/>
      <c r="Q114" s="1">
        <v>0</v>
      </c>
      <c r="R114" s="1">
        <v>0</v>
      </c>
      <c r="S114" s="1">
        <f t="shared" si="28"/>
        <v>2.4958</v>
      </c>
      <c r="T114" s="5"/>
      <c r="U114" s="5">
        <f t="shared" si="20"/>
        <v>0</v>
      </c>
      <c r="V114" s="18"/>
      <c r="W114" s="1">
        <f t="shared" si="21"/>
        <v>13.975879477522238</v>
      </c>
      <c r="X114" s="1">
        <f t="shared" si="29"/>
        <v>13.975879477522238</v>
      </c>
      <c r="Y114" s="1">
        <v>0</v>
      </c>
      <c r="Z114" s="1">
        <v>2.0022000000000002</v>
      </c>
      <c r="AA114" s="1">
        <v>2.5017999999999998</v>
      </c>
      <c r="AB114" s="1">
        <v>0.49959999999999999</v>
      </c>
      <c r="AC114" s="1">
        <v>0</v>
      </c>
      <c r="AD114" s="14" t="s">
        <v>36</v>
      </c>
      <c r="AE114" s="1">
        <f t="shared" si="22"/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6" t="s">
        <v>152</v>
      </c>
      <c r="B115" s="1" t="s">
        <v>40</v>
      </c>
      <c r="C115" s="1">
        <v>18</v>
      </c>
      <c r="D115" s="1">
        <v>5</v>
      </c>
      <c r="E115" s="1">
        <v>23</v>
      </c>
      <c r="F115" s="1"/>
      <c r="G115" s="7">
        <v>0.09</v>
      </c>
      <c r="H115" s="1">
        <v>45</v>
      </c>
      <c r="I115" s="9" t="s">
        <v>38</v>
      </c>
      <c r="J115" s="1"/>
      <c r="K115" s="1">
        <v>23</v>
      </c>
      <c r="L115" s="1">
        <f t="shared" si="27"/>
        <v>0</v>
      </c>
      <c r="M115" s="1"/>
      <c r="N115" s="1"/>
      <c r="O115" s="1">
        <v>0</v>
      </c>
      <c r="P115" s="1">
        <v>10</v>
      </c>
      <c r="Q115" s="1">
        <v>0</v>
      </c>
      <c r="R115" s="1">
        <v>35</v>
      </c>
      <c r="S115" s="1">
        <f t="shared" si="28"/>
        <v>4.5999999999999996</v>
      </c>
      <c r="T115" s="5">
        <f t="shared" ref="T115:T118" si="31">11*S115-R115-Q115-P115-O115-F115</f>
        <v>5.5999999999999943</v>
      </c>
      <c r="U115" s="5">
        <f>T115+S115*$U$1</f>
        <v>14.799999999999994</v>
      </c>
      <c r="V115" s="18"/>
      <c r="W115" s="1">
        <f t="shared" si="21"/>
        <v>13</v>
      </c>
      <c r="X115" s="1">
        <f t="shared" si="29"/>
        <v>9.7826086956521738</v>
      </c>
      <c r="Y115" s="1">
        <v>5</v>
      </c>
      <c r="Z115" s="1">
        <v>2.2000000000000002</v>
      </c>
      <c r="AA115" s="1">
        <v>1.8</v>
      </c>
      <c r="AB115" s="1">
        <v>4.2</v>
      </c>
      <c r="AC115" s="1">
        <v>4.5999999999999996</v>
      </c>
      <c r="AD115" s="1"/>
      <c r="AE115" s="1">
        <f t="shared" si="22"/>
        <v>1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153</v>
      </c>
      <c r="B116" s="1" t="s">
        <v>40</v>
      </c>
      <c r="C116" s="1">
        <v>9</v>
      </c>
      <c r="D116" s="1">
        <v>3</v>
      </c>
      <c r="E116" s="1">
        <v>12</v>
      </c>
      <c r="F116" s="1"/>
      <c r="G116" s="7">
        <v>0.09</v>
      </c>
      <c r="H116" s="1">
        <v>45</v>
      </c>
      <c r="I116" s="1" t="s">
        <v>34</v>
      </c>
      <c r="J116" s="1"/>
      <c r="K116" s="1">
        <v>13</v>
      </c>
      <c r="L116" s="1">
        <f t="shared" si="27"/>
        <v>-1</v>
      </c>
      <c r="M116" s="1"/>
      <c r="N116" s="1"/>
      <c r="O116" s="1">
        <v>0</v>
      </c>
      <c r="P116" s="1">
        <v>13.06829268292682</v>
      </c>
      <c r="Q116" s="1">
        <v>24.93170731707318</v>
      </c>
      <c r="R116" s="1">
        <v>8</v>
      </c>
      <c r="S116" s="1">
        <f t="shared" si="28"/>
        <v>2.4</v>
      </c>
      <c r="T116" s="5"/>
      <c r="U116" s="5">
        <f t="shared" si="20"/>
        <v>0</v>
      </c>
      <c r="V116" s="18"/>
      <c r="W116" s="1">
        <f t="shared" si="21"/>
        <v>19.166666666666668</v>
      </c>
      <c r="X116" s="1">
        <f t="shared" si="29"/>
        <v>19.166666666666668</v>
      </c>
      <c r="Y116" s="1">
        <v>3.2</v>
      </c>
      <c r="Z116" s="1">
        <v>4</v>
      </c>
      <c r="AA116" s="1">
        <v>2.8</v>
      </c>
      <c r="AB116" s="1">
        <v>0.2</v>
      </c>
      <c r="AC116" s="1">
        <v>0.6</v>
      </c>
      <c r="AD116" s="1"/>
      <c r="AE116" s="1">
        <f t="shared" si="22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6" t="s">
        <v>154</v>
      </c>
      <c r="B117" s="1" t="s">
        <v>33</v>
      </c>
      <c r="C117" s="1">
        <v>38.505000000000003</v>
      </c>
      <c r="D117" s="1">
        <v>8.0709999999999997</v>
      </c>
      <c r="E117" s="1">
        <v>24.721</v>
      </c>
      <c r="F117" s="1">
        <v>12.36</v>
      </c>
      <c r="G117" s="7">
        <v>1</v>
      </c>
      <c r="H117" s="1">
        <v>60</v>
      </c>
      <c r="I117" s="9" t="s">
        <v>38</v>
      </c>
      <c r="J117" s="1"/>
      <c r="K117" s="1">
        <v>24.5</v>
      </c>
      <c r="L117" s="1">
        <f t="shared" si="27"/>
        <v>0.22100000000000009</v>
      </c>
      <c r="M117" s="1"/>
      <c r="N117" s="1"/>
      <c r="O117" s="1">
        <v>50</v>
      </c>
      <c r="P117" s="1"/>
      <c r="Q117" s="1"/>
      <c r="R117" s="1">
        <v>0</v>
      </c>
      <c r="S117" s="1">
        <f t="shared" si="28"/>
        <v>4.9442000000000004</v>
      </c>
      <c r="T117" s="5"/>
      <c r="U117" s="5">
        <f t="shared" si="20"/>
        <v>0</v>
      </c>
      <c r="V117" s="18"/>
      <c r="W117" s="1">
        <f t="shared" si="21"/>
        <v>12.612758383560534</v>
      </c>
      <c r="X117" s="1">
        <f t="shared" si="29"/>
        <v>12.612758383560534</v>
      </c>
      <c r="Y117" s="1">
        <v>4.3916000000000004</v>
      </c>
      <c r="Z117" s="1">
        <v>2.4704000000000002</v>
      </c>
      <c r="AA117" s="1">
        <v>2.1956000000000002</v>
      </c>
      <c r="AB117" s="1">
        <v>2.9826000000000001</v>
      </c>
      <c r="AC117" s="1">
        <v>2.9758</v>
      </c>
      <c r="AD117" s="1"/>
      <c r="AE117" s="1">
        <f t="shared" si="22"/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155</v>
      </c>
      <c r="B118" s="1" t="s">
        <v>33</v>
      </c>
      <c r="C118" s="1">
        <v>135.35599999999999</v>
      </c>
      <c r="D118" s="1">
        <v>40.985999999999997</v>
      </c>
      <c r="E118" s="1">
        <v>71.287000000000006</v>
      </c>
      <c r="F118" s="1">
        <v>66.084999999999994</v>
      </c>
      <c r="G118" s="7">
        <v>1</v>
      </c>
      <c r="H118" s="1">
        <v>60</v>
      </c>
      <c r="I118" s="1" t="s">
        <v>34</v>
      </c>
      <c r="J118" s="1"/>
      <c r="K118" s="1">
        <v>70.099999999999994</v>
      </c>
      <c r="L118" s="1">
        <f t="shared" si="27"/>
        <v>1.1870000000000118</v>
      </c>
      <c r="M118" s="1"/>
      <c r="N118" s="1"/>
      <c r="O118" s="1">
        <v>70</v>
      </c>
      <c r="P118" s="1"/>
      <c r="Q118" s="1"/>
      <c r="R118" s="1">
        <v>0</v>
      </c>
      <c r="S118" s="1">
        <f t="shared" si="28"/>
        <v>14.257400000000001</v>
      </c>
      <c r="T118" s="5">
        <f t="shared" si="31"/>
        <v>20.746400000000008</v>
      </c>
      <c r="U118" s="5">
        <f>T118+S118*$U$1</f>
        <v>49.261200000000009</v>
      </c>
      <c r="V118" s="18"/>
      <c r="W118" s="1">
        <f t="shared" si="21"/>
        <v>12.999999999999998</v>
      </c>
      <c r="X118" s="1">
        <f t="shared" si="29"/>
        <v>9.5448679282337583</v>
      </c>
      <c r="Y118" s="1">
        <v>11.395</v>
      </c>
      <c r="Z118" s="1">
        <v>10.089399999999999</v>
      </c>
      <c r="AA118" s="1">
        <v>12.381</v>
      </c>
      <c r="AB118" s="1">
        <v>7.4349999999999996</v>
      </c>
      <c r="AC118" s="1">
        <v>1.6252</v>
      </c>
      <c r="AD118" s="1"/>
      <c r="AE118" s="1">
        <f t="shared" si="22"/>
        <v>49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6" t="s">
        <v>156</v>
      </c>
      <c r="B119" s="1" t="s">
        <v>33</v>
      </c>
      <c r="C119" s="1">
        <v>12.147</v>
      </c>
      <c r="D119" s="1">
        <v>16.349</v>
      </c>
      <c r="E119" s="1">
        <v>12.106999999999999</v>
      </c>
      <c r="F119" s="1">
        <v>8.2729999999999997</v>
      </c>
      <c r="G119" s="7">
        <v>1</v>
      </c>
      <c r="H119" s="1">
        <v>60</v>
      </c>
      <c r="I119" s="9" t="s">
        <v>38</v>
      </c>
      <c r="J119" s="1"/>
      <c r="K119" s="1">
        <v>11.4</v>
      </c>
      <c r="L119" s="1">
        <f t="shared" si="27"/>
        <v>0.70699999999999896</v>
      </c>
      <c r="M119" s="1"/>
      <c r="N119" s="1"/>
      <c r="O119" s="1">
        <v>0</v>
      </c>
      <c r="P119" s="1"/>
      <c r="Q119" s="1">
        <v>20</v>
      </c>
      <c r="R119" s="1">
        <v>5.9983999999999966</v>
      </c>
      <c r="S119" s="1">
        <f t="shared" si="28"/>
        <v>2.4213999999999998</v>
      </c>
      <c r="T119" s="5"/>
      <c r="U119" s="5">
        <f t="shared" si="20"/>
        <v>0</v>
      </c>
      <c r="V119" s="18"/>
      <c r="W119" s="1">
        <f t="shared" si="21"/>
        <v>14.153547534484185</v>
      </c>
      <c r="X119" s="1">
        <f t="shared" si="29"/>
        <v>14.153547534484185</v>
      </c>
      <c r="Y119" s="1">
        <v>2.9722</v>
      </c>
      <c r="Z119" s="1">
        <v>1.8866000000000001</v>
      </c>
      <c r="AA119" s="1">
        <v>1.3388</v>
      </c>
      <c r="AB119" s="1">
        <v>2.1850000000000001</v>
      </c>
      <c r="AC119" s="1">
        <v>1.911</v>
      </c>
      <c r="AD119" s="1"/>
      <c r="AE119" s="1">
        <f t="shared" si="22"/>
        <v>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53</v>
      </c>
      <c r="B120" s="1" t="s">
        <v>33</v>
      </c>
      <c r="C120" s="1">
        <v>328.18700000000001</v>
      </c>
      <c r="D120" s="1">
        <v>1254.81</v>
      </c>
      <c r="E120" s="1">
        <v>350.50599999999997</v>
      </c>
      <c r="F120" s="1">
        <v>694.17399999999998</v>
      </c>
      <c r="G120" s="7">
        <v>1</v>
      </c>
      <c r="H120" s="1">
        <v>60</v>
      </c>
      <c r="I120" s="1" t="s">
        <v>34</v>
      </c>
      <c r="J120" s="1"/>
      <c r="K120" s="1">
        <v>380.1</v>
      </c>
      <c r="L120" s="1">
        <f t="shared" si="27"/>
        <v>-29.594000000000051</v>
      </c>
      <c r="M120" s="1"/>
      <c r="N120" s="1"/>
      <c r="O120" s="1">
        <v>187.0712</v>
      </c>
      <c r="P120" s="1"/>
      <c r="Q120" s="1">
        <v>0</v>
      </c>
      <c r="R120" s="1">
        <v>0</v>
      </c>
      <c r="S120" s="1">
        <f t="shared" si="28"/>
        <v>70.101199999999992</v>
      </c>
      <c r="T120" s="5"/>
      <c r="U120" s="5">
        <f t="shared" si="20"/>
        <v>0</v>
      </c>
      <c r="V120" s="18"/>
      <c r="W120" s="1">
        <f t="shared" si="21"/>
        <v>12.571043006396467</v>
      </c>
      <c r="X120" s="1">
        <f t="shared" si="29"/>
        <v>12.571043006396467</v>
      </c>
      <c r="Y120" s="1">
        <v>70.0642</v>
      </c>
      <c r="Z120" s="1">
        <v>68.50160000000001</v>
      </c>
      <c r="AA120" s="1">
        <v>70.50160000000001</v>
      </c>
      <c r="AB120" s="1">
        <v>132.61420000000001</v>
      </c>
      <c r="AC120" s="1">
        <v>90.657399999999996</v>
      </c>
      <c r="AD120" s="1"/>
      <c r="AE120" s="1">
        <f t="shared" si="22"/>
        <v>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157</v>
      </c>
      <c r="B121" s="1" t="s">
        <v>40</v>
      </c>
      <c r="C121" s="1">
        <v>251</v>
      </c>
      <c r="D121" s="1">
        <v>4</v>
      </c>
      <c r="E121" s="1">
        <v>8</v>
      </c>
      <c r="F121" s="1">
        <v>247</v>
      </c>
      <c r="G121" s="7">
        <v>0.25</v>
      </c>
      <c r="H121" s="1">
        <v>1096</v>
      </c>
      <c r="I121" s="1" t="s">
        <v>34</v>
      </c>
      <c r="J121" s="1"/>
      <c r="K121" s="1">
        <v>8</v>
      </c>
      <c r="L121" s="1">
        <f t="shared" si="27"/>
        <v>0</v>
      </c>
      <c r="M121" s="1"/>
      <c r="N121" s="1"/>
      <c r="O121" s="1">
        <v>0</v>
      </c>
      <c r="P121" s="1"/>
      <c r="Q121" s="1">
        <v>0</v>
      </c>
      <c r="R121" s="1">
        <v>0</v>
      </c>
      <c r="S121" s="1">
        <f t="shared" si="28"/>
        <v>1.6</v>
      </c>
      <c r="T121" s="5"/>
      <c r="U121" s="5">
        <f t="shared" si="20"/>
        <v>0</v>
      </c>
      <c r="V121" s="18"/>
      <c r="W121" s="1">
        <f t="shared" si="21"/>
        <v>154.375</v>
      </c>
      <c r="X121" s="1">
        <f t="shared" si="29"/>
        <v>154.375</v>
      </c>
      <c r="Y121" s="1">
        <v>4.4000000000000004</v>
      </c>
      <c r="Z121" s="1">
        <v>6.4</v>
      </c>
      <c r="AA121" s="1">
        <v>3</v>
      </c>
      <c r="AB121" s="1">
        <v>1</v>
      </c>
      <c r="AC121" s="1">
        <v>0.6</v>
      </c>
      <c r="AD121" s="15" t="s">
        <v>56</v>
      </c>
      <c r="AE121" s="1">
        <f t="shared" si="22"/>
        <v>0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158</v>
      </c>
      <c r="B122" s="1" t="s">
        <v>40</v>
      </c>
      <c r="C122" s="1">
        <v>93</v>
      </c>
      <c r="D122" s="1">
        <v>3</v>
      </c>
      <c r="E122" s="1">
        <v>10</v>
      </c>
      <c r="F122" s="1">
        <v>85</v>
      </c>
      <c r="G122" s="7">
        <v>0.32500000000000001</v>
      </c>
      <c r="H122" s="1">
        <v>1096</v>
      </c>
      <c r="I122" s="1" t="s">
        <v>34</v>
      </c>
      <c r="J122" s="1"/>
      <c r="K122" s="1">
        <v>10</v>
      </c>
      <c r="L122" s="1">
        <f t="shared" si="27"/>
        <v>0</v>
      </c>
      <c r="M122" s="1"/>
      <c r="N122" s="1"/>
      <c r="O122" s="1">
        <v>0</v>
      </c>
      <c r="P122" s="1"/>
      <c r="Q122" s="1">
        <v>50</v>
      </c>
      <c r="R122" s="1">
        <v>0</v>
      </c>
      <c r="S122" s="1">
        <f t="shared" si="28"/>
        <v>2</v>
      </c>
      <c r="T122" s="5"/>
      <c r="U122" s="5">
        <f t="shared" si="20"/>
        <v>0</v>
      </c>
      <c r="V122" s="18"/>
      <c r="W122" s="1">
        <f t="shared" si="21"/>
        <v>67.5</v>
      </c>
      <c r="X122" s="1">
        <f t="shared" si="29"/>
        <v>67.5</v>
      </c>
      <c r="Y122" s="1">
        <v>3.4</v>
      </c>
      <c r="Z122" s="1">
        <v>7.2</v>
      </c>
      <c r="AA122" s="1">
        <v>3.2</v>
      </c>
      <c r="AB122" s="1">
        <v>3</v>
      </c>
      <c r="AC122" s="1">
        <v>3.4</v>
      </c>
      <c r="AD122" s="15" t="s">
        <v>56</v>
      </c>
      <c r="AE122" s="1">
        <f t="shared" si="22"/>
        <v>0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6" t="s">
        <v>159</v>
      </c>
      <c r="B123" s="1" t="s">
        <v>40</v>
      </c>
      <c r="C123" s="1">
        <v>90</v>
      </c>
      <c r="D123" s="1">
        <v>3</v>
      </c>
      <c r="E123" s="1"/>
      <c r="F123" s="1">
        <v>91</v>
      </c>
      <c r="G123" s="7">
        <v>0.25</v>
      </c>
      <c r="H123" s="1">
        <v>1096</v>
      </c>
      <c r="I123" s="9" t="s">
        <v>38</v>
      </c>
      <c r="J123" s="1"/>
      <c r="K123" s="1"/>
      <c r="L123" s="1">
        <f t="shared" si="27"/>
        <v>0</v>
      </c>
      <c r="M123" s="1"/>
      <c r="N123" s="1"/>
      <c r="O123" s="1">
        <v>0</v>
      </c>
      <c r="P123" s="1"/>
      <c r="Q123" s="1">
        <v>50</v>
      </c>
      <c r="R123" s="1">
        <v>0</v>
      </c>
      <c r="S123" s="1">
        <f t="shared" si="28"/>
        <v>0</v>
      </c>
      <c r="T123" s="5"/>
      <c r="U123" s="5">
        <f t="shared" si="20"/>
        <v>0</v>
      </c>
      <c r="V123" s="18"/>
      <c r="W123" s="1" t="e">
        <f t="shared" si="21"/>
        <v>#DIV/0!</v>
      </c>
      <c r="X123" s="1" t="e">
        <f t="shared" si="29"/>
        <v>#DIV/0!</v>
      </c>
      <c r="Y123" s="1">
        <v>4</v>
      </c>
      <c r="Z123" s="1">
        <v>7.8</v>
      </c>
      <c r="AA123" s="1">
        <v>4.2</v>
      </c>
      <c r="AB123" s="1">
        <v>3</v>
      </c>
      <c r="AC123" s="1">
        <v>2.4</v>
      </c>
      <c r="AD123" s="15" t="s">
        <v>56</v>
      </c>
      <c r="AE123" s="1">
        <f t="shared" si="22"/>
        <v>0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0" t="s">
        <v>160</v>
      </c>
      <c r="B124" s="10" t="s">
        <v>33</v>
      </c>
      <c r="C124" s="10">
        <v>17.984000000000002</v>
      </c>
      <c r="D124" s="10">
        <v>2.0150000000000001</v>
      </c>
      <c r="E124" s="13">
        <v>5.37</v>
      </c>
      <c r="F124" s="13">
        <v>11.631</v>
      </c>
      <c r="G124" s="11">
        <v>0</v>
      </c>
      <c r="H124" s="10"/>
      <c r="I124" s="10" t="s">
        <v>161</v>
      </c>
      <c r="J124" s="10" t="s">
        <v>134</v>
      </c>
      <c r="K124" s="10">
        <v>8.1</v>
      </c>
      <c r="L124" s="10">
        <f t="shared" si="27"/>
        <v>-2.7299999999999995</v>
      </c>
      <c r="M124" s="10"/>
      <c r="N124" s="10"/>
      <c r="O124" s="10"/>
      <c r="P124" s="10"/>
      <c r="Q124" s="10">
        <v>0</v>
      </c>
      <c r="R124" s="10">
        <v>0</v>
      </c>
      <c r="S124" s="10">
        <f t="shared" si="28"/>
        <v>1.0740000000000001</v>
      </c>
      <c r="T124" s="12"/>
      <c r="U124" s="5">
        <f t="shared" si="20"/>
        <v>0</v>
      </c>
      <c r="V124" s="19"/>
      <c r="W124" s="1">
        <f t="shared" si="21"/>
        <v>10.829608938547485</v>
      </c>
      <c r="X124" s="10">
        <f t="shared" si="29"/>
        <v>10.829608938547485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/>
      <c r="AE124" s="1">
        <f t="shared" si="22"/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6" t="s">
        <v>162</v>
      </c>
      <c r="B125" s="1" t="s">
        <v>40</v>
      </c>
      <c r="C125" s="1"/>
      <c r="D125" s="1"/>
      <c r="E125" s="1"/>
      <c r="F125" s="1"/>
      <c r="G125" s="7">
        <v>0.3</v>
      </c>
      <c r="H125" s="1">
        <v>40</v>
      </c>
      <c r="I125" s="9" t="s">
        <v>38</v>
      </c>
      <c r="J125" s="1"/>
      <c r="K125" s="1"/>
      <c r="L125" s="1">
        <f t="shared" si="27"/>
        <v>0</v>
      </c>
      <c r="M125" s="1"/>
      <c r="N125" s="1"/>
      <c r="O125" s="1">
        <v>80</v>
      </c>
      <c r="P125" s="1"/>
      <c r="Q125" s="1">
        <v>80</v>
      </c>
      <c r="R125" s="1">
        <v>80</v>
      </c>
      <c r="S125" s="1">
        <f t="shared" si="28"/>
        <v>0</v>
      </c>
      <c r="T125" s="5"/>
      <c r="U125" s="5">
        <f t="shared" si="20"/>
        <v>0</v>
      </c>
      <c r="V125" s="18"/>
      <c r="W125" s="1" t="e">
        <f t="shared" si="21"/>
        <v>#DIV/0!</v>
      </c>
      <c r="X125" s="1" t="e">
        <f t="shared" si="29"/>
        <v>#DIV/0!</v>
      </c>
      <c r="Y125" s="1">
        <v>0</v>
      </c>
      <c r="Z125" s="1">
        <v>0</v>
      </c>
      <c r="AA125" s="1">
        <v>0</v>
      </c>
      <c r="AB125" s="1">
        <v>0</v>
      </c>
      <c r="AC125" s="1">
        <v>-0.2</v>
      </c>
      <c r="AD125" s="1"/>
      <c r="AE125" s="1">
        <f t="shared" si="22"/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6" t="s">
        <v>163</v>
      </c>
      <c r="B126" s="1" t="s">
        <v>40</v>
      </c>
      <c r="C126" s="1"/>
      <c r="D126" s="1"/>
      <c r="E126" s="1"/>
      <c r="F126" s="1"/>
      <c r="G126" s="7">
        <v>0.3</v>
      </c>
      <c r="H126" s="1">
        <v>40</v>
      </c>
      <c r="I126" s="9" t="s">
        <v>38</v>
      </c>
      <c r="J126" s="1"/>
      <c r="K126" s="1"/>
      <c r="L126" s="1">
        <f t="shared" si="27"/>
        <v>0</v>
      </c>
      <c r="M126" s="1"/>
      <c r="N126" s="1"/>
      <c r="O126" s="1">
        <v>80</v>
      </c>
      <c r="P126" s="1"/>
      <c r="Q126" s="1">
        <v>80</v>
      </c>
      <c r="R126" s="1">
        <v>80</v>
      </c>
      <c r="S126" s="1">
        <f t="shared" si="28"/>
        <v>0</v>
      </c>
      <c r="T126" s="5"/>
      <c r="U126" s="5">
        <f t="shared" si="20"/>
        <v>0</v>
      </c>
      <c r="V126" s="18"/>
      <c r="W126" s="1" t="e">
        <f t="shared" si="21"/>
        <v>#DIV/0!</v>
      </c>
      <c r="X126" s="1" t="e">
        <f t="shared" si="29"/>
        <v>#DIV/0!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/>
      <c r="AE126" s="1">
        <f t="shared" si="22"/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 t="s">
        <v>164</v>
      </c>
      <c r="B127" s="1" t="s">
        <v>33</v>
      </c>
      <c r="C127" s="1">
        <v>6.8860000000000001</v>
      </c>
      <c r="D127" s="1">
        <v>24.661999999999999</v>
      </c>
      <c r="E127" s="1">
        <v>12.321</v>
      </c>
      <c r="F127" s="1">
        <v>11.01</v>
      </c>
      <c r="G127" s="7">
        <v>1</v>
      </c>
      <c r="H127" s="1">
        <v>50</v>
      </c>
      <c r="I127" s="1" t="s">
        <v>34</v>
      </c>
      <c r="J127" s="1"/>
      <c r="K127" s="1">
        <v>13</v>
      </c>
      <c r="L127" s="1">
        <f t="shared" si="27"/>
        <v>-0.67900000000000027</v>
      </c>
      <c r="M127" s="1"/>
      <c r="N127" s="1"/>
      <c r="O127" s="1">
        <v>0</v>
      </c>
      <c r="P127" s="1"/>
      <c r="Q127" s="1">
        <v>0</v>
      </c>
      <c r="R127" s="1">
        <v>13.6068</v>
      </c>
      <c r="S127" s="1">
        <f t="shared" si="28"/>
        <v>2.4641999999999999</v>
      </c>
      <c r="T127" s="5">
        <v>4</v>
      </c>
      <c r="U127" s="5">
        <f>T127+S127*$U$1</f>
        <v>8.9283999999999999</v>
      </c>
      <c r="V127" s="18"/>
      <c r="W127" s="1">
        <f t="shared" si="21"/>
        <v>13.613018423829233</v>
      </c>
      <c r="X127" s="1">
        <f t="shared" si="29"/>
        <v>9.9897735573411239</v>
      </c>
      <c r="Y127" s="1">
        <v>2.7404000000000002</v>
      </c>
      <c r="Z127" s="1">
        <v>0.82479999999999998</v>
      </c>
      <c r="AA127" s="1">
        <v>0</v>
      </c>
      <c r="AB127" s="1">
        <v>0</v>
      </c>
      <c r="AC127" s="1">
        <v>-0.1072</v>
      </c>
      <c r="AD127" s="1"/>
      <c r="AE127" s="1">
        <f t="shared" si="22"/>
        <v>9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6" t="s">
        <v>165</v>
      </c>
      <c r="B128" s="1" t="s">
        <v>40</v>
      </c>
      <c r="C128" s="1"/>
      <c r="D128" s="1"/>
      <c r="E128" s="1"/>
      <c r="F128" s="1"/>
      <c r="G128" s="7">
        <v>0.3</v>
      </c>
      <c r="H128" s="1">
        <v>40</v>
      </c>
      <c r="I128" s="9" t="s">
        <v>38</v>
      </c>
      <c r="J128" s="1"/>
      <c r="K128" s="1"/>
      <c r="L128" s="1">
        <f t="shared" si="27"/>
        <v>0</v>
      </c>
      <c r="M128" s="1"/>
      <c r="N128" s="1"/>
      <c r="O128" s="1">
        <v>80</v>
      </c>
      <c r="P128" s="1"/>
      <c r="Q128" s="1">
        <v>100</v>
      </c>
      <c r="R128" s="1">
        <v>80</v>
      </c>
      <c r="S128" s="1">
        <f t="shared" si="28"/>
        <v>0</v>
      </c>
      <c r="T128" s="5"/>
      <c r="U128" s="5">
        <f t="shared" si="20"/>
        <v>0</v>
      </c>
      <c r="V128" s="18"/>
      <c r="W128" s="1" t="e">
        <f t="shared" si="21"/>
        <v>#DIV/0!</v>
      </c>
      <c r="X128" s="1" t="e">
        <f t="shared" si="29"/>
        <v>#DIV/0!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/>
      <c r="AE128" s="1">
        <f t="shared" si="22"/>
        <v>0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6" t="s">
        <v>166</v>
      </c>
      <c r="B129" s="1" t="s">
        <v>40</v>
      </c>
      <c r="C129" s="1">
        <v>25</v>
      </c>
      <c r="D129" s="1">
        <v>5</v>
      </c>
      <c r="E129" s="1">
        <v>25</v>
      </c>
      <c r="F129" s="1"/>
      <c r="G129" s="7">
        <v>0.12</v>
      </c>
      <c r="H129" s="1">
        <v>45</v>
      </c>
      <c r="I129" s="9" t="s">
        <v>38</v>
      </c>
      <c r="J129" s="1"/>
      <c r="K129" s="1">
        <v>29</v>
      </c>
      <c r="L129" s="1">
        <f t="shared" si="27"/>
        <v>-4</v>
      </c>
      <c r="M129" s="1"/>
      <c r="N129" s="1"/>
      <c r="O129" s="1">
        <v>0</v>
      </c>
      <c r="P129" s="1">
        <v>9.3333333333333286</v>
      </c>
      <c r="Q129" s="1">
        <v>30.266666666666669</v>
      </c>
      <c r="R129" s="1">
        <v>58.200000000000017</v>
      </c>
      <c r="S129" s="1">
        <f t="shared" si="28"/>
        <v>5</v>
      </c>
      <c r="T129" s="5"/>
      <c r="U129" s="5">
        <f t="shared" si="20"/>
        <v>0</v>
      </c>
      <c r="V129" s="18"/>
      <c r="W129" s="1">
        <f t="shared" si="21"/>
        <v>19.560000000000002</v>
      </c>
      <c r="X129" s="1">
        <f t="shared" si="29"/>
        <v>19.560000000000002</v>
      </c>
      <c r="Y129" s="1">
        <v>8.4</v>
      </c>
      <c r="Z129" s="1">
        <v>5.6</v>
      </c>
      <c r="AA129" s="1">
        <v>3</v>
      </c>
      <c r="AB129" s="1">
        <v>1.4</v>
      </c>
      <c r="AC129" s="1">
        <v>0</v>
      </c>
      <c r="AD129" s="1"/>
      <c r="AE129" s="1">
        <f t="shared" si="22"/>
        <v>0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0" t="s">
        <v>167</v>
      </c>
      <c r="B130" s="10" t="s">
        <v>40</v>
      </c>
      <c r="C130" s="10">
        <v>50</v>
      </c>
      <c r="D130" s="10">
        <v>12</v>
      </c>
      <c r="E130" s="13">
        <v>20</v>
      </c>
      <c r="F130" s="13">
        <v>-3</v>
      </c>
      <c r="G130" s="11">
        <v>0</v>
      </c>
      <c r="H130" s="10"/>
      <c r="I130" s="10" t="s">
        <v>168</v>
      </c>
      <c r="J130" s="10" t="s">
        <v>95</v>
      </c>
      <c r="K130" s="10">
        <v>26</v>
      </c>
      <c r="L130" s="10">
        <f t="shared" si="27"/>
        <v>-6</v>
      </c>
      <c r="M130" s="10"/>
      <c r="N130" s="10"/>
      <c r="O130" s="10">
        <v>0</v>
      </c>
      <c r="P130" s="10"/>
      <c r="Q130" s="10">
        <v>0</v>
      </c>
      <c r="R130" s="10">
        <v>0</v>
      </c>
      <c r="S130" s="10">
        <f t="shared" si="28"/>
        <v>4</v>
      </c>
      <c r="T130" s="12"/>
      <c r="U130" s="5">
        <f t="shared" si="20"/>
        <v>0</v>
      </c>
      <c r="V130" s="19"/>
      <c r="W130" s="1">
        <f t="shared" si="21"/>
        <v>-0.75</v>
      </c>
      <c r="X130" s="10">
        <f t="shared" si="29"/>
        <v>-0.75</v>
      </c>
      <c r="Y130" s="10">
        <v>5</v>
      </c>
      <c r="Z130" s="10">
        <v>7</v>
      </c>
      <c r="AA130" s="10">
        <v>4.5999999999999996</v>
      </c>
      <c r="AB130" s="10">
        <v>3</v>
      </c>
      <c r="AC130" s="10">
        <v>2.6</v>
      </c>
      <c r="AD130" s="10"/>
      <c r="AE130" s="1">
        <f t="shared" si="22"/>
        <v>0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21" t="s">
        <v>173</v>
      </c>
      <c r="B131" s="21" t="s">
        <v>33</v>
      </c>
      <c r="C131" s="21"/>
      <c r="D131" s="21"/>
      <c r="E131" s="21"/>
      <c r="F131" s="21"/>
      <c r="G131" s="22">
        <v>1</v>
      </c>
      <c r="H131" s="21"/>
      <c r="I131" s="21" t="s">
        <v>34</v>
      </c>
      <c r="J131" s="1"/>
      <c r="K131" s="1"/>
      <c r="L131" s="1"/>
      <c r="M131" s="1"/>
      <c r="N131" s="1"/>
      <c r="O131" s="1"/>
      <c r="P131" s="1"/>
      <c r="Q131" s="1"/>
      <c r="R131" s="1"/>
      <c r="S131" s="1">
        <f t="shared" ref="S131:S133" si="32">E131/5</f>
        <v>0</v>
      </c>
      <c r="T131" s="5"/>
      <c r="U131" s="5">
        <v>0</v>
      </c>
      <c r="V131" s="18">
        <v>100</v>
      </c>
      <c r="W131" s="1" t="e">
        <f t="shared" si="21"/>
        <v>#DIV/0!</v>
      </c>
      <c r="X131" s="1" t="e">
        <f t="shared" ref="X131:X133" si="33">(F131+O131+P131+Q131+R131)/S131</f>
        <v>#DIV/0!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 t="s">
        <v>179</v>
      </c>
      <c r="AE131" s="1">
        <f t="shared" si="22"/>
        <v>0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0" t="s">
        <v>174</v>
      </c>
      <c r="B132" s="10" t="s">
        <v>33</v>
      </c>
      <c r="C132" s="10"/>
      <c r="D132" s="10"/>
      <c r="E132" s="10"/>
      <c r="F132" s="10"/>
      <c r="G132" s="11">
        <v>0</v>
      </c>
      <c r="H132" s="10"/>
      <c r="I132" s="10" t="s">
        <v>34</v>
      </c>
      <c r="J132" s="1"/>
      <c r="K132" s="1"/>
      <c r="L132" s="1"/>
      <c r="M132" s="1"/>
      <c r="N132" s="1"/>
      <c r="O132" s="1"/>
      <c r="P132" s="1"/>
      <c r="Q132" s="1"/>
      <c r="R132" s="1"/>
      <c r="S132" s="1">
        <f t="shared" si="32"/>
        <v>0</v>
      </c>
      <c r="T132" s="5"/>
      <c r="U132" s="5">
        <f t="shared" si="20"/>
        <v>0</v>
      </c>
      <c r="V132" s="18"/>
      <c r="W132" s="1" t="e">
        <f t="shared" si="21"/>
        <v>#DIV/0!</v>
      </c>
      <c r="X132" s="1" t="e">
        <f t="shared" si="33"/>
        <v>#DIV/0!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 t="s">
        <v>41</v>
      </c>
      <c r="AE132" s="1">
        <f t="shared" si="22"/>
        <v>0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0" t="s">
        <v>175</v>
      </c>
      <c r="B133" s="10" t="s">
        <v>33</v>
      </c>
      <c r="C133" s="10"/>
      <c r="D133" s="10"/>
      <c r="E133" s="10"/>
      <c r="F133" s="10"/>
      <c r="G133" s="11">
        <v>0</v>
      </c>
      <c r="H133" s="10"/>
      <c r="I133" s="10" t="s">
        <v>34</v>
      </c>
      <c r="J133" s="1"/>
      <c r="K133" s="1"/>
      <c r="L133" s="1"/>
      <c r="M133" s="1"/>
      <c r="N133" s="1"/>
      <c r="O133" s="1"/>
      <c r="P133" s="1"/>
      <c r="Q133" s="1"/>
      <c r="R133" s="1"/>
      <c r="S133" s="1">
        <f t="shared" si="32"/>
        <v>0</v>
      </c>
      <c r="T133" s="5"/>
      <c r="U133" s="5">
        <f t="shared" si="20"/>
        <v>0</v>
      </c>
      <c r="V133" s="18"/>
      <c r="W133" s="1" t="e">
        <f t="shared" si="21"/>
        <v>#DIV/0!</v>
      </c>
      <c r="X133" s="1" t="e">
        <f t="shared" si="33"/>
        <v>#DIV/0!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 t="s">
        <v>41</v>
      </c>
      <c r="AE133" s="1">
        <f t="shared" si="22"/>
        <v>0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E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2026-10-13T09:06:24Z</dcterms:created>
  <dcterms:modified xsi:type="dcterms:W3CDTF">2026-10-14T10:05:43Z</dcterms:modified>
</cp:coreProperties>
</file>