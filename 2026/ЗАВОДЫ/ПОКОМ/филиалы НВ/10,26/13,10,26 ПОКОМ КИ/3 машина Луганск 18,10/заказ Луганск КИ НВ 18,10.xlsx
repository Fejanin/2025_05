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92BDF36-7A23-486F-953F-6239967681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Y517" i="1" s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Y501" i="1" s="1"/>
  <c r="P493" i="1"/>
  <c r="BP492" i="1"/>
  <c r="BO492" i="1"/>
  <c r="BN492" i="1"/>
  <c r="BM492" i="1"/>
  <c r="Z492" i="1"/>
  <c r="Y492" i="1"/>
  <c r="P492" i="1"/>
  <c r="X488" i="1"/>
  <c r="Y487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BP468" i="1" s="1"/>
  <c r="P468" i="1"/>
  <c r="BP467" i="1"/>
  <c r="BO467" i="1"/>
  <c r="BN467" i="1"/>
  <c r="BM467" i="1"/>
  <c r="Z467" i="1"/>
  <c r="Y467" i="1"/>
  <c r="P467" i="1"/>
  <c r="BO466" i="1"/>
  <c r="BM466" i="1"/>
  <c r="Y466" i="1"/>
  <c r="BP466" i="1" s="1"/>
  <c r="P466" i="1"/>
  <c r="X462" i="1"/>
  <c r="X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Y462" i="1" s="1"/>
  <c r="P458" i="1"/>
  <c r="X456" i="1"/>
  <c r="X455" i="1"/>
  <c r="BO454" i="1"/>
  <c r="BM454" i="1"/>
  <c r="Y454" i="1"/>
  <c r="Y456" i="1" s="1"/>
  <c r="P454" i="1"/>
  <c r="X452" i="1"/>
  <c r="X451" i="1"/>
  <c r="BO450" i="1"/>
  <c r="BM450" i="1"/>
  <c r="Y450" i="1"/>
  <c r="Y452" i="1" s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Y435" i="1" s="1"/>
  <c r="P431" i="1"/>
  <c r="X429" i="1"/>
  <c r="X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Y391" i="1" s="1"/>
  <c r="P386" i="1"/>
  <c r="X384" i="1"/>
  <c r="X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X350" i="1"/>
  <c r="X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BP333" i="1" s="1"/>
  <c r="P333" i="1"/>
  <c r="BO332" i="1"/>
  <c r="BM332" i="1"/>
  <c r="Y332" i="1"/>
  <c r="R556" i="1" s="1"/>
  <c r="P332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O315" i="1"/>
  <c r="BM315" i="1"/>
  <c r="Y315" i="1"/>
  <c r="Y322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Y312" i="1" s="1"/>
  <c r="P309" i="1"/>
  <c r="X307" i="1"/>
  <c r="X306" i="1"/>
  <c r="BO305" i="1"/>
  <c r="BM305" i="1"/>
  <c r="Y305" i="1"/>
  <c r="Y306" i="1" s="1"/>
  <c r="P305" i="1"/>
  <c r="X303" i="1"/>
  <c r="X302" i="1"/>
  <c r="BO301" i="1"/>
  <c r="BM301" i="1"/>
  <c r="Y301" i="1"/>
  <c r="Y302" i="1" s="1"/>
  <c r="P301" i="1"/>
  <c r="X299" i="1"/>
  <c r="X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O556" i="1" s="1"/>
  <c r="P291" i="1"/>
  <c r="X288" i="1"/>
  <c r="X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7" i="1"/>
  <c r="X256" i="1"/>
  <c r="BO255" i="1"/>
  <c r="BM255" i="1"/>
  <c r="Y255" i="1"/>
  <c r="BP255" i="1" s="1"/>
  <c r="P255" i="1"/>
  <c r="BO254" i="1"/>
  <c r="BM254" i="1"/>
  <c r="Y254" i="1"/>
  <c r="Y257" i="1" s="1"/>
  <c r="P254" i="1"/>
  <c r="X252" i="1"/>
  <c r="X251" i="1"/>
  <c r="BO250" i="1"/>
  <c r="BM250" i="1"/>
  <c r="Y250" i="1"/>
  <c r="Y252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Y241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Y206" i="1" s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Y168" i="1" s="1"/>
  <c r="P166" i="1"/>
  <c r="X164" i="1"/>
  <c r="X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BO160" i="1"/>
  <c r="BM160" i="1"/>
  <c r="Y160" i="1"/>
  <c r="P160" i="1"/>
  <c r="BO159" i="1"/>
  <c r="BM159" i="1"/>
  <c r="Y159" i="1"/>
  <c r="BP159" i="1" s="1"/>
  <c r="P159" i="1"/>
  <c r="X156" i="1"/>
  <c r="X155" i="1"/>
  <c r="BO154" i="1"/>
  <c r="BM154" i="1"/>
  <c r="Y154" i="1"/>
  <c r="Y156" i="1" s="1"/>
  <c r="P154" i="1"/>
  <c r="X152" i="1"/>
  <c r="X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56" i="1" s="1"/>
  <c r="P147" i="1"/>
  <c r="X144" i="1"/>
  <c r="X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O73" i="1"/>
  <c r="BM73" i="1"/>
  <c r="Y73" i="1"/>
  <c r="Y75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50" i="1" s="1"/>
  <c r="BO22" i="1"/>
  <c r="BM22" i="1"/>
  <c r="X547" i="1" s="1"/>
  <c r="Y22" i="1"/>
  <c r="P22" i="1"/>
  <c r="H10" i="1"/>
  <c r="A9" i="1"/>
  <c r="A10" i="1" s="1"/>
  <c r="D7" i="1"/>
  <c r="Q6" i="1"/>
  <c r="P2" i="1"/>
  <c r="BP341" i="1" l="1"/>
  <c r="BN341" i="1"/>
  <c r="Z341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B556" i="1"/>
  <c r="X548" i="1"/>
  <c r="X549" i="1" s="1"/>
  <c r="X546" i="1"/>
  <c r="Y32" i="1"/>
  <c r="Z29" i="1"/>
  <c r="BN29" i="1"/>
  <c r="C556" i="1"/>
  <c r="Z39" i="1"/>
  <c r="BN39" i="1"/>
  <c r="D556" i="1"/>
  <c r="Z49" i="1"/>
  <c r="BN49" i="1"/>
  <c r="Z56" i="1"/>
  <c r="BN56" i="1"/>
  <c r="Z60" i="1"/>
  <c r="BN60" i="1"/>
  <c r="Y69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Y117" i="1"/>
  <c r="Z114" i="1"/>
  <c r="BN114" i="1"/>
  <c r="Y123" i="1"/>
  <c r="Z122" i="1"/>
  <c r="BN122" i="1"/>
  <c r="Z137" i="1"/>
  <c r="BN137" i="1"/>
  <c r="Y143" i="1"/>
  <c r="Z148" i="1"/>
  <c r="BN148" i="1"/>
  <c r="Z154" i="1"/>
  <c r="Z155" i="1" s="1"/>
  <c r="BN154" i="1"/>
  <c r="BP154" i="1"/>
  <c r="Y155" i="1"/>
  <c r="Z159" i="1"/>
  <c r="BN159" i="1"/>
  <c r="Y164" i="1"/>
  <c r="Z167" i="1"/>
  <c r="BN167" i="1"/>
  <c r="Y182" i="1"/>
  <c r="Z173" i="1"/>
  <c r="BN173" i="1"/>
  <c r="Z177" i="1"/>
  <c r="BN177" i="1"/>
  <c r="Z185" i="1"/>
  <c r="BN185" i="1"/>
  <c r="Z201" i="1"/>
  <c r="BN201" i="1"/>
  <c r="Z205" i="1"/>
  <c r="BN205" i="1"/>
  <c r="Y227" i="1"/>
  <c r="Z216" i="1"/>
  <c r="BN216" i="1"/>
  <c r="Z220" i="1"/>
  <c r="BN220" i="1"/>
  <c r="Z224" i="1"/>
  <c r="BN224" i="1"/>
  <c r="Z230" i="1"/>
  <c r="BN230" i="1"/>
  <c r="BP230" i="1"/>
  <c r="Y235" i="1"/>
  <c r="Z234" i="1"/>
  <c r="BN234" i="1"/>
  <c r="Y242" i="1"/>
  <c r="Z240" i="1"/>
  <c r="BN240" i="1"/>
  <c r="Z255" i="1"/>
  <c r="BN255" i="1"/>
  <c r="Z261" i="1"/>
  <c r="BN261" i="1"/>
  <c r="Z265" i="1"/>
  <c r="BN265" i="1"/>
  <c r="Y283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Q556" i="1"/>
  <c r="Z333" i="1"/>
  <c r="BN333" i="1"/>
  <c r="BP335" i="1"/>
  <c r="BN335" i="1"/>
  <c r="Z335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Z487" i="1" s="1"/>
  <c r="BP498" i="1"/>
  <c r="BN498" i="1"/>
  <c r="Z498" i="1"/>
  <c r="BP514" i="1"/>
  <c r="BN514" i="1"/>
  <c r="Z514" i="1"/>
  <c r="Y343" i="1"/>
  <c r="Y360" i="1"/>
  <c r="Y371" i="1"/>
  <c r="Y377" i="1"/>
  <c r="Y383" i="1"/>
  <c r="V556" i="1"/>
  <c r="Y441" i="1"/>
  <c r="X556" i="1"/>
  <c r="F9" i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6" i="1"/>
  <c r="Z41" i="1" s="1"/>
  <c r="BN36" i="1"/>
  <c r="BP36" i="1"/>
  <c r="Z38" i="1"/>
  <c r="BN38" i="1"/>
  <c r="Z40" i="1"/>
  <c r="BN40" i="1"/>
  <c r="Y41" i="1"/>
  <c r="Z46" i="1"/>
  <c r="Z50" i="1" s="1"/>
  <c r="BN46" i="1"/>
  <c r="BP46" i="1"/>
  <c r="Z48" i="1"/>
  <c r="BN48" i="1"/>
  <c r="Y51" i="1"/>
  <c r="E556" i="1"/>
  <c r="Z55" i="1"/>
  <c r="BN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BP94" i="1"/>
  <c r="BN94" i="1"/>
  <c r="Z94" i="1"/>
  <c r="Z97" i="1" s="1"/>
  <c r="BP103" i="1"/>
  <c r="BN103" i="1"/>
  <c r="Z103" i="1"/>
  <c r="H9" i="1"/>
  <c r="Y24" i="1"/>
  <c r="Y42" i="1"/>
  <c r="Y50" i="1"/>
  <c r="Y63" i="1"/>
  <c r="F556" i="1"/>
  <c r="Y91" i="1"/>
  <c r="BP96" i="1"/>
  <c r="BN96" i="1"/>
  <c r="Z96" i="1"/>
  <c r="Y98" i="1"/>
  <c r="G556" i="1"/>
  <c r="Y109" i="1"/>
  <c r="Y108" i="1"/>
  <c r="BP101" i="1"/>
  <c r="BN101" i="1"/>
  <c r="Z101" i="1"/>
  <c r="Z105" i="1"/>
  <c r="BN105" i="1"/>
  <c r="Z107" i="1"/>
  <c r="BN107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Z133" i="1" s="1"/>
  <c r="BN132" i="1"/>
  <c r="BP132" i="1"/>
  <c r="Y133" i="1"/>
  <c r="Z136" i="1"/>
  <c r="Z138" i="1" s="1"/>
  <c r="BN136" i="1"/>
  <c r="BP136" i="1"/>
  <c r="Y139" i="1"/>
  <c r="Z142" i="1"/>
  <c r="Z143" i="1" s="1"/>
  <c r="BN142" i="1"/>
  <c r="BP142" i="1"/>
  <c r="Z147" i="1"/>
  <c r="BN147" i="1"/>
  <c r="BP147" i="1"/>
  <c r="Z149" i="1"/>
  <c r="BN149" i="1"/>
  <c r="Y152" i="1"/>
  <c r="J556" i="1"/>
  <c r="Z160" i="1"/>
  <c r="Z163" i="1" s="1"/>
  <c r="BN160" i="1"/>
  <c r="BP160" i="1"/>
  <c r="Z162" i="1"/>
  <c r="BN162" i="1"/>
  <c r="Y163" i="1"/>
  <c r="Z166" i="1"/>
  <c r="Z168" i="1" s="1"/>
  <c r="BN166" i="1"/>
  <c r="BP166" i="1"/>
  <c r="Y169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Z186" i="1" s="1"/>
  <c r="BN184" i="1"/>
  <c r="BP184" i="1"/>
  <c r="Y187" i="1"/>
  <c r="K556" i="1"/>
  <c r="Z200" i="1"/>
  <c r="Z206" i="1" s="1"/>
  <c r="BN200" i="1"/>
  <c r="BP200" i="1"/>
  <c r="Z202" i="1"/>
  <c r="BN202" i="1"/>
  <c r="Z204" i="1"/>
  <c r="BN204" i="1"/>
  <c r="Y207" i="1"/>
  <c r="L556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BP231" i="1"/>
  <c r="Z233" i="1"/>
  <c r="BN233" i="1"/>
  <c r="Z239" i="1"/>
  <c r="Z241" i="1" s="1"/>
  <c r="BN239" i="1"/>
  <c r="BP239" i="1"/>
  <c r="M556" i="1"/>
  <c r="Z250" i="1"/>
  <c r="Z251" i="1" s="1"/>
  <c r="BN250" i="1"/>
  <c r="BP250" i="1"/>
  <c r="Y251" i="1"/>
  <c r="Z254" i="1"/>
  <c r="Z256" i="1" s="1"/>
  <c r="BN254" i="1"/>
  <c r="BP254" i="1"/>
  <c r="Y267" i="1"/>
  <c r="BP262" i="1"/>
  <c r="BN262" i="1"/>
  <c r="Z262" i="1"/>
  <c r="Y151" i="1"/>
  <c r="Y256" i="1"/>
  <c r="BP260" i="1"/>
  <c r="BN260" i="1"/>
  <c r="Z260" i="1"/>
  <c r="BP264" i="1"/>
  <c r="BN264" i="1"/>
  <c r="Z264" i="1"/>
  <c r="Z267" i="1" s="1"/>
  <c r="Y268" i="1"/>
  <c r="Y282" i="1"/>
  <c r="Y288" i="1"/>
  <c r="Y299" i="1"/>
  <c r="Y303" i="1"/>
  <c r="Y307" i="1"/>
  <c r="Y311" i="1"/>
  <c r="Y329" i="1"/>
  <c r="Y336" i="1"/>
  <c r="Y342" i="1"/>
  <c r="Y349" i="1"/>
  <c r="Y370" i="1"/>
  <c r="Y378" i="1"/>
  <c r="Y384" i="1"/>
  <c r="Y390" i="1"/>
  <c r="Y396" i="1"/>
  <c r="Y402" i="1"/>
  <c r="Y409" i="1"/>
  <c r="Y416" i="1"/>
  <c r="BP423" i="1"/>
  <c r="BN423" i="1"/>
  <c r="Z423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Z286" i="1"/>
  <c r="Z287" i="1" s="1"/>
  <c r="BN286" i="1"/>
  <c r="Z291" i="1"/>
  <c r="Z298" i="1" s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Z305" i="1"/>
  <c r="Z306" i="1" s="1"/>
  <c r="BN305" i="1"/>
  <c r="BP305" i="1"/>
  <c r="Z309" i="1"/>
  <c r="Z311" i="1" s="1"/>
  <c r="BN309" i="1"/>
  <c r="BP309" i="1"/>
  <c r="P556" i="1"/>
  <c r="Z316" i="1"/>
  <c r="BN316" i="1"/>
  <c r="Z318" i="1"/>
  <c r="BN318" i="1"/>
  <c r="Z320" i="1"/>
  <c r="BN320" i="1"/>
  <c r="Y321" i="1"/>
  <c r="Z325" i="1"/>
  <c r="BN325" i="1"/>
  <c r="BP325" i="1"/>
  <c r="Z327" i="1"/>
  <c r="BN327" i="1"/>
  <c r="Y328" i="1"/>
  <c r="Z332" i="1"/>
  <c r="BN332" i="1"/>
  <c r="BP332" i="1"/>
  <c r="Z334" i="1"/>
  <c r="BN334" i="1"/>
  <c r="Y337" i="1"/>
  <c r="Z340" i="1"/>
  <c r="BN340" i="1"/>
  <c r="S556" i="1"/>
  <c r="Z347" i="1"/>
  <c r="Z349" i="1" s="1"/>
  <c r="BN347" i="1"/>
  <c r="Y350" i="1"/>
  <c r="T556" i="1"/>
  <c r="Z354" i="1"/>
  <c r="BN354" i="1"/>
  <c r="Z356" i="1"/>
  <c r="BN356" i="1"/>
  <c r="Z358" i="1"/>
  <c r="BN358" i="1"/>
  <c r="Y361" i="1"/>
  <c r="Z364" i="1"/>
  <c r="BN364" i="1"/>
  <c r="Z366" i="1"/>
  <c r="BN366" i="1"/>
  <c r="Z368" i="1"/>
  <c r="BN368" i="1"/>
  <c r="Z374" i="1"/>
  <c r="BN374" i="1"/>
  <c r="Z376" i="1"/>
  <c r="BN376" i="1"/>
  <c r="Z380" i="1"/>
  <c r="BN380" i="1"/>
  <c r="BP380" i="1"/>
  <c r="Z382" i="1"/>
  <c r="BN382" i="1"/>
  <c r="Z386" i="1"/>
  <c r="Z390" i="1" s="1"/>
  <c r="BN386" i="1"/>
  <c r="BP386" i="1"/>
  <c r="Z388" i="1"/>
  <c r="BN388" i="1"/>
  <c r="Z394" i="1"/>
  <c r="Z396" i="1" s="1"/>
  <c r="BN394" i="1"/>
  <c r="Z400" i="1"/>
  <c r="Z402" i="1" s="1"/>
  <c r="BN400" i="1"/>
  <c r="U556" i="1"/>
  <c r="Z407" i="1"/>
  <c r="Z408" i="1" s="1"/>
  <c r="BN407" i="1"/>
  <c r="Y408" i="1"/>
  <c r="Z412" i="1"/>
  <c r="BN412" i="1"/>
  <c r="BP412" i="1"/>
  <c r="Z414" i="1"/>
  <c r="BN414" i="1"/>
  <c r="Y415" i="1"/>
  <c r="BP421" i="1"/>
  <c r="BN421" i="1"/>
  <c r="Z421" i="1"/>
  <c r="BP425" i="1"/>
  <c r="BN425" i="1"/>
  <c r="Z425" i="1"/>
  <c r="W556" i="1"/>
  <c r="Z427" i="1"/>
  <c r="BN427" i="1"/>
  <c r="Y428" i="1"/>
  <c r="Z431" i="1"/>
  <c r="BN431" i="1"/>
  <c r="BP431" i="1"/>
  <c r="Z433" i="1"/>
  <c r="BN433" i="1"/>
  <c r="Y434" i="1"/>
  <c r="Z437" i="1"/>
  <c r="BN437" i="1"/>
  <c r="BP437" i="1"/>
  <c r="Z439" i="1"/>
  <c r="BN439" i="1"/>
  <c r="Y440" i="1"/>
  <c r="Z443" i="1"/>
  <c r="BN443" i="1"/>
  <c r="BP443" i="1"/>
  <c r="Y446" i="1"/>
  <c r="Z450" i="1"/>
  <c r="Z451" i="1" s="1"/>
  <c r="BN450" i="1"/>
  <c r="BP450" i="1"/>
  <c r="Y451" i="1"/>
  <c r="Z454" i="1"/>
  <c r="Z455" i="1" s="1"/>
  <c r="BN454" i="1"/>
  <c r="BP454" i="1"/>
  <c r="Y455" i="1"/>
  <c r="Z458" i="1"/>
  <c r="BN458" i="1"/>
  <c r="BP458" i="1"/>
  <c r="Z460" i="1"/>
  <c r="BN460" i="1"/>
  <c r="Y461" i="1"/>
  <c r="Z466" i="1"/>
  <c r="BN466" i="1"/>
  <c r="Z468" i="1"/>
  <c r="BN468" i="1"/>
  <c r="Z470" i="1"/>
  <c r="BN470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429" i="1"/>
  <c r="Y556" i="1"/>
  <c r="Y473" i="1"/>
  <c r="Y472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AB556" i="1"/>
  <c r="Y500" i="1"/>
  <c r="Y545" i="1"/>
  <c r="Z360" i="1" l="1"/>
  <c r="Z321" i="1"/>
  <c r="Z227" i="1"/>
  <c r="Z181" i="1"/>
  <c r="Z500" i="1"/>
  <c r="Z461" i="1"/>
  <c r="Z445" i="1"/>
  <c r="Z440" i="1"/>
  <c r="Z434" i="1"/>
  <c r="Z428" i="1"/>
  <c r="Z377" i="1"/>
  <c r="Z370" i="1"/>
  <c r="Z342" i="1"/>
  <c r="Z235" i="1"/>
  <c r="Z151" i="1"/>
  <c r="Z123" i="1"/>
  <c r="Z116" i="1"/>
  <c r="Z62" i="1"/>
  <c r="Z472" i="1"/>
  <c r="Z108" i="1"/>
  <c r="Y548" i="1"/>
  <c r="Z506" i="1"/>
  <c r="Z516" i="1"/>
  <c r="Z415" i="1"/>
  <c r="Z383" i="1"/>
  <c r="Z336" i="1"/>
  <c r="Z328" i="1"/>
  <c r="Z282" i="1"/>
  <c r="Y546" i="1"/>
  <c r="Z90" i="1"/>
  <c r="Z80" i="1"/>
  <c r="Y550" i="1"/>
  <c r="Y547" i="1"/>
  <c r="Y549" i="1" s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<sst xmlns="http://schemas.openxmlformats.org/spreadsheetml/2006/main" count="2462" uniqueCount="893">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</sst>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75</v>
      </c>
      <c r="Y28" s="618">
        <f>IFERROR(IF(X28="",0,CEILING((X28/$H28),1)*$H28),"")</f>
        <v>75.600000000000009</v>
      </c>
      <c r="Z28" s="36">
        <f>IFERROR(IF(Y28=0,"",ROUNDUP(Y28/H28,0)*0.00651),"")</f>
        <v>0.27342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132.5</v>
      </c>
      <c r="BN28" s="64">
        <f>IFERROR(Y28*I28/H28,"0")</f>
        <v>133.56000000000003</v>
      </c>
      <c r="BO28" s="64">
        <f>IFERROR(1/J28*(X28/H28),"0")</f>
        <v>0.22893772893772893</v>
      </c>
      <c r="BP28" s="64">
        <f>IFERROR(1/J28*(Y28/H28),"0")</f>
        <v>0.23076923076923084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41.666666666666664</v>
      </c>
      <c r="Y31" s="619">
        <f>IFERROR(Y26/H26,"0")+IFERROR(Y27/H27,"0")+IFERROR(Y28/H28,"0")+IFERROR(Y29/H29,"0")+IFERROR(Y30/H30,"0")</f>
        <v>42.000000000000007</v>
      </c>
      <c r="Z31" s="619">
        <f>IFERROR(IF(Z26="",0,Z26),"0")+IFERROR(IF(Z27="",0,Z27),"0")+IFERROR(IF(Z28="",0,Z28),"0")+IFERROR(IF(Z29="",0,Z29),"0")+IFERROR(IF(Z30="",0,Z30),"0")</f>
        <v>0.27342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75</v>
      </c>
      <c r="Y32" s="619">
        <f>IFERROR(SUM(Y26:Y30),"0")</f>
        <v>75.600000000000009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2514</v>
      </c>
      <c r="Y46" s="618">
        <f>IFERROR(IF(X46="",0,CEILING((X46/$H46),1)*$H46),"")</f>
        <v>2516.4</v>
      </c>
      <c r="Z46" s="36">
        <f>IFERROR(IF(Y46=0,"",ROUNDUP(Y46/H46,0)*0.01898),"")</f>
        <v>4.4223400000000002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2609.4388888888889</v>
      </c>
      <c r="BN46" s="64">
        <f>IFERROR(Y46*I46/H46,"0")</f>
        <v>2611.9300000000003</v>
      </c>
      <c r="BO46" s="64">
        <f>IFERROR(1/J46*(X46/H46),"0")</f>
        <v>3.6371527777777777</v>
      </c>
      <c r="BP46" s="64">
        <f>IFERROR(1/J46*(Y46/H46),"0")</f>
        <v>3.640625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73</v>
      </c>
      <c r="Y49" s="618">
        <f>IFERROR(IF(X49="",0,CEILING((X49/$H49),1)*$H49),"")</f>
        <v>74</v>
      </c>
      <c r="Z49" s="36">
        <f>IFERROR(IF(Y49=0,"",ROUNDUP(Y49/H49,0)*0.00902),"")</f>
        <v>0.1804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76.748648648648654</v>
      </c>
      <c r="BN49" s="64">
        <f>IFERROR(Y49*I49/H49,"0")</f>
        <v>77.8</v>
      </c>
      <c r="BO49" s="64">
        <f>IFERROR(1/J49*(X49/H49),"0")</f>
        <v>0.14946764946764948</v>
      </c>
      <c r="BP49" s="64">
        <f>IFERROR(1/J49*(Y49/H49),"0")</f>
        <v>0.15151515151515152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252.50750750750751</v>
      </c>
      <c r="Y50" s="619">
        <f>IFERROR(Y46/H46,"0")+IFERROR(Y47/H47,"0")+IFERROR(Y48/H48,"0")+IFERROR(Y49/H49,"0")</f>
        <v>253</v>
      </c>
      <c r="Z50" s="619">
        <f>IFERROR(IF(Z46="",0,Z46),"0")+IFERROR(IF(Z47="",0,Z47),"0")+IFERROR(IF(Z48="",0,Z48),"0")+IFERROR(IF(Z49="",0,Z49),"0")</f>
        <v>4.6027399999999998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2587</v>
      </c>
      <c r="Y51" s="619">
        <f>IFERROR(SUM(Y46:Y49),"0")</f>
        <v>2590.4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104</v>
      </c>
      <c r="Y54" s="618">
        <f t="shared" ref="Y54:Y61" si="0">IFERROR(IF(X54="",0,CEILING((X54/$H54),1)*$H54),"")</f>
        <v>112</v>
      </c>
      <c r="Z54" s="36">
        <f>IFERROR(IF(Y54=0,"",ROUNDUP(Y54/H54,0)*0.01898),"")</f>
        <v>0.1898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107.80714285714286</v>
      </c>
      <c r="BN54" s="64">
        <f t="shared" ref="BN54:BN61" si="2">IFERROR(Y54*I54/H54,"0")</f>
        <v>116.10000000000001</v>
      </c>
      <c r="BO54" s="64">
        <f t="shared" ref="BO54:BO61" si="3">IFERROR(1/J54*(X54/H54),"0")</f>
        <v>0.14508928571428573</v>
      </c>
      <c r="BP54" s="64">
        <f t="shared" ref="BP54:BP61" si="4">IFERROR(1/J54*(Y54/H54),"0")</f>
        <v>0.15625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264</v>
      </c>
      <c r="Y55" s="618">
        <f t="shared" si="0"/>
        <v>270</v>
      </c>
      <c r="Z55" s="36">
        <f>IFERROR(IF(Y55=0,"",ROUNDUP(Y55/H55,0)*0.01898),"")</f>
        <v>0.47450000000000003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274.02222222222218</v>
      </c>
      <c r="BN55" s="64">
        <f t="shared" si="2"/>
        <v>280.25</v>
      </c>
      <c r="BO55" s="64">
        <f t="shared" si="3"/>
        <v>0.38194444444444442</v>
      </c>
      <c r="BP55" s="64">
        <f t="shared" si="4"/>
        <v>0.390625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33.730158730158728</v>
      </c>
      <c r="Y62" s="619">
        <f>IFERROR(Y54/H54,"0")+IFERROR(Y55/H55,"0")+IFERROR(Y56/H56,"0")+IFERROR(Y57/H57,"0")+IFERROR(Y58/H58,"0")+IFERROR(Y59/H59,"0")+IFERROR(Y60/H60,"0")+IFERROR(Y61/H61,"0")</f>
        <v>35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0.6643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368</v>
      </c>
      <c r="Y63" s="619">
        <f>IFERROR(SUM(Y54:Y61),"0")</f>
        <v>382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38</v>
      </c>
      <c r="Y77" s="618">
        <f>IFERROR(IF(X77="",0,CEILING((X77/$H77),1)*$H77),"")</f>
        <v>39</v>
      </c>
      <c r="Z77" s="36">
        <f>IFERROR(IF(Y77=0,"",ROUNDUP(Y77/H77,0)*0.01898),"")</f>
        <v>9.4899999999999998E-2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39.997435897435899</v>
      </c>
      <c r="BN77" s="64">
        <f>IFERROR(Y77*I77/H77,"0")</f>
        <v>41.050000000000011</v>
      </c>
      <c r="BO77" s="64">
        <f>IFERROR(1/J77*(X77/H77),"0")</f>
        <v>7.6121794871794879E-2</v>
      </c>
      <c r="BP77" s="64">
        <f>IFERROR(1/J77*(Y77/H77),"0")</f>
        <v>7.8125E-2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4.8717948717948723</v>
      </c>
      <c r="Y80" s="619">
        <f>IFERROR(Y77/H77,"0")+IFERROR(Y78/H78,"0")+IFERROR(Y79/H79,"0")</f>
        <v>5</v>
      </c>
      <c r="Z80" s="619">
        <f>IFERROR(IF(Z77="",0,Z77),"0")+IFERROR(IF(Z78="",0,Z78),"0")+IFERROR(IF(Z79="",0,Z79),"0")</f>
        <v>9.4899999999999998E-2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38</v>
      </c>
      <c r="Y81" s="619">
        <f>IFERROR(SUM(Y77:Y79),"0")</f>
        <v>39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370</v>
      </c>
      <c r="Y84" s="618">
        <f t="shared" ref="Y84:Y89" si="5"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384.04629629629636</v>
      </c>
      <c r="BN84" s="64">
        <f t="shared" ref="BN84:BN89" si="7">IFERROR(Y84*I84/H84,"0")</f>
        <v>392.34999999999997</v>
      </c>
      <c r="BO84" s="64">
        <f t="shared" ref="BO84:BO89" si="8">IFERROR(1/J84*(X84/H84),"0")</f>
        <v>0.53530092592592593</v>
      </c>
      <c r="BP84" s="64">
        <f t="shared" ref="BP84:BP89" si="9">IFERROR(1/J84*(Y84/H84),"0")</f>
        <v>0.546875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7</v>
      </c>
      <c r="Y86" s="618">
        <f t="shared" si="5"/>
        <v>8.16</v>
      </c>
      <c r="Z86" s="36">
        <f>IFERROR(IF(Y86=0,"",ROUNDUP(Y86/H86,0)*0.00726),"")</f>
        <v>4.3560000000000001E-2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7.9264705882352944</v>
      </c>
      <c r="BN86" s="64">
        <f t="shared" si="7"/>
        <v>9.2399999999999984</v>
      </c>
      <c r="BO86" s="64">
        <f t="shared" si="8"/>
        <v>2.6807598039215681E-2</v>
      </c>
      <c r="BP86" s="64">
        <f t="shared" si="9"/>
        <v>3.125E-2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109</v>
      </c>
      <c r="Y89" s="618">
        <f t="shared" si="5"/>
        <v>112.5</v>
      </c>
      <c r="Z89" s="36">
        <f>IFERROR(IF(Y89=0,"",ROUNDUP(Y89/H89,0)*0.00902),"")</f>
        <v>0.22550000000000001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113.60222222222222</v>
      </c>
      <c r="BN89" s="64">
        <f t="shared" si="7"/>
        <v>117.25</v>
      </c>
      <c r="BO89" s="64">
        <f t="shared" si="8"/>
        <v>0.1835016835016835</v>
      </c>
      <c r="BP89" s="64">
        <f t="shared" si="9"/>
        <v>0.18939393939393939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63.628540305010894</v>
      </c>
      <c r="Y90" s="619">
        <f>IFERROR(Y84/H84,"0")+IFERROR(Y85/H85,"0")+IFERROR(Y86/H86,"0")+IFERROR(Y87/H87,"0")+IFERROR(Y88/H88,"0")+IFERROR(Y89/H89,"0")</f>
        <v>66</v>
      </c>
      <c r="Z90" s="619">
        <f>IFERROR(IF(Z84="",0,Z84),"0")+IFERROR(IF(Z85="",0,Z85),"0")+IFERROR(IF(Z86="",0,Z86),"0")+IFERROR(IF(Z87="",0,Z87),"0")+IFERROR(IF(Z88="",0,Z88),"0")+IFERROR(IF(Z89="",0,Z89),"0")</f>
        <v>0.93336000000000008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486</v>
      </c>
      <c r="Y91" s="619">
        <f>IFERROR(SUM(Y84:Y89),"0")</f>
        <v>498.66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504</v>
      </c>
      <c r="Y93" s="618">
        <f>IFERROR(IF(X93="",0,CEILING((X93/$H93),1)*$H93),"")</f>
        <v>510.29999999999995</v>
      </c>
      <c r="Z93" s="36">
        <f>IFERROR(IF(Y93=0,"",ROUNDUP(Y93/H93,0)*0.01898),"")</f>
        <v>1.19574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534.73777777777775</v>
      </c>
      <c r="BN93" s="64">
        <f>IFERROR(Y93*I93/H93,"0")</f>
        <v>541.42199999999991</v>
      </c>
      <c r="BO93" s="64">
        <f>IFERROR(1/J93*(X93/H93),"0")</f>
        <v>0.97222222222222221</v>
      </c>
      <c r="BP93" s="64">
        <f>IFERROR(1/J93*(Y93/H93),"0")</f>
        <v>0.984375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106</v>
      </c>
      <c r="Y95" s="618">
        <f>IFERROR(IF(X95="",0,CEILING((X95/$H95),1)*$H95),"")</f>
        <v>108</v>
      </c>
      <c r="Z95" s="36">
        <f>IFERROR(IF(Y95=0,"",ROUNDUP(Y95/H95,0)*0.00651),"")</f>
        <v>0.26040000000000002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115.89333333333332</v>
      </c>
      <c r="BN95" s="64">
        <f>IFERROR(Y95*I95/H95,"0")</f>
        <v>118.07999999999998</v>
      </c>
      <c r="BO95" s="64">
        <f>IFERROR(1/J95*(X95/H95),"0")</f>
        <v>0.21571021571021573</v>
      </c>
      <c r="BP95" s="64">
        <f>IFERROR(1/J95*(Y95/H95),"0")</f>
        <v>0.2197802197802198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101.48148148148148</v>
      </c>
      <c r="Y97" s="619">
        <f>IFERROR(Y93/H93,"0")+IFERROR(Y94/H94,"0")+IFERROR(Y95/H95,"0")+IFERROR(Y96/H96,"0")</f>
        <v>103</v>
      </c>
      <c r="Z97" s="619">
        <f>IFERROR(IF(Z93="",0,Z93),"0")+IFERROR(IF(Z94="",0,Z94),"0")+IFERROR(IF(Z95="",0,Z95),"0")+IFERROR(IF(Z96="",0,Z96),"0")</f>
        <v>1.45614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610</v>
      </c>
      <c r="Y98" s="619">
        <f>IFERROR(SUM(Y93:Y96),"0")</f>
        <v>618.29999999999995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357</v>
      </c>
      <c r="Y101" s="618">
        <f t="shared" ref="Y101:Y107" si="10">IFERROR(IF(X101="",0,CEILING((X101/$H101),1)*$H101),"")</f>
        <v>367.20000000000005</v>
      </c>
      <c r="Z101" s="36">
        <f>IFERROR(IF(Y101=0,"",ROUNDUP(Y101/H101,0)*0.01898),"")</f>
        <v>0.64532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370.55277777777775</v>
      </c>
      <c r="BN101" s="64">
        <f t="shared" ref="BN101:BN107" si="12">IFERROR(Y101*I101/H101,"0")</f>
        <v>381.14000000000004</v>
      </c>
      <c r="BO101" s="64">
        <f t="shared" ref="BO101:BO107" si="13">IFERROR(1/J101*(X101/H101),"0")</f>
        <v>0.51649305555555547</v>
      </c>
      <c r="BP101" s="64">
        <f t="shared" ref="BP101:BP107" si="14">IFERROR(1/J101*(Y101/H101),"0")</f>
        <v>0.53125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158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164.67111111111114</v>
      </c>
      <c r="BN105" s="64">
        <f t="shared" si="12"/>
        <v>168.84000000000003</v>
      </c>
      <c r="BO105" s="64">
        <f t="shared" si="13"/>
        <v>0.265993265993266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68.166666666666657</v>
      </c>
      <c r="Y108" s="619">
        <f>IFERROR(Y101/H101,"0")+IFERROR(Y102/H102,"0")+IFERROR(Y103/H103,"0")+IFERROR(Y104/H104,"0")+IFERROR(Y105/H105,"0")+IFERROR(Y106/H106,"0")+IFERROR(Y107/H107,"0")</f>
        <v>70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0.97004000000000001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515</v>
      </c>
      <c r="Y109" s="619">
        <f>IFERROR(SUM(Y101:Y107),"0")</f>
        <v>529.20000000000005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17</v>
      </c>
      <c r="Y111" s="618">
        <f>IFERROR(IF(X111="",0,CEILING((X111/$H111),1)*$H111),"")</f>
        <v>21.6</v>
      </c>
      <c r="Z111" s="36">
        <f>IFERROR(IF(Y111=0,"",ROUNDUP(Y111/H111,0)*0.01898),"")</f>
        <v>3.7960000000000001E-2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17.645370370370372</v>
      </c>
      <c r="BN111" s="64">
        <f>IFERROR(Y111*I111/H111,"0")</f>
        <v>22.42</v>
      </c>
      <c r="BO111" s="64">
        <f>IFERROR(1/J111*(X111/H111),"0")</f>
        <v>2.4594907407407406E-2</v>
      </c>
      <c r="BP111" s="64">
        <f>IFERROR(1/J111*(Y111/H111),"0")</f>
        <v>3.125E-2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118</v>
      </c>
      <c r="Y115" s="618">
        <f>IFERROR(IF(X115="",0,CEILING((X115/$H115),1)*$H115),"")</f>
        <v>120</v>
      </c>
      <c r="Z115" s="36">
        <f>IFERROR(IF(Y115=0,"",ROUNDUP(Y115/H115,0)*0.00651),"")</f>
        <v>0.32550000000000001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126.85000000000001</v>
      </c>
      <c r="BN115" s="64">
        <f>IFERROR(Y115*I115/H115,"0")</f>
        <v>129.00000000000003</v>
      </c>
      <c r="BO115" s="64">
        <f>IFERROR(1/J115*(X115/H115),"0")</f>
        <v>0.27014652014652019</v>
      </c>
      <c r="BP115" s="64">
        <f>IFERROR(1/J115*(Y115/H115),"0")</f>
        <v>0.27472527472527475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50.740740740740748</v>
      </c>
      <c r="Y116" s="619">
        <f>IFERROR(Y111/H111,"0")+IFERROR(Y112/H112,"0")+IFERROR(Y113/H113,"0")+IFERROR(Y114/H114,"0")+IFERROR(Y115/H115,"0")</f>
        <v>52</v>
      </c>
      <c r="Z116" s="619">
        <f>IFERROR(IF(Z111="",0,Z111),"0")+IFERROR(IF(Z112="",0,Z112),"0")+IFERROR(IF(Z113="",0,Z113),"0")+IFERROR(IF(Z114="",0,Z114),"0")+IFERROR(IF(Z115="",0,Z115),"0")</f>
        <v>0.36346000000000001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135</v>
      </c>
      <c r="Y117" s="619">
        <f>IFERROR(SUM(Y111:Y115),"0")</f>
        <v>141.6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559</v>
      </c>
      <c r="Y119" s="618">
        <f>IFERROR(IF(X119="",0,CEILING((X119/$H119),1)*$H119),"")</f>
        <v>567</v>
      </c>
      <c r="Z119" s="36">
        <f>IFERROR(IF(Y119=0,"",ROUNDUP(Y119/H119,0)*0.01898),"")</f>
        <v>1.3286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592.6780246913579</v>
      </c>
      <c r="BN119" s="64">
        <f>IFERROR(Y119*I119/H119,"0")</f>
        <v>601.16</v>
      </c>
      <c r="BO119" s="64">
        <f>IFERROR(1/J119*(X119/H119),"0")</f>
        <v>1.0783179012345681</v>
      </c>
      <c r="BP119" s="64">
        <f>IFERROR(1/J119*(Y119/H119),"0")</f>
        <v>1.09375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116</v>
      </c>
      <c r="Y121" s="618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126.82666666666667</v>
      </c>
      <c r="BN121" s="64">
        <f>IFERROR(Y121*I121/H121,"0")</f>
        <v>126.93600000000001</v>
      </c>
      <c r="BO121" s="64">
        <f>IFERROR(1/J121*(X121/H121),"0")</f>
        <v>0.23606023606023607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111.97530864197532</v>
      </c>
      <c r="Y123" s="619">
        <f>IFERROR(Y119/H119,"0")+IFERROR(Y120/H120,"0")+IFERROR(Y121/H121,"0")+IFERROR(Y122/H122,"0")</f>
        <v>113</v>
      </c>
      <c r="Z123" s="619">
        <f>IFERROR(IF(Z119="",0,Z119),"0")+IFERROR(IF(Z120="",0,Z120),"0")+IFERROR(IF(Z121="",0,Z121),"0")+IFERROR(IF(Z122="",0,Z122),"0")</f>
        <v>1.60853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675</v>
      </c>
      <c r="Y124" s="619">
        <f>IFERROR(SUM(Y119:Y122),"0")</f>
        <v>683.1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39</v>
      </c>
      <c r="Y131" s="618">
        <f>IFERROR(IF(X131="",0,CEILING((X131/$H131),1)*$H131),"")</f>
        <v>41.6</v>
      </c>
      <c r="Z131" s="36">
        <f>IFERROR(IF(Y131=0,"",ROUNDUP(Y131/H131,0)*0.00651),"")</f>
        <v>8.4629999999999997E-2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41.193749999999994</v>
      </c>
      <c r="BN131" s="64">
        <f>IFERROR(Y131*I131/H131,"0")</f>
        <v>43.94</v>
      </c>
      <c r="BO131" s="64">
        <f>IFERROR(1/J131*(X131/H131),"0")</f>
        <v>6.6964285714285726E-2</v>
      </c>
      <c r="BP131" s="64">
        <f>IFERROR(1/J131*(Y131/H131),"0")</f>
        <v>7.1428571428571438E-2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12.1875</v>
      </c>
      <c r="Y133" s="619">
        <f>IFERROR(Y131/H131,"0")+IFERROR(Y132/H132,"0")</f>
        <v>13</v>
      </c>
      <c r="Z133" s="619">
        <f>IFERROR(IF(Z131="",0,Z131),"0")+IFERROR(IF(Z132="",0,Z132),"0")</f>
        <v>8.4629999999999997E-2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39</v>
      </c>
      <c r="Y134" s="619">
        <f>IFERROR(SUM(Y131:Y132),"0")</f>
        <v>41.6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32</v>
      </c>
      <c r="Y171" s="618">
        <f t="shared" ref="Y171:Y180" si="15">IFERROR(IF(X171="",0,CEILING((X171/$H171),1)*$H171),"")</f>
        <v>35</v>
      </c>
      <c r="Z171" s="36">
        <f>IFERROR(IF(Y171=0,"",ROUNDUP(Y171/H171,0)*0.00902),"")</f>
        <v>9.0200000000000002E-2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33.737142857142857</v>
      </c>
      <c r="BN171" s="64">
        <f t="shared" ref="BN171:BN180" si="17">IFERROR(Y171*I171/H171,"0")</f>
        <v>36.9</v>
      </c>
      <c r="BO171" s="64">
        <f t="shared" ref="BO171:BO180" si="18">IFERROR(1/J171*(X171/H171),"0")</f>
        <v>6.9264069264069264E-2</v>
      </c>
      <c r="BP171" s="64">
        <f t="shared" ref="BP171:BP180" si="19">IFERROR(1/J171*(Y171/H171),"0")</f>
        <v>7.575757575757576E-2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293</v>
      </c>
      <c r="Y173" s="618">
        <f t="shared" si="15"/>
        <v>294</v>
      </c>
      <c r="Z173" s="36">
        <f>IFERROR(IF(Y173=0,"",ROUNDUP(Y173/H173,0)*0.00902),"")</f>
        <v>0.75768000000000002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308.90571428571428</v>
      </c>
      <c r="BN173" s="64">
        <f t="shared" si="17"/>
        <v>309.95999999999998</v>
      </c>
      <c r="BO173" s="64">
        <f t="shared" si="18"/>
        <v>0.63419913419913421</v>
      </c>
      <c r="BP173" s="64">
        <f t="shared" si="19"/>
        <v>0.63636363636363635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5</v>
      </c>
      <c r="Y177" s="618">
        <f t="shared" si="15"/>
        <v>5.4</v>
      </c>
      <c r="Z177" s="36">
        <f>IFERROR(IF(Y177=0,"",ROUNDUP(Y177/H177,0)*0.00417),"")</f>
        <v>2.5020000000000001E-2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6.166666666666667</v>
      </c>
      <c r="BN177" s="64">
        <f t="shared" si="17"/>
        <v>6.66</v>
      </c>
      <c r="BO177" s="64">
        <f t="shared" si="18"/>
        <v>1.6534391534391533E-2</v>
      </c>
      <c r="BP177" s="64">
        <f t="shared" si="19"/>
        <v>1.7857142857142856E-2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98.412698412698404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100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0.87290000000000001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330</v>
      </c>
      <c r="Y182" s="619">
        <f>IFERROR(SUM(Y171:Y180),"0")</f>
        <v>334.4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48</v>
      </c>
      <c r="Y214" s="618">
        <f t="shared" ref="Y214:Y226" si="26">IFERROR(IF(X214="",0,CEILING((X214/$H214),1)*$H214),"")</f>
        <v>50.400000000000006</v>
      </c>
      <c r="Z214" s="36">
        <f>IFERROR(IF(Y214=0,"",ROUNDUP(Y214/H214,0)*0.00902),"")</f>
        <v>0.10824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50.857142857142861</v>
      </c>
      <c r="BN214" s="64">
        <f t="shared" ref="BN214:BN226" si="28">IFERROR(Y214*I214/H214,"0")</f>
        <v>53.400000000000006</v>
      </c>
      <c r="BO214" s="64">
        <f t="shared" ref="BO214:BO226" si="29">IFERROR(1/J214*(X214/H214),"0")</f>
        <v>8.658008658008659E-2</v>
      </c>
      <c r="BP214" s="64">
        <f t="shared" ref="BP214:BP226" si="30">IFERROR(1/J214*(Y214/H214),"0")</f>
        <v>9.0909090909090912E-2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111</v>
      </c>
      <c r="Y216" s="618">
        <f t="shared" si="26"/>
        <v>113.4</v>
      </c>
      <c r="Z216" s="36">
        <f>IFERROR(IF(Y216=0,"",ROUNDUP(Y216/H216,0)*0.00902),"")</f>
        <v>0.24354000000000001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116.02142857142856</v>
      </c>
      <c r="BN216" s="64">
        <f t="shared" si="28"/>
        <v>118.52999999999999</v>
      </c>
      <c r="BO216" s="64">
        <f t="shared" si="29"/>
        <v>0.20021645021645021</v>
      </c>
      <c r="BP216" s="64">
        <f t="shared" si="30"/>
        <v>0.20454545454545456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14</v>
      </c>
      <c r="Y217" s="618">
        <f t="shared" si="26"/>
        <v>14.4</v>
      </c>
      <c r="Z217" s="36">
        <f>IFERROR(IF(Y217=0,"",ROUNDUP(Y217/H217,0)*0.00556),"")</f>
        <v>0.10008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16.275000000000002</v>
      </c>
      <c r="BN217" s="64">
        <f t="shared" si="28"/>
        <v>16.740000000000002</v>
      </c>
      <c r="BO217" s="64">
        <f t="shared" si="29"/>
        <v>6.9444444444444448E-2</v>
      </c>
      <c r="BP217" s="64">
        <f t="shared" si="30"/>
        <v>7.1428571428571425E-2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7</v>
      </c>
      <c r="Y222" s="618">
        <f t="shared" si="26"/>
        <v>7.2</v>
      </c>
      <c r="Z222" s="36">
        <f>IFERROR(IF(Y222=0,"",ROUNDUP(Y222/H222,0)*0.00502),"")</f>
        <v>2.0080000000000001E-2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7.5055555555555555</v>
      </c>
      <c r="BN222" s="64">
        <f t="shared" si="28"/>
        <v>7.7199999999999989</v>
      </c>
      <c r="BO222" s="64">
        <f t="shared" si="29"/>
        <v>1.6619183285849954E-2</v>
      </c>
      <c r="BP222" s="64">
        <f t="shared" si="30"/>
        <v>1.7094017094017096E-2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3</v>
      </c>
      <c r="Y223" s="618">
        <f t="shared" si="26"/>
        <v>3.2</v>
      </c>
      <c r="Z223" s="36">
        <f>IFERROR(IF(Y223=0,"",ROUNDUP(Y223/H223,0)*0.00417),"")</f>
        <v>1.668E-2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3.7875000000000001</v>
      </c>
      <c r="BN223" s="64">
        <f t="shared" si="28"/>
        <v>4.04</v>
      </c>
      <c r="BO223" s="64">
        <f t="shared" si="29"/>
        <v>1.1160714285714284E-2</v>
      </c>
      <c r="BP223" s="64">
        <f t="shared" si="30"/>
        <v>1.1904761904761904E-2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224</v>
      </c>
      <c r="Y224" s="618">
        <f t="shared" si="26"/>
        <v>224.70000000000002</v>
      </c>
      <c r="Z224" s="36">
        <f>IFERROR(IF(Y224=0,"",ROUNDUP(Y224/H224,0)*0.00502),"")</f>
        <v>0.53714000000000006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234.66666666666669</v>
      </c>
      <c r="BN224" s="64">
        <f t="shared" si="28"/>
        <v>235.40000000000003</v>
      </c>
      <c r="BO224" s="64">
        <f t="shared" si="29"/>
        <v>0.45584045584045585</v>
      </c>
      <c r="BP224" s="64">
        <f t="shared" si="30"/>
        <v>0.45726495726495731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169.6626984126984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172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1.02576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407</v>
      </c>
      <c r="Y228" s="619">
        <f>IFERROR(SUM(Y214:Y226),"0")</f>
        <v>413.3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5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3.9682539682539684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5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50</v>
      </c>
      <c r="Y259" s="618">
        <f t="shared" ref="Y259:Y266" si="31">IFERROR(IF(X259="",0,CEILING((X259/$H259),1)*$H259),"")</f>
        <v>54</v>
      </c>
      <c r="Z259" s="36">
        <f>IFERROR(IF(Y259=0,"",ROUNDUP(Y259/H259,0)*0.00902),"")</f>
        <v>9.0200000000000002E-2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51.759259259259252</v>
      </c>
      <c r="BN259" s="64">
        <f t="shared" ref="BN259:BN266" si="33">IFERROR(Y259*I259/H259,"0")</f>
        <v>55.9</v>
      </c>
      <c r="BO259" s="64">
        <f t="shared" ref="BO259:BO266" si="34">IFERROR(1/J259*(X259/H259),"0")</f>
        <v>7.0145903479236812E-2</v>
      </c>
      <c r="BP259" s="64">
        <f t="shared" ref="BP259:BP266" si="35">IFERROR(1/J259*(Y259/H259),"0")</f>
        <v>7.575757575757576E-2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251</v>
      </c>
      <c r="Y260" s="618">
        <f t="shared" si="31"/>
        <v>253.8</v>
      </c>
      <c r="Z260" s="36">
        <f>IFERROR(IF(Y260=0,"",ROUNDUP(Y260/H260,0)*0.00902),"")</f>
        <v>0.42393999999999998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259.83148148148143</v>
      </c>
      <c r="BN260" s="64">
        <f t="shared" si="33"/>
        <v>262.72999999999996</v>
      </c>
      <c r="BO260" s="64">
        <f t="shared" si="34"/>
        <v>0.35213243546576878</v>
      </c>
      <c r="BP260" s="64">
        <f t="shared" si="35"/>
        <v>0.35606060606060608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300</v>
      </c>
      <c r="Y261" s="618">
        <f t="shared" si="31"/>
        <v>302.40000000000003</v>
      </c>
      <c r="Z261" s="36">
        <f>IFERROR(IF(Y261=0,"",ROUNDUP(Y261/H261,0)*0.00902),"")</f>
        <v>0.50512000000000001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310.55555555555554</v>
      </c>
      <c r="BN261" s="64">
        <f t="shared" si="33"/>
        <v>313.04000000000002</v>
      </c>
      <c r="BO261" s="64">
        <f t="shared" si="34"/>
        <v>0.42087542087542085</v>
      </c>
      <c r="BP261" s="64">
        <f t="shared" si="35"/>
        <v>0.42424242424242425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14</v>
      </c>
      <c r="Y262" s="618">
        <f t="shared" si="31"/>
        <v>16.200000000000003</v>
      </c>
      <c r="Z262" s="36">
        <f>IFERROR(IF(Y262=0,"",ROUNDUP(Y262/H262,0)*0.00902),"")</f>
        <v>2.7060000000000001E-2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14.49259259259259</v>
      </c>
      <c r="BN262" s="64">
        <f t="shared" si="33"/>
        <v>16.77</v>
      </c>
      <c r="BO262" s="64">
        <f t="shared" si="34"/>
        <v>1.9640852974186308E-2</v>
      </c>
      <c r="BP262" s="64">
        <f t="shared" si="35"/>
        <v>2.2727272727272731E-2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13</v>
      </c>
      <c r="Y263" s="618">
        <f t="shared" si="31"/>
        <v>14.4</v>
      </c>
      <c r="Z263" s="36">
        <f>IFERROR(IF(Y263=0,"",ROUNDUP(Y263/H263,0)*0.00502),"")</f>
        <v>4.0160000000000001E-2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13.938888888888888</v>
      </c>
      <c r="BN263" s="64">
        <f t="shared" si="33"/>
        <v>15.439999999999998</v>
      </c>
      <c r="BO263" s="64">
        <f t="shared" si="34"/>
        <v>3.0864197530864203E-2</v>
      </c>
      <c r="BP263" s="64">
        <f t="shared" si="35"/>
        <v>3.4188034188034191E-2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31</v>
      </c>
      <c r="Y264" s="618">
        <f t="shared" si="31"/>
        <v>32.4</v>
      </c>
      <c r="Z264" s="36">
        <f>IFERROR(IF(Y264=0,"",ROUNDUP(Y264/H264,0)*0.00502),"")</f>
        <v>9.0359999999999996E-2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32.722222222222221</v>
      </c>
      <c r="BN264" s="64">
        <f t="shared" si="33"/>
        <v>34.199999999999996</v>
      </c>
      <c r="BO264" s="64">
        <f t="shared" si="34"/>
        <v>7.3599240265906932E-2</v>
      </c>
      <c r="BP264" s="64">
        <f t="shared" si="35"/>
        <v>7.6923076923076927E-2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4</v>
      </c>
      <c r="Y266" s="618">
        <f t="shared" si="31"/>
        <v>5.4</v>
      </c>
      <c r="Z266" s="36">
        <f>IFERROR(IF(Y266=0,"",ROUNDUP(Y266/H266,0)*0.00502),"")</f>
        <v>1.506E-2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4.2222222222222223</v>
      </c>
      <c r="BN266" s="64">
        <f t="shared" si="33"/>
        <v>5.7</v>
      </c>
      <c r="BO266" s="64">
        <f t="shared" si="34"/>
        <v>9.4966761633428314E-3</v>
      </c>
      <c r="BP266" s="64">
        <f t="shared" si="35"/>
        <v>1.2820512820512822E-2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140.55555555555557</v>
      </c>
      <c r="Y267" s="619">
        <f>IFERROR(Y259/H259,"0")+IFERROR(Y260/H260,"0")+IFERROR(Y261/H261,"0")+IFERROR(Y262/H262,"0")+IFERROR(Y263/H263,"0")+IFERROR(Y264/H264,"0")+IFERROR(Y265/H265,"0")+IFERROR(Y266/H266,"0")</f>
        <v>145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1.1919000000000002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663</v>
      </c>
      <c r="Y268" s="619">
        <f>IFERROR(SUM(Y259:Y266),"0")</f>
        <v>678.6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75</v>
      </c>
      <c r="Y270" s="618">
        <f t="shared" ref="Y270:Y281" si="36">IFERROR(IF(X270="",0,CEILING((X270/$H270),1)*$H270),"")</f>
        <v>81</v>
      </c>
      <c r="Z270" s="36">
        <f>IFERROR(IF(Y270=0,"",ROUNDUP(Y270/H270,0)*0.01898),"")</f>
        <v>0.1898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79.574074074074076</v>
      </c>
      <c r="BN270" s="64">
        <f t="shared" ref="BN270:BN281" si="38">IFERROR(Y270*I270/H270,"0")</f>
        <v>85.94</v>
      </c>
      <c r="BO270" s="64">
        <f t="shared" ref="BO270:BO281" si="39">IFERROR(1/J270*(X270/H270),"0")</f>
        <v>0.14467592592592593</v>
      </c>
      <c r="BP270" s="64">
        <f t="shared" ref="BP270:BP281" si="40">IFERROR(1/J270*(Y270/H270),"0")</f>
        <v>0.15625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168</v>
      </c>
      <c r="Y271" s="618">
        <f t="shared" si="36"/>
        <v>170.1</v>
      </c>
      <c r="Z271" s="36">
        <f>IFERROR(IF(Y271=0,"",ROUNDUP(Y271/H271,0)*0.01898),"")</f>
        <v>0.39857999999999999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177.87259259259261</v>
      </c>
      <c r="BN271" s="64">
        <f t="shared" si="38"/>
        <v>180.09600000000003</v>
      </c>
      <c r="BO271" s="64">
        <f t="shared" si="39"/>
        <v>0.32407407407407407</v>
      </c>
      <c r="BP271" s="64">
        <f t="shared" si="40"/>
        <v>0.328125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119</v>
      </c>
      <c r="Y273" s="618">
        <f t="shared" si="36"/>
        <v>120</v>
      </c>
      <c r="Z273" s="36">
        <f>IFERROR(IF(Y273=0,"",ROUNDUP(Y273/H273,0)*0.00651),"")</f>
        <v>0.32550000000000001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132.38750000000002</v>
      </c>
      <c r="BN273" s="64">
        <f t="shared" si="38"/>
        <v>133.5</v>
      </c>
      <c r="BO273" s="64">
        <f t="shared" si="39"/>
        <v>0.27243589743589747</v>
      </c>
      <c r="BP273" s="64">
        <f t="shared" si="40"/>
        <v>0.27472527472527475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935</v>
      </c>
      <c r="Y276" s="618">
        <f t="shared" si="36"/>
        <v>936</v>
      </c>
      <c r="Z276" s="36">
        <f>IFERROR(IF(Y276=0,"",ROUNDUP(Y276/H276,0)*0.00651),"")</f>
        <v>2.5388999999999999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1033.1750000000002</v>
      </c>
      <c r="BN276" s="64">
        <f t="shared" si="38"/>
        <v>1034.28</v>
      </c>
      <c r="BO276" s="64">
        <f t="shared" si="39"/>
        <v>2.140567765567766</v>
      </c>
      <c r="BP276" s="64">
        <f t="shared" si="40"/>
        <v>2.1428571428571432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155</v>
      </c>
      <c r="Y278" s="618">
        <f t="shared" si="36"/>
        <v>156</v>
      </c>
      <c r="Z278" s="36">
        <f>IFERROR(IF(Y278=0,"",ROUNDUP(Y278/H278,0)*0.00651),"")</f>
        <v>0.42315000000000003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171.27500000000001</v>
      </c>
      <c r="BN278" s="64">
        <f t="shared" si="38"/>
        <v>172.38000000000002</v>
      </c>
      <c r="BO278" s="64">
        <f t="shared" si="39"/>
        <v>0.35485347985347993</v>
      </c>
      <c r="BP278" s="64">
        <f t="shared" si="40"/>
        <v>0.35714285714285715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142</v>
      </c>
      <c r="Y279" s="618">
        <f t="shared" si="36"/>
        <v>144</v>
      </c>
      <c r="Z279" s="36">
        <f>IFERROR(IF(Y279=0,"",ROUNDUP(Y279/H279,0)*0.00651),"")</f>
        <v>0.3906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156.91</v>
      </c>
      <c r="BN279" s="64">
        <f t="shared" si="38"/>
        <v>159.12000000000003</v>
      </c>
      <c r="BO279" s="64">
        <f t="shared" si="39"/>
        <v>0.32509157509157516</v>
      </c>
      <c r="BP279" s="64">
        <f t="shared" si="40"/>
        <v>0.32967032967032972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609.58333333333337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613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4.3771999999999993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1634</v>
      </c>
      <c r="Y283" s="619">
        <f>IFERROR(SUM(Y270:Y281),"0")</f>
        <v>1647.8999999999999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23</v>
      </c>
      <c r="Y285" s="618">
        <f>IFERROR(IF(X285="",0,CEILING((X285/$H285),1)*$H285),"")</f>
        <v>24</v>
      </c>
      <c r="Z285" s="36">
        <f>IFERROR(IF(Y285=0,"",ROUNDUP(Y285/H285,0)*0.00651),"")</f>
        <v>6.5100000000000005E-2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25.415000000000003</v>
      </c>
      <c r="BN285" s="64">
        <f>IFERROR(Y285*I285/H285,"0")</f>
        <v>26.520000000000003</v>
      </c>
      <c r="BO285" s="64">
        <f>IFERROR(1/J285*(X285/H285),"0")</f>
        <v>5.2655677655677663E-2</v>
      </c>
      <c r="BP285" s="64">
        <f>IFERROR(1/J285*(Y285/H285),"0")</f>
        <v>5.4945054945054951E-2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9.5833333333333339</v>
      </c>
      <c r="Y287" s="619">
        <f>IFERROR(Y285/H285,"0")+IFERROR(Y286/H286,"0")</f>
        <v>10</v>
      </c>
      <c r="Z287" s="619">
        <f>IFERROR(IF(Z285="",0,Z285),"0")+IFERROR(IF(Z286="",0,Z286),"0")</f>
        <v>6.5100000000000005E-2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23</v>
      </c>
      <c r="Y288" s="619">
        <f>IFERROR(SUM(Y285:Y286),"0")</f>
        <v>24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67</v>
      </c>
      <c r="Y291" s="618">
        <f t="shared" ref="Y291:Y297" si="41">IFERROR(IF(X291="",0,CEILING((X291/$H291),1)*$H291),"")</f>
        <v>69.599999999999994</v>
      </c>
      <c r="Z291" s="36">
        <f>IFERROR(IF(Y291=0,"",ROUNDUP(Y291/H291,0)*0.01898),"")</f>
        <v>0.11388000000000001</v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69.368103448275861</v>
      </c>
      <c r="BN291" s="64">
        <f t="shared" ref="BN291:BN297" si="43">IFERROR(Y291*I291/H291,"0")</f>
        <v>72.06</v>
      </c>
      <c r="BO291" s="64">
        <f t="shared" ref="BO291:BO297" si="44">IFERROR(1/J291*(X291/H291),"0")</f>
        <v>9.0247844827586216E-2</v>
      </c>
      <c r="BP291" s="64">
        <f t="shared" ref="BP291:BP297" si="45">IFERROR(1/J291*(Y291/H291),"0")</f>
        <v>9.375E-2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5.7758620689655178</v>
      </c>
      <c r="Y298" s="619">
        <f>IFERROR(Y291/H291,"0")+IFERROR(Y292/H292,"0")+IFERROR(Y293/H293,"0")+IFERROR(Y294/H294,"0")+IFERROR(Y295/H295,"0")+IFERROR(Y296/H296,"0")+IFERROR(Y297/H297,"0")</f>
        <v>6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0.11388000000000001</v>
      </c>
      <c r="AA298" s="620"/>
      <c r="AB298" s="620"/>
      <c r="AC298" s="620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67</v>
      </c>
      <c r="Y299" s="619">
        <f>IFERROR(SUM(Y291:Y297),"0")</f>
        <v>69.599999999999994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3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3.291666666666667</v>
      </c>
      <c r="BN305" s="64">
        <f>IFERROR(Y305*I305/H305,"0")</f>
        <v>3.95</v>
      </c>
      <c r="BO305" s="64">
        <f>IFERROR(1/J305*(X305/H305),"0")</f>
        <v>7.7160493827160481E-3</v>
      </c>
      <c r="BP305" s="64">
        <f>IFERROR(1/J305*(Y305/H305),"0")</f>
        <v>9.2592592592592587E-3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1.6666666666666665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3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40</v>
      </c>
      <c r="Y327" s="618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43</v>
      </c>
      <c r="BN327" s="64">
        <f>IFERROR(Y327*I327/H327,"0")</f>
        <v>43.86</v>
      </c>
      <c r="BO327" s="64">
        <f>IFERROR(1/J327*(X327/H327),"0")</f>
        <v>9.1575091575091583E-2</v>
      </c>
      <c r="BP327" s="64">
        <f>IFERROR(1/J327*(Y327/H327),"0")</f>
        <v>9.3406593406593408E-2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16.666666666666668</v>
      </c>
      <c r="Y328" s="619">
        <f>IFERROR(Y325/H325,"0")+IFERROR(Y326/H326,"0")+IFERROR(Y327/H327,"0")</f>
        <v>17</v>
      </c>
      <c r="Z328" s="619">
        <f>IFERROR(IF(Z325="",0,Z325),"0")+IFERROR(IF(Z326="",0,Z326),"0")+IFERROR(IF(Z327="",0,Z327),"0")</f>
        <v>0.11067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40</v>
      </c>
      <c r="Y329" s="619">
        <f>IFERROR(SUM(Y325:Y327),"0")</f>
        <v>40.799999999999997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0</v>
      </c>
      <c r="Y349" s="619">
        <f>IFERROR(Y346/H346,"0")+IFERROR(Y347/H347,"0")+IFERROR(Y348/H348,"0")</f>
        <v>0</v>
      </c>
      <c r="Z349" s="619">
        <f>IFERROR(IF(Z346="",0,Z346),"0")+IFERROR(IF(Z347="",0,Z347),"0")+IFERROR(IF(Z348="",0,Z348),"0")</f>
        <v>0</v>
      </c>
      <c r="AA349" s="620"/>
      <c r="AB349" s="620"/>
      <c r="AC349" s="620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0</v>
      </c>
      <c r="Y350" s="619">
        <f>IFERROR(SUM(Y346:Y348),"0")</f>
        <v>0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43</v>
      </c>
      <c r="Y364" s="618">
        <f t="shared" si="56"/>
        <v>46.2</v>
      </c>
      <c r="Z364" s="36">
        <f>IFERROR(IF(Y364=0,"",ROUNDUP(Y364/H364,0)*0.00902),"")</f>
        <v>9.9220000000000003E-2</v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45.559523809523803</v>
      </c>
      <c r="BN364" s="64">
        <f t="shared" si="58"/>
        <v>48.95</v>
      </c>
      <c r="BO364" s="64">
        <f t="shared" si="59"/>
        <v>7.7561327561327553E-2</v>
      </c>
      <c r="BP364" s="64">
        <f t="shared" si="60"/>
        <v>8.3333333333333343E-2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45</v>
      </c>
      <c r="Y369" s="618">
        <f t="shared" si="56"/>
        <v>45</v>
      </c>
      <c r="Z369" s="36">
        <f>IFERROR(IF(Y369=0,"",ROUNDUP(Y369/H369,0)*0.00651),"")</f>
        <v>0.16275000000000001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50.7</v>
      </c>
      <c r="BN369" s="64">
        <f t="shared" si="58"/>
        <v>50.7</v>
      </c>
      <c r="BO369" s="64">
        <f t="shared" si="59"/>
        <v>0.13736263736263737</v>
      </c>
      <c r="BP369" s="64">
        <f t="shared" si="60"/>
        <v>0.13736263736263737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35.238095238095241</v>
      </c>
      <c r="Y370" s="619">
        <f>IFERROR(Y363/H363,"0")+IFERROR(Y364/H364,"0")+IFERROR(Y365/H365,"0")+IFERROR(Y366/H366,"0")+IFERROR(Y367/H367,"0")+IFERROR(Y368/H368,"0")+IFERROR(Y369/H369,"0")</f>
        <v>36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0.26197000000000004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88</v>
      </c>
      <c r="Y371" s="619">
        <f>IFERROR(SUM(Y363:Y369),"0")</f>
        <v>91.2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100</v>
      </c>
      <c r="Y373" s="618">
        <f>IFERROR(IF(X373="",0,CEILING((X373/$H373),1)*$H373),"")</f>
        <v>101.39999999999999</v>
      </c>
      <c r="Z373" s="36">
        <f>IFERROR(IF(Y373=0,"",ROUNDUP(Y373/H373,0)*0.01898),"")</f>
        <v>0.24674000000000001</v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106.25641025641026</v>
      </c>
      <c r="BN373" s="64">
        <f>IFERROR(Y373*I373/H373,"0")</f>
        <v>107.744</v>
      </c>
      <c r="BO373" s="64">
        <f>IFERROR(1/J373*(X373/H373),"0")</f>
        <v>0.20032051282051283</v>
      </c>
      <c r="BP373" s="64">
        <f>IFERROR(1/J373*(Y373/H373),"0")</f>
        <v>0.203125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12.820512820512821</v>
      </c>
      <c r="Y377" s="619">
        <f>IFERROR(Y373/H373,"0")+IFERROR(Y374/H374,"0")+IFERROR(Y375/H375,"0")+IFERROR(Y376/H376,"0")</f>
        <v>13</v>
      </c>
      <c r="Z377" s="619">
        <f>IFERROR(IF(Z373="",0,Z373),"0")+IFERROR(IF(Z374="",0,Z374),"0")+IFERROR(IF(Z375="",0,Z375),"0")+IFERROR(IF(Z376="",0,Z376),"0")</f>
        <v>0.24674000000000001</v>
      </c>
      <c r="AA377" s="620"/>
      <c r="AB377" s="620"/>
      <c r="AC377" s="620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100</v>
      </c>
      <c r="Y378" s="619">
        <f>IFERROR(SUM(Y373:Y376),"0")</f>
        <v>101.39999999999999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45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47.646428571428572</v>
      </c>
      <c r="BN380" s="64">
        <f>IFERROR(Y380*I380/H380,"0")</f>
        <v>53.364000000000004</v>
      </c>
      <c r="BO380" s="64">
        <f>IFERROR(1/J380*(X380/H380),"0")</f>
        <v>8.3705357142857137E-2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441</v>
      </c>
      <c r="Y381" s="618">
        <f>IFERROR(IF(X381="",0,CEILING((X381/$H381),1)*$H381),"")</f>
        <v>444.59999999999997</v>
      </c>
      <c r="Z381" s="36">
        <f>IFERROR(IF(Y381=0,"",ROUNDUP(Y381/H381,0)*0.01898),"")</f>
        <v>1.08186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468.93</v>
      </c>
      <c r="BN381" s="64">
        <f>IFERROR(Y381*I381/H381,"0")</f>
        <v>472.75800000000004</v>
      </c>
      <c r="BO381" s="64">
        <f>IFERROR(1/J381*(X381/H381),"0")</f>
        <v>0.88341346153846156</v>
      </c>
      <c r="BP381" s="64">
        <f>IFERROR(1/J381*(Y381/H381),"0")</f>
        <v>0.890625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119</v>
      </c>
      <c r="Y382" s="618">
        <f>IFERROR(IF(X382="",0,CEILING((X382/$H382),1)*$H382),"")</f>
        <v>126</v>
      </c>
      <c r="Z382" s="36">
        <f>IFERROR(IF(Y382=0,"",ROUNDUP(Y382/H382,0)*0.01898),"")</f>
        <v>0.28470000000000001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125.99833333333332</v>
      </c>
      <c r="BN382" s="64">
        <f>IFERROR(Y382*I382/H382,"0")</f>
        <v>133.41</v>
      </c>
      <c r="BO382" s="64">
        <f>IFERROR(1/J382*(X382/H382),"0")</f>
        <v>0.22135416666666666</v>
      </c>
      <c r="BP382" s="64">
        <f>IFERROR(1/J382*(Y382/H382),"0")</f>
        <v>0.234375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76.062271062271066</v>
      </c>
      <c r="Y383" s="619">
        <f>IFERROR(Y380/H380,"0")+IFERROR(Y381/H381,"0")+IFERROR(Y382/H382,"0")</f>
        <v>78</v>
      </c>
      <c r="Z383" s="619">
        <f>IFERROR(IF(Z380="",0,Z380),"0")+IFERROR(IF(Z381="",0,Z381),"0")+IFERROR(IF(Z382="",0,Z382),"0")</f>
        <v>1.48044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605</v>
      </c>
      <c r="Y384" s="619">
        <f>IFERROR(SUM(Y380:Y382),"0")</f>
        <v>621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3</v>
      </c>
      <c r="Y388" s="618">
        <f>IFERROR(IF(X388="",0,CEILING((X388/$H388),1)*$H388),"")</f>
        <v>5.0999999999999996</v>
      </c>
      <c r="Z388" s="36">
        <f>IFERROR(IF(Y388=0,"",ROUNDUP(Y388/H388,0)*0.00651),"")</f>
        <v>1.302E-2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3.4764705882352946</v>
      </c>
      <c r="BN388" s="64">
        <f>IFERROR(Y388*I388/H388,"0")</f>
        <v>5.91</v>
      </c>
      <c r="BO388" s="64">
        <f>IFERROR(1/J388*(X388/H388),"0")</f>
        <v>6.4641241111829352E-3</v>
      </c>
      <c r="BP388" s="64">
        <f>IFERROR(1/J388*(Y388/H388),"0")</f>
        <v>1.098901098901099E-2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1.1764705882352942</v>
      </c>
      <c r="Y390" s="619">
        <f>IFERROR(Y386/H386,"0")+IFERROR(Y387/H387,"0")+IFERROR(Y388/H388,"0")+IFERROR(Y389/H389,"0")</f>
        <v>2</v>
      </c>
      <c r="Z390" s="619">
        <f>IFERROR(IF(Z386="",0,Z386),"0")+IFERROR(IF(Z387="",0,Z387),"0")+IFERROR(IF(Z388="",0,Z388),"0")+IFERROR(IF(Z389="",0,Z389),"0")</f>
        <v>1.302E-2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3</v>
      </c>
      <c r="Y391" s="619">
        <f>IFERROR(SUM(Y386:Y389),"0")</f>
        <v>5.0999999999999996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8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8.9600000000000009</v>
      </c>
      <c r="BN393" s="64">
        <f>IFERROR(Y393*I393/H393,"0")</f>
        <v>8.9600000000000009</v>
      </c>
      <c r="BO393" s="64">
        <f>IFERROR(1/J393*(X393/H393),"0")</f>
        <v>1.680672268907563E-2</v>
      </c>
      <c r="BP393" s="64">
        <f>IFERROR(1/J393*(Y393/H393),"0")</f>
        <v>1.680672268907563E-2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13</v>
      </c>
      <c r="Y395" s="618">
        <f>IFERROR(IF(X395="",0,CEILING((X395/$H395),1)*$H395),"")</f>
        <v>14</v>
      </c>
      <c r="Z395" s="36">
        <f>IFERROR(IF(Y395=0,"",ROUNDUP(Y395/H395,0)*0.00474),"")</f>
        <v>3.3180000000000001E-2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14.560000000000002</v>
      </c>
      <c r="BN395" s="64">
        <f>IFERROR(Y395*I395/H395,"0")</f>
        <v>15.680000000000001</v>
      </c>
      <c r="BO395" s="64">
        <f>IFERROR(1/J395*(X395/H395),"0")</f>
        <v>2.7310924369747899E-2</v>
      </c>
      <c r="BP395" s="64">
        <f>IFERROR(1/J395*(Y395/H395),"0")</f>
        <v>2.9411764705882353E-2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10.5</v>
      </c>
      <c r="Y396" s="619">
        <f>IFERROR(Y393/H393,"0")+IFERROR(Y394/H394,"0")+IFERROR(Y395/H395,"0")</f>
        <v>11</v>
      </c>
      <c r="Z396" s="619">
        <f>IFERROR(IF(Z393="",0,Z393),"0")+IFERROR(IF(Z394="",0,Z394),"0")+IFERROR(IF(Z395="",0,Z395),"0")</f>
        <v>5.2140000000000006E-2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21</v>
      </c>
      <c r="Y397" s="619">
        <f>IFERROR(SUM(Y393:Y395),"0")</f>
        <v>22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16</v>
      </c>
      <c r="Y413" s="618">
        <f>IFERROR(IF(X413="",0,CEILING((X413/$H413),1)*$H413),"")</f>
        <v>16.8</v>
      </c>
      <c r="Z413" s="36">
        <f>IFERROR(IF(Y413=0,"",ROUNDUP(Y413/H413,0)*0.00651),"")</f>
        <v>5.2080000000000001E-2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17.919999999999998</v>
      </c>
      <c r="BN413" s="64">
        <f>IFERROR(Y413*I413/H413,"0")</f>
        <v>18.815999999999999</v>
      </c>
      <c r="BO413" s="64">
        <f>IFERROR(1/J413*(X413/H413),"0")</f>
        <v>4.1862899005756148E-2</v>
      </c>
      <c r="BP413" s="64">
        <f>IFERROR(1/J413*(Y413/H413),"0")</f>
        <v>4.3956043956043959E-2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5</v>
      </c>
      <c r="Y414" s="618">
        <f>IFERROR(IF(X414="",0,CEILING((X414/$H414),1)*$H414),"")</f>
        <v>6.3000000000000007</v>
      </c>
      <c r="Z414" s="36">
        <f>IFERROR(IF(Y414=0,"",ROUNDUP(Y414/H414,0)*0.00651),"")</f>
        <v>1.9529999999999999E-2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5.5714285714285712</v>
      </c>
      <c r="BN414" s="64">
        <f>IFERROR(Y414*I414/H414,"0")</f>
        <v>7.0200000000000005</v>
      </c>
      <c r="BO414" s="64">
        <f>IFERROR(1/J414*(X414/H414),"0")</f>
        <v>1.3082155939298797E-2</v>
      </c>
      <c r="BP414" s="64">
        <f>IFERROR(1/J414*(Y414/H414),"0")</f>
        <v>1.6483516483516484E-2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10</v>
      </c>
      <c r="Y415" s="619">
        <f>IFERROR(Y412/H412,"0")+IFERROR(Y413/H413,"0")+IFERROR(Y414/H414,"0")</f>
        <v>11</v>
      </c>
      <c r="Z415" s="619">
        <f>IFERROR(IF(Z412="",0,Z412),"0")+IFERROR(IF(Z413="",0,Z413),"0")+IFERROR(IF(Z414="",0,Z414),"0")</f>
        <v>7.1610000000000007E-2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21</v>
      </c>
      <c r="Y416" s="619">
        <f>IFERROR(SUM(Y412:Y414),"0")</f>
        <v>23.1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1355</v>
      </c>
      <c r="Y421" s="618">
        <f t="shared" si="61"/>
        <v>1365</v>
      </c>
      <c r="Z421" s="36">
        <f>IFERROR(IF(Y421=0,"",ROUNDUP(Y421/H421,0)*0.02175),"")</f>
        <v>1.97925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1397.4566666666667</v>
      </c>
      <c r="BN421" s="64">
        <f t="shared" si="63"/>
        <v>1407.77</v>
      </c>
      <c r="BO421" s="64">
        <f t="shared" si="64"/>
        <v>1.8819444444444442</v>
      </c>
      <c r="BP421" s="64">
        <f t="shared" si="65"/>
        <v>1.8958333333333333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1591</v>
      </c>
      <c r="Y422" s="618">
        <f t="shared" si="61"/>
        <v>1605</v>
      </c>
      <c r="Z422" s="36">
        <f>IFERROR(IF(Y422=0,"",ROUNDUP(Y422/H422,0)*0.02175),"")</f>
        <v>2.3272499999999998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1640.8513333333333</v>
      </c>
      <c r="BN422" s="64">
        <f t="shared" si="63"/>
        <v>1655.2900000000002</v>
      </c>
      <c r="BO422" s="64">
        <f t="shared" si="64"/>
        <v>2.2097222222222221</v>
      </c>
      <c r="BP422" s="64">
        <f t="shared" si="65"/>
        <v>2.2291666666666665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872</v>
      </c>
      <c r="Y423" s="618">
        <f t="shared" si="61"/>
        <v>885</v>
      </c>
      <c r="Z423" s="36">
        <f>IFERROR(IF(Y423=0,"",ROUNDUP(Y423/H423,0)*0.02175),"")</f>
        <v>1.28325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899.32266666666669</v>
      </c>
      <c r="BN423" s="64">
        <f t="shared" si="63"/>
        <v>912.73</v>
      </c>
      <c r="BO423" s="64">
        <f t="shared" si="64"/>
        <v>1.211111111111111</v>
      </c>
      <c r="BP423" s="64">
        <f t="shared" si="65"/>
        <v>1.2291666666666665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963</v>
      </c>
      <c r="Y424" s="618">
        <f t="shared" si="61"/>
        <v>975</v>
      </c>
      <c r="Z424" s="36">
        <f>IFERROR(IF(Y424=0,"",ROUNDUP(Y424/H424,0)*0.02175),"")</f>
        <v>1.4137499999999998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993.17400000000009</v>
      </c>
      <c r="BN424" s="64">
        <f t="shared" si="63"/>
        <v>1005.55</v>
      </c>
      <c r="BO424" s="64">
        <f t="shared" si="64"/>
        <v>1.3374999999999999</v>
      </c>
      <c r="BP424" s="64">
        <f t="shared" si="65"/>
        <v>1.3541666666666665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318.73333333333329</v>
      </c>
      <c r="Y428" s="619">
        <f>IFERROR(Y420/H420,"0")+IFERROR(Y421/H421,"0")+IFERROR(Y422/H422,"0")+IFERROR(Y423/H423,"0")+IFERROR(Y424/H424,"0")+IFERROR(Y425/H425,"0")+IFERROR(Y426/H426,"0")+IFERROR(Y427/H427,"0")</f>
        <v>322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7.0034999999999989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4781</v>
      </c>
      <c r="Y429" s="619">
        <f>IFERROR(SUM(Y420:Y427),"0")</f>
        <v>4830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1255</v>
      </c>
      <c r="Y431" s="618">
        <f>IFERROR(IF(X431="",0,CEILING((X431/$H431),1)*$H431),"")</f>
        <v>1260</v>
      </c>
      <c r="Z431" s="36">
        <f>IFERROR(IF(Y431=0,"",ROUNDUP(Y431/H431,0)*0.02175),"")</f>
        <v>1.827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1294.3233333333335</v>
      </c>
      <c r="BN431" s="64">
        <f>IFERROR(Y431*I431/H431,"0")</f>
        <v>1299.48</v>
      </c>
      <c r="BO431" s="64">
        <f>IFERROR(1/J431*(X431/H431),"0")</f>
        <v>1.7430555555555556</v>
      </c>
      <c r="BP431" s="64">
        <f>IFERROR(1/J431*(Y431/H431),"0")</f>
        <v>1.75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83.666666666666671</v>
      </c>
      <c r="Y434" s="619">
        <f>IFERROR(Y431/H431,"0")+IFERROR(Y432/H432,"0")+IFERROR(Y433/H433,"0")</f>
        <v>84</v>
      </c>
      <c r="Z434" s="619">
        <f>IFERROR(IF(Z431="",0,Z431),"0")+IFERROR(IF(Z432="",0,Z432),"0")+IFERROR(IF(Z433="",0,Z433),"0")</f>
        <v>1.827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1255</v>
      </c>
      <c r="Y435" s="619">
        <f>IFERROR(SUM(Y431:Y433),"0")</f>
        <v>1260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87</v>
      </c>
      <c r="Y444" s="618">
        <f>IFERROR(IF(X444="",0,CEILING((X444/$H444),1)*$H444),"")</f>
        <v>90</v>
      </c>
      <c r="Z444" s="36">
        <f>IFERROR(IF(Y444=0,"",ROUNDUP(Y444/H444,0)*0.01898),"")</f>
        <v>0.1898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91.775333333333322</v>
      </c>
      <c r="BN444" s="64">
        <f>IFERROR(Y444*I444/H444,"0")</f>
        <v>94.94</v>
      </c>
      <c r="BO444" s="64">
        <f>IFERROR(1/J444*(X444/H444),"0")</f>
        <v>0.15104166666666666</v>
      </c>
      <c r="BP444" s="64">
        <f>IFERROR(1/J444*(Y444/H444),"0")</f>
        <v>0.15625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9.6666666666666661</v>
      </c>
      <c r="Y445" s="619">
        <f>IFERROR(Y443/H443,"0")+IFERROR(Y444/H444,"0")</f>
        <v>10</v>
      </c>
      <c r="Z445" s="619">
        <f>IFERROR(IF(Z443="",0,Z443),"0")+IFERROR(IF(Z444="",0,Z444),"0")</f>
        <v>0.1898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87</v>
      </c>
      <c r="Y446" s="619">
        <f>IFERROR(SUM(Y443:Y444),"0")</f>
        <v>90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318</v>
      </c>
      <c r="Y458" s="618">
        <f>IFERROR(IF(X458="",0,CEILING((X458/$H458),1)*$H458),"")</f>
        <v>324</v>
      </c>
      <c r="Z458" s="36">
        <f>IFERROR(IF(Y458=0,"",ROUNDUP(Y458/H458,0)*0.01898),"")</f>
        <v>0.68328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335.4546666666667</v>
      </c>
      <c r="BN458" s="64">
        <f>IFERROR(Y458*I458/H458,"0")</f>
        <v>341.78399999999999</v>
      </c>
      <c r="BO458" s="64">
        <f>IFERROR(1/J458*(X458/H458),"0")</f>
        <v>0.55208333333333337</v>
      </c>
      <c r="BP458" s="64">
        <f>IFERROR(1/J458*(Y458/H458),"0")</f>
        <v>0.5625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4</v>
      </c>
      <c r="Y459" s="618">
        <f>IFERROR(IF(X459="",0,CEILING((X459/$H459),1)*$H459),"")</f>
        <v>4.8</v>
      </c>
      <c r="Z459" s="36">
        <f>IFERROR(IF(Y459=0,"",ROUNDUP(Y459/H459,0)*0.00651),"")</f>
        <v>1.302E-2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4.4400000000000004</v>
      </c>
      <c r="BN459" s="64">
        <f>IFERROR(Y459*I459/H459,"0")</f>
        <v>5.3280000000000003</v>
      </c>
      <c r="BO459" s="64">
        <f>IFERROR(1/J459*(X459/H459),"0")</f>
        <v>9.1575091575091579E-3</v>
      </c>
      <c r="BP459" s="64">
        <f>IFERROR(1/J459*(Y459/H459),"0")</f>
        <v>1.098901098901099E-2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37</v>
      </c>
      <c r="Y461" s="619">
        <f>IFERROR(Y458/H458,"0")+IFERROR(Y459/H459,"0")+IFERROR(Y460/H460,"0")</f>
        <v>38</v>
      </c>
      <c r="Z461" s="619">
        <f>IFERROR(IF(Z458="",0,Z458),"0")+IFERROR(IF(Z459="",0,Z459),"0")+IFERROR(IF(Z460="",0,Z460),"0")</f>
        <v>0.69630000000000003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322</v>
      </c>
      <c r="Y462" s="619">
        <f>IFERROR(SUM(Y458:Y460),"0")</f>
        <v>328.8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49</v>
      </c>
      <c r="Y492" s="618">
        <f t="shared" ref="Y492:Y499" si="71">IFERROR(IF(X492="",0,CEILING((X492/$H492),1)*$H492),"")</f>
        <v>52.800000000000004</v>
      </c>
      <c r="Z492" s="36">
        <f>IFERROR(IF(Y492=0,"",ROUNDUP(Y492/H492,0)*0.01196),"")</f>
        <v>0.1196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52.248106060606062</v>
      </c>
      <c r="BN492" s="64">
        <f t="shared" ref="BN492:BN499" si="73">IFERROR(Y492*I492/H492,"0")</f>
        <v>56.3</v>
      </c>
      <c r="BO492" s="64">
        <f t="shared" ref="BO492:BO499" si="74">IFERROR(1/J492*(X492/H492),"0")</f>
        <v>8.9233682983682977E-2</v>
      </c>
      <c r="BP492" s="64">
        <f t="shared" ref="BP492:BP499" si="75">IFERROR(1/J492*(Y492/H492),"0")</f>
        <v>9.6153846153846159E-2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138</v>
      </c>
      <c r="Y495" s="618">
        <f t="shared" si="71"/>
        <v>142.56</v>
      </c>
      <c r="Z495" s="36">
        <f>IFERROR(IF(Y495=0,"",ROUNDUP(Y495/H495,0)*0.01196),"")</f>
        <v>0.32291999999999998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147.14772727272725</v>
      </c>
      <c r="BN495" s="64">
        <f t="shared" si="73"/>
        <v>152.01</v>
      </c>
      <c r="BO495" s="64">
        <f t="shared" si="74"/>
        <v>0.2513111888111888</v>
      </c>
      <c r="BP495" s="64">
        <f t="shared" si="75"/>
        <v>0.25961538461538464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512</v>
      </c>
      <c r="Y496" s="618">
        <f t="shared" si="71"/>
        <v>512.16</v>
      </c>
      <c r="Z496" s="36">
        <f>IFERROR(IF(Y496=0,"",ROUNDUP(Y496/H496,0)*0.01196),"")</f>
        <v>1.16012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545.93939393939388</v>
      </c>
      <c r="BN496" s="64">
        <f t="shared" si="73"/>
        <v>546.1099999999999</v>
      </c>
      <c r="BO496" s="64">
        <f t="shared" si="74"/>
        <v>0.93240093240093247</v>
      </c>
      <c r="BP496" s="64">
        <f t="shared" si="75"/>
        <v>0.9326923076923076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81</v>
      </c>
      <c r="Y498" s="618">
        <f t="shared" si="71"/>
        <v>81.599999999999994</v>
      </c>
      <c r="Z498" s="36">
        <f>IFERROR(IF(Y498=0,"",ROUNDUP(Y498/H498,0)*0.00902),"")</f>
        <v>0.15334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116.60625000000002</v>
      </c>
      <c r="BN498" s="64">
        <f t="shared" si="73"/>
        <v>117.47</v>
      </c>
      <c r="BO498" s="64">
        <f t="shared" si="74"/>
        <v>0.12784090909090909</v>
      </c>
      <c r="BP498" s="64">
        <f t="shared" si="75"/>
        <v>0.12878787878787878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41</v>
      </c>
      <c r="Y499" s="618">
        <f t="shared" si="71"/>
        <v>43.199999999999996</v>
      </c>
      <c r="Z499" s="36">
        <f>IFERROR(IF(Y499=0,"",ROUNDUP(Y499/H499,0)*0.00902),"")</f>
        <v>8.1180000000000002E-2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59.022916666666667</v>
      </c>
      <c r="BN499" s="64">
        <f t="shared" si="73"/>
        <v>62.190000000000005</v>
      </c>
      <c r="BO499" s="64">
        <f t="shared" si="74"/>
        <v>6.4709595959595967E-2</v>
      </c>
      <c r="BP499" s="64">
        <f t="shared" si="75"/>
        <v>6.8181818181818177E-2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157.80303030303028</v>
      </c>
      <c r="Y500" s="619">
        <f>IFERROR(Y492/H492,"0")+IFERROR(Y493/H493,"0")+IFERROR(Y494/H494,"0")+IFERROR(Y495/H495,"0")+IFERROR(Y496/H496,"0")+IFERROR(Y497/H497,"0")+IFERROR(Y498/H498,"0")+IFERROR(Y499/H499,"0")</f>
        <v>160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1.8371600000000001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821</v>
      </c>
      <c r="Y501" s="619">
        <f>IFERROR(SUM(Y492:Y499),"0")</f>
        <v>832.32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198</v>
      </c>
      <c r="Y503" s="618">
        <f>IFERROR(IF(X503="",0,CEILING((X503/$H503),1)*$H503),"")</f>
        <v>200.64000000000001</v>
      </c>
      <c r="Z503" s="36">
        <f>IFERROR(IF(Y503=0,"",ROUNDUP(Y503/H503,0)*0.01196),"")</f>
        <v>0.45448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211.125</v>
      </c>
      <c r="BN503" s="64">
        <f>IFERROR(Y503*I503/H503,"0")</f>
        <v>213.94</v>
      </c>
      <c r="BO503" s="64">
        <f>IFERROR(1/J503*(X503/H503),"0")</f>
        <v>0.36057692307692307</v>
      </c>
      <c r="BP503" s="64">
        <f>IFERROR(1/J503*(Y503/H503),"0")</f>
        <v>0.36538461538461542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47</v>
      </c>
      <c r="Y505" s="618">
        <f>IFERROR(IF(X505="",0,CEILING((X505/$H505),1)*$H505),"")</f>
        <v>48</v>
      </c>
      <c r="Z505" s="36">
        <f>IFERROR(IF(Y505=0,"",ROUNDUP(Y505/H505,0)*0.00902),"")</f>
        <v>9.0200000000000002E-2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67.660416666666663</v>
      </c>
      <c r="BN505" s="64">
        <f>IFERROR(Y505*I505/H505,"0")</f>
        <v>69.100000000000009</v>
      </c>
      <c r="BO505" s="64">
        <f>IFERROR(1/J505*(X505/H505),"0")</f>
        <v>7.4179292929292942E-2</v>
      </c>
      <c r="BP505" s="64">
        <f>IFERROR(1/J505*(Y505/H505),"0")</f>
        <v>7.575757575757576E-2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47.291666666666671</v>
      </c>
      <c r="Y506" s="619">
        <f>IFERROR(Y503/H503,"0")+IFERROR(Y504/H504,"0")+IFERROR(Y505/H505,"0")</f>
        <v>48</v>
      </c>
      <c r="Z506" s="619">
        <f>IFERROR(IF(Z503="",0,Z503),"0")+IFERROR(IF(Z504="",0,Z504),"0")+IFERROR(IF(Z505="",0,Z505),"0")</f>
        <v>0.54468000000000005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245</v>
      </c>
      <c r="Y507" s="619">
        <f>IFERROR(SUM(Y503:Y505),"0")</f>
        <v>248.64000000000001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39</v>
      </c>
      <c r="Y509" s="618">
        <f t="shared" ref="Y509:Y515" si="76">IFERROR(IF(X509="",0,CEILING((X509/$H509),1)*$H509),"")</f>
        <v>42.24</v>
      </c>
      <c r="Z509" s="36">
        <f>IFERROR(IF(Y509=0,"",ROUNDUP(Y509/H509,0)*0.01196),"")</f>
        <v>9.5680000000000001E-2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41.585227272727266</v>
      </c>
      <c r="BN509" s="64">
        <f t="shared" ref="BN509:BN515" si="78">IFERROR(Y509*I509/H509,"0")</f>
        <v>45.04</v>
      </c>
      <c r="BO509" s="64">
        <f t="shared" ref="BO509:BO515" si="79">IFERROR(1/J509*(X509/H509),"0")</f>
        <v>7.1022727272727265E-2</v>
      </c>
      <c r="BP509" s="64">
        <f t="shared" ref="BP509:BP515" si="80">IFERROR(1/J509*(Y509/H509),"0")</f>
        <v>7.6923076923076927E-2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160</v>
      </c>
      <c r="Y510" s="618">
        <f t="shared" si="76"/>
        <v>163.68</v>
      </c>
      <c r="Z510" s="36">
        <f>IFERROR(IF(Y510=0,"",ROUNDUP(Y510/H510,0)*0.01196),"")</f>
        <v>0.37075999999999998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170.60606060606059</v>
      </c>
      <c r="BN510" s="64">
        <f t="shared" si="78"/>
        <v>174.53</v>
      </c>
      <c r="BO510" s="64">
        <f t="shared" si="79"/>
        <v>0.29137529137529139</v>
      </c>
      <c r="BP510" s="64">
        <f t="shared" si="80"/>
        <v>0.29807692307692307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266</v>
      </c>
      <c r="Y511" s="618">
        <f t="shared" si="76"/>
        <v>269.28000000000003</v>
      </c>
      <c r="Z511" s="36">
        <f>IFERROR(IF(Y511=0,"",ROUNDUP(Y511/H511,0)*0.01196),"")</f>
        <v>0.60996000000000006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283.63257575757575</v>
      </c>
      <c r="BN511" s="64">
        <f t="shared" si="78"/>
        <v>287.13</v>
      </c>
      <c r="BO511" s="64">
        <f t="shared" si="79"/>
        <v>0.48441142191142189</v>
      </c>
      <c r="BP511" s="64">
        <f t="shared" si="80"/>
        <v>0.49038461538461542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1</v>
      </c>
      <c r="Y515" s="618">
        <f t="shared" si="76"/>
        <v>4.8</v>
      </c>
      <c r="Z515" s="36">
        <f>IFERROR(IF(Y515=0,"",ROUNDUP(Y515/H515,0)*0.00902),"")</f>
        <v>9.0200000000000002E-3</v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1.3895833333333334</v>
      </c>
      <c r="BN515" s="64">
        <f t="shared" si="78"/>
        <v>6.67</v>
      </c>
      <c r="BO515" s="64">
        <f t="shared" si="79"/>
        <v>1.5782828282828285E-3</v>
      </c>
      <c r="BP515" s="64">
        <f t="shared" si="80"/>
        <v>7.575757575757576E-3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88.276515151515142</v>
      </c>
      <c r="Y516" s="619">
        <f>IFERROR(Y509/H509,"0")+IFERROR(Y510/H510,"0")+IFERROR(Y511/H511,"0")+IFERROR(Y512/H512,"0")+IFERROR(Y513/H513,"0")+IFERROR(Y514/H514,"0")+IFERROR(Y515/H515,"0")</f>
        <v>91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1.0854200000000001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466</v>
      </c>
      <c r="Y517" s="619">
        <f>IFERROR(SUM(Y509:Y515),"0")</f>
        <v>480.00000000000006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100</v>
      </c>
      <c r="Y538" s="618">
        <f>IFERROR(IF(X538="",0,CEILING((X538/$H538),1)*$H538),"")</f>
        <v>108</v>
      </c>
      <c r="Z538" s="36">
        <f>IFERROR(IF(Y538=0,"",ROUNDUP(Y538/H538,0)*0.01898),"")</f>
        <v>0.22776000000000002</v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104.55555555555556</v>
      </c>
      <c r="BN538" s="64">
        <f>IFERROR(Y538*I538/H538,"0")</f>
        <v>112.92</v>
      </c>
      <c r="BO538" s="64">
        <f>IFERROR(1/J538*(X538/H538),"0")</f>
        <v>0.1736111111111111</v>
      </c>
      <c r="BP538" s="64">
        <f>IFERROR(1/J538*(Y538/H538),"0")</f>
        <v>0.1875</v>
      </c>
    </row>
    <row r="539" spans="1:68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11.111111111111111</v>
      </c>
      <c r="Y539" s="619">
        <f>IFERROR(Y537/H537,"0")+IFERROR(Y538/H538,"0")</f>
        <v>12</v>
      </c>
      <c r="Z539" s="619">
        <f>IFERROR(IF(Z537="",0,Z537),"0")+IFERROR(IF(Z538="",0,Z538),"0")</f>
        <v>0.22776000000000002</v>
      </c>
      <c r="AA539" s="620"/>
      <c r="AB539" s="620"/>
      <c r="AC539" s="620"/>
    </row>
    <row r="540" spans="1:68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100</v>
      </c>
      <c r="Y540" s="619">
        <f>IFERROR(SUM(Y537:Y538),"0")</f>
        <v>108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17615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17858.260000000002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18598.801492329279</v>
      </c>
      <c r="Y547" s="619">
        <f>IFERROR(SUM(BN22:BN543),"0")</f>
        <v>18857.883999999995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30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19348.801492329279</v>
      </c>
      <c r="Y549" s="619">
        <f>GrossWeightTotalR+PalletQtyTotalR*25</f>
        <v>19607.883999999995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2696.1777736382792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2737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34.381870000000013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75.600000000000009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2590.4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421</v>
      </c>
      <c r="F556" s="46">
        <f>IFERROR(Y84*1,"0")+IFERROR(Y85*1,"0")+IFERROR(Y86*1,"0")+IFERROR(Y87*1,"0")+IFERROR(Y88*1,"0")+IFERROR(Y89*1,"0")+IFERROR(Y93*1,"0")+IFERROR(Y94*1,"0")+IFERROR(Y95*1,"0")+IFERROR(Y96*1,"0")</f>
        <v>1116.96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1353.9</v>
      </c>
      <c r="H556" s="46">
        <f>IFERROR(Y131*1,"0")+IFERROR(Y132*1,"0")+IFERROR(Y136*1,"0")+IFERROR(Y137*1,"0")+IFERROR(Y141*1,"0")+IFERROR(Y142*1,"0")</f>
        <v>41.6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334.4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418.34000000000003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2350.5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73.199999999999989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40.799999999999997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0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840.69999999999993</v>
      </c>
      <c r="U556" s="46">
        <f>IFERROR(Y406*1,"0")+IFERROR(Y407*1,"0")</f>
        <v>0</v>
      </c>
      <c r="V556" s="46">
        <f>IFERROR(Y412*1,"0")+IFERROR(Y413*1,"0")+IFERROR(Y414*1,"0")</f>
        <v>23.1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6180</v>
      </c>
      <c r="X556" s="46">
        <f>IFERROR(Y449*1,"0")+IFERROR(Y450*1,"0")+IFERROR(Y454*1,"0")+IFERROR(Y458*1,"0")+IFERROR(Y459*1,"0")+IFERROR(Y460*1,"0")</f>
        <v>328.8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1560.96</v>
      </c>
      <c r="AB556" s="46">
        <f>IFERROR(Y521*1,"0")+IFERROR(Y525*1,"0")+IFERROR(Y529*1,"0")+IFERROR(Y533*1,"0")+IFERROR(Y537*1,"0")+IFERROR(Y538*1,"0")</f>
        <v>108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5,00"/>
        <filter val="1 355,00"/>
        <filter val="1 591,00"/>
        <filter val="1 634,00"/>
        <filter val="1,00"/>
        <filter val="1,18"/>
        <filter val="1,67"/>
        <filter val="10,00"/>
        <filter val="10,50"/>
        <filter val="100,00"/>
        <filter val="101,48"/>
        <filter val="104,00"/>
        <filter val="106,00"/>
        <filter val="109,00"/>
        <filter val="11,11"/>
        <filter val="111,00"/>
        <filter val="111,98"/>
        <filter val="116,00"/>
        <filter val="118,00"/>
        <filter val="119,00"/>
        <filter val="12,19"/>
        <filter val="12,82"/>
        <filter val="13,00"/>
        <filter val="135,00"/>
        <filter val="138,00"/>
        <filter val="14,00"/>
        <filter val="140,56"/>
        <filter val="142,00"/>
        <filter val="155,00"/>
        <filter val="157,80"/>
        <filter val="158,00"/>
        <filter val="16,00"/>
        <filter val="16,67"/>
        <filter val="160,00"/>
        <filter val="168,00"/>
        <filter val="169,66"/>
        <filter val="17 615,00"/>
        <filter val="17,00"/>
        <filter val="18 598,80"/>
        <filter val="19 348,80"/>
        <filter val="198,00"/>
        <filter val="2 514,00"/>
        <filter val="2 587,00"/>
        <filter val="2 696,18"/>
        <filter val="21,00"/>
        <filter val="224,00"/>
        <filter val="23,00"/>
        <filter val="245,00"/>
        <filter val="251,00"/>
        <filter val="252,51"/>
        <filter val="264,00"/>
        <filter val="266,00"/>
        <filter val="293,00"/>
        <filter val="3,00"/>
        <filter val="3,97"/>
        <filter val="30"/>
        <filter val="300,00"/>
        <filter val="31,00"/>
        <filter val="318,00"/>
        <filter val="318,73"/>
        <filter val="32,00"/>
        <filter val="322,00"/>
        <filter val="33,73"/>
        <filter val="330,00"/>
        <filter val="35,24"/>
        <filter val="357,00"/>
        <filter val="368,00"/>
        <filter val="37,00"/>
        <filter val="370,00"/>
        <filter val="38,00"/>
        <filter val="39,00"/>
        <filter val="4 781,00"/>
        <filter val="4,00"/>
        <filter val="4,87"/>
        <filter val="40,00"/>
        <filter val="407,00"/>
        <filter val="41,00"/>
        <filter val="41,67"/>
        <filter val="43,00"/>
        <filter val="441,00"/>
        <filter val="45,00"/>
        <filter val="466,00"/>
        <filter val="47,00"/>
        <filter val="47,29"/>
        <filter val="48,00"/>
        <filter val="486,00"/>
        <filter val="49,00"/>
        <filter val="5,00"/>
        <filter val="5,78"/>
        <filter val="50,00"/>
        <filter val="50,74"/>
        <filter val="504,00"/>
        <filter val="512,00"/>
        <filter val="515,00"/>
        <filter val="559,00"/>
        <filter val="605,00"/>
        <filter val="609,58"/>
        <filter val="610,00"/>
        <filter val="63,63"/>
        <filter val="663,00"/>
        <filter val="67,00"/>
        <filter val="675,00"/>
        <filter val="68,17"/>
        <filter val="7,00"/>
        <filter val="73,00"/>
        <filter val="75,00"/>
        <filter val="76,06"/>
        <filter val="8,00"/>
        <filter val="81,00"/>
        <filter val="821,00"/>
        <filter val="83,67"/>
        <filter val="87,00"/>
        <filter val="872,00"/>
        <filter val="88,00"/>
        <filter val="88,28"/>
        <filter val="9,58"/>
        <filter val="9,67"/>
        <filter val="935,00"/>
        <filter val="963,00"/>
        <filter val="98,41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