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869BF5-F708-4138-B9E2-D15B9DAE738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Y445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Y501" i="2" l="1"/>
  <c r="Y329" i="2"/>
  <c r="Y396" i="2"/>
  <c r="Y370" i="2"/>
  <c r="BP537" i="2"/>
  <c r="BN537" i="2"/>
  <c r="Y534" i="2"/>
  <c r="Y535" i="2"/>
  <c r="Z529" i="2"/>
  <c r="Z530" i="2" s="1"/>
  <c r="Y530" i="2"/>
  <c r="BN529" i="2"/>
  <c r="Y527" i="2"/>
  <c r="BN525" i="2"/>
  <c r="Y522" i="2"/>
  <c r="Y523" i="2"/>
  <c r="BP514" i="2"/>
  <c r="BN514" i="2"/>
  <c r="BN512" i="2"/>
  <c r="BP512" i="2"/>
  <c r="BP505" i="2"/>
  <c r="BN505" i="2"/>
  <c r="Z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Z367" i="2"/>
  <c r="BP367" i="2"/>
  <c r="BP363" i="2"/>
  <c r="Z363" i="2"/>
  <c r="BN359" i="2"/>
  <c r="Z359" i="2"/>
  <c r="BN357" i="2"/>
  <c r="Z357" i="2"/>
  <c r="BP357" i="2"/>
  <c r="BP353" i="2"/>
  <c r="Z353" i="2"/>
  <c r="BP346" i="2"/>
  <c r="BN346" i="2"/>
  <c r="Z346" i="2"/>
  <c r="Z335" i="2"/>
  <c r="BN335" i="2"/>
  <c r="Z320" i="2"/>
  <c r="BN320" i="2"/>
  <c r="BP320" i="2"/>
  <c r="BP317" i="2"/>
  <c r="Z317" i="2"/>
  <c r="BP315" i="2"/>
  <c r="BN315" i="2"/>
  <c r="Z295" i="2"/>
  <c r="BN295" i="2"/>
  <c r="BP286" i="2"/>
  <c r="BN286" i="2"/>
  <c r="Z286" i="2"/>
  <c r="BN279" i="2"/>
  <c r="Z279" i="2"/>
  <c r="Z274" i="2"/>
  <c r="BN274" i="2"/>
  <c r="Z264" i="2"/>
  <c r="BN264" i="2"/>
  <c r="BP263" i="2"/>
  <c r="Z263" i="2"/>
  <c r="Z259" i="2"/>
  <c r="Y267" i="2"/>
  <c r="BN259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Z210" i="2"/>
  <c r="Z211" i="2" s="1"/>
  <c r="Y211" i="2"/>
  <c r="BN205" i="2"/>
  <c r="BP205" i="2"/>
  <c r="BN204" i="2"/>
  <c r="BP204" i="2"/>
  <c r="Z200" i="2"/>
  <c r="BN200" i="2"/>
  <c r="BN180" i="2"/>
  <c r="BP180" i="2"/>
  <c r="BP179" i="2"/>
  <c r="Z179" i="2"/>
  <c r="BN178" i="2"/>
  <c r="Z178" i="2"/>
  <c r="Z176" i="2"/>
  <c r="BN176" i="2"/>
  <c r="BP171" i="2"/>
  <c r="BN171" i="2"/>
  <c r="Z166" i="2"/>
  <c r="BN166" i="2"/>
  <c r="BP150" i="2"/>
  <c r="BN150" i="2"/>
  <c r="Z142" i="2"/>
  <c r="BN142" i="2"/>
  <c r="Y143" i="2"/>
  <c r="Z141" i="2"/>
  <c r="BP136" i="2"/>
  <c r="Y138" i="2"/>
  <c r="BP121" i="2"/>
  <c r="BN121" i="2"/>
  <c r="BN114" i="2"/>
  <c r="BP114" i="2"/>
  <c r="BP112" i="2"/>
  <c r="Z112" i="2"/>
  <c r="BN111" i="2"/>
  <c r="Z111" i="2"/>
  <c r="BP107" i="2"/>
  <c r="BN107" i="2"/>
  <c r="Z107" i="2"/>
  <c r="BN104" i="2"/>
  <c r="BP104" i="2"/>
  <c r="BP101" i="2"/>
  <c r="Z101" i="2"/>
  <c r="BN101" i="2"/>
  <c r="BP96" i="2"/>
  <c r="BN96" i="2"/>
  <c r="BN93" i="2"/>
  <c r="BP93" i="2"/>
  <c r="BP89" i="2"/>
  <c r="BN89" i="2"/>
  <c r="Z89" i="2"/>
  <c r="BP77" i="2"/>
  <c r="Z77" i="2"/>
  <c r="BN68" i="2"/>
  <c r="BP68" i="2"/>
  <c r="Z67" i="2"/>
  <c r="BP67" i="2"/>
  <c r="BN67" i="2"/>
  <c r="Z55" i="2"/>
  <c r="BN55" i="2"/>
  <c r="BN49" i="2"/>
  <c r="BP49" i="2"/>
  <c r="Z46" i="2"/>
  <c r="BN46" i="2"/>
  <c r="BP46" i="2"/>
  <c r="BP40" i="2"/>
  <c r="BN40" i="2"/>
  <c r="Z39" i="2"/>
  <c r="BN39" i="2"/>
  <c r="BN37" i="2"/>
  <c r="BP37" i="2"/>
  <c r="BP28" i="2"/>
  <c r="Z28" i="2"/>
  <c r="BN28" i="2"/>
  <c r="Y23" i="2"/>
  <c r="Y24" i="2"/>
  <c r="BN22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Z506" i="2" s="1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11" i="2" s="1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90" i="2" s="1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31" i="2" l="1"/>
  <c r="Z168" i="2"/>
  <c r="Z143" i="2"/>
  <c r="X549" i="2"/>
  <c r="Z445" i="2"/>
  <c r="Z287" i="2"/>
  <c r="Z256" i="2"/>
  <c r="Z133" i="2"/>
  <c r="Z41" i="2"/>
  <c r="Z163" i="2"/>
  <c r="Z206" i="2"/>
  <c r="Z349" i="2"/>
  <c r="Z402" i="2"/>
  <c r="Z461" i="2"/>
  <c r="Z472" i="2"/>
  <c r="Z186" i="2"/>
  <c r="Z69" i="2"/>
  <c r="Z123" i="2"/>
  <c r="Z298" i="2"/>
  <c r="Z342" i="2"/>
  <c r="Z396" i="2"/>
  <c r="Z440" i="2"/>
  <c r="Z74" i="2"/>
  <c r="Z241" i="2"/>
  <c r="Z97" i="2"/>
  <c r="Z360" i="2"/>
  <c r="Z377" i="2"/>
  <c r="Z408" i="2"/>
  <c r="Y55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<sst xmlns="http://schemas.openxmlformats.org/spreadsheetml/2006/main" count="4164" uniqueCount="894">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</sst>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119" sqref="AA11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46305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/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Суббота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hidden="1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idden="1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0</v>
      </c>
      <c r="Y90" s="41">
        <f>IFERROR(Y84/H84,"0")+IFERROR(Y85/H85,"0")+IFERROR(Y86/H86,"0")+IFERROR(Y87/H87,"0")+IFERROR(Y88/H88,"0")+IFERROR(Y89/H89,"0")</f>
        <v>0</v>
      </c>
      <c r="Z90" s="41">
        <f>IFERROR(IF(Z84="",0,Z84),"0")+IFERROR(IF(Z85="",0,Z85),"0")+IFERROR(IF(Z86="",0,Z86),"0")+IFERROR(IF(Z87="",0,Z87),"0")+IFERROR(IF(Z88="",0,Z88),"0")+IFERROR(IF(Z89="",0,Z89),"0")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0</v>
      </c>
      <c r="Y91" s="41">
        <f>IFERROR(SUM(Y84:Y89),"0")</f>
        <v>0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0</v>
      </c>
      <c r="Y108" s="41">
        <f>IFERROR(Y101/H101,"0")+IFERROR(Y102/H102,"0")+IFERROR(Y103/H103,"0")+IFERROR(Y104/H104,"0")+IFERROR(Y105/H105,"0")+IFERROR(Y106/H106,"0")+IFERROR(Y107/H107,"0")</f>
        <v>0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0</v>
      </c>
      <c r="Y109" s="41">
        <f>IFERROR(SUM(Y101:Y107),"0")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800</v>
      </c>
      <c r="Y119" s="53">
        <f>IFERROR(IF(X119="",0,CEILING((X119/$H119),1)*$H119),"")</f>
        <v>801.9</v>
      </c>
      <c r="Z119" s="39">
        <f>IFERROR(IF(Y119=0,"",ROUNDUP(Y119/H119,0)*0.01898),"")</f>
        <v>1.8790200000000001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848.19753086419757</v>
      </c>
      <c r="BN119" s="75">
        <f>IFERROR(Y119*I119/H119,"0")</f>
        <v>850.21199999999988</v>
      </c>
      <c r="BO119" s="75">
        <f>IFERROR(1/J119*(X119/H119),"0")</f>
        <v>1.5432098765432098</v>
      </c>
      <c r="BP119" s="75">
        <f>IFERROR(1/J119*(Y119/H119),"0")</f>
        <v>1.546875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98.76543209876543</v>
      </c>
      <c r="Y123" s="41">
        <f>IFERROR(Y119/H119,"0")+IFERROR(Y120/H120,"0")+IFERROR(Y121/H121,"0")+IFERROR(Y122/H122,"0")</f>
        <v>99</v>
      </c>
      <c r="Z123" s="41">
        <f>IFERROR(IF(Z119="",0,Z119),"0")+IFERROR(IF(Z120="",0,Z120),"0")+IFERROR(IF(Z121="",0,Z121),"0")+IFERROR(IF(Z122="",0,Z122),"0")</f>
        <v>1.8790200000000001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800</v>
      </c>
      <c r="Y124" s="41">
        <f>IFERROR(SUM(Y119:Y122),"0")</f>
        <v>801.9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hidden="1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31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0</v>
      </c>
      <c r="BN259" s="75">
        <f t="shared" ref="BN259:BN266" si="33">IFERROR(Y259*I259/H259,"0")</f>
        <v>0</v>
      </c>
      <c r="BO259" s="75">
        <f t="shared" ref="BO259:BO266" si="34">IFERROR(1/J259*(X259/H259),"0")</f>
        <v>0</v>
      </c>
      <c r="BP259" s="75">
        <f t="shared" ref="BP259:BP266" si="35">IFERROR(1/J259*(Y259/H259),"0")</f>
        <v>0</v>
      </c>
    </row>
    <row r="260" spans="1:68" ht="27" hidden="1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1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0</v>
      </c>
      <c r="BN260" s="75">
        <f t="shared" si="33"/>
        <v>0</v>
      </c>
      <c r="BO260" s="75">
        <f t="shared" si="34"/>
        <v>0</v>
      </c>
      <c r="BP260" s="75">
        <f t="shared" si="35"/>
        <v>0</v>
      </c>
    </row>
    <row r="261" spans="1:68" ht="27" hidden="1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1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0</v>
      </c>
      <c r="BN261" s="75">
        <f t="shared" si="33"/>
        <v>0</v>
      </c>
      <c r="BO261" s="75">
        <f t="shared" si="34"/>
        <v>0</v>
      </c>
      <c r="BP261" s="75">
        <f t="shared" si="35"/>
        <v>0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800</v>
      </c>
      <c r="Y421" s="53">
        <f t="shared" si="61"/>
        <v>810</v>
      </c>
      <c r="Z421" s="39">
        <f>IFERROR(IF(Y421=0,"",ROUNDUP(Y421/H421,0)*0.02175),"")</f>
        <v>1.1744999999999999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825.06666666666672</v>
      </c>
      <c r="BN421" s="75">
        <f t="shared" si="63"/>
        <v>835.38</v>
      </c>
      <c r="BO421" s="75">
        <f t="shared" si="64"/>
        <v>1.1111111111111112</v>
      </c>
      <c r="BP421" s="75">
        <f t="shared" si="65"/>
        <v>1.125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hidden="1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si="61"/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0</v>
      </c>
      <c r="BN423" s="75">
        <f t="shared" si="63"/>
        <v>0</v>
      </c>
      <c r="BO423" s="75">
        <f t="shared" si="64"/>
        <v>0</v>
      </c>
      <c r="BP423" s="75">
        <f t="shared" si="65"/>
        <v>0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53.333333333333336</v>
      </c>
      <c r="Y428" s="41">
        <f>IFERROR(Y420/H420,"0")+IFERROR(Y421/H421,"0")+IFERROR(Y422/H422,"0")+IFERROR(Y423/H423,"0")+IFERROR(Y424/H424,"0")+IFERROR(Y425/H425,"0")+IFERROR(Y426/H426,"0")+IFERROR(Y427/H427,"0")</f>
        <v>54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1.1744999999999999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800</v>
      </c>
      <c r="Y429" s="41">
        <f>IFERROR(SUM(Y420:Y427),"0")</f>
        <v>810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800</v>
      </c>
      <c r="Y431" s="53">
        <f>IFERROR(IF(X431="",0,CEILING((X431/$H431),1)*$H431),"")</f>
        <v>810</v>
      </c>
      <c r="Z431" s="39">
        <f>IFERROR(IF(Y431=0,"",ROUNDUP(Y431/H431,0)*0.02175),"")</f>
        <v>1.1744999999999999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825.06666666666672</v>
      </c>
      <c r="BN431" s="75">
        <f>IFERROR(Y431*I431/H431,"0")</f>
        <v>835.38</v>
      </c>
      <c r="BO431" s="75">
        <f>IFERROR(1/J431*(X431/H431),"0")</f>
        <v>1.1111111111111112</v>
      </c>
      <c r="BP431" s="75">
        <f>IFERROR(1/J431*(Y431/H431),"0")</f>
        <v>1.125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53.333333333333336</v>
      </c>
      <c r="Y434" s="41">
        <f>IFERROR(Y431/H431,"0")+IFERROR(Y432/H432,"0")+IFERROR(Y433/H433,"0")</f>
        <v>54</v>
      </c>
      <c r="Z434" s="41">
        <f>IFERROR(IF(Z431="",0,Z431),"0")+IFERROR(IF(Z432="",0,Z432),"0")+IFERROR(IF(Z433="",0,Z433),"0")</f>
        <v>1.1744999999999999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800</v>
      </c>
      <c r="Y435" s="41">
        <f>IFERROR(SUM(Y431:Y433),"0")</f>
        <v>810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hidden="1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0</v>
      </c>
      <c r="Y461" s="41">
        <f>IFERROR(Y458/H458,"0")+IFERROR(Y459/H459,"0")+IFERROR(Y460/H460,"0")</f>
        <v>0</v>
      </c>
      <c r="Z461" s="41">
        <f>IFERROR(IF(Z458="",0,Z458),"0")+IFERROR(IF(Z459="",0,Z459),"0")+IFERROR(IF(Z460="",0,Z460),"0")</f>
        <v>0</v>
      </c>
      <c r="AA461" s="64"/>
      <c r="AB461" s="64"/>
      <c r="AC461" s="64"/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0</v>
      </c>
      <c r="Y462" s="41">
        <f>IFERROR(SUM(Y458:Y460),"0")</f>
        <v>0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800</v>
      </c>
      <c r="Y495" s="53">
        <f t="shared" si="71"/>
        <v>802.56000000000006</v>
      </c>
      <c r="Z495" s="39">
        <f>IFERROR(IF(Y495=0,"",ROUNDUP(Y495/H495,0)*0.01196),"")</f>
        <v>1.81792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853.030303030303</v>
      </c>
      <c r="BN495" s="75">
        <f t="shared" si="73"/>
        <v>855.76</v>
      </c>
      <c r="BO495" s="75">
        <f t="shared" si="74"/>
        <v>1.4568764568764567</v>
      </c>
      <c r="BP495" s="75">
        <f t="shared" si="75"/>
        <v>1.4615384615384617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1"/>
        <v>0</v>
      </c>
      <c r="Z496" s="39" t="str">
        <f>IFERROR(IF(Y496=0,"",ROUNDUP(Y496/H496,0)*0.01196),"")</f>
        <v/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0</v>
      </c>
      <c r="BN496" s="75">
        <f t="shared" si="73"/>
        <v>0</v>
      </c>
      <c r="BO496" s="75">
        <f t="shared" si="74"/>
        <v>0</v>
      </c>
      <c r="BP496" s="75">
        <f t="shared" si="75"/>
        <v>0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151.5151515151515</v>
      </c>
      <c r="Y500" s="41">
        <f>IFERROR(Y492/H492,"0")+IFERROR(Y493/H493,"0")+IFERROR(Y494/H494,"0")+IFERROR(Y495/H495,"0")+IFERROR(Y496/H496,"0")+IFERROR(Y497/H497,"0")+IFERROR(Y498/H498,"0")+IFERROR(Y499/H499,"0")</f>
        <v>152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1.81792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800</v>
      </c>
      <c r="Y501" s="41">
        <f>IFERROR(SUM(Y492:Y499),"0")</f>
        <v>802.56000000000006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800</v>
      </c>
      <c r="Y503" s="53">
        <f>IFERROR(IF(X503="",0,CEILING((X503/$H503),1)*$H503),"")</f>
        <v>802.56000000000006</v>
      </c>
      <c r="Z503" s="39">
        <f>IFERROR(IF(Y503=0,"",ROUNDUP(Y503/H503,0)*0.01196),"")</f>
        <v>1.81792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853.030303030303</v>
      </c>
      <c r="BN503" s="75">
        <f>IFERROR(Y503*I503/H503,"0")</f>
        <v>855.76</v>
      </c>
      <c r="BO503" s="75">
        <f>IFERROR(1/J503*(X503/H503),"0")</f>
        <v>1.4568764568764567</v>
      </c>
      <c r="BP503" s="75">
        <f>IFERROR(1/J503*(Y503/H503),"0")</f>
        <v>1.4615384615384617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151.5151515151515</v>
      </c>
      <c r="Y506" s="41">
        <f>IFERROR(Y503/H503,"0")+IFERROR(Y504/H504,"0")+IFERROR(Y505/H505,"0")</f>
        <v>152</v>
      </c>
      <c r="Z506" s="41">
        <f>IFERROR(IF(Z503="",0,Z503),"0")+IFERROR(IF(Z504="",0,Z504),"0")+IFERROR(IF(Z505="",0,Z505),"0")</f>
        <v>1.81792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800</v>
      </c>
      <c r="Y507" s="41">
        <f>IFERROR(SUM(Y503:Y505),"0")</f>
        <v>802.56000000000006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hidden="1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5" si="76"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0</v>
      </c>
      <c r="BN509" s="75">
        <f t="shared" ref="BN509:BN515" si="78">IFERROR(Y509*I509/H509,"0")</f>
        <v>0</v>
      </c>
      <c r="BO509" s="75">
        <f t="shared" ref="BO509:BO515" si="79">IFERROR(1/J509*(X509/H509),"0")</f>
        <v>0</v>
      </c>
      <c r="BP509" s="75">
        <f t="shared" ref="BP509:BP515" si="80">IFERROR(1/J509*(Y509/H509),"0")</f>
        <v>0</v>
      </c>
    </row>
    <row r="510" spans="1:68" ht="27" hidden="1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6"/>
        <v>0</v>
      </c>
      <c r="Z510" s="39" t="str">
        <f>IFERROR(IF(Y510=0,"",ROUNDUP(Y510/H510,0)*0.01196),"")</f>
        <v/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hidden="1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0</v>
      </c>
      <c r="Y516" s="41">
        <f>IFERROR(Y509/H509,"0")+IFERROR(Y510/H510,"0")+IFERROR(Y511/H511,"0")+IFERROR(Y512/H512,"0")+IFERROR(Y513/H513,"0")+IFERROR(Y514/H514,"0")+IFERROR(Y515/H515,"0")</f>
        <v>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4"/>
      <c r="AB516" s="64"/>
      <c r="AC516" s="64"/>
    </row>
    <row r="517" spans="1:68" hidden="1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0</v>
      </c>
      <c r="Y517" s="41">
        <f>IFERROR(SUM(Y509:Y515),"0")</f>
        <v>0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4000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4027.02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4204.3914702581369</v>
      </c>
      <c r="Y547" s="41">
        <f>IFERROR(SUM(BN22:BN543),"0")</f>
        <v>4232.4920000000002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7</v>
      </c>
      <c r="Y548" s="42">
        <f>ROUNDUP(SUM(BP22:BP543),0)</f>
        <v>7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4379.3914702581369</v>
      </c>
      <c r="Y549" s="41">
        <f>GrossWeightTotalR+PalletQtyTotalR*25</f>
        <v>4407.4920000000002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508.4624017957351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511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7.8638599999999999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0">
        <f>IFERROR(Y84*1,"0")+IFERROR(Y85*1,"0")+IFERROR(Y86*1,"0")+IFERROR(Y87*1,"0")+IFERROR(Y88*1,"0")+IFERROR(Y89*1,"0")+IFERROR(Y93*1,"0")+IFERROR(Y94*1,"0")+IFERROR(Y95*1,"0")+IFERROR(Y96*1,"0")</f>
        <v>0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801.9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1620</v>
      </c>
      <c r="X556" s="50">
        <f>IFERROR(Y449*1,"0")+IFERROR(Y450*1,"0")+IFERROR(Y454*1,"0")+IFERROR(Y458*1,"0")+IFERROR(Y459*1,"0")+IFERROR(Y460*1,"0")</f>
        <v>0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1605.1200000000001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1,52"/>
        <filter val="4 000,00"/>
        <filter val="4 204,39"/>
        <filter val="4 379,39"/>
        <filter val="508,46"/>
        <filter val="53,33"/>
        <filter val="7"/>
        <filter val="800,00"/>
        <filter val="98,77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2026-10-12T10:19:08Z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