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E7A240C0-F6A9-4B2C-8A90-18FE49367D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Y544" i="1"/>
  <c r="X544" i="1"/>
  <c r="BP543" i="1"/>
  <c r="BO543" i="1"/>
  <c r="BN543" i="1"/>
  <c r="BM543" i="1"/>
  <c r="Z543" i="1"/>
  <c r="Z544" i="1" s="1"/>
  <c r="Y543" i="1"/>
  <c r="AC556" i="1" s="1"/>
  <c r="P543" i="1"/>
  <c r="X540" i="1"/>
  <c r="X539" i="1"/>
  <c r="BO538" i="1"/>
  <c r="BM538" i="1"/>
  <c r="Y538" i="1"/>
  <c r="P538" i="1"/>
  <c r="BO537" i="1"/>
  <c r="BM537" i="1"/>
  <c r="Y537" i="1"/>
  <c r="Y540" i="1" s="1"/>
  <c r="P537" i="1"/>
  <c r="X535" i="1"/>
  <c r="X534" i="1"/>
  <c r="BO533" i="1"/>
  <c r="BM533" i="1"/>
  <c r="Y533" i="1"/>
  <c r="Y534" i="1" s="1"/>
  <c r="P533" i="1"/>
  <c r="X531" i="1"/>
  <c r="X530" i="1"/>
  <c r="BO529" i="1"/>
  <c r="BM529" i="1"/>
  <c r="Y529" i="1"/>
  <c r="Y530" i="1" s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O510" i="1"/>
  <c r="BM510" i="1"/>
  <c r="Y510" i="1"/>
  <c r="BP510" i="1" s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BP471" i="1" s="1"/>
  <c r="P471" i="1"/>
  <c r="BO470" i="1"/>
  <c r="BM470" i="1"/>
  <c r="Y470" i="1"/>
  <c r="BP470" i="1" s="1"/>
  <c r="P470" i="1"/>
  <c r="BO469" i="1"/>
  <c r="BM469" i="1"/>
  <c r="Y469" i="1"/>
  <c r="BP469" i="1" s="1"/>
  <c r="P469" i="1"/>
  <c r="BO468" i="1"/>
  <c r="BM468" i="1"/>
  <c r="Y468" i="1"/>
  <c r="P468" i="1"/>
  <c r="BO467" i="1"/>
  <c r="BM467" i="1"/>
  <c r="Y467" i="1"/>
  <c r="BP467" i="1" s="1"/>
  <c r="P467" i="1"/>
  <c r="BO466" i="1"/>
  <c r="BM466" i="1"/>
  <c r="Y466" i="1"/>
  <c r="P466" i="1"/>
  <c r="X462" i="1"/>
  <c r="X461" i="1"/>
  <c r="BO460" i="1"/>
  <c r="BM460" i="1"/>
  <c r="Y460" i="1"/>
  <c r="P460" i="1"/>
  <c r="BO459" i="1"/>
  <c r="BM459" i="1"/>
  <c r="Y459" i="1"/>
  <c r="BP459" i="1" s="1"/>
  <c r="P459" i="1"/>
  <c r="BP458" i="1"/>
  <c r="BO458" i="1"/>
  <c r="BN458" i="1"/>
  <c r="BM458" i="1"/>
  <c r="Z458" i="1"/>
  <c r="Y458" i="1"/>
  <c r="P458" i="1"/>
  <c r="X456" i="1"/>
  <c r="Y455" i="1"/>
  <c r="X455" i="1"/>
  <c r="BP454" i="1"/>
  <c r="BO454" i="1"/>
  <c r="BN454" i="1"/>
  <c r="BM454" i="1"/>
  <c r="Z454" i="1"/>
  <c r="Z455" i="1" s="1"/>
  <c r="Y454" i="1"/>
  <c r="Y456" i="1" s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O444" i="1"/>
  <c r="BM444" i="1"/>
  <c r="Y444" i="1"/>
  <c r="BP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BP437" i="1" s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BP426" i="1" s="1"/>
  <c r="P426" i="1"/>
  <c r="BP425" i="1"/>
  <c r="BO425" i="1"/>
  <c r="BN425" i="1"/>
  <c r="BM425" i="1"/>
  <c r="Z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BP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O413" i="1"/>
  <c r="BM413" i="1"/>
  <c r="Y413" i="1"/>
  <c r="P413" i="1"/>
  <c r="BO412" i="1"/>
  <c r="BM412" i="1"/>
  <c r="Y412" i="1"/>
  <c r="V556" i="1" s="1"/>
  <c r="P412" i="1"/>
  <c r="X409" i="1"/>
  <c r="X408" i="1"/>
  <c r="BO407" i="1"/>
  <c r="BM407" i="1"/>
  <c r="Y407" i="1"/>
  <c r="BP407" i="1" s="1"/>
  <c r="P407" i="1"/>
  <c r="BO406" i="1"/>
  <c r="BM406" i="1"/>
  <c r="Y406" i="1"/>
  <c r="BP406" i="1" s="1"/>
  <c r="P406" i="1"/>
  <c r="X403" i="1"/>
  <c r="X402" i="1"/>
  <c r="BO401" i="1"/>
  <c r="BM401" i="1"/>
  <c r="Y401" i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X391" i="1"/>
  <c r="X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BO367" i="1"/>
  <c r="BM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P353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P346" i="1"/>
  <c r="X343" i="1"/>
  <c r="X342" i="1"/>
  <c r="BO341" i="1"/>
  <c r="BM341" i="1"/>
  <c r="Y341" i="1"/>
  <c r="BP341" i="1" s="1"/>
  <c r="P341" i="1"/>
  <c r="BO340" i="1"/>
  <c r="BM340" i="1"/>
  <c r="Y340" i="1"/>
  <c r="Y342" i="1" s="1"/>
  <c r="P340" i="1"/>
  <c r="BP339" i="1"/>
  <c r="BO339" i="1"/>
  <c r="BN339" i="1"/>
  <c r="BM339" i="1"/>
  <c r="Z339" i="1"/>
  <c r="Y339" i="1"/>
  <c r="P339" i="1"/>
  <c r="X337" i="1"/>
  <c r="X336" i="1"/>
  <c r="BO335" i="1"/>
  <c r="BM335" i="1"/>
  <c r="Y335" i="1"/>
  <c r="BP335" i="1" s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O326" i="1"/>
  <c r="BM326" i="1"/>
  <c r="Y326" i="1"/>
  <c r="BP326" i="1" s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2" i="1"/>
  <c r="X311" i="1"/>
  <c r="BO310" i="1"/>
  <c r="BM310" i="1"/>
  <c r="Y310" i="1"/>
  <c r="BP310" i="1" s="1"/>
  <c r="P310" i="1"/>
  <c r="BO309" i="1"/>
  <c r="BM309" i="1"/>
  <c r="Y309" i="1"/>
  <c r="Y311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P297" i="1"/>
  <c r="BO297" i="1"/>
  <c r="BN297" i="1"/>
  <c r="BM297" i="1"/>
  <c r="Z297" i="1"/>
  <c r="Y297" i="1"/>
  <c r="P297" i="1"/>
  <c r="BO296" i="1"/>
  <c r="BM296" i="1"/>
  <c r="Y296" i="1"/>
  <c r="BP296" i="1" s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X288" i="1"/>
  <c r="X287" i="1"/>
  <c r="BO286" i="1"/>
  <c r="BM286" i="1"/>
  <c r="Y286" i="1"/>
  <c r="BP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BP264" i="1" s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BP261" i="1" s="1"/>
  <c r="P261" i="1"/>
  <c r="BO260" i="1"/>
  <c r="BM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BO249" i="1"/>
  <c r="BM249" i="1"/>
  <c r="Y249" i="1"/>
  <c r="Y251" i="1" s="1"/>
  <c r="P249" i="1"/>
  <c r="X246" i="1"/>
  <c r="X245" i="1"/>
  <c r="BO244" i="1"/>
  <c r="BM244" i="1"/>
  <c r="Y244" i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X228" i="1"/>
  <c r="X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Y190" i="1" s="1"/>
  <c r="P189" i="1"/>
  <c r="X187" i="1"/>
  <c r="X186" i="1"/>
  <c r="BO185" i="1"/>
  <c r="BM185" i="1"/>
  <c r="Y185" i="1"/>
  <c r="BP185" i="1" s="1"/>
  <c r="P185" i="1"/>
  <c r="BO184" i="1"/>
  <c r="BM184" i="1"/>
  <c r="Y184" i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BO161" i="1"/>
  <c r="BM161" i="1"/>
  <c r="Y161" i="1"/>
  <c r="BP161" i="1" s="1"/>
  <c r="P161" i="1"/>
  <c r="BO160" i="1"/>
  <c r="BM160" i="1"/>
  <c r="Y160" i="1"/>
  <c r="P160" i="1"/>
  <c r="BO159" i="1"/>
  <c r="BM159" i="1"/>
  <c r="Y159" i="1"/>
  <c r="P159" i="1"/>
  <c r="X156" i="1"/>
  <c r="X155" i="1"/>
  <c r="BO154" i="1"/>
  <c r="BM154" i="1"/>
  <c r="Y154" i="1"/>
  <c r="Y155" i="1" s="1"/>
  <c r="P154" i="1"/>
  <c r="X152" i="1"/>
  <c r="X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O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X98" i="1"/>
  <c r="X97" i="1"/>
  <c r="BO96" i="1"/>
  <c r="BM96" i="1"/>
  <c r="Y96" i="1"/>
  <c r="P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Y98" i="1" s="1"/>
  <c r="P93" i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N84" i="1"/>
  <c r="BM84" i="1"/>
  <c r="Z84" i="1"/>
  <c r="Y84" i="1"/>
  <c r="BP84" i="1" s="1"/>
  <c r="P84" i="1"/>
  <c r="X81" i="1"/>
  <c r="X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BP77" i="1" s="1"/>
  <c r="P77" i="1"/>
  <c r="X75" i="1"/>
  <c r="X74" i="1"/>
  <c r="BO73" i="1"/>
  <c r="BM73" i="1"/>
  <c r="Y73" i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O30" i="1"/>
  <c r="BM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F10" i="1"/>
  <c r="J9" i="1"/>
  <c r="F9" i="1"/>
  <c r="A9" i="1"/>
  <c r="A10" i="1" s="1"/>
  <c r="D7" i="1"/>
  <c r="Q6" i="1"/>
  <c r="P2" i="1"/>
  <c r="Z40" i="1" l="1"/>
  <c r="BN40" i="1"/>
  <c r="Z67" i="1"/>
  <c r="BN67" i="1"/>
  <c r="Z103" i="1"/>
  <c r="BN103" i="1"/>
  <c r="Z132" i="1"/>
  <c r="BN132" i="1"/>
  <c r="Z172" i="1"/>
  <c r="BN172" i="1"/>
  <c r="Z205" i="1"/>
  <c r="BN205" i="1"/>
  <c r="Z230" i="1"/>
  <c r="BN230" i="1"/>
  <c r="Y235" i="1"/>
  <c r="Z264" i="1"/>
  <c r="BN264" i="1"/>
  <c r="Z286" i="1"/>
  <c r="BN286" i="1"/>
  <c r="Z319" i="1"/>
  <c r="BN319" i="1"/>
  <c r="Z355" i="1"/>
  <c r="BN355" i="1"/>
  <c r="Z375" i="1"/>
  <c r="BN375" i="1"/>
  <c r="Z406" i="1"/>
  <c r="BN406" i="1"/>
  <c r="Z437" i="1"/>
  <c r="BN437" i="1"/>
  <c r="Z470" i="1"/>
  <c r="BN470" i="1"/>
  <c r="Z510" i="1"/>
  <c r="BN510" i="1"/>
  <c r="BP96" i="1"/>
  <c r="BN96" i="1"/>
  <c r="Z96" i="1"/>
  <c r="BP119" i="1"/>
  <c r="BN119" i="1"/>
  <c r="Z119" i="1"/>
  <c r="BP162" i="1"/>
  <c r="BN162" i="1"/>
  <c r="Z162" i="1"/>
  <c r="BP200" i="1"/>
  <c r="BN200" i="1"/>
  <c r="Z200" i="1"/>
  <c r="BP224" i="1"/>
  <c r="BN224" i="1"/>
  <c r="Z224" i="1"/>
  <c r="BP260" i="1"/>
  <c r="BN260" i="1"/>
  <c r="Z260" i="1"/>
  <c r="BP278" i="1"/>
  <c r="BN278" i="1"/>
  <c r="Z278" i="1"/>
  <c r="BP315" i="1"/>
  <c r="BN315" i="1"/>
  <c r="Z315" i="1"/>
  <c r="Y349" i="1"/>
  <c r="BP346" i="1"/>
  <c r="BN346" i="1"/>
  <c r="Z346" i="1"/>
  <c r="BP369" i="1"/>
  <c r="BN369" i="1"/>
  <c r="Z369" i="1"/>
  <c r="BP399" i="1"/>
  <c r="BN399" i="1"/>
  <c r="Z399" i="1"/>
  <c r="BP431" i="1"/>
  <c r="BN431" i="1"/>
  <c r="Z431" i="1"/>
  <c r="BP466" i="1"/>
  <c r="BN466" i="1"/>
  <c r="Z466" i="1"/>
  <c r="BP498" i="1"/>
  <c r="BN498" i="1"/>
  <c r="Z498" i="1"/>
  <c r="Z36" i="1"/>
  <c r="BN36" i="1"/>
  <c r="Z48" i="1"/>
  <c r="BN48" i="1"/>
  <c r="Z61" i="1"/>
  <c r="BN61" i="1"/>
  <c r="Z77" i="1"/>
  <c r="BN77" i="1"/>
  <c r="BP107" i="1"/>
  <c r="BN107" i="1"/>
  <c r="Z107" i="1"/>
  <c r="BP142" i="1"/>
  <c r="BN142" i="1"/>
  <c r="Z142" i="1"/>
  <c r="BP176" i="1"/>
  <c r="BN176" i="1"/>
  <c r="Z176" i="1"/>
  <c r="BP216" i="1"/>
  <c r="BN216" i="1"/>
  <c r="Z216" i="1"/>
  <c r="BP234" i="1"/>
  <c r="BN234" i="1"/>
  <c r="Z234" i="1"/>
  <c r="BP270" i="1"/>
  <c r="BN270" i="1"/>
  <c r="Z270" i="1"/>
  <c r="BP293" i="1"/>
  <c r="BN293" i="1"/>
  <c r="Z293" i="1"/>
  <c r="BP333" i="1"/>
  <c r="BN333" i="1"/>
  <c r="Z333" i="1"/>
  <c r="BP359" i="1"/>
  <c r="BN359" i="1"/>
  <c r="Z359" i="1"/>
  <c r="BP387" i="1"/>
  <c r="BN387" i="1"/>
  <c r="Z387" i="1"/>
  <c r="BP421" i="1"/>
  <c r="BN421" i="1"/>
  <c r="Z421" i="1"/>
  <c r="BP443" i="1"/>
  <c r="BN443" i="1"/>
  <c r="Z443" i="1"/>
  <c r="BP486" i="1"/>
  <c r="BN486" i="1"/>
  <c r="Z486" i="1"/>
  <c r="BP514" i="1"/>
  <c r="BN514" i="1"/>
  <c r="Z514" i="1"/>
  <c r="BP30" i="1"/>
  <c r="BN30" i="1"/>
  <c r="Z30" i="1"/>
  <c r="BP46" i="1"/>
  <c r="BN46" i="1"/>
  <c r="Z46" i="1"/>
  <c r="BP59" i="1"/>
  <c r="BN59" i="1"/>
  <c r="Z59" i="1"/>
  <c r="BP73" i="1"/>
  <c r="BN73" i="1"/>
  <c r="Z73" i="1"/>
  <c r="BP86" i="1"/>
  <c r="BN86" i="1"/>
  <c r="Z86" i="1"/>
  <c r="BP101" i="1"/>
  <c r="BN101" i="1"/>
  <c r="Z101" i="1"/>
  <c r="Y117" i="1"/>
  <c r="BP111" i="1"/>
  <c r="BN111" i="1"/>
  <c r="Z111" i="1"/>
  <c r="BP121" i="1"/>
  <c r="BN121" i="1"/>
  <c r="Z121" i="1"/>
  <c r="BP147" i="1"/>
  <c r="BN147" i="1"/>
  <c r="Z147" i="1"/>
  <c r="Y168" i="1"/>
  <c r="BP166" i="1"/>
  <c r="BN166" i="1"/>
  <c r="Z166" i="1"/>
  <c r="BP178" i="1"/>
  <c r="BN178" i="1"/>
  <c r="Z178" i="1"/>
  <c r="BP203" i="1"/>
  <c r="BN203" i="1"/>
  <c r="Z203" i="1"/>
  <c r="BP218" i="1"/>
  <c r="BN218" i="1"/>
  <c r="Z218" i="1"/>
  <c r="BP226" i="1"/>
  <c r="BN226" i="1"/>
  <c r="Z226" i="1"/>
  <c r="Y242" i="1"/>
  <c r="BP238" i="1"/>
  <c r="BN238" i="1"/>
  <c r="Z238" i="1"/>
  <c r="BP262" i="1"/>
  <c r="BN262" i="1"/>
  <c r="Z262" i="1"/>
  <c r="BP272" i="1"/>
  <c r="BN272" i="1"/>
  <c r="Z272" i="1"/>
  <c r="BP280" i="1"/>
  <c r="BN280" i="1"/>
  <c r="Z280" i="1"/>
  <c r="BP295" i="1"/>
  <c r="BN295" i="1"/>
  <c r="Z295" i="1"/>
  <c r="Y23" i="1"/>
  <c r="BP22" i="1"/>
  <c r="BN22" i="1"/>
  <c r="Z22" i="1"/>
  <c r="Z23" i="1" s="1"/>
  <c r="X546" i="1"/>
  <c r="Y32" i="1"/>
  <c r="BP26" i="1"/>
  <c r="BN26" i="1"/>
  <c r="Z26" i="1"/>
  <c r="BP38" i="1"/>
  <c r="BN38" i="1"/>
  <c r="Z38" i="1"/>
  <c r="E556" i="1"/>
  <c r="BP55" i="1"/>
  <c r="BN55" i="1"/>
  <c r="Z55" i="1"/>
  <c r="Y69" i="1"/>
  <c r="BP65" i="1"/>
  <c r="BN65" i="1"/>
  <c r="Z65" i="1"/>
  <c r="BP79" i="1"/>
  <c r="BN79" i="1"/>
  <c r="Z79" i="1"/>
  <c r="BP94" i="1"/>
  <c r="BN94" i="1"/>
  <c r="Z94" i="1"/>
  <c r="BP105" i="1"/>
  <c r="BN105" i="1"/>
  <c r="Z105" i="1"/>
  <c r="BP115" i="1"/>
  <c r="BN115" i="1"/>
  <c r="Z115" i="1"/>
  <c r="Y138" i="1"/>
  <c r="BP136" i="1"/>
  <c r="BN136" i="1"/>
  <c r="Z136" i="1"/>
  <c r="J556" i="1"/>
  <c r="BP160" i="1"/>
  <c r="BN160" i="1"/>
  <c r="Z160" i="1"/>
  <c r="BP174" i="1"/>
  <c r="BN174" i="1"/>
  <c r="Z174" i="1"/>
  <c r="Y186" i="1"/>
  <c r="BP184" i="1"/>
  <c r="BN184" i="1"/>
  <c r="Z184" i="1"/>
  <c r="Y211" i="1"/>
  <c r="BP210" i="1"/>
  <c r="BN210" i="1"/>
  <c r="Z210" i="1"/>
  <c r="Z211" i="1" s="1"/>
  <c r="Y228" i="1"/>
  <c r="BP214" i="1"/>
  <c r="BN214" i="1"/>
  <c r="Z214" i="1"/>
  <c r="BP222" i="1"/>
  <c r="BN222" i="1"/>
  <c r="Z222" i="1"/>
  <c r="BP232" i="1"/>
  <c r="BN232" i="1"/>
  <c r="Z232" i="1"/>
  <c r="BP250" i="1"/>
  <c r="BN250" i="1"/>
  <c r="Z250" i="1"/>
  <c r="Y256" i="1"/>
  <c r="BP254" i="1"/>
  <c r="BN254" i="1"/>
  <c r="Z254" i="1"/>
  <c r="BP266" i="1"/>
  <c r="BN266" i="1"/>
  <c r="Z266" i="1"/>
  <c r="BP276" i="1"/>
  <c r="BN276" i="1"/>
  <c r="Z276" i="1"/>
  <c r="BP291" i="1"/>
  <c r="BN291" i="1"/>
  <c r="Z291" i="1"/>
  <c r="Y302" i="1"/>
  <c r="BP301" i="1"/>
  <c r="BN301" i="1"/>
  <c r="Z301" i="1"/>
  <c r="Z302" i="1" s="1"/>
  <c r="Y303" i="1"/>
  <c r="BP353" i="1"/>
  <c r="BN353" i="1"/>
  <c r="BP357" i="1"/>
  <c r="BN357" i="1"/>
  <c r="Z357" i="1"/>
  <c r="BP367" i="1"/>
  <c r="BN367" i="1"/>
  <c r="Z367" i="1"/>
  <c r="BP381" i="1"/>
  <c r="BN381" i="1"/>
  <c r="Z381" i="1"/>
  <c r="BP395" i="1"/>
  <c r="BN395" i="1"/>
  <c r="Z395" i="1"/>
  <c r="BP413" i="1"/>
  <c r="BN413" i="1"/>
  <c r="Z413" i="1"/>
  <c r="BP427" i="1"/>
  <c r="BN427" i="1"/>
  <c r="Z427" i="1"/>
  <c r="BP439" i="1"/>
  <c r="BN439" i="1"/>
  <c r="Z439" i="1"/>
  <c r="BP460" i="1"/>
  <c r="BN460" i="1"/>
  <c r="Z460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BP484" i="1"/>
  <c r="BN484" i="1"/>
  <c r="Z484" i="1"/>
  <c r="BP496" i="1"/>
  <c r="BN496" i="1"/>
  <c r="Z496" i="1"/>
  <c r="BP512" i="1"/>
  <c r="BN512" i="1"/>
  <c r="Z512" i="1"/>
  <c r="Y81" i="1"/>
  <c r="Y123" i="1"/>
  <c r="H556" i="1"/>
  <c r="Y182" i="1"/>
  <c r="Y207" i="1"/>
  <c r="Y227" i="1"/>
  <c r="Y236" i="1"/>
  <c r="Y241" i="1"/>
  <c r="Y257" i="1"/>
  <c r="Y267" i="1"/>
  <c r="Y283" i="1"/>
  <c r="Z310" i="1"/>
  <c r="BN310" i="1"/>
  <c r="Z317" i="1"/>
  <c r="BN317" i="1"/>
  <c r="Z326" i="1"/>
  <c r="BN326" i="1"/>
  <c r="Z335" i="1"/>
  <c r="BN335" i="1"/>
  <c r="Z341" i="1"/>
  <c r="BN341" i="1"/>
  <c r="Z348" i="1"/>
  <c r="BN348" i="1"/>
  <c r="Z353" i="1"/>
  <c r="Y371" i="1"/>
  <c r="BP363" i="1"/>
  <c r="BN363" i="1"/>
  <c r="Z363" i="1"/>
  <c r="Y377" i="1"/>
  <c r="BP373" i="1"/>
  <c r="BN373" i="1"/>
  <c r="Z373" i="1"/>
  <c r="BP389" i="1"/>
  <c r="BN389" i="1"/>
  <c r="Z389" i="1"/>
  <c r="BP401" i="1"/>
  <c r="BN401" i="1"/>
  <c r="Z401" i="1"/>
  <c r="BP423" i="1"/>
  <c r="BN423" i="1"/>
  <c r="Z423" i="1"/>
  <c r="BP433" i="1"/>
  <c r="BN433" i="1"/>
  <c r="Z433" i="1"/>
  <c r="X556" i="1"/>
  <c r="BP450" i="1"/>
  <c r="BN450" i="1"/>
  <c r="Z450" i="1"/>
  <c r="BP468" i="1"/>
  <c r="BN468" i="1"/>
  <c r="Z468" i="1"/>
  <c r="AA556" i="1"/>
  <c r="BP492" i="1"/>
  <c r="BN492" i="1"/>
  <c r="Z492" i="1"/>
  <c r="BP504" i="1"/>
  <c r="BN504" i="1"/>
  <c r="Z504" i="1"/>
  <c r="BP538" i="1"/>
  <c r="BN538" i="1"/>
  <c r="Z538" i="1"/>
  <c r="Y360" i="1"/>
  <c r="Y378" i="1"/>
  <c r="Y397" i="1"/>
  <c r="Y403" i="1"/>
  <c r="W556" i="1"/>
  <c r="Y435" i="1"/>
  <c r="Y441" i="1"/>
  <c r="Y445" i="1"/>
  <c r="Y462" i="1"/>
  <c r="Z202" i="1"/>
  <c r="BN202" i="1"/>
  <c r="Z204" i="1"/>
  <c r="BN204" i="1"/>
  <c r="L556" i="1"/>
  <c r="Y212" i="1"/>
  <c r="Z215" i="1"/>
  <c r="BN215" i="1"/>
  <c r="BP215" i="1"/>
  <c r="Z217" i="1"/>
  <c r="BN217" i="1"/>
  <c r="Z219" i="1"/>
  <c r="BN219" i="1"/>
  <c r="Z221" i="1"/>
  <c r="BN221" i="1"/>
  <c r="Z223" i="1"/>
  <c r="BN223" i="1"/>
  <c r="Z225" i="1"/>
  <c r="BN225" i="1"/>
  <c r="Z231" i="1"/>
  <c r="BN231" i="1"/>
  <c r="BP231" i="1"/>
  <c r="Z233" i="1"/>
  <c r="BN233" i="1"/>
  <c r="Z239" i="1"/>
  <c r="BN239" i="1"/>
  <c r="BP239" i="1"/>
  <c r="Y245" i="1"/>
  <c r="BP244" i="1"/>
  <c r="BN244" i="1"/>
  <c r="Z244" i="1"/>
  <c r="Z245" i="1" s="1"/>
  <c r="Y246" i="1"/>
  <c r="M556" i="1"/>
  <c r="Y252" i="1"/>
  <c r="BP249" i="1"/>
  <c r="BN249" i="1"/>
  <c r="Z249" i="1"/>
  <c r="Y31" i="1"/>
  <c r="Y41" i="1"/>
  <c r="Y51" i="1"/>
  <c r="Y62" i="1"/>
  <c r="Y70" i="1"/>
  <c r="Y74" i="1"/>
  <c r="Y80" i="1"/>
  <c r="Y91" i="1"/>
  <c r="Y97" i="1"/>
  <c r="Y108" i="1"/>
  <c r="Y116" i="1"/>
  <c r="Y124" i="1"/>
  <c r="Y128" i="1"/>
  <c r="Y133" i="1"/>
  <c r="Y139" i="1"/>
  <c r="Y143" i="1"/>
  <c r="Y152" i="1"/>
  <c r="Y156" i="1"/>
  <c r="Y163" i="1"/>
  <c r="Y169" i="1"/>
  <c r="Y181" i="1"/>
  <c r="Y187" i="1"/>
  <c r="Y191" i="1"/>
  <c r="Y195" i="1"/>
  <c r="K556" i="1"/>
  <c r="H9" i="1"/>
  <c r="B556" i="1"/>
  <c r="X547" i="1"/>
  <c r="X548" i="1"/>
  <c r="X550" i="1"/>
  <c r="Y24" i="1"/>
  <c r="Z27" i="1"/>
  <c r="BN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Z60" i="1"/>
  <c r="BN60" i="1"/>
  <c r="Y63" i="1"/>
  <c r="Z66" i="1"/>
  <c r="BN66" i="1"/>
  <c r="Z68" i="1"/>
  <c r="BN68" i="1"/>
  <c r="Z72" i="1"/>
  <c r="BN72" i="1"/>
  <c r="BP72" i="1"/>
  <c r="Z78" i="1"/>
  <c r="BN78" i="1"/>
  <c r="F556" i="1"/>
  <c r="Z85" i="1"/>
  <c r="BN85" i="1"/>
  <c r="Z87" i="1"/>
  <c r="BN87" i="1"/>
  <c r="Z89" i="1"/>
  <c r="BN89" i="1"/>
  <c r="Y90" i="1"/>
  <c r="Z93" i="1"/>
  <c r="BN93" i="1"/>
  <c r="BP93" i="1"/>
  <c r="Z95" i="1"/>
  <c r="BN95" i="1"/>
  <c r="G556" i="1"/>
  <c r="Z102" i="1"/>
  <c r="BN102" i="1"/>
  <c r="Z104" i="1"/>
  <c r="BN104" i="1"/>
  <c r="Z106" i="1"/>
  <c r="BN106" i="1"/>
  <c r="Y109" i="1"/>
  <c r="Z112" i="1"/>
  <c r="BN112" i="1"/>
  <c r="Z114" i="1"/>
  <c r="BN114" i="1"/>
  <c r="Z120" i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BN137" i="1"/>
  <c r="Z141" i="1"/>
  <c r="BN141" i="1"/>
  <c r="BP141" i="1"/>
  <c r="I556" i="1"/>
  <c r="Z148" i="1"/>
  <c r="BN148" i="1"/>
  <c r="Z150" i="1"/>
  <c r="BN150" i="1"/>
  <c r="Y151" i="1"/>
  <c r="Z154" i="1"/>
  <c r="Z155" i="1" s="1"/>
  <c r="BN154" i="1"/>
  <c r="BP154" i="1"/>
  <c r="Z159" i="1"/>
  <c r="BN159" i="1"/>
  <c r="BP159" i="1"/>
  <c r="Z161" i="1"/>
  <c r="BN161" i="1"/>
  <c r="Y164" i="1"/>
  <c r="Z167" i="1"/>
  <c r="BN167" i="1"/>
  <c r="Z171" i="1"/>
  <c r="BN171" i="1"/>
  <c r="BP171" i="1"/>
  <c r="Z173" i="1"/>
  <c r="BN173" i="1"/>
  <c r="Z175" i="1"/>
  <c r="BN175" i="1"/>
  <c r="Z177" i="1"/>
  <c r="BN177" i="1"/>
  <c r="Z179" i="1"/>
  <c r="BN179" i="1"/>
  <c r="Z185" i="1"/>
  <c r="Z186" i="1" s="1"/>
  <c r="BN185" i="1"/>
  <c r="Z189" i="1"/>
  <c r="Z190" i="1" s="1"/>
  <c r="BN189" i="1"/>
  <c r="BP189" i="1"/>
  <c r="Z193" i="1"/>
  <c r="Z194" i="1" s="1"/>
  <c r="BN193" i="1"/>
  <c r="BP193" i="1"/>
  <c r="Z199" i="1"/>
  <c r="BN199" i="1"/>
  <c r="BP199" i="1"/>
  <c r="Z201" i="1"/>
  <c r="BN201" i="1"/>
  <c r="Y206" i="1"/>
  <c r="Z255" i="1"/>
  <c r="Z256" i="1" s="1"/>
  <c r="BN255" i="1"/>
  <c r="BP255" i="1"/>
  <c r="Z259" i="1"/>
  <c r="BN259" i="1"/>
  <c r="BP259" i="1"/>
  <c r="Z261" i="1"/>
  <c r="BN261" i="1"/>
  <c r="Z263" i="1"/>
  <c r="BN263" i="1"/>
  <c r="Z265" i="1"/>
  <c r="BN265" i="1"/>
  <c r="Y268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6" i="1"/>
  <c r="Z292" i="1"/>
  <c r="BN292" i="1"/>
  <c r="Z294" i="1"/>
  <c r="BN294" i="1"/>
  <c r="Z296" i="1"/>
  <c r="BN296" i="1"/>
  <c r="Y299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Z349" i="1"/>
  <c r="BP347" i="1"/>
  <c r="BN347" i="1"/>
  <c r="Z347" i="1"/>
  <c r="BP356" i="1"/>
  <c r="BN356" i="1"/>
  <c r="Z356" i="1"/>
  <c r="BP364" i="1"/>
  <c r="BN364" i="1"/>
  <c r="Z364" i="1"/>
  <c r="BP368" i="1"/>
  <c r="BN368" i="1"/>
  <c r="Z368" i="1"/>
  <c r="BP376" i="1"/>
  <c r="BN376" i="1"/>
  <c r="Z376" i="1"/>
  <c r="Y383" i="1"/>
  <c r="BP380" i="1"/>
  <c r="BN380" i="1"/>
  <c r="Z380" i="1"/>
  <c r="BP388" i="1"/>
  <c r="BN388" i="1"/>
  <c r="Z388" i="1"/>
  <c r="Y298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BP354" i="1"/>
  <c r="BN354" i="1"/>
  <c r="Z354" i="1"/>
  <c r="BP358" i="1"/>
  <c r="BN358" i="1"/>
  <c r="Z358" i="1"/>
  <c r="BP366" i="1"/>
  <c r="BN366" i="1"/>
  <c r="Z366" i="1"/>
  <c r="Y370" i="1"/>
  <c r="BP374" i="1"/>
  <c r="BN374" i="1"/>
  <c r="Z374" i="1"/>
  <c r="BP382" i="1"/>
  <c r="BN382" i="1"/>
  <c r="Z382" i="1"/>
  <c r="Y384" i="1"/>
  <c r="Y391" i="1"/>
  <c r="BP386" i="1"/>
  <c r="BN386" i="1"/>
  <c r="Z386" i="1"/>
  <c r="Y390" i="1"/>
  <c r="Y396" i="1"/>
  <c r="Y402" i="1"/>
  <c r="Y409" i="1"/>
  <c r="Y416" i="1"/>
  <c r="Y428" i="1"/>
  <c r="Y434" i="1"/>
  <c r="Y440" i="1"/>
  <c r="Y446" i="1"/>
  <c r="Y451" i="1"/>
  <c r="Y461" i="1"/>
  <c r="BP485" i="1"/>
  <c r="BN485" i="1"/>
  <c r="Z485" i="1"/>
  <c r="Z487" i="1" s="1"/>
  <c r="BP495" i="1"/>
  <c r="BN495" i="1"/>
  <c r="Z495" i="1"/>
  <c r="BP499" i="1"/>
  <c r="BN499" i="1"/>
  <c r="Z499" i="1"/>
  <c r="Y501" i="1"/>
  <c r="Y506" i="1"/>
  <c r="BP503" i="1"/>
  <c r="BN503" i="1"/>
  <c r="Z503" i="1"/>
  <c r="BP511" i="1"/>
  <c r="BN511" i="1"/>
  <c r="Z511" i="1"/>
  <c r="BP515" i="1"/>
  <c r="BN515" i="1"/>
  <c r="Z515" i="1"/>
  <c r="Y517" i="1"/>
  <c r="Y522" i="1"/>
  <c r="BP521" i="1"/>
  <c r="BN521" i="1"/>
  <c r="Z521" i="1"/>
  <c r="Z522" i="1" s="1"/>
  <c r="AB556" i="1"/>
  <c r="Y523" i="1"/>
  <c r="Y526" i="1"/>
  <c r="BP525" i="1"/>
  <c r="BN525" i="1"/>
  <c r="Z525" i="1"/>
  <c r="Z526" i="1" s="1"/>
  <c r="Y527" i="1"/>
  <c r="P556" i="1"/>
  <c r="Y321" i="1"/>
  <c r="S556" i="1"/>
  <c r="Y350" i="1"/>
  <c r="T556" i="1"/>
  <c r="Y361" i="1"/>
  <c r="Z394" i="1"/>
  <c r="Z396" i="1" s="1"/>
  <c r="BN394" i="1"/>
  <c r="Z400" i="1"/>
  <c r="BN400" i="1"/>
  <c r="U556" i="1"/>
  <c r="Z407" i="1"/>
  <c r="BN407" i="1"/>
  <c r="Y408" i="1"/>
  <c r="Z412" i="1"/>
  <c r="BN412" i="1"/>
  <c r="BP412" i="1"/>
  <c r="Z414" i="1"/>
  <c r="BN414" i="1"/>
  <c r="Y415" i="1"/>
  <c r="Z420" i="1"/>
  <c r="BN420" i="1"/>
  <c r="BP420" i="1"/>
  <c r="Z422" i="1"/>
  <c r="BN422" i="1"/>
  <c r="Z424" i="1"/>
  <c r="BN424" i="1"/>
  <c r="Z426" i="1"/>
  <c r="BN426" i="1"/>
  <c r="Y429" i="1"/>
  <c r="Z432" i="1"/>
  <c r="BN432" i="1"/>
  <c r="Z438" i="1"/>
  <c r="Z440" i="1" s="1"/>
  <c r="BN438" i="1"/>
  <c r="Z444" i="1"/>
  <c r="Z445" i="1" s="1"/>
  <c r="BN444" i="1"/>
  <c r="Z449" i="1"/>
  <c r="BN449" i="1"/>
  <c r="BP449" i="1"/>
  <c r="Y452" i="1"/>
  <c r="Z459" i="1"/>
  <c r="Z461" i="1" s="1"/>
  <c r="BN459" i="1"/>
  <c r="Y556" i="1"/>
  <c r="Y473" i="1"/>
  <c r="Z467" i="1"/>
  <c r="BN467" i="1"/>
  <c r="Z469" i="1"/>
  <c r="BN469" i="1"/>
  <c r="Z471" i="1"/>
  <c r="BN471" i="1"/>
  <c r="Y472" i="1"/>
  <c r="Y488" i="1"/>
  <c r="Y487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BP513" i="1"/>
  <c r="BN513" i="1"/>
  <c r="Z513" i="1"/>
  <c r="Y531" i="1"/>
  <c r="Y535" i="1"/>
  <c r="Y539" i="1"/>
  <c r="Z556" i="1"/>
  <c r="Y500" i="1"/>
  <c r="Z529" i="1"/>
  <c r="Z530" i="1" s="1"/>
  <c r="BN529" i="1"/>
  <c r="BP529" i="1"/>
  <c r="Z533" i="1"/>
  <c r="Z534" i="1" s="1"/>
  <c r="BN533" i="1"/>
  <c r="BP533" i="1"/>
  <c r="Z537" i="1"/>
  <c r="BN537" i="1"/>
  <c r="BP537" i="1"/>
  <c r="Y545" i="1"/>
  <c r="Z116" i="1" l="1"/>
  <c r="Z539" i="1"/>
  <c r="Z500" i="1"/>
  <c r="Z408" i="1"/>
  <c r="Z390" i="1"/>
  <c r="Z377" i="1"/>
  <c r="Z360" i="1"/>
  <c r="Z168" i="1"/>
  <c r="Z143" i="1"/>
  <c r="Z138" i="1"/>
  <c r="Z31" i="1"/>
  <c r="Z123" i="1"/>
  <c r="Z451" i="1"/>
  <c r="Z434" i="1"/>
  <c r="Z402" i="1"/>
  <c r="Z342" i="1"/>
  <c r="Z311" i="1"/>
  <c r="Z298" i="1"/>
  <c r="Z181" i="1"/>
  <c r="Z163" i="1"/>
  <c r="Z97" i="1"/>
  <c r="Z80" i="1"/>
  <c r="Z235" i="1"/>
  <c r="Z69" i="1"/>
  <c r="Z321" i="1"/>
  <c r="Z151" i="1"/>
  <c r="Z108" i="1"/>
  <c r="Y548" i="1"/>
  <c r="Z50" i="1"/>
  <c r="Z41" i="1"/>
  <c r="Y547" i="1"/>
  <c r="Y550" i="1"/>
  <c r="Z472" i="1"/>
  <c r="Z383" i="1"/>
  <c r="Z370" i="1"/>
  <c r="Z282" i="1"/>
  <c r="Z90" i="1"/>
  <c r="Z74" i="1"/>
  <c r="Z251" i="1"/>
  <c r="Z241" i="1"/>
  <c r="Z227" i="1"/>
  <c r="Y549" i="1"/>
  <c r="Z506" i="1"/>
  <c r="Y546" i="1"/>
  <c r="Z516" i="1"/>
  <c r="Z428" i="1"/>
  <c r="Z415" i="1"/>
  <c r="Z336" i="1"/>
  <c r="Z328" i="1"/>
  <c r="Z267" i="1"/>
  <c r="Z206" i="1"/>
  <c r="Z62" i="1"/>
  <c r="Z551" i="1" s="1"/>
  <c r="X549" i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<sst xmlns="http://schemas.openxmlformats.org/spreadsheetml/2006/main" count="2462" uniqueCount="893">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</sst>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79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97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8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5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0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topLeftCell="A395" zoomScaleNormal="100" zoomScaleSheetLayoutView="100" workbookViewId="0">
      <selection activeCell="AA552" sqref="AA552"/>
    </sheetView>
  </sheetViews>
  <sheetFormatPr defaultColWidth="9.140625" defaultRowHeight="12.75" x14ac:dyDescent="0.2"/>
  <cols>
    <col min="1" max="1" width="9.140625" style="61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0" customWidth="1"/>
    <col min="19" max="19" width="6.140625" style="61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0" customWidth="1"/>
    <col min="25" max="25" width="11" style="610" customWidth="1"/>
    <col min="26" max="26" width="10" style="610" customWidth="1"/>
    <col min="27" max="27" width="11.5703125" style="610" customWidth="1"/>
    <col min="28" max="28" width="10.42578125" style="610" customWidth="1"/>
    <col min="29" max="29" width="30" style="61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0" customWidth="1"/>
    <col min="34" max="34" width="9.140625" style="610" customWidth="1"/>
    <col min="35" max="16384" width="9.140625" style="610"/>
  </cols>
  <sheetData>
    <row r="1" spans="1:32" s="614" customFormat="1" ht="45" customHeight="1" x14ac:dyDescent="0.2">
      <c r="A1" s="41"/>
      <c r="B1" s="41"/>
      <c r="C1" s="41"/>
      <c r="D1" s="695" t="s">
        <v>0</v>
      </c>
      <c r="E1" s="650"/>
      <c r="F1" s="650"/>
      <c r="G1" s="12" t="s">
        <v>1</v>
      </c>
      <c r="H1" s="695" t="s">
        <v>2</v>
      </c>
      <c r="I1" s="650"/>
      <c r="J1" s="650"/>
      <c r="K1" s="650"/>
      <c r="L1" s="650"/>
      <c r="M1" s="650"/>
      <c r="N1" s="650"/>
      <c r="O1" s="650"/>
      <c r="P1" s="650"/>
      <c r="Q1" s="650"/>
      <c r="R1" s="649" t="s">
        <v>3</v>
      </c>
      <c r="S1" s="650"/>
      <c r="T1" s="65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4" customFormat="1" ht="23.45" customHeight="1" x14ac:dyDescent="0.2">
      <c r="A5" s="745" t="s">
        <v>8</v>
      </c>
      <c r="B5" s="675"/>
      <c r="C5" s="676"/>
      <c r="D5" s="701"/>
      <c r="E5" s="702"/>
      <c r="F5" s="931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5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4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8" t="str">
        <f>IF(Q5=0," ",CHOOSE(WEEKDAY(Q5,2),"Понедельник","Вторник","Среда","Четверг","Пятница","Суббота","Воскресенье"))</f>
        <v>Суббота</v>
      </c>
      <c r="R6" s="625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4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4" customFormat="1" ht="25.5" customHeight="1" x14ac:dyDescent="0.2">
      <c r="A8" s="972" t="s">
        <v>17</v>
      </c>
      <c r="B8" s="639"/>
      <c r="C8" s="640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1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4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4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15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4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4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8" t="str">
        <f>IFERROR(VLOOKUP($D$10,Proxy,2,FALSE),"")</f>
        <v/>
      </c>
      <c r="I10" s="633"/>
      <c r="J10" s="633"/>
      <c r="K10" s="633"/>
      <c r="L10" s="633"/>
      <c r="M10" s="633"/>
      <c r="N10" s="613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6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4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1"/>
      <c r="R12" s="680"/>
      <c r="S12" s="23"/>
      <c r="U12" s="24"/>
      <c r="V12" s="650"/>
      <c r="W12" s="633"/>
      <c r="AB12" s="51"/>
      <c r="AC12" s="51"/>
      <c r="AD12" s="51"/>
      <c r="AE12" s="51"/>
    </row>
    <row r="13" spans="1:32" s="614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6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4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4" customFormat="1" ht="22.5" customHeight="1" x14ac:dyDescent="0.2">
      <c r="A15" s="820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6" t="s">
        <v>33</v>
      </c>
      <c r="Q15" s="650"/>
      <c r="R15" s="650"/>
      <c r="S15" s="650"/>
      <c r="T15" s="65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7"/>
      <c r="Q16" s="777"/>
      <c r="R16" s="777"/>
      <c r="S16" s="777"/>
      <c r="T16" s="7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8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69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9" t="s">
        <v>54</v>
      </c>
      <c r="AB17" s="849" t="s">
        <v>55</v>
      </c>
      <c r="AC17" s="849" t="s">
        <v>56</v>
      </c>
      <c r="AD17" s="849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50"/>
      <c r="AB18" s="850"/>
      <c r="AC18" s="850"/>
      <c r="AD18" s="928"/>
      <c r="AE18" s="929"/>
      <c r="AF18" s="930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37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1"/>
      <c r="AB20" s="611"/>
      <c r="AC20" s="611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2"/>
      <c r="AB21" s="612"/>
      <c r="AC21" s="612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4">
        <v>4680115889071</v>
      </c>
      <c r="E22" s="625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8" t="s">
        <v>69</v>
      </c>
      <c r="Q23" s="639"/>
      <c r="R23" s="639"/>
      <c r="S23" s="639"/>
      <c r="T23" s="639"/>
      <c r="U23" s="639"/>
      <c r="V23" s="640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8" t="s">
        <v>69</v>
      </c>
      <c r="Q24" s="639"/>
      <c r="R24" s="639"/>
      <c r="S24" s="639"/>
      <c r="T24" s="639"/>
      <c r="U24" s="639"/>
      <c r="V24" s="640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2"/>
      <c r="AB25" s="612"/>
      <c r="AC25" s="612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4">
        <v>4680115885912</v>
      </c>
      <c r="E26" s="625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4">
        <v>4607091388237</v>
      </c>
      <c r="E27" s="625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4">
        <v>4680115887350</v>
      </c>
      <c r="E28" s="625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3</v>
      </c>
      <c r="Y28" s="618">
        <f>IFERROR(IF(X28="",0,CEILING((X28/$H28),1)*$H28),"")</f>
        <v>3.6</v>
      </c>
      <c r="Z28" s="36">
        <f>IFERROR(IF(Y28=0,"",ROUNDUP(Y28/H28,0)*0.00651),"")</f>
        <v>1.302E-2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5.3000000000000007</v>
      </c>
      <c r="BN28" s="64">
        <f>IFERROR(Y28*I28/H28,"0")</f>
        <v>6.36</v>
      </c>
      <c r="BO28" s="64">
        <f>IFERROR(1/J28*(X28/H28),"0")</f>
        <v>9.1575091575091579E-3</v>
      </c>
      <c r="BP28" s="64">
        <f>IFERROR(1/J28*(Y28/H28),"0")</f>
        <v>1.098901098901099E-2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24">
        <v>4680115885905</v>
      </c>
      <c r="E29" s="625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4">
        <v>4680115887619</v>
      </c>
      <c r="E30" s="625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8" t="s">
        <v>69</v>
      </c>
      <c r="Q31" s="639"/>
      <c r="R31" s="639"/>
      <c r="S31" s="639"/>
      <c r="T31" s="639"/>
      <c r="U31" s="639"/>
      <c r="V31" s="640"/>
      <c r="W31" s="37" t="s">
        <v>70</v>
      </c>
      <c r="X31" s="619">
        <f>IFERROR(X26/H26,"0")+IFERROR(X27/H27,"0")+IFERROR(X28/H28,"0")+IFERROR(X29/H29,"0")+IFERROR(X30/H30,"0")</f>
        <v>1.6666666666666665</v>
      </c>
      <c r="Y31" s="619">
        <f>IFERROR(Y26/H26,"0")+IFERROR(Y27/H27,"0")+IFERROR(Y28/H28,"0")+IFERROR(Y29/H29,"0")+IFERROR(Y30/H30,"0")</f>
        <v>2</v>
      </c>
      <c r="Z31" s="619">
        <f>IFERROR(IF(Z26="",0,Z26),"0")+IFERROR(IF(Z27="",0,Z27),"0")+IFERROR(IF(Z28="",0,Z28),"0")+IFERROR(IF(Z29="",0,Z29),"0")+IFERROR(IF(Z30="",0,Z30),"0")</f>
        <v>1.302E-2</v>
      </c>
      <c r="AA31" s="620"/>
      <c r="AB31" s="620"/>
      <c r="AC31" s="620"/>
    </row>
    <row r="32" spans="1:68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8" t="s">
        <v>69</v>
      </c>
      <c r="Q32" s="639"/>
      <c r="R32" s="639"/>
      <c r="S32" s="639"/>
      <c r="T32" s="639"/>
      <c r="U32" s="639"/>
      <c r="V32" s="640"/>
      <c r="W32" s="37" t="s">
        <v>67</v>
      </c>
      <c r="X32" s="619">
        <f>IFERROR(SUM(X26:X30),"0")</f>
        <v>3</v>
      </c>
      <c r="Y32" s="619">
        <f>IFERROR(SUM(Y26:Y30),"0")</f>
        <v>3.6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37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1"/>
      <c r="AB34" s="611"/>
      <c r="AC34" s="611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2"/>
      <c r="AB35" s="612"/>
      <c r="AC35" s="612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4">
        <v>4680115889354</v>
      </c>
      <c r="E36" s="625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4">
        <v>4680115888463</v>
      </c>
      <c r="E37" s="625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4">
        <v>4680115889590</v>
      </c>
      <c r="E38" s="625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4">
        <v>4680115888272</v>
      </c>
      <c r="E39" s="625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4">
        <v>4680115888364</v>
      </c>
      <c r="E40" s="625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8" t="s">
        <v>69</v>
      </c>
      <c r="Q41" s="639"/>
      <c r="R41" s="639"/>
      <c r="S41" s="639"/>
      <c r="T41" s="639"/>
      <c r="U41" s="639"/>
      <c r="V41" s="640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8" t="s">
        <v>69</v>
      </c>
      <c r="Q42" s="639"/>
      <c r="R42" s="639"/>
      <c r="S42" s="639"/>
      <c r="T42" s="639"/>
      <c r="U42" s="639"/>
      <c r="V42" s="640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37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1"/>
      <c r="AB44" s="611"/>
      <c r="AC44" s="611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2"/>
      <c r="AB45" s="612"/>
      <c r="AC45" s="612"/>
    </row>
    <row r="46" spans="1:68" ht="16.5" customHeight="1" x14ac:dyDescent="0.25">
      <c r="A46" s="54" t="s">
        <v>109</v>
      </c>
      <c r="B46" s="54" t="s">
        <v>110</v>
      </c>
      <c r="C46" s="31">
        <v>4301011380</v>
      </c>
      <c r="D46" s="624">
        <v>4607091385670</v>
      </c>
      <c r="E46" s="625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650</v>
      </c>
      <c r="Y46" s="618">
        <f>IFERROR(IF(X46="",0,CEILING((X46/$H46),1)*$H46),"")</f>
        <v>658.80000000000007</v>
      </c>
      <c r="Z46" s="36">
        <f>IFERROR(IF(Y46=0,"",ROUNDUP(Y46/H46,0)*0.01898),"")</f>
        <v>1.15778</v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674.67592592592598</v>
      </c>
      <c r="BN46" s="64">
        <f>IFERROR(Y46*I46/H46,"0")</f>
        <v>683.81000000000006</v>
      </c>
      <c r="BO46" s="64">
        <f>IFERROR(1/J46*(X46/H46),"0")</f>
        <v>0.94039351851851849</v>
      </c>
      <c r="BP46" s="64">
        <f>IFERROR(1/J46*(Y46/H46),"0")</f>
        <v>0.953125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4">
        <v>4680115887725</v>
      </c>
      <c r="E47" s="625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4">
        <v>4607091385687</v>
      </c>
      <c r="E48" s="625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4">
        <v>4680115882539</v>
      </c>
      <c r="E49" s="625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29</v>
      </c>
      <c r="Y49" s="618">
        <f>IFERROR(IF(X49="",0,CEILING((X49/$H49),1)*$H49),"")</f>
        <v>29.6</v>
      </c>
      <c r="Z49" s="36">
        <f>IFERROR(IF(Y49=0,"",ROUNDUP(Y49/H49,0)*0.00902),"")</f>
        <v>7.2160000000000002E-2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30.489189189189187</v>
      </c>
      <c r="BN49" s="64">
        <f>IFERROR(Y49*I49/H49,"0")</f>
        <v>31.12</v>
      </c>
      <c r="BO49" s="64">
        <f>IFERROR(1/J49*(X49/H49),"0")</f>
        <v>5.9377559377559376E-2</v>
      </c>
      <c r="BP49" s="64">
        <f>IFERROR(1/J49*(Y49/H49),"0")</f>
        <v>6.0606060606060608E-2</v>
      </c>
    </row>
    <row r="50" spans="1:68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8" t="s">
        <v>69</v>
      </c>
      <c r="Q50" s="639"/>
      <c r="R50" s="639"/>
      <c r="S50" s="639"/>
      <c r="T50" s="639"/>
      <c r="U50" s="639"/>
      <c r="V50" s="640"/>
      <c r="W50" s="37" t="s">
        <v>70</v>
      </c>
      <c r="X50" s="619">
        <f>IFERROR(X46/H46,"0")+IFERROR(X47/H47,"0")+IFERROR(X48/H48,"0")+IFERROR(X49/H49,"0")</f>
        <v>68.023023023023015</v>
      </c>
      <c r="Y50" s="619">
        <f>IFERROR(Y46/H46,"0")+IFERROR(Y47/H47,"0")+IFERROR(Y48/H48,"0")+IFERROR(Y49/H49,"0")</f>
        <v>69</v>
      </c>
      <c r="Z50" s="619">
        <f>IFERROR(IF(Z46="",0,Z46),"0")+IFERROR(IF(Z47="",0,Z47),"0")+IFERROR(IF(Z48="",0,Z48),"0")+IFERROR(IF(Z49="",0,Z49),"0")</f>
        <v>1.22994</v>
      </c>
      <c r="AA50" s="620"/>
      <c r="AB50" s="620"/>
      <c r="AC50" s="620"/>
    </row>
    <row r="51" spans="1:68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8" t="s">
        <v>69</v>
      </c>
      <c r="Q51" s="639"/>
      <c r="R51" s="639"/>
      <c r="S51" s="639"/>
      <c r="T51" s="639"/>
      <c r="U51" s="639"/>
      <c r="V51" s="640"/>
      <c r="W51" s="37" t="s">
        <v>67</v>
      </c>
      <c r="X51" s="619">
        <f>IFERROR(SUM(X46:X49),"0")</f>
        <v>679</v>
      </c>
      <c r="Y51" s="619">
        <f>IFERROR(SUM(Y46:Y49),"0")</f>
        <v>688.40000000000009</v>
      </c>
      <c r="Z51" s="37"/>
      <c r="AA51" s="620"/>
      <c r="AB51" s="620"/>
      <c r="AC51" s="620"/>
    </row>
    <row r="52" spans="1:68" ht="16.5" hidden="1" customHeight="1" x14ac:dyDescent="0.25">
      <c r="A52" s="637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1"/>
      <c r="AB52" s="611"/>
      <c r="AC52" s="611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2"/>
      <c r="AB53" s="612"/>
      <c r="AC53" s="612"/>
    </row>
    <row r="54" spans="1:68" ht="27" hidden="1" customHeight="1" x14ac:dyDescent="0.25">
      <c r="A54" s="54" t="s">
        <v>124</v>
      </c>
      <c r="B54" s="54" t="s">
        <v>125</v>
      </c>
      <c r="C54" s="31">
        <v>4301012161</v>
      </c>
      <c r="D54" s="624">
        <v>4680115885882</v>
      </c>
      <c r="E54" s="625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0</v>
      </c>
      <c r="Y54" s="618">
        <f t="shared" ref="Y54:Y61" si="0">IFERROR(IF(X54="",0,CEILING((X54/$H54),1)*$H54),"")</f>
        <v>0</v>
      </c>
      <c r="Z54" s="36" t="str">
        <f>IFERROR(IF(Y54=0,"",ROUNDUP(Y54/H54,0)*0.01898),"")</f>
        <v/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0</v>
      </c>
      <c r="BN54" s="64">
        <f t="shared" ref="BN54:BN61" si="2">IFERROR(Y54*I54/H54,"0")</f>
        <v>0</v>
      </c>
      <c r="BO54" s="64">
        <f t="shared" ref="BO54:BO61" si="3">IFERROR(1/J54*(X54/H54),"0")</f>
        <v>0</v>
      </c>
      <c r="BP54" s="64">
        <f t="shared" ref="BP54:BP61" si="4">IFERROR(1/J54*(Y54/H54),"0")</f>
        <v>0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4">
        <v>4680115881426</v>
      </c>
      <c r="E55" s="625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982</v>
      </c>
      <c r="Y55" s="618">
        <f t="shared" si="0"/>
        <v>982.80000000000007</v>
      </c>
      <c r="Z55" s="36">
        <f>IFERROR(IF(Y55=0,"",ROUNDUP(Y55/H55,0)*0.01898),"")</f>
        <v>1.7271799999999999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1019.2796296296297</v>
      </c>
      <c r="BN55" s="64">
        <f t="shared" si="2"/>
        <v>1020.1100000000001</v>
      </c>
      <c r="BO55" s="64">
        <f t="shared" si="3"/>
        <v>1.4207175925925926</v>
      </c>
      <c r="BP55" s="64">
        <f t="shared" si="4"/>
        <v>1.421875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4">
        <v>4680115881426</v>
      </c>
      <c r="E56" s="625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4">
        <v>4680115880283</v>
      </c>
      <c r="E57" s="625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24">
        <v>4680115881525</v>
      </c>
      <c r="E58" s="625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7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4">
        <v>4680115881525</v>
      </c>
      <c r="E59" s="625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4">
        <v>4680115885899</v>
      </c>
      <c r="E60" s="625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24">
        <v>4680115881419</v>
      </c>
      <c r="E61" s="625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45</v>
      </c>
      <c r="Y61" s="618">
        <f t="shared" si="0"/>
        <v>45</v>
      </c>
      <c r="Z61" s="36">
        <f>IFERROR(IF(Y61=0,"",ROUNDUP(Y61/H61,0)*0.00902),"")</f>
        <v>9.0200000000000002E-2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46.900000000000006</v>
      </c>
      <c r="BN61" s="64">
        <f t="shared" si="2"/>
        <v>46.900000000000006</v>
      </c>
      <c r="BO61" s="64">
        <f t="shared" si="3"/>
        <v>7.575757575757576E-2</v>
      </c>
      <c r="BP61" s="64">
        <f t="shared" si="4"/>
        <v>7.575757575757576E-2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8" t="s">
        <v>69</v>
      </c>
      <c r="Q62" s="639"/>
      <c r="R62" s="639"/>
      <c r="S62" s="639"/>
      <c r="T62" s="639"/>
      <c r="U62" s="639"/>
      <c r="V62" s="640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100.92592592592592</v>
      </c>
      <c r="Y62" s="619">
        <f>IFERROR(Y54/H54,"0")+IFERROR(Y55/H55,"0")+IFERROR(Y56/H56,"0")+IFERROR(Y57/H57,"0")+IFERROR(Y58/H58,"0")+IFERROR(Y59/H59,"0")+IFERROR(Y60/H60,"0")+IFERROR(Y61/H61,"0")</f>
        <v>101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1.81738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8" t="s">
        <v>69</v>
      </c>
      <c r="Q63" s="639"/>
      <c r="R63" s="639"/>
      <c r="S63" s="639"/>
      <c r="T63" s="639"/>
      <c r="U63" s="639"/>
      <c r="V63" s="640"/>
      <c r="W63" s="37" t="s">
        <v>67</v>
      </c>
      <c r="X63" s="619">
        <f>IFERROR(SUM(X54:X61),"0")</f>
        <v>1027</v>
      </c>
      <c r="Y63" s="619">
        <f>IFERROR(SUM(Y54:Y61),"0")</f>
        <v>1027.8000000000002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2"/>
      <c r="AB64" s="612"/>
      <c r="AC64" s="612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4">
        <v>4680115881440</v>
      </c>
      <c r="E65" s="625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4">
        <v>4680115885950</v>
      </c>
      <c r="E66" s="625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4">
        <v>4680115887688</v>
      </c>
      <c r="E67" s="625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4">
        <v>4680115881433</v>
      </c>
      <c r="E68" s="625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8" t="s">
        <v>69</v>
      </c>
      <c r="Q69" s="639"/>
      <c r="R69" s="639"/>
      <c r="S69" s="639"/>
      <c r="T69" s="639"/>
      <c r="U69" s="639"/>
      <c r="V69" s="640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8" t="s">
        <v>69</v>
      </c>
      <c r="Q70" s="639"/>
      <c r="R70" s="639"/>
      <c r="S70" s="639"/>
      <c r="T70" s="639"/>
      <c r="U70" s="639"/>
      <c r="V70" s="640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2"/>
      <c r="AB71" s="612"/>
      <c r="AC71" s="612"/>
    </row>
    <row r="72" spans="1:68" ht="16.5" customHeight="1" x14ac:dyDescent="0.25">
      <c r="A72" s="54" t="s">
        <v>155</v>
      </c>
      <c r="B72" s="54" t="s">
        <v>156</v>
      </c>
      <c r="C72" s="31">
        <v>4301051837</v>
      </c>
      <c r="D72" s="624">
        <v>4680115884311</v>
      </c>
      <c r="E72" s="625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15</v>
      </c>
      <c r="Y72" s="618">
        <f>IFERROR(IF(X72="",0,CEILING((X72/$H72),1)*$H72),"")</f>
        <v>16.2</v>
      </c>
      <c r="Z72" s="36">
        <f>IFERROR(IF(Y72=0,"",ROUNDUP(Y72/H72,0)*0.00651),"")</f>
        <v>5.8590000000000003E-2</v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17.049999999999997</v>
      </c>
      <c r="BN72" s="64">
        <f>IFERROR(Y72*I72/H72,"0")</f>
        <v>18.413999999999998</v>
      </c>
      <c r="BO72" s="64">
        <f>IFERROR(1/J72*(X72/H72),"0")</f>
        <v>4.5787545787545791E-2</v>
      </c>
      <c r="BP72" s="64">
        <f>IFERROR(1/J72*(Y72/H72),"0")</f>
        <v>4.9450549450549455E-2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4">
        <v>4680115884403</v>
      </c>
      <c r="E73" s="625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8" t="s">
        <v>69</v>
      </c>
      <c r="Q74" s="639"/>
      <c r="R74" s="639"/>
      <c r="S74" s="639"/>
      <c r="T74" s="639"/>
      <c r="U74" s="639"/>
      <c r="V74" s="640"/>
      <c r="W74" s="37" t="s">
        <v>70</v>
      </c>
      <c r="X74" s="619">
        <f>IFERROR(X72/H72,"0")+IFERROR(X73/H73,"0")</f>
        <v>8.3333333333333339</v>
      </c>
      <c r="Y74" s="619">
        <f>IFERROR(Y72/H72,"0")+IFERROR(Y73/H73,"0")</f>
        <v>9</v>
      </c>
      <c r="Z74" s="619">
        <f>IFERROR(IF(Z72="",0,Z72),"0")+IFERROR(IF(Z73="",0,Z73),"0")</f>
        <v>5.8590000000000003E-2</v>
      </c>
      <c r="AA74" s="620"/>
      <c r="AB74" s="620"/>
      <c r="AC74" s="620"/>
    </row>
    <row r="75" spans="1:68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8" t="s">
        <v>69</v>
      </c>
      <c r="Q75" s="639"/>
      <c r="R75" s="639"/>
      <c r="S75" s="639"/>
      <c r="T75" s="639"/>
      <c r="U75" s="639"/>
      <c r="V75" s="640"/>
      <c r="W75" s="37" t="s">
        <v>67</v>
      </c>
      <c r="X75" s="619">
        <f>IFERROR(SUM(X72:X73),"0")</f>
        <v>15</v>
      </c>
      <c r="Y75" s="619">
        <f>IFERROR(SUM(Y72:Y73),"0")</f>
        <v>16.2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2"/>
      <c r="AB76" s="612"/>
      <c r="AC76" s="612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24">
        <v>4680115881532</v>
      </c>
      <c r="E77" s="625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4">
        <v>4680115881532</v>
      </c>
      <c r="E78" s="625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4">
        <v>4680115881464</v>
      </c>
      <c r="E79" s="625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8" t="s">
        <v>69</v>
      </c>
      <c r="Q80" s="639"/>
      <c r="R80" s="639"/>
      <c r="S80" s="639"/>
      <c r="T80" s="639"/>
      <c r="U80" s="639"/>
      <c r="V80" s="640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8" t="s">
        <v>69</v>
      </c>
      <c r="Q81" s="639"/>
      <c r="R81" s="639"/>
      <c r="S81" s="639"/>
      <c r="T81" s="639"/>
      <c r="U81" s="639"/>
      <c r="V81" s="640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37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1"/>
      <c r="AB82" s="611"/>
      <c r="AC82" s="611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2"/>
      <c r="AB83" s="612"/>
      <c r="AC83" s="612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4">
        <v>4680115881327</v>
      </c>
      <c r="E84" s="625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841</v>
      </c>
      <c r="Y84" s="618">
        <f t="shared" ref="Y84:Y89" si="5">IFERROR(IF(X84="",0,CEILING((X84/$H84),1)*$H84),"")</f>
        <v>842.40000000000009</v>
      </c>
      <c r="Z84" s="36">
        <f>IFERROR(IF(Y84=0,"",ROUNDUP(Y84/H84,0)*0.01898),"")</f>
        <v>1.48044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872.92685185185189</v>
      </c>
      <c r="BN84" s="64">
        <f t="shared" ref="BN84:BN89" si="7">IFERROR(Y84*I84/H84,"0")</f>
        <v>874.38000000000011</v>
      </c>
      <c r="BO84" s="64">
        <f t="shared" ref="BO84:BO89" si="8">IFERROR(1/J84*(X84/H84),"0")</f>
        <v>1.216724537037037</v>
      </c>
      <c r="BP84" s="64">
        <f t="shared" ref="BP84:BP89" si="9">IFERROR(1/J84*(Y84/H84),"0")</f>
        <v>1.21875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4">
        <v>4680115881327</v>
      </c>
      <c r="E85" s="625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5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4301012392</v>
      </c>
      <c r="D86" s="624">
        <v>4680115887732</v>
      </c>
      <c r="E86" s="625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2</v>
      </c>
      <c r="Y86" s="618">
        <f t="shared" si="5"/>
        <v>2.72</v>
      </c>
      <c r="Z86" s="36">
        <f>IFERROR(IF(Y86=0,"",ROUNDUP(Y86/H86,0)*0.00726),"")</f>
        <v>1.452E-2</v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2.2647058823529411</v>
      </c>
      <c r="BN86" s="64">
        <f t="shared" si="7"/>
        <v>3.08</v>
      </c>
      <c r="BO86" s="64">
        <f t="shared" si="8"/>
        <v>7.6593137254901949E-3</v>
      </c>
      <c r="BP86" s="64">
        <f t="shared" si="9"/>
        <v>1.0416666666666666E-2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4">
        <v>4680115881518</v>
      </c>
      <c r="E87" s="625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4">
        <v>4680115881518</v>
      </c>
      <c r="E88" s="625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24">
        <v>4680115881303</v>
      </c>
      <c r="E89" s="625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28</v>
      </c>
      <c r="Y89" s="618">
        <f t="shared" si="5"/>
        <v>31.5</v>
      </c>
      <c r="Z89" s="36">
        <f>IFERROR(IF(Y89=0,"",ROUNDUP(Y89/H89,0)*0.00902),"")</f>
        <v>6.3140000000000002E-2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29.182222222222226</v>
      </c>
      <c r="BN89" s="64">
        <f t="shared" si="7"/>
        <v>32.830000000000005</v>
      </c>
      <c r="BO89" s="64">
        <f t="shared" si="8"/>
        <v>4.7138047138047139E-2</v>
      </c>
      <c r="BP89" s="64">
        <f t="shared" si="9"/>
        <v>5.3030303030303032E-2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8" t="s">
        <v>69</v>
      </c>
      <c r="Q90" s="639"/>
      <c r="R90" s="639"/>
      <c r="S90" s="639"/>
      <c r="T90" s="639"/>
      <c r="U90" s="639"/>
      <c r="V90" s="640"/>
      <c r="W90" s="37" t="s">
        <v>70</v>
      </c>
      <c r="X90" s="619">
        <f>IFERROR(X84/H84,"0")+IFERROR(X85/H85,"0")+IFERROR(X86/H86,"0")+IFERROR(X87/H87,"0")+IFERROR(X88/H88,"0")+IFERROR(X89/H89,"0")</f>
        <v>85.563180827886711</v>
      </c>
      <c r="Y90" s="619">
        <f>IFERROR(Y84/H84,"0")+IFERROR(Y85/H85,"0")+IFERROR(Y86/H86,"0")+IFERROR(Y87/H87,"0")+IFERROR(Y88/H88,"0")+IFERROR(Y89/H89,"0")</f>
        <v>87</v>
      </c>
      <c r="Z90" s="619">
        <f>IFERROR(IF(Z84="",0,Z84),"0")+IFERROR(IF(Z85="",0,Z85),"0")+IFERROR(IF(Z86="",0,Z86),"0")+IFERROR(IF(Z87="",0,Z87),"0")+IFERROR(IF(Z88="",0,Z88),"0")+IFERROR(IF(Z89="",0,Z89),"0")</f>
        <v>1.5581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8" t="s">
        <v>69</v>
      </c>
      <c r="Q91" s="639"/>
      <c r="R91" s="639"/>
      <c r="S91" s="639"/>
      <c r="T91" s="639"/>
      <c r="U91" s="639"/>
      <c r="V91" s="640"/>
      <c r="W91" s="37" t="s">
        <v>67</v>
      </c>
      <c r="X91" s="619">
        <f>IFERROR(SUM(X84:X89),"0")</f>
        <v>871</v>
      </c>
      <c r="Y91" s="619">
        <f>IFERROR(SUM(Y84:Y89),"0")</f>
        <v>876.62000000000012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2"/>
      <c r="AB92" s="612"/>
      <c r="AC92" s="612"/>
    </row>
    <row r="93" spans="1:68" ht="27" customHeight="1" x14ac:dyDescent="0.25">
      <c r="A93" s="54" t="s">
        <v>182</v>
      </c>
      <c r="B93" s="54" t="s">
        <v>183</v>
      </c>
      <c r="C93" s="31">
        <v>4301052101</v>
      </c>
      <c r="D93" s="624">
        <v>4607091386967</v>
      </c>
      <c r="E93" s="625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350</v>
      </c>
      <c r="Y93" s="618">
        <f>IFERROR(IF(X93="",0,CEILING((X93/$H93),1)*$H93),"")</f>
        <v>356.4</v>
      </c>
      <c r="Z93" s="36">
        <f>IFERROR(IF(Y93=0,"",ROUNDUP(Y93/H93,0)*0.01898),"")</f>
        <v>0.83511999999999997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371.34567901234567</v>
      </c>
      <c r="BN93" s="64">
        <f>IFERROR(Y93*I93/H93,"0")</f>
        <v>378.13599999999997</v>
      </c>
      <c r="BO93" s="64">
        <f>IFERROR(1/J93*(X93/H93),"0")</f>
        <v>0.67515432098765438</v>
      </c>
      <c r="BP93" s="64">
        <f>IFERROR(1/J93*(Y93/H93),"0")</f>
        <v>0.6875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4">
        <v>4680115884953</v>
      </c>
      <c r="E94" s="625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4">
        <v>4607091385731</v>
      </c>
      <c r="E95" s="625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4">
        <v>4680115880894</v>
      </c>
      <c r="E96" s="625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8" t="s">
        <v>69</v>
      </c>
      <c r="Q97" s="639"/>
      <c r="R97" s="639"/>
      <c r="S97" s="639"/>
      <c r="T97" s="639"/>
      <c r="U97" s="639"/>
      <c r="V97" s="640"/>
      <c r="W97" s="37" t="s">
        <v>70</v>
      </c>
      <c r="X97" s="619">
        <f>IFERROR(X93/H93,"0")+IFERROR(X94/H94,"0")+IFERROR(X95/H95,"0")+IFERROR(X96/H96,"0")</f>
        <v>43.20987654320988</v>
      </c>
      <c r="Y97" s="619">
        <f>IFERROR(Y93/H93,"0")+IFERROR(Y94/H94,"0")+IFERROR(Y95/H95,"0")+IFERROR(Y96/H96,"0")</f>
        <v>44</v>
      </c>
      <c r="Z97" s="619">
        <f>IFERROR(IF(Z93="",0,Z93),"0")+IFERROR(IF(Z94="",0,Z94),"0")+IFERROR(IF(Z95="",0,Z95),"0")+IFERROR(IF(Z96="",0,Z96),"0")</f>
        <v>0.83511999999999997</v>
      </c>
      <c r="AA97" s="620"/>
      <c r="AB97" s="620"/>
      <c r="AC97" s="620"/>
    </row>
    <row r="98" spans="1:68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8" t="s">
        <v>69</v>
      </c>
      <c r="Q98" s="639"/>
      <c r="R98" s="639"/>
      <c r="S98" s="639"/>
      <c r="T98" s="639"/>
      <c r="U98" s="639"/>
      <c r="V98" s="640"/>
      <c r="W98" s="37" t="s">
        <v>67</v>
      </c>
      <c r="X98" s="619">
        <f>IFERROR(SUM(X93:X96),"0")</f>
        <v>350</v>
      </c>
      <c r="Y98" s="619">
        <f>IFERROR(SUM(Y93:Y96),"0")</f>
        <v>356.4</v>
      </c>
      <c r="Z98" s="37"/>
      <c r="AA98" s="620"/>
      <c r="AB98" s="620"/>
      <c r="AC98" s="620"/>
    </row>
    <row r="99" spans="1:68" ht="16.5" hidden="1" customHeight="1" x14ac:dyDescent="0.25">
      <c r="A99" s="637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1"/>
      <c r="AB99" s="611"/>
      <c r="AC99" s="611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2"/>
      <c r="AB100" s="612"/>
      <c r="AC100" s="612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4">
        <v>4680115882133</v>
      </c>
      <c r="E101" s="625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150</v>
      </c>
      <c r="Y101" s="618">
        <f t="shared" ref="Y101:Y107" si="10">IFERROR(IF(X101="",0,CEILING((X101/$H101),1)*$H101),"")</f>
        <v>151.20000000000002</v>
      </c>
      <c r="Z101" s="36">
        <f>IFERROR(IF(Y101=0,"",ROUNDUP(Y101/H101,0)*0.01898),"")</f>
        <v>0.26572000000000001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155.69444444444446</v>
      </c>
      <c r="BN101" s="64">
        <f t="shared" ref="BN101:BN107" si="12">IFERROR(Y101*I101/H101,"0")</f>
        <v>156.94</v>
      </c>
      <c r="BO101" s="64">
        <f t="shared" ref="BO101:BO107" si="13">IFERROR(1/J101*(X101/H101),"0")</f>
        <v>0.21701388888888887</v>
      </c>
      <c r="BP101" s="64">
        <f t="shared" ref="BP101:BP107" si="14">IFERROR(1/J101*(Y101/H101),"0")</f>
        <v>0.21875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4">
        <v>4680115882133</v>
      </c>
      <c r="E102" s="625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4">
        <v>4680115887718</v>
      </c>
      <c r="E103" s="625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4">
        <v>4680115880269</v>
      </c>
      <c r="E104" s="625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customHeight="1" x14ac:dyDescent="0.25">
      <c r="A105" s="54" t="s">
        <v>204</v>
      </c>
      <c r="B105" s="54" t="s">
        <v>205</v>
      </c>
      <c r="C105" s="31">
        <v>4301012254</v>
      </c>
      <c r="D105" s="624">
        <v>4680115880429</v>
      </c>
      <c r="E105" s="625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127</v>
      </c>
      <c r="Y105" s="618">
        <f t="shared" si="10"/>
        <v>130.5</v>
      </c>
      <c r="Z105" s="36">
        <f>IFERROR(IF(Y105=0,"",ROUNDUP(Y105/H105,0)*0.00902),"")</f>
        <v>0.26158000000000003</v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132.36222222222221</v>
      </c>
      <c r="BN105" s="64">
        <f t="shared" si="12"/>
        <v>136.01000000000002</v>
      </c>
      <c r="BO105" s="64">
        <f t="shared" si="13"/>
        <v>0.2138047138047138</v>
      </c>
      <c r="BP105" s="64">
        <f t="shared" si="14"/>
        <v>0.2196969696969697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4">
        <v>4680115881457</v>
      </c>
      <c r="E106" s="625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4">
        <v>4680115889477</v>
      </c>
      <c r="E107" s="625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2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8" t="s">
        <v>69</v>
      </c>
      <c r="Q108" s="639"/>
      <c r="R108" s="639"/>
      <c r="S108" s="639"/>
      <c r="T108" s="639"/>
      <c r="U108" s="639"/>
      <c r="V108" s="640"/>
      <c r="W108" s="37" t="s">
        <v>70</v>
      </c>
      <c r="X108" s="619">
        <f>IFERROR(X101/H101,"0")+IFERROR(X102/H102,"0")+IFERROR(X103/H103,"0")+IFERROR(X104/H104,"0")+IFERROR(X105/H105,"0")+IFERROR(X106/H106,"0")+IFERROR(X107/H107,"0")</f>
        <v>42.111111111111107</v>
      </c>
      <c r="Y108" s="619">
        <f>IFERROR(Y101/H101,"0")+IFERROR(Y102/H102,"0")+IFERROR(Y103/H103,"0")+IFERROR(Y104/H104,"0")+IFERROR(Y105/H105,"0")+IFERROR(Y106/H106,"0")+IFERROR(Y107/H107,"0")</f>
        <v>43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0.5273000000000001</v>
      </c>
      <c r="AA108" s="620"/>
      <c r="AB108" s="620"/>
      <c r="AC108" s="620"/>
    </row>
    <row r="109" spans="1:68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8" t="s">
        <v>69</v>
      </c>
      <c r="Q109" s="639"/>
      <c r="R109" s="639"/>
      <c r="S109" s="639"/>
      <c r="T109" s="639"/>
      <c r="U109" s="639"/>
      <c r="V109" s="640"/>
      <c r="W109" s="37" t="s">
        <v>67</v>
      </c>
      <c r="X109" s="619">
        <f>IFERROR(SUM(X101:X107),"0")</f>
        <v>277</v>
      </c>
      <c r="Y109" s="619">
        <f>IFERROR(SUM(Y101:Y107),"0")</f>
        <v>281.70000000000005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2"/>
      <c r="AB110" s="612"/>
      <c r="AC110" s="612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4">
        <v>4680115881488</v>
      </c>
      <c r="E111" s="625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4">
        <v>4680115887664</v>
      </c>
      <c r="E112" s="625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4">
        <v>4680115887664</v>
      </c>
      <c r="E113" s="625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4">
        <v>4680115882775</v>
      </c>
      <c r="E114" s="625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4">
        <v>4680115880658</v>
      </c>
      <c r="E115" s="625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2</v>
      </c>
      <c r="Y115" s="618">
        <f>IFERROR(IF(X115="",0,CEILING((X115/$H115),1)*$H115),"")</f>
        <v>2.4</v>
      </c>
      <c r="Z115" s="36">
        <f>IFERROR(IF(Y115=0,"",ROUNDUP(Y115/H115,0)*0.00651),"")</f>
        <v>6.5100000000000002E-3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2.1500000000000004</v>
      </c>
      <c r="BN115" s="64">
        <f>IFERROR(Y115*I115/H115,"0")</f>
        <v>2.58</v>
      </c>
      <c r="BO115" s="64">
        <f>IFERROR(1/J115*(X115/H115),"0")</f>
        <v>4.578754578754579E-3</v>
      </c>
      <c r="BP115" s="64">
        <f>IFERROR(1/J115*(Y115/H115),"0")</f>
        <v>5.4945054945054949E-3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8" t="s">
        <v>69</v>
      </c>
      <c r="Q116" s="639"/>
      <c r="R116" s="639"/>
      <c r="S116" s="639"/>
      <c r="T116" s="639"/>
      <c r="U116" s="639"/>
      <c r="V116" s="640"/>
      <c r="W116" s="37" t="s">
        <v>70</v>
      </c>
      <c r="X116" s="619">
        <f>IFERROR(X111/H111,"0")+IFERROR(X112/H112,"0")+IFERROR(X113/H113,"0")+IFERROR(X114/H114,"0")+IFERROR(X115/H115,"0")</f>
        <v>0.83333333333333337</v>
      </c>
      <c r="Y116" s="619">
        <f>IFERROR(Y111/H111,"0")+IFERROR(Y112/H112,"0")+IFERROR(Y113/H113,"0")+IFERROR(Y114/H114,"0")+IFERROR(Y115/H115,"0")</f>
        <v>1</v>
      </c>
      <c r="Z116" s="619">
        <f>IFERROR(IF(Z111="",0,Z111),"0")+IFERROR(IF(Z112="",0,Z112),"0")+IFERROR(IF(Z113="",0,Z113),"0")+IFERROR(IF(Z114="",0,Z114),"0")+IFERROR(IF(Z115="",0,Z115),"0")</f>
        <v>6.5100000000000002E-3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8" t="s">
        <v>69</v>
      </c>
      <c r="Q117" s="639"/>
      <c r="R117" s="639"/>
      <c r="S117" s="639"/>
      <c r="T117" s="639"/>
      <c r="U117" s="639"/>
      <c r="V117" s="640"/>
      <c r="W117" s="37" t="s">
        <v>67</v>
      </c>
      <c r="X117" s="619">
        <f>IFERROR(SUM(X111:X115),"0")</f>
        <v>2</v>
      </c>
      <c r="Y117" s="619">
        <f>IFERROR(SUM(Y111:Y115),"0")</f>
        <v>2.4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2"/>
      <c r="AB118" s="612"/>
      <c r="AC118" s="612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4">
        <v>4607091385168</v>
      </c>
      <c r="E119" s="625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24</v>
      </c>
      <c r="Y119" s="618">
        <f>IFERROR(IF(X119="",0,CEILING((X119/$H119),1)*$H119),"")</f>
        <v>24.299999999999997</v>
      </c>
      <c r="Z119" s="36">
        <f>IFERROR(IF(Y119=0,"",ROUNDUP(Y119/H119,0)*0.01898),"")</f>
        <v>5.6940000000000004E-2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25.445925925925923</v>
      </c>
      <c r="BN119" s="64">
        <f>IFERROR(Y119*I119/H119,"0")</f>
        <v>25.763999999999996</v>
      </c>
      <c r="BO119" s="64">
        <f>IFERROR(1/J119*(X119/H119),"0")</f>
        <v>4.6296296296296301E-2</v>
      </c>
      <c r="BP119" s="64">
        <f>IFERROR(1/J119*(Y119/H119),"0")</f>
        <v>4.6875E-2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4">
        <v>4607091383256</v>
      </c>
      <c r="E120" s="625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4">
        <v>4607091385748</v>
      </c>
      <c r="E121" s="625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4">
        <v>4680115884533</v>
      </c>
      <c r="E122" s="625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8" t="s">
        <v>69</v>
      </c>
      <c r="Q123" s="639"/>
      <c r="R123" s="639"/>
      <c r="S123" s="639"/>
      <c r="T123" s="639"/>
      <c r="U123" s="639"/>
      <c r="V123" s="640"/>
      <c r="W123" s="37" t="s">
        <v>70</v>
      </c>
      <c r="X123" s="619">
        <f>IFERROR(X119/H119,"0")+IFERROR(X120/H120,"0")+IFERROR(X121/H121,"0")+IFERROR(X122/H122,"0")</f>
        <v>2.9629629629629632</v>
      </c>
      <c r="Y123" s="619">
        <f>IFERROR(Y119/H119,"0")+IFERROR(Y120/H120,"0")+IFERROR(Y121/H121,"0")+IFERROR(Y122/H122,"0")</f>
        <v>3</v>
      </c>
      <c r="Z123" s="619">
        <f>IFERROR(IF(Z119="",0,Z119),"0")+IFERROR(IF(Z120="",0,Z120),"0")+IFERROR(IF(Z121="",0,Z121),"0")+IFERROR(IF(Z122="",0,Z122),"0")</f>
        <v>5.6940000000000004E-2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8" t="s">
        <v>69</v>
      </c>
      <c r="Q124" s="639"/>
      <c r="R124" s="639"/>
      <c r="S124" s="639"/>
      <c r="T124" s="639"/>
      <c r="U124" s="639"/>
      <c r="V124" s="640"/>
      <c r="W124" s="37" t="s">
        <v>67</v>
      </c>
      <c r="X124" s="619">
        <f>IFERROR(SUM(X119:X122),"0")</f>
        <v>24</v>
      </c>
      <c r="Y124" s="619">
        <f>IFERROR(SUM(Y119:Y122),"0")</f>
        <v>24.299999999999997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2"/>
      <c r="AB125" s="612"/>
      <c r="AC125" s="612"/>
    </row>
    <row r="126" spans="1:68" ht="16.5" hidden="1" customHeight="1" x14ac:dyDescent="0.25">
      <c r="A126" s="54" t="s">
        <v>234</v>
      </c>
      <c r="B126" s="54" t="s">
        <v>235</v>
      </c>
      <c r="C126" s="31">
        <v>4301060525</v>
      </c>
      <c r="D126" s="624">
        <v>4680115880238</v>
      </c>
      <c r="E126" s="625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4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0</v>
      </c>
      <c r="Y126" s="61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8" t="s">
        <v>69</v>
      </c>
      <c r="Q127" s="639"/>
      <c r="R127" s="639"/>
      <c r="S127" s="639"/>
      <c r="T127" s="639"/>
      <c r="U127" s="639"/>
      <c r="V127" s="640"/>
      <c r="W127" s="37" t="s">
        <v>70</v>
      </c>
      <c r="X127" s="619">
        <f>IFERROR(X126/H126,"0")</f>
        <v>0</v>
      </c>
      <c r="Y127" s="619">
        <f>IFERROR(Y126/H126,"0")</f>
        <v>0</v>
      </c>
      <c r="Z127" s="619">
        <f>IFERROR(IF(Z126="",0,Z126),"0")</f>
        <v>0</v>
      </c>
      <c r="AA127" s="620"/>
      <c r="AB127" s="620"/>
      <c r="AC127" s="620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8" t="s">
        <v>69</v>
      </c>
      <c r="Q128" s="639"/>
      <c r="R128" s="639"/>
      <c r="S128" s="639"/>
      <c r="T128" s="639"/>
      <c r="U128" s="639"/>
      <c r="V128" s="640"/>
      <c r="W128" s="37" t="s">
        <v>67</v>
      </c>
      <c r="X128" s="619">
        <f>IFERROR(SUM(X126:X126),"0")</f>
        <v>0</v>
      </c>
      <c r="Y128" s="619">
        <f>IFERROR(SUM(Y126:Y126),"0")</f>
        <v>0</v>
      </c>
      <c r="Z128" s="37"/>
      <c r="AA128" s="620"/>
      <c r="AB128" s="620"/>
      <c r="AC128" s="620"/>
    </row>
    <row r="129" spans="1:68" ht="16.5" hidden="1" customHeight="1" x14ac:dyDescent="0.25">
      <c r="A129" s="637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1"/>
      <c r="AB129" s="611"/>
      <c r="AC129" s="611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2"/>
      <c r="AB130" s="612"/>
      <c r="AC130" s="612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4">
        <v>4680115882577</v>
      </c>
      <c r="E131" s="625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4">
        <v>4680115882577</v>
      </c>
      <c r="E132" s="625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8" t="s">
        <v>69</v>
      </c>
      <c r="Q133" s="639"/>
      <c r="R133" s="639"/>
      <c r="S133" s="639"/>
      <c r="T133" s="639"/>
      <c r="U133" s="639"/>
      <c r="V133" s="640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8" t="s">
        <v>69</v>
      </c>
      <c r="Q134" s="639"/>
      <c r="R134" s="639"/>
      <c r="S134" s="639"/>
      <c r="T134" s="639"/>
      <c r="U134" s="639"/>
      <c r="V134" s="640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2"/>
      <c r="AB135" s="612"/>
      <c r="AC135" s="612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4">
        <v>4680115883444</v>
      </c>
      <c r="E136" s="625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4">
        <v>4680115883444</v>
      </c>
      <c r="E137" s="625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8" t="s">
        <v>69</v>
      </c>
      <c r="Q138" s="639"/>
      <c r="R138" s="639"/>
      <c r="S138" s="639"/>
      <c r="T138" s="639"/>
      <c r="U138" s="639"/>
      <c r="V138" s="640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8" t="s">
        <v>69</v>
      </c>
      <c r="Q139" s="639"/>
      <c r="R139" s="639"/>
      <c r="S139" s="639"/>
      <c r="T139" s="639"/>
      <c r="U139" s="639"/>
      <c r="V139" s="640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2"/>
      <c r="AB140" s="612"/>
      <c r="AC140" s="612"/>
    </row>
    <row r="141" spans="1:68" ht="16.5" hidden="1" customHeight="1" x14ac:dyDescent="0.25">
      <c r="A141" s="54" t="s">
        <v>247</v>
      </c>
      <c r="B141" s="54" t="s">
        <v>248</v>
      </c>
      <c r="C141" s="31">
        <v>4301051476</v>
      </c>
      <c r="D141" s="624">
        <v>4680115882584</v>
      </c>
      <c r="E141" s="625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0</v>
      </c>
      <c r="Y141" s="61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4">
        <v>4680115882584</v>
      </c>
      <c r="E142" s="625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8" t="s">
        <v>69</v>
      </c>
      <c r="Q143" s="639"/>
      <c r="R143" s="639"/>
      <c r="S143" s="639"/>
      <c r="T143" s="639"/>
      <c r="U143" s="639"/>
      <c r="V143" s="640"/>
      <c r="W143" s="37" t="s">
        <v>70</v>
      </c>
      <c r="X143" s="619">
        <f>IFERROR(X141/H141,"0")+IFERROR(X142/H142,"0")</f>
        <v>0</v>
      </c>
      <c r="Y143" s="619">
        <f>IFERROR(Y141/H141,"0")+IFERROR(Y142/H142,"0")</f>
        <v>0</v>
      </c>
      <c r="Z143" s="619">
        <f>IFERROR(IF(Z141="",0,Z141),"0")+IFERROR(IF(Z142="",0,Z142),"0")</f>
        <v>0</v>
      </c>
      <c r="AA143" s="620"/>
      <c r="AB143" s="620"/>
      <c r="AC143" s="620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8" t="s">
        <v>69</v>
      </c>
      <c r="Q144" s="639"/>
      <c r="R144" s="639"/>
      <c r="S144" s="639"/>
      <c r="T144" s="639"/>
      <c r="U144" s="639"/>
      <c r="V144" s="640"/>
      <c r="W144" s="37" t="s">
        <v>67</v>
      </c>
      <c r="X144" s="619">
        <f>IFERROR(SUM(X141:X142),"0")</f>
        <v>0</v>
      </c>
      <c r="Y144" s="619">
        <f>IFERROR(SUM(Y141:Y142),"0")</f>
        <v>0</v>
      </c>
      <c r="Z144" s="37"/>
      <c r="AA144" s="620"/>
      <c r="AB144" s="620"/>
      <c r="AC144" s="620"/>
    </row>
    <row r="145" spans="1:68" ht="16.5" hidden="1" customHeight="1" x14ac:dyDescent="0.25">
      <c r="A145" s="637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1"/>
      <c r="AB145" s="611"/>
      <c r="AC145" s="611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2"/>
      <c r="AB146" s="612"/>
      <c r="AC146" s="612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4">
        <v>4680115888203</v>
      </c>
      <c r="E147" s="625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4">
        <v>4680115888180</v>
      </c>
      <c r="E148" s="625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4">
        <v>4680115888197</v>
      </c>
      <c r="E149" s="625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4">
        <v>4680115888210</v>
      </c>
      <c r="E150" s="625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8" t="s">
        <v>69</v>
      </c>
      <c r="Q151" s="639"/>
      <c r="R151" s="639"/>
      <c r="S151" s="639"/>
      <c r="T151" s="639"/>
      <c r="U151" s="639"/>
      <c r="V151" s="640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8" t="s">
        <v>69</v>
      </c>
      <c r="Q152" s="639"/>
      <c r="R152" s="639"/>
      <c r="S152" s="639"/>
      <c r="T152" s="639"/>
      <c r="U152" s="639"/>
      <c r="V152" s="640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2"/>
      <c r="AB153" s="612"/>
      <c r="AC153" s="612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4">
        <v>4680115889132</v>
      </c>
      <c r="E154" s="625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8" t="s">
        <v>69</v>
      </c>
      <c r="Q155" s="639"/>
      <c r="R155" s="639"/>
      <c r="S155" s="639"/>
      <c r="T155" s="639"/>
      <c r="U155" s="639"/>
      <c r="V155" s="640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8" t="s">
        <v>69</v>
      </c>
      <c r="Q156" s="639"/>
      <c r="R156" s="639"/>
      <c r="S156" s="639"/>
      <c r="T156" s="639"/>
      <c r="U156" s="639"/>
      <c r="V156" s="640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37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1"/>
      <c r="AB157" s="611"/>
      <c r="AC157" s="611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2"/>
      <c r="AB158" s="612"/>
      <c r="AC158" s="612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4">
        <v>4680115887374</v>
      </c>
      <c r="E159" s="625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4">
        <v>4607091384604</v>
      </c>
      <c r="E160" s="625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4">
        <v>4607091384604</v>
      </c>
      <c r="E161" s="625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3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4">
        <v>4680115888876</v>
      </c>
      <c r="E162" s="625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8" t="s">
        <v>69</v>
      </c>
      <c r="Q163" s="639"/>
      <c r="R163" s="639"/>
      <c r="S163" s="639"/>
      <c r="T163" s="639"/>
      <c r="U163" s="639"/>
      <c r="V163" s="640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8" t="s">
        <v>69</v>
      </c>
      <c r="Q164" s="639"/>
      <c r="R164" s="639"/>
      <c r="S164" s="639"/>
      <c r="T164" s="639"/>
      <c r="U164" s="639"/>
      <c r="V164" s="640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2"/>
      <c r="AB165" s="612"/>
      <c r="AC165" s="612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4">
        <v>4680115887695</v>
      </c>
      <c r="E166" s="625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4">
        <v>4680115889491</v>
      </c>
      <c r="E167" s="625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8" t="s">
        <v>69</v>
      </c>
      <c r="Q168" s="639"/>
      <c r="R168" s="639"/>
      <c r="S168" s="639"/>
      <c r="T168" s="639"/>
      <c r="U168" s="639"/>
      <c r="V168" s="640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8" t="s">
        <v>69</v>
      </c>
      <c r="Q169" s="639"/>
      <c r="R169" s="639"/>
      <c r="S169" s="639"/>
      <c r="T169" s="639"/>
      <c r="U169" s="639"/>
      <c r="V169" s="640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2"/>
      <c r="AB170" s="612"/>
      <c r="AC170" s="612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4">
        <v>4680115887428</v>
      </c>
      <c r="E171" s="625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10</v>
      </c>
      <c r="Y171" s="618">
        <f t="shared" ref="Y171:Y180" si="15">IFERROR(IF(X171="",0,CEILING((X171/$H171),1)*$H171),"")</f>
        <v>10.5</v>
      </c>
      <c r="Z171" s="36">
        <f>IFERROR(IF(Y171=0,"",ROUNDUP(Y171/H171,0)*0.00902),"")</f>
        <v>2.7060000000000001E-2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10.542857142857143</v>
      </c>
      <c r="BN171" s="64">
        <f t="shared" ref="BN171:BN180" si="17">IFERROR(Y171*I171/H171,"0")</f>
        <v>11.069999999999999</v>
      </c>
      <c r="BO171" s="64">
        <f t="shared" ref="BO171:BO180" si="18">IFERROR(1/J171*(X171/H171),"0")</f>
        <v>2.1645021645021648E-2</v>
      </c>
      <c r="BP171" s="64">
        <f t="shared" ref="BP171:BP180" si="19">IFERROR(1/J171*(Y171/H171),"0")</f>
        <v>2.2727272727272728E-2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4">
        <v>4680115889170</v>
      </c>
      <c r="E172" s="625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4">
        <v>4680115887398</v>
      </c>
      <c r="E173" s="625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256</v>
      </c>
      <c r="Y173" s="618">
        <f t="shared" si="15"/>
        <v>259</v>
      </c>
      <c r="Z173" s="36">
        <f>IFERROR(IF(Y173=0,"",ROUNDUP(Y173/H173,0)*0.00902),"")</f>
        <v>0.66748000000000007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269.89714285714285</v>
      </c>
      <c r="BN173" s="64">
        <f t="shared" si="17"/>
        <v>273.06</v>
      </c>
      <c r="BO173" s="64">
        <f t="shared" si="18"/>
        <v>0.55411255411255411</v>
      </c>
      <c r="BP173" s="64">
        <f t="shared" si="19"/>
        <v>0.56060606060606066</v>
      </c>
    </row>
    <row r="174" spans="1:68" ht="27" customHeight="1" x14ac:dyDescent="0.25">
      <c r="A174" s="54" t="s">
        <v>295</v>
      </c>
      <c r="B174" s="54" t="s">
        <v>296</v>
      </c>
      <c r="C174" s="31">
        <v>4301031520</v>
      </c>
      <c r="D174" s="624">
        <v>4680115887336</v>
      </c>
      <c r="E174" s="625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600</v>
      </c>
      <c r="Y174" s="618">
        <f t="shared" si="15"/>
        <v>602</v>
      </c>
      <c r="Z174" s="36">
        <f>IFERROR(IF(Y174=0,"",ROUNDUP(Y174/H174,0)*0.00902),"")</f>
        <v>1.5514399999999999</v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632.57142857142856</v>
      </c>
      <c r="BN174" s="64">
        <f t="shared" si="17"/>
        <v>634.68000000000006</v>
      </c>
      <c r="BO174" s="64">
        <f t="shared" si="18"/>
        <v>1.2987012987012987</v>
      </c>
      <c r="BP174" s="64">
        <f t="shared" si="19"/>
        <v>1.303030303030303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24">
        <v>4680115887787</v>
      </c>
      <c r="E175" s="625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24">
        <v>4680115887503</v>
      </c>
      <c r="E176" s="625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156</v>
      </c>
      <c r="Y176" s="618">
        <f t="shared" si="15"/>
        <v>156.23999999999998</v>
      </c>
      <c r="Z176" s="36">
        <f>IFERROR(IF(Y176=0,"",ROUNDUP(Y176/H176,0)*0.00502),"")</f>
        <v>0.46686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165.28571428571431</v>
      </c>
      <c r="BN176" s="64">
        <f t="shared" si="17"/>
        <v>165.54</v>
      </c>
      <c r="BO176" s="64">
        <f t="shared" si="18"/>
        <v>0.39682539682539686</v>
      </c>
      <c r="BP176" s="64">
        <f t="shared" si="19"/>
        <v>0.39743589743589741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4">
        <v>4680115887763</v>
      </c>
      <c r="E177" s="625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4">
        <v>4680115887480</v>
      </c>
      <c r="E178" s="625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168</v>
      </c>
      <c r="Y178" s="618">
        <f t="shared" si="15"/>
        <v>168</v>
      </c>
      <c r="Z178" s="36">
        <f>IFERROR(IF(Y178=0,"",ROUNDUP(Y178/H178,0)*0.00502),"")</f>
        <v>0.502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178.00000000000003</v>
      </c>
      <c r="BN178" s="64">
        <f t="shared" si="17"/>
        <v>178.00000000000003</v>
      </c>
      <c r="BO178" s="64">
        <f t="shared" si="18"/>
        <v>0.42735042735042739</v>
      </c>
      <c r="BP178" s="64">
        <f t="shared" si="19"/>
        <v>0.42735042735042739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4">
        <v>4680115888067</v>
      </c>
      <c r="E179" s="625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24">
        <v>4680115887435</v>
      </c>
      <c r="E180" s="625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182</v>
      </c>
      <c r="Y180" s="618">
        <f t="shared" si="15"/>
        <v>183.12</v>
      </c>
      <c r="Z180" s="36">
        <f>IFERROR(IF(Y180=0,"",ROUNDUP(Y180/H180,0)*0.00502),"")</f>
        <v>0.54718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192.83333333333331</v>
      </c>
      <c r="BN180" s="64">
        <f t="shared" si="17"/>
        <v>194.02</v>
      </c>
      <c r="BO180" s="64">
        <f t="shared" si="18"/>
        <v>0.46296296296296308</v>
      </c>
      <c r="BP180" s="64">
        <f t="shared" si="19"/>
        <v>0.46581196581196588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8" t="s">
        <v>69</v>
      </c>
      <c r="Q181" s="639"/>
      <c r="R181" s="639"/>
      <c r="S181" s="639"/>
      <c r="T181" s="639"/>
      <c r="U181" s="639"/>
      <c r="V181" s="640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548.61904761904759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551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3.7620199999999997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8" t="s">
        <v>69</v>
      </c>
      <c r="Q182" s="639"/>
      <c r="R182" s="639"/>
      <c r="S182" s="639"/>
      <c r="T182" s="639"/>
      <c r="U182" s="639"/>
      <c r="V182" s="640"/>
      <c r="W182" s="37" t="s">
        <v>67</v>
      </c>
      <c r="X182" s="619">
        <f>IFERROR(SUM(X171:X180),"0")</f>
        <v>1372</v>
      </c>
      <c r="Y182" s="619">
        <f>IFERROR(SUM(Y171:Y180),"0")</f>
        <v>1378.8600000000001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2"/>
      <c r="AB183" s="612"/>
      <c r="AC183" s="612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4">
        <v>4680115888395</v>
      </c>
      <c r="E184" s="625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4">
        <v>4680115888371</v>
      </c>
      <c r="E185" s="625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8" t="s">
        <v>69</v>
      </c>
      <c r="Q186" s="639"/>
      <c r="R186" s="639"/>
      <c r="S186" s="639"/>
      <c r="T186" s="639"/>
      <c r="U186" s="639"/>
      <c r="V186" s="640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8" t="s">
        <v>69</v>
      </c>
      <c r="Q187" s="639"/>
      <c r="R187" s="639"/>
      <c r="S187" s="639"/>
      <c r="T187" s="639"/>
      <c r="U187" s="639"/>
      <c r="V187" s="640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2"/>
      <c r="AB188" s="612"/>
      <c r="AC188" s="612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4">
        <v>4680115889026</v>
      </c>
      <c r="E189" s="625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8" t="s">
        <v>69</v>
      </c>
      <c r="Q190" s="639"/>
      <c r="R190" s="639"/>
      <c r="S190" s="639"/>
      <c r="T190" s="639"/>
      <c r="U190" s="639"/>
      <c r="V190" s="640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8" t="s">
        <v>69</v>
      </c>
      <c r="Q191" s="639"/>
      <c r="R191" s="639"/>
      <c r="S191" s="639"/>
      <c r="T191" s="639"/>
      <c r="U191" s="639"/>
      <c r="V191" s="640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2"/>
      <c r="AB192" s="612"/>
      <c r="AC192" s="612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4">
        <v>4680115889033</v>
      </c>
      <c r="E193" s="625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8" t="s">
        <v>69</v>
      </c>
      <c r="Q194" s="639"/>
      <c r="R194" s="639"/>
      <c r="S194" s="639"/>
      <c r="T194" s="639"/>
      <c r="U194" s="639"/>
      <c r="V194" s="640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8" t="s">
        <v>69</v>
      </c>
      <c r="Q195" s="639"/>
      <c r="R195" s="639"/>
      <c r="S195" s="639"/>
      <c r="T195" s="639"/>
      <c r="U195" s="639"/>
      <c r="V195" s="640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37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1"/>
      <c r="AB197" s="611"/>
      <c r="AC197" s="611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2"/>
      <c r="AB198" s="612"/>
      <c r="AC198" s="612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4">
        <v>4607091383423</v>
      </c>
      <c r="E199" s="625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4">
        <v>4680115888760</v>
      </c>
      <c r="E200" s="625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4">
        <v>4680115888807</v>
      </c>
      <c r="E201" s="625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4">
        <v>4680115888852</v>
      </c>
      <c r="E202" s="625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4">
        <v>4680115886957</v>
      </c>
      <c r="E203" s="625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4">
        <v>4680115885660</v>
      </c>
      <c r="E204" s="625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4">
        <v>4680115886773</v>
      </c>
      <c r="E205" s="625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8" t="s">
        <v>69</v>
      </c>
      <c r="Q206" s="639"/>
      <c r="R206" s="639"/>
      <c r="S206" s="639"/>
      <c r="T206" s="639"/>
      <c r="U206" s="639"/>
      <c r="V206" s="640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8" t="s">
        <v>69</v>
      </c>
      <c r="Q207" s="639"/>
      <c r="R207" s="639"/>
      <c r="S207" s="639"/>
      <c r="T207" s="639"/>
      <c r="U207" s="639"/>
      <c r="V207" s="640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37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1"/>
      <c r="AB208" s="611"/>
      <c r="AC208" s="611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2"/>
      <c r="AB209" s="612"/>
      <c r="AC209" s="612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4">
        <v>4680115886223</v>
      </c>
      <c r="E210" s="625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8" t="s">
        <v>69</v>
      </c>
      <c r="Q211" s="639"/>
      <c r="R211" s="639"/>
      <c r="S211" s="639"/>
      <c r="T211" s="639"/>
      <c r="U211" s="639"/>
      <c r="V211" s="640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8" t="s">
        <v>69</v>
      </c>
      <c r="Q212" s="639"/>
      <c r="R212" s="639"/>
      <c r="S212" s="639"/>
      <c r="T212" s="639"/>
      <c r="U212" s="639"/>
      <c r="V212" s="640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2"/>
      <c r="AB213" s="612"/>
      <c r="AC213" s="612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4">
        <v>4680115880993</v>
      </c>
      <c r="E214" s="625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4</v>
      </c>
      <c r="Y214" s="618">
        <f t="shared" ref="Y214:Y226" si="26">IFERROR(IF(X214="",0,CEILING((X214/$H214),1)*$H214),"")</f>
        <v>4.2</v>
      </c>
      <c r="Z214" s="36">
        <f>IFERROR(IF(Y214=0,"",ROUNDUP(Y214/H214,0)*0.00902),"")</f>
        <v>9.0200000000000002E-3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4.2380952380952381</v>
      </c>
      <c r="BN214" s="64">
        <f t="shared" ref="BN214:BN226" si="28">IFERROR(Y214*I214/H214,"0")</f>
        <v>4.45</v>
      </c>
      <c r="BO214" s="64">
        <f t="shared" ref="BO214:BO226" si="29">IFERROR(1/J214*(X214/H214),"0")</f>
        <v>7.215007215007215E-3</v>
      </c>
      <c r="BP214" s="64">
        <f t="shared" ref="BP214:BP226" si="30">IFERROR(1/J214*(Y214/H214),"0")</f>
        <v>7.575757575757576E-3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4">
        <v>4680115881761</v>
      </c>
      <c r="E215" s="625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4">
        <v>4680115881563</v>
      </c>
      <c r="E216" s="625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hidden="1" customHeight="1" x14ac:dyDescent="0.25">
      <c r="A217" s="54" t="s">
        <v>362</v>
      </c>
      <c r="B217" s="54" t="s">
        <v>363</v>
      </c>
      <c r="C217" s="31">
        <v>4301031447</v>
      </c>
      <c r="D217" s="624">
        <v>4680115887565</v>
      </c>
      <c r="E217" s="625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0</v>
      </c>
      <c r="Y217" s="618">
        <f t="shared" si="26"/>
        <v>0</v>
      </c>
      <c r="Z217" s="36" t="str">
        <f>IFERROR(IF(Y217=0,"",ROUNDUP(Y217/H217,0)*0.00556),"")</f>
        <v/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0</v>
      </c>
      <c r="BN217" s="64">
        <f t="shared" si="28"/>
        <v>0</v>
      </c>
      <c r="BO217" s="64">
        <f t="shared" si="29"/>
        <v>0</v>
      </c>
      <c r="BP217" s="64">
        <f t="shared" si="30"/>
        <v>0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4">
        <v>4680115880986</v>
      </c>
      <c r="E218" s="625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4">
        <v>4680115887213</v>
      </c>
      <c r="E219" s="625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4">
        <v>4680115881785</v>
      </c>
      <c r="E220" s="625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4">
        <v>4680115888432</v>
      </c>
      <c r="E221" s="625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24">
        <v>4680115886537</v>
      </c>
      <c r="E222" s="625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2</v>
      </c>
      <c r="Y222" s="618">
        <f t="shared" si="26"/>
        <v>3.6</v>
      </c>
      <c r="Z222" s="36">
        <f>IFERROR(IF(Y222=0,"",ROUNDUP(Y222/H222,0)*0.00502),"")</f>
        <v>1.004E-2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2.1444444444444444</v>
      </c>
      <c r="BN222" s="64">
        <f t="shared" si="28"/>
        <v>3.8599999999999994</v>
      </c>
      <c r="BO222" s="64">
        <f t="shared" si="29"/>
        <v>4.7483380816714157E-3</v>
      </c>
      <c r="BP222" s="64">
        <f t="shared" si="30"/>
        <v>8.5470085470085479E-3</v>
      </c>
    </row>
    <row r="223" spans="1:68" ht="27" hidden="1" customHeight="1" x14ac:dyDescent="0.25">
      <c r="A223" s="54" t="s">
        <v>378</v>
      </c>
      <c r="B223" s="54" t="s">
        <v>379</v>
      </c>
      <c r="C223" s="31">
        <v>4301031279</v>
      </c>
      <c r="D223" s="624">
        <v>4680115887596</v>
      </c>
      <c r="E223" s="625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0</v>
      </c>
      <c r="Y223" s="618">
        <f t="shared" si="26"/>
        <v>0</v>
      </c>
      <c r="Z223" s="36" t="str">
        <f>IFERROR(IF(Y223=0,"",ROUNDUP(Y223/H223,0)*0.00417),"")</f>
        <v/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37.5" customHeight="1" x14ac:dyDescent="0.25">
      <c r="A224" s="54" t="s">
        <v>381</v>
      </c>
      <c r="B224" s="54" t="s">
        <v>382</v>
      </c>
      <c r="C224" s="31">
        <v>4301031530</v>
      </c>
      <c r="D224" s="624">
        <v>4680115881679</v>
      </c>
      <c r="E224" s="625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102</v>
      </c>
      <c r="Y224" s="618">
        <f t="shared" si="26"/>
        <v>102.9</v>
      </c>
      <c r="Z224" s="36">
        <f>IFERROR(IF(Y224=0,"",ROUNDUP(Y224/H224,0)*0.00502),"")</f>
        <v>0.24598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106.85714285714286</v>
      </c>
      <c r="BN224" s="64">
        <f t="shared" si="28"/>
        <v>107.80000000000001</v>
      </c>
      <c r="BO224" s="64">
        <f t="shared" si="29"/>
        <v>0.20757020757020758</v>
      </c>
      <c r="BP224" s="64">
        <f t="shared" si="30"/>
        <v>0.20940170940170943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4">
        <v>4680115880191</v>
      </c>
      <c r="E225" s="625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4">
        <v>4680115883963</v>
      </c>
      <c r="E226" s="625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8" t="s">
        <v>69</v>
      </c>
      <c r="Q227" s="639"/>
      <c r="R227" s="639"/>
      <c r="S227" s="639"/>
      <c r="T227" s="639"/>
      <c r="U227" s="639"/>
      <c r="V227" s="640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50.634920634920633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52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0.26504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8" t="s">
        <v>69</v>
      </c>
      <c r="Q228" s="639"/>
      <c r="R228" s="639"/>
      <c r="S228" s="639"/>
      <c r="T228" s="639"/>
      <c r="U228" s="639"/>
      <c r="V228" s="640"/>
      <c r="W228" s="37" t="s">
        <v>67</v>
      </c>
      <c r="X228" s="619">
        <f>IFERROR(SUM(X214:X226),"0")</f>
        <v>108</v>
      </c>
      <c r="Y228" s="619">
        <f>IFERROR(SUM(Y214:Y226),"0")</f>
        <v>110.7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2"/>
      <c r="AB229" s="612"/>
      <c r="AC229" s="612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4">
        <v>4680115888692</v>
      </c>
      <c r="E230" s="625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4">
        <v>4680115888722</v>
      </c>
      <c r="E231" s="625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4">
        <v>4680115888951</v>
      </c>
      <c r="E232" s="625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4">
        <v>4680115888975</v>
      </c>
      <c r="E233" s="625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4">
        <v>4680115888982</v>
      </c>
      <c r="E234" s="625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8" t="s">
        <v>69</v>
      </c>
      <c r="Q235" s="639"/>
      <c r="R235" s="639"/>
      <c r="S235" s="639"/>
      <c r="T235" s="639"/>
      <c r="U235" s="639"/>
      <c r="V235" s="640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8" t="s">
        <v>69</v>
      </c>
      <c r="Q236" s="639"/>
      <c r="R236" s="639"/>
      <c r="S236" s="639"/>
      <c r="T236" s="639"/>
      <c r="U236" s="639"/>
      <c r="V236" s="640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2"/>
      <c r="AB237" s="612"/>
      <c r="AC237" s="612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4">
        <v>4680115886780</v>
      </c>
      <c r="E238" s="625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24">
        <v>4680115886742</v>
      </c>
      <c r="E239" s="625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5</v>
      </c>
      <c r="Y239" s="618">
        <f>IFERROR(IF(X239="",0,CEILING((X239/$H239),1)*$H239),"")</f>
        <v>5.04</v>
      </c>
      <c r="Z239" s="36">
        <f>IFERROR(IF(Y239=0,"",ROUNDUP(Y239/H239,0)*0.0059),"")</f>
        <v>2.3599999999999999E-2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5.753968253968254</v>
      </c>
      <c r="BN239" s="64">
        <f>IFERROR(Y239*I239/H239,"0")</f>
        <v>5.8</v>
      </c>
      <c r="BO239" s="64">
        <f>IFERROR(1/J239*(X239/H239),"0")</f>
        <v>1.8371546149323927E-2</v>
      </c>
      <c r="BP239" s="64">
        <f>IFERROR(1/J239*(Y239/H239),"0")</f>
        <v>1.8518518518518517E-2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4">
        <v>4680115886766</v>
      </c>
      <c r="E240" s="625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8" t="s">
        <v>69</v>
      </c>
      <c r="Q241" s="639"/>
      <c r="R241" s="639"/>
      <c r="S241" s="639"/>
      <c r="T241" s="639"/>
      <c r="U241" s="639"/>
      <c r="V241" s="640"/>
      <c r="W241" s="37" t="s">
        <v>70</v>
      </c>
      <c r="X241" s="619">
        <f>IFERROR(X238/H238,"0")+IFERROR(X239/H239,"0")+IFERROR(X240/H240,"0")</f>
        <v>3.9682539682539684</v>
      </c>
      <c r="Y241" s="619">
        <f>IFERROR(Y238/H238,"0")+IFERROR(Y239/H239,"0")+IFERROR(Y240/H240,"0")</f>
        <v>4</v>
      </c>
      <c r="Z241" s="619">
        <f>IFERROR(IF(Z238="",0,Z238),"0")+IFERROR(IF(Z239="",0,Z239),"0")+IFERROR(IF(Z240="",0,Z240),"0")</f>
        <v>2.3599999999999999E-2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8" t="s">
        <v>69</v>
      </c>
      <c r="Q242" s="639"/>
      <c r="R242" s="639"/>
      <c r="S242" s="639"/>
      <c r="T242" s="639"/>
      <c r="U242" s="639"/>
      <c r="V242" s="640"/>
      <c r="W242" s="37" t="s">
        <v>67</v>
      </c>
      <c r="X242" s="619">
        <f>IFERROR(SUM(X238:X240),"0")</f>
        <v>5</v>
      </c>
      <c r="Y242" s="619">
        <f>IFERROR(SUM(Y238:Y240),"0")</f>
        <v>5.04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2"/>
      <c r="AB243" s="612"/>
      <c r="AC243" s="612"/>
    </row>
    <row r="244" spans="1:68" ht="27" hidden="1" customHeight="1" x14ac:dyDescent="0.25">
      <c r="A244" s="54" t="s">
        <v>410</v>
      </c>
      <c r="B244" s="54" t="s">
        <v>411</v>
      </c>
      <c r="C244" s="31">
        <v>4301170013</v>
      </c>
      <c r="D244" s="624">
        <v>4680115886797</v>
      </c>
      <c r="E244" s="625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0</v>
      </c>
      <c r="Y244" s="618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8" t="s">
        <v>69</v>
      </c>
      <c r="Q245" s="639"/>
      <c r="R245" s="639"/>
      <c r="S245" s="639"/>
      <c r="T245" s="639"/>
      <c r="U245" s="639"/>
      <c r="V245" s="640"/>
      <c r="W245" s="37" t="s">
        <v>70</v>
      </c>
      <c r="X245" s="619">
        <f>IFERROR(X244/H244,"0")</f>
        <v>0</v>
      </c>
      <c r="Y245" s="619">
        <f>IFERROR(Y244/H244,"0")</f>
        <v>0</v>
      </c>
      <c r="Z245" s="619">
        <f>IFERROR(IF(Z244="",0,Z244),"0")</f>
        <v>0</v>
      </c>
      <c r="AA245" s="620"/>
      <c r="AB245" s="620"/>
      <c r="AC245" s="620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8" t="s">
        <v>69</v>
      </c>
      <c r="Q246" s="639"/>
      <c r="R246" s="639"/>
      <c r="S246" s="639"/>
      <c r="T246" s="639"/>
      <c r="U246" s="639"/>
      <c r="V246" s="640"/>
      <c r="W246" s="37" t="s">
        <v>67</v>
      </c>
      <c r="X246" s="619">
        <f>IFERROR(SUM(X244:X244),"0")</f>
        <v>0</v>
      </c>
      <c r="Y246" s="619">
        <f>IFERROR(SUM(Y244:Y244),"0")</f>
        <v>0</v>
      </c>
      <c r="Z246" s="37"/>
      <c r="AA246" s="620"/>
      <c r="AB246" s="620"/>
      <c r="AC246" s="620"/>
    </row>
    <row r="247" spans="1:68" ht="16.5" hidden="1" customHeight="1" x14ac:dyDescent="0.25">
      <c r="A247" s="637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1"/>
      <c r="AB247" s="611"/>
      <c r="AC247" s="611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2"/>
      <c r="AB248" s="612"/>
      <c r="AC248" s="612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4">
        <v>4680115881402</v>
      </c>
      <c r="E249" s="625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4">
        <v>4680115881396</v>
      </c>
      <c r="E250" s="625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8" t="s">
        <v>69</v>
      </c>
      <c r="Q251" s="639"/>
      <c r="R251" s="639"/>
      <c r="S251" s="639"/>
      <c r="T251" s="639"/>
      <c r="U251" s="639"/>
      <c r="V251" s="640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8" t="s">
        <v>69</v>
      </c>
      <c r="Q252" s="639"/>
      <c r="R252" s="639"/>
      <c r="S252" s="639"/>
      <c r="T252" s="639"/>
      <c r="U252" s="639"/>
      <c r="V252" s="640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2"/>
      <c r="AB253" s="612"/>
      <c r="AC253" s="612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4">
        <v>4680115882935</v>
      </c>
      <c r="E254" s="625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4">
        <v>4680115880764</v>
      </c>
      <c r="E255" s="625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1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8" t="s">
        <v>69</v>
      </c>
      <c r="Q256" s="639"/>
      <c r="R256" s="639"/>
      <c r="S256" s="639"/>
      <c r="T256" s="639"/>
      <c r="U256" s="639"/>
      <c r="V256" s="640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8" t="s">
        <v>69</v>
      </c>
      <c r="Q257" s="639"/>
      <c r="R257" s="639"/>
      <c r="S257" s="639"/>
      <c r="T257" s="639"/>
      <c r="U257" s="639"/>
      <c r="V257" s="640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2"/>
      <c r="AB258" s="612"/>
      <c r="AC258" s="612"/>
    </row>
    <row r="259" spans="1:68" ht="27" hidden="1" customHeight="1" x14ac:dyDescent="0.25">
      <c r="A259" s="54" t="s">
        <v>423</v>
      </c>
      <c r="B259" s="54" t="s">
        <v>424</v>
      </c>
      <c r="C259" s="31">
        <v>4301031224</v>
      </c>
      <c r="D259" s="624">
        <v>4680115882683</v>
      </c>
      <c r="E259" s="625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0</v>
      </c>
      <c r="Y259" s="618">
        <f t="shared" ref="Y259:Y266" si="31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0</v>
      </c>
      <c r="BN259" s="64">
        <f t="shared" ref="BN259:BN266" si="33">IFERROR(Y259*I259/H259,"0")</f>
        <v>0</v>
      </c>
      <c r="BO259" s="64">
        <f t="shared" ref="BO259:BO266" si="34">IFERROR(1/J259*(X259/H259),"0")</f>
        <v>0</v>
      </c>
      <c r="BP259" s="64">
        <f t="shared" ref="BP259:BP266" si="35">IFERROR(1/J259*(Y259/H259),"0")</f>
        <v>0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4">
        <v>4680115882690</v>
      </c>
      <c r="E260" s="625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70</v>
      </c>
      <c r="Y260" s="618">
        <f t="shared" si="31"/>
        <v>70.2</v>
      </c>
      <c r="Z260" s="36">
        <f>IFERROR(IF(Y260=0,"",ROUNDUP(Y260/H260,0)*0.00902),"")</f>
        <v>0.11726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72.462962962962962</v>
      </c>
      <c r="BN260" s="64">
        <f t="shared" si="33"/>
        <v>72.67</v>
      </c>
      <c r="BO260" s="64">
        <f t="shared" si="34"/>
        <v>9.8204264870931535E-2</v>
      </c>
      <c r="BP260" s="64">
        <f t="shared" si="35"/>
        <v>9.8484848484848481E-2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4">
        <v>4680115882669</v>
      </c>
      <c r="E261" s="625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400</v>
      </c>
      <c r="Y261" s="618">
        <f t="shared" si="31"/>
        <v>405</v>
      </c>
      <c r="Z261" s="36">
        <f>IFERROR(IF(Y261=0,"",ROUNDUP(Y261/H261,0)*0.00902),"")</f>
        <v>0.67649999999999999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414.07407407407402</v>
      </c>
      <c r="BN261" s="64">
        <f t="shared" si="33"/>
        <v>419.24999999999994</v>
      </c>
      <c r="BO261" s="64">
        <f t="shared" si="34"/>
        <v>0.5611672278338945</v>
      </c>
      <c r="BP261" s="64">
        <f t="shared" si="35"/>
        <v>0.56818181818181823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4">
        <v>4680115882676</v>
      </c>
      <c r="E262" s="625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24">
        <v>4680115884014</v>
      </c>
      <c r="E263" s="625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3</v>
      </c>
      <c r="Y263" s="618">
        <f t="shared" si="31"/>
        <v>3.6</v>
      </c>
      <c r="Z263" s="36">
        <f>IFERROR(IF(Y263=0,"",ROUNDUP(Y263/H263,0)*0.00502),"")</f>
        <v>1.004E-2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3.2166666666666668</v>
      </c>
      <c r="BN263" s="64">
        <f t="shared" si="33"/>
        <v>3.8599999999999994</v>
      </c>
      <c r="BO263" s="64">
        <f t="shared" si="34"/>
        <v>7.1225071225071226E-3</v>
      </c>
      <c r="BP263" s="64">
        <f t="shared" si="35"/>
        <v>8.5470085470085479E-3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24">
        <v>4680115884007</v>
      </c>
      <c r="E264" s="625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16</v>
      </c>
      <c r="Y264" s="618">
        <f t="shared" si="31"/>
        <v>16.2</v>
      </c>
      <c r="Z264" s="36">
        <f>IFERROR(IF(Y264=0,"",ROUNDUP(Y264/H264,0)*0.00502),"")</f>
        <v>4.5179999999999998E-2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16.888888888888889</v>
      </c>
      <c r="BN264" s="64">
        <f t="shared" si="33"/>
        <v>17.099999999999998</v>
      </c>
      <c r="BO264" s="64">
        <f t="shared" si="34"/>
        <v>3.7986704653371325E-2</v>
      </c>
      <c r="BP264" s="64">
        <f t="shared" si="35"/>
        <v>3.8461538461538464E-2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4">
        <v>4680115884038</v>
      </c>
      <c r="E265" s="625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24">
        <v>4680115884021</v>
      </c>
      <c r="E266" s="625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9</v>
      </c>
      <c r="Y266" s="618">
        <f t="shared" si="31"/>
        <v>9</v>
      </c>
      <c r="Z266" s="36">
        <f>IFERROR(IF(Y266=0,"",ROUNDUP(Y266/H266,0)*0.00502),"")</f>
        <v>2.5100000000000001E-2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9.4999999999999982</v>
      </c>
      <c r="BN266" s="64">
        <f t="shared" si="33"/>
        <v>9.4999999999999982</v>
      </c>
      <c r="BO266" s="64">
        <f t="shared" si="34"/>
        <v>2.1367521367521368E-2</v>
      </c>
      <c r="BP266" s="64">
        <f t="shared" si="35"/>
        <v>2.1367521367521368E-2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8" t="s">
        <v>69</v>
      </c>
      <c r="Q267" s="639"/>
      <c r="R267" s="639"/>
      <c r="S267" s="639"/>
      <c r="T267" s="639"/>
      <c r="U267" s="639"/>
      <c r="V267" s="640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102.5925925925926</v>
      </c>
      <c r="Y267" s="619">
        <f>IFERROR(Y259/H259,"0")+IFERROR(Y260/H260,"0")+IFERROR(Y261/H261,"0")+IFERROR(Y262/H262,"0")+IFERROR(Y263/H263,"0")+IFERROR(Y264/H264,"0")+IFERROR(Y265/H265,"0")+IFERROR(Y266/H266,"0")</f>
        <v>104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0.87408000000000008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8" t="s">
        <v>69</v>
      </c>
      <c r="Q268" s="639"/>
      <c r="R268" s="639"/>
      <c r="S268" s="639"/>
      <c r="T268" s="639"/>
      <c r="U268" s="639"/>
      <c r="V268" s="640"/>
      <c r="W268" s="37" t="s">
        <v>67</v>
      </c>
      <c r="X268" s="619">
        <f>IFERROR(SUM(X259:X266),"0")</f>
        <v>498</v>
      </c>
      <c r="Y268" s="619">
        <f>IFERROR(SUM(Y259:Y266),"0")</f>
        <v>504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2"/>
      <c r="AB269" s="612"/>
      <c r="AC269" s="612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24">
        <v>4680115881594</v>
      </c>
      <c r="E270" s="625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819</v>
      </c>
      <c r="Y270" s="618">
        <f t="shared" ref="Y270:Y281" si="36">IFERROR(IF(X270="",0,CEILING((X270/$H270),1)*$H270),"")</f>
        <v>826.19999999999993</v>
      </c>
      <c r="Z270" s="36">
        <f>IFERROR(IF(Y270=0,"",ROUNDUP(Y270/H270,0)*0.01898),"")</f>
        <v>1.9359600000000001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868.94888888888886</v>
      </c>
      <c r="BN270" s="64">
        <f t="shared" ref="BN270:BN281" si="38">IFERROR(Y270*I270/H270,"0")</f>
        <v>876.58799999999997</v>
      </c>
      <c r="BO270" s="64">
        <f t="shared" ref="BO270:BO281" si="39">IFERROR(1/J270*(X270/H270),"0")</f>
        <v>1.5798611111111112</v>
      </c>
      <c r="BP270" s="64">
        <f t="shared" ref="BP270:BP281" si="40">IFERROR(1/J270*(Y270/H270),"0")</f>
        <v>1.59375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4">
        <v>4680115881617</v>
      </c>
      <c r="E271" s="625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200</v>
      </c>
      <c r="Y271" s="618">
        <f t="shared" si="36"/>
        <v>202.5</v>
      </c>
      <c r="Z271" s="36">
        <f>IFERROR(IF(Y271=0,"",ROUNDUP(Y271/H271,0)*0.01898),"")</f>
        <v>0.47450000000000003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211.75308641975309</v>
      </c>
      <c r="BN271" s="64">
        <f t="shared" si="38"/>
        <v>214.40000000000003</v>
      </c>
      <c r="BO271" s="64">
        <f t="shared" si="39"/>
        <v>0.38580246913580246</v>
      </c>
      <c r="BP271" s="64">
        <f t="shared" si="40"/>
        <v>0.390625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4">
        <v>4680115880573</v>
      </c>
      <c r="E272" s="625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hidden="1" customHeight="1" x14ac:dyDescent="0.25">
      <c r="A273" s="54" t="s">
        <v>452</v>
      </c>
      <c r="B273" s="54" t="s">
        <v>453</v>
      </c>
      <c r="C273" s="31">
        <v>4301051407</v>
      </c>
      <c r="D273" s="624">
        <v>4680115882195</v>
      </c>
      <c r="E273" s="625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0</v>
      </c>
      <c r="Y273" s="618">
        <f t="shared" si="36"/>
        <v>0</v>
      </c>
      <c r="Z273" s="36" t="str">
        <f>IFERROR(IF(Y273=0,"",ROUNDUP(Y273/H273,0)*0.00651),"")</f>
        <v/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0</v>
      </c>
      <c r="BN273" s="64">
        <f t="shared" si="38"/>
        <v>0</v>
      </c>
      <c r="BO273" s="64">
        <f t="shared" si="39"/>
        <v>0</v>
      </c>
      <c r="BP273" s="64">
        <f t="shared" si="40"/>
        <v>0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4">
        <v>4680115882607</v>
      </c>
      <c r="E274" s="625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4">
        <v>4680115882607</v>
      </c>
      <c r="E275" s="625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hidden="1" customHeight="1" x14ac:dyDescent="0.25">
      <c r="A276" s="54" t="s">
        <v>459</v>
      </c>
      <c r="B276" s="54" t="s">
        <v>460</v>
      </c>
      <c r="C276" s="31">
        <v>4301051666</v>
      </c>
      <c r="D276" s="624">
        <v>4680115880092</v>
      </c>
      <c r="E276" s="625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0</v>
      </c>
      <c r="Y276" s="618">
        <f t="shared" si="36"/>
        <v>0</v>
      </c>
      <c r="Z276" s="36" t="str">
        <f>IFERROR(IF(Y276=0,"",ROUNDUP(Y276/H276,0)*0.00651),"")</f>
        <v/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0</v>
      </c>
      <c r="BN276" s="64">
        <f t="shared" si="38"/>
        <v>0</v>
      </c>
      <c r="BO276" s="64">
        <f t="shared" si="39"/>
        <v>0</v>
      </c>
      <c r="BP276" s="64">
        <f t="shared" si="40"/>
        <v>0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4">
        <v>4680115889064</v>
      </c>
      <c r="E277" s="625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24">
        <v>4680115880221</v>
      </c>
      <c r="E278" s="625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24">
        <v>4680115880504</v>
      </c>
      <c r="E279" s="625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98</v>
      </c>
      <c r="Y279" s="618">
        <f t="shared" si="36"/>
        <v>98.399999999999991</v>
      </c>
      <c r="Z279" s="36">
        <f>IFERROR(IF(Y279=0,"",ROUNDUP(Y279/H279,0)*0.00651),"")</f>
        <v>0.26690999999999998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108.29</v>
      </c>
      <c r="BN279" s="64">
        <f t="shared" si="38"/>
        <v>108.732</v>
      </c>
      <c r="BO279" s="64">
        <f t="shared" si="39"/>
        <v>0.22435897435897439</v>
      </c>
      <c r="BP279" s="64">
        <f t="shared" si="40"/>
        <v>0.22527472527472528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4">
        <v>4680115882164</v>
      </c>
      <c r="E280" s="625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40</v>
      </c>
      <c r="Y280" s="618">
        <f t="shared" si="36"/>
        <v>40.799999999999997</v>
      </c>
      <c r="Z280" s="36">
        <f>IFERROR(IF(Y280=0,"",ROUNDUP(Y280/H280,0)*0.00651),"")</f>
        <v>0.11067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44.3</v>
      </c>
      <c r="BN280" s="64">
        <f t="shared" si="38"/>
        <v>45.185999999999993</v>
      </c>
      <c r="BO280" s="64">
        <f t="shared" si="39"/>
        <v>9.1575091575091583E-2</v>
      </c>
      <c r="BP280" s="64">
        <f t="shared" si="40"/>
        <v>9.3406593406593408E-2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4">
        <v>4680115888340</v>
      </c>
      <c r="E281" s="625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8" t="s">
        <v>69</v>
      </c>
      <c r="Q282" s="639"/>
      <c r="R282" s="639"/>
      <c r="S282" s="639"/>
      <c r="T282" s="639"/>
      <c r="U282" s="639"/>
      <c r="V282" s="640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183.30246913580245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185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2.7880399999999996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8" t="s">
        <v>69</v>
      </c>
      <c r="Q283" s="639"/>
      <c r="R283" s="639"/>
      <c r="S283" s="639"/>
      <c r="T283" s="639"/>
      <c r="U283" s="639"/>
      <c r="V283" s="640"/>
      <c r="W283" s="37" t="s">
        <v>67</v>
      </c>
      <c r="X283" s="619">
        <f>IFERROR(SUM(X270:X281),"0")</f>
        <v>1157</v>
      </c>
      <c r="Y283" s="619">
        <f>IFERROR(SUM(Y270:Y281),"0")</f>
        <v>1167.8999999999999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2"/>
      <c r="AB284" s="612"/>
      <c r="AC284" s="612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4">
        <v>4680115880818</v>
      </c>
      <c r="E285" s="625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4">
        <v>4680115880801</v>
      </c>
      <c r="E286" s="625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8" t="s">
        <v>69</v>
      </c>
      <c r="Q287" s="639"/>
      <c r="R287" s="639"/>
      <c r="S287" s="639"/>
      <c r="T287" s="639"/>
      <c r="U287" s="639"/>
      <c r="V287" s="640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8" t="s">
        <v>69</v>
      </c>
      <c r="Q288" s="639"/>
      <c r="R288" s="639"/>
      <c r="S288" s="639"/>
      <c r="T288" s="639"/>
      <c r="U288" s="639"/>
      <c r="V288" s="640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37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1"/>
      <c r="AB289" s="611"/>
      <c r="AC289" s="611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2"/>
      <c r="AB290" s="612"/>
      <c r="AC290" s="612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4">
        <v>4680115884137</v>
      </c>
      <c r="E291" s="625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4">
        <v>4680115884236</v>
      </c>
      <c r="E292" s="625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4">
        <v>4680115884175</v>
      </c>
      <c r="E293" s="625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4">
        <v>4680115884144</v>
      </c>
      <c r="E294" s="625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4">
        <v>4680115886551</v>
      </c>
      <c r="E295" s="625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4">
        <v>4680115887282</v>
      </c>
      <c r="E296" s="625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4">
        <v>4680115884205</v>
      </c>
      <c r="E297" s="625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8" t="s">
        <v>69</v>
      </c>
      <c r="Q298" s="639"/>
      <c r="R298" s="639"/>
      <c r="S298" s="639"/>
      <c r="T298" s="639"/>
      <c r="U298" s="639"/>
      <c r="V298" s="640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8" t="s">
        <v>69</v>
      </c>
      <c r="Q299" s="639"/>
      <c r="R299" s="639"/>
      <c r="S299" s="639"/>
      <c r="T299" s="639"/>
      <c r="U299" s="639"/>
      <c r="V299" s="640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2"/>
      <c r="AB300" s="612"/>
      <c r="AC300" s="612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4">
        <v>4680115885981</v>
      </c>
      <c r="E301" s="625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8" t="s">
        <v>69</v>
      </c>
      <c r="Q302" s="639"/>
      <c r="R302" s="639"/>
      <c r="S302" s="639"/>
      <c r="T302" s="639"/>
      <c r="U302" s="639"/>
      <c r="V302" s="640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8" t="s">
        <v>69</v>
      </c>
      <c r="Q303" s="639"/>
      <c r="R303" s="639"/>
      <c r="S303" s="639"/>
      <c r="T303" s="639"/>
      <c r="U303" s="639"/>
      <c r="V303" s="640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2"/>
      <c r="AB304" s="612"/>
      <c r="AC304" s="612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4">
        <v>4680115886803</v>
      </c>
      <c r="E305" s="625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7</v>
      </c>
      <c r="Y305" s="618">
        <f>IFERROR(IF(X305="",0,CEILING((X305/$H305),1)*$H305),"")</f>
        <v>7.2</v>
      </c>
      <c r="Z305" s="36">
        <f>IFERROR(IF(Y305=0,"",ROUNDUP(Y305/H305,0)*0.0059),"")</f>
        <v>2.3599999999999999E-2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7.6805555555555562</v>
      </c>
      <c r="BN305" s="64">
        <f>IFERROR(Y305*I305/H305,"0")</f>
        <v>7.9</v>
      </c>
      <c r="BO305" s="64">
        <f>IFERROR(1/J305*(X305/H305),"0")</f>
        <v>1.8004115226337446E-2</v>
      </c>
      <c r="BP305" s="64">
        <f>IFERROR(1/J305*(Y305/H305),"0")</f>
        <v>1.8518518518518517E-2</v>
      </c>
    </row>
    <row r="306" spans="1:68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8" t="s">
        <v>69</v>
      </c>
      <c r="Q306" s="639"/>
      <c r="R306" s="639"/>
      <c r="S306" s="639"/>
      <c r="T306" s="639"/>
      <c r="U306" s="639"/>
      <c r="V306" s="640"/>
      <c r="W306" s="37" t="s">
        <v>70</v>
      </c>
      <c r="X306" s="619">
        <f>IFERROR(X305/H305,"0")</f>
        <v>3.8888888888888888</v>
      </c>
      <c r="Y306" s="619">
        <f>IFERROR(Y305/H305,"0")</f>
        <v>4</v>
      </c>
      <c r="Z306" s="619">
        <f>IFERROR(IF(Z305="",0,Z305),"0")</f>
        <v>2.3599999999999999E-2</v>
      </c>
      <c r="AA306" s="620"/>
      <c r="AB306" s="620"/>
      <c r="AC306" s="620"/>
    </row>
    <row r="307" spans="1:68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8" t="s">
        <v>69</v>
      </c>
      <c r="Q307" s="639"/>
      <c r="R307" s="639"/>
      <c r="S307" s="639"/>
      <c r="T307" s="639"/>
      <c r="U307" s="639"/>
      <c r="V307" s="640"/>
      <c r="W307" s="37" t="s">
        <v>67</v>
      </c>
      <c r="X307" s="619">
        <f>IFERROR(SUM(X305:X305),"0")</f>
        <v>7</v>
      </c>
      <c r="Y307" s="619">
        <f>IFERROR(SUM(Y305:Y305),"0")</f>
        <v>7.2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2"/>
      <c r="AB308" s="612"/>
      <c r="AC308" s="612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4">
        <v>4680115886681</v>
      </c>
      <c r="E309" s="625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4">
        <v>4680115886735</v>
      </c>
      <c r="E310" s="625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8" t="s">
        <v>69</v>
      </c>
      <c r="Q311" s="639"/>
      <c r="R311" s="639"/>
      <c r="S311" s="639"/>
      <c r="T311" s="639"/>
      <c r="U311" s="639"/>
      <c r="V311" s="640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8" t="s">
        <v>69</v>
      </c>
      <c r="Q312" s="639"/>
      <c r="R312" s="639"/>
      <c r="S312" s="639"/>
      <c r="T312" s="639"/>
      <c r="U312" s="639"/>
      <c r="V312" s="640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37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1"/>
      <c r="AB313" s="611"/>
      <c r="AC313" s="611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2"/>
      <c r="AB314" s="612"/>
      <c r="AC314" s="612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4">
        <v>4680115885837</v>
      </c>
      <c r="E315" s="625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4">
        <v>4680115889637</v>
      </c>
      <c r="E316" s="625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4">
        <v>4680115887237</v>
      </c>
      <c r="E317" s="625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4">
        <v>4680115885806</v>
      </c>
      <c r="E318" s="625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4">
        <v>4680115885844</v>
      </c>
      <c r="E319" s="625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4">
        <v>4680115885820</v>
      </c>
      <c r="E320" s="625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8" t="s">
        <v>69</v>
      </c>
      <c r="Q321" s="639"/>
      <c r="R321" s="639"/>
      <c r="S321" s="639"/>
      <c r="T321" s="639"/>
      <c r="U321" s="639"/>
      <c r="V321" s="640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8" t="s">
        <v>69</v>
      </c>
      <c r="Q322" s="639"/>
      <c r="R322" s="639"/>
      <c r="S322" s="639"/>
      <c r="T322" s="639"/>
      <c r="U322" s="639"/>
      <c r="V322" s="640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37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1"/>
      <c r="AB323" s="611"/>
      <c r="AC323" s="611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2"/>
      <c r="AB324" s="612"/>
      <c r="AC324" s="612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4">
        <v>4680115886186</v>
      </c>
      <c r="E325" s="625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4">
        <v>4680115881228</v>
      </c>
      <c r="E326" s="625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152</v>
      </c>
      <c r="Y326" s="618">
        <f>IFERROR(IF(X326="",0,CEILING((X326/$H326),1)*$H326),"")</f>
        <v>153.6</v>
      </c>
      <c r="Z326" s="36">
        <f>IFERROR(IF(Y326=0,"",ROUNDUP(Y326/H326,0)*0.00651),"")</f>
        <v>0.41664000000000001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167.96000000000004</v>
      </c>
      <c r="BN326" s="64">
        <f>IFERROR(Y326*I326/H326,"0")</f>
        <v>169.72800000000001</v>
      </c>
      <c r="BO326" s="64">
        <f>IFERROR(1/J326*(X326/H326),"0")</f>
        <v>0.34798534798534803</v>
      </c>
      <c r="BP326" s="64">
        <f>IFERROR(1/J326*(Y326/H326),"0")</f>
        <v>0.35164835164835168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4">
        <v>4680115881211</v>
      </c>
      <c r="E327" s="625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107</v>
      </c>
      <c r="Y327" s="618">
        <f>IFERROR(IF(X327="",0,CEILING((X327/$H327),1)*$H327),"")</f>
        <v>108</v>
      </c>
      <c r="Z327" s="36">
        <f>IFERROR(IF(Y327=0,"",ROUNDUP(Y327/H327,0)*0.00651),"")</f>
        <v>0.29294999999999999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115.02500000000001</v>
      </c>
      <c r="BN327" s="64">
        <f>IFERROR(Y327*I327/H327,"0")</f>
        <v>116.1</v>
      </c>
      <c r="BO327" s="64">
        <f>IFERROR(1/J327*(X327/H327),"0")</f>
        <v>0.24496336996337001</v>
      </c>
      <c r="BP327" s="64">
        <f>IFERROR(1/J327*(Y327/H327),"0")</f>
        <v>0.24725274725274726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8" t="s">
        <v>69</v>
      </c>
      <c r="Q328" s="639"/>
      <c r="R328" s="639"/>
      <c r="S328" s="639"/>
      <c r="T328" s="639"/>
      <c r="U328" s="639"/>
      <c r="V328" s="640"/>
      <c r="W328" s="37" t="s">
        <v>70</v>
      </c>
      <c r="X328" s="619">
        <f>IFERROR(X325/H325,"0")+IFERROR(X326/H326,"0")+IFERROR(X327/H327,"0")</f>
        <v>107.91666666666667</v>
      </c>
      <c r="Y328" s="619">
        <f>IFERROR(Y325/H325,"0")+IFERROR(Y326/H326,"0")+IFERROR(Y327/H327,"0")</f>
        <v>109</v>
      </c>
      <c r="Z328" s="619">
        <f>IFERROR(IF(Z325="",0,Z325),"0")+IFERROR(IF(Z326="",0,Z326),"0")+IFERROR(IF(Z327="",0,Z327),"0")</f>
        <v>0.70958999999999994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8" t="s">
        <v>69</v>
      </c>
      <c r="Q329" s="639"/>
      <c r="R329" s="639"/>
      <c r="S329" s="639"/>
      <c r="T329" s="639"/>
      <c r="U329" s="639"/>
      <c r="V329" s="640"/>
      <c r="W329" s="37" t="s">
        <v>67</v>
      </c>
      <c r="X329" s="619">
        <f>IFERROR(SUM(X325:X327),"0")</f>
        <v>259</v>
      </c>
      <c r="Y329" s="619">
        <f>IFERROR(SUM(Y325:Y327),"0")</f>
        <v>261.60000000000002</v>
      </c>
      <c r="Z329" s="37"/>
      <c r="AA329" s="620"/>
      <c r="AB329" s="620"/>
      <c r="AC329" s="620"/>
    </row>
    <row r="330" spans="1:68" ht="16.5" hidden="1" customHeight="1" x14ac:dyDescent="0.25">
      <c r="A330" s="637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1"/>
      <c r="AB330" s="611"/>
      <c r="AC330" s="611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2"/>
      <c r="AB331" s="612"/>
      <c r="AC331" s="612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4">
        <v>4680115888319</v>
      </c>
      <c r="E332" s="625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4">
        <v>4680115884700</v>
      </c>
      <c r="E333" s="625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4">
        <v>4680115880344</v>
      </c>
      <c r="E334" s="625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4">
        <v>4680115886919</v>
      </c>
      <c r="E335" s="625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8" t="s">
        <v>69</v>
      </c>
      <c r="Q336" s="639"/>
      <c r="R336" s="639"/>
      <c r="S336" s="639"/>
      <c r="T336" s="639"/>
      <c r="U336" s="639"/>
      <c r="V336" s="640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8" t="s">
        <v>69</v>
      </c>
      <c r="Q337" s="639"/>
      <c r="R337" s="639"/>
      <c r="S337" s="639"/>
      <c r="T337" s="639"/>
      <c r="U337" s="639"/>
      <c r="V337" s="640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2"/>
      <c r="AB338" s="612"/>
      <c r="AC338" s="612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4">
        <v>4680115884618</v>
      </c>
      <c r="E339" s="625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4">
        <v>4680115887114</v>
      </c>
      <c r="E340" s="625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4">
        <v>4680115887466</v>
      </c>
      <c r="E341" s="625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8" t="s">
        <v>69</v>
      </c>
      <c r="Q342" s="639"/>
      <c r="R342" s="639"/>
      <c r="S342" s="639"/>
      <c r="T342" s="639"/>
      <c r="U342" s="639"/>
      <c r="V342" s="640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8" t="s">
        <v>69</v>
      </c>
      <c r="Q343" s="639"/>
      <c r="R343" s="639"/>
      <c r="S343" s="639"/>
      <c r="T343" s="639"/>
      <c r="U343" s="639"/>
      <c r="V343" s="640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37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1"/>
      <c r="AB344" s="611"/>
      <c r="AC344" s="611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2"/>
      <c r="AB345" s="612"/>
      <c r="AC345" s="612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4">
        <v>4680115887947</v>
      </c>
      <c r="E346" s="625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120</v>
      </c>
      <c r="Y346" s="618">
        <f>IFERROR(IF(X346="",0,CEILING((X346/$H346),1)*$H346),"")</f>
        <v>124.8</v>
      </c>
      <c r="Z346" s="36">
        <f>IFERROR(IF(Y346=0,"",ROUNDUP(Y346/H346,0)*0.01898),"")</f>
        <v>0.30368000000000001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126.30769230769232</v>
      </c>
      <c r="BN346" s="64">
        <f>IFERROR(Y346*I346/H346,"0")</f>
        <v>131.36000000000001</v>
      </c>
      <c r="BO346" s="64">
        <f>IFERROR(1/J346*(X346/H346),"0")</f>
        <v>0.24038461538461539</v>
      </c>
      <c r="BP346" s="64">
        <f>IFERROR(1/J346*(Y346/H346),"0")</f>
        <v>0.25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4">
        <v>4680115887978</v>
      </c>
      <c r="E347" s="625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220</v>
      </c>
      <c r="Y347" s="618">
        <f>IFERROR(IF(X347="",0,CEILING((X347/$H347),1)*$H347),"")</f>
        <v>226.2</v>
      </c>
      <c r="Z347" s="36">
        <f>IFERROR(IF(Y347=0,"",ROUNDUP(Y347/H347,0)*0.01898),"")</f>
        <v>0.55042000000000002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231.5641025641026</v>
      </c>
      <c r="BN347" s="64">
        <f>IFERROR(Y347*I347/H347,"0")</f>
        <v>238.09</v>
      </c>
      <c r="BO347" s="64">
        <f>IFERROR(1/J347*(X347/H347),"0")</f>
        <v>0.44070512820512819</v>
      </c>
      <c r="BP347" s="64">
        <f>IFERROR(1/J347*(Y347/H347),"0")</f>
        <v>0.453125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24">
        <v>4680115887992</v>
      </c>
      <c r="E348" s="625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50</v>
      </c>
      <c r="Y348" s="618">
        <f>IFERROR(IF(X348="",0,CEILING((X348/$H348),1)*$H348),"")</f>
        <v>54.6</v>
      </c>
      <c r="Z348" s="36">
        <f>IFERROR(IF(Y348=0,"",ROUNDUP(Y348/H348,0)*0.01898),"")</f>
        <v>0.13286000000000001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52.628205128205138</v>
      </c>
      <c r="BN348" s="64">
        <f>IFERROR(Y348*I348/H348,"0")</f>
        <v>57.470000000000013</v>
      </c>
      <c r="BO348" s="64">
        <f>IFERROR(1/J348*(X348/H348),"0")</f>
        <v>0.10016025641025642</v>
      </c>
      <c r="BP348" s="64">
        <f>IFERROR(1/J348*(Y348/H348),"0")</f>
        <v>0.109375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8" t="s">
        <v>69</v>
      </c>
      <c r="Q349" s="639"/>
      <c r="R349" s="639"/>
      <c r="S349" s="639"/>
      <c r="T349" s="639"/>
      <c r="U349" s="639"/>
      <c r="V349" s="640"/>
      <c r="W349" s="37" t="s">
        <v>70</v>
      </c>
      <c r="X349" s="619">
        <f>IFERROR(X346/H346,"0")+IFERROR(X347/H347,"0")+IFERROR(X348/H348,"0")</f>
        <v>50</v>
      </c>
      <c r="Y349" s="619">
        <f>IFERROR(Y346/H346,"0")+IFERROR(Y347/H347,"0")+IFERROR(Y348/H348,"0")</f>
        <v>52</v>
      </c>
      <c r="Z349" s="619">
        <f>IFERROR(IF(Z346="",0,Z346),"0")+IFERROR(IF(Z347="",0,Z347),"0")+IFERROR(IF(Z348="",0,Z348),"0")</f>
        <v>0.98696000000000006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8" t="s">
        <v>69</v>
      </c>
      <c r="Q350" s="639"/>
      <c r="R350" s="639"/>
      <c r="S350" s="639"/>
      <c r="T350" s="639"/>
      <c r="U350" s="639"/>
      <c r="V350" s="640"/>
      <c r="W350" s="37" t="s">
        <v>67</v>
      </c>
      <c r="X350" s="619">
        <f>IFERROR(SUM(X346:X348),"0")</f>
        <v>390</v>
      </c>
      <c r="Y350" s="619">
        <f>IFERROR(SUM(Y346:Y348),"0")</f>
        <v>405.6</v>
      </c>
      <c r="Z350" s="37"/>
      <c r="AA350" s="620"/>
      <c r="AB350" s="620"/>
      <c r="AC350" s="620"/>
    </row>
    <row r="351" spans="1:68" ht="16.5" hidden="1" customHeight="1" x14ac:dyDescent="0.25">
      <c r="A351" s="637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1"/>
      <c r="AB351" s="611"/>
      <c r="AC351" s="611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2"/>
      <c r="AB352" s="612"/>
      <c r="AC352" s="612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4">
        <v>4680115889293</v>
      </c>
      <c r="E353" s="625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4">
        <v>4680115887190</v>
      </c>
      <c r="E354" s="625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4">
        <v>4680115889880</v>
      </c>
      <c r="E355" s="625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4">
        <v>4680115887138</v>
      </c>
      <c r="E356" s="625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4">
        <v>4680115885554</v>
      </c>
      <c r="E357" s="625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4">
        <v>4680115887220</v>
      </c>
      <c r="E358" s="625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4">
        <v>4680115885608</v>
      </c>
      <c r="E359" s="625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8" t="s">
        <v>69</v>
      </c>
      <c r="Q360" s="639"/>
      <c r="R360" s="639"/>
      <c r="S360" s="639"/>
      <c r="T360" s="639"/>
      <c r="U360" s="639"/>
      <c r="V360" s="640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8" t="s">
        <v>69</v>
      </c>
      <c r="Q361" s="639"/>
      <c r="R361" s="639"/>
      <c r="S361" s="639"/>
      <c r="T361" s="639"/>
      <c r="U361" s="639"/>
      <c r="V361" s="640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2"/>
      <c r="AB362" s="612"/>
      <c r="AC362" s="612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4">
        <v>4607091387193</v>
      </c>
      <c r="E363" s="625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4">
        <v>4607091387230</v>
      </c>
      <c r="E364" s="625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4">
        <v>4607091387292</v>
      </c>
      <c r="E365" s="625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4">
        <v>4607091387285</v>
      </c>
      <c r="E366" s="625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4">
        <v>4607091389845</v>
      </c>
      <c r="E367" s="625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4">
        <v>4680115887442</v>
      </c>
      <c r="E368" s="625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4">
        <v>4607091383836</v>
      </c>
      <c r="E369" s="625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2</v>
      </c>
      <c r="Y369" s="618">
        <f t="shared" si="56"/>
        <v>3.6</v>
      </c>
      <c r="Z369" s="36">
        <f>IFERROR(IF(Y369=0,"",ROUNDUP(Y369/H369,0)*0.00651),"")</f>
        <v>1.302E-2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2.2533333333333334</v>
      </c>
      <c r="BN369" s="64">
        <f t="shared" si="58"/>
        <v>4.056</v>
      </c>
      <c r="BO369" s="64">
        <f t="shared" si="59"/>
        <v>6.1050061050061059E-3</v>
      </c>
      <c r="BP369" s="64">
        <f t="shared" si="60"/>
        <v>1.098901098901099E-2</v>
      </c>
    </row>
    <row r="370" spans="1:68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8" t="s">
        <v>69</v>
      </c>
      <c r="Q370" s="639"/>
      <c r="R370" s="639"/>
      <c r="S370" s="639"/>
      <c r="T370" s="639"/>
      <c r="U370" s="639"/>
      <c r="V370" s="640"/>
      <c r="W370" s="37" t="s">
        <v>70</v>
      </c>
      <c r="X370" s="619">
        <f>IFERROR(X363/H363,"0")+IFERROR(X364/H364,"0")+IFERROR(X365/H365,"0")+IFERROR(X366/H366,"0")+IFERROR(X367/H367,"0")+IFERROR(X368/H368,"0")+IFERROR(X369/H369,"0")</f>
        <v>1.1111111111111112</v>
      </c>
      <c r="Y370" s="619">
        <f>IFERROR(Y363/H363,"0")+IFERROR(Y364/H364,"0")+IFERROR(Y365/H365,"0")+IFERROR(Y366/H366,"0")+IFERROR(Y367/H367,"0")+IFERROR(Y368/H368,"0")+IFERROR(Y369/H369,"0")</f>
        <v>2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1.302E-2</v>
      </c>
      <c r="AA370" s="620"/>
      <c r="AB370" s="620"/>
      <c r="AC370" s="620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8" t="s">
        <v>69</v>
      </c>
      <c r="Q371" s="639"/>
      <c r="R371" s="639"/>
      <c r="S371" s="639"/>
      <c r="T371" s="639"/>
      <c r="U371" s="639"/>
      <c r="V371" s="640"/>
      <c r="W371" s="37" t="s">
        <v>67</v>
      </c>
      <c r="X371" s="619">
        <f>IFERROR(SUM(X363:X369),"0")</f>
        <v>2</v>
      </c>
      <c r="Y371" s="619">
        <f>IFERROR(SUM(Y363:Y369),"0")</f>
        <v>3.6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2"/>
      <c r="AB372" s="612"/>
      <c r="AC372" s="612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4">
        <v>4607091387766</v>
      </c>
      <c r="E373" s="625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4">
        <v>4607091387957</v>
      </c>
      <c r="E374" s="625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4">
        <v>4607091387964</v>
      </c>
      <c r="E375" s="625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4">
        <v>4680115884588</v>
      </c>
      <c r="E376" s="625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8" t="s">
        <v>69</v>
      </c>
      <c r="Q377" s="639"/>
      <c r="R377" s="639"/>
      <c r="S377" s="639"/>
      <c r="T377" s="639"/>
      <c r="U377" s="639"/>
      <c r="V377" s="640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8" t="s">
        <v>69</v>
      </c>
      <c r="Q378" s="639"/>
      <c r="R378" s="639"/>
      <c r="S378" s="639"/>
      <c r="T378" s="639"/>
      <c r="U378" s="639"/>
      <c r="V378" s="640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2"/>
      <c r="AB379" s="612"/>
      <c r="AC379" s="612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4">
        <v>4607091380880</v>
      </c>
      <c r="E380" s="625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4">
        <v>4607091384482</v>
      </c>
      <c r="E381" s="625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200</v>
      </c>
      <c r="Y381" s="618">
        <f>IFERROR(IF(X381="",0,CEILING((X381/$H381),1)*$H381),"")</f>
        <v>202.79999999999998</v>
      </c>
      <c r="Z381" s="36">
        <f>IFERROR(IF(Y381=0,"",ROUNDUP(Y381/H381,0)*0.01898),"")</f>
        <v>0.49348000000000003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212.66666666666669</v>
      </c>
      <c r="BN381" s="64">
        <f>IFERROR(Y381*I381/H381,"0")</f>
        <v>215.64399999999998</v>
      </c>
      <c r="BO381" s="64">
        <f>IFERROR(1/J381*(X381/H381),"0")</f>
        <v>0.40064102564102566</v>
      </c>
      <c r="BP381" s="64">
        <f>IFERROR(1/J381*(Y381/H381),"0")</f>
        <v>0.40625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24">
        <v>4607091380897</v>
      </c>
      <c r="E382" s="625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8" t="s">
        <v>69</v>
      </c>
      <c r="Q383" s="639"/>
      <c r="R383" s="639"/>
      <c r="S383" s="639"/>
      <c r="T383" s="639"/>
      <c r="U383" s="639"/>
      <c r="V383" s="640"/>
      <c r="W383" s="37" t="s">
        <v>70</v>
      </c>
      <c r="X383" s="619">
        <f>IFERROR(X380/H380,"0")+IFERROR(X381/H381,"0")+IFERROR(X382/H382,"0")</f>
        <v>25.641025641025642</v>
      </c>
      <c r="Y383" s="619">
        <f>IFERROR(Y380/H380,"0")+IFERROR(Y381/H381,"0")+IFERROR(Y382/H382,"0")</f>
        <v>26</v>
      </c>
      <c r="Z383" s="619">
        <f>IFERROR(IF(Z380="",0,Z380),"0")+IFERROR(IF(Z381="",0,Z381),"0")+IFERROR(IF(Z382="",0,Z382),"0")</f>
        <v>0.49348000000000003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8" t="s">
        <v>69</v>
      </c>
      <c r="Q384" s="639"/>
      <c r="R384" s="639"/>
      <c r="S384" s="639"/>
      <c r="T384" s="639"/>
      <c r="U384" s="639"/>
      <c r="V384" s="640"/>
      <c r="W384" s="37" t="s">
        <v>67</v>
      </c>
      <c r="X384" s="619">
        <f>IFERROR(SUM(X380:X382),"0")</f>
        <v>200</v>
      </c>
      <c r="Y384" s="619">
        <f>IFERROR(SUM(Y380:Y382),"0")</f>
        <v>202.79999999999998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2"/>
      <c r="AB385" s="612"/>
      <c r="AC385" s="612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4">
        <v>4607091388381</v>
      </c>
      <c r="E386" s="625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4">
        <v>4607091388374</v>
      </c>
      <c r="E387" s="625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4</v>
      </c>
      <c r="Y387" s="618">
        <f>IFERROR(IF(X387="",0,CEILING((X387/$H387),1)*$H387),"")</f>
        <v>6.08</v>
      </c>
      <c r="Z387" s="36">
        <f>IFERROR(IF(Y387=0,"",ROUNDUP(Y387/H387,0)*0.00902),"")</f>
        <v>1.804E-2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4.3026315789473681</v>
      </c>
      <c r="BN387" s="64">
        <f>IFERROR(Y387*I387/H387,"0")</f>
        <v>6.5399999999999991</v>
      </c>
      <c r="BO387" s="64">
        <f>IFERROR(1/J387*(X387/H387),"0")</f>
        <v>9.9681020733652318E-3</v>
      </c>
      <c r="BP387" s="64">
        <f>IFERROR(1/J387*(Y387/H387),"0")</f>
        <v>1.5151515151515152E-2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4">
        <v>4607091383102</v>
      </c>
      <c r="E388" s="625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24">
        <v>4607091388404</v>
      </c>
      <c r="E389" s="625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8" t="s">
        <v>69</v>
      </c>
      <c r="Q390" s="639"/>
      <c r="R390" s="639"/>
      <c r="S390" s="639"/>
      <c r="T390" s="639"/>
      <c r="U390" s="639"/>
      <c r="V390" s="640"/>
      <c r="W390" s="37" t="s">
        <v>70</v>
      </c>
      <c r="X390" s="619">
        <f>IFERROR(X386/H386,"0")+IFERROR(X387/H387,"0")+IFERROR(X388/H388,"0")+IFERROR(X389/H389,"0")</f>
        <v>1.3157894736842106</v>
      </c>
      <c r="Y390" s="619">
        <f>IFERROR(Y386/H386,"0")+IFERROR(Y387/H387,"0")+IFERROR(Y388/H388,"0")+IFERROR(Y389/H389,"0")</f>
        <v>2</v>
      </c>
      <c r="Z390" s="619">
        <f>IFERROR(IF(Z386="",0,Z386),"0")+IFERROR(IF(Z387="",0,Z387),"0")+IFERROR(IF(Z388="",0,Z388),"0")+IFERROR(IF(Z389="",0,Z389),"0")</f>
        <v>1.804E-2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8" t="s">
        <v>69</v>
      </c>
      <c r="Q391" s="639"/>
      <c r="R391" s="639"/>
      <c r="S391" s="639"/>
      <c r="T391" s="639"/>
      <c r="U391" s="639"/>
      <c r="V391" s="640"/>
      <c r="W391" s="37" t="s">
        <v>67</v>
      </c>
      <c r="X391" s="619">
        <f>IFERROR(SUM(X386:X389),"0")</f>
        <v>4</v>
      </c>
      <c r="Y391" s="619">
        <f>IFERROR(SUM(Y386:Y389),"0")</f>
        <v>6.08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2"/>
      <c r="AB392" s="612"/>
      <c r="AC392" s="612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24">
        <v>4680115881808</v>
      </c>
      <c r="E393" s="625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7</v>
      </c>
      <c r="Y393" s="618">
        <f>IFERROR(IF(X393="",0,CEILING((X393/$H393),1)*$H393),"")</f>
        <v>8</v>
      </c>
      <c r="Z393" s="36">
        <f>IFERROR(IF(Y393=0,"",ROUNDUP(Y393/H393,0)*0.00474),"")</f>
        <v>1.8960000000000001E-2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7.8400000000000007</v>
      </c>
      <c r="BN393" s="64">
        <f>IFERROR(Y393*I393/H393,"0")</f>
        <v>8.9600000000000009</v>
      </c>
      <c r="BO393" s="64">
        <f>IFERROR(1/J393*(X393/H393),"0")</f>
        <v>1.4705882352941176E-2</v>
      </c>
      <c r="BP393" s="64">
        <f>IFERROR(1/J393*(Y393/H393),"0")</f>
        <v>1.680672268907563E-2</v>
      </c>
    </row>
    <row r="394" spans="1:68" ht="27" customHeight="1" x14ac:dyDescent="0.25">
      <c r="A394" s="54" t="s">
        <v>643</v>
      </c>
      <c r="B394" s="54" t="s">
        <v>644</v>
      </c>
      <c r="C394" s="31">
        <v>4301180006</v>
      </c>
      <c r="D394" s="624">
        <v>4680115881822</v>
      </c>
      <c r="E394" s="625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8</v>
      </c>
      <c r="Y394" s="618">
        <f>IFERROR(IF(X394="",0,CEILING((X394/$H394),1)*$H394),"")</f>
        <v>8</v>
      </c>
      <c r="Z394" s="36">
        <f>IFERROR(IF(Y394=0,"",ROUNDUP(Y394/H394,0)*0.00474),"")</f>
        <v>1.8960000000000001E-2</v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8.9600000000000009</v>
      </c>
      <c r="BN394" s="64">
        <f>IFERROR(Y394*I394/H394,"0")</f>
        <v>8.9600000000000009</v>
      </c>
      <c r="BO394" s="64">
        <f>IFERROR(1/J394*(X394/H394),"0")</f>
        <v>1.680672268907563E-2</v>
      </c>
      <c r="BP394" s="64">
        <f>IFERROR(1/J394*(Y394/H394),"0")</f>
        <v>1.680672268907563E-2</v>
      </c>
    </row>
    <row r="395" spans="1:68" ht="27" customHeight="1" x14ac:dyDescent="0.25">
      <c r="A395" s="54" t="s">
        <v>645</v>
      </c>
      <c r="B395" s="54" t="s">
        <v>646</v>
      </c>
      <c r="C395" s="31">
        <v>4301180001</v>
      </c>
      <c r="D395" s="624">
        <v>4680115880016</v>
      </c>
      <c r="E395" s="625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10</v>
      </c>
      <c r="Y395" s="618">
        <f>IFERROR(IF(X395="",0,CEILING((X395/$H395),1)*$H395),"")</f>
        <v>10</v>
      </c>
      <c r="Z395" s="36">
        <f>IFERROR(IF(Y395=0,"",ROUNDUP(Y395/H395,0)*0.00474),"")</f>
        <v>2.3700000000000002E-2</v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11.200000000000001</v>
      </c>
      <c r="BN395" s="64">
        <f>IFERROR(Y395*I395/H395,"0")</f>
        <v>11.200000000000001</v>
      </c>
      <c r="BO395" s="64">
        <f>IFERROR(1/J395*(X395/H395),"0")</f>
        <v>2.1008403361344536E-2</v>
      </c>
      <c r="BP395" s="64">
        <f>IFERROR(1/J395*(Y395/H395),"0")</f>
        <v>2.1008403361344536E-2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8" t="s">
        <v>69</v>
      </c>
      <c r="Q396" s="639"/>
      <c r="R396" s="639"/>
      <c r="S396" s="639"/>
      <c r="T396" s="639"/>
      <c r="U396" s="639"/>
      <c r="V396" s="640"/>
      <c r="W396" s="37" t="s">
        <v>70</v>
      </c>
      <c r="X396" s="619">
        <f>IFERROR(X393/H393,"0")+IFERROR(X394/H394,"0")+IFERROR(X395/H395,"0")</f>
        <v>12.5</v>
      </c>
      <c r="Y396" s="619">
        <f>IFERROR(Y393/H393,"0")+IFERROR(Y394/H394,"0")+IFERROR(Y395/H395,"0")</f>
        <v>13</v>
      </c>
      <c r="Z396" s="619">
        <f>IFERROR(IF(Z393="",0,Z393),"0")+IFERROR(IF(Z394="",0,Z394),"0")+IFERROR(IF(Z395="",0,Z395),"0")</f>
        <v>6.1620000000000008E-2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8" t="s">
        <v>69</v>
      </c>
      <c r="Q397" s="639"/>
      <c r="R397" s="639"/>
      <c r="S397" s="639"/>
      <c r="T397" s="639"/>
      <c r="U397" s="639"/>
      <c r="V397" s="640"/>
      <c r="W397" s="37" t="s">
        <v>67</v>
      </c>
      <c r="X397" s="619">
        <f>IFERROR(SUM(X393:X395),"0")</f>
        <v>25</v>
      </c>
      <c r="Y397" s="619">
        <f>IFERROR(SUM(Y393:Y395),"0")</f>
        <v>26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2"/>
      <c r="AB398" s="612"/>
      <c r="AC398" s="612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4">
        <v>4680115888678</v>
      </c>
      <c r="E399" s="625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4">
        <v>4680115888654</v>
      </c>
      <c r="E400" s="625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4">
        <v>4680115888753</v>
      </c>
      <c r="E401" s="625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8" t="s">
        <v>69</v>
      </c>
      <c r="Q402" s="639"/>
      <c r="R402" s="639"/>
      <c r="S402" s="639"/>
      <c r="T402" s="639"/>
      <c r="U402" s="639"/>
      <c r="V402" s="640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8" t="s">
        <v>69</v>
      </c>
      <c r="Q403" s="639"/>
      <c r="R403" s="639"/>
      <c r="S403" s="639"/>
      <c r="T403" s="639"/>
      <c r="U403" s="639"/>
      <c r="V403" s="640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37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1"/>
      <c r="AB404" s="611"/>
      <c r="AC404" s="611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2"/>
      <c r="AB405" s="612"/>
      <c r="AC405" s="612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4">
        <v>4680115889415</v>
      </c>
      <c r="E406" s="625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4">
        <v>4680115889422</v>
      </c>
      <c r="E407" s="625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8" t="s">
        <v>69</v>
      </c>
      <c r="Q408" s="639"/>
      <c r="R408" s="639"/>
      <c r="S408" s="639"/>
      <c r="T408" s="639"/>
      <c r="U408" s="639"/>
      <c r="V408" s="640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8" t="s">
        <v>69</v>
      </c>
      <c r="Q409" s="639"/>
      <c r="R409" s="639"/>
      <c r="S409" s="639"/>
      <c r="T409" s="639"/>
      <c r="U409" s="639"/>
      <c r="V409" s="640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37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1"/>
      <c r="AB410" s="611"/>
      <c r="AC410" s="611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2"/>
      <c r="AB411" s="612"/>
      <c r="AC411" s="612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4">
        <v>4607091387919</v>
      </c>
      <c r="E412" s="625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4">
        <v>4680115883604</v>
      </c>
      <c r="E413" s="625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24">
        <v>4680115883567</v>
      </c>
      <c r="E414" s="625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8" t="s">
        <v>69</v>
      </c>
      <c r="Q415" s="639"/>
      <c r="R415" s="639"/>
      <c r="S415" s="639"/>
      <c r="T415" s="639"/>
      <c r="U415" s="639"/>
      <c r="V415" s="640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8" t="s">
        <v>69</v>
      </c>
      <c r="Q416" s="639"/>
      <c r="R416" s="639"/>
      <c r="S416" s="639"/>
      <c r="T416" s="639"/>
      <c r="U416" s="639"/>
      <c r="V416" s="640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37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1"/>
      <c r="AB418" s="611"/>
      <c r="AC418" s="611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2"/>
      <c r="AB419" s="612"/>
      <c r="AC419" s="612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4">
        <v>4680115888401</v>
      </c>
      <c r="E420" s="625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hidden="1" customHeight="1" x14ac:dyDescent="0.25">
      <c r="A421" s="54" t="s">
        <v>678</v>
      </c>
      <c r="B421" s="54" t="s">
        <v>679</v>
      </c>
      <c r="C421" s="31">
        <v>4301011869</v>
      </c>
      <c r="D421" s="624">
        <v>4680115884847</v>
      </c>
      <c r="E421" s="625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0</v>
      </c>
      <c r="Y421" s="618">
        <f t="shared" si="61"/>
        <v>0</v>
      </c>
      <c r="Z421" s="36" t="str">
        <f>IFERROR(IF(Y421=0,"",ROUNDUP(Y421/H421,0)*0.02175),"")</f>
        <v/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0</v>
      </c>
      <c r="BN421" s="64">
        <f t="shared" si="63"/>
        <v>0</v>
      </c>
      <c r="BO421" s="64">
        <f t="shared" si="64"/>
        <v>0</v>
      </c>
      <c r="BP421" s="64">
        <f t="shared" si="65"/>
        <v>0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24">
        <v>4680115884854</v>
      </c>
      <c r="E422" s="625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customHeight="1" x14ac:dyDescent="0.25">
      <c r="A423" s="54" t="s">
        <v>684</v>
      </c>
      <c r="B423" s="54" t="s">
        <v>685</v>
      </c>
      <c r="C423" s="31">
        <v>4301011867</v>
      </c>
      <c r="D423" s="624">
        <v>4680115884830</v>
      </c>
      <c r="E423" s="625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290</v>
      </c>
      <c r="Y423" s="618">
        <f t="shared" si="61"/>
        <v>300</v>
      </c>
      <c r="Z423" s="36">
        <f>IFERROR(IF(Y423=0,"",ROUNDUP(Y423/H423,0)*0.02175),"")</f>
        <v>0.43499999999999994</v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299.0866666666667</v>
      </c>
      <c r="BN423" s="64">
        <f t="shared" si="63"/>
        <v>309.39999999999998</v>
      </c>
      <c r="BO423" s="64">
        <f t="shared" si="64"/>
        <v>0.40277777777777773</v>
      </c>
      <c r="BP423" s="64">
        <f t="shared" si="65"/>
        <v>0.41666666666666663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4">
        <v>4680115889231</v>
      </c>
      <c r="E424" s="625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4">
        <v>4680115882638</v>
      </c>
      <c r="E425" s="625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4">
        <v>4680115884922</v>
      </c>
      <c r="E426" s="625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4">
        <v>4680115884861</v>
      </c>
      <c r="E427" s="625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8" t="s">
        <v>69</v>
      </c>
      <c r="Q428" s="639"/>
      <c r="R428" s="639"/>
      <c r="S428" s="639"/>
      <c r="T428" s="639"/>
      <c r="U428" s="639"/>
      <c r="V428" s="640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19.333333333333332</v>
      </c>
      <c r="Y428" s="619">
        <f>IFERROR(Y420/H420,"0")+IFERROR(Y421/H421,"0")+IFERROR(Y422/H422,"0")+IFERROR(Y423/H423,"0")+IFERROR(Y424/H424,"0")+IFERROR(Y425/H425,"0")+IFERROR(Y426/H426,"0")+IFERROR(Y427/H427,"0")</f>
        <v>20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0.43499999999999994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8" t="s">
        <v>69</v>
      </c>
      <c r="Q429" s="639"/>
      <c r="R429" s="639"/>
      <c r="S429" s="639"/>
      <c r="T429" s="639"/>
      <c r="U429" s="639"/>
      <c r="V429" s="640"/>
      <c r="W429" s="37" t="s">
        <v>67</v>
      </c>
      <c r="X429" s="619">
        <f>IFERROR(SUM(X420:X427),"0")</f>
        <v>290</v>
      </c>
      <c r="Y429" s="619">
        <f>IFERROR(SUM(Y420:Y427),"0")</f>
        <v>300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2"/>
      <c r="AB430" s="612"/>
      <c r="AC430" s="612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24">
        <v>4607091383980</v>
      </c>
      <c r="E431" s="625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700</v>
      </c>
      <c r="Y431" s="618">
        <f>IFERROR(IF(X431="",0,CEILING((X431/$H431),1)*$H431),"")</f>
        <v>705</v>
      </c>
      <c r="Z431" s="36">
        <f>IFERROR(IF(Y431=0,"",ROUNDUP(Y431/H431,0)*0.02175),"")</f>
        <v>1.0222499999999999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721.93333333333328</v>
      </c>
      <c r="BN431" s="64">
        <f>IFERROR(Y431*I431/H431,"0")</f>
        <v>727.09</v>
      </c>
      <c r="BO431" s="64">
        <f>IFERROR(1/J431*(X431/H431),"0")</f>
        <v>0.9722222222222221</v>
      </c>
      <c r="BP431" s="64">
        <f>IFERROR(1/J431*(Y431/H431),"0")</f>
        <v>0.97916666666666663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4">
        <v>4680115888425</v>
      </c>
      <c r="E432" s="625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4">
        <v>4607091384178</v>
      </c>
      <c r="E433" s="625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8" t="s">
        <v>69</v>
      </c>
      <c r="Q434" s="639"/>
      <c r="R434" s="639"/>
      <c r="S434" s="639"/>
      <c r="T434" s="639"/>
      <c r="U434" s="639"/>
      <c r="V434" s="640"/>
      <c r="W434" s="37" t="s">
        <v>70</v>
      </c>
      <c r="X434" s="619">
        <f>IFERROR(X431/H431,"0")+IFERROR(X432/H432,"0")+IFERROR(X433/H433,"0")</f>
        <v>46.666666666666664</v>
      </c>
      <c r="Y434" s="619">
        <f>IFERROR(Y431/H431,"0")+IFERROR(Y432/H432,"0")+IFERROR(Y433/H433,"0")</f>
        <v>47</v>
      </c>
      <c r="Z434" s="619">
        <f>IFERROR(IF(Z431="",0,Z431),"0")+IFERROR(IF(Z432="",0,Z432),"0")+IFERROR(IF(Z433="",0,Z433),"0")</f>
        <v>1.0222499999999999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8" t="s">
        <v>69</v>
      </c>
      <c r="Q435" s="639"/>
      <c r="R435" s="639"/>
      <c r="S435" s="639"/>
      <c r="T435" s="639"/>
      <c r="U435" s="639"/>
      <c r="V435" s="640"/>
      <c r="W435" s="37" t="s">
        <v>67</v>
      </c>
      <c r="X435" s="619">
        <f>IFERROR(SUM(X431:X433),"0")</f>
        <v>700</v>
      </c>
      <c r="Y435" s="619">
        <f>IFERROR(SUM(Y431:Y433),"0")</f>
        <v>705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2"/>
      <c r="AB436" s="612"/>
      <c r="AC436" s="612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4">
        <v>4607091383928</v>
      </c>
      <c r="E437" s="625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4">
        <v>4607091384260</v>
      </c>
      <c r="E438" s="625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4">
        <v>4680115889538</v>
      </c>
      <c r="E439" s="625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8" t="s">
        <v>69</v>
      </c>
      <c r="Q440" s="639"/>
      <c r="R440" s="639"/>
      <c r="S440" s="639"/>
      <c r="T440" s="639"/>
      <c r="U440" s="639"/>
      <c r="V440" s="640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8" t="s">
        <v>69</v>
      </c>
      <c r="Q441" s="639"/>
      <c r="R441" s="639"/>
      <c r="S441" s="639"/>
      <c r="T441" s="639"/>
      <c r="U441" s="639"/>
      <c r="V441" s="640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2"/>
      <c r="AB442" s="612"/>
      <c r="AC442" s="612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4">
        <v>4680115889545</v>
      </c>
      <c r="E443" s="625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4">
        <v>4607091384673</v>
      </c>
      <c r="E444" s="625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8" t="s">
        <v>69</v>
      </c>
      <c r="Q445" s="639"/>
      <c r="R445" s="639"/>
      <c r="S445" s="639"/>
      <c r="T445" s="639"/>
      <c r="U445" s="639"/>
      <c r="V445" s="640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8" t="s">
        <v>69</v>
      </c>
      <c r="Q446" s="639"/>
      <c r="R446" s="639"/>
      <c r="S446" s="639"/>
      <c r="T446" s="639"/>
      <c r="U446" s="639"/>
      <c r="V446" s="640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37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1"/>
      <c r="AB447" s="611"/>
      <c r="AC447" s="611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2"/>
      <c r="AB448" s="612"/>
      <c r="AC448" s="612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4">
        <v>4680115884885</v>
      </c>
      <c r="E449" s="625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4">
        <v>4680115884908</v>
      </c>
      <c r="E450" s="625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8" t="s">
        <v>69</v>
      </c>
      <c r="Q451" s="639"/>
      <c r="R451" s="639"/>
      <c r="S451" s="639"/>
      <c r="T451" s="639"/>
      <c r="U451" s="639"/>
      <c r="V451" s="640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8" t="s">
        <v>69</v>
      </c>
      <c r="Q452" s="639"/>
      <c r="R452" s="639"/>
      <c r="S452" s="639"/>
      <c r="T452" s="639"/>
      <c r="U452" s="639"/>
      <c r="V452" s="640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2"/>
      <c r="AB453" s="612"/>
      <c r="AC453" s="612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4">
        <v>4607091384802</v>
      </c>
      <c r="E454" s="625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8" t="s">
        <v>69</v>
      </c>
      <c r="Q455" s="639"/>
      <c r="R455" s="639"/>
      <c r="S455" s="639"/>
      <c r="T455" s="639"/>
      <c r="U455" s="639"/>
      <c r="V455" s="640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8" t="s">
        <v>69</v>
      </c>
      <c r="Q456" s="639"/>
      <c r="R456" s="639"/>
      <c r="S456" s="639"/>
      <c r="T456" s="639"/>
      <c r="U456" s="639"/>
      <c r="V456" s="640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2"/>
      <c r="AB457" s="612"/>
      <c r="AC457" s="612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4">
        <v>4607091384246</v>
      </c>
      <c r="E458" s="625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24">
        <v>4607091384253</v>
      </c>
      <c r="E459" s="625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4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4">
        <v>4607091384253</v>
      </c>
      <c r="E460" s="625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8" t="s">
        <v>69</v>
      </c>
      <c r="Q461" s="639"/>
      <c r="R461" s="639"/>
      <c r="S461" s="639"/>
      <c r="T461" s="639"/>
      <c r="U461" s="639"/>
      <c r="V461" s="640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8" t="s">
        <v>69</v>
      </c>
      <c r="Q462" s="639"/>
      <c r="R462" s="639"/>
      <c r="S462" s="639"/>
      <c r="T462" s="639"/>
      <c r="U462" s="639"/>
      <c r="V462" s="640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37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1"/>
      <c r="AB464" s="611"/>
      <c r="AC464" s="611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2"/>
      <c r="AB465" s="612"/>
      <c r="AC465" s="612"/>
    </row>
    <row r="466" spans="1:68" ht="27" hidden="1" customHeight="1" x14ac:dyDescent="0.25">
      <c r="A466" s="54" t="s">
        <v>741</v>
      </c>
      <c r="B466" s="54" t="s">
        <v>742</v>
      </c>
      <c r="C466" s="31">
        <v>4301031405</v>
      </c>
      <c r="D466" s="624">
        <v>4680115886100</v>
      </c>
      <c r="E466" s="625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0</v>
      </c>
      <c r="Y466" s="618">
        <f t="shared" ref="Y466:Y471" si="66"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0</v>
      </c>
      <c r="BN466" s="64">
        <f t="shared" ref="BN466:BN471" si="68">IFERROR(Y466*I466/H466,"0")</f>
        <v>0</v>
      </c>
      <c r="BO466" s="64">
        <f t="shared" ref="BO466:BO471" si="69">IFERROR(1/J466*(X466/H466),"0")</f>
        <v>0</v>
      </c>
      <c r="BP466" s="64">
        <f t="shared" ref="BP466:BP471" si="70">IFERROR(1/J466*(Y466/H466),"0")</f>
        <v>0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4">
        <v>4680115886124</v>
      </c>
      <c r="E467" s="625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4">
        <v>4607091384338</v>
      </c>
      <c r="E468" s="625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4">
        <v>4680115883161</v>
      </c>
      <c r="E469" s="625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4">
        <v>4607091389531</v>
      </c>
      <c r="E470" s="625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4">
        <v>4607091384345</v>
      </c>
      <c r="E471" s="625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hidden="1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8" t="s">
        <v>69</v>
      </c>
      <c r="Q472" s="639"/>
      <c r="R472" s="639"/>
      <c r="S472" s="639"/>
      <c r="T472" s="639"/>
      <c r="U472" s="639"/>
      <c r="V472" s="640"/>
      <c r="W472" s="37" t="s">
        <v>70</v>
      </c>
      <c r="X472" s="619">
        <f>IFERROR(X466/H466,"0")+IFERROR(X467/H467,"0")+IFERROR(X468/H468,"0")+IFERROR(X469/H469,"0")+IFERROR(X470/H470,"0")+IFERROR(X471/H471,"0")</f>
        <v>0</v>
      </c>
      <c r="Y472" s="619">
        <f>IFERROR(Y466/H466,"0")+IFERROR(Y467/H467,"0")+IFERROR(Y468/H468,"0")+IFERROR(Y469/H469,"0")+IFERROR(Y470/H470,"0")+IFERROR(Y471/H471,"0")</f>
        <v>0</v>
      </c>
      <c r="Z472" s="619">
        <f>IFERROR(IF(Z466="",0,Z466),"0")+IFERROR(IF(Z467="",0,Z467),"0")+IFERROR(IF(Z468="",0,Z468),"0")+IFERROR(IF(Z469="",0,Z469),"0")+IFERROR(IF(Z470="",0,Z470),"0")+IFERROR(IF(Z471="",0,Z471),"0")</f>
        <v>0</v>
      </c>
      <c r="AA472" s="620"/>
      <c r="AB472" s="620"/>
      <c r="AC472" s="620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8" t="s">
        <v>69</v>
      </c>
      <c r="Q473" s="639"/>
      <c r="R473" s="639"/>
      <c r="S473" s="639"/>
      <c r="T473" s="639"/>
      <c r="U473" s="639"/>
      <c r="V473" s="640"/>
      <c r="W473" s="37" t="s">
        <v>67</v>
      </c>
      <c r="X473" s="619">
        <f>IFERROR(SUM(X466:X471),"0")</f>
        <v>0</v>
      </c>
      <c r="Y473" s="619">
        <f>IFERROR(SUM(Y466:Y471),"0")</f>
        <v>0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2"/>
      <c r="AB474" s="612"/>
      <c r="AC474" s="612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4">
        <v>4607091384352</v>
      </c>
      <c r="E475" s="625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8" t="s">
        <v>69</v>
      </c>
      <c r="Q476" s="639"/>
      <c r="R476" s="639"/>
      <c r="S476" s="639"/>
      <c r="T476" s="639"/>
      <c r="U476" s="639"/>
      <c r="V476" s="640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8" t="s">
        <v>69</v>
      </c>
      <c r="Q477" s="639"/>
      <c r="R477" s="639"/>
      <c r="S477" s="639"/>
      <c r="T477" s="639"/>
      <c r="U477" s="639"/>
      <c r="V477" s="640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37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1"/>
      <c r="AB478" s="611"/>
      <c r="AC478" s="611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2"/>
      <c r="AB479" s="612"/>
      <c r="AC479" s="612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4">
        <v>4680115885240</v>
      </c>
      <c r="E480" s="625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8" t="s">
        <v>69</v>
      </c>
      <c r="Q481" s="639"/>
      <c r="R481" s="639"/>
      <c r="S481" s="639"/>
      <c r="T481" s="639"/>
      <c r="U481" s="639"/>
      <c r="V481" s="640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8" t="s">
        <v>69</v>
      </c>
      <c r="Q482" s="639"/>
      <c r="R482" s="639"/>
      <c r="S482" s="639"/>
      <c r="T482" s="639"/>
      <c r="U482" s="639"/>
      <c r="V482" s="640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2"/>
      <c r="AB483" s="612"/>
      <c r="AC483" s="612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4">
        <v>4680115886094</v>
      </c>
      <c r="E484" s="625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4">
        <v>4680115880771</v>
      </c>
      <c r="E485" s="625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4">
        <v>4607091389500</v>
      </c>
      <c r="E486" s="625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8" t="s">
        <v>69</v>
      </c>
      <c r="Q487" s="639"/>
      <c r="R487" s="639"/>
      <c r="S487" s="639"/>
      <c r="T487" s="639"/>
      <c r="U487" s="639"/>
      <c r="V487" s="640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8" t="s">
        <v>69</v>
      </c>
      <c r="Q488" s="639"/>
      <c r="R488" s="639"/>
      <c r="S488" s="639"/>
      <c r="T488" s="639"/>
      <c r="U488" s="639"/>
      <c r="V488" s="640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37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1"/>
      <c r="AB490" s="611"/>
      <c r="AC490" s="611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2"/>
      <c r="AB491" s="612"/>
      <c r="AC491" s="612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24">
        <v>4607091389067</v>
      </c>
      <c r="E492" s="625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4">
        <v>4680115889576</v>
      </c>
      <c r="E493" s="625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4">
        <v>4680115885271</v>
      </c>
      <c r="E494" s="625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customHeight="1" x14ac:dyDescent="0.25">
      <c r="A495" s="54" t="s">
        <v>781</v>
      </c>
      <c r="B495" s="54" t="s">
        <v>782</v>
      </c>
      <c r="C495" s="31">
        <v>4301011369</v>
      </c>
      <c r="D495" s="624">
        <v>4680115885226</v>
      </c>
      <c r="E495" s="625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1100</v>
      </c>
      <c r="Y495" s="618">
        <f t="shared" si="71"/>
        <v>1103.52</v>
      </c>
      <c r="Z495" s="36">
        <f>IFERROR(IF(Y495=0,"",ROUNDUP(Y495/H495,0)*0.01196),"")</f>
        <v>2.4996399999999999</v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1172.9166666666665</v>
      </c>
      <c r="BN495" s="64">
        <f t="shared" si="73"/>
        <v>1176.6699999999998</v>
      </c>
      <c r="BO495" s="64">
        <f t="shared" si="74"/>
        <v>2.0032051282051282</v>
      </c>
      <c r="BP495" s="64">
        <f t="shared" si="75"/>
        <v>2.0096153846153846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4">
        <v>4607091389104</v>
      </c>
      <c r="E496" s="625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79</v>
      </c>
      <c r="Y496" s="618">
        <f t="shared" si="71"/>
        <v>79.2</v>
      </c>
      <c r="Z496" s="36">
        <f>IFERROR(IF(Y496=0,"",ROUNDUP(Y496/H496,0)*0.01196),"")</f>
        <v>0.1794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84.236742424242422</v>
      </c>
      <c r="BN496" s="64">
        <f t="shared" si="73"/>
        <v>84.45</v>
      </c>
      <c r="BO496" s="64">
        <f t="shared" si="74"/>
        <v>0.14386655011655011</v>
      </c>
      <c r="BP496" s="64">
        <f t="shared" si="75"/>
        <v>0.14423076923076925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4">
        <v>4680115886391</v>
      </c>
      <c r="E497" s="625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customHeight="1" x14ac:dyDescent="0.25">
      <c r="A498" s="54" t="s">
        <v>789</v>
      </c>
      <c r="B498" s="54" t="s">
        <v>790</v>
      </c>
      <c r="C498" s="31">
        <v>4301012048</v>
      </c>
      <c r="D498" s="624">
        <v>4680115880603</v>
      </c>
      <c r="E498" s="625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42</v>
      </c>
      <c r="Y498" s="618">
        <f t="shared" si="71"/>
        <v>43.199999999999996</v>
      </c>
      <c r="Z498" s="36">
        <f>IFERROR(IF(Y498=0,"",ROUNDUP(Y498/H498,0)*0.00902),"")</f>
        <v>8.1180000000000002E-2</v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60.462500000000006</v>
      </c>
      <c r="BN498" s="64">
        <f t="shared" si="73"/>
        <v>62.190000000000005</v>
      </c>
      <c r="BO498" s="64">
        <f t="shared" si="74"/>
        <v>6.6287878787878785E-2</v>
      </c>
      <c r="BP498" s="64">
        <f t="shared" si="75"/>
        <v>6.8181818181818177E-2</v>
      </c>
    </row>
    <row r="499" spans="1:68" ht="27" customHeight="1" x14ac:dyDescent="0.25">
      <c r="A499" s="54" t="s">
        <v>791</v>
      </c>
      <c r="B499" s="54" t="s">
        <v>792</v>
      </c>
      <c r="C499" s="31">
        <v>4301012034</v>
      </c>
      <c r="D499" s="624">
        <v>4607091389982</v>
      </c>
      <c r="E499" s="625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23</v>
      </c>
      <c r="Y499" s="618">
        <f t="shared" si="71"/>
        <v>24</v>
      </c>
      <c r="Z499" s="36">
        <f>IFERROR(IF(Y499=0,"",ROUNDUP(Y499/H499,0)*0.00902),"")</f>
        <v>4.5100000000000001E-2</v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33.110416666666673</v>
      </c>
      <c r="BN499" s="64">
        <f t="shared" si="73"/>
        <v>34.550000000000004</v>
      </c>
      <c r="BO499" s="64">
        <f t="shared" si="74"/>
        <v>3.6300505050505055E-2</v>
      </c>
      <c r="BP499" s="64">
        <f t="shared" si="75"/>
        <v>3.787878787878788E-2</v>
      </c>
    </row>
    <row r="500" spans="1:68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8" t="s">
        <v>69</v>
      </c>
      <c r="Q500" s="639"/>
      <c r="R500" s="639"/>
      <c r="S500" s="639"/>
      <c r="T500" s="639"/>
      <c r="U500" s="639"/>
      <c r="V500" s="640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236.83712121212119</v>
      </c>
      <c r="Y500" s="619">
        <f>IFERROR(Y492/H492,"0")+IFERROR(Y493/H493,"0")+IFERROR(Y494/H494,"0")+IFERROR(Y495/H495,"0")+IFERROR(Y496/H496,"0")+IFERROR(Y497/H497,"0")+IFERROR(Y498/H498,"0")+IFERROR(Y499/H499,"0")</f>
        <v>238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2.8053199999999996</v>
      </c>
      <c r="AA500" s="620"/>
      <c r="AB500" s="620"/>
      <c r="AC500" s="620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8" t="s">
        <v>69</v>
      </c>
      <c r="Q501" s="639"/>
      <c r="R501" s="639"/>
      <c r="S501" s="639"/>
      <c r="T501" s="639"/>
      <c r="U501" s="639"/>
      <c r="V501" s="640"/>
      <c r="W501" s="37" t="s">
        <v>67</v>
      </c>
      <c r="X501" s="619">
        <f>IFERROR(SUM(X492:X499),"0")</f>
        <v>1244</v>
      </c>
      <c r="Y501" s="619">
        <f>IFERROR(SUM(Y492:Y499),"0")</f>
        <v>1249.92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2"/>
      <c r="AB502" s="612"/>
      <c r="AC502" s="612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24">
        <v>4607091388930</v>
      </c>
      <c r="E503" s="625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1000</v>
      </c>
      <c r="Y503" s="618">
        <f>IFERROR(IF(X503="",0,CEILING((X503/$H503),1)*$H503),"")</f>
        <v>1003.2</v>
      </c>
      <c r="Z503" s="36">
        <f>IFERROR(IF(Y503=0,"",ROUNDUP(Y503/H503,0)*0.01196),"")</f>
        <v>2.2724000000000002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1066.2878787878788</v>
      </c>
      <c r="BN503" s="64">
        <f>IFERROR(Y503*I503/H503,"0")</f>
        <v>1069.7</v>
      </c>
      <c r="BO503" s="64">
        <f>IFERROR(1/J503*(X503/H503),"0")</f>
        <v>1.821095571095571</v>
      </c>
      <c r="BP503" s="64">
        <f>IFERROR(1/J503*(Y503/H503),"0")</f>
        <v>1.8269230769230771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4">
        <v>4680115886407</v>
      </c>
      <c r="E504" s="625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3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customHeight="1" x14ac:dyDescent="0.25">
      <c r="A505" s="54" t="s">
        <v>798</v>
      </c>
      <c r="B505" s="54" t="s">
        <v>799</v>
      </c>
      <c r="C505" s="31">
        <v>4301020385</v>
      </c>
      <c r="D505" s="624">
        <v>4680115880054</v>
      </c>
      <c r="E505" s="625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242</v>
      </c>
      <c r="Y505" s="618">
        <f>IFERROR(IF(X505="",0,CEILING((X505/$H505),1)*$H505),"")</f>
        <v>244.79999999999998</v>
      </c>
      <c r="Z505" s="36">
        <f>IFERROR(IF(Y505=0,"",ROUNDUP(Y505/H505,0)*0.00902),"")</f>
        <v>0.46001999999999998</v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348.37916666666666</v>
      </c>
      <c r="BN505" s="64">
        <f>IFERROR(Y505*I505/H505,"0")</f>
        <v>352.41</v>
      </c>
      <c r="BO505" s="64">
        <f>IFERROR(1/J505*(X505/H505),"0")</f>
        <v>0.38194444444444448</v>
      </c>
      <c r="BP505" s="64">
        <f>IFERROR(1/J505*(Y505/H505),"0")</f>
        <v>0.38636363636363635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8" t="s">
        <v>69</v>
      </c>
      <c r="Q506" s="639"/>
      <c r="R506" s="639"/>
      <c r="S506" s="639"/>
      <c r="T506" s="639"/>
      <c r="U506" s="639"/>
      <c r="V506" s="640"/>
      <c r="W506" s="37" t="s">
        <v>70</v>
      </c>
      <c r="X506" s="619">
        <f>IFERROR(X503/H503,"0")+IFERROR(X504/H504,"0")+IFERROR(X505/H505,"0")</f>
        <v>239.81060606060606</v>
      </c>
      <c r="Y506" s="619">
        <f>IFERROR(Y503/H503,"0")+IFERROR(Y504/H504,"0")+IFERROR(Y505/H505,"0")</f>
        <v>241</v>
      </c>
      <c r="Z506" s="619">
        <f>IFERROR(IF(Z503="",0,Z503),"0")+IFERROR(IF(Z504="",0,Z504),"0")+IFERROR(IF(Z505="",0,Z505),"0")</f>
        <v>2.7324200000000003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8" t="s">
        <v>69</v>
      </c>
      <c r="Q507" s="639"/>
      <c r="R507" s="639"/>
      <c r="S507" s="639"/>
      <c r="T507" s="639"/>
      <c r="U507" s="639"/>
      <c r="V507" s="640"/>
      <c r="W507" s="37" t="s">
        <v>67</v>
      </c>
      <c r="X507" s="619">
        <f>IFERROR(SUM(X503:X505),"0")</f>
        <v>1242</v>
      </c>
      <c r="Y507" s="619">
        <f>IFERROR(SUM(Y503:Y505),"0")</f>
        <v>1248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2"/>
      <c r="AB508" s="612"/>
      <c r="AC508" s="612"/>
    </row>
    <row r="509" spans="1:68" ht="27" customHeight="1" x14ac:dyDescent="0.25">
      <c r="A509" s="54" t="s">
        <v>800</v>
      </c>
      <c r="B509" s="54" t="s">
        <v>801</v>
      </c>
      <c r="C509" s="31">
        <v>4301031349</v>
      </c>
      <c r="D509" s="624">
        <v>4680115883116</v>
      </c>
      <c r="E509" s="625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348</v>
      </c>
      <c r="Y509" s="618">
        <f t="shared" ref="Y509:Y515" si="76">IFERROR(IF(X509="",0,CEILING((X509/$H509),1)*$H509),"")</f>
        <v>348.48</v>
      </c>
      <c r="Z509" s="36">
        <f>IFERROR(IF(Y509=0,"",ROUNDUP(Y509/H509,0)*0.01196),"")</f>
        <v>0.78936000000000006</v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371.06818181818181</v>
      </c>
      <c r="BN509" s="64">
        <f t="shared" ref="BN509:BN515" si="78">IFERROR(Y509*I509/H509,"0")</f>
        <v>371.58</v>
      </c>
      <c r="BO509" s="64">
        <f t="shared" ref="BO509:BO515" si="79">IFERROR(1/J509*(X509/H509),"0")</f>
        <v>0.63374125874125875</v>
      </c>
      <c r="BP509" s="64">
        <f t="shared" ref="BP509:BP515" si="80">IFERROR(1/J509*(Y509/H509),"0")</f>
        <v>0.63461538461538469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4">
        <v>4680115883093</v>
      </c>
      <c r="E510" s="625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hidden="1" customHeight="1" x14ac:dyDescent="0.25">
      <c r="A511" s="54" t="s">
        <v>806</v>
      </c>
      <c r="B511" s="54" t="s">
        <v>807</v>
      </c>
      <c r="C511" s="31">
        <v>4301031353</v>
      </c>
      <c r="D511" s="624">
        <v>4680115883109</v>
      </c>
      <c r="E511" s="625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0</v>
      </c>
      <c r="Y511" s="618">
        <f t="shared" si="76"/>
        <v>0</v>
      </c>
      <c r="Z511" s="36" t="str">
        <f>IFERROR(IF(Y511=0,"",ROUNDUP(Y511/H511,0)*0.01196),"")</f>
        <v/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0</v>
      </c>
      <c r="BN511" s="64">
        <f t="shared" si="78"/>
        <v>0</v>
      </c>
      <c r="BO511" s="64">
        <f t="shared" si="79"/>
        <v>0</v>
      </c>
      <c r="BP511" s="64">
        <f t="shared" si="80"/>
        <v>0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4">
        <v>4680115882072</v>
      </c>
      <c r="E512" s="625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4">
        <v>4680115882102</v>
      </c>
      <c r="E513" s="625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4">
        <v>4680115882102</v>
      </c>
      <c r="E514" s="625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4">
        <v>4680115882096</v>
      </c>
      <c r="E515" s="625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8" t="s">
        <v>69</v>
      </c>
      <c r="Q516" s="639"/>
      <c r="R516" s="639"/>
      <c r="S516" s="639"/>
      <c r="T516" s="639"/>
      <c r="U516" s="639"/>
      <c r="V516" s="640"/>
      <c r="W516" s="37" t="s">
        <v>70</v>
      </c>
      <c r="X516" s="619">
        <f>IFERROR(X509/H509,"0")+IFERROR(X510/H510,"0")+IFERROR(X511/H511,"0")+IFERROR(X512/H512,"0")+IFERROR(X513/H513,"0")+IFERROR(X514/H514,"0")+IFERROR(X515/H515,"0")</f>
        <v>65.909090909090907</v>
      </c>
      <c r="Y516" s="619">
        <f>IFERROR(Y509/H509,"0")+IFERROR(Y510/H510,"0")+IFERROR(Y511/H511,"0")+IFERROR(Y512/H512,"0")+IFERROR(Y513/H513,"0")+IFERROR(Y514/H514,"0")+IFERROR(Y515/H515,"0")</f>
        <v>66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0.78936000000000006</v>
      </c>
      <c r="AA516" s="620"/>
      <c r="AB516" s="620"/>
      <c r="AC516" s="620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8" t="s">
        <v>69</v>
      </c>
      <c r="Q517" s="639"/>
      <c r="R517" s="639"/>
      <c r="S517" s="639"/>
      <c r="T517" s="639"/>
      <c r="U517" s="639"/>
      <c r="V517" s="640"/>
      <c r="W517" s="37" t="s">
        <v>67</v>
      </c>
      <c r="X517" s="619">
        <f>IFERROR(SUM(X509:X515),"0")</f>
        <v>348</v>
      </c>
      <c r="Y517" s="619">
        <f>IFERROR(SUM(Y509:Y515),"0")</f>
        <v>348.48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37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1"/>
      <c r="AB519" s="611"/>
      <c r="AC519" s="611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2"/>
      <c r="AB520" s="612"/>
      <c r="AC520" s="612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4">
        <v>4680115889736</v>
      </c>
      <c r="E521" s="625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8" t="s">
        <v>69</v>
      </c>
      <c r="Q522" s="639"/>
      <c r="R522" s="639"/>
      <c r="S522" s="639"/>
      <c r="T522" s="639"/>
      <c r="U522" s="639"/>
      <c r="V522" s="640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8" t="s">
        <v>69</v>
      </c>
      <c r="Q523" s="639"/>
      <c r="R523" s="639"/>
      <c r="S523" s="639"/>
      <c r="T523" s="639"/>
      <c r="U523" s="639"/>
      <c r="V523" s="640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2"/>
      <c r="AB524" s="612"/>
      <c r="AC524" s="612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4">
        <v>4680115889781</v>
      </c>
      <c r="E525" s="625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8" t="s">
        <v>69</v>
      </c>
      <c r="Q526" s="639"/>
      <c r="R526" s="639"/>
      <c r="S526" s="639"/>
      <c r="T526" s="639"/>
      <c r="U526" s="639"/>
      <c r="V526" s="640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8" t="s">
        <v>69</v>
      </c>
      <c r="Q527" s="639"/>
      <c r="R527" s="639"/>
      <c r="S527" s="639"/>
      <c r="T527" s="639"/>
      <c r="U527" s="639"/>
      <c r="V527" s="640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2"/>
      <c r="AB528" s="612"/>
      <c r="AC528" s="612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4">
        <v>4680115889774</v>
      </c>
      <c r="E529" s="625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8" t="s">
        <v>69</v>
      </c>
      <c r="Q530" s="639"/>
      <c r="R530" s="639"/>
      <c r="S530" s="639"/>
      <c r="T530" s="639"/>
      <c r="U530" s="639"/>
      <c r="V530" s="640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8" t="s">
        <v>69</v>
      </c>
      <c r="Q531" s="639"/>
      <c r="R531" s="639"/>
      <c r="S531" s="639"/>
      <c r="T531" s="639"/>
      <c r="U531" s="639"/>
      <c r="V531" s="640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2"/>
      <c r="AB532" s="612"/>
      <c r="AC532" s="612"/>
    </row>
    <row r="533" spans="1:68" ht="27" hidden="1" customHeight="1" x14ac:dyDescent="0.25">
      <c r="A533" s="54" t="s">
        <v>825</v>
      </c>
      <c r="B533" s="54" t="s">
        <v>826</v>
      </c>
      <c r="C533" s="31">
        <v>4301052282</v>
      </c>
      <c r="D533" s="624">
        <v>4680115889811</v>
      </c>
      <c r="E533" s="625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1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0</v>
      </c>
      <c r="Y533" s="618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8" t="s">
        <v>69</v>
      </c>
      <c r="Q534" s="639"/>
      <c r="R534" s="639"/>
      <c r="S534" s="639"/>
      <c r="T534" s="639"/>
      <c r="U534" s="639"/>
      <c r="V534" s="640"/>
      <c r="W534" s="37" t="s">
        <v>70</v>
      </c>
      <c r="X534" s="619">
        <f>IFERROR(X533/H533,"0")</f>
        <v>0</v>
      </c>
      <c r="Y534" s="619">
        <f>IFERROR(Y533/H533,"0")</f>
        <v>0</v>
      </c>
      <c r="Z534" s="619">
        <f>IFERROR(IF(Z533="",0,Z533),"0")</f>
        <v>0</v>
      </c>
      <c r="AA534" s="620"/>
      <c r="AB534" s="620"/>
      <c r="AC534" s="620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8" t="s">
        <v>69</v>
      </c>
      <c r="Q535" s="639"/>
      <c r="R535" s="639"/>
      <c r="S535" s="639"/>
      <c r="T535" s="639"/>
      <c r="U535" s="639"/>
      <c r="V535" s="640"/>
      <c r="W535" s="37" t="s">
        <v>67</v>
      </c>
      <c r="X535" s="619">
        <f>IFERROR(SUM(X533:X533),"0")</f>
        <v>0</v>
      </c>
      <c r="Y535" s="619">
        <f>IFERROR(SUM(Y533:Y533),"0")</f>
        <v>0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2"/>
      <c r="AB536" s="612"/>
      <c r="AC536" s="612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4">
        <v>4680115889804</v>
      </c>
      <c r="E537" s="625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4">
        <v>4680115889828</v>
      </c>
      <c r="E538" s="625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8" t="s">
        <v>69</v>
      </c>
      <c r="Q539" s="639"/>
      <c r="R539" s="639"/>
      <c r="S539" s="639"/>
      <c r="T539" s="639"/>
      <c r="U539" s="639"/>
      <c r="V539" s="640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8" t="s">
        <v>69</v>
      </c>
      <c r="Q540" s="639"/>
      <c r="R540" s="639"/>
      <c r="S540" s="639"/>
      <c r="T540" s="639"/>
      <c r="U540" s="639"/>
      <c r="V540" s="640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37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1"/>
      <c r="AB541" s="611"/>
      <c r="AC541" s="611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2"/>
      <c r="AB542" s="612"/>
      <c r="AC542" s="612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4">
        <v>4680115889798</v>
      </c>
      <c r="E543" s="625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8" t="s">
        <v>69</v>
      </c>
      <c r="Q544" s="639"/>
      <c r="R544" s="639"/>
      <c r="S544" s="639"/>
      <c r="T544" s="639"/>
      <c r="U544" s="639"/>
      <c r="V544" s="640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8" t="s">
        <v>69</v>
      </c>
      <c r="Q545" s="639"/>
      <c r="R545" s="639"/>
      <c r="S545" s="639"/>
      <c r="T545" s="639"/>
      <c r="U545" s="639"/>
      <c r="V545" s="640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1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11099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11208.2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11808.495231356275</v>
      </c>
      <c r="Y547" s="619">
        <f>IFERROR(SUM(BN22:BN543),"0")</f>
        <v>11926.048000000001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20</v>
      </c>
      <c r="Y548" s="38">
        <f>ROUNDUP(SUM(BP22:BP543),0)</f>
        <v>20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12308.495231356275</v>
      </c>
      <c r="Y549" s="619">
        <f>GrossWeightTotalR+PalletQtyTotalR*25</f>
        <v>12426.048000000001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2053.6769976412647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2075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23.906339999999997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09" t="s">
        <v>61</v>
      </c>
      <c r="C553" s="609" t="s">
        <v>89</v>
      </c>
      <c r="D553" s="630" t="s">
        <v>106</v>
      </c>
      <c r="E553" s="817"/>
      <c r="F553" s="817"/>
      <c r="G553" s="817"/>
      <c r="H553" s="817"/>
      <c r="I553" s="817"/>
      <c r="J553" s="631"/>
      <c r="K553" s="630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31"/>
      <c r="W553" s="630" t="s">
        <v>673</v>
      </c>
      <c r="X553" s="631"/>
      <c r="Y553" s="630" t="s">
        <v>739</v>
      </c>
      <c r="Z553" s="631"/>
      <c r="AA553" s="609" t="s">
        <v>772</v>
      </c>
      <c r="AB553" s="630" t="s">
        <v>816</v>
      </c>
      <c r="AC553" s="631"/>
      <c r="AF553" s="610"/>
    </row>
    <row r="554" spans="1:32" ht="14.25" customHeight="1" thickTop="1" x14ac:dyDescent="0.2">
      <c r="A554" s="915" t="s">
        <v>847</v>
      </c>
      <c r="B554" s="630" t="s">
        <v>61</v>
      </c>
      <c r="C554" s="630" t="s">
        <v>90</v>
      </c>
      <c r="D554" s="630" t="s">
        <v>107</v>
      </c>
      <c r="E554" s="630" t="s">
        <v>123</v>
      </c>
      <c r="F554" s="630" t="s">
        <v>169</v>
      </c>
      <c r="G554" s="630" t="s">
        <v>193</v>
      </c>
      <c r="H554" s="630" t="s">
        <v>237</v>
      </c>
      <c r="I554" s="630" t="s">
        <v>250</v>
      </c>
      <c r="J554" s="630" t="s">
        <v>106</v>
      </c>
      <c r="K554" s="630" t="s">
        <v>328</v>
      </c>
      <c r="L554" s="630" t="s">
        <v>349</v>
      </c>
      <c r="M554" s="630" t="s">
        <v>412</v>
      </c>
      <c r="N554" s="610"/>
      <c r="O554" s="630" t="s">
        <v>480</v>
      </c>
      <c r="P554" s="630" t="s">
        <v>511</v>
      </c>
      <c r="Q554" s="630" t="s">
        <v>530</v>
      </c>
      <c r="R554" s="630" t="s">
        <v>539</v>
      </c>
      <c r="S554" s="630" t="s">
        <v>561</v>
      </c>
      <c r="T554" s="630" t="s">
        <v>570</v>
      </c>
      <c r="U554" s="630" t="s">
        <v>656</v>
      </c>
      <c r="V554" s="630" t="s">
        <v>663</v>
      </c>
      <c r="W554" s="630" t="s">
        <v>674</v>
      </c>
      <c r="X554" s="630" t="s">
        <v>723</v>
      </c>
      <c r="Y554" s="630" t="s">
        <v>740</v>
      </c>
      <c r="Z554" s="630" t="s">
        <v>760</v>
      </c>
      <c r="AA554" s="630" t="s">
        <v>772</v>
      </c>
      <c r="AB554" s="630" t="s">
        <v>816</v>
      </c>
      <c r="AC554" s="630" t="s">
        <v>834</v>
      </c>
      <c r="AF554" s="610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0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0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3.6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688.40000000000009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1044.0000000000002</v>
      </c>
      <c r="F556" s="46">
        <f>IFERROR(Y84*1,"0")+IFERROR(Y85*1,"0")+IFERROR(Y86*1,"0")+IFERROR(Y87*1,"0")+IFERROR(Y88*1,"0")+IFERROR(Y89*1,"0")+IFERROR(Y93*1,"0")+IFERROR(Y94*1,"0")+IFERROR(Y95*1,"0")+IFERROR(Y96*1,"0")</f>
        <v>1233.02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308.40000000000003</v>
      </c>
      <c r="H556" s="46">
        <f>IFERROR(Y131*1,"0")+IFERROR(Y132*1,"0")+IFERROR(Y136*1,"0")+IFERROR(Y137*1,"0")+IFERROR(Y141*1,"0")+IFERROR(Y142*1,"0")</f>
        <v>0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1378.8600000000001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115.74000000000001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1671.8999999999999</v>
      </c>
      <c r="N556" s="610"/>
      <c r="O556" s="46">
        <f>IFERROR(Y291*1,"0")+IFERROR(Y292*1,"0")+IFERROR(Y293*1,"0")+IFERROR(Y294*1,"0")+IFERROR(Y295*1,"0")+IFERROR(Y296*1,"0")+IFERROR(Y297*1,"0")+IFERROR(Y301*1,"0")+IFERROR(Y305*1,"0")+IFERROR(Y309*1,"0")+IFERROR(Y310*1,"0")</f>
        <v>7.2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261.60000000000002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405.6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238.48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1005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0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2846.4</v>
      </c>
      <c r="AB556" s="46">
        <f>IFERROR(Y521*1,"0")+IFERROR(Y525*1,"0")+IFERROR(Y529*1,"0")+IFERROR(Y533*1,"0")+IFERROR(Y537*1,"0")+IFERROR(Y538*1,"0")</f>
        <v>0</v>
      </c>
      <c r="AC556" s="46">
        <f>IFERROR(Y543*1,"0")</f>
        <v>0</v>
      </c>
      <c r="AF556" s="610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000,00"/>
        <filter val="1 027,00"/>
        <filter val="1 100,00"/>
        <filter val="1 157,00"/>
        <filter val="1 242,00"/>
        <filter val="1 244,00"/>
        <filter val="1 372,00"/>
        <filter val="1,11"/>
        <filter val="1,32"/>
        <filter val="1,67"/>
        <filter val="10,00"/>
        <filter val="100,93"/>
        <filter val="102,00"/>
        <filter val="102,59"/>
        <filter val="107,00"/>
        <filter val="107,92"/>
        <filter val="108,00"/>
        <filter val="11 099,00"/>
        <filter val="11 808,50"/>
        <filter val="12 308,50"/>
        <filter val="12,50"/>
        <filter val="120,00"/>
        <filter val="127,00"/>
        <filter val="15,00"/>
        <filter val="150,00"/>
        <filter val="152,00"/>
        <filter val="156,00"/>
        <filter val="16,00"/>
        <filter val="168,00"/>
        <filter val="182,00"/>
        <filter val="183,30"/>
        <filter val="19,33"/>
        <filter val="2 053,68"/>
        <filter val="2,00"/>
        <filter val="2,96"/>
        <filter val="20"/>
        <filter val="200,00"/>
        <filter val="220,00"/>
        <filter val="23,00"/>
        <filter val="236,84"/>
        <filter val="239,81"/>
        <filter val="24,00"/>
        <filter val="242,00"/>
        <filter val="25,00"/>
        <filter val="25,64"/>
        <filter val="256,00"/>
        <filter val="259,00"/>
        <filter val="277,00"/>
        <filter val="28,00"/>
        <filter val="29,00"/>
        <filter val="290,00"/>
        <filter val="3,00"/>
        <filter val="3,89"/>
        <filter val="3,97"/>
        <filter val="348,00"/>
        <filter val="350,00"/>
        <filter val="390,00"/>
        <filter val="4,00"/>
        <filter val="40,00"/>
        <filter val="400,00"/>
        <filter val="42,00"/>
        <filter val="42,11"/>
        <filter val="43,21"/>
        <filter val="45,00"/>
        <filter val="46,67"/>
        <filter val="498,00"/>
        <filter val="5,00"/>
        <filter val="50,00"/>
        <filter val="50,63"/>
        <filter val="548,62"/>
        <filter val="600,00"/>
        <filter val="65,91"/>
        <filter val="650,00"/>
        <filter val="679,00"/>
        <filter val="68,02"/>
        <filter val="7,00"/>
        <filter val="70,00"/>
        <filter val="700,00"/>
        <filter val="79,00"/>
        <filter val="8,00"/>
        <filter val="8,33"/>
        <filter val="819,00"/>
        <filter val="841,00"/>
        <filter val="85,56"/>
        <filter val="871,00"/>
        <filter val="9,00"/>
        <filter val="98,00"/>
        <filter val="982,00"/>
      </filters>
    </filterColumn>
    <filterColumn colId="29" showButton="0"/>
    <filterColumn colId="30" showButton="0"/>
  </autoFilter>
  <mergeCells count="977">
    <mergeCell ref="Y554:Y555"/>
    <mergeCell ref="P527:V527"/>
    <mergeCell ref="P363:T363"/>
    <mergeCell ref="D17:E18"/>
    <mergeCell ref="D173:E173"/>
    <mergeCell ref="A479:Z479"/>
    <mergeCell ref="D471:E471"/>
    <mergeCell ref="A151:O152"/>
    <mergeCell ref="D515:E515"/>
    <mergeCell ref="X17:X18"/>
    <mergeCell ref="P202:T202"/>
    <mergeCell ref="P58:T58"/>
    <mergeCell ref="D421:E421"/>
    <mergeCell ref="A163:O164"/>
    <mergeCell ref="P373:T373"/>
    <mergeCell ref="P444:T444"/>
    <mergeCell ref="P554:P555"/>
    <mergeCell ref="P365:T365"/>
    <mergeCell ref="U17:V17"/>
    <mergeCell ref="Y17:Y18"/>
    <mergeCell ref="D266:E266"/>
    <mergeCell ref="D57:E57"/>
    <mergeCell ref="A8:C8"/>
    <mergeCell ref="D537:E537"/>
    <mergeCell ref="D355:E355"/>
    <mergeCell ref="P163:V163"/>
    <mergeCell ref="D293:E29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21:Z21"/>
    <mergeCell ref="A192:Z192"/>
    <mergeCell ref="D184:E184"/>
    <mergeCell ref="P505:T505"/>
    <mergeCell ref="A129:Z129"/>
    <mergeCell ref="Q6:R6"/>
    <mergeCell ref="P200:T200"/>
    <mergeCell ref="A251:O252"/>
    <mergeCell ref="P292:T292"/>
    <mergeCell ref="A360:O361"/>
    <mergeCell ref="D102:E102"/>
    <mergeCell ref="P81:V81"/>
    <mergeCell ref="A487:O488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262:E262"/>
    <mergeCell ref="D433:E433"/>
    <mergeCell ref="P368:T368"/>
    <mergeCell ref="A362:Z362"/>
    <mergeCell ref="P85:T85"/>
    <mergeCell ref="AB553:AC553"/>
    <mergeCell ref="A31:O32"/>
    <mergeCell ref="N17:N18"/>
    <mergeCell ref="D49:E49"/>
    <mergeCell ref="Q5:R5"/>
    <mergeCell ref="F17:F18"/>
    <mergeCell ref="P72:T72"/>
    <mergeCell ref="P497:T497"/>
    <mergeCell ref="D120:E120"/>
    <mergeCell ref="P199:T199"/>
    <mergeCell ref="P297:T297"/>
    <mergeCell ref="D107:E107"/>
    <mergeCell ref="D278:E278"/>
    <mergeCell ref="P291:T291"/>
    <mergeCell ref="D234:E234"/>
    <mergeCell ref="P484:T484"/>
    <mergeCell ref="A478:Z478"/>
    <mergeCell ref="A408:O409"/>
    <mergeCell ref="P65:T65"/>
    <mergeCell ref="A383:O384"/>
    <mergeCell ref="P136:T136"/>
    <mergeCell ref="P263:T263"/>
    <mergeCell ref="D244:E244"/>
    <mergeCell ref="P499:T499"/>
    <mergeCell ref="O554:O555"/>
    <mergeCell ref="D249:E249"/>
    <mergeCell ref="P262:T262"/>
    <mergeCell ref="D105:E105"/>
    <mergeCell ref="D276:E276"/>
    <mergeCell ref="P433:T433"/>
    <mergeCell ref="Q554:Q555"/>
    <mergeCell ref="D341:E341"/>
    <mergeCell ref="A536:Z536"/>
    <mergeCell ref="D468:E468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D291:E291"/>
    <mergeCell ref="A500:O501"/>
    <mergeCell ref="P397:V397"/>
    <mergeCell ref="D239:E239"/>
    <mergeCell ref="P149:T149"/>
    <mergeCell ref="P174:T174"/>
    <mergeCell ref="A20:Z20"/>
    <mergeCell ref="A125:Z125"/>
    <mergeCell ref="A194:O195"/>
    <mergeCell ref="P371:V371"/>
    <mergeCell ref="P515:T515"/>
    <mergeCell ref="P421:T421"/>
    <mergeCell ref="A541:Z541"/>
    <mergeCell ref="D218:E218"/>
    <mergeCell ref="A314:Z314"/>
    <mergeCell ref="A64:Z64"/>
    <mergeCell ref="P439:T439"/>
    <mergeCell ref="P60:T60"/>
    <mergeCell ref="D95:E95"/>
    <mergeCell ref="P74:V74"/>
    <mergeCell ref="D121:E121"/>
    <mergeCell ref="AD17:AF18"/>
    <mergeCell ref="D503:E503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486:T486"/>
    <mergeCell ref="P317:T317"/>
    <mergeCell ref="P2:W3"/>
    <mergeCell ref="A323:Z323"/>
    <mergeCell ref="D437:E437"/>
    <mergeCell ref="P369:T369"/>
    <mergeCell ref="A43:Z43"/>
    <mergeCell ref="P54:T54"/>
    <mergeCell ref="P347:T347"/>
    <mergeCell ref="A170:Z170"/>
    <mergeCell ref="A415:O416"/>
    <mergeCell ref="D333:E333"/>
    <mergeCell ref="A342:O343"/>
    <mergeCell ref="P312:V312"/>
    <mergeCell ref="A289:Z289"/>
    <mergeCell ref="P412:T412"/>
    <mergeCell ref="D10:E10"/>
    <mergeCell ref="A23:O24"/>
    <mergeCell ref="F10:G10"/>
    <mergeCell ref="A181:O182"/>
    <mergeCell ref="D305:E305"/>
    <mergeCell ref="D270:E270"/>
    <mergeCell ref="P420:T420"/>
    <mergeCell ref="A130:Z130"/>
    <mergeCell ref="D310:E310"/>
    <mergeCell ref="A245:O246"/>
    <mergeCell ref="R554:R555"/>
    <mergeCell ref="M17:M18"/>
    <mergeCell ref="A168:O169"/>
    <mergeCell ref="O17:O18"/>
    <mergeCell ref="P187:V187"/>
    <mergeCell ref="P429:V429"/>
    <mergeCell ref="A248:Z248"/>
    <mergeCell ref="P350:V350"/>
    <mergeCell ref="A554:A555"/>
    <mergeCell ref="P102:T102"/>
    <mergeCell ref="P481:V481"/>
    <mergeCell ref="A247:Z247"/>
    <mergeCell ref="P456:V456"/>
    <mergeCell ref="A508:Z508"/>
    <mergeCell ref="D177:E177"/>
    <mergeCell ref="P287:V287"/>
    <mergeCell ref="A483:Z483"/>
    <mergeCell ref="D226:E226"/>
    <mergeCell ref="P354:T354"/>
    <mergeCell ref="P523:V523"/>
    <mergeCell ref="A404:Z404"/>
    <mergeCell ref="A544:O545"/>
    <mergeCell ref="P364:T364"/>
    <mergeCell ref="P509:T509"/>
    <mergeCell ref="A546:O551"/>
    <mergeCell ref="P107:T107"/>
    <mergeCell ref="D150:E150"/>
    <mergeCell ref="P278:T278"/>
    <mergeCell ref="P63:V63"/>
    <mergeCell ref="P101:T101"/>
    <mergeCell ref="D215:E215"/>
    <mergeCell ref="D386:E386"/>
    <mergeCell ref="P194:V194"/>
    <mergeCell ref="A402:O403"/>
    <mergeCell ref="D513:E513"/>
    <mergeCell ref="D223:E223"/>
    <mergeCell ref="D279:E279"/>
    <mergeCell ref="D394:E394"/>
    <mergeCell ref="A434:O435"/>
    <mergeCell ref="D450:E450"/>
    <mergeCell ref="P121:T121"/>
    <mergeCell ref="A428:O429"/>
    <mergeCell ref="D521:E521"/>
    <mergeCell ref="P357:T357"/>
    <mergeCell ref="D216:E216"/>
    <mergeCell ref="D265:E265"/>
    <mergeCell ref="P195:V195"/>
    <mergeCell ref="AB554:AB555"/>
    <mergeCell ref="A518:Z518"/>
    <mergeCell ref="P176:T176"/>
    <mergeCell ref="P114:T114"/>
    <mergeCell ref="D84:E84"/>
    <mergeCell ref="D22:E22"/>
    <mergeCell ref="A157:Z157"/>
    <mergeCell ref="A62:O63"/>
    <mergeCell ref="D149:E149"/>
    <mergeCell ref="A284:Z284"/>
    <mergeCell ref="D320:E320"/>
    <mergeCell ref="P470:T470"/>
    <mergeCell ref="A127:O128"/>
    <mergeCell ref="P301:T301"/>
    <mergeCell ref="A520:Z520"/>
    <mergeCell ref="P295:T295"/>
    <mergeCell ref="P178:T178"/>
    <mergeCell ref="P105:T105"/>
    <mergeCell ref="P276:T276"/>
    <mergeCell ref="D86:E86"/>
    <mergeCell ref="P214:T214"/>
    <mergeCell ref="P270:T270"/>
    <mergeCell ref="P341:T341"/>
    <mergeCell ref="A457:Z457"/>
    <mergeCell ref="G554:G555"/>
    <mergeCell ref="P48:T48"/>
    <mergeCell ref="I554:I555"/>
    <mergeCell ref="D292:E292"/>
    <mergeCell ref="P346:T346"/>
    <mergeCell ref="A476:O477"/>
    <mergeCell ref="D525:E525"/>
    <mergeCell ref="A9:C9"/>
    <mergeCell ref="D202:E202"/>
    <mergeCell ref="D373:E373"/>
    <mergeCell ref="D58:E58"/>
    <mergeCell ref="P112:T112"/>
    <mergeCell ref="D294:E294"/>
    <mergeCell ref="P348:T348"/>
    <mergeCell ref="D231:E231"/>
    <mergeCell ref="D358:E358"/>
    <mergeCell ref="P70:V70"/>
    <mergeCell ref="P337:V337"/>
    <mergeCell ref="D529:E529"/>
    <mergeCell ref="A336:O337"/>
    <mergeCell ref="P116:V116"/>
    <mergeCell ref="P32:V32"/>
    <mergeCell ref="Q13:R13"/>
    <mergeCell ref="P97:V97"/>
    <mergeCell ref="P539:V539"/>
    <mergeCell ref="H554:H555"/>
    <mergeCell ref="J554:J555"/>
    <mergeCell ref="D222:E222"/>
    <mergeCell ref="P476:V476"/>
    <mergeCell ref="G17:G18"/>
    <mergeCell ref="P333:T333"/>
    <mergeCell ref="P399:T399"/>
    <mergeCell ref="P242:V242"/>
    <mergeCell ref="D159:E159"/>
    <mergeCell ref="P42:V42"/>
    <mergeCell ref="D459:E459"/>
    <mergeCell ref="P59:T59"/>
    <mergeCell ref="P123:V123"/>
    <mergeCell ref="A532:Z532"/>
    <mergeCell ref="D136:E136"/>
    <mergeCell ref="P46:T46"/>
    <mergeCell ref="P482:V482"/>
    <mergeCell ref="A241:O242"/>
    <mergeCell ref="P111:T111"/>
    <mergeCell ref="D154:E154"/>
    <mergeCell ref="D225:E225"/>
    <mergeCell ref="A539:O540"/>
    <mergeCell ref="P61:T6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P225:T225"/>
    <mergeCell ref="D317:E317"/>
    <mergeCell ref="D439:E439"/>
    <mergeCell ref="D6:M6"/>
    <mergeCell ref="D510:E510"/>
    <mergeCell ref="P175:T175"/>
    <mergeCell ref="P162:T162"/>
    <mergeCell ref="P460:T460"/>
    <mergeCell ref="D319:E319"/>
    <mergeCell ref="D512:E512"/>
    <mergeCell ref="V6:W9"/>
    <mergeCell ref="D199:E199"/>
    <mergeCell ref="P38:T38"/>
    <mergeCell ref="D364:E364"/>
    <mergeCell ref="D497:E497"/>
    <mergeCell ref="A155:O156"/>
    <mergeCell ref="P274:T274"/>
    <mergeCell ref="D217:E217"/>
    <mergeCell ref="D413:E413"/>
    <mergeCell ref="D484:E484"/>
    <mergeCell ref="P84:T84"/>
    <mergeCell ref="P222:T222"/>
    <mergeCell ref="P22:T22"/>
    <mergeCell ref="D65:E65"/>
    <mergeCell ref="P193:T193"/>
    <mergeCell ref="P320:T320"/>
    <mergeCell ref="P40:T40"/>
    <mergeCell ref="P236:V236"/>
    <mergeCell ref="D368:E368"/>
    <mergeCell ref="P106:T106"/>
    <mergeCell ref="P177:T177"/>
    <mergeCell ref="P475:T475"/>
    <mergeCell ref="P93:T93"/>
    <mergeCell ref="P226:T226"/>
    <mergeCell ref="H10:M10"/>
    <mergeCell ref="AA17:AA18"/>
    <mergeCell ref="A135:Z135"/>
    <mergeCell ref="AC17:AC18"/>
    <mergeCell ref="P485:T485"/>
    <mergeCell ref="P279:T279"/>
    <mergeCell ref="D89:E89"/>
    <mergeCell ref="D393:E393"/>
    <mergeCell ref="A491:Z491"/>
    <mergeCell ref="P254:T254"/>
    <mergeCell ref="P445:V445"/>
    <mergeCell ref="A235:O236"/>
    <mergeCell ref="D420:E420"/>
    <mergeCell ref="P318:T318"/>
    <mergeCell ref="D85:E85"/>
    <mergeCell ref="A321:O322"/>
    <mergeCell ref="P335:T335"/>
    <mergeCell ref="D200:E200"/>
    <mergeCell ref="P359:T359"/>
    <mergeCell ref="P134:V134"/>
    <mergeCell ref="P268:V268"/>
    <mergeCell ref="P201:T201"/>
    <mergeCell ref="D318:E318"/>
    <mergeCell ref="D389:E389"/>
    <mergeCell ref="H17:H18"/>
    <mergeCell ref="P531:V531"/>
    <mergeCell ref="A146:Z146"/>
    <mergeCell ref="P261:T261"/>
    <mergeCell ref="P161:T161"/>
    <mergeCell ref="D204:E204"/>
    <mergeCell ref="P217:T217"/>
    <mergeCell ref="P332:T332"/>
    <mergeCell ref="P388:T388"/>
    <mergeCell ref="P452:V452"/>
    <mergeCell ref="P459:T459"/>
    <mergeCell ref="D296:E296"/>
    <mergeCell ref="P503:T503"/>
    <mergeCell ref="D427:E427"/>
    <mergeCell ref="P27:T27"/>
    <mergeCell ref="P154:T154"/>
    <mergeCell ref="P325:T325"/>
    <mergeCell ref="P241:V241"/>
    <mergeCell ref="P41:V41"/>
    <mergeCell ref="D504:E504"/>
    <mergeCell ref="A50:O51"/>
    <mergeCell ref="A158:Z158"/>
    <mergeCell ref="A351:Z351"/>
    <mergeCell ref="D273:E273"/>
    <mergeCell ref="S554:S555"/>
    <mergeCell ref="U554:U555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A338:Z338"/>
    <mergeCell ref="D374:E374"/>
    <mergeCell ref="P549:V549"/>
    <mergeCell ref="P232:T232"/>
    <mergeCell ref="P395:T395"/>
    <mergeCell ref="D438:E438"/>
    <mergeCell ref="D509:E509"/>
    <mergeCell ref="D425:E425"/>
    <mergeCell ref="D359:E359"/>
    <mergeCell ref="P327:T327"/>
    <mergeCell ref="P252:V252"/>
    <mergeCell ref="A464:Z464"/>
    <mergeCell ref="A489:Z489"/>
    <mergeCell ref="P512:T512"/>
    <mergeCell ref="J9:M9"/>
    <mergeCell ref="D112:E112"/>
    <mergeCell ref="A418:Z418"/>
    <mergeCell ref="P538:T538"/>
    <mergeCell ref="A90:O91"/>
    <mergeCell ref="D348:E348"/>
    <mergeCell ref="P141:T141"/>
    <mergeCell ref="D56:E56"/>
    <mergeCell ref="D193:E193"/>
    <mergeCell ref="P233:T233"/>
    <mergeCell ref="P37:T37"/>
    <mergeCell ref="D176:E176"/>
    <mergeCell ref="D347:E347"/>
    <mergeCell ref="D114:E114"/>
    <mergeCell ref="P155:V155"/>
    <mergeCell ref="D285:E285"/>
    <mergeCell ref="A298:O299"/>
    <mergeCell ref="D412:E412"/>
    <mergeCell ref="P391:V391"/>
    <mergeCell ref="P504:T504"/>
    <mergeCell ref="A390:O391"/>
    <mergeCell ref="D203:E203"/>
    <mergeCell ref="P152:V152"/>
    <mergeCell ref="A82:Z82"/>
    <mergeCell ref="K553:V553"/>
    <mergeCell ref="P307:V307"/>
    <mergeCell ref="P380:T380"/>
    <mergeCell ref="A13:M13"/>
    <mergeCell ref="P500:V500"/>
    <mergeCell ref="A417:Z417"/>
    <mergeCell ref="D61:E61"/>
    <mergeCell ref="P115:T115"/>
    <mergeCell ref="A196:Z196"/>
    <mergeCell ref="A15:M15"/>
    <mergeCell ref="P238:T238"/>
    <mergeCell ref="D254:E254"/>
    <mergeCell ref="D48:E48"/>
    <mergeCell ref="A183:Z183"/>
    <mergeCell ref="P302:V302"/>
    <mergeCell ref="D346:E346"/>
    <mergeCell ref="A530:O531"/>
    <mergeCell ref="A419:Z419"/>
    <mergeCell ref="P77:T77"/>
    <mergeCell ref="P204:T204"/>
    <mergeCell ref="P179:T179"/>
    <mergeCell ref="A198:Z198"/>
    <mergeCell ref="P375:T375"/>
    <mergeCell ref="P159:T159"/>
    <mergeCell ref="P26:T26"/>
    <mergeCell ref="P461:V461"/>
    <mergeCell ref="A143:O144"/>
    <mergeCell ref="P511:T511"/>
    <mergeCell ref="P507:V507"/>
    <mergeCell ref="A92:Z92"/>
    <mergeCell ref="A506:O507"/>
    <mergeCell ref="P534:V534"/>
    <mergeCell ref="P227:V227"/>
    <mergeCell ref="D36:E36"/>
    <mergeCell ref="P96:T96"/>
    <mergeCell ref="A80:O81"/>
    <mergeCell ref="D39:E39"/>
    <mergeCell ref="P525:T525"/>
    <mergeCell ref="D449:E449"/>
    <mergeCell ref="P49:T49"/>
    <mergeCell ref="P428:V428"/>
    <mergeCell ref="P36:T36"/>
    <mergeCell ref="P50:V50"/>
    <mergeCell ref="D29:E29"/>
    <mergeCell ref="Q10:R10"/>
    <mergeCell ref="A442:Z442"/>
    <mergeCell ref="D185:E185"/>
    <mergeCell ref="P296:T296"/>
    <mergeCell ref="D277:E277"/>
    <mergeCell ref="P356:T356"/>
    <mergeCell ref="P256:V256"/>
    <mergeCell ref="P383:V383"/>
    <mergeCell ref="A208:Z208"/>
    <mergeCell ref="A379:Z379"/>
    <mergeCell ref="A145:Z145"/>
    <mergeCell ref="D137:E137"/>
    <mergeCell ref="P216:T216"/>
    <mergeCell ref="P387:T387"/>
    <mergeCell ref="P124:V124"/>
    <mergeCell ref="P360:V360"/>
    <mergeCell ref="D422:E422"/>
    <mergeCell ref="P80:V80"/>
    <mergeCell ref="P87:T87"/>
    <mergeCell ref="P151:V151"/>
    <mergeCell ref="D68:E68"/>
    <mergeCell ref="D201:E201"/>
    <mergeCell ref="D335:E335"/>
    <mergeCell ref="A440:O441"/>
    <mergeCell ref="T5:U5"/>
    <mergeCell ref="D119:E119"/>
    <mergeCell ref="V5:W5"/>
    <mergeCell ref="P203:T203"/>
    <mergeCell ref="D46:E46"/>
    <mergeCell ref="P374:T374"/>
    <mergeCell ref="A490:Z490"/>
    <mergeCell ref="D40:E40"/>
    <mergeCell ref="P496:T496"/>
    <mergeCell ref="D111:E111"/>
    <mergeCell ref="D233:E233"/>
    <mergeCell ref="P212:V212"/>
    <mergeCell ref="D469:E469"/>
    <mergeCell ref="Q8:R8"/>
    <mergeCell ref="A186:O187"/>
    <mergeCell ref="P438:T438"/>
    <mergeCell ref="D444:E444"/>
    <mergeCell ref="D219:E219"/>
    <mergeCell ref="D104:E104"/>
    <mergeCell ref="D275:E275"/>
    <mergeCell ref="P425:T425"/>
    <mergeCell ref="T6:U9"/>
    <mergeCell ref="D340:E340"/>
    <mergeCell ref="A349:O350"/>
    <mergeCell ref="A12:M12"/>
    <mergeCell ref="A53:Z53"/>
    <mergeCell ref="A253:Z253"/>
    <mergeCell ref="A324:Z324"/>
    <mergeCell ref="A411:Z411"/>
    <mergeCell ref="A19:Z19"/>
    <mergeCell ref="P310:T310"/>
    <mergeCell ref="T554:T555"/>
    <mergeCell ref="A14:M14"/>
    <mergeCell ref="D280:E280"/>
    <mergeCell ref="D480:E480"/>
    <mergeCell ref="V554:V555"/>
    <mergeCell ref="P424:T424"/>
    <mergeCell ref="D467:E467"/>
    <mergeCell ref="D538:E538"/>
    <mergeCell ref="D533:E533"/>
    <mergeCell ref="D485:E485"/>
    <mergeCell ref="P514:T514"/>
    <mergeCell ref="P543:T543"/>
    <mergeCell ref="D424:E424"/>
    <mergeCell ref="P224:T224"/>
    <mergeCell ref="D286:E286"/>
    <mergeCell ref="D132:E132"/>
    <mergeCell ref="P89:T89"/>
    <mergeCell ref="P15:T16"/>
    <mergeCell ref="A398:Z398"/>
    <mergeCell ref="P450:T450"/>
    <mergeCell ref="D414:E414"/>
    <mergeCell ref="P219:T219"/>
    <mergeCell ref="D162:E162"/>
    <mergeCell ref="A69:O70"/>
    <mergeCell ref="P272:T272"/>
    <mergeCell ref="P210:T210"/>
    <mergeCell ref="D327:E327"/>
    <mergeCell ref="A267:O268"/>
    <mergeCell ref="D106:E106"/>
    <mergeCell ref="A41:O42"/>
    <mergeCell ref="P185:T185"/>
    <mergeCell ref="P427:T427"/>
    <mergeCell ref="D93:E93"/>
    <mergeCell ref="D264:E264"/>
    <mergeCell ref="A133:O134"/>
    <mergeCell ref="D220:E220"/>
    <mergeCell ref="P277:T277"/>
    <mergeCell ref="P370:V370"/>
    <mergeCell ref="P122:T122"/>
    <mergeCell ref="P435:V435"/>
    <mergeCell ref="P288:V288"/>
    <mergeCell ref="D492:E492"/>
    <mergeCell ref="P181:V181"/>
    <mergeCell ref="P305:T305"/>
    <mergeCell ref="P540:V540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D454:E454"/>
    <mergeCell ref="D460:E460"/>
    <mergeCell ref="P285:T285"/>
    <mergeCell ref="A188:Z188"/>
    <mergeCell ref="P434:V434"/>
    <mergeCell ref="P228:V228"/>
    <mergeCell ref="P260:T260"/>
    <mergeCell ref="D399:E399"/>
    <mergeCell ref="D59:E59"/>
    <mergeCell ref="A206:O207"/>
    <mergeCell ref="P309:T309"/>
    <mergeCell ref="A377:O378"/>
    <mergeCell ref="P239:T239"/>
    <mergeCell ref="P186:V186"/>
    <mergeCell ref="D38:E38"/>
    <mergeCell ref="P353:T353"/>
    <mergeCell ref="P440:V440"/>
    <mergeCell ref="P132:T132"/>
    <mergeCell ref="A44:Z44"/>
    <mergeCell ref="P75:V75"/>
    <mergeCell ref="P342:V342"/>
    <mergeCell ref="D295:E295"/>
    <mergeCell ref="D178:E178"/>
    <mergeCell ref="P88:T88"/>
    <mergeCell ref="D172:E172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P128:V128"/>
    <mergeCell ref="W553:X553"/>
    <mergeCell ref="A17:A18"/>
    <mergeCell ref="K17:K18"/>
    <mergeCell ref="A118:Z118"/>
    <mergeCell ref="C17:C18"/>
    <mergeCell ref="P493:T493"/>
    <mergeCell ref="P431:T431"/>
    <mergeCell ref="D103:E103"/>
    <mergeCell ref="D37:E37"/>
    <mergeCell ref="D230:E230"/>
    <mergeCell ref="P358:T358"/>
    <mergeCell ref="A6:C6"/>
    <mergeCell ref="D309:E309"/>
    <mergeCell ref="D113:E113"/>
    <mergeCell ref="P180:T180"/>
    <mergeCell ref="P415:V415"/>
    <mergeCell ref="D88:E88"/>
    <mergeCell ref="P142:T142"/>
    <mergeCell ref="D26:E26"/>
    <mergeCell ref="D148:E148"/>
    <mergeCell ref="P167:T167"/>
    <mergeCell ref="P336:V336"/>
    <mergeCell ref="P55:T55"/>
    <mergeCell ref="D115:E115"/>
    <mergeCell ref="Q12:R12"/>
    <mergeCell ref="P280:T280"/>
    <mergeCell ref="D261:E261"/>
    <mergeCell ref="D388:E388"/>
    <mergeCell ref="P119:T119"/>
    <mergeCell ref="P62:V62"/>
    <mergeCell ref="P133:V133"/>
    <mergeCell ref="A328:O329"/>
    <mergeCell ref="P127:V127"/>
    <mergeCell ref="P298:V298"/>
    <mergeCell ref="D339:E339"/>
    <mergeCell ref="Q9:R9"/>
    <mergeCell ref="P267:V267"/>
    <mergeCell ref="A331:Z331"/>
    <mergeCell ref="D255:E255"/>
    <mergeCell ref="A524:Z524"/>
    <mergeCell ref="P78:T78"/>
    <mergeCell ref="Q11:R11"/>
    <mergeCell ref="P205:T205"/>
    <mergeCell ref="D260:E260"/>
    <mergeCell ref="A290:Z290"/>
    <mergeCell ref="P376:T376"/>
    <mergeCell ref="P480:T480"/>
    <mergeCell ref="P467:T467"/>
    <mergeCell ref="P469:T469"/>
    <mergeCell ref="D401:E401"/>
    <mergeCell ref="A474:Z474"/>
    <mergeCell ref="D466:E466"/>
    <mergeCell ref="P66:T66"/>
    <mergeCell ref="D9:E9"/>
    <mergeCell ref="P137:T137"/>
    <mergeCell ref="D180:E180"/>
    <mergeCell ref="F9:G9"/>
    <mergeCell ref="P495:T495"/>
    <mergeCell ref="D167:E167"/>
    <mergeCell ref="P17:T18"/>
    <mergeCell ref="A229:Z229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281:T281"/>
    <mergeCell ref="P414:T414"/>
    <mergeCell ref="D72:E72"/>
    <mergeCell ref="D161:E161"/>
    <mergeCell ref="P422:T422"/>
    <mergeCell ref="D232:E232"/>
    <mergeCell ref="P264:T264"/>
    <mergeCell ref="D1:F1"/>
    <mergeCell ref="P190:V190"/>
    <mergeCell ref="A71:Z71"/>
    <mergeCell ref="P466:T466"/>
    <mergeCell ref="A313:Z313"/>
    <mergeCell ref="P47:T47"/>
    <mergeCell ref="P488:V488"/>
    <mergeCell ref="P282:V282"/>
    <mergeCell ref="K554:K555"/>
    <mergeCell ref="M554:M555"/>
    <mergeCell ref="P409:V409"/>
    <mergeCell ref="A405:Z405"/>
    <mergeCell ref="J17:J18"/>
    <mergeCell ref="L17:L18"/>
    <mergeCell ref="D240:E240"/>
    <mergeCell ref="D511:E511"/>
    <mergeCell ref="P255:T255"/>
    <mergeCell ref="A100:Z100"/>
    <mergeCell ref="P426:T426"/>
    <mergeCell ref="A542:Z542"/>
    <mergeCell ref="D334:E334"/>
    <mergeCell ref="A165:Z165"/>
    <mergeCell ref="P321:V321"/>
    <mergeCell ref="A308:Z308"/>
    <mergeCell ref="W554:W555"/>
    <mergeCell ref="P273:T273"/>
    <mergeCell ref="P526:V526"/>
    <mergeCell ref="D316:E316"/>
    <mergeCell ref="D387:E387"/>
    <mergeCell ref="D272:E272"/>
    <mergeCell ref="A123:O124"/>
    <mergeCell ref="D210:E210"/>
    <mergeCell ref="A345:Z345"/>
    <mergeCell ref="D381:E381"/>
    <mergeCell ref="P400:T400"/>
    <mergeCell ref="D443:E443"/>
    <mergeCell ref="D514:E514"/>
    <mergeCell ref="P537:T537"/>
    <mergeCell ref="P166:T166"/>
    <mergeCell ref="D147:E147"/>
    <mergeCell ref="D380:E380"/>
    <mergeCell ref="A453:Z453"/>
    <mergeCell ref="D274:E274"/>
    <mergeCell ref="D301:E301"/>
    <mergeCell ref="P551:V551"/>
    <mergeCell ref="D224:E224"/>
    <mergeCell ref="D250:E250"/>
    <mergeCell ref="A227:O228"/>
    <mergeCell ref="D5:E5"/>
    <mergeCell ref="A140:Z140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A300:Z300"/>
    <mergeCell ref="D356:E356"/>
    <mergeCell ref="P164:V164"/>
    <mergeCell ref="A396:O397"/>
    <mergeCell ref="A45:Z45"/>
    <mergeCell ref="P462:V462"/>
    <mergeCell ref="P39:T39"/>
    <mergeCell ref="D87:E87"/>
    <mergeCell ref="D122:E122"/>
    <mergeCell ref="P103:T103"/>
    <mergeCell ref="P230:T230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28:E28"/>
    <mergeCell ref="D495:E495"/>
    <mergeCell ref="D326:E326"/>
    <mergeCell ref="P257:V257"/>
    <mergeCell ref="A76:Z76"/>
    <mergeCell ref="P184:T184"/>
    <mergeCell ref="A108:O109"/>
    <mergeCell ref="D432:E432"/>
    <mergeCell ref="A472:O473"/>
    <mergeCell ref="P171:T171"/>
    <mergeCell ref="D55:E55"/>
    <mergeCell ref="D30:E30"/>
    <mergeCell ref="P413:T413"/>
    <mergeCell ref="D353:E353"/>
    <mergeCell ref="D8:M8"/>
    <mergeCell ref="A211:O212"/>
    <mergeCell ref="E554:E555"/>
    <mergeCell ref="D366:E366"/>
    <mergeCell ref="P108:V108"/>
    <mergeCell ref="P472:V472"/>
    <mergeCell ref="D406:E406"/>
    <mergeCell ref="P251:V251"/>
    <mergeCell ref="P416:V416"/>
    <mergeCell ref="P487:V487"/>
    <mergeCell ref="P343:V343"/>
    <mergeCell ref="P95:T95"/>
    <mergeCell ref="P266:T266"/>
    <mergeCell ref="P530:V530"/>
    <mergeCell ref="A461:O462"/>
    <mergeCell ref="D470:E470"/>
    <mergeCell ref="P182:V182"/>
    <mergeCell ref="B554:B555"/>
    <mergeCell ref="P407:T407"/>
    <mergeCell ref="D67:E67"/>
    <mergeCell ref="D498:E498"/>
    <mergeCell ref="P401:T401"/>
    <mergeCell ref="P339:T339"/>
    <mergeCell ref="D382:E382"/>
    <mergeCell ref="X554:X555"/>
    <mergeCell ref="Z554:Z555"/>
    <mergeCell ref="P160:T160"/>
    <mergeCell ref="A522:O523"/>
    <mergeCell ref="P517:V517"/>
    <mergeCell ref="A447:Z447"/>
    <mergeCell ref="P147:T147"/>
    <mergeCell ref="A385:Z385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P548:V548"/>
    <mergeCell ref="P91:V91"/>
    <mergeCell ref="D365:E365"/>
    <mergeCell ref="D79:E79"/>
    <mergeCell ref="P156:V156"/>
    <mergeCell ref="P334:T334"/>
    <mergeCell ref="D315:E315"/>
    <mergeCell ref="P394:T394"/>
    <mergeCell ref="AA554:AA555"/>
    <mergeCell ref="P402:V402"/>
    <mergeCell ref="A311:O312"/>
    <mergeCell ref="C554:C555"/>
    <mergeCell ref="P206:V206"/>
    <mergeCell ref="P377:V377"/>
    <mergeCell ref="A258:Z258"/>
    <mergeCell ref="P104:T104"/>
    <mergeCell ref="P168:V168"/>
    <mergeCell ref="P275:T275"/>
    <mergeCell ref="P143:V143"/>
    <mergeCell ref="P441:V441"/>
    <mergeCell ref="D131:E131"/>
    <mergeCell ref="P235:V235"/>
    <mergeCell ref="P506:V506"/>
    <mergeCell ref="P477:V477"/>
    <mergeCell ref="A502:Z502"/>
    <mergeCell ref="D494:E494"/>
    <mergeCell ref="D543:E543"/>
    <mergeCell ref="P207:V207"/>
    <mergeCell ref="A197:Z197"/>
    <mergeCell ref="D189:E189"/>
    <mergeCell ref="P299:V299"/>
    <mergeCell ref="D431:E431"/>
    <mergeCell ref="R1:T1"/>
    <mergeCell ref="P172:T172"/>
    <mergeCell ref="P28:T28"/>
    <mergeCell ref="P150:T150"/>
    <mergeCell ref="P221:T221"/>
    <mergeCell ref="A74:O75"/>
    <mergeCell ref="P326:T326"/>
    <mergeCell ref="P215:T215"/>
    <mergeCell ref="D332:E332"/>
    <mergeCell ref="A282:O283"/>
    <mergeCell ref="P30:T30"/>
    <mergeCell ref="D73:E73"/>
    <mergeCell ref="B17:B18"/>
    <mergeCell ref="A52:Z52"/>
    <mergeCell ref="P56:T56"/>
    <mergeCell ref="V10:W10"/>
    <mergeCell ref="D66:E66"/>
    <mergeCell ref="P316:T316"/>
    <mergeCell ref="D126:E126"/>
    <mergeCell ref="D47:E47"/>
    <mergeCell ref="D7:M7"/>
    <mergeCell ref="P173:T173"/>
    <mergeCell ref="P29:T29"/>
    <mergeCell ref="A97:O98"/>
    <mergeCell ref="D554:D555"/>
    <mergeCell ref="P220:T220"/>
    <mergeCell ref="D263:E263"/>
    <mergeCell ref="D505:E505"/>
    <mergeCell ref="F554:F555"/>
    <mergeCell ref="D499:E499"/>
    <mergeCell ref="D238:E238"/>
    <mergeCell ref="D426:E426"/>
    <mergeCell ref="D486:E486"/>
    <mergeCell ref="A287:O288"/>
    <mergeCell ref="P303:V303"/>
    <mergeCell ref="D376:E376"/>
    <mergeCell ref="P249:T249"/>
    <mergeCell ref="D363:E363"/>
    <mergeCell ref="D357:E357"/>
    <mergeCell ref="P386:T386"/>
    <mergeCell ref="A516:O517"/>
    <mergeCell ref="P432:T432"/>
    <mergeCell ref="P446:V446"/>
    <mergeCell ref="A445:O446"/>
    <mergeCell ref="A436:Z436"/>
    <mergeCell ref="D493:E493"/>
    <mergeCell ref="P366:T366"/>
    <mergeCell ref="P468:T468"/>
    <mergeCell ref="A34:Z34"/>
    <mergeCell ref="A83:Z83"/>
    <mergeCell ref="P451:V451"/>
    <mergeCell ref="P245:V245"/>
    <mergeCell ref="P516:V516"/>
    <mergeCell ref="H9:I9"/>
    <mergeCell ref="P24:V24"/>
    <mergeCell ref="D281:E281"/>
    <mergeCell ref="P322:V322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443:T443"/>
    <mergeCell ref="P381:T381"/>
    <mergeCell ref="A451:O452"/>
    <mergeCell ref="P271:T271"/>
    <mergeCell ref="P94:T94"/>
    <mergeCell ref="P265:T265"/>
    <mergeCell ref="P458:T458"/>
    <mergeCell ref="P79:T79"/>
    <mergeCell ref="D60:E60"/>
    <mergeCell ref="P73:T73"/>
    <mergeCell ref="P244:T244"/>
    <mergeCell ref="P315:T315"/>
    <mergeCell ref="P437:T437"/>
    <mergeCell ref="Y553:Z553"/>
    <mergeCell ref="A190:O191"/>
    <mergeCell ref="P231:T231"/>
    <mergeCell ref="D423:E423"/>
    <mergeCell ref="D174:E174"/>
    <mergeCell ref="A352:Z352"/>
    <mergeCell ref="P545:V545"/>
    <mergeCell ref="P521:T521"/>
    <mergeCell ref="P535:V535"/>
    <mergeCell ref="A116:O117"/>
    <mergeCell ref="P113:T113"/>
    <mergeCell ref="A344:Z344"/>
    <mergeCell ref="P494:T494"/>
    <mergeCell ref="P498:T498"/>
    <mergeCell ref="P547:V547"/>
    <mergeCell ref="A534:O535"/>
    <mergeCell ref="P529:T529"/>
    <mergeCell ref="P68:T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2026-10-14T10:14:51Z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