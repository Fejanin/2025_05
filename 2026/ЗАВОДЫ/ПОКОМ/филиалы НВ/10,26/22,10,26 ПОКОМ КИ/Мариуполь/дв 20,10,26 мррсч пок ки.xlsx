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6290AA77-E14E-4C4C-8BA5-67061B435A8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Sheet!$A$3:$AG$130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" i="1" l="1"/>
  <c r="AG115" i="1" l="1"/>
  <c r="AG85" i="1"/>
  <c r="AG79" i="1"/>
  <c r="U15" i="1"/>
  <c r="T15" i="1" s="1"/>
  <c r="V15" i="1"/>
  <c r="U16" i="1"/>
  <c r="V16" i="1"/>
  <c r="U20" i="1"/>
  <c r="T20" i="1" s="1"/>
  <c r="V20" i="1"/>
  <c r="U23" i="1"/>
  <c r="T23" i="1" s="1"/>
  <c r="V23" i="1"/>
  <c r="U25" i="1"/>
  <c r="T25" i="1" s="1"/>
  <c r="AG25" i="1" s="1"/>
  <c r="V25" i="1"/>
  <c r="U37" i="1"/>
  <c r="T37" i="1" s="1"/>
  <c r="AG37" i="1" s="1"/>
  <c r="V37" i="1"/>
  <c r="U42" i="1"/>
  <c r="V42" i="1"/>
  <c r="U45" i="1"/>
  <c r="T45" i="1" s="1"/>
  <c r="AG45" i="1" s="1"/>
  <c r="V45" i="1"/>
  <c r="U47" i="1"/>
  <c r="T47" i="1" s="1"/>
  <c r="V47" i="1"/>
  <c r="U63" i="1"/>
  <c r="V63" i="1"/>
  <c r="U64" i="1"/>
  <c r="V64" i="1"/>
  <c r="U65" i="1"/>
  <c r="T65" i="1" s="1"/>
  <c r="V65" i="1"/>
  <c r="U67" i="1"/>
  <c r="T67" i="1" s="1"/>
  <c r="AG67" i="1" s="1"/>
  <c r="V67" i="1"/>
  <c r="U68" i="1"/>
  <c r="V68" i="1"/>
  <c r="U79" i="1"/>
  <c r="V79" i="1"/>
  <c r="U80" i="1"/>
  <c r="V80" i="1"/>
  <c r="U85" i="1"/>
  <c r="V85" i="1"/>
  <c r="U88" i="1"/>
  <c r="V88" i="1"/>
  <c r="U89" i="1"/>
  <c r="T89" i="1" s="1"/>
  <c r="AG89" i="1" s="1"/>
  <c r="V89" i="1"/>
  <c r="U103" i="1"/>
  <c r="V103" i="1"/>
  <c r="U104" i="1"/>
  <c r="T104" i="1" s="1"/>
  <c r="AG104" i="1" s="1"/>
  <c r="V104" i="1"/>
  <c r="U114" i="1"/>
  <c r="V114" i="1"/>
  <c r="U115" i="1"/>
  <c r="V115" i="1"/>
  <c r="U117" i="1"/>
  <c r="V117" i="1"/>
  <c r="U122" i="1"/>
  <c r="T122" i="1" s="1"/>
  <c r="AG122" i="1" s="1"/>
  <c r="V122" i="1"/>
  <c r="U123" i="1"/>
  <c r="T123" i="1" s="1"/>
  <c r="AG123" i="1" s="1"/>
  <c r="V123" i="1"/>
  <c r="U5" i="1"/>
  <c r="T7" i="1"/>
  <c r="T9" i="1"/>
  <c r="T10" i="1"/>
  <c r="T11" i="1"/>
  <c r="T12" i="1"/>
  <c r="T14" i="1"/>
  <c r="T17" i="1"/>
  <c r="AG17" i="1" s="1"/>
  <c r="T18" i="1"/>
  <c r="T19" i="1"/>
  <c r="T21" i="1"/>
  <c r="AG21" i="1" s="1"/>
  <c r="T22" i="1"/>
  <c r="T24" i="1"/>
  <c r="T26" i="1"/>
  <c r="T27" i="1"/>
  <c r="T28" i="1"/>
  <c r="T29" i="1"/>
  <c r="AG29" i="1" s="1"/>
  <c r="T30" i="1"/>
  <c r="T31" i="1"/>
  <c r="T32" i="1"/>
  <c r="T33" i="1"/>
  <c r="AG33" i="1" s="1"/>
  <c r="T34" i="1"/>
  <c r="T38" i="1"/>
  <c r="T39" i="1"/>
  <c r="T40" i="1"/>
  <c r="T41" i="1"/>
  <c r="T44" i="1"/>
  <c r="T46" i="1"/>
  <c r="T49" i="1"/>
  <c r="AG49" i="1" s="1"/>
  <c r="T50" i="1"/>
  <c r="T51" i="1"/>
  <c r="T52" i="1"/>
  <c r="T53" i="1"/>
  <c r="AG53" i="1" s="1"/>
  <c r="T54" i="1"/>
  <c r="AG54" i="1" s="1"/>
  <c r="T55" i="1"/>
  <c r="AG55" i="1" s="1"/>
  <c r="T56" i="1"/>
  <c r="AG56" i="1" s="1"/>
  <c r="T57" i="1"/>
  <c r="AG57" i="1" s="1"/>
  <c r="T59" i="1"/>
  <c r="AG59" i="1" s="1"/>
  <c r="T60" i="1"/>
  <c r="AG60" i="1" s="1"/>
  <c r="T61" i="1"/>
  <c r="AG61" i="1" s="1"/>
  <c r="T62" i="1"/>
  <c r="AG62" i="1" s="1"/>
  <c r="AG63" i="1"/>
  <c r="AG64" i="1"/>
  <c r="T66" i="1"/>
  <c r="AG66" i="1" s="1"/>
  <c r="AG68" i="1"/>
  <c r="T69" i="1"/>
  <c r="AG69" i="1" s="1"/>
  <c r="T70" i="1"/>
  <c r="AG70" i="1" s="1"/>
  <c r="T71" i="1"/>
  <c r="AG71" i="1" s="1"/>
  <c r="T72" i="1"/>
  <c r="AG72" i="1" s="1"/>
  <c r="T74" i="1"/>
  <c r="AG74" i="1" s="1"/>
  <c r="T75" i="1"/>
  <c r="AG75" i="1" s="1"/>
  <c r="T76" i="1"/>
  <c r="AG76" i="1" s="1"/>
  <c r="T77" i="1"/>
  <c r="AG77" i="1" s="1"/>
  <c r="T78" i="1"/>
  <c r="AG78" i="1" s="1"/>
  <c r="AG80" i="1"/>
  <c r="T81" i="1"/>
  <c r="AG81" i="1" s="1"/>
  <c r="T82" i="1"/>
  <c r="AG82" i="1" s="1"/>
  <c r="T83" i="1"/>
  <c r="AG83" i="1" s="1"/>
  <c r="T84" i="1"/>
  <c r="AG84" i="1" s="1"/>
  <c r="T86" i="1"/>
  <c r="AG86" i="1" s="1"/>
  <c r="T90" i="1"/>
  <c r="AG90" i="1" s="1"/>
  <c r="T91" i="1"/>
  <c r="AG91" i="1" s="1"/>
  <c r="T92" i="1"/>
  <c r="AG92" i="1" s="1"/>
  <c r="T93" i="1"/>
  <c r="T94" i="1"/>
  <c r="AG94" i="1" s="1"/>
  <c r="T95" i="1"/>
  <c r="AG95" i="1" s="1"/>
  <c r="T96" i="1"/>
  <c r="AG96" i="1" s="1"/>
  <c r="T97" i="1"/>
  <c r="AG97" i="1" s="1"/>
  <c r="T98" i="1"/>
  <c r="AG98" i="1" s="1"/>
  <c r="T99" i="1"/>
  <c r="AG99" i="1" s="1"/>
  <c r="T100" i="1"/>
  <c r="AG100" i="1" s="1"/>
  <c r="T101" i="1"/>
  <c r="T102" i="1"/>
  <c r="AG102" i="1" s="1"/>
  <c r="AG103" i="1"/>
  <c r="T105" i="1"/>
  <c r="AG105" i="1" s="1"/>
  <c r="T106" i="1"/>
  <c r="AG106" i="1" s="1"/>
  <c r="T107" i="1"/>
  <c r="AG107" i="1" s="1"/>
  <c r="T108" i="1"/>
  <c r="AG108" i="1" s="1"/>
  <c r="T109" i="1"/>
  <c r="AG109" i="1" s="1"/>
  <c r="T110" i="1"/>
  <c r="AG110" i="1" s="1"/>
  <c r="T112" i="1"/>
  <c r="AG112" i="1" s="1"/>
  <c r="T113" i="1"/>
  <c r="AG113" i="1" s="1"/>
  <c r="AG114" i="1"/>
  <c r="T116" i="1"/>
  <c r="AG116" i="1" s="1"/>
  <c r="T118" i="1"/>
  <c r="AG118" i="1" s="1"/>
  <c r="T119" i="1"/>
  <c r="AG119" i="1" s="1"/>
  <c r="T120" i="1"/>
  <c r="AG120" i="1" s="1"/>
  <c r="T121" i="1"/>
  <c r="AG121" i="1" s="1"/>
  <c r="T124" i="1"/>
  <c r="AG124" i="1" s="1"/>
  <c r="T125" i="1"/>
  <c r="T126" i="1"/>
  <c r="AG126" i="1" s="1"/>
  <c r="T127" i="1"/>
  <c r="AG127" i="1" s="1"/>
  <c r="T128" i="1"/>
  <c r="AG128" i="1" s="1"/>
  <c r="T129" i="1"/>
  <c r="AG129" i="1" s="1"/>
  <c r="T130" i="1"/>
  <c r="AG130" i="1" s="1"/>
  <c r="T6" i="1"/>
  <c r="AG6" i="1" s="1"/>
  <c r="AG9" i="1"/>
  <c r="AG41" i="1"/>
  <c r="AG93" i="1"/>
  <c r="AG101" i="1"/>
  <c r="AG125" i="1"/>
  <c r="AG39" i="1" l="1"/>
  <c r="AG15" i="1"/>
  <c r="AG11" i="1"/>
  <c r="AG51" i="1"/>
  <c r="AG31" i="1"/>
  <c r="AG27" i="1"/>
  <c r="AG19" i="1"/>
  <c r="AG7" i="1"/>
  <c r="AG52" i="1"/>
  <c r="AG50" i="1"/>
  <c r="AG46" i="1"/>
  <c r="AG44" i="1"/>
  <c r="AG42" i="1"/>
  <c r="AG40" i="1"/>
  <c r="AG38" i="1"/>
  <c r="AG34" i="1"/>
  <c r="AG32" i="1"/>
  <c r="AG30" i="1"/>
  <c r="AG28" i="1"/>
  <c r="AG26" i="1"/>
  <c r="AG24" i="1"/>
  <c r="AG22" i="1"/>
  <c r="AG20" i="1"/>
  <c r="AG18" i="1"/>
  <c r="AG14" i="1"/>
  <c r="AG12" i="1"/>
  <c r="AG10" i="1"/>
  <c r="R130" i="1" l="1"/>
  <c r="L130" i="1"/>
  <c r="R129" i="1"/>
  <c r="L129" i="1"/>
  <c r="R128" i="1"/>
  <c r="W128" i="1" s="1"/>
  <c r="L128" i="1"/>
  <c r="R127" i="1"/>
  <c r="W127" i="1" s="1"/>
  <c r="L127" i="1"/>
  <c r="R126" i="1"/>
  <c r="W126" i="1" s="1"/>
  <c r="L126" i="1"/>
  <c r="R125" i="1"/>
  <c r="L125" i="1"/>
  <c r="R124" i="1"/>
  <c r="W124" i="1" s="1"/>
  <c r="L124" i="1"/>
  <c r="R123" i="1"/>
  <c r="L123" i="1"/>
  <c r="R122" i="1"/>
  <c r="W122" i="1" s="1"/>
  <c r="L122" i="1"/>
  <c r="R121" i="1"/>
  <c r="L121" i="1"/>
  <c r="R120" i="1"/>
  <c r="W120" i="1" s="1"/>
  <c r="L120" i="1"/>
  <c r="R119" i="1"/>
  <c r="W119" i="1" s="1"/>
  <c r="L119" i="1"/>
  <c r="R118" i="1"/>
  <c r="W118" i="1" s="1"/>
  <c r="L118" i="1"/>
  <c r="R117" i="1"/>
  <c r="L117" i="1"/>
  <c r="R116" i="1"/>
  <c r="W116" i="1" s="1"/>
  <c r="L116" i="1"/>
  <c r="R115" i="1"/>
  <c r="W115" i="1" s="1"/>
  <c r="L115" i="1"/>
  <c r="R114" i="1"/>
  <c r="W114" i="1" s="1"/>
  <c r="L114" i="1"/>
  <c r="R113" i="1"/>
  <c r="W113" i="1" s="1"/>
  <c r="L113" i="1"/>
  <c r="R112" i="1"/>
  <c r="W112" i="1" s="1"/>
  <c r="L112" i="1"/>
  <c r="R111" i="1"/>
  <c r="L111" i="1"/>
  <c r="R110" i="1"/>
  <c r="W110" i="1" s="1"/>
  <c r="L110" i="1"/>
  <c r="R109" i="1"/>
  <c r="W109" i="1" s="1"/>
  <c r="L109" i="1"/>
  <c r="R108" i="1"/>
  <c r="W108" i="1" s="1"/>
  <c r="L108" i="1"/>
  <c r="R107" i="1"/>
  <c r="W107" i="1" s="1"/>
  <c r="L107" i="1"/>
  <c r="R106" i="1"/>
  <c r="W106" i="1" s="1"/>
  <c r="L106" i="1"/>
  <c r="R105" i="1"/>
  <c r="W105" i="1" s="1"/>
  <c r="L105" i="1"/>
  <c r="R104" i="1"/>
  <c r="W104" i="1" s="1"/>
  <c r="L104" i="1"/>
  <c r="R103" i="1"/>
  <c r="L103" i="1"/>
  <c r="R102" i="1"/>
  <c r="W102" i="1" s="1"/>
  <c r="L102" i="1"/>
  <c r="R101" i="1"/>
  <c r="L101" i="1"/>
  <c r="R100" i="1"/>
  <c r="W100" i="1" s="1"/>
  <c r="L100" i="1"/>
  <c r="R99" i="1"/>
  <c r="L99" i="1"/>
  <c r="R98" i="1"/>
  <c r="W98" i="1" s="1"/>
  <c r="L98" i="1"/>
  <c r="R97" i="1"/>
  <c r="W97" i="1" s="1"/>
  <c r="L97" i="1"/>
  <c r="R96" i="1"/>
  <c r="W96" i="1" s="1"/>
  <c r="L96" i="1"/>
  <c r="R95" i="1"/>
  <c r="W95" i="1" s="1"/>
  <c r="L95" i="1"/>
  <c r="R94" i="1"/>
  <c r="W94" i="1" s="1"/>
  <c r="L94" i="1"/>
  <c r="R93" i="1"/>
  <c r="W93" i="1" s="1"/>
  <c r="L93" i="1"/>
  <c r="R92" i="1"/>
  <c r="L92" i="1"/>
  <c r="R91" i="1"/>
  <c r="W91" i="1" s="1"/>
  <c r="L91" i="1"/>
  <c r="R90" i="1"/>
  <c r="W90" i="1" s="1"/>
  <c r="L90" i="1"/>
  <c r="F89" i="1"/>
  <c r="E89" i="1"/>
  <c r="R89" i="1" s="1"/>
  <c r="R88" i="1"/>
  <c r="L88" i="1"/>
  <c r="R87" i="1"/>
  <c r="L87" i="1"/>
  <c r="R86" i="1"/>
  <c r="L86" i="1"/>
  <c r="R85" i="1"/>
  <c r="W85" i="1" s="1"/>
  <c r="L85" i="1"/>
  <c r="R84" i="1"/>
  <c r="W84" i="1" s="1"/>
  <c r="L84" i="1"/>
  <c r="R83" i="1"/>
  <c r="W83" i="1" s="1"/>
  <c r="L83" i="1"/>
  <c r="R82" i="1"/>
  <c r="W82" i="1" s="1"/>
  <c r="L82" i="1"/>
  <c r="R81" i="1"/>
  <c r="W81" i="1" s="1"/>
  <c r="L81" i="1"/>
  <c r="R80" i="1"/>
  <c r="W80" i="1" s="1"/>
  <c r="L80" i="1"/>
  <c r="R79" i="1"/>
  <c r="W79" i="1" s="1"/>
  <c r="L79" i="1"/>
  <c r="R78" i="1"/>
  <c r="W78" i="1" s="1"/>
  <c r="L78" i="1"/>
  <c r="R77" i="1"/>
  <c r="W77" i="1" s="1"/>
  <c r="L77" i="1"/>
  <c r="R76" i="1"/>
  <c r="W76" i="1" s="1"/>
  <c r="L76" i="1"/>
  <c r="R75" i="1"/>
  <c r="W75" i="1" s="1"/>
  <c r="L75" i="1"/>
  <c r="R74" i="1"/>
  <c r="W74" i="1" s="1"/>
  <c r="L74" i="1"/>
  <c r="R73" i="1"/>
  <c r="L73" i="1"/>
  <c r="R72" i="1"/>
  <c r="W72" i="1" s="1"/>
  <c r="L72" i="1"/>
  <c r="R71" i="1"/>
  <c r="W71" i="1" s="1"/>
  <c r="L71" i="1"/>
  <c r="R70" i="1"/>
  <c r="W70" i="1" s="1"/>
  <c r="L70" i="1"/>
  <c r="R69" i="1"/>
  <c r="W69" i="1" s="1"/>
  <c r="L69" i="1"/>
  <c r="R68" i="1"/>
  <c r="W68" i="1" s="1"/>
  <c r="L68" i="1"/>
  <c r="R67" i="1"/>
  <c r="W67" i="1" s="1"/>
  <c r="L67" i="1"/>
  <c r="R66" i="1"/>
  <c r="W66" i="1" s="1"/>
  <c r="L66" i="1"/>
  <c r="R65" i="1"/>
  <c r="L65" i="1"/>
  <c r="R64" i="1"/>
  <c r="W64" i="1" s="1"/>
  <c r="L64" i="1"/>
  <c r="R63" i="1"/>
  <c r="W63" i="1" s="1"/>
  <c r="L63" i="1"/>
  <c r="R62" i="1"/>
  <c r="W62" i="1" s="1"/>
  <c r="L62" i="1"/>
  <c r="R61" i="1"/>
  <c r="W61" i="1" s="1"/>
  <c r="L61" i="1"/>
  <c r="R60" i="1"/>
  <c r="W60" i="1" s="1"/>
  <c r="L60" i="1"/>
  <c r="R59" i="1"/>
  <c r="W59" i="1" s="1"/>
  <c r="L59" i="1"/>
  <c r="R58" i="1"/>
  <c r="L58" i="1"/>
  <c r="R57" i="1"/>
  <c r="W57" i="1" s="1"/>
  <c r="L57" i="1"/>
  <c r="E56" i="1"/>
  <c r="R55" i="1"/>
  <c r="W55" i="1" s="1"/>
  <c r="L55" i="1"/>
  <c r="R54" i="1"/>
  <c r="W54" i="1" s="1"/>
  <c r="L54" i="1"/>
  <c r="R53" i="1"/>
  <c r="W53" i="1" s="1"/>
  <c r="L53" i="1"/>
  <c r="R52" i="1"/>
  <c r="W52" i="1" s="1"/>
  <c r="L52" i="1"/>
  <c r="R51" i="1"/>
  <c r="W51" i="1" s="1"/>
  <c r="L51" i="1"/>
  <c r="R50" i="1"/>
  <c r="W50" i="1" s="1"/>
  <c r="L50" i="1"/>
  <c r="R49" i="1"/>
  <c r="W49" i="1" s="1"/>
  <c r="L49" i="1"/>
  <c r="R48" i="1"/>
  <c r="L48" i="1"/>
  <c r="R47" i="1"/>
  <c r="L47" i="1"/>
  <c r="R46" i="1"/>
  <c r="W46" i="1" s="1"/>
  <c r="L46" i="1"/>
  <c r="R45" i="1"/>
  <c r="W45" i="1" s="1"/>
  <c r="L45" i="1"/>
  <c r="R44" i="1"/>
  <c r="W44" i="1" s="1"/>
  <c r="L44" i="1"/>
  <c r="R43" i="1"/>
  <c r="L43" i="1"/>
  <c r="R42" i="1"/>
  <c r="W42" i="1" s="1"/>
  <c r="L42" i="1"/>
  <c r="R41" i="1"/>
  <c r="W41" i="1" s="1"/>
  <c r="L41" i="1"/>
  <c r="R40" i="1"/>
  <c r="W40" i="1" s="1"/>
  <c r="L40" i="1"/>
  <c r="R39" i="1"/>
  <c r="W39" i="1" s="1"/>
  <c r="L39" i="1"/>
  <c r="R38" i="1"/>
  <c r="W38" i="1" s="1"/>
  <c r="L38" i="1"/>
  <c r="R37" i="1"/>
  <c r="W37" i="1" s="1"/>
  <c r="L37" i="1"/>
  <c r="R36" i="1"/>
  <c r="X36" i="1" s="1"/>
  <c r="L36" i="1"/>
  <c r="R35" i="1"/>
  <c r="L35" i="1"/>
  <c r="R34" i="1"/>
  <c r="L34" i="1"/>
  <c r="R33" i="1"/>
  <c r="W33" i="1" s="1"/>
  <c r="L33" i="1"/>
  <c r="R32" i="1"/>
  <c r="L32" i="1"/>
  <c r="R31" i="1"/>
  <c r="W31" i="1" s="1"/>
  <c r="L31" i="1"/>
  <c r="R30" i="1"/>
  <c r="L30" i="1"/>
  <c r="R29" i="1"/>
  <c r="W29" i="1" s="1"/>
  <c r="L29" i="1"/>
  <c r="R28" i="1"/>
  <c r="L28" i="1"/>
  <c r="R27" i="1"/>
  <c r="W27" i="1" s="1"/>
  <c r="L27" i="1"/>
  <c r="R26" i="1"/>
  <c r="L26" i="1"/>
  <c r="R25" i="1"/>
  <c r="W25" i="1" s="1"/>
  <c r="L25" i="1"/>
  <c r="R24" i="1"/>
  <c r="W24" i="1" s="1"/>
  <c r="L24" i="1"/>
  <c r="R23" i="1"/>
  <c r="L23" i="1"/>
  <c r="R22" i="1"/>
  <c r="W22" i="1" s="1"/>
  <c r="L22" i="1"/>
  <c r="R21" i="1"/>
  <c r="L21" i="1"/>
  <c r="R20" i="1"/>
  <c r="L20" i="1"/>
  <c r="R19" i="1"/>
  <c r="W19" i="1" s="1"/>
  <c r="L19" i="1"/>
  <c r="R18" i="1"/>
  <c r="L18" i="1"/>
  <c r="R17" i="1"/>
  <c r="W17" i="1" s="1"/>
  <c r="L17" i="1"/>
  <c r="R16" i="1"/>
  <c r="X16" i="1" s="1"/>
  <c r="L16" i="1"/>
  <c r="R15" i="1"/>
  <c r="W15" i="1" s="1"/>
  <c r="L15" i="1"/>
  <c r="R14" i="1"/>
  <c r="L14" i="1"/>
  <c r="R13" i="1"/>
  <c r="L13" i="1"/>
  <c r="R12" i="1"/>
  <c r="L12" i="1"/>
  <c r="R11" i="1"/>
  <c r="W11" i="1" s="1"/>
  <c r="L11" i="1"/>
  <c r="R10" i="1"/>
  <c r="L10" i="1"/>
  <c r="R9" i="1"/>
  <c r="W9" i="1" s="1"/>
  <c r="L9" i="1"/>
  <c r="R8" i="1"/>
  <c r="L8" i="1"/>
  <c r="R7" i="1"/>
  <c r="W7" i="1" s="1"/>
  <c r="L7" i="1"/>
  <c r="R6" i="1"/>
  <c r="W6" i="1" s="1"/>
  <c r="L6" i="1"/>
  <c r="AE5" i="1"/>
  <c r="AD5" i="1"/>
  <c r="AC5" i="1"/>
  <c r="AB5" i="1"/>
  <c r="AA5" i="1"/>
  <c r="Z5" i="1"/>
  <c r="Y5" i="1"/>
  <c r="Q5" i="1"/>
  <c r="P5" i="1"/>
  <c r="O5" i="1"/>
  <c r="N5" i="1"/>
  <c r="M5" i="1"/>
  <c r="K5" i="1"/>
  <c r="F5" i="1"/>
  <c r="X10" i="1" l="1"/>
  <c r="W10" i="1"/>
  <c r="X12" i="1"/>
  <c r="W12" i="1"/>
  <c r="X14" i="1"/>
  <c r="W14" i="1"/>
  <c r="X18" i="1"/>
  <c r="W18" i="1"/>
  <c r="X20" i="1"/>
  <c r="W20" i="1"/>
  <c r="X21" i="1"/>
  <c r="W21" i="1"/>
  <c r="X26" i="1"/>
  <c r="W26" i="1"/>
  <c r="X28" i="1"/>
  <c r="W28" i="1"/>
  <c r="X30" i="1"/>
  <c r="W30" i="1"/>
  <c r="X32" i="1"/>
  <c r="W32" i="1"/>
  <c r="X34" i="1"/>
  <c r="W34" i="1"/>
  <c r="X86" i="1"/>
  <c r="W86" i="1"/>
  <c r="W89" i="1"/>
  <c r="X92" i="1"/>
  <c r="W92" i="1"/>
  <c r="X99" i="1"/>
  <c r="W99" i="1"/>
  <c r="X101" i="1"/>
  <c r="W101" i="1"/>
  <c r="X103" i="1"/>
  <c r="W103" i="1"/>
  <c r="X121" i="1"/>
  <c r="W121" i="1"/>
  <c r="X123" i="1"/>
  <c r="W123" i="1"/>
  <c r="X125" i="1"/>
  <c r="W125" i="1"/>
  <c r="X129" i="1"/>
  <c r="W129" i="1"/>
  <c r="X130" i="1"/>
  <c r="W130" i="1"/>
  <c r="X127" i="1"/>
  <c r="X105" i="1"/>
  <c r="X22" i="1"/>
  <c r="X24" i="1"/>
  <c r="X39" i="1"/>
  <c r="X49" i="1"/>
  <c r="X55" i="1"/>
  <c r="X64" i="1"/>
  <c r="X70" i="1"/>
  <c r="S73" i="1"/>
  <c r="T73" i="1" s="1"/>
  <c r="X80" i="1"/>
  <c r="X87" i="1"/>
  <c r="S87" i="1"/>
  <c r="T87" i="1" s="1"/>
  <c r="X111" i="1"/>
  <c r="S111" i="1"/>
  <c r="T111" i="1" s="1"/>
  <c r="X117" i="1"/>
  <c r="S117" i="1"/>
  <c r="T117" i="1" s="1"/>
  <c r="X6" i="1"/>
  <c r="X8" i="1"/>
  <c r="S8" i="1"/>
  <c r="T8" i="1" s="1"/>
  <c r="X11" i="1"/>
  <c r="X13" i="1"/>
  <c r="S13" i="1"/>
  <c r="T13" i="1" s="1"/>
  <c r="X15" i="1"/>
  <c r="S16" i="1"/>
  <c r="T16" i="1" s="1"/>
  <c r="X17" i="1"/>
  <c r="X19" i="1"/>
  <c r="S23" i="1"/>
  <c r="X27" i="1"/>
  <c r="X41" i="1"/>
  <c r="X47" i="1"/>
  <c r="S47" i="1"/>
  <c r="R56" i="1"/>
  <c r="W56" i="1" s="1"/>
  <c r="L56" i="1"/>
  <c r="X62" i="1"/>
  <c r="S65" i="1"/>
  <c r="X72" i="1"/>
  <c r="X78" i="1"/>
  <c r="X82" i="1"/>
  <c r="S88" i="1"/>
  <c r="T88" i="1" s="1"/>
  <c r="X88" i="1"/>
  <c r="X93" i="1"/>
  <c r="X109" i="1"/>
  <c r="X119" i="1"/>
  <c r="X29" i="1"/>
  <c r="X31" i="1"/>
  <c r="X33" i="1"/>
  <c r="X35" i="1"/>
  <c r="S35" i="1"/>
  <c r="T35" i="1" s="1"/>
  <c r="S36" i="1"/>
  <c r="T36" i="1" s="1"/>
  <c r="X37" i="1"/>
  <c r="X43" i="1"/>
  <c r="S43" i="1"/>
  <c r="T43" i="1" s="1"/>
  <c r="X45" i="1"/>
  <c r="S48" i="1"/>
  <c r="T48" i="1" s="1"/>
  <c r="X51" i="1"/>
  <c r="X53" i="1"/>
  <c r="X58" i="1"/>
  <c r="S58" i="1"/>
  <c r="T58" i="1" s="1"/>
  <c r="X60" i="1"/>
  <c r="X66" i="1"/>
  <c r="X68" i="1"/>
  <c r="X74" i="1"/>
  <c r="X76" i="1"/>
  <c r="X95" i="1"/>
  <c r="X97" i="1"/>
  <c r="X100" i="1"/>
  <c r="X102" i="1"/>
  <c r="X104" i="1"/>
  <c r="X107" i="1"/>
  <c r="X113" i="1"/>
  <c r="X115" i="1"/>
  <c r="X122" i="1"/>
  <c r="X124" i="1"/>
  <c r="X126" i="1"/>
  <c r="X84" i="1"/>
  <c r="X91" i="1"/>
  <c r="X7" i="1"/>
  <c r="X9" i="1"/>
  <c r="X23" i="1"/>
  <c r="X25" i="1"/>
  <c r="X38" i="1"/>
  <c r="X40" i="1"/>
  <c r="X42" i="1"/>
  <c r="X44" i="1"/>
  <c r="X46" i="1"/>
  <c r="L89" i="1"/>
  <c r="E5" i="1"/>
  <c r="X48" i="1"/>
  <c r="X50" i="1"/>
  <c r="X52" i="1"/>
  <c r="X54" i="1"/>
  <c r="X57" i="1"/>
  <c r="X59" i="1"/>
  <c r="X61" i="1"/>
  <c r="X63" i="1"/>
  <c r="X65" i="1"/>
  <c r="X67" i="1"/>
  <c r="X69" i="1"/>
  <c r="X71" i="1"/>
  <c r="X73" i="1"/>
  <c r="X75" i="1"/>
  <c r="X77" i="1"/>
  <c r="X79" i="1"/>
  <c r="X81" i="1"/>
  <c r="X83" i="1"/>
  <c r="X85" i="1"/>
  <c r="X89" i="1"/>
  <c r="X90" i="1"/>
  <c r="X94" i="1"/>
  <c r="X96" i="1"/>
  <c r="X98" i="1"/>
  <c r="X106" i="1"/>
  <c r="X108" i="1"/>
  <c r="X110" i="1"/>
  <c r="X112" i="1"/>
  <c r="X114" i="1"/>
  <c r="X116" i="1"/>
  <c r="X118" i="1"/>
  <c r="X120" i="1"/>
  <c r="X128" i="1"/>
  <c r="AG36" i="1" l="1"/>
  <c r="W36" i="1"/>
  <c r="AG88" i="1"/>
  <c r="W88" i="1"/>
  <c r="AG65" i="1"/>
  <c r="W65" i="1"/>
  <c r="AG47" i="1"/>
  <c r="W47" i="1"/>
  <c r="AG23" i="1"/>
  <c r="W23" i="1"/>
  <c r="AG8" i="1"/>
  <c r="T5" i="1"/>
  <c r="W8" i="1"/>
  <c r="AG73" i="1"/>
  <c r="W73" i="1"/>
  <c r="AG58" i="1"/>
  <c r="W58" i="1"/>
  <c r="AG48" i="1"/>
  <c r="W48" i="1"/>
  <c r="AG43" i="1"/>
  <c r="W43" i="1"/>
  <c r="AG35" i="1"/>
  <c r="W35" i="1"/>
  <c r="AG16" i="1"/>
  <c r="W16" i="1"/>
  <c r="AG13" i="1"/>
  <c r="W13" i="1"/>
  <c r="AG117" i="1"/>
  <c r="W117" i="1"/>
  <c r="AG111" i="1"/>
  <c r="W111" i="1"/>
  <c r="AG87" i="1"/>
  <c r="W87" i="1"/>
  <c r="L5" i="1"/>
  <c r="X56" i="1"/>
  <c r="S5" i="1"/>
  <c r="R5" i="1"/>
  <c r="AG5" i="1" l="1"/>
</calcChain>
</file>

<file path=xl/sharedStrings.xml><?xml version="1.0" encoding="utf-8"?>
<sst xmlns="http://schemas.openxmlformats.org/spreadsheetml/2006/main" count="468" uniqueCount="180">
  <si>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</si>
  <si>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</si>
  <si>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</si>
  <si>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</si>
  <si>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</si>
  <si>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</si>
  <si>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</si>
  <si>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</si>
  <si>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</si>
  <si>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</si>
  <si>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</si>
  <si>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</si>
  <si>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</si>
  <si>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</si>
  <si>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</si>
  <si>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</si>
  <si>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</si>
  <si>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</si>
  <si>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</si>
  <si>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</si>
  <si>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</si>
  <si>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</si>
  <si>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</si>
  <si>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17,10,</t>
  </si>
  <si>
    <t>19,10,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</si>
  <si>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</si>
  <si>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</si>
  <si>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</si>
  <si>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</si>
  <si>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</si>
  <si>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</si>
  <si>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</si>
  <si>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</si>
  <si>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</si>
  <si>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</si>
  <si>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</si>
  <si>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</si>
  <si>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</si>
  <si>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</si>
  <si>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</si>
  <si>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</si>
  <si>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</si>
  <si>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</si>
  <si>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</si>
  <si>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</si>
  <si>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</si>
  <si>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</si>
  <si>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</si>
  <si>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</si>
  <si>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</si>
  <si>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</si>
  <si>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</si>
  <si>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</si>
  <si>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</si>
  <si>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</si>
  <si>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>не в матрице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</si>
  <si>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</si>
  <si>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</si>
  <si>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</si>
  <si>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</si>
  <si>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</si>
  <si>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</si>
  <si>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</si>
  <si>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</si>
  <si>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</si>
  <si>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</si>
  <si>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</si>
  <si>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</si>
  <si>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</si>
  <si>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</si>
  <si>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</si>
  <si>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</si>
  <si>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</si>
  <si>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</si>
  <si>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нужно увеличить продажи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</si>
  <si>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</si>
  <si>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</si>
  <si>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</si>
  <si>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</si>
  <si>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</si>
  <si>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</si>
  <si>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</si>
  <si>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</si>
  <si>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</si>
  <si>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</si>
  <si>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</si>
  <si>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</si>
  <si>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</si>
  <si>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</si>
  <si>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</si>
  <si>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18шт списано (10,10,26)</t>
  </si>
  <si>
    <t xml:space="preserve"> 329  Сардельки Сочинки с сыром Стародворье ТМ, 0,4 кг. ПОКОМ</t>
  </si>
  <si>
    <t>23шт списано (10,10,26)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</si>
  <si>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</si>
  <si>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</si>
  <si>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</si>
  <si>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</si>
  <si>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</si>
  <si>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</si>
  <si>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12шт списано (10,10,26)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</si>
  <si>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</si>
  <si>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</si>
  <si>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</si>
  <si>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</si>
  <si>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</si>
  <si>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</si>
  <si>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</si>
  <si>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</si>
  <si>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</si>
  <si>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</si>
  <si>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</si>
  <si>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</si>
  <si>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</si>
  <si>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</si>
  <si>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</si>
  <si>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</si>
  <si>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168кг списано (10,10,26)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</si>
  <si>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</si>
  <si>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</si>
  <si>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</si>
  <si>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</si>
  <si>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</si>
  <si>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</si>
  <si>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</si>
  <si>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441  Сосиски Сочинки ТМ Стародворье с сочной грудинкой 0,3 кг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</si>
  <si>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</si>
  <si>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</si>
  <si>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</si>
  <si>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</si>
  <si>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</si>
  <si>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</si>
  <si>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</si>
  <si>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</si>
  <si>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</si>
  <si>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</si>
  <si>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</si>
  <si>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</si>
  <si>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</si>
  <si>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</si>
  <si>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</si>
  <si>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</si>
  <si>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</si>
  <si>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</si>
  <si>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</si>
  <si>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</si>
  <si>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</si>
  <si>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</si>
  <si>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</si>
  <si>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</si>
  <si>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</si>
  <si>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</si>
  <si>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</si>
  <si>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</si>
  <si>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</si>
  <si>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</si>
  <si>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</si>
  <si>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</si>
  <si>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</si>
  <si>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</si>
  <si>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</si>
  <si>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</si>
  <si>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</si>
  <si>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</si>
  <si>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</si>
  <si>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</si>
  <si>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</si>
  <si>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</si>
  <si>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</si>
  <si>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</si>
  <si>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</si>
  <si>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</si>
  <si>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</si>
  <si>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</si>
  <si>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</si>
  <si>
    <t>ТК</t>
  </si>
  <si>
    <t>Боярко</t>
  </si>
  <si>
    <t>ТК ком</t>
  </si>
  <si>
    <t>дн</t>
  </si>
  <si>
    <t>заказ</t>
  </si>
  <si>
    <t>25,10,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</si>
</sst>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0,10,26%20&#1084;&#1083;&#1088;&#1089;&#1095;%20&#1087;&#1086;&#1082;%20&#1082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201026%20&#1084;&#1088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U1">
            <v>2.4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ср нов</v>
          </cell>
          <cell r="S3" t="str">
            <v>расчет</v>
          </cell>
        </row>
        <row r="4">
          <cell r="O4" t="str">
            <v>12,10,</v>
          </cell>
          <cell r="P4" t="str">
            <v>17,10,</v>
          </cell>
          <cell r="Q4" t="str">
            <v>19,10,</v>
          </cell>
          <cell r="R4" t="str">
            <v>20,10,</v>
          </cell>
        </row>
        <row r="5">
          <cell r="E5">
            <v>9153.3520000000008</v>
          </cell>
          <cell r="F5">
            <v>11251.516000000001</v>
          </cell>
          <cell r="K5">
            <v>11155.120000000003</v>
          </cell>
          <cell r="L5">
            <v>-2001.7679999999993</v>
          </cell>
          <cell r="M5">
            <v>0</v>
          </cell>
          <cell r="N5">
            <v>0</v>
          </cell>
          <cell r="O5">
            <v>6447.0335768743544</v>
          </cell>
          <cell r="P5">
            <v>3707.4575999999993</v>
          </cell>
          <cell r="Q5">
            <v>5791.0570702640744</v>
          </cell>
          <cell r="R5">
            <v>1830.6703999999993</v>
          </cell>
          <cell r="S5">
            <v>1987.4672</v>
          </cell>
          <cell r="T5">
            <v>4760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143.70500000000001</v>
          </cell>
          <cell r="D6">
            <v>51.225999999999999</v>
          </cell>
          <cell r="E6">
            <v>127.91500000000001</v>
          </cell>
          <cell r="F6">
            <v>58.996000000000002</v>
          </cell>
          <cell r="G6">
            <v>1</v>
          </cell>
          <cell r="H6">
            <v>50</v>
          </cell>
          <cell r="I6" t="str">
            <v>матрица</v>
          </cell>
          <cell r="K6">
            <v>140.19999999999999</v>
          </cell>
          <cell r="L6">
            <v>-12.284999999999982</v>
          </cell>
          <cell r="O6">
            <v>0</v>
          </cell>
          <cell r="P6">
            <v>69.116199999999949</v>
          </cell>
          <cell r="Q6">
            <v>150</v>
          </cell>
          <cell r="R6">
            <v>25.583000000000002</v>
          </cell>
          <cell r="S6">
            <v>10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333.291</v>
          </cell>
          <cell r="D7">
            <v>21.016999999999999</v>
          </cell>
          <cell r="E7">
            <v>109.77800000000001</v>
          </cell>
          <cell r="F7">
            <v>224.86699999999999</v>
          </cell>
          <cell r="G7">
            <v>1</v>
          </cell>
          <cell r="H7">
            <v>45</v>
          </cell>
          <cell r="I7" t="str">
            <v>матрица</v>
          </cell>
          <cell r="K7">
            <v>227.2</v>
          </cell>
          <cell r="L7">
            <v>-117.42199999999998</v>
          </cell>
          <cell r="O7">
            <v>0</v>
          </cell>
          <cell r="P7">
            <v>0</v>
          </cell>
          <cell r="Q7">
            <v>80</v>
          </cell>
          <cell r="R7">
            <v>21.9556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1.373</v>
          </cell>
          <cell r="D8">
            <v>232.797</v>
          </cell>
          <cell r="E8">
            <v>95.846999999999994</v>
          </cell>
          <cell r="F8">
            <v>126.816</v>
          </cell>
          <cell r="G8">
            <v>1</v>
          </cell>
          <cell r="H8">
            <v>45</v>
          </cell>
          <cell r="I8" t="str">
            <v>НЕДОГРУЗ / матрица</v>
          </cell>
          <cell r="K8">
            <v>118.6</v>
          </cell>
          <cell r="L8">
            <v>-22.753</v>
          </cell>
          <cell r="O8">
            <v>0</v>
          </cell>
          <cell r="P8">
            <v>0</v>
          </cell>
          <cell r="Q8">
            <v>70</v>
          </cell>
          <cell r="R8">
            <v>19.1694</v>
          </cell>
          <cell r="S8">
            <v>14.047399999999982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2</v>
          </cell>
          <cell r="D10">
            <v>328</v>
          </cell>
          <cell r="E10">
            <v>288</v>
          </cell>
          <cell r="F10">
            <v>14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324</v>
          </cell>
          <cell r="L10">
            <v>-36</v>
          </cell>
          <cell r="O10">
            <v>621.20000000000005</v>
          </cell>
          <cell r="P10">
            <v>0</v>
          </cell>
          <cell r="Q10">
            <v>0</v>
          </cell>
          <cell r="R10">
            <v>57.6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214</v>
          </cell>
          <cell r="D11">
            <v>578</v>
          </cell>
          <cell r="E11">
            <v>342</v>
          </cell>
          <cell r="F11">
            <v>431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373</v>
          </cell>
          <cell r="L11">
            <v>-31</v>
          </cell>
          <cell r="O11">
            <v>349.10705693664812</v>
          </cell>
          <cell r="P11">
            <v>0</v>
          </cell>
          <cell r="Q11">
            <v>13.092943063351809</v>
          </cell>
          <cell r="R11">
            <v>68.400000000000006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32</v>
          </cell>
          <cell r="D12">
            <v>3</v>
          </cell>
          <cell r="E12">
            <v>22</v>
          </cell>
          <cell r="F12">
            <v>10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28</v>
          </cell>
          <cell r="L12">
            <v>-6</v>
          </cell>
          <cell r="O12">
            <v>86</v>
          </cell>
          <cell r="P12">
            <v>92.6</v>
          </cell>
          <cell r="Q12">
            <v>100</v>
          </cell>
          <cell r="R12">
            <v>4.4000000000000004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14</v>
          </cell>
          <cell r="D13">
            <v>24</v>
          </cell>
          <cell r="E13">
            <v>18</v>
          </cell>
          <cell r="F13">
            <v>20</v>
          </cell>
          <cell r="G13">
            <v>0.3</v>
          </cell>
          <cell r="H13">
            <v>40</v>
          </cell>
          <cell r="I13" t="str">
            <v>матрица</v>
          </cell>
          <cell r="K13">
            <v>18</v>
          </cell>
          <cell r="L13">
            <v>0</v>
          </cell>
          <cell r="O13">
            <v>0</v>
          </cell>
          <cell r="P13">
            <v>0</v>
          </cell>
          <cell r="R13">
            <v>3.6</v>
          </cell>
          <cell r="S13">
            <v>19.600000000000001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99</v>
          </cell>
          <cell r="D14">
            <v>98</v>
          </cell>
          <cell r="E14">
            <v>62</v>
          </cell>
          <cell r="F14">
            <v>127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73</v>
          </cell>
          <cell r="L14">
            <v>-11</v>
          </cell>
          <cell r="O14">
            <v>47.799999999999947</v>
          </cell>
          <cell r="P14">
            <v>56.000000000000043</v>
          </cell>
          <cell r="Q14">
            <v>80</v>
          </cell>
          <cell r="R14">
            <v>12.4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255.291</v>
          </cell>
          <cell r="D15">
            <v>244.18199999999999</v>
          </cell>
          <cell r="E15">
            <v>327.77499999999998</v>
          </cell>
          <cell r="F15">
            <v>103.998</v>
          </cell>
          <cell r="G15">
            <v>1</v>
          </cell>
          <cell r="H15">
            <v>70</v>
          </cell>
          <cell r="I15" t="str">
            <v>матрица</v>
          </cell>
          <cell r="K15">
            <v>365.7</v>
          </cell>
          <cell r="L15">
            <v>-37.925000000000011</v>
          </cell>
          <cell r="O15">
            <v>0</v>
          </cell>
          <cell r="P15">
            <v>331.39580000000001</v>
          </cell>
          <cell r="Q15">
            <v>388.13079999999991</v>
          </cell>
          <cell r="R15">
            <v>65.554999999999993</v>
          </cell>
          <cell r="T15">
            <v>200</v>
          </cell>
          <cell r="U15" t="str">
            <v>Промо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912.13400000000001</v>
          </cell>
          <cell r="D16">
            <v>430.27</v>
          </cell>
          <cell r="E16">
            <v>758.52700000000004</v>
          </cell>
          <cell r="F16">
            <v>452.45499999999998</v>
          </cell>
          <cell r="G16">
            <v>1</v>
          </cell>
          <cell r="H16">
            <v>50</v>
          </cell>
          <cell r="I16" t="str">
            <v>матрица</v>
          </cell>
          <cell r="K16">
            <v>890.2</v>
          </cell>
          <cell r="L16">
            <v>-131.673</v>
          </cell>
          <cell r="O16">
            <v>370</v>
          </cell>
          <cell r="P16">
            <v>453.07699999999937</v>
          </cell>
          <cell r="R16">
            <v>151.7054</v>
          </cell>
          <cell r="S16">
            <v>393.22740000000061</v>
          </cell>
          <cell r="T16">
            <v>450</v>
          </cell>
          <cell r="U16" t="str">
            <v>Промо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4.5060000000000002</v>
          </cell>
          <cell r="D17">
            <v>133.94200000000001</v>
          </cell>
          <cell r="E17">
            <v>53.895000000000003</v>
          </cell>
          <cell r="F17">
            <v>77.667000000000002</v>
          </cell>
          <cell r="G17">
            <v>1</v>
          </cell>
          <cell r="H17">
            <v>60</v>
          </cell>
          <cell r="I17" t="str">
            <v>матрица</v>
          </cell>
          <cell r="K17">
            <v>57.6</v>
          </cell>
          <cell r="L17">
            <v>-3.7049999999999983</v>
          </cell>
          <cell r="O17">
            <v>0</v>
          </cell>
          <cell r="P17">
            <v>37.232800000000033</v>
          </cell>
          <cell r="Q17">
            <v>25.335799999999988</v>
          </cell>
          <cell r="R17">
            <v>10.779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21.844000000000001</v>
          </cell>
          <cell r="D18">
            <v>24.806999999999999</v>
          </cell>
          <cell r="E18">
            <v>41.328000000000003</v>
          </cell>
          <cell r="F18">
            <v>1.7669999999999999</v>
          </cell>
          <cell r="G18">
            <v>1</v>
          </cell>
          <cell r="H18">
            <v>60</v>
          </cell>
          <cell r="I18" t="str">
            <v>матрица</v>
          </cell>
          <cell r="K18">
            <v>42.5</v>
          </cell>
          <cell r="L18">
            <v>-1.171999999999997</v>
          </cell>
          <cell r="O18">
            <v>0</v>
          </cell>
          <cell r="P18">
            <v>48.356000000000002</v>
          </cell>
          <cell r="Q18">
            <v>37.507400000000018</v>
          </cell>
          <cell r="R18">
            <v>8.2656000000000009</v>
          </cell>
          <cell r="S18">
            <v>6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75.650000000000006</v>
          </cell>
          <cell r="D19">
            <v>0.35099999999999998</v>
          </cell>
          <cell r="E19">
            <v>5.242</v>
          </cell>
          <cell r="F19">
            <v>70.408000000000001</v>
          </cell>
          <cell r="G19">
            <v>1</v>
          </cell>
          <cell r="H19">
            <v>180</v>
          </cell>
          <cell r="I19" t="str">
            <v>матрица</v>
          </cell>
          <cell r="K19">
            <v>5.76</v>
          </cell>
          <cell r="L19">
            <v>-0.51799999999999979</v>
          </cell>
          <cell r="O19">
            <v>0</v>
          </cell>
          <cell r="P19">
            <v>0</v>
          </cell>
          <cell r="Q19">
            <v>0</v>
          </cell>
          <cell r="R19">
            <v>1.0484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342.26100000000002</v>
          </cell>
          <cell r="D20">
            <v>124.92100000000001</v>
          </cell>
          <cell r="E20">
            <v>255.28700000000001</v>
          </cell>
          <cell r="F20">
            <v>191.72399999999999</v>
          </cell>
          <cell r="G20">
            <v>1</v>
          </cell>
          <cell r="H20">
            <v>60</v>
          </cell>
          <cell r="I20" t="str">
            <v>матрица</v>
          </cell>
          <cell r="K20">
            <v>251.2</v>
          </cell>
          <cell r="L20">
            <v>4.0870000000000175</v>
          </cell>
          <cell r="O20">
            <v>48.014599999999973</v>
          </cell>
          <cell r="P20">
            <v>172.9212</v>
          </cell>
          <cell r="Q20">
            <v>194.69960000000009</v>
          </cell>
          <cell r="R20">
            <v>51.057400000000001</v>
          </cell>
          <cell r="T20">
            <v>200</v>
          </cell>
          <cell r="U20" t="str">
            <v>Промо</v>
          </cell>
        </row>
        <row r="21">
          <cell r="A21" t="str">
            <v xml:space="preserve"> 230  Колбаса Молочная Особая ТМ Особый рецепт, п/а, ВЕС. ПОКОМ</v>
          </cell>
          <cell r="B21" t="str">
            <v>кг</v>
          </cell>
          <cell r="E21">
            <v>2.4980000000000002</v>
          </cell>
          <cell r="F21">
            <v>-2.4980000000000002</v>
          </cell>
          <cell r="G21">
            <v>0</v>
          </cell>
          <cell r="I21" t="str">
            <v>не в матрице</v>
          </cell>
          <cell r="J21" t="str">
            <v xml:space="preserve"> 457  Колбаса Молочная ТМ Особый рецепт ВЕС большой батон  ПОКОМ</v>
          </cell>
          <cell r="K21">
            <v>2.5</v>
          </cell>
          <cell r="L21">
            <v>-1.9999999999997797E-3</v>
          </cell>
          <cell r="O21">
            <v>0</v>
          </cell>
          <cell r="P21">
            <v>0</v>
          </cell>
          <cell r="Q21">
            <v>0</v>
          </cell>
          <cell r="R21">
            <v>0.49960000000000004</v>
          </cell>
        </row>
        <row r="22">
          <cell r="A22" t="str">
            <v xml:space="preserve"> 236  Колбаса Рубленая ЗАПЕЧ. Дугушка ТМ Стародворье, вектор, в/к    ПОКОМ</v>
          </cell>
          <cell r="B22" t="str">
            <v>кг</v>
          </cell>
          <cell r="C22">
            <v>-4.7E-2</v>
          </cell>
          <cell r="D22">
            <v>218.017</v>
          </cell>
          <cell r="E22">
            <v>81.510000000000005</v>
          </cell>
          <cell r="F22">
            <v>131.19</v>
          </cell>
          <cell r="G22">
            <v>1</v>
          </cell>
          <cell r="H22">
            <v>70</v>
          </cell>
          <cell r="I22" t="str">
            <v>матрица</v>
          </cell>
          <cell r="K22">
            <v>85.2</v>
          </cell>
          <cell r="L22">
            <v>-3.6899999999999977</v>
          </cell>
          <cell r="O22">
            <v>56.230999999999973</v>
          </cell>
          <cell r="P22">
            <v>0</v>
          </cell>
          <cell r="Q22">
            <v>40</v>
          </cell>
          <cell r="R22">
            <v>16.302</v>
          </cell>
        </row>
        <row r="23">
          <cell r="A23" t="str">
            <v xml:space="preserve"> 239  Колбаса Салями запеч Дугушка, оболочка вектор, ВЕС, ТМ Стародворье  ПОКОМ</v>
          </cell>
          <cell r="B23" t="str">
            <v>кг</v>
          </cell>
          <cell r="C23">
            <v>31.038</v>
          </cell>
          <cell r="D23">
            <v>215.96</v>
          </cell>
          <cell r="E23">
            <v>192.268</v>
          </cell>
          <cell r="F23">
            <v>18.72</v>
          </cell>
          <cell r="G23">
            <v>1</v>
          </cell>
          <cell r="H23">
            <v>70</v>
          </cell>
          <cell r="I23" t="str">
            <v>матрица</v>
          </cell>
          <cell r="K23">
            <v>207.6</v>
          </cell>
          <cell r="L23">
            <v>-15.331999999999994</v>
          </cell>
          <cell r="O23">
            <v>0</v>
          </cell>
          <cell r="P23">
            <v>180.47939999999991</v>
          </cell>
          <cell r="Q23">
            <v>190</v>
          </cell>
          <cell r="R23">
            <v>38.453600000000002</v>
          </cell>
          <cell r="S23">
            <v>33.790200000000084</v>
          </cell>
          <cell r="T23">
            <v>300</v>
          </cell>
          <cell r="U23" t="str">
            <v>Промо</v>
          </cell>
        </row>
        <row r="24">
          <cell r="A24" t="str">
            <v xml:space="preserve"> 240  Колбаса Салями охотничья, ВЕС. ПОКОМ</v>
          </cell>
          <cell r="B24" t="str">
            <v>кг</v>
          </cell>
          <cell r="C24">
            <v>51.322000000000003</v>
          </cell>
          <cell r="D24">
            <v>10.685</v>
          </cell>
          <cell r="E24">
            <v>5.2560000000000002</v>
          </cell>
          <cell r="F24">
            <v>46.066000000000003</v>
          </cell>
          <cell r="G24">
            <v>1</v>
          </cell>
          <cell r="H24">
            <v>180</v>
          </cell>
          <cell r="I24" t="str">
            <v>матрица</v>
          </cell>
          <cell r="K24">
            <v>7.16</v>
          </cell>
          <cell r="L24">
            <v>-1.9039999999999999</v>
          </cell>
          <cell r="O24">
            <v>0</v>
          </cell>
          <cell r="P24">
            <v>0</v>
          </cell>
          <cell r="Q24">
            <v>0</v>
          </cell>
          <cell r="R24">
            <v>1.0512000000000001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B25" t="str">
            <v>кг</v>
          </cell>
          <cell r="C25">
            <v>63.424999999999997</v>
          </cell>
          <cell r="D25">
            <v>293.65699999999998</v>
          </cell>
          <cell r="E25">
            <v>170.09100000000001</v>
          </cell>
          <cell r="F25">
            <v>183.48</v>
          </cell>
          <cell r="G25">
            <v>1</v>
          </cell>
          <cell r="H25">
            <v>70</v>
          </cell>
          <cell r="I25" t="str">
            <v>матрица</v>
          </cell>
          <cell r="K25">
            <v>207</v>
          </cell>
          <cell r="L25">
            <v>-36.908999999999992</v>
          </cell>
          <cell r="O25">
            <v>36.160599999999988</v>
          </cell>
          <cell r="P25">
            <v>114.4234</v>
          </cell>
          <cell r="Q25">
            <v>180</v>
          </cell>
          <cell r="R25">
            <v>34.0182</v>
          </cell>
          <cell r="T25">
            <v>250</v>
          </cell>
          <cell r="U25" t="str">
            <v>Промо</v>
          </cell>
        </row>
        <row r="26">
          <cell r="A26" t="str">
            <v xml:space="preserve"> 244  Колбаса Сервелат Кремлевский, ВЕС. ПОКОМ</v>
          </cell>
          <cell r="B26" t="str">
            <v>кг</v>
          </cell>
          <cell r="G26">
            <v>0</v>
          </cell>
          <cell r="I26" t="str">
            <v>матрица</v>
          </cell>
          <cell r="L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 xml:space="preserve"> 247  Сардельки Нежные, ВЕС.  ПОКОМ</v>
          </cell>
          <cell r="B27" t="str">
            <v>кг</v>
          </cell>
          <cell r="C27">
            <v>10.682</v>
          </cell>
          <cell r="D27">
            <v>71.224999999999994</v>
          </cell>
          <cell r="E27">
            <v>5.3280000000000003</v>
          </cell>
          <cell r="F27">
            <v>73.927000000000007</v>
          </cell>
          <cell r="G27">
            <v>1</v>
          </cell>
          <cell r="I27" t="str">
            <v>матрица</v>
          </cell>
          <cell r="K27">
            <v>11.8</v>
          </cell>
          <cell r="L27">
            <v>-6.4720000000000004</v>
          </cell>
          <cell r="O27">
            <v>0</v>
          </cell>
          <cell r="P27">
            <v>0</v>
          </cell>
          <cell r="Q27">
            <v>0</v>
          </cell>
          <cell r="R27">
            <v>1.0656000000000001</v>
          </cell>
        </row>
        <row r="28">
          <cell r="A28" t="str">
            <v xml:space="preserve"> 248  Сардельки Сочные ТМ Особый рецепт,   ПОКОМ</v>
          </cell>
          <cell r="B28" t="str">
            <v>кг</v>
          </cell>
          <cell r="C28">
            <v>7.6820000000000004</v>
          </cell>
          <cell r="D28">
            <v>34.854999999999997</v>
          </cell>
          <cell r="E28">
            <v>6.1449999999999996</v>
          </cell>
          <cell r="F28">
            <v>34.854999999999997</v>
          </cell>
          <cell r="G28">
            <v>1</v>
          </cell>
          <cell r="H28">
            <v>40</v>
          </cell>
          <cell r="I28" t="str">
            <v>НЕДОГРУЗ / матрица</v>
          </cell>
          <cell r="K28">
            <v>10.4</v>
          </cell>
          <cell r="L28">
            <v>-4.2550000000000008</v>
          </cell>
          <cell r="O28">
            <v>0</v>
          </cell>
          <cell r="P28">
            <v>0</v>
          </cell>
          <cell r="Q28">
            <v>5.2621999999999991</v>
          </cell>
          <cell r="R28">
            <v>1.2289999999999999</v>
          </cell>
        </row>
        <row r="29">
          <cell r="A29" t="str">
            <v xml:space="preserve"> 250  Сардельки стародворские с говядиной в обол. NDX, ВЕС. ПОКОМ</v>
          </cell>
          <cell r="B29" t="str">
            <v>кг</v>
          </cell>
          <cell r="D29">
            <v>321.15600000000001</v>
          </cell>
          <cell r="E29">
            <v>64.066999999999993</v>
          </cell>
          <cell r="F29">
            <v>251.32400000000001</v>
          </cell>
          <cell r="G29">
            <v>1</v>
          </cell>
          <cell r="H29">
            <v>30</v>
          </cell>
          <cell r="I29" t="str">
            <v>НЕДОГРУЗ / матрица</v>
          </cell>
          <cell r="K29">
            <v>68.900000000000006</v>
          </cell>
          <cell r="L29">
            <v>-4.8330000000000126</v>
          </cell>
          <cell r="O29">
            <v>200</v>
          </cell>
          <cell r="P29">
            <v>0</v>
          </cell>
          <cell r="Q29">
            <v>0</v>
          </cell>
          <cell r="R29">
            <v>12.813399999999998</v>
          </cell>
        </row>
        <row r="30">
          <cell r="A30" t="str">
            <v xml:space="preserve"> 255  Сосиски Молочные для завтрака ТМ Особый рецепт, п/а МГС, ВЕС, ТМ Стародворье  ПОКОМ</v>
          </cell>
          <cell r="B30" t="str">
            <v>кг</v>
          </cell>
          <cell r="C30">
            <v>122.217</v>
          </cell>
          <cell r="D30">
            <v>482.33699999999999</v>
          </cell>
          <cell r="E30">
            <v>305.80099999999999</v>
          </cell>
          <cell r="F30">
            <v>174.64699999999999</v>
          </cell>
          <cell r="G30">
            <v>1</v>
          </cell>
          <cell r="H30">
            <v>40</v>
          </cell>
          <cell r="I30" t="str">
            <v>матрица</v>
          </cell>
          <cell r="K30">
            <v>336</v>
          </cell>
          <cell r="L30">
            <v>-30.199000000000012</v>
          </cell>
          <cell r="O30">
            <v>0</v>
          </cell>
          <cell r="P30">
            <v>293.26580000000001</v>
          </cell>
          <cell r="Q30">
            <v>245.71860000000009</v>
          </cell>
          <cell r="R30">
            <v>61.160199999999996</v>
          </cell>
        </row>
        <row r="31">
          <cell r="A31" t="str">
            <v xml:space="preserve"> 257  Сосиски Молочные оригинальные ТМ Особый рецепт, ВЕС.   ПОКОМ</v>
          </cell>
          <cell r="B31" t="str">
            <v>кг</v>
          </cell>
          <cell r="C31">
            <v>31.808</v>
          </cell>
          <cell r="D31">
            <v>18.940000000000001</v>
          </cell>
          <cell r="F31">
            <v>47.828000000000003</v>
          </cell>
          <cell r="G31">
            <v>1</v>
          </cell>
          <cell r="H31">
            <v>40</v>
          </cell>
          <cell r="I31" t="str">
            <v>матрица</v>
          </cell>
          <cell r="K31">
            <v>3.8</v>
          </cell>
          <cell r="L31">
            <v>-3.8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 xml:space="preserve"> 263  Шпикачки Стародворские, ВЕС.  ПОКОМ</v>
          </cell>
          <cell r="B32" t="str">
            <v>кг</v>
          </cell>
          <cell r="C32">
            <v>39.335999999999999</v>
          </cell>
          <cell r="D32">
            <v>1.3460000000000001</v>
          </cell>
          <cell r="F32">
            <v>39.335999999999999</v>
          </cell>
          <cell r="G32">
            <v>1</v>
          </cell>
          <cell r="H32">
            <v>30</v>
          </cell>
          <cell r="I32" t="str">
            <v>НЕДОГРУЗ / матрица</v>
          </cell>
          <cell r="K32">
            <v>6.5</v>
          </cell>
          <cell r="L32">
            <v>-6.5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 xml:space="preserve"> 265  Колбаса Балыкбургская, ВЕС, ТМ Баварушка  ПОКОМ</v>
          </cell>
          <cell r="B33" t="str">
            <v>кг</v>
          </cell>
          <cell r="C33">
            <v>195.81800000000001</v>
          </cell>
          <cell r="E33">
            <v>8.1929999999999996</v>
          </cell>
          <cell r="F33">
            <v>187.625</v>
          </cell>
          <cell r="G33">
            <v>1</v>
          </cell>
          <cell r="H33">
            <v>50</v>
          </cell>
          <cell r="I33" t="str">
            <v>матрица</v>
          </cell>
          <cell r="K33">
            <v>7.5</v>
          </cell>
          <cell r="L33">
            <v>0.69299999999999962</v>
          </cell>
          <cell r="O33">
            <v>0</v>
          </cell>
          <cell r="P33">
            <v>0</v>
          </cell>
          <cell r="Q33">
            <v>0</v>
          </cell>
          <cell r="R33">
            <v>1.6385999999999998</v>
          </cell>
        </row>
        <row r="34">
          <cell r="A34" t="str">
            <v xml:space="preserve"> 267  Колбаса Салями Филейбургская зернистая, оболочка фиброуз, ВЕС, ТМ Баварушка  ПОКОМ</v>
          </cell>
          <cell r="B34" t="str">
            <v>кг</v>
          </cell>
          <cell r="C34">
            <v>83.135000000000005</v>
          </cell>
          <cell r="E34">
            <v>4.516</v>
          </cell>
          <cell r="F34">
            <v>78.619</v>
          </cell>
          <cell r="G34">
            <v>1</v>
          </cell>
          <cell r="H34">
            <v>50</v>
          </cell>
          <cell r="I34" t="str">
            <v>матрица</v>
          </cell>
          <cell r="K34">
            <v>4.2</v>
          </cell>
          <cell r="L34">
            <v>0.31599999999999984</v>
          </cell>
          <cell r="O34">
            <v>0</v>
          </cell>
          <cell r="P34">
            <v>0</v>
          </cell>
          <cell r="Q34">
            <v>0</v>
          </cell>
          <cell r="R34">
            <v>0.9032</v>
          </cell>
        </row>
        <row r="35">
          <cell r="A35" t="str">
            <v xml:space="preserve"> 273  Сосиски Сочинки с сочной грудинкой, МГС 0.4кг,   ПОКОМ</v>
          </cell>
          <cell r="B35" t="str">
            <v>шт</v>
          </cell>
          <cell r="C35">
            <v>-2</v>
          </cell>
          <cell r="D35">
            <v>963</v>
          </cell>
          <cell r="E35">
            <v>565</v>
          </cell>
          <cell r="F35">
            <v>226</v>
          </cell>
          <cell r="G35">
            <v>0.4</v>
          </cell>
          <cell r="H35">
            <v>45</v>
          </cell>
          <cell r="I35" t="str">
            <v>НЕДОГРУЗ / матрица</v>
          </cell>
          <cell r="K35">
            <v>754</v>
          </cell>
          <cell r="L35">
            <v>-189</v>
          </cell>
          <cell r="O35">
            <v>422.40000000000009</v>
          </cell>
          <cell r="P35">
            <v>0</v>
          </cell>
          <cell r="Q35">
            <v>7</v>
          </cell>
          <cell r="R35">
            <v>113</v>
          </cell>
          <cell r="S35">
            <v>587.59999999999991</v>
          </cell>
        </row>
        <row r="36">
          <cell r="A36" t="str">
            <v xml:space="preserve"> 276  Колбаса Сливушка ТМ Вязанка в оболочке полиамид 0,45 кг  ПОКОМ</v>
          </cell>
          <cell r="B36" t="str">
            <v>шт</v>
          </cell>
          <cell r="C36">
            <v>166</v>
          </cell>
          <cell r="D36">
            <v>148</v>
          </cell>
          <cell r="E36">
            <v>162</v>
          </cell>
          <cell r="F36">
            <v>134</v>
          </cell>
          <cell r="G36">
            <v>0.45</v>
          </cell>
          <cell r="H36">
            <v>50</v>
          </cell>
          <cell r="I36" t="str">
            <v>матрица</v>
          </cell>
          <cell r="K36">
            <v>183</v>
          </cell>
          <cell r="L36">
            <v>-21</v>
          </cell>
          <cell r="O36">
            <v>151.4</v>
          </cell>
          <cell r="P36">
            <v>30</v>
          </cell>
          <cell r="Q36">
            <v>14.599999999999991</v>
          </cell>
          <cell r="R36">
            <v>32.4</v>
          </cell>
          <cell r="S36">
            <v>26.400000000000006</v>
          </cell>
        </row>
        <row r="37">
          <cell r="A37" t="str">
            <v xml:space="preserve"> 278  Сосиски Сочинки с сочным окороком, МГС 0.4кг,   ПОКОМ</v>
          </cell>
          <cell r="B37" t="str">
            <v>шт</v>
          </cell>
          <cell r="C37">
            <v>3</v>
          </cell>
          <cell r="D37">
            <v>553</v>
          </cell>
          <cell r="E37">
            <v>296</v>
          </cell>
          <cell r="F37">
            <v>211</v>
          </cell>
          <cell r="G37">
            <v>0.4</v>
          </cell>
          <cell r="H37">
            <v>45</v>
          </cell>
          <cell r="I37" t="str">
            <v>матрица</v>
          </cell>
          <cell r="K37">
            <v>355</v>
          </cell>
          <cell r="L37">
            <v>-59</v>
          </cell>
          <cell r="O37">
            <v>56</v>
          </cell>
          <cell r="P37">
            <v>100</v>
          </cell>
          <cell r="Q37">
            <v>287</v>
          </cell>
          <cell r="R37">
            <v>59.2</v>
          </cell>
          <cell r="T37">
            <v>360</v>
          </cell>
          <cell r="U37" t="str">
            <v>Промо</v>
          </cell>
        </row>
        <row r="38">
          <cell r="A38" t="str">
            <v xml:space="preserve"> 281  Сосиски Молочные для завтрака ТМ Особый рецепт, 0,4кг  ПОКОМ</v>
          </cell>
          <cell r="B38" t="str">
            <v>шт</v>
          </cell>
          <cell r="C38">
            <v>49</v>
          </cell>
          <cell r="D38">
            <v>150</v>
          </cell>
          <cell r="E38">
            <v>40</v>
          </cell>
          <cell r="F38">
            <v>153</v>
          </cell>
          <cell r="G38">
            <v>0.4</v>
          </cell>
          <cell r="H38">
            <v>40</v>
          </cell>
          <cell r="I38" t="str">
            <v>матрица</v>
          </cell>
          <cell r="K38">
            <v>49</v>
          </cell>
          <cell r="L38">
            <v>-9</v>
          </cell>
          <cell r="O38">
            <v>45.799999999999983</v>
          </cell>
          <cell r="P38">
            <v>0</v>
          </cell>
          <cell r="Q38">
            <v>0</v>
          </cell>
          <cell r="R38">
            <v>8</v>
          </cell>
        </row>
        <row r="39">
          <cell r="A39" t="str">
            <v xml:space="preserve"> 283  Сосиски Сочинки, ВЕС, ТМ Стародворье ПОКОМ</v>
          </cell>
          <cell r="B39" t="str">
            <v>кг</v>
          </cell>
          <cell r="C39">
            <v>55.243000000000002</v>
          </cell>
          <cell r="E39">
            <v>1.419</v>
          </cell>
          <cell r="F39">
            <v>53.823999999999998</v>
          </cell>
          <cell r="G39">
            <v>1</v>
          </cell>
          <cell r="H39">
            <v>45</v>
          </cell>
          <cell r="I39" t="str">
            <v>НЕДОГРУЗ / матрица</v>
          </cell>
          <cell r="K39">
            <v>1.3</v>
          </cell>
          <cell r="L39">
            <v>0.11899999999999999</v>
          </cell>
          <cell r="O39">
            <v>0</v>
          </cell>
          <cell r="P39">
            <v>0</v>
          </cell>
          <cell r="Q39">
            <v>0</v>
          </cell>
          <cell r="R39">
            <v>0.2838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B40" t="str">
            <v>шт</v>
          </cell>
          <cell r="C40">
            <v>303</v>
          </cell>
          <cell r="D40">
            <v>3</v>
          </cell>
          <cell r="E40">
            <v>69</v>
          </cell>
          <cell r="F40">
            <v>234</v>
          </cell>
          <cell r="G40">
            <v>0.1</v>
          </cell>
          <cell r="H40">
            <v>731</v>
          </cell>
          <cell r="I40" t="str">
            <v>матрица</v>
          </cell>
          <cell r="K40">
            <v>80</v>
          </cell>
          <cell r="L40">
            <v>-11</v>
          </cell>
          <cell r="O40">
            <v>0</v>
          </cell>
          <cell r="P40">
            <v>0</v>
          </cell>
          <cell r="Q40">
            <v>0</v>
          </cell>
          <cell r="R40">
            <v>13.8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B41" t="str">
            <v>шт</v>
          </cell>
          <cell r="C41">
            <v>3</v>
          </cell>
          <cell r="D41">
            <v>196</v>
          </cell>
          <cell r="E41">
            <v>9</v>
          </cell>
          <cell r="F41">
            <v>186</v>
          </cell>
          <cell r="G41">
            <v>0.35</v>
          </cell>
          <cell r="H41">
            <v>40</v>
          </cell>
          <cell r="I41" t="str">
            <v>НЕДОГРУЗ / матрица</v>
          </cell>
          <cell r="K41">
            <v>13</v>
          </cell>
          <cell r="L41">
            <v>-4</v>
          </cell>
          <cell r="O41">
            <v>100</v>
          </cell>
          <cell r="P41">
            <v>0</v>
          </cell>
          <cell r="Q41">
            <v>20</v>
          </cell>
          <cell r="R41">
            <v>1.8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B42" t="str">
            <v>кг</v>
          </cell>
          <cell r="C42">
            <v>50.926000000000002</v>
          </cell>
          <cell r="D42">
            <v>48.421999999999997</v>
          </cell>
          <cell r="E42">
            <v>33.670999999999999</v>
          </cell>
          <cell r="F42">
            <v>63.488</v>
          </cell>
          <cell r="G42">
            <v>1</v>
          </cell>
          <cell r="H42">
            <v>40</v>
          </cell>
          <cell r="I42" t="str">
            <v>матрица</v>
          </cell>
          <cell r="K42">
            <v>37.799999999999997</v>
          </cell>
          <cell r="L42">
            <v>-4.1289999999999978</v>
          </cell>
          <cell r="O42">
            <v>50</v>
          </cell>
          <cell r="P42">
            <v>0</v>
          </cell>
          <cell r="Q42">
            <v>40</v>
          </cell>
          <cell r="R42">
            <v>6.7341999999999995</v>
          </cell>
          <cell r="T42">
            <v>90</v>
          </cell>
          <cell r="U42" t="str">
            <v>Есть потребность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B43" t="str">
            <v>шт</v>
          </cell>
          <cell r="C43">
            <v>1</v>
          </cell>
          <cell r="D43">
            <v>168</v>
          </cell>
          <cell r="E43">
            <v>146</v>
          </cell>
          <cell r="F43">
            <v>5</v>
          </cell>
          <cell r="G43">
            <v>0.4</v>
          </cell>
          <cell r="H43">
            <v>40</v>
          </cell>
          <cell r="I43" t="str">
            <v>НЕДОГРУЗ / матрица</v>
          </cell>
          <cell r="K43">
            <v>205</v>
          </cell>
          <cell r="L43">
            <v>-59</v>
          </cell>
          <cell r="O43">
            <v>73.399999999999977</v>
          </cell>
          <cell r="P43">
            <v>40</v>
          </cell>
          <cell r="Q43">
            <v>179.60000000000011</v>
          </cell>
          <cell r="R43">
            <v>29.2</v>
          </cell>
          <cell r="S43">
            <v>23.199999999999903</v>
          </cell>
        </row>
        <row r="44">
          <cell r="A44" t="str">
            <v xml:space="preserve"> 302  Сосиски Сочинки по-баварски,  0.4кг, ТМ Стародворье  ПОКОМ</v>
          </cell>
          <cell r="B44" t="str">
            <v>шт</v>
          </cell>
          <cell r="C44">
            <v>3</v>
          </cell>
          <cell r="D44">
            <v>24</v>
          </cell>
          <cell r="E44">
            <v>32</v>
          </cell>
          <cell r="F44">
            <v>-5</v>
          </cell>
          <cell r="G44">
            <v>0.4</v>
          </cell>
          <cell r="H44">
            <v>45</v>
          </cell>
          <cell r="I44" t="str">
            <v>НЕДОГРУЗ / матрица</v>
          </cell>
          <cell r="K44">
            <v>57</v>
          </cell>
          <cell r="L44">
            <v>-25</v>
          </cell>
          <cell r="O44">
            <v>319.8</v>
          </cell>
          <cell r="P44">
            <v>92.8</v>
          </cell>
          <cell r="Q44">
            <v>0</v>
          </cell>
          <cell r="R44">
            <v>6.4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B45" t="str">
            <v>кг</v>
          </cell>
          <cell r="C45">
            <v>24.593</v>
          </cell>
          <cell r="D45">
            <v>181.78899999999999</v>
          </cell>
          <cell r="E45">
            <v>67.998000000000005</v>
          </cell>
          <cell r="F45">
            <v>135.30699999999999</v>
          </cell>
          <cell r="G45">
            <v>1</v>
          </cell>
          <cell r="H45">
            <v>40</v>
          </cell>
          <cell r="I45" t="str">
            <v>НЕДОГРУЗ / матрица</v>
          </cell>
          <cell r="K45">
            <v>74.599999999999994</v>
          </cell>
          <cell r="L45">
            <v>-6.6019999999999897</v>
          </cell>
          <cell r="O45">
            <v>0</v>
          </cell>
          <cell r="P45">
            <v>0</v>
          </cell>
          <cell r="Q45">
            <v>70</v>
          </cell>
          <cell r="R45">
            <v>13.599600000000001</v>
          </cell>
          <cell r="T45">
            <v>70</v>
          </cell>
          <cell r="U45" t="str">
            <v>Есть потребность</v>
          </cell>
        </row>
        <row r="46">
          <cell r="A46" t="str">
            <v xml:space="preserve"> 307  Колбаса Сервелат Мясорубский с мелкорубленным окороком 0,35 кг срез ТМ Стародворье   Поком</v>
          </cell>
          <cell r="B46" t="str">
            <v>шт</v>
          </cell>
          <cell r="D46">
            <v>256</v>
          </cell>
          <cell r="E46">
            <v>64</v>
          </cell>
          <cell r="F46">
            <v>188</v>
          </cell>
          <cell r="G46">
            <v>0.35</v>
          </cell>
          <cell r="H46">
            <v>40</v>
          </cell>
          <cell r="I46" t="str">
            <v>НЕДОГРУЗ / матрица</v>
          </cell>
          <cell r="K46">
            <v>65</v>
          </cell>
          <cell r="L46">
            <v>-1</v>
          </cell>
          <cell r="O46">
            <v>100</v>
          </cell>
          <cell r="P46">
            <v>0</v>
          </cell>
          <cell r="Q46">
            <v>30</v>
          </cell>
          <cell r="R46">
            <v>12.8</v>
          </cell>
        </row>
        <row r="47">
          <cell r="A47" t="str">
            <v xml:space="preserve"> 309  Сосиски Сочинки с сыром 0,4 кг ТМ Стародворье  ПОКОМ</v>
          </cell>
          <cell r="B47" t="str">
            <v>шт</v>
          </cell>
          <cell r="C47">
            <v>14</v>
          </cell>
          <cell r="D47">
            <v>351</v>
          </cell>
          <cell r="E47">
            <v>150</v>
          </cell>
          <cell r="F47">
            <v>211</v>
          </cell>
          <cell r="G47">
            <v>0.4</v>
          </cell>
          <cell r="H47">
            <v>40</v>
          </cell>
          <cell r="I47" t="str">
            <v>матрица</v>
          </cell>
          <cell r="K47">
            <v>180</v>
          </cell>
          <cell r="L47">
            <v>-30</v>
          </cell>
          <cell r="O47">
            <v>63.799999999999983</v>
          </cell>
          <cell r="P47">
            <v>0</v>
          </cell>
          <cell r="Q47">
            <v>44.200000000000053</v>
          </cell>
          <cell r="R47">
            <v>30</v>
          </cell>
          <cell r="S47">
            <v>10.999999999999972</v>
          </cell>
          <cell r="T47">
            <v>150</v>
          </cell>
          <cell r="U47" t="str">
            <v>Есть потребность</v>
          </cell>
        </row>
        <row r="48">
          <cell r="A48" t="str">
            <v xml:space="preserve"> 312  Ветчина Филейская ВЕС ТМ  Вязанка ТС Столичная  ПОКОМ</v>
          </cell>
          <cell r="B48" t="str">
            <v>кг</v>
          </cell>
          <cell r="C48">
            <v>86.314999999999998</v>
          </cell>
          <cell r="D48">
            <v>12.032</v>
          </cell>
          <cell r="E48">
            <v>87.625</v>
          </cell>
          <cell r="F48">
            <v>-2.6459999999999999</v>
          </cell>
          <cell r="G48">
            <v>1</v>
          </cell>
          <cell r="H48">
            <v>50</v>
          </cell>
          <cell r="I48" t="str">
            <v>матрица</v>
          </cell>
          <cell r="K48">
            <v>93.4</v>
          </cell>
          <cell r="L48">
            <v>-5.7750000000000057</v>
          </cell>
          <cell r="O48">
            <v>57.009399999999999</v>
          </cell>
          <cell r="P48">
            <v>46.907199999999982</v>
          </cell>
          <cell r="Q48">
            <v>65.038999999999973</v>
          </cell>
          <cell r="R48">
            <v>17.524999999999999</v>
          </cell>
          <cell r="S48">
            <v>26.465400000000031</v>
          </cell>
        </row>
        <row r="49">
          <cell r="A49" t="str">
            <v xml:space="preserve"> 315  Колбаса вареная Молокуша ТМ Вязанка ВЕС, ПОКОМ</v>
          </cell>
          <cell r="B49" t="str">
            <v>кг</v>
          </cell>
          <cell r="D49">
            <v>342.19</v>
          </cell>
          <cell r="E49">
            <v>88.793999999999997</v>
          </cell>
          <cell r="F49">
            <v>246.62899999999999</v>
          </cell>
          <cell r="G49">
            <v>1</v>
          </cell>
          <cell r="H49">
            <v>50</v>
          </cell>
          <cell r="I49" t="str">
            <v>матрица</v>
          </cell>
          <cell r="K49">
            <v>88.6</v>
          </cell>
          <cell r="L49">
            <v>0.19400000000000261</v>
          </cell>
          <cell r="O49">
            <v>50</v>
          </cell>
          <cell r="P49">
            <v>0</v>
          </cell>
          <cell r="Q49">
            <v>60</v>
          </cell>
          <cell r="R49">
            <v>17.758800000000001</v>
          </cell>
        </row>
        <row r="50">
          <cell r="A50" t="str">
            <v xml:space="preserve"> 318  Сосиски Датские ТМ Зареченские, ВЕС  ПОКОМ</v>
          </cell>
          <cell r="B50" t="str">
            <v>кг</v>
          </cell>
          <cell r="C50">
            <v>125.419</v>
          </cell>
          <cell r="E50">
            <v>13.77</v>
          </cell>
          <cell r="F50">
            <v>110.252</v>
          </cell>
          <cell r="G50">
            <v>1</v>
          </cell>
          <cell r="H50">
            <v>45</v>
          </cell>
          <cell r="I50" t="str">
            <v>НЕДОГРУЗ / матрица</v>
          </cell>
          <cell r="K50">
            <v>11.7</v>
          </cell>
          <cell r="L50">
            <v>2.0700000000000003</v>
          </cell>
          <cell r="O50">
            <v>0</v>
          </cell>
          <cell r="P50">
            <v>0</v>
          </cell>
          <cell r="Q50">
            <v>0</v>
          </cell>
          <cell r="R50">
            <v>2.754</v>
          </cell>
        </row>
        <row r="51">
          <cell r="A51" t="str">
            <v xml:space="preserve"> 319  Колбаса вареная Филейская ТМ Вязанка ТС Классическая, 0,45 кг. ПОКОМ</v>
          </cell>
          <cell r="B51" t="str">
            <v>шт</v>
          </cell>
          <cell r="C51">
            <v>146</v>
          </cell>
          <cell r="D51">
            <v>7</v>
          </cell>
          <cell r="E51">
            <v>60</v>
          </cell>
          <cell r="F51">
            <v>86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74</v>
          </cell>
          <cell r="L51">
            <v>-14</v>
          </cell>
          <cell r="O51">
            <v>46.800000000000011</v>
          </cell>
          <cell r="P51">
            <v>34.799999999999997</v>
          </cell>
          <cell r="Q51">
            <v>54.600000000000023</v>
          </cell>
          <cell r="R51">
            <v>12</v>
          </cell>
        </row>
        <row r="52">
          <cell r="A52" t="str">
            <v xml:space="preserve"> 322  Колбаса вареная Молокуша 0,45кг ТМ Вязанка  ПОКОМ</v>
          </cell>
          <cell r="B52" t="str">
            <v>шт</v>
          </cell>
          <cell r="C52">
            <v>1</v>
          </cell>
          <cell r="D52">
            <v>210</v>
          </cell>
          <cell r="E52">
            <v>94</v>
          </cell>
          <cell r="F52">
            <v>107</v>
          </cell>
          <cell r="G52">
            <v>0.45</v>
          </cell>
          <cell r="H52">
            <v>50</v>
          </cell>
          <cell r="I52" t="str">
            <v>матрица</v>
          </cell>
          <cell r="K52">
            <v>105</v>
          </cell>
          <cell r="L52">
            <v>-11</v>
          </cell>
          <cell r="O52">
            <v>200</v>
          </cell>
          <cell r="P52">
            <v>0</v>
          </cell>
          <cell r="Q52">
            <v>0</v>
          </cell>
          <cell r="R52">
            <v>18.8</v>
          </cell>
        </row>
        <row r="53">
          <cell r="A53" t="str">
            <v xml:space="preserve"> 328  Сардельки Сочинки Стародворье ТМ  0,4 кг ПОКОМ</v>
          </cell>
          <cell r="B53" t="str">
            <v>шт</v>
          </cell>
          <cell r="D53">
            <v>48</v>
          </cell>
          <cell r="E53">
            <v>2</v>
          </cell>
          <cell r="F53">
            <v>46</v>
          </cell>
          <cell r="G53">
            <v>0.4</v>
          </cell>
          <cell r="H53">
            <v>40</v>
          </cell>
          <cell r="I53" t="str">
            <v>матрица</v>
          </cell>
          <cell r="K53">
            <v>4</v>
          </cell>
          <cell r="L53">
            <v>-2</v>
          </cell>
          <cell r="O53">
            <v>0</v>
          </cell>
          <cell r="P53">
            <v>0</v>
          </cell>
          <cell r="Q53">
            <v>0</v>
          </cell>
          <cell r="R53">
            <v>0.4</v>
          </cell>
        </row>
        <row r="54">
          <cell r="A54" t="str">
            <v xml:space="preserve"> 329  Сардельки Сочинки с сыром Стародворье ТМ, 0,4 кг. ПОКОМ</v>
          </cell>
          <cell r="B54" t="str">
            <v>шт</v>
          </cell>
          <cell r="C54">
            <v>1</v>
          </cell>
          <cell r="D54">
            <v>48</v>
          </cell>
          <cell r="E54">
            <v>2</v>
          </cell>
          <cell r="F54">
            <v>47</v>
          </cell>
          <cell r="G54">
            <v>0.4</v>
          </cell>
          <cell r="H54">
            <v>40</v>
          </cell>
          <cell r="I54" t="str">
            <v>матрица</v>
          </cell>
          <cell r="K54">
            <v>4</v>
          </cell>
          <cell r="L54">
            <v>-2</v>
          </cell>
          <cell r="O54">
            <v>0</v>
          </cell>
          <cell r="P54">
            <v>0</v>
          </cell>
          <cell r="Q54">
            <v>0</v>
          </cell>
          <cell r="R54">
            <v>0.4</v>
          </cell>
        </row>
        <row r="55">
          <cell r="A55" t="str">
            <v xml:space="preserve"> 330  Колбаса вареная Филейская ТМ Вязанка ТС Классическая ВЕС  ПОКОМ</v>
          </cell>
          <cell r="B55" t="str">
            <v>кг</v>
          </cell>
          <cell r="C55">
            <v>6.8010000000000002</v>
          </cell>
          <cell r="D55">
            <v>128.233</v>
          </cell>
          <cell r="E55">
            <v>35.118000000000002</v>
          </cell>
          <cell r="F55">
            <v>90.51</v>
          </cell>
          <cell r="G55">
            <v>1</v>
          </cell>
          <cell r="H55">
            <v>50</v>
          </cell>
          <cell r="I55" t="str">
            <v>матрица</v>
          </cell>
          <cell r="K55">
            <v>50.6</v>
          </cell>
          <cell r="L55">
            <v>-15.481999999999999</v>
          </cell>
          <cell r="O55">
            <v>100</v>
          </cell>
          <cell r="P55">
            <v>0</v>
          </cell>
          <cell r="Q55">
            <v>50</v>
          </cell>
          <cell r="R55">
            <v>7.0236000000000001</v>
          </cell>
        </row>
        <row r="56">
          <cell r="A56" t="str">
            <v xml:space="preserve"> 334  Паштет Любительский ТМ Стародворье ламистер 0,1 кг  ПОКОМ</v>
          </cell>
          <cell r="B56" t="str">
            <v>шт</v>
          </cell>
          <cell r="C56">
            <v>83</v>
          </cell>
          <cell r="D56">
            <v>204</v>
          </cell>
          <cell r="E56">
            <v>64</v>
          </cell>
          <cell r="F56">
            <v>219</v>
          </cell>
          <cell r="G56">
            <v>0.1</v>
          </cell>
          <cell r="H56">
            <v>731</v>
          </cell>
          <cell r="I56" t="str">
            <v>матрица</v>
          </cell>
          <cell r="K56">
            <v>61</v>
          </cell>
          <cell r="L56">
            <v>3</v>
          </cell>
          <cell r="O56">
            <v>0</v>
          </cell>
          <cell r="P56">
            <v>0</v>
          </cell>
          <cell r="Q56">
            <v>220</v>
          </cell>
          <cell r="R56">
            <v>12.8</v>
          </cell>
        </row>
        <row r="57">
          <cell r="A57" t="str">
            <v xml:space="preserve"> 335  Колбаса Сливушка ТМ Вязанка. ВЕС.  ПОКОМ </v>
          </cell>
          <cell r="B57" t="str">
            <v>кг</v>
          </cell>
          <cell r="C57">
            <v>6.0140000000000002</v>
          </cell>
          <cell r="D57">
            <v>163.256</v>
          </cell>
          <cell r="E57">
            <v>34.06</v>
          </cell>
          <cell r="F57">
            <v>123.027</v>
          </cell>
          <cell r="G57">
            <v>1</v>
          </cell>
          <cell r="H57">
            <v>50</v>
          </cell>
          <cell r="I57" t="str">
            <v>матрица</v>
          </cell>
          <cell r="K57">
            <v>81.900000000000006</v>
          </cell>
          <cell r="L57">
            <v>-47.84</v>
          </cell>
          <cell r="O57">
            <v>99.765399999999985</v>
          </cell>
          <cell r="P57">
            <v>72.455000000000013</v>
          </cell>
          <cell r="Q57">
            <v>0</v>
          </cell>
          <cell r="R57">
            <v>6.8120000000000003</v>
          </cell>
        </row>
        <row r="58">
          <cell r="A58" t="str">
            <v xml:space="preserve"> 336  Ветчина Сливушка с индейкой ТМ Вязанка. ВЕС  ПОКОМ</v>
          </cell>
          <cell r="B58" t="str">
            <v>кг</v>
          </cell>
          <cell r="C58">
            <v>4.0389999999999997</v>
          </cell>
          <cell r="D58">
            <v>10.891999999999999</v>
          </cell>
          <cell r="E58">
            <v>14.817</v>
          </cell>
          <cell r="F58">
            <v>0.114</v>
          </cell>
          <cell r="G58">
            <v>1</v>
          </cell>
          <cell r="H58">
            <v>55</v>
          </cell>
          <cell r="I58" t="str">
            <v>матрица</v>
          </cell>
          <cell r="K58">
            <v>14.3</v>
          </cell>
          <cell r="L58">
            <v>0.51699999999999946</v>
          </cell>
          <cell r="O58">
            <v>0</v>
          </cell>
          <cell r="P58">
            <v>14.5944</v>
          </cell>
          <cell r="Q58">
            <v>0</v>
          </cell>
          <cell r="R58">
            <v>2.9634</v>
          </cell>
          <cell r="S58">
            <v>17.888999999999999</v>
          </cell>
        </row>
        <row r="59">
          <cell r="A59" t="str">
            <v xml:space="preserve"> 338  Паштет печеночный с морковью ТМ Стародворье ламистер 0,1 кг.  ПОКОМ</v>
          </cell>
          <cell r="B59" t="str">
            <v>шт</v>
          </cell>
          <cell r="C59">
            <v>145</v>
          </cell>
          <cell r="D59">
            <v>63</v>
          </cell>
          <cell r="E59">
            <v>61</v>
          </cell>
          <cell r="F59">
            <v>144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73</v>
          </cell>
          <cell r="L59">
            <v>-12</v>
          </cell>
          <cell r="O59">
            <v>0</v>
          </cell>
          <cell r="P59">
            <v>0</v>
          </cell>
          <cell r="Q59">
            <v>220</v>
          </cell>
          <cell r="R59">
            <v>12.2</v>
          </cell>
        </row>
        <row r="60">
          <cell r="A60" t="str">
            <v xml:space="preserve"> 339  Колбаса вареная Филейская ТМ Вязанка ТС Классическая, 0,40 кг.  ПОКОМ</v>
          </cell>
          <cell r="B60" t="str">
            <v>шт</v>
          </cell>
          <cell r="D60">
            <v>10</v>
          </cell>
          <cell r="E60">
            <v>4</v>
          </cell>
          <cell r="F60">
            <v>6</v>
          </cell>
          <cell r="G60">
            <v>0.4</v>
          </cell>
          <cell r="H60">
            <v>50</v>
          </cell>
          <cell r="I60" t="str">
            <v>матрица</v>
          </cell>
          <cell r="K60">
            <v>4</v>
          </cell>
          <cell r="L60">
            <v>0</v>
          </cell>
          <cell r="O60">
            <v>0</v>
          </cell>
          <cell r="P60">
            <v>6</v>
          </cell>
          <cell r="Q60">
            <v>50</v>
          </cell>
          <cell r="R60">
            <v>0.8</v>
          </cell>
        </row>
        <row r="61">
          <cell r="A61" t="str">
            <v xml:space="preserve"> 340  Сосиски Сочинки Молочные ТМ Стародворье, ВЕС ПОКОМ</v>
          </cell>
          <cell r="B61" t="str">
            <v>кг</v>
          </cell>
          <cell r="C61">
            <v>49.253</v>
          </cell>
          <cell r="D61">
            <v>96.043000000000006</v>
          </cell>
          <cell r="E61">
            <v>25.274000000000001</v>
          </cell>
          <cell r="F61">
            <v>120.02200000000001</v>
          </cell>
          <cell r="G61">
            <v>1</v>
          </cell>
          <cell r="H61">
            <v>40</v>
          </cell>
          <cell r="I61" t="str">
            <v>НЕДОГРУЗ / матрица</v>
          </cell>
          <cell r="K61">
            <v>25.1</v>
          </cell>
          <cell r="L61">
            <v>0.17399999999999949</v>
          </cell>
          <cell r="O61">
            <v>0</v>
          </cell>
          <cell r="P61">
            <v>0</v>
          </cell>
          <cell r="Q61">
            <v>0</v>
          </cell>
          <cell r="R61">
            <v>5.0548000000000002</v>
          </cell>
        </row>
        <row r="62">
          <cell r="A62" t="str">
            <v xml:space="preserve"> 341 Сосиски Сочинки Сливочные ТМ Стародворье ВЕС ПОКОМ</v>
          </cell>
          <cell r="B62" t="str">
            <v>кг</v>
          </cell>
          <cell r="C62">
            <v>20.693999999999999</v>
          </cell>
          <cell r="D62">
            <v>57.362000000000002</v>
          </cell>
          <cell r="E62">
            <v>9.5380000000000003</v>
          </cell>
          <cell r="F62">
            <v>68.518000000000001</v>
          </cell>
          <cell r="G62">
            <v>1</v>
          </cell>
          <cell r="H62">
            <v>40</v>
          </cell>
          <cell r="I62" t="str">
            <v>матрица</v>
          </cell>
          <cell r="K62">
            <v>8.5</v>
          </cell>
          <cell r="L62">
            <v>1.0380000000000003</v>
          </cell>
          <cell r="O62">
            <v>0</v>
          </cell>
          <cell r="P62">
            <v>0</v>
          </cell>
          <cell r="Q62">
            <v>0</v>
          </cell>
          <cell r="R62">
            <v>1.9076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C63">
            <v>12</v>
          </cell>
          <cell r="D63">
            <v>325</v>
          </cell>
          <cell r="E63">
            <v>134</v>
          </cell>
          <cell r="F63">
            <v>180</v>
          </cell>
          <cell r="G63">
            <v>0.4</v>
          </cell>
          <cell r="H63">
            <v>40</v>
          </cell>
          <cell r="I63" t="str">
            <v>матрица</v>
          </cell>
          <cell r="K63">
            <v>212</v>
          </cell>
          <cell r="L63">
            <v>-78</v>
          </cell>
          <cell r="O63">
            <v>123</v>
          </cell>
          <cell r="P63">
            <v>131.19999999999979</v>
          </cell>
          <cell r="Q63">
            <v>75.064919941775969</v>
          </cell>
          <cell r="R63">
            <v>26.8</v>
          </cell>
          <cell r="T63">
            <v>350</v>
          </cell>
          <cell r="U63" t="str">
            <v>Есть потребность</v>
          </cell>
        </row>
        <row r="64">
          <cell r="A64" t="str">
            <v xml:space="preserve"> 343 Сосиски Сочинки Сливочные ТМ Стародворье  0,4 кг ПОКОМ</v>
          </cell>
          <cell r="B64" t="str">
            <v>шт</v>
          </cell>
          <cell r="C64">
            <v>-1</v>
          </cell>
          <cell r="D64">
            <v>107</v>
          </cell>
          <cell r="E64">
            <v>68</v>
          </cell>
          <cell r="F64">
            <v>34</v>
          </cell>
          <cell r="G64">
            <v>0.4</v>
          </cell>
          <cell r="H64">
            <v>40</v>
          </cell>
          <cell r="I64" t="str">
            <v>НЕДОГРУЗ / матрица</v>
          </cell>
          <cell r="K64">
            <v>77</v>
          </cell>
          <cell r="L64">
            <v>-9</v>
          </cell>
          <cell r="O64">
            <v>147.6</v>
          </cell>
          <cell r="P64">
            <v>0</v>
          </cell>
          <cell r="Q64">
            <v>0</v>
          </cell>
          <cell r="R64">
            <v>13.6</v>
          </cell>
          <cell r="T64">
            <v>350</v>
          </cell>
          <cell r="U64" t="str">
            <v>Есть потребность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D65">
            <v>120.98399999999999</v>
          </cell>
          <cell r="E65">
            <v>71.727000000000004</v>
          </cell>
          <cell r="F65">
            <v>42.588000000000001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77.2</v>
          </cell>
          <cell r="L65">
            <v>-5.472999999999999</v>
          </cell>
          <cell r="O65">
            <v>0</v>
          </cell>
          <cell r="P65">
            <v>0</v>
          </cell>
          <cell r="Q65">
            <v>60</v>
          </cell>
          <cell r="R65">
            <v>14.345400000000001</v>
          </cell>
          <cell r="S65">
            <v>55.211400000000019</v>
          </cell>
          <cell r="T65">
            <v>150</v>
          </cell>
          <cell r="U65" t="str">
            <v>Промо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D66">
            <v>236.44399999999999</v>
          </cell>
          <cell r="E66">
            <v>64.295000000000002</v>
          </cell>
          <cell r="F66">
            <v>161.26300000000001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85.9</v>
          </cell>
          <cell r="L66">
            <v>-21.605000000000004</v>
          </cell>
          <cell r="O66">
            <v>0</v>
          </cell>
          <cell r="P66">
            <v>0</v>
          </cell>
          <cell r="Q66">
            <v>50</v>
          </cell>
          <cell r="R66">
            <v>12.859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D67">
            <v>106.59699999999999</v>
          </cell>
          <cell r="E67">
            <v>83.328000000000003</v>
          </cell>
          <cell r="F67">
            <v>3.4550000000000001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87.5</v>
          </cell>
          <cell r="L67">
            <v>-4.171999999999997</v>
          </cell>
          <cell r="O67">
            <v>100</v>
          </cell>
          <cell r="P67">
            <v>0</v>
          </cell>
          <cell r="Q67">
            <v>100</v>
          </cell>
          <cell r="R67">
            <v>16.665600000000001</v>
          </cell>
          <cell r="T67">
            <v>150</v>
          </cell>
          <cell r="U67" t="str">
            <v>Промо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C68">
            <v>0.91200000000000003</v>
          </cell>
          <cell r="D68">
            <v>43.548999999999999</v>
          </cell>
          <cell r="E68">
            <v>7.234</v>
          </cell>
          <cell r="F68">
            <v>37.226999999999997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23.1</v>
          </cell>
          <cell r="L68">
            <v>-15.866000000000001</v>
          </cell>
          <cell r="O68">
            <v>60</v>
          </cell>
          <cell r="P68">
            <v>0</v>
          </cell>
          <cell r="Q68">
            <v>30</v>
          </cell>
          <cell r="R68">
            <v>1.4468000000000001</v>
          </cell>
          <cell r="T68">
            <v>70</v>
          </cell>
          <cell r="U68" t="str">
            <v>Есть потребность</v>
          </cell>
        </row>
        <row r="69">
          <cell r="A69" t="str">
            <v xml:space="preserve"> 364  Сардельки Филейские Вязанка ВЕС NDX ТМ Вязанка  ПОКОМ</v>
          </cell>
          <cell r="B69" t="str">
            <v>кг</v>
          </cell>
          <cell r="C69">
            <v>31.05</v>
          </cell>
          <cell r="D69">
            <v>129.602</v>
          </cell>
          <cell r="E69">
            <v>23.841999999999999</v>
          </cell>
          <cell r="F69">
            <v>134.21</v>
          </cell>
          <cell r="G69">
            <v>1</v>
          </cell>
          <cell r="H69">
            <v>30</v>
          </cell>
          <cell r="I69" t="str">
            <v>матрица</v>
          </cell>
          <cell r="K69">
            <v>25.7</v>
          </cell>
          <cell r="L69">
            <v>-1.8580000000000005</v>
          </cell>
          <cell r="O69">
            <v>0</v>
          </cell>
          <cell r="P69">
            <v>0</v>
          </cell>
          <cell r="Q69">
            <v>0</v>
          </cell>
          <cell r="R69">
            <v>4.7683999999999997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B70" t="str">
            <v>шт</v>
          </cell>
          <cell r="C70">
            <v>209</v>
          </cell>
          <cell r="D70">
            <v>6</v>
          </cell>
          <cell r="E70">
            <v>49</v>
          </cell>
          <cell r="F70">
            <v>160</v>
          </cell>
          <cell r="G70">
            <v>0.6</v>
          </cell>
          <cell r="H70">
            <v>60</v>
          </cell>
          <cell r="I70" t="str">
            <v>матрица</v>
          </cell>
          <cell r="K70">
            <v>70</v>
          </cell>
          <cell r="L70">
            <v>-21</v>
          </cell>
          <cell r="O70">
            <v>73</v>
          </cell>
          <cell r="P70">
            <v>0</v>
          </cell>
          <cell r="Q70">
            <v>0</v>
          </cell>
          <cell r="R70">
            <v>9.8000000000000007</v>
          </cell>
        </row>
        <row r="71">
          <cell r="A71" t="str">
            <v xml:space="preserve"> 377  Колбаса Молочная Дугушка 0,6кг ТМ Стародворье  ПОКОМ</v>
          </cell>
          <cell r="B71" t="str">
            <v>шт</v>
          </cell>
          <cell r="C71">
            <v>100</v>
          </cell>
          <cell r="D71">
            <v>15</v>
          </cell>
          <cell r="E71">
            <v>70</v>
          </cell>
          <cell r="F71">
            <v>33</v>
          </cell>
          <cell r="G71">
            <v>0.6</v>
          </cell>
          <cell r="H71">
            <v>60</v>
          </cell>
          <cell r="I71" t="str">
            <v>матрица</v>
          </cell>
          <cell r="K71">
            <v>105</v>
          </cell>
          <cell r="L71">
            <v>-35</v>
          </cell>
          <cell r="O71">
            <v>209.8</v>
          </cell>
          <cell r="P71">
            <v>64.599999999999994</v>
          </cell>
          <cell r="Q71">
            <v>0</v>
          </cell>
          <cell r="R71">
            <v>14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B72" t="str">
            <v>шт</v>
          </cell>
          <cell r="C72">
            <v>53</v>
          </cell>
          <cell r="D72">
            <v>4</v>
          </cell>
          <cell r="E72">
            <v>33</v>
          </cell>
          <cell r="F72">
            <v>18</v>
          </cell>
          <cell r="G72">
            <v>0.4</v>
          </cell>
          <cell r="H72">
            <v>90</v>
          </cell>
          <cell r="I72" t="str">
            <v>матрица</v>
          </cell>
          <cell r="K72">
            <v>36</v>
          </cell>
          <cell r="L72">
            <v>-3</v>
          </cell>
          <cell r="O72">
            <v>10.80000000000001</v>
          </cell>
          <cell r="P72">
            <v>66.199999999999989</v>
          </cell>
          <cell r="Q72">
            <v>50</v>
          </cell>
          <cell r="R72">
            <v>6.6</v>
          </cell>
        </row>
        <row r="73">
          <cell r="A73" t="str">
            <v xml:space="preserve"> 388  Сосиски Восточные Халяль ТМ Вязанка 0,33 кг АК. ПОКОМ</v>
          </cell>
          <cell r="B73" t="str">
            <v>шт</v>
          </cell>
          <cell r="C73">
            <v>121</v>
          </cell>
          <cell r="D73">
            <v>12</v>
          </cell>
          <cell r="E73">
            <v>74</v>
          </cell>
          <cell r="F73">
            <v>44</v>
          </cell>
          <cell r="G73">
            <v>0.33</v>
          </cell>
          <cell r="H73">
            <v>60</v>
          </cell>
          <cell r="I73" t="str">
            <v>НЕДОГРУЗ / матрица</v>
          </cell>
          <cell r="K73">
            <v>84</v>
          </cell>
          <cell r="L73">
            <v>-10</v>
          </cell>
          <cell r="O73">
            <v>0</v>
          </cell>
          <cell r="P73">
            <v>20</v>
          </cell>
          <cell r="Q73">
            <v>84</v>
          </cell>
          <cell r="R73">
            <v>14.8</v>
          </cell>
          <cell r="S73">
            <v>14.800000000000011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B74" t="str">
            <v>шт</v>
          </cell>
          <cell r="C74">
            <v>161</v>
          </cell>
          <cell r="D74">
            <v>8</v>
          </cell>
          <cell r="E74">
            <v>61</v>
          </cell>
          <cell r="F74">
            <v>100</v>
          </cell>
          <cell r="G74">
            <v>0.35</v>
          </cell>
          <cell r="H74">
            <v>90</v>
          </cell>
          <cell r="I74" t="str">
            <v>матрица</v>
          </cell>
          <cell r="K74">
            <v>84</v>
          </cell>
          <cell r="L74">
            <v>-23</v>
          </cell>
          <cell r="O74">
            <v>16.800000000000011</v>
          </cell>
          <cell r="P74">
            <v>0</v>
          </cell>
          <cell r="Q74">
            <v>57</v>
          </cell>
          <cell r="R74">
            <v>12.2</v>
          </cell>
        </row>
        <row r="75">
          <cell r="A75" t="str">
            <v xml:space="preserve"> 395  Колбаса Докторская ГОСТ ТМ Вязанка в оболочке полиамид 0,37 кг. ПОКОМ</v>
          </cell>
          <cell r="B75" t="str">
            <v>шт</v>
          </cell>
          <cell r="C75">
            <v>9</v>
          </cell>
          <cell r="D75">
            <v>7</v>
          </cell>
          <cell r="E75">
            <v>7</v>
          </cell>
          <cell r="F75">
            <v>2</v>
          </cell>
          <cell r="G75">
            <v>0.37</v>
          </cell>
          <cell r="I75" t="str">
            <v>матрица</v>
          </cell>
          <cell r="K75">
            <v>16</v>
          </cell>
          <cell r="L75">
            <v>-9</v>
          </cell>
          <cell r="O75">
            <v>0</v>
          </cell>
          <cell r="P75">
            <v>17</v>
          </cell>
          <cell r="Q75">
            <v>4</v>
          </cell>
          <cell r="R75">
            <v>1.4</v>
          </cell>
        </row>
        <row r="76">
          <cell r="A76" t="str">
            <v xml:space="preserve"> 397  Ветчина Дугушка ТМ Стародворье ТС Дугушка в полиамидной оболочке 0,6 кг. ПОКОМ</v>
          </cell>
          <cell r="B76" t="str">
            <v>шт</v>
          </cell>
          <cell r="C76">
            <v>34</v>
          </cell>
          <cell r="D76">
            <v>3</v>
          </cell>
          <cell r="E76">
            <v>52</v>
          </cell>
          <cell r="F76">
            <v>-15</v>
          </cell>
          <cell r="G76">
            <v>0.6</v>
          </cell>
          <cell r="H76">
            <v>70</v>
          </cell>
          <cell r="I76" t="str">
            <v>матрица</v>
          </cell>
          <cell r="K76">
            <v>55</v>
          </cell>
          <cell r="L76">
            <v>-3</v>
          </cell>
          <cell r="O76">
            <v>0</v>
          </cell>
          <cell r="P76">
            <v>100</v>
          </cell>
          <cell r="Q76">
            <v>106.4</v>
          </cell>
          <cell r="R76">
            <v>10.4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B77" t="str">
            <v>шт</v>
          </cell>
          <cell r="D77">
            <v>96</v>
          </cell>
          <cell r="E77">
            <v>18</v>
          </cell>
          <cell r="F77">
            <v>78</v>
          </cell>
          <cell r="G77">
            <v>0.33</v>
          </cell>
          <cell r="H77">
            <v>40</v>
          </cell>
          <cell r="I77" t="str">
            <v>матрица</v>
          </cell>
          <cell r="K77">
            <v>18</v>
          </cell>
          <cell r="L77">
            <v>0</v>
          </cell>
          <cell r="O77">
            <v>24.40000000000002</v>
          </cell>
          <cell r="P77">
            <v>0</v>
          </cell>
          <cell r="Q77">
            <v>60</v>
          </cell>
          <cell r="R77">
            <v>3.6</v>
          </cell>
        </row>
        <row r="78">
          <cell r="A78" t="str">
            <v xml:space="preserve"> 408  Ветчина Сливушка с индейкой ТМ Вязанка, 0,4кг  ПОКОМ</v>
          </cell>
          <cell r="B78" t="str">
            <v>шт</v>
          </cell>
          <cell r="C78">
            <v>35</v>
          </cell>
          <cell r="E78">
            <v>4</v>
          </cell>
          <cell r="F78">
            <v>31</v>
          </cell>
          <cell r="G78">
            <v>0.4</v>
          </cell>
          <cell r="H78">
            <v>55</v>
          </cell>
          <cell r="I78" t="str">
            <v>НЕДОГРУЗ / матрица</v>
          </cell>
          <cell r="K78">
            <v>5</v>
          </cell>
          <cell r="L78">
            <v>-1</v>
          </cell>
          <cell r="O78">
            <v>0</v>
          </cell>
          <cell r="P78">
            <v>0</v>
          </cell>
          <cell r="Q78">
            <v>0</v>
          </cell>
          <cell r="R78">
            <v>0.8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C79">
            <v>3</v>
          </cell>
          <cell r="E79">
            <v>3</v>
          </cell>
          <cell r="F79">
            <v>-1</v>
          </cell>
          <cell r="G79">
            <v>0.35</v>
          </cell>
          <cell r="H79">
            <v>40</v>
          </cell>
          <cell r="I79" t="str">
            <v>НЕДОГРУЗ / матрица</v>
          </cell>
          <cell r="K79">
            <v>4</v>
          </cell>
          <cell r="L79">
            <v>-1</v>
          </cell>
          <cell r="O79">
            <v>20.599999999999991</v>
          </cell>
          <cell r="P79">
            <v>38.800000000000011</v>
          </cell>
          <cell r="Q79">
            <v>0</v>
          </cell>
          <cell r="R79">
            <v>0.6</v>
          </cell>
          <cell r="T79">
            <v>70</v>
          </cell>
          <cell r="U79" t="str">
            <v>Есть потребность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4</v>
          </cell>
          <cell r="D80">
            <v>3</v>
          </cell>
          <cell r="E80">
            <v>4</v>
          </cell>
          <cell r="G80">
            <v>0.35</v>
          </cell>
          <cell r="H80">
            <v>45</v>
          </cell>
          <cell r="I80" t="str">
            <v>НЕДОГРУЗ / матрица</v>
          </cell>
          <cell r="K80">
            <v>16</v>
          </cell>
          <cell r="L80">
            <v>-12</v>
          </cell>
          <cell r="O80">
            <v>19.399999999999999</v>
          </cell>
          <cell r="P80">
            <v>23.4</v>
          </cell>
          <cell r="Q80">
            <v>0</v>
          </cell>
          <cell r="R80">
            <v>0.8</v>
          </cell>
          <cell r="T80">
            <v>100</v>
          </cell>
          <cell r="U80" t="str">
            <v>Есть потребность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G81">
            <v>0</v>
          </cell>
          <cell r="I81" t="str">
            <v>матрица</v>
          </cell>
          <cell r="L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A82" t="str">
            <v xml:space="preserve"> 433 Колбаса Стародворская со шпиком  в оболочке полиамид. ТМ Стародворье ВЕС ПОКОМ</v>
          </cell>
          <cell r="B82" t="str">
            <v>кг</v>
          </cell>
          <cell r="G82">
            <v>0</v>
          </cell>
          <cell r="I82" t="str">
            <v>матрица</v>
          </cell>
          <cell r="L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B83" t="str">
            <v>кг</v>
          </cell>
          <cell r="G83">
            <v>0</v>
          </cell>
          <cell r="I83" t="str">
            <v>матрица</v>
          </cell>
          <cell r="L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A84" t="str">
            <v xml:space="preserve"> 441  Сосиски Сочинки ТМ Стародворье с сочной грудинкой 0,3 кг ПОКОМ</v>
          </cell>
          <cell r="B84" t="str">
            <v>шт</v>
          </cell>
          <cell r="E84">
            <v>1</v>
          </cell>
          <cell r="F84">
            <v>-1</v>
          </cell>
          <cell r="G84">
            <v>0</v>
          </cell>
          <cell r="I84" t="str">
            <v>не в матрице</v>
          </cell>
          <cell r="K84">
            <v>1</v>
          </cell>
          <cell r="L84">
            <v>0</v>
          </cell>
          <cell r="R84">
            <v>0.2</v>
          </cell>
        </row>
        <row r="85">
          <cell r="A85" t="str">
            <v xml:space="preserve"> 449  Колбаса Дугушка Стародворская ВЕС ТС Дугушка ПОКОМ</v>
          </cell>
          <cell r="B85" t="str">
            <v>кг</v>
          </cell>
          <cell r="C85">
            <v>99.703000000000003</v>
          </cell>
          <cell r="D85">
            <v>103.11199999999999</v>
          </cell>
          <cell r="E85">
            <v>90.302999999999997</v>
          </cell>
          <cell r="F85">
            <v>106.527</v>
          </cell>
          <cell r="G85">
            <v>1</v>
          </cell>
          <cell r="H85">
            <v>60</v>
          </cell>
          <cell r="I85" t="str">
            <v>матрица</v>
          </cell>
          <cell r="K85">
            <v>88.4</v>
          </cell>
          <cell r="L85">
            <v>1.9029999999999916</v>
          </cell>
          <cell r="O85">
            <v>14.279800000000019</v>
          </cell>
          <cell r="P85">
            <v>112.5308</v>
          </cell>
          <cell r="Q85">
            <v>72.264999999999986</v>
          </cell>
          <cell r="R85">
            <v>18.060600000000001</v>
          </cell>
          <cell r="T85">
            <v>200</v>
          </cell>
          <cell r="U85" t="str">
            <v>Промо</v>
          </cell>
        </row>
        <row r="86">
          <cell r="A86" t="str">
            <v xml:space="preserve"> 451 Сосиски Филейские ТМ Вязанка в оболочке целлофан 0,3 кг. ПОКОМ</v>
          </cell>
          <cell r="B86" t="str">
            <v>шт</v>
          </cell>
          <cell r="G86">
            <v>0</v>
          </cell>
          <cell r="I86" t="str">
            <v>матрица</v>
          </cell>
          <cell r="L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B87" t="str">
            <v>кг</v>
          </cell>
          <cell r="C87">
            <v>754.64800000000002</v>
          </cell>
          <cell r="D87">
            <v>74.819999999999993</v>
          </cell>
          <cell r="E87">
            <v>514.17100000000005</v>
          </cell>
          <cell r="F87">
            <v>177.744</v>
          </cell>
          <cell r="G87">
            <v>1</v>
          </cell>
          <cell r="H87">
            <v>60</v>
          </cell>
          <cell r="I87" t="str">
            <v>матрица</v>
          </cell>
          <cell r="K87">
            <v>650</v>
          </cell>
          <cell r="L87">
            <v>-135.82899999999995</v>
          </cell>
          <cell r="O87">
            <v>56.636569399275572</v>
          </cell>
          <cell r="P87">
            <v>147.50800000000001</v>
          </cell>
          <cell r="Q87">
            <v>378.06543060072448</v>
          </cell>
          <cell r="R87">
            <v>102.83420000000001</v>
          </cell>
          <cell r="S87">
            <v>371.22219999999993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B88" t="str">
            <v>кг</v>
          </cell>
          <cell r="C88">
            <v>166.577</v>
          </cell>
          <cell r="D88">
            <v>504.76799999999997</v>
          </cell>
          <cell r="E88">
            <v>452.98099999999999</v>
          </cell>
          <cell r="F88">
            <v>128.74100000000001</v>
          </cell>
          <cell r="G88">
            <v>1</v>
          </cell>
          <cell r="H88">
            <v>60</v>
          </cell>
          <cell r="I88" t="str">
            <v>матрица</v>
          </cell>
          <cell r="K88">
            <v>601.70000000000005</v>
          </cell>
          <cell r="L88">
            <v>-148.71900000000005</v>
          </cell>
          <cell r="O88">
            <v>167.9470233417772</v>
          </cell>
          <cell r="P88">
            <v>181.9736000000002</v>
          </cell>
          <cell r="Q88">
            <v>284.73117665822252</v>
          </cell>
          <cell r="R88">
            <v>90.596199999999996</v>
          </cell>
          <cell r="S88">
            <v>233.16540000000001</v>
          </cell>
          <cell r="T88">
            <v>350</v>
          </cell>
          <cell r="U88" t="str">
            <v>Промо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B89" t="str">
            <v>кг</v>
          </cell>
          <cell r="C89">
            <v>5.2999999999999999E-2</v>
          </cell>
          <cell r="D89">
            <v>1165.03</v>
          </cell>
          <cell r="E89">
            <v>631.822</v>
          </cell>
          <cell r="F89">
            <v>470.63</v>
          </cell>
          <cell r="G89">
            <v>1</v>
          </cell>
          <cell r="H89">
            <v>60</v>
          </cell>
          <cell r="I89" t="str">
            <v>матрица</v>
          </cell>
          <cell r="K89">
            <v>702.2</v>
          </cell>
          <cell r="L89">
            <v>-70.378000000000043</v>
          </cell>
          <cell r="O89">
            <v>654.91039999999975</v>
          </cell>
          <cell r="P89">
            <v>357.83139999999997</v>
          </cell>
          <cell r="Q89">
            <v>0</v>
          </cell>
          <cell r="R89">
            <v>126.3644</v>
          </cell>
          <cell r="T89">
            <v>300</v>
          </cell>
          <cell r="U89" t="str">
            <v>Промо</v>
          </cell>
        </row>
        <row r="90">
          <cell r="A90" t="str">
            <v xml:space="preserve"> 460  Колбаса Стародворская Традиционная ВЕС ТМ Стародворье в оболочке полиамид. ПОКОМ</v>
          </cell>
          <cell r="B90" t="str">
            <v>кг</v>
          </cell>
          <cell r="G90">
            <v>0</v>
          </cell>
          <cell r="I90" t="str">
            <v>НЕДОГРУЗ / матрица</v>
          </cell>
          <cell r="L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A91" t="str">
            <v xml:space="preserve"> 498  Колбаса Сочинка рубленая с сочным окороком 0,3кг ТМ Стародворье  ПОКОМ</v>
          </cell>
          <cell r="B91" t="str">
            <v>шт</v>
          </cell>
          <cell r="D91">
            <v>156</v>
          </cell>
          <cell r="E91">
            <v>24</v>
          </cell>
          <cell r="F91">
            <v>132</v>
          </cell>
          <cell r="G91">
            <v>0.3</v>
          </cell>
          <cell r="H91">
            <v>40</v>
          </cell>
          <cell r="I91" t="str">
            <v>НЕДОГРУЗ / матрица</v>
          </cell>
          <cell r="K91">
            <v>33</v>
          </cell>
          <cell r="L91">
            <v>-9</v>
          </cell>
          <cell r="O91">
            <v>50</v>
          </cell>
          <cell r="P91">
            <v>0</v>
          </cell>
          <cell r="Q91">
            <v>0</v>
          </cell>
          <cell r="R91">
            <v>4.8</v>
          </cell>
        </row>
        <row r="92">
          <cell r="A92" t="str">
            <v xml:space="preserve"> 517  Сосиски С сыром ТМ Ядрена копоть 0,3кг  ПОКОМ</v>
          </cell>
          <cell r="B92" t="str">
            <v>шт</v>
          </cell>
          <cell r="G92">
            <v>0</v>
          </cell>
          <cell r="I92" t="str">
            <v>НЕДОГРУЗ / матрица</v>
          </cell>
          <cell r="L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A93" t="str">
            <v xml:space="preserve"> 523  Колбаса Сальчичон нарезка 0,07кг ТМ Стародворье  ПОКОМ </v>
          </cell>
          <cell r="B93" t="str">
            <v>шт</v>
          </cell>
          <cell r="D93">
            <v>147</v>
          </cell>
          <cell r="E93">
            <v>10</v>
          </cell>
          <cell r="F93">
            <v>133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13</v>
          </cell>
          <cell r="L93">
            <v>-3</v>
          </cell>
          <cell r="O93">
            <v>50</v>
          </cell>
          <cell r="P93">
            <v>0</v>
          </cell>
          <cell r="Q93">
            <v>20</v>
          </cell>
          <cell r="R93">
            <v>2</v>
          </cell>
        </row>
        <row r="94">
          <cell r="A94" t="str">
            <v xml:space="preserve"> 524  Колбаса Сервелат Ореховый нарезка 0,07кг ТМ Стародворье  ПОКОМ</v>
          </cell>
          <cell r="B94" t="str">
            <v>шт</v>
          </cell>
          <cell r="D94">
            <v>93</v>
          </cell>
          <cell r="E94">
            <v>19</v>
          </cell>
          <cell r="F94">
            <v>70</v>
          </cell>
          <cell r="G94">
            <v>7.0000000000000007E-2</v>
          </cell>
          <cell r="H94">
            <v>90</v>
          </cell>
          <cell r="I94" t="str">
            <v>НЕДОГРУЗ / матрица</v>
          </cell>
          <cell r="K94">
            <v>22</v>
          </cell>
          <cell r="L94">
            <v>-3</v>
          </cell>
          <cell r="O94">
            <v>50</v>
          </cell>
          <cell r="P94">
            <v>0</v>
          </cell>
          <cell r="Q94">
            <v>20</v>
          </cell>
          <cell r="R94">
            <v>3.8</v>
          </cell>
        </row>
        <row r="95">
          <cell r="A95" t="str">
            <v xml:space="preserve"> 525  Колбаса Фуэт нарезка 0,07кг ТМ Стародворье  ПОКОМ</v>
          </cell>
          <cell r="B95" t="str">
            <v>шт</v>
          </cell>
          <cell r="C95">
            <v>7</v>
          </cell>
          <cell r="D95">
            <v>94</v>
          </cell>
          <cell r="E95">
            <v>20</v>
          </cell>
          <cell r="F95">
            <v>76</v>
          </cell>
          <cell r="G95">
            <v>7.0000000000000007E-2</v>
          </cell>
          <cell r="H95">
            <v>90</v>
          </cell>
          <cell r="I95" t="str">
            <v>матрица</v>
          </cell>
          <cell r="K95">
            <v>25</v>
          </cell>
          <cell r="L95">
            <v>-5</v>
          </cell>
          <cell r="O95">
            <v>60</v>
          </cell>
          <cell r="P95">
            <v>0</v>
          </cell>
          <cell r="Q95">
            <v>30</v>
          </cell>
          <cell r="R95">
            <v>4</v>
          </cell>
        </row>
        <row r="96">
          <cell r="A96" t="str">
            <v xml:space="preserve"> 544  Сосиски Мясные для гриля ТС Ядрена копоть 0,3 кг  ПОКОМ</v>
          </cell>
          <cell r="B96" t="str">
            <v>шт</v>
          </cell>
          <cell r="C96">
            <v>8</v>
          </cell>
          <cell r="D96">
            <v>48</v>
          </cell>
          <cell r="E96">
            <v>21</v>
          </cell>
          <cell r="F96">
            <v>34</v>
          </cell>
          <cell r="G96">
            <v>0.3</v>
          </cell>
          <cell r="I96" t="str">
            <v>матрица</v>
          </cell>
          <cell r="K96">
            <v>21</v>
          </cell>
          <cell r="L96">
            <v>0</v>
          </cell>
          <cell r="O96">
            <v>16.599999999999991</v>
          </cell>
          <cell r="P96">
            <v>0</v>
          </cell>
          <cell r="Q96">
            <v>0</v>
          </cell>
          <cell r="R96">
            <v>4.2</v>
          </cell>
        </row>
        <row r="97">
          <cell r="A97" t="str">
            <v xml:space="preserve"> 551  Колбаса Сливушка ТМ Вязанка в модифицированной газовой среде 0,11 кг нарезка  ПОКОМ</v>
          </cell>
          <cell r="B97" t="str">
            <v>шт</v>
          </cell>
          <cell r="C97">
            <v>65</v>
          </cell>
          <cell r="E97">
            <v>-1</v>
          </cell>
          <cell r="F97">
            <v>65</v>
          </cell>
          <cell r="G97">
            <v>0.11</v>
          </cell>
          <cell r="H97">
            <v>30</v>
          </cell>
          <cell r="I97" t="str">
            <v>матрица</v>
          </cell>
          <cell r="K97">
            <v>50</v>
          </cell>
          <cell r="L97">
            <v>-51</v>
          </cell>
          <cell r="O97">
            <v>0</v>
          </cell>
          <cell r="P97">
            <v>0</v>
          </cell>
          <cell r="Q97">
            <v>0</v>
          </cell>
          <cell r="R97">
            <v>-0.2</v>
          </cell>
        </row>
        <row r="98">
          <cell r="A98" t="str">
            <v xml:space="preserve"> 552  Ветчина Сливушка с индейкой ТМ Вязанка в модифицированной газовой среде 0,1 кг нарезка  ПОКОМ</v>
          </cell>
          <cell r="B98" t="str">
            <v>шт</v>
          </cell>
          <cell r="G98">
            <v>0</v>
          </cell>
          <cell r="I98" t="str">
            <v>матрица</v>
          </cell>
          <cell r="L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A99" t="str">
            <v xml:space="preserve"> 553  Ассорти колбас Мясорубская коллекция: Сервелат Делюкс, С балыком 0,08 кг нарезка  ПОКОМ</v>
          </cell>
          <cell r="B99" t="str">
            <v>шт</v>
          </cell>
          <cell r="C99">
            <v>6</v>
          </cell>
          <cell r="D99">
            <v>86</v>
          </cell>
          <cell r="E99">
            <v>39</v>
          </cell>
          <cell r="F99">
            <v>48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54</v>
          </cell>
          <cell r="L99">
            <v>-15</v>
          </cell>
          <cell r="O99">
            <v>0</v>
          </cell>
          <cell r="P99">
            <v>57</v>
          </cell>
          <cell r="Q99">
            <v>80</v>
          </cell>
          <cell r="R99">
            <v>7.8</v>
          </cell>
        </row>
        <row r="100">
          <cell r="A100" t="str">
            <v xml:space="preserve"> 554  Колбаса Сервелат Мясорубский ТМ Стародворье в упаковке скин 0,08 кг нарезка  ПОКОМ</v>
          </cell>
          <cell r="B100" t="str">
            <v>шт</v>
          </cell>
          <cell r="C100">
            <v>-2</v>
          </cell>
          <cell r="D100">
            <v>71</v>
          </cell>
          <cell r="E100">
            <v>5</v>
          </cell>
          <cell r="F100">
            <v>62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7</v>
          </cell>
          <cell r="L100">
            <v>-2</v>
          </cell>
          <cell r="O100">
            <v>78.400000000000006</v>
          </cell>
          <cell r="P100">
            <v>0</v>
          </cell>
          <cell r="Q100">
            <v>20</v>
          </cell>
          <cell r="R100">
            <v>1</v>
          </cell>
        </row>
        <row r="101">
          <cell r="A101" t="str">
            <v xml:space="preserve"> 555  Колбаса Молокуша ТМ Вязанка в модифицированной газовой среде 0,17 кг нарезка  ПОКОМ</v>
          </cell>
          <cell r="B101" t="str">
            <v>шт</v>
          </cell>
          <cell r="C101">
            <v>31</v>
          </cell>
          <cell r="E101">
            <v>10</v>
          </cell>
          <cell r="F101">
            <v>21</v>
          </cell>
          <cell r="G101">
            <v>0.17</v>
          </cell>
          <cell r="H101">
            <v>30</v>
          </cell>
          <cell r="I101" t="str">
            <v>НЕДОГРУЗ / матрица</v>
          </cell>
          <cell r="K101">
            <v>10</v>
          </cell>
          <cell r="L101">
            <v>0</v>
          </cell>
          <cell r="O101">
            <v>0</v>
          </cell>
          <cell r="P101">
            <v>0</v>
          </cell>
          <cell r="Q101">
            <v>5.4000000000000021</v>
          </cell>
          <cell r="R101">
            <v>2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C102">
            <v>0.71399999999999997</v>
          </cell>
          <cell r="D102">
            <v>231.62799999999999</v>
          </cell>
          <cell r="E102">
            <v>58.176000000000002</v>
          </cell>
          <cell r="F102">
            <v>166.857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89.5</v>
          </cell>
          <cell r="L102">
            <v>-31.323999999999998</v>
          </cell>
          <cell r="O102">
            <v>40</v>
          </cell>
          <cell r="P102">
            <v>0</v>
          </cell>
          <cell r="Q102">
            <v>50</v>
          </cell>
          <cell r="R102">
            <v>11.635200000000001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94.54</v>
          </cell>
          <cell r="D103">
            <v>9.3889999999999993</v>
          </cell>
          <cell r="E103">
            <v>47.098999999999997</v>
          </cell>
          <cell r="F103">
            <v>48.86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65</v>
          </cell>
          <cell r="L103">
            <v>-17.901000000000003</v>
          </cell>
          <cell r="O103">
            <v>60</v>
          </cell>
          <cell r="P103">
            <v>0</v>
          </cell>
          <cell r="Q103">
            <v>70</v>
          </cell>
          <cell r="R103">
            <v>9.4197999999999986</v>
          </cell>
          <cell r="T103">
            <v>100</v>
          </cell>
          <cell r="U103" t="str">
            <v>Промо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D104">
            <v>72.411000000000001</v>
          </cell>
          <cell r="E104">
            <v>13.872999999999999</v>
          </cell>
          <cell r="F104">
            <v>57.814999999999998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22</v>
          </cell>
          <cell r="L104">
            <v>-8.1270000000000007</v>
          </cell>
          <cell r="O104">
            <v>80</v>
          </cell>
          <cell r="P104">
            <v>0</v>
          </cell>
          <cell r="Q104">
            <v>30</v>
          </cell>
          <cell r="R104">
            <v>2.7746</v>
          </cell>
          <cell r="T104">
            <v>50</v>
          </cell>
          <cell r="U104" t="str">
            <v>Промо</v>
          </cell>
        </row>
        <row r="105">
          <cell r="A105" t="str">
            <v xml:space="preserve"> 564  Сосиски Сочные 0,3 кг ТМ Вязанка  ПОКОМ</v>
          </cell>
          <cell r="B105" t="str">
            <v>шт</v>
          </cell>
          <cell r="G105">
            <v>0</v>
          </cell>
          <cell r="I105" t="str">
            <v>матрица</v>
          </cell>
          <cell r="L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A106" t="str">
            <v xml:space="preserve"> 569  Колбаса Балыковая ТМ Вязанка в оболочке фиброуз в вакуумной упаковке 0,28 кг срез.  ПОКОМ</v>
          </cell>
          <cell r="B106" t="str">
            <v>шт</v>
          </cell>
          <cell r="C106">
            <v>-1</v>
          </cell>
          <cell r="D106">
            <v>30</v>
          </cell>
          <cell r="E106">
            <v>8</v>
          </cell>
          <cell r="F106">
            <v>19</v>
          </cell>
          <cell r="G106">
            <v>0.28000000000000003</v>
          </cell>
          <cell r="H106">
            <v>40</v>
          </cell>
          <cell r="I106" t="str">
            <v>НЕДОГРУЗ / матрица</v>
          </cell>
          <cell r="K106">
            <v>13</v>
          </cell>
          <cell r="L106">
            <v>-5</v>
          </cell>
          <cell r="O106">
            <v>80</v>
          </cell>
          <cell r="P106">
            <v>0</v>
          </cell>
          <cell r="Q106">
            <v>30</v>
          </cell>
          <cell r="R106">
            <v>1.6</v>
          </cell>
        </row>
        <row r="107">
          <cell r="A107" t="str">
            <v xml:space="preserve"> 570  Колбаса Сервелат Финский ТМ Вязанка в оболочке фиброуз в вак. упаковке 0,28 кг срез  ПОКОМ</v>
          </cell>
          <cell r="B107" t="str">
            <v>шт</v>
          </cell>
          <cell r="C107">
            <v>41</v>
          </cell>
          <cell r="D107">
            <v>154</v>
          </cell>
          <cell r="E107">
            <v>56</v>
          </cell>
          <cell r="F107">
            <v>133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87</v>
          </cell>
          <cell r="L107">
            <v>-31</v>
          </cell>
          <cell r="O107">
            <v>0</v>
          </cell>
          <cell r="P107">
            <v>30</v>
          </cell>
          <cell r="Q107">
            <v>70</v>
          </cell>
          <cell r="R107">
            <v>11.2</v>
          </cell>
        </row>
        <row r="108">
          <cell r="A108" t="str">
            <v xml:space="preserve"> 571  Колбаса Сервелат Ореховый ТМ Вязанка в оболочке фиброуз в вак. упаковке 0,28 кг срез  ПОКОМ</v>
          </cell>
          <cell r="B108" t="str">
            <v>шт</v>
          </cell>
          <cell r="D108">
            <v>204</v>
          </cell>
          <cell r="E108">
            <v>20</v>
          </cell>
          <cell r="F108">
            <v>182</v>
          </cell>
          <cell r="G108">
            <v>0.28000000000000003</v>
          </cell>
          <cell r="H108">
            <v>40</v>
          </cell>
          <cell r="I108" t="str">
            <v>НЕДОГРУЗ / матрица</v>
          </cell>
          <cell r="K108">
            <v>65</v>
          </cell>
          <cell r="L108">
            <v>-45</v>
          </cell>
          <cell r="O108">
            <v>50</v>
          </cell>
          <cell r="P108">
            <v>0</v>
          </cell>
          <cell r="Q108">
            <v>60</v>
          </cell>
          <cell r="R108">
            <v>4</v>
          </cell>
        </row>
        <row r="109">
          <cell r="A109" t="str">
            <v xml:space="preserve"> 574  Колбаса Сервелат Финский ТМ Вязанка в упаковке скин 0,09 кг нарезка  ПОКОМ</v>
          </cell>
          <cell r="B109" t="str">
            <v>шт</v>
          </cell>
          <cell r="C109">
            <v>23</v>
          </cell>
          <cell r="D109">
            <v>31</v>
          </cell>
          <cell r="E109">
            <v>8</v>
          </cell>
          <cell r="F109">
            <v>45</v>
          </cell>
          <cell r="G109">
            <v>0.09</v>
          </cell>
          <cell r="H109">
            <v>45</v>
          </cell>
          <cell r="I109" t="str">
            <v>матрица</v>
          </cell>
          <cell r="K109">
            <v>9</v>
          </cell>
          <cell r="L109">
            <v>-1</v>
          </cell>
          <cell r="O109">
            <v>21.366527196652729</v>
          </cell>
          <cell r="P109">
            <v>0</v>
          </cell>
          <cell r="R109">
            <v>1.6</v>
          </cell>
        </row>
        <row r="110">
          <cell r="A110" t="str">
            <v xml:space="preserve"> 579  Колбаса Ветчинно-рубленая ТМ Особый рецепт в оболочке полиамид.ВЕС  ПОКОМ</v>
          </cell>
          <cell r="B110" t="str">
            <v>кг</v>
          </cell>
          <cell r="D110">
            <v>29.724</v>
          </cell>
          <cell r="E110">
            <v>4.4119999999999999</v>
          </cell>
          <cell r="F110">
            <v>24.73</v>
          </cell>
          <cell r="G110">
            <v>1</v>
          </cell>
          <cell r="H110">
            <v>60</v>
          </cell>
          <cell r="I110" t="str">
            <v>матрица</v>
          </cell>
          <cell r="K110">
            <v>37.5</v>
          </cell>
          <cell r="L110">
            <v>-33.088000000000001</v>
          </cell>
          <cell r="O110">
            <v>0</v>
          </cell>
          <cell r="P110">
            <v>0</v>
          </cell>
          <cell r="Q110">
            <v>0</v>
          </cell>
          <cell r="R110">
            <v>0.88239999999999996</v>
          </cell>
        </row>
        <row r="111">
          <cell r="A111" t="str">
            <v xml:space="preserve"> 580  Ветчина Нежная с индейкой ТМ Особый рецепт в оболочке полиамид.ВЕС  ПОКОМ</v>
          </cell>
          <cell r="B111" t="str">
            <v>кг</v>
          </cell>
          <cell r="C111">
            <v>37.374000000000002</v>
          </cell>
          <cell r="E111">
            <v>19.989000000000001</v>
          </cell>
          <cell r="F111">
            <v>17.385000000000002</v>
          </cell>
          <cell r="G111">
            <v>1</v>
          </cell>
          <cell r="H111">
            <v>50</v>
          </cell>
          <cell r="I111" t="str">
            <v>матрица</v>
          </cell>
          <cell r="K111">
            <v>20</v>
          </cell>
          <cell r="L111">
            <v>-1.0999999999999233E-2</v>
          </cell>
          <cell r="O111">
            <v>0</v>
          </cell>
          <cell r="P111">
            <v>0</v>
          </cell>
          <cell r="Q111">
            <v>3.534599999999998</v>
          </cell>
          <cell r="R111">
            <v>3.9978000000000002</v>
          </cell>
          <cell r="S111">
            <v>23.0562</v>
          </cell>
        </row>
        <row r="112">
          <cell r="A112" t="str">
            <v xml:space="preserve"> 583  Колбаса Балыковая ТМ Вязанка в упаковке скин 0,09 кг нарезка  ПОКОМ</v>
          </cell>
          <cell r="B112" t="str">
            <v>шт</v>
          </cell>
          <cell r="D112">
            <v>20</v>
          </cell>
          <cell r="E112">
            <v>1</v>
          </cell>
          <cell r="F112">
            <v>19</v>
          </cell>
          <cell r="G112">
            <v>0.09</v>
          </cell>
          <cell r="H112">
            <v>45</v>
          </cell>
          <cell r="I112" t="str">
            <v>НЕДОГРУЗ / матрица</v>
          </cell>
          <cell r="K112">
            <v>21</v>
          </cell>
          <cell r="L112">
            <v>-20</v>
          </cell>
          <cell r="O112">
            <v>35</v>
          </cell>
          <cell r="P112">
            <v>14.79999999999999</v>
          </cell>
          <cell r="Q112">
            <v>0</v>
          </cell>
          <cell r="R112">
            <v>0.2</v>
          </cell>
        </row>
        <row r="113">
          <cell r="A113" t="str">
            <v xml:space="preserve"> 584  Колбаса Сервелат Ореховый ТМ Вязанка в упаковке скин 0,09 кг нарезка  ПОКОМ</v>
          </cell>
          <cell r="B113" t="str">
            <v>шт</v>
          </cell>
          <cell r="D113">
            <v>50</v>
          </cell>
          <cell r="E113">
            <v>1</v>
          </cell>
          <cell r="F113">
            <v>49</v>
          </cell>
          <cell r="G113">
            <v>0.09</v>
          </cell>
          <cell r="H113">
            <v>45</v>
          </cell>
          <cell r="I113" t="str">
            <v>матрица</v>
          </cell>
          <cell r="K113">
            <v>1</v>
          </cell>
          <cell r="L113">
            <v>0</v>
          </cell>
          <cell r="O113">
            <v>8</v>
          </cell>
          <cell r="P113">
            <v>0</v>
          </cell>
          <cell r="Q113">
            <v>0</v>
          </cell>
          <cell r="R113">
            <v>0.2</v>
          </cell>
        </row>
        <row r="114">
          <cell r="A114" t="str">
            <v xml:space="preserve"> 585  Колбаса Молочная ТМ Стародворье в оболочке вектор НД ВЕС.  ПОКОМ</v>
          </cell>
          <cell r="B114" t="str">
            <v>кг</v>
          </cell>
          <cell r="C114">
            <v>12.36</v>
          </cell>
          <cell r="D114">
            <v>57.411999999999999</v>
          </cell>
          <cell r="E114">
            <v>20.065000000000001</v>
          </cell>
          <cell r="F114">
            <v>46.972999999999999</v>
          </cell>
          <cell r="G114">
            <v>1</v>
          </cell>
          <cell r="H114">
            <v>60</v>
          </cell>
          <cell r="I114" t="str">
            <v>НЕДОГРУЗ / матрица</v>
          </cell>
          <cell r="K114">
            <v>18.2</v>
          </cell>
          <cell r="L114">
            <v>1.865000000000002</v>
          </cell>
          <cell r="O114">
            <v>0</v>
          </cell>
          <cell r="P114">
            <v>0</v>
          </cell>
          <cell r="Q114">
            <v>40</v>
          </cell>
          <cell r="R114">
            <v>4.0129999999999999</v>
          </cell>
          <cell r="T114">
            <v>40</v>
          </cell>
          <cell r="U114" t="str">
            <v>Промо</v>
          </cell>
        </row>
        <row r="115">
          <cell r="A115" t="str">
            <v xml:space="preserve"> 586  Колбаса Мясная ТМ Стародворье в оболочке вектор НД ВЕС.  ПОКОМ</v>
          </cell>
          <cell r="B115" t="str">
            <v>кг</v>
          </cell>
          <cell r="C115">
            <v>66.084999999999994</v>
          </cell>
          <cell r="D115">
            <v>83.902000000000001</v>
          </cell>
          <cell r="E115">
            <v>63.328000000000003</v>
          </cell>
          <cell r="F115">
            <v>77.028999999999996</v>
          </cell>
          <cell r="G115">
            <v>1</v>
          </cell>
          <cell r="H115">
            <v>60</v>
          </cell>
          <cell r="I115" t="str">
            <v>матрица</v>
          </cell>
          <cell r="K115">
            <v>66.900000000000006</v>
          </cell>
          <cell r="L115">
            <v>-3.5720000000000027</v>
          </cell>
          <cell r="O115">
            <v>0</v>
          </cell>
          <cell r="P115">
            <v>49.261200000000009</v>
          </cell>
          <cell r="Q115">
            <v>70</v>
          </cell>
          <cell r="R115">
            <v>12.665600000000001</v>
          </cell>
          <cell r="T115">
            <v>100</v>
          </cell>
          <cell r="U115" t="str">
            <v>Промо</v>
          </cell>
        </row>
        <row r="116">
          <cell r="A116" t="str">
            <v xml:space="preserve"> 588 Колбаса Со шпиком ТМ Стародворье в оболочке вектор ВЕС  ПОКОМ</v>
          </cell>
          <cell r="B116" t="str">
            <v>кг</v>
          </cell>
          <cell r="C116">
            <v>8.2729999999999997</v>
          </cell>
          <cell r="D116">
            <v>24.684999999999999</v>
          </cell>
          <cell r="E116">
            <v>2.2589999999999999</v>
          </cell>
          <cell r="F116">
            <v>30.699000000000002</v>
          </cell>
          <cell r="G116">
            <v>1</v>
          </cell>
          <cell r="H116">
            <v>60</v>
          </cell>
          <cell r="I116" t="str">
            <v>НЕДОГРУЗ / матрица</v>
          </cell>
          <cell r="K116">
            <v>8.5</v>
          </cell>
          <cell r="L116">
            <v>-6.2409999999999997</v>
          </cell>
          <cell r="O116">
            <v>5.9983999999999966</v>
          </cell>
          <cell r="P116">
            <v>0</v>
          </cell>
          <cell r="Q116">
            <v>20</v>
          </cell>
          <cell r="R116">
            <v>0.45179999999999998</v>
          </cell>
        </row>
        <row r="117">
          <cell r="A117" t="str">
            <v xml:space="preserve"> 597  Колбаса Классическая ТМ Особый рецепт в оболочке полиамид ВЕС. ПОКОМ</v>
          </cell>
          <cell r="B117" t="str">
            <v>кг</v>
          </cell>
          <cell r="C117">
            <v>696.68499999999995</v>
          </cell>
          <cell r="D117">
            <v>228.44399999999999</v>
          </cell>
          <cell r="E117">
            <v>444.68099999999998</v>
          </cell>
          <cell r="F117">
            <v>442.69600000000003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487.5</v>
          </cell>
          <cell r="L117">
            <v>-42.819000000000017</v>
          </cell>
          <cell r="O117">
            <v>0</v>
          </cell>
          <cell r="P117">
            <v>0</v>
          </cell>
          <cell r="Q117">
            <v>418.8096000000001</v>
          </cell>
          <cell r="R117">
            <v>88.936199999999999</v>
          </cell>
          <cell r="S117">
            <v>116.79259999999988</v>
          </cell>
          <cell r="T117">
            <v>250</v>
          </cell>
          <cell r="U117" t="str">
            <v>Промо</v>
          </cell>
        </row>
        <row r="118">
          <cell r="A118" t="str">
            <v xml:space="preserve"> 614  Буженина в пряном маринаде 0,25 кг консервы из мяса индейки ТМ Стародворье  ПОКОМ</v>
          </cell>
          <cell r="B118" t="str">
            <v>шт</v>
          </cell>
          <cell r="C118">
            <v>247</v>
          </cell>
          <cell r="E118">
            <v>1</v>
          </cell>
          <cell r="F118">
            <v>246</v>
          </cell>
          <cell r="G118">
            <v>0.25</v>
          </cell>
          <cell r="H118">
            <v>1096</v>
          </cell>
          <cell r="I118" t="str">
            <v>матрица</v>
          </cell>
          <cell r="K118">
            <v>1</v>
          </cell>
          <cell r="L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0.2</v>
          </cell>
        </row>
        <row r="119">
          <cell r="A119" t="str">
            <v xml:space="preserve"> 615  Гречка по-купечески с говядиной и овощами 0,325кг ТМ Стародворье  ПОКОМ</v>
          </cell>
          <cell r="B119" t="str">
            <v>шт</v>
          </cell>
          <cell r="C119">
            <v>85</v>
          </cell>
          <cell r="D119">
            <v>60</v>
          </cell>
          <cell r="F119">
            <v>145</v>
          </cell>
          <cell r="G119">
            <v>0.32500000000000001</v>
          </cell>
          <cell r="H119">
            <v>1096</v>
          </cell>
          <cell r="I119" t="str">
            <v>матрица</v>
          </cell>
          <cell r="L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A120" t="str">
            <v xml:space="preserve"> 616  Индейка томлёная в собственном соку 0,25кг ТМ Стародлворье Консервый из мяс.птицы  ПОКОМ</v>
          </cell>
          <cell r="B120" t="str">
            <v>шт</v>
          </cell>
          <cell r="C120">
            <v>91</v>
          </cell>
          <cell r="D120">
            <v>60</v>
          </cell>
          <cell r="E120">
            <v>1</v>
          </cell>
          <cell r="F120">
            <v>150</v>
          </cell>
          <cell r="G120">
            <v>0.25</v>
          </cell>
          <cell r="H120">
            <v>1096</v>
          </cell>
          <cell r="I120" t="str">
            <v>НЕДОГРУЗ / матрица</v>
          </cell>
          <cell r="K120">
            <v>1</v>
          </cell>
          <cell r="L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0.2</v>
          </cell>
        </row>
        <row r="121">
          <cell r="A121" t="str">
            <v xml:space="preserve"> 633  Колбаса Мясная Классическая ТМ Вязанка в оболочке полиамид УМВ.ВЕС.  ПОКОМ</v>
          </cell>
          <cell r="B121" t="str">
            <v>кг</v>
          </cell>
          <cell r="C121">
            <v>11.631</v>
          </cell>
          <cell r="E121">
            <v>14.414999999999999</v>
          </cell>
          <cell r="F121">
            <v>-2.7839999999999998</v>
          </cell>
          <cell r="G121">
            <v>0</v>
          </cell>
          <cell r="I121" t="str">
            <v>дубль</v>
          </cell>
          <cell r="K121">
            <v>13</v>
          </cell>
          <cell r="L121">
            <v>1.4149999999999991</v>
          </cell>
          <cell r="O121">
            <v>0</v>
          </cell>
          <cell r="P121">
            <v>0</v>
          </cell>
          <cell r="Q121">
            <v>0</v>
          </cell>
          <cell r="R121">
            <v>2.883</v>
          </cell>
        </row>
        <row r="122">
          <cell r="A122" t="str">
            <v>495  Колбаса Сочинка по-европейски с сочной грудинкой 0,3кг ТМ Стародворье  ПОКОМ</v>
          </cell>
          <cell r="B122" t="str">
            <v>шт</v>
          </cell>
          <cell r="D122">
            <v>171</v>
          </cell>
          <cell r="E122">
            <v>43</v>
          </cell>
          <cell r="F122">
            <v>125</v>
          </cell>
          <cell r="G122">
            <v>0.3</v>
          </cell>
          <cell r="H122">
            <v>40</v>
          </cell>
          <cell r="I122" t="str">
            <v>НЕДОГРУЗ / матрица</v>
          </cell>
          <cell r="K122">
            <v>46</v>
          </cell>
          <cell r="L122">
            <v>-3</v>
          </cell>
          <cell r="O122">
            <v>80</v>
          </cell>
          <cell r="P122">
            <v>0</v>
          </cell>
          <cell r="Q122">
            <v>30</v>
          </cell>
          <cell r="R122">
            <v>8.6</v>
          </cell>
          <cell r="T122">
            <v>30</v>
          </cell>
          <cell r="U122" t="str">
            <v>Есть потребность</v>
          </cell>
        </row>
        <row r="123">
          <cell r="A123" t="str">
            <v>496  Колбаса Сочинка по-фински с сочным окроком 0,3кг ТМ Стародворье  ПОКОМ</v>
          </cell>
          <cell r="B123" t="str">
            <v>шт</v>
          </cell>
          <cell r="D123">
            <v>171</v>
          </cell>
          <cell r="E123">
            <v>40</v>
          </cell>
          <cell r="F123">
            <v>128</v>
          </cell>
          <cell r="G123">
            <v>0.3</v>
          </cell>
          <cell r="H123">
            <v>40</v>
          </cell>
          <cell r="I123" t="str">
            <v>НЕДОГРУЗ / матрица</v>
          </cell>
          <cell r="K123">
            <v>45</v>
          </cell>
          <cell r="L123">
            <v>-5</v>
          </cell>
          <cell r="O123">
            <v>80</v>
          </cell>
          <cell r="P123">
            <v>0</v>
          </cell>
          <cell r="Q123">
            <v>30</v>
          </cell>
          <cell r="R123">
            <v>8</v>
          </cell>
          <cell r="T123">
            <v>30</v>
          </cell>
          <cell r="U123" t="str">
            <v>Есть потребность</v>
          </cell>
        </row>
        <row r="124">
          <cell r="A124" t="str">
            <v>503 Колбаса Филейская со шпиком ТМ Вязанка в оболочке полиамид.ПОКОМ</v>
          </cell>
          <cell r="B124" t="str">
            <v>кг</v>
          </cell>
          <cell r="C124">
            <v>11.01</v>
          </cell>
          <cell r="E124">
            <v>11.000999999999999</v>
          </cell>
          <cell r="F124">
            <v>8.9999999999999993E-3</v>
          </cell>
          <cell r="G124">
            <v>1</v>
          </cell>
          <cell r="H124">
            <v>50</v>
          </cell>
          <cell r="I124" t="str">
            <v>матрица</v>
          </cell>
          <cell r="K124">
            <v>19</v>
          </cell>
          <cell r="L124">
            <v>-7.9990000000000006</v>
          </cell>
          <cell r="O124">
            <v>13.6068</v>
          </cell>
          <cell r="P124">
            <v>8.9283999999999999</v>
          </cell>
          <cell r="Q124">
            <v>0</v>
          </cell>
          <cell r="R124">
            <v>2.2001999999999997</v>
          </cell>
          <cell r="S124">
            <v>4</v>
          </cell>
        </row>
        <row r="125">
          <cell r="A125" t="str">
            <v>515  Колбаса Сервелат Мясорубский Делюкс 0,3кг ТМ Стародворье  ПОКОМ</v>
          </cell>
          <cell r="B125" t="str">
            <v>шт</v>
          </cell>
          <cell r="D125">
            <v>102</v>
          </cell>
          <cell r="E125">
            <v>2</v>
          </cell>
          <cell r="F125">
            <v>100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2</v>
          </cell>
          <cell r="L125">
            <v>0</v>
          </cell>
          <cell r="O125">
            <v>80</v>
          </cell>
          <cell r="P125">
            <v>0</v>
          </cell>
          <cell r="Q125">
            <v>70</v>
          </cell>
          <cell r="R125">
            <v>0.4</v>
          </cell>
        </row>
        <row r="126">
          <cell r="A126" t="str">
            <v>519  Грудинка 0,12 кг нарезка ТМ Стародворье  ПОКОМ</v>
          </cell>
          <cell r="B126" t="str">
            <v>шт</v>
          </cell>
          <cell r="D126">
            <v>63</v>
          </cell>
          <cell r="E126">
            <v>8</v>
          </cell>
          <cell r="F126">
            <v>51</v>
          </cell>
          <cell r="G126">
            <v>0.12</v>
          </cell>
          <cell r="H126">
            <v>45</v>
          </cell>
          <cell r="I126" t="str">
            <v>НЕДОГРУЗ / матрица</v>
          </cell>
          <cell r="K126">
            <v>11</v>
          </cell>
          <cell r="L126">
            <v>-3</v>
          </cell>
          <cell r="O126">
            <v>58.200000000000017</v>
          </cell>
          <cell r="P126">
            <v>0</v>
          </cell>
          <cell r="Q126">
            <v>0</v>
          </cell>
          <cell r="R126">
            <v>1.6</v>
          </cell>
        </row>
        <row r="127">
          <cell r="A127" t="str">
            <v>БОНУС_ 334  Паштет Любительский ТМ Стародворье ламистер 0,1 кг  ПОКОМ</v>
          </cell>
          <cell r="B127" t="str">
            <v>шт</v>
          </cell>
          <cell r="D127">
            <v>17</v>
          </cell>
          <cell r="E127">
            <v>15</v>
          </cell>
          <cell r="G127">
            <v>0</v>
          </cell>
          <cell r="I127" t="str">
            <v>бонус</v>
          </cell>
          <cell r="J127" t="str">
            <v xml:space="preserve"> 334  Паштет Любительский ТМ Стародворье ламистер 0,1 кг  ПОКОМ</v>
          </cell>
          <cell r="K127">
            <v>19</v>
          </cell>
          <cell r="L127">
            <v>-4</v>
          </cell>
          <cell r="O127">
            <v>0</v>
          </cell>
          <cell r="P127">
            <v>0</v>
          </cell>
          <cell r="Q127">
            <v>0</v>
          </cell>
          <cell r="R127">
            <v>3</v>
          </cell>
        </row>
        <row r="128">
          <cell r="A128" t="str">
            <v>Колбаса варено-копченая Сервелат Европейский ТМ Вязанка вес</v>
          </cell>
          <cell r="B128" t="str">
            <v>кг</v>
          </cell>
          <cell r="G128">
            <v>1</v>
          </cell>
          <cell r="I128" t="str">
            <v>матрица</v>
          </cell>
          <cell r="L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A129" t="str">
            <v>Сардельки «Шпикачки Зареченские» Весовой полиамид ТМ «Зареченские продукты»</v>
          </cell>
          <cell r="B129" t="str">
            <v>кг</v>
          </cell>
          <cell r="G129">
            <v>0</v>
          </cell>
          <cell r="I129" t="str">
            <v>матрица</v>
          </cell>
          <cell r="L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A130" t="str">
            <v>Сосиски Ганноверские Бордо Весовые П/а мгс Баварушка</v>
          </cell>
          <cell r="B130" t="str">
            <v>кг</v>
          </cell>
          <cell r="G130">
            <v>0</v>
          </cell>
          <cell r="I130" t="str">
            <v>матрица</v>
          </cell>
          <cell r="L130">
            <v>0</v>
          </cell>
          <cell r="P130">
            <v>0</v>
          </cell>
          <cell r="Q130">
            <v>0</v>
          </cell>
          <cell r="R13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4" sqref="V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2" width="7" style="19" customWidth="1"/>
    <col min="23" max="24" width="5" customWidth="1"/>
    <col min="25" max="31" width="6" customWidth="1"/>
    <col min="32" max="32" width="42.7109375" customWidth="1"/>
    <col min="33" max="33" width="7" customWidth="1"/>
    <col min="34" max="52" width="3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0">
        <f>[1]Sheet!$U$1</f>
        <v>2.4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177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178</v>
      </c>
      <c r="U3" s="3" t="s">
        <v>174</v>
      </c>
      <c r="V3" s="3" t="s">
        <v>176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 t="s">
        <v>179</v>
      </c>
      <c r="U4" s="1" t="s">
        <v>175</v>
      </c>
      <c r="V4" s="1"/>
      <c r="W4" s="1"/>
      <c r="X4" s="1"/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SUM(E6:E490)</f>
        <v>9153.3520000000008</v>
      </c>
      <c r="F5" s="4">
        <f>SUM(F6:F490)</f>
        <v>11251.516000000001</v>
      </c>
      <c r="G5" s="7"/>
      <c r="H5" s="1"/>
      <c r="I5" s="1"/>
      <c r="J5" s="1"/>
      <c r="K5" s="4">
        <f t="shared" ref="K5:U5" si="0">SUM(K6:K490)</f>
        <v>11155.120000000003</v>
      </c>
      <c r="L5" s="4">
        <f t="shared" si="0"/>
        <v>-2001.7679999999993</v>
      </c>
      <c r="M5" s="4">
        <f t="shared" si="0"/>
        <v>0</v>
      </c>
      <c r="N5" s="4">
        <f t="shared" si="0"/>
        <v>0</v>
      </c>
      <c r="O5" s="4">
        <f t="shared" si="0"/>
        <v>6447.0335768743544</v>
      </c>
      <c r="P5" s="4">
        <f t="shared" si="0"/>
        <v>3707.4575999999993</v>
      </c>
      <c r="Q5" s="4">
        <f t="shared" si="0"/>
        <v>5791.0570702640744</v>
      </c>
      <c r="R5" s="4">
        <f t="shared" si="0"/>
        <v>1830.6703999999993</v>
      </c>
      <c r="S5" s="4">
        <f t="shared" si="0"/>
        <v>1987.4672</v>
      </c>
      <c r="T5" s="4">
        <f t="shared" si="0"/>
        <v>6115.4384</v>
      </c>
      <c r="U5" s="4">
        <f t="shared" si="0"/>
        <v>4760</v>
      </c>
      <c r="V5" s="4"/>
      <c r="W5" s="1"/>
      <c r="X5" s="1"/>
      <c r="Y5" s="4">
        <f t="shared" ref="Y5:AE5" si="1">SUM(Y6:Y490)</f>
        <v>1817.1086000000005</v>
      </c>
      <c r="Z5" s="4">
        <f t="shared" si="1"/>
        <v>1783.8795999999998</v>
      </c>
      <c r="AA5" s="4">
        <f t="shared" si="1"/>
        <v>1889.5805999999998</v>
      </c>
      <c r="AB5" s="4">
        <f t="shared" si="1"/>
        <v>1612.5742000000002</v>
      </c>
      <c r="AC5" s="4">
        <f t="shared" si="1"/>
        <v>1527.6869999999999</v>
      </c>
      <c r="AD5" s="4">
        <f t="shared" si="1"/>
        <v>1485.5253999999995</v>
      </c>
      <c r="AE5" s="4">
        <f t="shared" si="1"/>
        <v>1171.7370000000001</v>
      </c>
      <c r="AF5" s="1"/>
      <c r="AG5" s="4">
        <f>SUM(AG6:AG490)</f>
        <v>4958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33</v>
      </c>
      <c r="B6" s="1" t="s">
        <v>34</v>
      </c>
      <c r="C6" s="1">
        <v>143.70500000000001</v>
      </c>
      <c r="D6" s="1">
        <v>51.225999999999999</v>
      </c>
      <c r="E6" s="1">
        <v>127.91500000000001</v>
      </c>
      <c r="F6" s="1">
        <v>58.996000000000002</v>
      </c>
      <c r="G6" s="7">
        <v>1</v>
      </c>
      <c r="H6" s="1">
        <v>50</v>
      </c>
      <c r="I6" s="1" t="s">
        <v>35</v>
      </c>
      <c r="J6" s="1"/>
      <c r="K6" s="1">
        <v>140.19999999999999</v>
      </c>
      <c r="L6" s="1">
        <f t="shared" ref="L6:L37" si="2">E6-K6</f>
        <v>-12.284999999999982</v>
      </c>
      <c r="M6" s="1"/>
      <c r="N6" s="1"/>
      <c r="O6" s="1">
        <v>0</v>
      </c>
      <c r="P6" s="1">
        <v>69.116199999999949</v>
      </c>
      <c r="Q6" s="1">
        <v>150</v>
      </c>
      <c r="R6" s="1">
        <f t="shared" ref="R6:R37" si="3">E6/5</f>
        <v>25.583000000000002</v>
      </c>
      <c r="S6" s="5">
        <v>10</v>
      </c>
      <c r="T6" s="5">
        <f>S6</f>
        <v>10</v>
      </c>
      <c r="U6" s="18"/>
      <c r="V6" s="18"/>
      <c r="W6" s="1">
        <f>(F6+O6+P6+Q6+T6)/R6</f>
        <v>11.261861392330841</v>
      </c>
      <c r="X6" s="1">
        <f t="shared" ref="X6:X37" si="4">(F6+O6+P6+Q6)/R6</f>
        <v>10.87097682054489</v>
      </c>
      <c r="Y6" s="1">
        <v>24.755800000000001</v>
      </c>
      <c r="Z6" s="1">
        <v>19.6492</v>
      </c>
      <c r="AA6" s="1">
        <v>19.663399999999999</v>
      </c>
      <c r="AB6" s="1">
        <v>24.488199999999999</v>
      </c>
      <c r="AC6" s="1">
        <v>15.6044</v>
      </c>
      <c r="AD6" s="1">
        <v>21.5792</v>
      </c>
      <c r="AE6" s="1">
        <v>26.789200000000001</v>
      </c>
      <c r="AF6" s="1"/>
      <c r="AG6" s="1">
        <f>ROUND(G6*T6,0)</f>
        <v>10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36</v>
      </c>
      <c r="B7" s="1" t="s">
        <v>34</v>
      </c>
      <c r="C7" s="1">
        <v>333.291</v>
      </c>
      <c r="D7" s="1">
        <v>21.016999999999999</v>
      </c>
      <c r="E7" s="1">
        <v>109.77800000000001</v>
      </c>
      <c r="F7" s="1">
        <v>224.86699999999999</v>
      </c>
      <c r="G7" s="7">
        <v>1</v>
      </c>
      <c r="H7" s="1">
        <v>45</v>
      </c>
      <c r="I7" s="1" t="s">
        <v>35</v>
      </c>
      <c r="J7" s="1"/>
      <c r="K7" s="1">
        <v>227.2</v>
      </c>
      <c r="L7" s="1">
        <f t="shared" si="2"/>
        <v>-117.42199999999998</v>
      </c>
      <c r="M7" s="1"/>
      <c r="N7" s="1"/>
      <c r="O7" s="1">
        <v>0</v>
      </c>
      <c r="P7" s="1">
        <v>0</v>
      </c>
      <c r="Q7" s="1">
        <v>80</v>
      </c>
      <c r="R7" s="1">
        <f t="shared" si="3"/>
        <v>21.9556</v>
      </c>
      <c r="S7" s="5"/>
      <c r="T7" s="5">
        <f t="shared" ref="T7:T70" si="5">S7</f>
        <v>0</v>
      </c>
      <c r="U7" s="18"/>
      <c r="V7" s="18"/>
      <c r="W7" s="1">
        <f t="shared" ref="W7:W70" si="6">(F7+O7+P7+Q7+T7)/R7</f>
        <v>13.885614604019018</v>
      </c>
      <c r="X7" s="1">
        <f t="shared" si="4"/>
        <v>13.885614604019018</v>
      </c>
      <c r="Y7" s="1">
        <v>23.580400000000001</v>
      </c>
      <c r="Z7" s="1">
        <v>25.588799999999999</v>
      </c>
      <c r="AA7" s="1">
        <v>22.931799999999999</v>
      </c>
      <c r="AB7" s="1">
        <v>24.117799999999999</v>
      </c>
      <c r="AC7" s="1">
        <v>22.6374</v>
      </c>
      <c r="AD7" s="1">
        <v>20.7254</v>
      </c>
      <c r="AE7" s="1">
        <v>21.689</v>
      </c>
      <c r="AF7" s="1"/>
      <c r="AG7" s="1">
        <f t="shared" ref="AG7:AG70" si="7">ROUND(G7*T7,0)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37</v>
      </c>
      <c r="B8" s="1" t="s">
        <v>34</v>
      </c>
      <c r="C8" s="1">
        <v>1.373</v>
      </c>
      <c r="D8" s="1">
        <v>232.797</v>
      </c>
      <c r="E8" s="1">
        <v>95.846999999999994</v>
      </c>
      <c r="F8" s="1">
        <v>126.816</v>
      </c>
      <c r="G8" s="7">
        <v>1</v>
      </c>
      <c r="H8" s="1">
        <v>45</v>
      </c>
      <c r="I8" s="15" t="s">
        <v>38</v>
      </c>
      <c r="J8" s="1"/>
      <c r="K8" s="1">
        <v>118.6</v>
      </c>
      <c r="L8" s="1">
        <f t="shared" si="2"/>
        <v>-22.753</v>
      </c>
      <c r="M8" s="1"/>
      <c r="N8" s="1"/>
      <c r="O8" s="1">
        <v>0</v>
      </c>
      <c r="P8" s="1">
        <v>0</v>
      </c>
      <c r="Q8" s="1">
        <v>70</v>
      </c>
      <c r="R8" s="1">
        <f t="shared" si="3"/>
        <v>19.1694</v>
      </c>
      <c r="S8" s="5">
        <f t="shared" ref="S8" si="8">11*R8-Q8-P8-O8-F8</f>
        <v>14.047399999999982</v>
      </c>
      <c r="T8" s="5">
        <f t="shared" si="5"/>
        <v>14.047399999999982</v>
      </c>
      <c r="U8" s="18"/>
      <c r="V8" s="18"/>
      <c r="W8" s="1">
        <f t="shared" si="6"/>
        <v>11</v>
      </c>
      <c r="X8" s="1">
        <f t="shared" si="4"/>
        <v>10.267196678038959</v>
      </c>
      <c r="Y8" s="1">
        <v>13.953799999999999</v>
      </c>
      <c r="Z8" s="1">
        <v>22.8444</v>
      </c>
      <c r="AA8" s="1">
        <v>26.839200000000002</v>
      </c>
      <c r="AB8" s="1">
        <v>22.239000000000001</v>
      </c>
      <c r="AC8" s="1">
        <v>23.381799999999998</v>
      </c>
      <c r="AD8" s="1">
        <v>24.181999999999999</v>
      </c>
      <c r="AE8" s="1">
        <v>21.139399999999998</v>
      </c>
      <c r="AF8" s="1"/>
      <c r="AG8" s="1">
        <f t="shared" si="7"/>
        <v>14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9" t="s">
        <v>39</v>
      </c>
      <c r="B9" s="9" t="s">
        <v>40</v>
      </c>
      <c r="C9" s="9"/>
      <c r="D9" s="9"/>
      <c r="E9" s="9"/>
      <c r="F9" s="9"/>
      <c r="G9" s="10">
        <v>0</v>
      </c>
      <c r="H9" s="9"/>
      <c r="I9" s="9" t="s">
        <v>35</v>
      </c>
      <c r="J9" s="9"/>
      <c r="K9" s="9"/>
      <c r="L9" s="9">
        <f t="shared" si="2"/>
        <v>0</v>
      </c>
      <c r="M9" s="9"/>
      <c r="N9" s="9"/>
      <c r="O9" s="9">
        <v>0</v>
      </c>
      <c r="P9" s="9">
        <v>0</v>
      </c>
      <c r="Q9" s="9">
        <v>0</v>
      </c>
      <c r="R9" s="9">
        <f t="shared" si="3"/>
        <v>0</v>
      </c>
      <c r="S9" s="11"/>
      <c r="T9" s="5">
        <f t="shared" si="5"/>
        <v>0</v>
      </c>
      <c r="U9" s="18"/>
      <c r="V9" s="18"/>
      <c r="W9" s="1" t="e">
        <f t="shared" si="6"/>
        <v>#DIV/0!</v>
      </c>
      <c r="X9" s="9" t="e">
        <f t="shared" si="4"/>
        <v>#DIV/0!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 t="s">
        <v>41</v>
      </c>
      <c r="AG9" s="1">
        <f t="shared" si="7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42</v>
      </c>
      <c r="B10" s="1" t="s">
        <v>40</v>
      </c>
      <c r="C10" s="1">
        <v>2</v>
      </c>
      <c r="D10" s="1">
        <v>328</v>
      </c>
      <c r="E10" s="1">
        <v>288</v>
      </c>
      <c r="F10" s="1">
        <v>14</v>
      </c>
      <c r="G10" s="7">
        <v>0.45</v>
      </c>
      <c r="H10" s="1">
        <v>45</v>
      </c>
      <c r="I10" s="1" t="s">
        <v>35</v>
      </c>
      <c r="J10" s="1"/>
      <c r="K10" s="1">
        <v>324</v>
      </c>
      <c r="L10" s="1">
        <f t="shared" si="2"/>
        <v>-36</v>
      </c>
      <c r="M10" s="1"/>
      <c r="N10" s="1"/>
      <c r="O10" s="1">
        <v>621.20000000000005</v>
      </c>
      <c r="P10" s="1">
        <v>0</v>
      </c>
      <c r="Q10" s="1">
        <v>0</v>
      </c>
      <c r="R10" s="1">
        <f t="shared" si="3"/>
        <v>57.6</v>
      </c>
      <c r="S10" s="5"/>
      <c r="T10" s="5">
        <f t="shared" si="5"/>
        <v>0</v>
      </c>
      <c r="U10" s="18"/>
      <c r="V10" s="18"/>
      <c r="W10" s="1">
        <f t="shared" si="6"/>
        <v>11.027777777777779</v>
      </c>
      <c r="X10" s="1">
        <f t="shared" si="4"/>
        <v>11.027777777777779</v>
      </c>
      <c r="Y10" s="1">
        <v>46.6</v>
      </c>
      <c r="Z10" s="1">
        <v>78.2</v>
      </c>
      <c r="AA10" s="1">
        <v>88.2</v>
      </c>
      <c r="AB10" s="1">
        <v>26.2</v>
      </c>
      <c r="AC10" s="1">
        <v>23.6</v>
      </c>
      <c r="AD10" s="1">
        <v>21.8</v>
      </c>
      <c r="AE10" s="1">
        <v>-0.6</v>
      </c>
      <c r="AF10" s="1"/>
      <c r="AG10" s="1">
        <f t="shared" si="7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43</v>
      </c>
      <c r="B11" s="1" t="s">
        <v>40</v>
      </c>
      <c r="C11" s="1">
        <v>214</v>
      </c>
      <c r="D11" s="1">
        <v>578</v>
      </c>
      <c r="E11" s="1">
        <v>342</v>
      </c>
      <c r="F11" s="1">
        <v>431</v>
      </c>
      <c r="G11" s="7">
        <v>0.45</v>
      </c>
      <c r="H11" s="1">
        <v>45</v>
      </c>
      <c r="I11" s="1" t="s">
        <v>35</v>
      </c>
      <c r="J11" s="1"/>
      <c r="K11" s="1">
        <v>373</v>
      </c>
      <c r="L11" s="1">
        <f t="shared" si="2"/>
        <v>-31</v>
      </c>
      <c r="M11" s="1"/>
      <c r="N11" s="1"/>
      <c r="O11" s="1">
        <v>349.10705693664812</v>
      </c>
      <c r="P11" s="1">
        <v>0</v>
      </c>
      <c r="Q11" s="1">
        <v>13.092943063351809</v>
      </c>
      <c r="R11" s="1">
        <f t="shared" si="3"/>
        <v>68.400000000000006</v>
      </c>
      <c r="S11" s="5"/>
      <c r="T11" s="5">
        <f t="shared" si="5"/>
        <v>0</v>
      </c>
      <c r="U11" s="18"/>
      <c r="V11" s="18"/>
      <c r="W11" s="1">
        <f t="shared" si="6"/>
        <v>11.596491228070173</v>
      </c>
      <c r="X11" s="1">
        <f t="shared" si="4"/>
        <v>11.596491228070173</v>
      </c>
      <c r="Y11" s="1">
        <v>69.599999999999994</v>
      </c>
      <c r="Z11" s="1">
        <v>71.400000000000006</v>
      </c>
      <c r="AA11" s="1">
        <v>93.2</v>
      </c>
      <c r="AB11" s="1">
        <v>82</v>
      </c>
      <c r="AC11" s="1">
        <v>82.6</v>
      </c>
      <c r="AD11" s="1">
        <v>72.2</v>
      </c>
      <c r="AE11" s="1">
        <v>58.4</v>
      </c>
      <c r="AF11" s="1"/>
      <c r="AG11" s="1">
        <f t="shared" si="7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44</v>
      </c>
      <c r="B12" s="1" t="s">
        <v>40</v>
      </c>
      <c r="C12" s="1">
        <v>32</v>
      </c>
      <c r="D12" s="1">
        <v>3</v>
      </c>
      <c r="E12" s="1">
        <v>22</v>
      </c>
      <c r="F12" s="1">
        <v>10</v>
      </c>
      <c r="G12" s="7">
        <v>0.17</v>
      </c>
      <c r="H12" s="1">
        <v>180</v>
      </c>
      <c r="I12" s="1" t="s">
        <v>35</v>
      </c>
      <c r="J12" s="1"/>
      <c r="K12" s="1">
        <v>28</v>
      </c>
      <c r="L12" s="1">
        <f t="shared" si="2"/>
        <v>-6</v>
      </c>
      <c r="M12" s="1"/>
      <c r="N12" s="1"/>
      <c r="O12" s="1">
        <v>86</v>
      </c>
      <c r="P12" s="1">
        <v>92.6</v>
      </c>
      <c r="Q12" s="1">
        <v>100</v>
      </c>
      <c r="R12" s="1">
        <f t="shared" si="3"/>
        <v>4.4000000000000004</v>
      </c>
      <c r="S12" s="5"/>
      <c r="T12" s="5">
        <f t="shared" si="5"/>
        <v>0</v>
      </c>
      <c r="U12" s="18"/>
      <c r="V12" s="18"/>
      <c r="W12" s="1">
        <f t="shared" si="6"/>
        <v>65.590909090909093</v>
      </c>
      <c r="X12" s="1">
        <f t="shared" si="4"/>
        <v>65.590909090909093</v>
      </c>
      <c r="Y12" s="1">
        <v>10.6</v>
      </c>
      <c r="Z12" s="1">
        <v>16.2</v>
      </c>
      <c r="AA12" s="1">
        <v>12</v>
      </c>
      <c r="AB12" s="1">
        <v>7</v>
      </c>
      <c r="AC12" s="1">
        <v>6</v>
      </c>
      <c r="AD12" s="1">
        <v>2.8</v>
      </c>
      <c r="AE12" s="1">
        <v>4.8</v>
      </c>
      <c r="AF12" s="1"/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45</v>
      </c>
      <c r="B13" s="1" t="s">
        <v>40</v>
      </c>
      <c r="C13" s="1">
        <v>14</v>
      </c>
      <c r="D13" s="1">
        <v>24</v>
      </c>
      <c r="E13" s="1">
        <v>18</v>
      </c>
      <c r="F13" s="1">
        <v>20</v>
      </c>
      <c r="G13" s="7">
        <v>0.3</v>
      </c>
      <c r="H13" s="1">
        <v>40</v>
      </c>
      <c r="I13" s="1" t="s">
        <v>35</v>
      </c>
      <c r="J13" s="1"/>
      <c r="K13" s="1">
        <v>18</v>
      </c>
      <c r="L13" s="1">
        <f t="shared" si="2"/>
        <v>0</v>
      </c>
      <c r="M13" s="1"/>
      <c r="N13" s="1"/>
      <c r="O13" s="1">
        <v>0</v>
      </c>
      <c r="P13" s="1">
        <v>0</v>
      </c>
      <c r="Q13" s="1"/>
      <c r="R13" s="1">
        <f t="shared" si="3"/>
        <v>3.6</v>
      </c>
      <c r="S13" s="5">
        <f t="shared" ref="S13:S16" si="9">11*R13-Q13-P13-O13-F13</f>
        <v>19.600000000000001</v>
      </c>
      <c r="T13" s="5">
        <f t="shared" si="5"/>
        <v>19.600000000000001</v>
      </c>
      <c r="U13" s="18"/>
      <c r="V13" s="18"/>
      <c r="W13" s="1">
        <f t="shared" si="6"/>
        <v>11</v>
      </c>
      <c r="X13" s="1">
        <f t="shared" si="4"/>
        <v>5.5555555555555554</v>
      </c>
      <c r="Y13" s="1">
        <v>2.4</v>
      </c>
      <c r="Z13" s="1">
        <v>4.2</v>
      </c>
      <c r="AA13" s="1">
        <v>6.4</v>
      </c>
      <c r="AB13" s="1">
        <v>6.8</v>
      </c>
      <c r="AC13" s="1">
        <v>5.6</v>
      </c>
      <c r="AD13" s="1">
        <v>3</v>
      </c>
      <c r="AE13" s="1">
        <v>0</v>
      </c>
      <c r="AF13" s="1"/>
      <c r="AG13" s="1">
        <f t="shared" si="7"/>
        <v>6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47</v>
      </c>
      <c r="B14" s="1" t="s">
        <v>40</v>
      </c>
      <c r="C14" s="1">
        <v>99</v>
      </c>
      <c r="D14" s="1">
        <v>98</v>
      </c>
      <c r="E14" s="1">
        <v>62</v>
      </c>
      <c r="F14" s="1">
        <v>127</v>
      </c>
      <c r="G14" s="7">
        <v>0.17</v>
      </c>
      <c r="H14" s="1">
        <v>180</v>
      </c>
      <c r="I14" s="1" t="s">
        <v>35</v>
      </c>
      <c r="J14" s="1"/>
      <c r="K14" s="1">
        <v>73</v>
      </c>
      <c r="L14" s="1">
        <f t="shared" si="2"/>
        <v>-11</v>
      </c>
      <c r="M14" s="1"/>
      <c r="N14" s="1"/>
      <c r="O14" s="1">
        <v>47.799999999999947</v>
      </c>
      <c r="P14" s="1">
        <v>56.000000000000043</v>
      </c>
      <c r="Q14" s="1">
        <v>80</v>
      </c>
      <c r="R14" s="1">
        <f t="shared" si="3"/>
        <v>12.4</v>
      </c>
      <c r="S14" s="5"/>
      <c r="T14" s="5">
        <f t="shared" si="5"/>
        <v>0</v>
      </c>
      <c r="U14" s="18"/>
      <c r="V14" s="18"/>
      <c r="W14" s="1">
        <f t="shared" si="6"/>
        <v>25.06451612903226</v>
      </c>
      <c r="X14" s="1">
        <f t="shared" si="4"/>
        <v>25.06451612903226</v>
      </c>
      <c r="Y14" s="1">
        <v>15.8</v>
      </c>
      <c r="Z14" s="1">
        <v>21.8</v>
      </c>
      <c r="AA14" s="1">
        <v>21.2</v>
      </c>
      <c r="AB14" s="1">
        <v>18.2</v>
      </c>
      <c r="AC14" s="1">
        <v>20.8</v>
      </c>
      <c r="AD14" s="1">
        <v>17.8</v>
      </c>
      <c r="AE14" s="1">
        <v>12.8</v>
      </c>
      <c r="AF14" s="16" t="s">
        <v>74</v>
      </c>
      <c r="AG14" s="1">
        <f t="shared" si="7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48</v>
      </c>
      <c r="B15" s="1" t="s">
        <v>34</v>
      </c>
      <c r="C15" s="1">
        <v>255.291</v>
      </c>
      <c r="D15" s="1">
        <v>244.18199999999999</v>
      </c>
      <c r="E15" s="1">
        <v>327.77499999999998</v>
      </c>
      <c r="F15" s="1">
        <v>103.998</v>
      </c>
      <c r="G15" s="7">
        <v>1</v>
      </c>
      <c r="H15" s="1">
        <v>70</v>
      </c>
      <c r="I15" s="1" t="s">
        <v>35</v>
      </c>
      <c r="J15" s="1"/>
      <c r="K15" s="1">
        <v>365.7</v>
      </c>
      <c r="L15" s="1">
        <f t="shared" si="2"/>
        <v>-37.925000000000011</v>
      </c>
      <c r="M15" s="1"/>
      <c r="N15" s="1"/>
      <c r="O15" s="1">
        <v>0</v>
      </c>
      <c r="P15" s="1">
        <v>331.39580000000001</v>
      </c>
      <c r="Q15" s="1">
        <v>388.13079999999991</v>
      </c>
      <c r="R15" s="1">
        <f t="shared" si="3"/>
        <v>65.554999999999993</v>
      </c>
      <c r="S15" s="5"/>
      <c r="T15" s="5">
        <f>U15</f>
        <v>200</v>
      </c>
      <c r="U15" s="18">
        <f>VLOOKUP(A15,[2]Sheet!$A:$U,20,0)</f>
        <v>200</v>
      </c>
      <c r="V15" s="18" t="str">
        <f>VLOOKUP(A15,[2]Sheet!$A:$U,21,0)</f>
        <v>Промо</v>
      </c>
      <c r="W15" s="1">
        <f t="shared" si="6"/>
        <v>15.613219434063002</v>
      </c>
      <c r="X15" s="1">
        <f t="shared" si="4"/>
        <v>12.562346121577303</v>
      </c>
      <c r="Y15" s="1">
        <v>87.277599999999993</v>
      </c>
      <c r="Z15" s="1">
        <v>60.310600000000001</v>
      </c>
      <c r="AA15" s="1">
        <v>38.077800000000003</v>
      </c>
      <c r="AB15" s="1">
        <v>38.4358</v>
      </c>
      <c r="AC15" s="1">
        <v>20.296600000000002</v>
      </c>
      <c r="AD15" s="1">
        <v>45.934399999999997</v>
      </c>
      <c r="AE15" s="1">
        <v>54.014000000000003</v>
      </c>
      <c r="AF15" s="1"/>
      <c r="AG15" s="1">
        <f t="shared" si="7"/>
        <v>200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49</v>
      </c>
      <c r="B16" s="1" t="s">
        <v>34</v>
      </c>
      <c r="C16" s="1">
        <v>912.13400000000001</v>
      </c>
      <c r="D16" s="1">
        <v>430.27</v>
      </c>
      <c r="E16" s="1">
        <v>758.52700000000004</v>
      </c>
      <c r="F16" s="1">
        <v>452.45499999999998</v>
      </c>
      <c r="G16" s="7">
        <v>1</v>
      </c>
      <c r="H16" s="1">
        <v>50</v>
      </c>
      <c r="I16" s="1" t="s">
        <v>35</v>
      </c>
      <c r="J16" s="1"/>
      <c r="K16" s="1">
        <v>890.2</v>
      </c>
      <c r="L16" s="1">
        <f t="shared" si="2"/>
        <v>-131.673</v>
      </c>
      <c r="M16" s="1"/>
      <c r="N16" s="1"/>
      <c r="O16" s="1">
        <v>370</v>
      </c>
      <c r="P16" s="1">
        <v>453.07699999999937</v>
      </c>
      <c r="Q16" s="1"/>
      <c r="R16" s="1">
        <f t="shared" si="3"/>
        <v>151.7054</v>
      </c>
      <c r="S16" s="5">
        <f t="shared" si="9"/>
        <v>393.22740000000061</v>
      </c>
      <c r="T16" s="5">
        <f>S16+R16*$T$1</f>
        <v>757.32036000000062</v>
      </c>
      <c r="U16" s="18">
        <f>VLOOKUP(A16,[2]Sheet!$A:$U,20,0)</f>
        <v>450</v>
      </c>
      <c r="V16" s="18" t="str">
        <f>VLOOKUP(A16,[2]Sheet!$A:$U,21,0)</f>
        <v>Промо</v>
      </c>
      <c r="W16" s="1">
        <f t="shared" si="6"/>
        <v>13.399999999999999</v>
      </c>
      <c r="X16" s="1">
        <f t="shared" si="4"/>
        <v>8.4079538368442996</v>
      </c>
      <c r="Y16" s="1">
        <v>145.41239999999999</v>
      </c>
      <c r="Z16" s="1">
        <v>152.36940000000001</v>
      </c>
      <c r="AA16" s="1">
        <v>153.6754</v>
      </c>
      <c r="AB16" s="1">
        <v>153.47040000000001</v>
      </c>
      <c r="AC16" s="1">
        <v>191.55760000000001</v>
      </c>
      <c r="AD16" s="1">
        <v>201.6146</v>
      </c>
      <c r="AE16" s="1">
        <v>130.29419999999999</v>
      </c>
      <c r="AF16" s="1"/>
      <c r="AG16" s="1">
        <f t="shared" si="7"/>
        <v>757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50</v>
      </c>
      <c r="B17" s="1" t="s">
        <v>34</v>
      </c>
      <c r="C17" s="1">
        <v>4.5060000000000002</v>
      </c>
      <c r="D17" s="1">
        <v>133.94200000000001</v>
      </c>
      <c r="E17" s="1">
        <v>53.895000000000003</v>
      </c>
      <c r="F17" s="1">
        <v>77.667000000000002</v>
      </c>
      <c r="G17" s="7">
        <v>1</v>
      </c>
      <c r="H17" s="1">
        <v>60</v>
      </c>
      <c r="I17" s="1" t="s">
        <v>35</v>
      </c>
      <c r="J17" s="1"/>
      <c r="K17" s="1">
        <v>57.6</v>
      </c>
      <c r="L17" s="1">
        <f t="shared" si="2"/>
        <v>-3.7049999999999983</v>
      </c>
      <c r="M17" s="1"/>
      <c r="N17" s="1"/>
      <c r="O17" s="1">
        <v>0</v>
      </c>
      <c r="P17" s="1">
        <v>37.232800000000033</v>
      </c>
      <c r="Q17" s="1">
        <v>25.335799999999988</v>
      </c>
      <c r="R17" s="1">
        <f t="shared" si="3"/>
        <v>10.779</v>
      </c>
      <c r="S17" s="5"/>
      <c r="T17" s="5">
        <f t="shared" si="5"/>
        <v>0</v>
      </c>
      <c r="U17" s="18"/>
      <c r="V17" s="18"/>
      <c r="W17" s="1">
        <f t="shared" si="6"/>
        <v>13.010075146117451</v>
      </c>
      <c r="X17" s="1">
        <f t="shared" si="4"/>
        <v>13.010075146117451</v>
      </c>
      <c r="Y17" s="1">
        <v>13.9788</v>
      </c>
      <c r="Z17" s="1">
        <v>12.2264</v>
      </c>
      <c r="AA17" s="1">
        <v>3.5379999999999998</v>
      </c>
      <c r="AB17" s="1">
        <v>4.5628000000000002</v>
      </c>
      <c r="AC17" s="1">
        <v>15.856400000000001</v>
      </c>
      <c r="AD17" s="1">
        <v>15.5992</v>
      </c>
      <c r="AE17" s="1">
        <v>9.6205999999999996</v>
      </c>
      <c r="AF17" s="1"/>
      <c r="AG17" s="1">
        <f t="shared" si="7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51</v>
      </c>
      <c r="B18" s="1" t="s">
        <v>34</v>
      </c>
      <c r="C18" s="1">
        <v>21.844000000000001</v>
      </c>
      <c r="D18" s="1">
        <v>24.806999999999999</v>
      </c>
      <c r="E18" s="1">
        <v>41.328000000000003</v>
      </c>
      <c r="F18" s="1">
        <v>1.7669999999999999</v>
      </c>
      <c r="G18" s="7">
        <v>1</v>
      </c>
      <c r="H18" s="1">
        <v>60</v>
      </c>
      <c r="I18" s="1" t="s">
        <v>35</v>
      </c>
      <c r="J18" s="1"/>
      <c r="K18" s="1">
        <v>42.5</v>
      </c>
      <c r="L18" s="1">
        <f t="shared" si="2"/>
        <v>-1.171999999999997</v>
      </c>
      <c r="M18" s="1"/>
      <c r="N18" s="1"/>
      <c r="O18" s="1">
        <v>0</v>
      </c>
      <c r="P18" s="1">
        <v>48.356000000000002</v>
      </c>
      <c r="Q18" s="1">
        <v>37.507400000000018</v>
      </c>
      <c r="R18" s="1">
        <f t="shared" si="3"/>
        <v>8.2656000000000009</v>
      </c>
      <c r="S18" s="5">
        <v>6</v>
      </c>
      <c r="T18" s="5">
        <f t="shared" si="5"/>
        <v>6</v>
      </c>
      <c r="U18" s="18"/>
      <c r="V18" s="18"/>
      <c r="W18" s="1">
        <f t="shared" si="6"/>
        <v>11.327719705768487</v>
      </c>
      <c r="X18" s="1">
        <f t="shared" si="4"/>
        <v>10.601819589624469</v>
      </c>
      <c r="Y18" s="1">
        <v>8.6102000000000007</v>
      </c>
      <c r="Z18" s="1">
        <v>6.8123999999999993</v>
      </c>
      <c r="AA18" s="1">
        <v>2.4491999999999998</v>
      </c>
      <c r="AB18" s="1">
        <v>0.35659999999999997</v>
      </c>
      <c r="AC18" s="1">
        <v>3.3452000000000002</v>
      </c>
      <c r="AD18" s="1">
        <v>6.4581999999999997</v>
      </c>
      <c r="AE18" s="1">
        <v>6.0523999999999996</v>
      </c>
      <c r="AF18" s="1"/>
      <c r="AG18" s="1">
        <f t="shared" si="7"/>
        <v>6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52</v>
      </c>
      <c r="B19" s="1" t="s">
        <v>34</v>
      </c>
      <c r="C19" s="1">
        <v>75.650000000000006</v>
      </c>
      <c r="D19" s="1">
        <v>0.35099999999999998</v>
      </c>
      <c r="E19" s="1">
        <v>5.242</v>
      </c>
      <c r="F19" s="1">
        <v>70.408000000000001</v>
      </c>
      <c r="G19" s="7">
        <v>1</v>
      </c>
      <c r="H19" s="1">
        <v>180</v>
      </c>
      <c r="I19" s="1" t="s">
        <v>35</v>
      </c>
      <c r="J19" s="1"/>
      <c r="K19" s="1">
        <v>5.76</v>
      </c>
      <c r="L19" s="1">
        <f t="shared" si="2"/>
        <v>-0.51799999999999979</v>
      </c>
      <c r="M19" s="1"/>
      <c r="N19" s="1"/>
      <c r="O19" s="1">
        <v>0</v>
      </c>
      <c r="P19" s="1">
        <v>0</v>
      </c>
      <c r="Q19" s="1">
        <v>0</v>
      </c>
      <c r="R19" s="1">
        <f t="shared" si="3"/>
        <v>1.0484</v>
      </c>
      <c r="S19" s="5"/>
      <c r="T19" s="5">
        <f t="shared" si="5"/>
        <v>0</v>
      </c>
      <c r="U19" s="18"/>
      <c r="V19" s="18"/>
      <c r="W19" s="1">
        <f t="shared" si="6"/>
        <v>67.157573445249909</v>
      </c>
      <c r="X19" s="1">
        <f t="shared" si="4"/>
        <v>67.157573445249909</v>
      </c>
      <c r="Y19" s="1">
        <v>1.3737999999999999</v>
      </c>
      <c r="Z19" s="1">
        <v>1.5928</v>
      </c>
      <c r="AA19" s="1">
        <v>1.4348000000000001</v>
      </c>
      <c r="AB19" s="1">
        <v>1.0733999999999999</v>
      </c>
      <c r="AC19" s="1">
        <v>0.58299999999999996</v>
      </c>
      <c r="AD19" s="1">
        <v>0.36120000000000002</v>
      </c>
      <c r="AE19" s="1">
        <v>0.43280000000000002</v>
      </c>
      <c r="AF19" s="17" t="s">
        <v>46</v>
      </c>
      <c r="AG19" s="1">
        <f t="shared" si="7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53</v>
      </c>
      <c r="B20" s="1" t="s">
        <v>34</v>
      </c>
      <c r="C20" s="1">
        <v>342.26100000000002</v>
      </c>
      <c r="D20" s="1">
        <v>124.92100000000001</v>
      </c>
      <c r="E20" s="1">
        <v>255.28700000000001</v>
      </c>
      <c r="F20" s="1">
        <v>191.72399999999999</v>
      </c>
      <c r="G20" s="7">
        <v>1</v>
      </c>
      <c r="H20" s="1">
        <v>60</v>
      </c>
      <c r="I20" s="1" t="s">
        <v>35</v>
      </c>
      <c r="J20" s="1"/>
      <c r="K20" s="1">
        <v>251.2</v>
      </c>
      <c r="L20" s="1">
        <f t="shared" si="2"/>
        <v>4.0870000000000175</v>
      </c>
      <c r="M20" s="1"/>
      <c r="N20" s="1"/>
      <c r="O20" s="1">
        <v>48.014599999999973</v>
      </c>
      <c r="P20" s="1">
        <v>172.9212</v>
      </c>
      <c r="Q20" s="1">
        <v>194.69960000000009</v>
      </c>
      <c r="R20" s="1">
        <f t="shared" si="3"/>
        <v>51.057400000000001</v>
      </c>
      <c r="S20" s="5"/>
      <c r="T20" s="5">
        <f>U20</f>
        <v>200</v>
      </c>
      <c r="U20" s="18">
        <f>VLOOKUP(A20,[2]Sheet!$A:$U,20,0)</f>
        <v>200</v>
      </c>
      <c r="V20" s="18" t="str">
        <f>VLOOKUP(A20,[2]Sheet!$A:$U,21,0)</f>
        <v>Промо</v>
      </c>
      <c r="W20" s="1">
        <f t="shared" si="6"/>
        <v>15.812779342465539</v>
      </c>
      <c r="X20" s="1">
        <f t="shared" si="4"/>
        <v>11.895619440081164</v>
      </c>
      <c r="Y20" s="1">
        <v>60.873399999999997</v>
      </c>
      <c r="Z20" s="1">
        <v>50.812600000000003</v>
      </c>
      <c r="AA20" s="1">
        <v>48.222799999999999</v>
      </c>
      <c r="AB20" s="1">
        <v>24.840199999999999</v>
      </c>
      <c r="AC20" s="1">
        <v>17.950800000000001</v>
      </c>
      <c r="AD20" s="1">
        <v>46.0608</v>
      </c>
      <c r="AE20" s="1">
        <v>52.321800000000003</v>
      </c>
      <c r="AF20" s="1"/>
      <c r="AG20" s="1">
        <f t="shared" si="7"/>
        <v>200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9" t="s">
        <v>54</v>
      </c>
      <c r="B21" s="9" t="s">
        <v>34</v>
      </c>
      <c r="C21" s="9"/>
      <c r="D21" s="9"/>
      <c r="E21" s="13">
        <v>2.4980000000000002</v>
      </c>
      <c r="F21" s="13">
        <v>-2.4980000000000002</v>
      </c>
      <c r="G21" s="10">
        <v>0</v>
      </c>
      <c r="H21" s="9"/>
      <c r="I21" s="9" t="s">
        <v>55</v>
      </c>
      <c r="J21" s="9" t="s">
        <v>56</v>
      </c>
      <c r="K21" s="9">
        <v>2.5</v>
      </c>
      <c r="L21" s="9">
        <f t="shared" si="2"/>
        <v>-1.9999999999997797E-3</v>
      </c>
      <c r="M21" s="9"/>
      <c r="N21" s="9"/>
      <c r="O21" s="9">
        <v>0</v>
      </c>
      <c r="P21" s="9">
        <v>0</v>
      </c>
      <c r="Q21" s="9">
        <v>0</v>
      </c>
      <c r="R21" s="9">
        <f t="shared" si="3"/>
        <v>0.49960000000000004</v>
      </c>
      <c r="S21" s="11"/>
      <c r="T21" s="5">
        <f t="shared" si="5"/>
        <v>0</v>
      </c>
      <c r="U21" s="18"/>
      <c r="V21" s="18"/>
      <c r="W21" s="1">
        <f t="shared" si="6"/>
        <v>-5</v>
      </c>
      <c r="X21" s="9">
        <f t="shared" si="4"/>
        <v>-5</v>
      </c>
      <c r="Y21" s="9">
        <v>0.49959999999999999</v>
      </c>
      <c r="Z21" s="9">
        <v>0</v>
      </c>
      <c r="AA21" s="9">
        <v>0</v>
      </c>
      <c r="AB21" s="9">
        <v>4.4702000000000002</v>
      </c>
      <c r="AC21" s="9">
        <v>4.4702000000000002</v>
      </c>
      <c r="AD21" s="9">
        <v>0</v>
      </c>
      <c r="AE21" s="9">
        <v>0</v>
      </c>
      <c r="AF21" s="9"/>
      <c r="AG21" s="1">
        <f t="shared" si="7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57</v>
      </c>
      <c r="B22" s="1" t="s">
        <v>34</v>
      </c>
      <c r="C22" s="1">
        <v>-4.7E-2</v>
      </c>
      <c r="D22" s="1">
        <v>218.017</v>
      </c>
      <c r="E22" s="1">
        <v>81.510000000000005</v>
      </c>
      <c r="F22" s="1">
        <v>131.19</v>
      </c>
      <c r="G22" s="7">
        <v>1</v>
      </c>
      <c r="H22" s="1">
        <v>70</v>
      </c>
      <c r="I22" s="1" t="s">
        <v>35</v>
      </c>
      <c r="J22" s="1"/>
      <c r="K22" s="1">
        <v>85.2</v>
      </c>
      <c r="L22" s="1">
        <f t="shared" si="2"/>
        <v>-3.6899999999999977</v>
      </c>
      <c r="M22" s="1"/>
      <c r="N22" s="1"/>
      <c r="O22" s="1">
        <v>56.230999999999973</v>
      </c>
      <c r="P22" s="1">
        <v>0</v>
      </c>
      <c r="Q22" s="1">
        <v>40</v>
      </c>
      <c r="R22" s="1">
        <f t="shared" si="3"/>
        <v>16.302</v>
      </c>
      <c r="S22" s="5"/>
      <c r="T22" s="5">
        <f t="shared" si="5"/>
        <v>0</v>
      </c>
      <c r="U22" s="18"/>
      <c r="V22" s="18"/>
      <c r="W22" s="1">
        <f t="shared" si="6"/>
        <v>13.950496871549502</v>
      </c>
      <c r="X22" s="1">
        <f t="shared" si="4"/>
        <v>13.950496871549502</v>
      </c>
      <c r="Y22" s="1">
        <v>7.3874000000000004</v>
      </c>
      <c r="Z22" s="1">
        <v>12.8804</v>
      </c>
      <c r="AA22" s="1">
        <v>21.585599999999999</v>
      </c>
      <c r="AB22" s="1">
        <v>18.66</v>
      </c>
      <c r="AC22" s="1">
        <v>13.150600000000001</v>
      </c>
      <c r="AD22" s="1">
        <v>8.1453999999999986</v>
      </c>
      <c r="AE22" s="1">
        <v>4.9426000000000014</v>
      </c>
      <c r="AF22" s="1"/>
      <c r="AG22" s="1">
        <f t="shared" si="7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58</v>
      </c>
      <c r="B23" s="1" t="s">
        <v>34</v>
      </c>
      <c r="C23" s="1">
        <v>31.038</v>
      </c>
      <c r="D23" s="1">
        <v>215.96</v>
      </c>
      <c r="E23" s="1">
        <v>192.268</v>
      </c>
      <c r="F23" s="1">
        <v>18.72</v>
      </c>
      <c r="G23" s="7">
        <v>1</v>
      </c>
      <c r="H23" s="1">
        <v>70</v>
      </c>
      <c r="I23" s="1" t="s">
        <v>35</v>
      </c>
      <c r="J23" s="1"/>
      <c r="K23" s="1">
        <v>207.6</v>
      </c>
      <c r="L23" s="1">
        <f t="shared" si="2"/>
        <v>-15.331999999999994</v>
      </c>
      <c r="M23" s="1"/>
      <c r="N23" s="1"/>
      <c r="O23" s="1">
        <v>0</v>
      </c>
      <c r="P23" s="1">
        <v>180.47939999999991</v>
      </c>
      <c r="Q23" s="1">
        <v>190</v>
      </c>
      <c r="R23" s="1">
        <f t="shared" si="3"/>
        <v>38.453600000000002</v>
      </c>
      <c r="S23" s="5">
        <f t="shared" ref="S23" si="10">11*R23-Q23-P23-O23-F23</f>
        <v>33.790200000000084</v>
      </c>
      <c r="T23" s="5">
        <f>U23</f>
        <v>300</v>
      </c>
      <c r="U23" s="18">
        <f>VLOOKUP(A23,[2]Sheet!$A:$U,20,0)</f>
        <v>300</v>
      </c>
      <c r="V23" s="18" t="str">
        <f>VLOOKUP(A23,[2]Sheet!$A:$U,21,0)</f>
        <v>Промо</v>
      </c>
      <c r="W23" s="1">
        <f t="shared" si="6"/>
        <v>17.922883683192211</v>
      </c>
      <c r="X23" s="1">
        <f t="shared" si="4"/>
        <v>10.121273430836123</v>
      </c>
      <c r="Y23" s="1">
        <v>40.891599999999997</v>
      </c>
      <c r="Z23" s="1">
        <v>31.311</v>
      </c>
      <c r="AA23" s="1">
        <v>9.8379999999999992</v>
      </c>
      <c r="AB23" s="1">
        <v>10.2186</v>
      </c>
      <c r="AC23" s="1">
        <v>23.747800000000002</v>
      </c>
      <c r="AD23" s="1">
        <v>26.411799999999999</v>
      </c>
      <c r="AE23" s="1">
        <v>22.914000000000001</v>
      </c>
      <c r="AF23" s="1"/>
      <c r="AG23" s="1">
        <f t="shared" si="7"/>
        <v>300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59</v>
      </c>
      <c r="B24" s="1" t="s">
        <v>34</v>
      </c>
      <c r="C24" s="1">
        <v>51.322000000000003</v>
      </c>
      <c r="D24" s="1">
        <v>10.685</v>
      </c>
      <c r="E24" s="1">
        <v>5.2560000000000002</v>
      </c>
      <c r="F24" s="1">
        <v>46.066000000000003</v>
      </c>
      <c r="G24" s="7">
        <v>1</v>
      </c>
      <c r="H24" s="1">
        <v>180</v>
      </c>
      <c r="I24" s="1" t="s">
        <v>35</v>
      </c>
      <c r="J24" s="1"/>
      <c r="K24" s="1">
        <v>7.16</v>
      </c>
      <c r="L24" s="1">
        <f t="shared" si="2"/>
        <v>-1.9039999999999999</v>
      </c>
      <c r="M24" s="1"/>
      <c r="N24" s="1"/>
      <c r="O24" s="1">
        <v>0</v>
      </c>
      <c r="P24" s="1">
        <v>0</v>
      </c>
      <c r="Q24" s="1">
        <v>0</v>
      </c>
      <c r="R24" s="1">
        <f t="shared" si="3"/>
        <v>1.0512000000000001</v>
      </c>
      <c r="S24" s="5"/>
      <c r="T24" s="5">
        <f t="shared" si="5"/>
        <v>0</v>
      </c>
      <c r="U24" s="18"/>
      <c r="V24" s="18"/>
      <c r="W24" s="1">
        <f t="shared" si="6"/>
        <v>43.822298325722983</v>
      </c>
      <c r="X24" s="1">
        <f t="shared" si="4"/>
        <v>43.822298325722983</v>
      </c>
      <c r="Y24" s="1">
        <v>1.2616000000000001</v>
      </c>
      <c r="Z24" s="1">
        <v>1.4614</v>
      </c>
      <c r="AA24" s="1">
        <v>1.6612</v>
      </c>
      <c r="AB24" s="1">
        <v>1.1819999999999999</v>
      </c>
      <c r="AC24" s="1">
        <v>0.97240000000000004</v>
      </c>
      <c r="AD24" s="1">
        <v>0.84079999999999999</v>
      </c>
      <c r="AE24" s="1">
        <v>0.34420000000000001</v>
      </c>
      <c r="AF24" s="17" t="s">
        <v>46</v>
      </c>
      <c r="AG24" s="1">
        <f t="shared" si="7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60</v>
      </c>
      <c r="B25" s="1" t="s">
        <v>34</v>
      </c>
      <c r="C25" s="1">
        <v>63.424999999999997</v>
      </c>
      <c r="D25" s="1">
        <v>293.65699999999998</v>
      </c>
      <c r="E25" s="1">
        <v>170.09100000000001</v>
      </c>
      <c r="F25" s="1">
        <v>183.48</v>
      </c>
      <c r="G25" s="7">
        <v>1</v>
      </c>
      <c r="H25" s="1">
        <v>70</v>
      </c>
      <c r="I25" s="1" t="s">
        <v>35</v>
      </c>
      <c r="J25" s="1"/>
      <c r="K25" s="1">
        <v>207</v>
      </c>
      <c r="L25" s="1">
        <f t="shared" si="2"/>
        <v>-36.908999999999992</v>
      </c>
      <c r="M25" s="1"/>
      <c r="N25" s="1"/>
      <c r="O25" s="1">
        <v>36.160599999999988</v>
      </c>
      <c r="P25" s="1">
        <v>114.4234</v>
      </c>
      <c r="Q25" s="1">
        <v>180</v>
      </c>
      <c r="R25" s="1">
        <f t="shared" si="3"/>
        <v>34.0182</v>
      </c>
      <c r="S25" s="5"/>
      <c r="T25" s="5">
        <f>U25</f>
        <v>250</v>
      </c>
      <c r="U25" s="18">
        <f>VLOOKUP(A25,[2]Sheet!$A:$U,20,0)</f>
        <v>250</v>
      </c>
      <c r="V25" s="18" t="str">
        <f>VLOOKUP(A25,[2]Sheet!$A:$U,21,0)</f>
        <v>Промо</v>
      </c>
      <c r="W25" s="1">
        <f t="shared" si="6"/>
        <v>22.460447642732419</v>
      </c>
      <c r="X25" s="1">
        <f t="shared" si="4"/>
        <v>15.111440346637975</v>
      </c>
      <c r="Y25" s="1">
        <v>33.439</v>
      </c>
      <c r="Z25" s="1">
        <v>37.412999999999997</v>
      </c>
      <c r="AA25" s="1">
        <v>35.633800000000001</v>
      </c>
      <c r="AB25" s="1">
        <v>34.274799999999999</v>
      </c>
      <c r="AC25" s="1">
        <v>25.488199999999999</v>
      </c>
      <c r="AD25" s="1">
        <v>14.996600000000001</v>
      </c>
      <c r="AE25" s="1">
        <v>18.1692</v>
      </c>
      <c r="AF25" s="1"/>
      <c r="AG25" s="1">
        <f t="shared" si="7"/>
        <v>250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9" t="s">
        <v>61</v>
      </c>
      <c r="B26" s="9" t="s">
        <v>34</v>
      </c>
      <c r="C26" s="9"/>
      <c r="D26" s="9"/>
      <c r="E26" s="9"/>
      <c r="F26" s="9"/>
      <c r="G26" s="10">
        <v>0</v>
      </c>
      <c r="H26" s="9"/>
      <c r="I26" s="9" t="s">
        <v>35</v>
      </c>
      <c r="J26" s="9"/>
      <c r="K26" s="9"/>
      <c r="L26" s="9">
        <f t="shared" si="2"/>
        <v>0</v>
      </c>
      <c r="M26" s="9"/>
      <c r="N26" s="9"/>
      <c r="O26" s="9">
        <v>0</v>
      </c>
      <c r="P26" s="9">
        <v>0</v>
      </c>
      <c r="Q26" s="9">
        <v>0</v>
      </c>
      <c r="R26" s="9">
        <f t="shared" si="3"/>
        <v>0</v>
      </c>
      <c r="S26" s="11"/>
      <c r="T26" s="5">
        <f t="shared" si="5"/>
        <v>0</v>
      </c>
      <c r="U26" s="18"/>
      <c r="V26" s="18"/>
      <c r="W26" s="1" t="e">
        <f t="shared" si="6"/>
        <v>#DIV/0!</v>
      </c>
      <c r="X26" s="9" t="e">
        <f t="shared" si="4"/>
        <v>#DIV/0!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 t="s">
        <v>41</v>
      </c>
      <c r="AG26" s="1">
        <f t="shared" si="7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62</v>
      </c>
      <c r="B27" s="1" t="s">
        <v>34</v>
      </c>
      <c r="C27" s="1">
        <v>10.682</v>
      </c>
      <c r="D27" s="1">
        <v>71.224999999999994</v>
      </c>
      <c r="E27" s="1">
        <v>5.3280000000000003</v>
      </c>
      <c r="F27" s="1">
        <v>73.927000000000007</v>
      </c>
      <c r="G27" s="7">
        <v>1</v>
      </c>
      <c r="H27" s="1"/>
      <c r="I27" s="1" t="s">
        <v>35</v>
      </c>
      <c r="J27" s="1"/>
      <c r="K27" s="1">
        <v>11.8</v>
      </c>
      <c r="L27" s="1">
        <f t="shared" si="2"/>
        <v>-6.4720000000000004</v>
      </c>
      <c r="M27" s="1"/>
      <c r="N27" s="1"/>
      <c r="O27" s="1">
        <v>0</v>
      </c>
      <c r="P27" s="1">
        <v>0</v>
      </c>
      <c r="Q27" s="1">
        <v>0</v>
      </c>
      <c r="R27" s="1">
        <f t="shared" si="3"/>
        <v>1.0656000000000001</v>
      </c>
      <c r="S27" s="5"/>
      <c r="T27" s="5">
        <f t="shared" si="5"/>
        <v>0</v>
      </c>
      <c r="U27" s="18"/>
      <c r="V27" s="18"/>
      <c r="W27" s="1">
        <f t="shared" si="6"/>
        <v>69.375938438438439</v>
      </c>
      <c r="X27" s="1">
        <f t="shared" si="4"/>
        <v>69.375938438438439</v>
      </c>
      <c r="Y27" s="1">
        <v>4.2439999999999998</v>
      </c>
      <c r="Z27" s="1">
        <v>4.1135999999999999</v>
      </c>
      <c r="AA27" s="1">
        <v>6.1719999999999997</v>
      </c>
      <c r="AB27" s="1">
        <v>8.7397999999999989</v>
      </c>
      <c r="AC27" s="1">
        <v>4.5697999999999999</v>
      </c>
      <c r="AD27" s="1">
        <v>0.8044</v>
      </c>
      <c r="AE27" s="1">
        <v>1.3652</v>
      </c>
      <c r="AF27" s="17" t="s">
        <v>46</v>
      </c>
      <c r="AG27" s="1">
        <f t="shared" si="7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63</v>
      </c>
      <c r="B28" s="1" t="s">
        <v>34</v>
      </c>
      <c r="C28" s="1">
        <v>7.6820000000000004</v>
      </c>
      <c r="D28" s="1">
        <v>34.854999999999997</v>
      </c>
      <c r="E28" s="1">
        <v>6.1449999999999996</v>
      </c>
      <c r="F28" s="1">
        <v>34.854999999999997</v>
      </c>
      <c r="G28" s="7">
        <v>1</v>
      </c>
      <c r="H28" s="1">
        <v>40</v>
      </c>
      <c r="I28" s="15" t="s">
        <v>38</v>
      </c>
      <c r="J28" s="1"/>
      <c r="K28" s="1">
        <v>10.4</v>
      </c>
      <c r="L28" s="1">
        <f t="shared" si="2"/>
        <v>-4.2550000000000008</v>
      </c>
      <c r="M28" s="1"/>
      <c r="N28" s="1"/>
      <c r="O28" s="1">
        <v>0</v>
      </c>
      <c r="P28" s="1">
        <v>0</v>
      </c>
      <c r="Q28" s="1">
        <v>5.2621999999999991</v>
      </c>
      <c r="R28" s="1">
        <f t="shared" si="3"/>
        <v>1.2289999999999999</v>
      </c>
      <c r="S28" s="5"/>
      <c r="T28" s="5">
        <f t="shared" si="5"/>
        <v>0</v>
      </c>
      <c r="U28" s="18"/>
      <c r="V28" s="18"/>
      <c r="W28" s="1">
        <f t="shared" si="6"/>
        <v>32.642148087876322</v>
      </c>
      <c r="X28" s="1">
        <f t="shared" si="4"/>
        <v>32.642148087876322</v>
      </c>
      <c r="Y28" s="1">
        <v>3.0666000000000002</v>
      </c>
      <c r="Z28" s="1">
        <v>2.1442000000000001</v>
      </c>
      <c r="AA28" s="1">
        <v>1.5289999999999999</v>
      </c>
      <c r="AB28" s="1">
        <v>1.5289999999999999</v>
      </c>
      <c r="AC28" s="1">
        <v>0</v>
      </c>
      <c r="AD28" s="1">
        <v>0</v>
      </c>
      <c r="AE28" s="1">
        <v>0</v>
      </c>
      <c r="AF28" s="1"/>
      <c r="AG28" s="1">
        <f t="shared" si="7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64</v>
      </c>
      <c r="B29" s="1" t="s">
        <v>34</v>
      </c>
      <c r="C29" s="1"/>
      <c r="D29" s="1">
        <v>321.15600000000001</v>
      </c>
      <c r="E29" s="1">
        <v>64.066999999999993</v>
      </c>
      <c r="F29" s="1">
        <v>251.32400000000001</v>
      </c>
      <c r="G29" s="7">
        <v>1</v>
      </c>
      <c r="H29" s="1">
        <v>30</v>
      </c>
      <c r="I29" s="15" t="s">
        <v>38</v>
      </c>
      <c r="J29" s="1"/>
      <c r="K29" s="1">
        <v>68.900000000000006</v>
      </c>
      <c r="L29" s="1">
        <f t="shared" si="2"/>
        <v>-4.8330000000000126</v>
      </c>
      <c r="M29" s="1"/>
      <c r="N29" s="1"/>
      <c r="O29" s="1">
        <v>200</v>
      </c>
      <c r="P29" s="1">
        <v>0</v>
      </c>
      <c r="Q29" s="1">
        <v>0</v>
      </c>
      <c r="R29" s="1">
        <f t="shared" si="3"/>
        <v>12.813399999999998</v>
      </c>
      <c r="S29" s="5"/>
      <c r="T29" s="5">
        <f t="shared" si="5"/>
        <v>0</v>
      </c>
      <c r="U29" s="18"/>
      <c r="V29" s="18"/>
      <c r="W29" s="1">
        <f t="shared" si="6"/>
        <v>35.222813616994713</v>
      </c>
      <c r="X29" s="1">
        <f t="shared" si="4"/>
        <v>35.222813616994713</v>
      </c>
      <c r="Y29" s="1">
        <v>5.1048</v>
      </c>
      <c r="Z29" s="1">
        <v>0</v>
      </c>
      <c r="AA29" s="1">
        <v>0</v>
      </c>
      <c r="AB29" s="1">
        <v>1.0782</v>
      </c>
      <c r="AC29" s="1">
        <v>10.61</v>
      </c>
      <c r="AD29" s="1">
        <v>10.623799999999999</v>
      </c>
      <c r="AE29" s="1">
        <v>1.38</v>
      </c>
      <c r="AF29" s="1"/>
      <c r="AG29" s="1">
        <f t="shared" si="7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65</v>
      </c>
      <c r="B30" s="1" t="s">
        <v>34</v>
      </c>
      <c r="C30" s="1">
        <v>122.217</v>
      </c>
      <c r="D30" s="1">
        <v>482.33699999999999</v>
      </c>
      <c r="E30" s="1">
        <v>305.80099999999999</v>
      </c>
      <c r="F30" s="1">
        <v>174.64699999999999</v>
      </c>
      <c r="G30" s="7">
        <v>1</v>
      </c>
      <c r="H30" s="1">
        <v>40</v>
      </c>
      <c r="I30" s="1" t="s">
        <v>35</v>
      </c>
      <c r="J30" s="1"/>
      <c r="K30" s="1">
        <v>336</v>
      </c>
      <c r="L30" s="1">
        <f t="shared" si="2"/>
        <v>-30.199000000000012</v>
      </c>
      <c r="M30" s="1"/>
      <c r="N30" s="1"/>
      <c r="O30" s="1">
        <v>0</v>
      </c>
      <c r="P30" s="1">
        <v>293.26580000000001</v>
      </c>
      <c r="Q30" s="1">
        <v>245.71860000000009</v>
      </c>
      <c r="R30" s="1">
        <f t="shared" si="3"/>
        <v>61.160199999999996</v>
      </c>
      <c r="S30" s="5"/>
      <c r="T30" s="5">
        <f t="shared" si="5"/>
        <v>0</v>
      </c>
      <c r="U30" s="18"/>
      <c r="V30" s="18"/>
      <c r="W30" s="1">
        <f t="shared" si="6"/>
        <v>11.668231954767972</v>
      </c>
      <c r="X30" s="1">
        <f t="shared" si="4"/>
        <v>11.668231954767972</v>
      </c>
      <c r="Y30" s="1">
        <v>63.699399999999997</v>
      </c>
      <c r="Z30" s="1">
        <v>59.421999999999997</v>
      </c>
      <c r="AA30" s="1">
        <v>44.277200000000001</v>
      </c>
      <c r="AB30" s="1">
        <v>55.958399999999997</v>
      </c>
      <c r="AC30" s="1">
        <v>72.36760000000001</v>
      </c>
      <c r="AD30" s="1">
        <v>47.904000000000003</v>
      </c>
      <c r="AE30" s="1">
        <v>60.401599999999988</v>
      </c>
      <c r="AF30" s="1"/>
      <c r="AG30" s="1">
        <f t="shared" si="7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66</v>
      </c>
      <c r="B31" s="1" t="s">
        <v>34</v>
      </c>
      <c r="C31" s="1">
        <v>31.808</v>
      </c>
      <c r="D31" s="1">
        <v>18.940000000000001</v>
      </c>
      <c r="E31" s="1"/>
      <c r="F31" s="1">
        <v>47.828000000000003</v>
      </c>
      <c r="G31" s="7">
        <v>1</v>
      </c>
      <c r="H31" s="1">
        <v>40</v>
      </c>
      <c r="I31" s="1" t="s">
        <v>35</v>
      </c>
      <c r="J31" s="1"/>
      <c r="K31" s="1">
        <v>3.8</v>
      </c>
      <c r="L31" s="1">
        <f t="shared" si="2"/>
        <v>-3.8</v>
      </c>
      <c r="M31" s="1"/>
      <c r="N31" s="1"/>
      <c r="O31" s="1">
        <v>0</v>
      </c>
      <c r="P31" s="1">
        <v>0</v>
      </c>
      <c r="Q31" s="1">
        <v>0</v>
      </c>
      <c r="R31" s="1">
        <f t="shared" si="3"/>
        <v>0</v>
      </c>
      <c r="S31" s="5"/>
      <c r="T31" s="5">
        <f t="shared" si="5"/>
        <v>0</v>
      </c>
      <c r="U31" s="18"/>
      <c r="V31" s="18"/>
      <c r="W31" s="1" t="e">
        <f t="shared" si="6"/>
        <v>#DIV/0!</v>
      </c>
      <c r="X31" s="1" t="e">
        <f t="shared" si="4"/>
        <v>#DIV/0!</v>
      </c>
      <c r="Y31" s="1">
        <v>0</v>
      </c>
      <c r="Z31" s="1">
        <v>0.28399999999999997</v>
      </c>
      <c r="AA31" s="1">
        <v>0.28399999999999997</v>
      </c>
      <c r="AB31" s="1">
        <v>0</v>
      </c>
      <c r="AC31" s="1">
        <v>0</v>
      </c>
      <c r="AD31" s="1">
        <v>0</v>
      </c>
      <c r="AE31" s="1">
        <v>0</v>
      </c>
      <c r="AF31" s="17" t="s">
        <v>46</v>
      </c>
      <c r="AG31" s="1">
        <f t="shared" si="7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67</v>
      </c>
      <c r="B32" s="1" t="s">
        <v>34</v>
      </c>
      <c r="C32" s="1">
        <v>39.335999999999999</v>
      </c>
      <c r="D32" s="1">
        <v>1.3460000000000001</v>
      </c>
      <c r="E32" s="1"/>
      <c r="F32" s="1">
        <v>39.335999999999999</v>
      </c>
      <c r="G32" s="7">
        <v>1</v>
      </c>
      <c r="H32" s="1">
        <v>30</v>
      </c>
      <c r="I32" s="15" t="s">
        <v>38</v>
      </c>
      <c r="J32" s="1"/>
      <c r="K32" s="1">
        <v>6.5</v>
      </c>
      <c r="L32" s="1">
        <f t="shared" si="2"/>
        <v>-6.5</v>
      </c>
      <c r="M32" s="1"/>
      <c r="N32" s="1"/>
      <c r="O32" s="1">
        <v>0</v>
      </c>
      <c r="P32" s="1">
        <v>0</v>
      </c>
      <c r="Q32" s="1">
        <v>0</v>
      </c>
      <c r="R32" s="1">
        <f t="shared" si="3"/>
        <v>0</v>
      </c>
      <c r="S32" s="5"/>
      <c r="T32" s="5">
        <f t="shared" si="5"/>
        <v>0</v>
      </c>
      <c r="U32" s="18"/>
      <c r="V32" s="18"/>
      <c r="W32" s="1" t="e">
        <f t="shared" si="6"/>
        <v>#DIV/0!</v>
      </c>
      <c r="X32" s="1" t="e">
        <f t="shared" si="4"/>
        <v>#DIV/0!</v>
      </c>
      <c r="Y32" s="1">
        <v>0.26919999999999999</v>
      </c>
      <c r="Z32" s="1">
        <v>0</v>
      </c>
      <c r="AA32" s="1">
        <v>0</v>
      </c>
      <c r="AB32" s="1">
        <v>0.26960000000000001</v>
      </c>
      <c r="AC32" s="1">
        <v>0.26960000000000001</v>
      </c>
      <c r="AD32" s="1">
        <v>0</v>
      </c>
      <c r="AE32" s="1">
        <v>0</v>
      </c>
      <c r="AF32" s="17" t="s">
        <v>46</v>
      </c>
      <c r="AG32" s="1">
        <f t="shared" si="7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68</v>
      </c>
      <c r="B33" s="1" t="s">
        <v>34</v>
      </c>
      <c r="C33" s="1">
        <v>195.81800000000001</v>
      </c>
      <c r="D33" s="1"/>
      <c r="E33" s="1">
        <v>8.1929999999999996</v>
      </c>
      <c r="F33" s="1">
        <v>187.625</v>
      </c>
      <c r="G33" s="7">
        <v>1</v>
      </c>
      <c r="H33" s="1">
        <v>50</v>
      </c>
      <c r="I33" s="1" t="s">
        <v>35</v>
      </c>
      <c r="J33" s="1"/>
      <c r="K33" s="1">
        <v>7.5</v>
      </c>
      <c r="L33" s="1">
        <f t="shared" si="2"/>
        <v>0.69299999999999962</v>
      </c>
      <c r="M33" s="1"/>
      <c r="N33" s="1"/>
      <c r="O33" s="1">
        <v>0</v>
      </c>
      <c r="P33" s="1">
        <v>0</v>
      </c>
      <c r="Q33" s="1">
        <v>0</v>
      </c>
      <c r="R33" s="1">
        <f t="shared" si="3"/>
        <v>1.6385999999999998</v>
      </c>
      <c r="S33" s="5"/>
      <c r="T33" s="5">
        <f t="shared" si="5"/>
        <v>0</v>
      </c>
      <c r="U33" s="18"/>
      <c r="V33" s="18"/>
      <c r="W33" s="1">
        <f t="shared" si="6"/>
        <v>114.50323446844868</v>
      </c>
      <c r="X33" s="1">
        <f t="shared" si="4"/>
        <v>114.50323446844868</v>
      </c>
      <c r="Y33" s="1">
        <v>4.7336</v>
      </c>
      <c r="Z33" s="1">
        <v>5.1031999999999993</v>
      </c>
      <c r="AA33" s="1">
        <v>2.7387999999999999</v>
      </c>
      <c r="AB33" s="1">
        <v>2.1768000000000001</v>
      </c>
      <c r="AC33" s="1">
        <v>2.9064000000000001</v>
      </c>
      <c r="AD33" s="1">
        <v>1.2767999999999999</v>
      </c>
      <c r="AE33" s="1">
        <v>-0.1764</v>
      </c>
      <c r="AF33" s="17" t="s">
        <v>46</v>
      </c>
      <c r="AG33" s="1">
        <f t="shared" si="7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69</v>
      </c>
      <c r="B34" s="1" t="s">
        <v>34</v>
      </c>
      <c r="C34" s="1">
        <v>83.135000000000005</v>
      </c>
      <c r="D34" s="1"/>
      <c r="E34" s="1">
        <v>4.516</v>
      </c>
      <c r="F34" s="1">
        <v>78.619</v>
      </c>
      <c r="G34" s="7">
        <v>1</v>
      </c>
      <c r="H34" s="1">
        <v>50</v>
      </c>
      <c r="I34" s="1" t="s">
        <v>35</v>
      </c>
      <c r="J34" s="1"/>
      <c r="K34" s="1">
        <v>4.2</v>
      </c>
      <c r="L34" s="1">
        <f t="shared" si="2"/>
        <v>0.31599999999999984</v>
      </c>
      <c r="M34" s="1"/>
      <c r="N34" s="1"/>
      <c r="O34" s="1">
        <v>0</v>
      </c>
      <c r="P34" s="1">
        <v>0</v>
      </c>
      <c r="Q34" s="1">
        <v>0</v>
      </c>
      <c r="R34" s="1">
        <f t="shared" si="3"/>
        <v>0.9032</v>
      </c>
      <c r="S34" s="5"/>
      <c r="T34" s="5">
        <f t="shared" si="5"/>
        <v>0</v>
      </c>
      <c r="U34" s="18"/>
      <c r="V34" s="18"/>
      <c r="W34" s="1">
        <f t="shared" si="6"/>
        <v>87.044951284322408</v>
      </c>
      <c r="X34" s="1">
        <f t="shared" si="4"/>
        <v>87.044951284322408</v>
      </c>
      <c r="Y34" s="1">
        <v>1.6294</v>
      </c>
      <c r="Z34" s="1">
        <v>0.72619999999999996</v>
      </c>
      <c r="AA34" s="1">
        <v>0.54480000000000006</v>
      </c>
      <c r="AB34" s="1">
        <v>1.0824</v>
      </c>
      <c r="AC34" s="1">
        <v>0.90259999999999996</v>
      </c>
      <c r="AD34" s="1">
        <v>0</v>
      </c>
      <c r="AE34" s="1">
        <v>0.36520000000000002</v>
      </c>
      <c r="AF34" s="17" t="s">
        <v>46</v>
      </c>
      <c r="AG34" s="1">
        <f t="shared" si="7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70</v>
      </c>
      <c r="B35" s="1" t="s">
        <v>40</v>
      </c>
      <c r="C35" s="1">
        <v>-2</v>
      </c>
      <c r="D35" s="1">
        <v>963</v>
      </c>
      <c r="E35" s="1">
        <v>565</v>
      </c>
      <c r="F35" s="1">
        <v>226</v>
      </c>
      <c r="G35" s="7">
        <v>0.4</v>
      </c>
      <c r="H35" s="1">
        <v>45</v>
      </c>
      <c r="I35" s="15" t="s">
        <v>38</v>
      </c>
      <c r="J35" s="1"/>
      <c r="K35" s="1">
        <v>754</v>
      </c>
      <c r="L35" s="1">
        <f t="shared" si="2"/>
        <v>-189</v>
      </c>
      <c r="M35" s="1"/>
      <c r="N35" s="1"/>
      <c r="O35" s="1">
        <v>422.40000000000009</v>
      </c>
      <c r="P35" s="1">
        <v>0</v>
      </c>
      <c r="Q35" s="1">
        <v>7</v>
      </c>
      <c r="R35" s="1">
        <f t="shared" si="3"/>
        <v>113</v>
      </c>
      <c r="S35" s="5">
        <f t="shared" ref="S35:S73" si="11">11*R35-Q35-P35-O35-F35</f>
        <v>587.59999999999991</v>
      </c>
      <c r="T35" s="5">
        <f>S35+R35*$T$1</f>
        <v>858.8</v>
      </c>
      <c r="U35" s="18"/>
      <c r="V35" s="18"/>
      <c r="W35" s="1">
        <f t="shared" si="6"/>
        <v>13.4</v>
      </c>
      <c r="X35" s="1">
        <f t="shared" si="4"/>
        <v>5.8000000000000007</v>
      </c>
      <c r="Y35" s="1">
        <v>63.2</v>
      </c>
      <c r="Z35" s="1">
        <v>53.6</v>
      </c>
      <c r="AA35" s="1">
        <v>102.2</v>
      </c>
      <c r="AB35" s="1">
        <v>53.4</v>
      </c>
      <c r="AC35" s="1">
        <v>26.6</v>
      </c>
      <c r="AD35" s="1">
        <v>28.2</v>
      </c>
      <c r="AE35" s="1">
        <v>39</v>
      </c>
      <c r="AF35" s="1"/>
      <c r="AG35" s="1">
        <f t="shared" si="7"/>
        <v>344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71</v>
      </c>
      <c r="B36" s="1" t="s">
        <v>40</v>
      </c>
      <c r="C36" s="1">
        <v>166</v>
      </c>
      <c r="D36" s="1">
        <v>148</v>
      </c>
      <c r="E36" s="1">
        <v>162</v>
      </c>
      <c r="F36" s="1">
        <v>134</v>
      </c>
      <c r="G36" s="7">
        <v>0.45</v>
      </c>
      <c r="H36" s="1">
        <v>50</v>
      </c>
      <c r="I36" s="1" t="s">
        <v>35</v>
      </c>
      <c r="J36" s="1"/>
      <c r="K36" s="1">
        <v>183</v>
      </c>
      <c r="L36" s="1">
        <f t="shared" si="2"/>
        <v>-21</v>
      </c>
      <c r="M36" s="1"/>
      <c r="N36" s="1"/>
      <c r="O36" s="1">
        <v>151.4</v>
      </c>
      <c r="P36" s="1">
        <v>30</v>
      </c>
      <c r="Q36" s="1">
        <v>14.599999999999991</v>
      </c>
      <c r="R36" s="1">
        <f t="shared" si="3"/>
        <v>32.4</v>
      </c>
      <c r="S36" s="5">
        <f t="shared" si="11"/>
        <v>26.400000000000006</v>
      </c>
      <c r="T36" s="5">
        <f t="shared" si="5"/>
        <v>26.400000000000006</v>
      </c>
      <c r="U36" s="18"/>
      <c r="V36" s="18"/>
      <c r="W36" s="1">
        <f t="shared" si="6"/>
        <v>11</v>
      </c>
      <c r="X36" s="1">
        <f t="shared" si="4"/>
        <v>10.185185185185183</v>
      </c>
      <c r="Y36" s="1">
        <v>31</v>
      </c>
      <c r="Z36" s="1">
        <v>32</v>
      </c>
      <c r="AA36" s="1">
        <v>38.4</v>
      </c>
      <c r="AB36" s="1">
        <v>39.4</v>
      </c>
      <c r="AC36" s="1">
        <v>42.2</v>
      </c>
      <c r="AD36" s="1">
        <v>30.8</v>
      </c>
      <c r="AE36" s="1">
        <v>24.6</v>
      </c>
      <c r="AF36" s="1"/>
      <c r="AG36" s="1">
        <f t="shared" si="7"/>
        <v>12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72</v>
      </c>
      <c r="B37" s="1" t="s">
        <v>40</v>
      </c>
      <c r="C37" s="1">
        <v>3</v>
      </c>
      <c r="D37" s="1">
        <v>553</v>
      </c>
      <c r="E37" s="1">
        <v>296</v>
      </c>
      <c r="F37" s="1">
        <v>211</v>
      </c>
      <c r="G37" s="7">
        <v>0.4</v>
      </c>
      <c r="H37" s="1">
        <v>45</v>
      </c>
      <c r="I37" s="1" t="s">
        <v>35</v>
      </c>
      <c r="J37" s="1"/>
      <c r="K37" s="1">
        <v>355</v>
      </c>
      <c r="L37" s="1">
        <f t="shared" si="2"/>
        <v>-59</v>
      </c>
      <c r="M37" s="1"/>
      <c r="N37" s="1"/>
      <c r="O37" s="1">
        <v>56</v>
      </c>
      <c r="P37" s="1">
        <v>100</v>
      </c>
      <c r="Q37" s="1">
        <v>287</v>
      </c>
      <c r="R37" s="1">
        <f t="shared" si="3"/>
        <v>59.2</v>
      </c>
      <c r="S37" s="5"/>
      <c r="T37" s="5">
        <f>U37</f>
        <v>360</v>
      </c>
      <c r="U37" s="18">
        <f>VLOOKUP(A37,[2]Sheet!$A:$U,20,0)</f>
        <v>360</v>
      </c>
      <c r="V37" s="18" t="str">
        <f>VLOOKUP(A37,[2]Sheet!$A:$U,21,0)</f>
        <v>Промо</v>
      </c>
      <c r="W37" s="1">
        <f t="shared" si="6"/>
        <v>17.128378378378379</v>
      </c>
      <c r="X37" s="1">
        <f t="shared" si="4"/>
        <v>11.047297297297296</v>
      </c>
      <c r="Y37" s="1">
        <v>62</v>
      </c>
      <c r="Z37" s="1">
        <v>43.2</v>
      </c>
      <c r="AA37" s="1">
        <v>46</v>
      </c>
      <c r="AB37" s="1">
        <v>28</v>
      </c>
      <c r="AC37" s="1">
        <v>30.6</v>
      </c>
      <c r="AD37" s="1">
        <v>40.799999999999997</v>
      </c>
      <c r="AE37" s="1">
        <v>33</v>
      </c>
      <c r="AF37" s="1"/>
      <c r="AG37" s="1">
        <f t="shared" si="7"/>
        <v>144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73</v>
      </c>
      <c r="B38" s="1" t="s">
        <v>40</v>
      </c>
      <c r="C38" s="1">
        <v>49</v>
      </c>
      <c r="D38" s="1">
        <v>150</v>
      </c>
      <c r="E38" s="1">
        <v>40</v>
      </c>
      <c r="F38" s="1">
        <v>153</v>
      </c>
      <c r="G38" s="7">
        <v>0.4</v>
      </c>
      <c r="H38" s="1">
        <v>40</v>
      </c>
      <c r="I38" s="1" t="s">
        <v>35</v>
      </c>
      <c r="J38" s="1"/>
      <c r="K38" s="1">
        <v>49</v>
      </c>
      <c r="L38" s="1">
        <f t="shared" ref="L38:L69" si="12">E38-K38</f>
        <v>-9</v>
      </c>
      <c r="M38" s="1"/>
      <c r="N38" s="1"/>
      <c r="O38" s="1">
        <v>45.799999999999983</v>
      </c>
      <c r="P38" s="1">
        <v>0</v>
      </c>
      <c r="Q38" s="1">
        <v>0</v>
      </c>
      <c r="R38" s="1">
        <f t="shared" ref="R38:R69" si="13">E38/5</f>
        <v>8</v>
      </c>
      <c r="S38" s="5"/>
      <c r="T38" s="5">
        <f t="shared" si="5"/>
        <v>0</v>
      </c>
      <c r="U38" s="18"/>
      <c r="V38" s="18"/>
      <c r="W38" s="1">
        <f t="shared" si="6"/>
        <v>24.849999999999998</v>
      </c>
      <c r="X38" s="1">
        <f t="shared" ref="X38:X69" si="14">(F38+O38+P38+Q38)/R38</f>
        <v>24.849999999999998</v>
      </c>
      <c r="Y38" s="1">
        <v>9.1999999999999993</v>
      </c>
      <c r="Z38" s="1">
        <v>20</v>
      </c>
      <c r="AA38" s="1">
        <v>20.399999999999999</v>
      </c>
      <c r="AB38" s="1">
        <v>16.8</v>
      </c>
      <c r="AC38" s="1">
        <v>14.4</v>
      </c>
      <c r="AD38" s="1">
        <v>0.8</v>
      </c>
      <c r="AE38" s="1">
        <v>0</v>
      </c>
      <c r="AF38" s="17" t="s">
        <v>46</v>
      </c>
      <c r="AG38" s="1">
        <f t="shared" si="7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75</v>
      </c>
      <c r="B39" s="1" t="s">
        <v>34</v>
      </c>
      <c r="C39" s="1">
        <v>55.243000000000002</v>
      </c>
      <c r="D39" s="1"/>
      <c r="E39" s="1">
        <v>1.419</v>
      </c>
      <c r="F39" s="1">
        <v>53.823999999999998</v>
      </c>
      <c r="G39" s="7">
        <v>1</v>
      </c>
      <c r="H39" s="1">
        <v>45</v>
      </c>
      <c r="I39" s="15" t="s">
        <v>38</v>
      </c>
      <c r="J39" s="1"/>
      <c r="K39" s="1">
        <v>1.3</v>
      </c>
      <c r="L39" s="1">
        <f t="shared" si="12"/>
        <v>0.11899999999999999</v>
      </c>
      <c r="M39" s="1"/>
      <c r="N39" s="1"/>
      <c r="O39" s="1">
        <v>0</v>
      </c>
      <c r="P39" s="1">
        <v>0</v>
      </c>
      <c r="Q39" s="1">
        <v>0</v>
      </c>
      <c r="R39" s="1">
        <f t="shared" si="13"/>
        <v>0.2838</v>
      </c>
      <c r="S39" s="5"/>
      <c r="T39" s="5">
        <f t="shared" si="5"/>
        <v>0</v>
      </c>
      <c r="U39" s="18"/>
      <c r="V39" s="18"/>
      <c r="W39" s="1">
        <f t="shared" si="6"/>
        <v>189.65468639887243</v>
      </c>
      <c r="X39" s="1">
        <f t="shared" si="14"/>
        <v>189.65468639887243</v>
      </c>
      <c r="Y39" s="1">
        <v>0.5706</v>
      </c>
      <c r="Z39" s="1">
        <v>0.5706</v>
      </c>
      <c r="AA39" s="1">
        <v>0</v>
      </c>
      <c r="AB39" s="1">
        <v>0</v>
      </c>
      <c r="AC39" s="1">
        <v>0.28079999999999999</v>
      </c>
      <c r="AD39" s="1">
        <v>0.28079999999999999</v>
      </c>
      <c r="AE39" s="1">
        <v>0.86159999999999992</v>
      </c>
      <c r="AF39" s="17" t="s">
        <v>46</v>
      </c>
      <c r="AG39" s="1">
        <f t="shared" si="7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76</v>
      </c>
      <c r="B40" s="1" t="s">
        <v>40</v>
      </c>
      <c r="C40" s="1">
        <v>303</v>
      </c>
      <c r="D40" s="1">
        <v>3</v>
      </c>
      <c r="E40" s="1">
        <v>69</v>
      </c>
      <c r="F40" s="1">
        <v>234</v>
      </c>
      <c r="G40" s="7">
        <v>0.1</v>
      </c>
      <c r="H40" s="1">
        <v>731</v>
      </c>
      <c r="I40" s="1" t="s">
        <v>35</v>
      </c>
      <c r="J40" s="1"/>
      <c r="K40" s="1">
        <v>80</v>
      </c>
      <c r="L40" s="1">
        <f t="shared" si="12"/>
        <v>-11</v>
      </c>
      <c r="M40" s="1"/>
      <c r="N40" s="1"/>
      <c r="O40" s="1">
        <v>0</v>
      </c>
      <c r="P40" s="1">
        <v>0</v>
      </c>
      <c r="Q40" s="1">
        <v>0</v>
      </c>
      <c r="R40" s="1">
        <f t="shared" si="13"/>
        <v>13.8</v>
      </c>
      <c r="S40" s="5"/>
      <c r="T40" s="5">
        <f t="shared" si="5"/>
        <v>0</v>
      </c>
      <c r="U40" s="18"/>
      <c r="V40" s="18"/>
      <c r="W40" s="1">
        <f t="shared" si="6"/>
        <v>16.956521739130434</v>
      </c>
      <c r="X40" s="1">
        <f t="shared" si="14"/>
        <v>16.956521739130434</v>
      </c>
      <c r="Y40" s="1">
        <v>14.2</v>
      </c>
      <c r="Z40" s="1">
        <v>7.6</v>
      </c>
      <c r="AA40" s="1">
        <v>9.4</v>
      </c>
      <c r="AB40" s="1">
        <v>10</v>
      </c>
      <c r="AC40" s="1">
        <v>7.4</v>
      </c>
      <c r="AD40" s="1">
        <v>3.4</v>
      </c>
      <c r="AE40" s="1">
        <v>6.6</v>
      </c>
      <c r="AF40" s="16" t="s">
        <v>74</v>
      </c>
      <c r="AG40" s="1">
        <f t="shared" si="7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77</v>
      </c>
      <c r="B41" s="1" t="s">
        <v>40</v>
      </c>
      <c r="C41" s="1">
        <v>3</v>
      </c>
      <c r="D41" s="1">
        <v>196</v>
      </c>
      <c r="E41" s="1">
        <v>9</v>
      </c>
      <c r="F41" s="1">
        <v>186</v>
      </c>
      <c r="G41" s="7">
        <v>0.35</v>
      </c>
      <c r="H41" s="1">
        <v>40</v>
      </c>
      <c r="I41" s="15" t="s">
        <v>38</v>
      </c>
      <c r="J41" s="1"/>
      <c r="K41" s="1">
        <v>13</v>
      </c>
      <c r="L41" s="1">
        <f t="shared" si="12"/>
        <v>-4</v>
      </c>
      <c r="M41" s="1"/>
      <c r="N41" s="1"/>
      <c r="O41" s="1">
        <v>100</v>
      </c>
      <c r="P41" s="1">
        <v>0</v>
      </c>
      <c r="Q41" s="1">
        <v>20</v>
      </c>
      <c r="R41" s="1">
        <f t="shared" si="13"/>
        <v>1.8</v>
      </c>
      <c r="S41" s="5"/>
      <c r="T41" s="5">
        <f t="shared" si="5"/>
        <v>0</v>
      </c>
      <c r="U41" s="18"/>
      <c r="V41" s="18"/>
      <c r="W41" s="1">
        <f t="shared" si="6"/>
        <v>170</v>
      </c>
      <c r="X41" s="1">
        <f t="shared" si="14"/>
        <v>170</v>
      </c>
      <c r="Y41" s="1">
        <v>1.8</v>
      </c>
      <c r="Z41" s="1">
        <v>0.6</v>
      </c>
      <c r="AA41" s="1">
        <v>0</v>
      </c>
      <c r="AB41" s="1">
        <v>0</v>
      </c>
      <c r="AC41" s="1">
        <v>0</v>
      </c>
      <c r="AD41" s="1">
        <v>0</v>
      </c>
      <c r="AE41" s="1">
        <v>0.2</v>
      </c>
      <c r="AF41" s="1"/>
      <c r="AG41" s="1">
        <f t="shared" si="7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78</v>
      </c>
      <c r="B42" s="1" t="s">
        <v>34</v>
      </c>
      <c r="C42" s="1">
        <v>50.926000000000002</v>
      </c>
      <c r="D42" s="1">
        <v>48.421999999999997</v>
      </c>
      <c r="E42" s="1">
        <v>33.670999999999999</v>
      </c>
      <c r="F42" s="1">
        <v>63.488</v>
      </c>
      <c r="G42" s="7">
        <v>1</v>
      </c>
      <c r="H42" s="1">
        <v>40</v>
      </c>
      <c r="I42" s="1" t="s">
        <v>35</v>
      </c>
      <c r="J42" s="1"/>
      <c r="K42" s="1">
        <v>37.799999999999997</v>
      </c>
      <c r="L42" s="1">
        <f t="shared" si="12"/>
        <v>-4.1289999999999978</v>
      </c>
      <c r="M42" s="1"/>
      <c r="N42" s="1"/>
      <c r="O42" s="1">
        <v>50</v>
      </c>
      <c r="P42" s="1">
        <v>0</v>
      </c>
      <c r="Q42" s="1">
        <v>40</v>
      </c>
      <c r="R42" s="1">
        <f t="shared" si="13"/>
        <v>6.7341999999999995</v>
      </c>
      <c r="S42" s="5"/>
      <c r="T42" s="5">
        <v>20</v>
      </c>
      <c r="U42" s="18">
        <f>VLOOKUP(A42,[2]Sheet!$A:$U,20,0)</f>
        <v>90</v>
      </c>
      <c r="V42" s="18" t="str">
        <f>VLOOKUP(A42,[2]Sheet!$A:$U,21,0)</f>
        <v>Есть потребность</v>
      </c>
      <c r="W42" s="1">
        <f t="shared" si="6"/>
        <v>25.762228624038492</v>
      </c>
      <c r="X42" s="1">
        <f t="shared" si="14"/>
        <v>22.792313860592202</v>
      </c>
      <c r="Y42" s="1">
        <v>8.4418000000000006</v>
      </c>
      <c r="Z42" s="1">
        <v>7.5246000000000004</v>
      </c>
      <c r="AA42" s="1">
        <v>4.3243999999999998</v>
      </c>
      <c r="AB42" s="1">
        <v>5.9077999999999999</v>
      </c>
      <c r="AC42" s="1">
        <v>5.9042000000000003</v>
      </c>
      <c r="AD42" s="1">
        <v>1.0089999999999999</v>
      </c>
      <c r="AE42" s="1">
        <v>0</v>
      </c>
      <c r="AF42" s="16" t="s">
        <v>74</v>
      </c>
      <c r="AG42" s="1">
        <f t="shared" si="7"/>
        <v>20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79</v>
      </c>
      <c r="B43" s="1" t="s">
        <v>40</v>
      </c>
      <c r="C43" s="1">
        <v>1</v>
      </c>
      <c r="D43" s="1">
        <v>168</v>
      </c>
      <c r="E43" s="1">
        <v>146</v>
      </c>
      <c r="F43" s="1">
        <v>5</v>
      </c>
      <c r="G43" s="7">
        <v>0.4</v>
      </c>
      <c r="H43" s="1">
        <v>40</v>
      </c>
      <c r="I43" s="15" t="s">
        <v>38</v>
      </c>
      <c r="J43" s="1"/>
      <c r="K43" s="1">
        <v>205</v>
      </c>
      <c r="L43" s="1">
        <f t="shared" si="12"/>
        <v>-59</v>
      </c>
      <c r="M43" s="1"/>
      <c r="N43" s="1"/>
      <c r="O43" s="1">
        <v>73.399999999999977</v>
      </c>
      <c r="P43" s="1">
        <v>40</v>
      </c>
      <c r="Q43" s="1">
        <v>179.60000000000011</v>
      </c>
      <c r="R43" s="1">
        <f t="shared" si="13"/>
        <v>29.2</v>
      </c>
      <c r="S43" s="5">
        <f t="shared" si="11"/>
        <v>23.199999999999903</v>
      </c>
      <c r="T43" s="5">
        <f t="shared" si="5"/>
        <v>23.199999999999903</v>
      </c>
      <c r="U43" s="18"/>
      <c r="V43" s="18"/>
      <c r="W43" s="1">
        <f t="shared" si="6"/>
        <v>11.000000000000002</v>
      </c>
      <c r="X43" s="1">
        <f t="shared" si="14"/>
        <v>10.205479452054799</v>
      </c>
      <c r="Y43" s="1">
        <v>29.6</v>
      </c>
      <c r="Z43" s="1">
        <v>4.8</v>
      </c>
      <c r="AA43" s="1">
        <v>18.2</v>
      </c>
      <c r="AB43" s="1">
        <v>13.4</v>
      </c>
      <c r="AC43" s="1">
        <v>1</v>
      </c>
      <c r="AD43" s="1">
        <v>6.4</v>
      </c>
      <c r="AE43" s="1">
        <v>11.2</v>
      </c>
      <c r="AF43" s="1"/>
      <c r="AG43" s="1">
        <f t="shared" si="7"/>
        <v>9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80</v>
      </c>
      <c r="B44" s="1" t="s">
        <v>40</v>
      </c>
      <c r="C44" s="1">
        <v>3</v>
      </c>
      <c r="D44" s="1">
        <v>24</v>
      </c>
      <c r="E44" s="1">
        <v>32</v>
      </c>
      <c r="F44" s="1">
        <v>-5</v>
      </c>
      <c r="G44" s="7">
        <v>0.4</v>
      </c>
      <c r="H44" s="1">
        <v>45</v>
      </c>
      <c r="I44" s="15" t="s">
        <v>38</v>
      </c>
      <c r="J44" s="1"/>
      <c r="K44" s="1">
        <v>57</v>
      </c>
      <c r="L44" s="1">
        <f t="shared" si="12"/>
        <v>-25</v>
      </c>
      <c r="M44" s="1"/>
      <c r="N44" s="1"/>
      <c r="O44" s="1">
        <v>319.8</v>
      </c>
      <c r="P44" s="1">
        <v>92.8</v>
      </c>
      <c r="Q44" s="1">
        <v>0</v>
      </c>
      <c r="R44" s="1">
        <f t="shared" si="13"/>
        <v>6.4</v>
      </c>
      <c r="S44" s="5"/>
      <c r="T44" s="5">
        <f t="shared" si="5"/>
        <v>0</v>
      </c>
      <c r="U44" s="18"/>
      <c r="V44" s="18"/>
      <c r="W44" s="1">
        <f t="shared" si="6"/>
        <v>63.6875</v>
      </c>
      <c r="X44" s="1">
        <f t="shared" si="14"/>
        <v>63.6875</v>
      </c>
      <c r="Y44" s="1">
        <v>2.4</v>
      </c>
      <c r="Z44" s="1">
        <v>31.4</v>
      </c>
      <c r="AA44" s="1">
        <v>41.6</v>
      </c>
      <c r="AB44" s="1">
        <v>10.199999999999999</v>
      </c>
      <c r="AC44" s="1">
        <v>2.8</v>
      </c>
      <c r="AD44" s="1">
        <v>16.8</v>
      </c>
      <c r="AE44" s="1">
        <v>13.6</v>
      </c>
      <c r="AF44" s="1"/>
      <c r="AG44" s="1">
        <f t="shared" si="7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81</v>
      </c>
      <c r="B45" s="1" t="s">
        <v>34</v>
      </c>
      <c r="C45" s="1">
        <v>24.593</v>
      </c>
      <c r="D45" s="1">
        <v>181.78899999999999</v>
      </c>
      <c r="E45" s="1">
        <v>67.998000000000005</v>
      </c>
      <c r="F45" s="1">
        <v>135.30699999999999</v>
      </c>
      <c r="G45" s="7">
        <v>1</v>
      </c>
      <c r="H45" s="1">
        <v>40</v>
      </c>
      <c r="I45" s="15" t="s">
        <v>38</v>
      </c>
      <c r="J45" s="1"/>
      <c r="K45" s="1">
        <v>74.599999999999994</v>
      </c>
      <c r="L45" s="1">
        <f t="shared" si="12"/>
        <v>-6.6019999999999897</v>
      </c>
      <c r="M45" s="1"/>
      <c r="N45" s="1"/>
      <c r="O45" s="1">
        <v>0</v>
      </c>
      <c r="P45" s="1">
        <v>0</v>
      </c>
      <c r="Q45" s="1">
        <v>70</v>
      </c>
      <c r="R45" s="1">
        <f t="shared" si="13"/>
        <v>13.599600000000001</v>
      </c>
      <c r="S45" s="5"/>
      <c r="T45" s="5">
        <f>U45</f>
        <v>70</v>
      </c>
      <c r="U45" s="18">
        <f>VLOOKUP(A45,[2]Sheet!$A:$U,20,0)</f>
        <v>70</v>
      </c>
      <c r="V45" s="18" t="str">
        <f>VLOOKUP(A45,[2]Sheet!$A:$U,21,0)</f>
        <v>Есть потребность</v>
      </c>
      <c r="W45" s="1">
        <f t="shared" si="6"/>
        <v>20.243757169328511</v>
      </c>
      <c r="X45" s="1">
        <f t="shared" si="14"/>
        <v>15.096546957263447</v>
      </c>
      <c r="Y45" s="1">
        <v>13.8468</v>
      </c>
      <c r="Z45" s="1">
        <v>12.6638</v>
      </c>
      <c r="AA45" s="1">
        <v>8.3835999999999995</v>
      </c>
      <c r="AB45" s="1">
        <v>14.5374</v>
      </c>
      <c r="AC45" s="1">
        <v>13.6366</v>
      </c>
      <c r="AD45" s="1">
        <v>1.7524</v>
      </c>
      <c r="AE45" s="1">
        <v>0</v>
      </c>
      <c r="AF45" s="1"/>
      <c r="AG45" s="1">
        <f t="shared" si="7"/>
        <v>70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82</v>
      </c>
      <c r="B46" s="1" t="s">
        <v>40</v>
      </c>
      <c r="C46" s="1"/>
      <c r="D46" s="1">
        <v>256</v>
      </c>
      <c r="E46" s="1">
        <v>64</v>
      </c>
      <c r="F46" s="1">
        <v>188</v>
      </c>
      <c r="G46" s="7">
        <v>0.35</v>
      </c>
      <c r="H46" s="1">
        <v>40</v>
      </c>
      <c r="I46" s="15" t="s">
        <v>38</v>
      </c>
      <c r="J46" s="1"/>
      <c r="K46" s="1">
        <v>65</v>
      </c>
      <c r="L46" s="1">
        <f t="shared" si="12"/>
        <v>-1</v>
      </c>
      <c r="M46" s="1"/>
      <c r="N46" s="1"/>
      <c r="O46" s="1">
        <v>100</v>
      </c>
      <c r="P46" s="1">
        <v>0</v>
      </c>
      <c r="Q46" s="1">
        <v>30</v>
      </c>
      <c r="R46" s="1">
        <f t="shared" si="13"/>
        <v>12.8</v>
      </c>
      <c r="S46" s="5"/>
      <c r="T46" s="5">
        <f t="shared" si="5"/>
        <v>0</v>
      </c>
      <c r="U46" s="18"/>
      <c r="V46" s="18"/>
      <c r="W46" s="1">
        <f t="shared" si="6"/>
        <v>24.84375</v>
      </c>
      <c r="X46" s="1">
        <f t="shared" si="14"/>
        <v>24.84375</v>
      </c>
      <c r="Y46" s="1">
        <v>6.2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0.2</v>
      </c>
      <c r="AF46" s="1"/>
      <c r="AG46" s="1">
        <f t="shared" si="7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83</v>
      </c>
      <c r="B47" s="1" t="s">
        <v>40</v>
      </c>
      <c r="C47" s="1">
        <v>14</v>
      </c>
      <c r="D47" s="1">
        <v>351</v>
      </c>
      <c r="E47" s="1">
        <v>150</v>
      </c>
      <c r="F47" s="1">
        <v>211</v>
      </c>
      <c r="G47" s="7">
        <v>0.4</v>
      </c>
      <c r="H47" s="1">
        <v>40</v>
      </c>
      <c r="I47" s="1" t="s">
        <v>35</v>
      </c>
      <c r="J47" s="1"/>
      <c r="K47" s="1">
        <v>180</v>
      </c>
      <c r="L47" s="1">
        <f t="shared" si="12"/>
        <v>-30</v>
      </c>
      <c r="M47" s="1"/>
      <c r="N47" s="1"/>
      <c r="O47" s="1">
        <v>63.799999999999983</v>
      </c>
      <c r="P47" s="1">
        <v>0</v>
      </c>
      <c r="Q47" s="1">
        <v>44.200000000000053</v>
      </c>
      <c r="R47" s="1">
        <f t="shared" si="13"/>
        <v>30</v>
      </c>
      <c r="S47" s="5">
        <f t="shared" si="11"/>
        <v>10.999999999999972</v>
      </c>
      <c r="T47" s="5">
        <f>U47</f>
        <v>150</v>
      </c>
      <c r="U47" s="18">
        <f>VLOOKUP(A47,[2]Sheet!$A:$U,20,0)</f>
        <v>150</v>
      </c>
      <c r="V47" s="18" t="str">
        <f>VLOOKUP(A47,[2]Sheet!$A:$U,21,0)</f>
        <v>Есть потребность</v>
      </c>
      <c r="W47" s="1">
        <f t="shared" si="6"/>
        <v>15.633333333333333</v>
      </c>
      <c r="X47" s="1">
        <f t="shared" si="14"/>
        <v>10.633333333333333</v>
      </c>
      <c r="Y47" s="1">
        <v>28</v>
      </c>
      <c r="Z47" s="1">
        <v>28.8</v>
      </c>
      <c r="AA47" s="1">
        <v>33.799999999999997</v>
      </c>
      <c r="AB47" s="1">
        <v>31.8</v>
      </c>
      <c r="AC47" s="1">
        <v>42.4</v>
      </c>
      <c r="AD47" s="1">
        <v>36.200000000000003</v>
      </c>
      <c r="AE47" s="1">
        <v>21.6</v>
      </c>
      <c r="AF47" s="1"/>
      <c r="AG47" s="1">
        <f t="shared" si="7"/>
        <v>60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84</v>
      </c>
      <c r="B48" s="1" t="s">
        <v>34</v>
      </c>
      <c r="C48" s="1">
        <v>86.314999999999998</v>
      </c>
      <c r="D48" s="1">
        <v>12.032</v>
      </c>
      <c r="E48" s="1">
        <v>87.625</v>
      </c>
      <c r="F48" s="1">
        <v>-2.6459999999999999</v>
      </c>
      <c r="G48" s="7">
        <v>1</v>
      </c>
      <c r="H48" s="1">
        <v>50</v>
      </c>
      <c r="I48" s="1" t="s">
        <v>35</v>
      </c>
      <c r="J48" s="1"/>
      <c r="K48" s="1">
        <v>93.4</v>
      </c>
      <c r="L48" s="1">
        <f t="shared" si="12"/>
        <v>-5.7750000000000057</v>
      </c>
      <c r="M48" s="1"/>
      <c r="N48" s="1"/>
      <c r="O48" s="1">
        <v>57.009399999999999</v>
      </c>
      <c r="P48" s="1">
        <v>46.907199999999982</v>
      </c>
      <c r="Q48" s="1">
        <v>65.038999999999973</v>
      </c>
      <c r="R48" s="1">
        <f t="shared" si="13"/>
        <v>17.524999999999999</v>
      </c>
      <c r="S48" s="5">
        <f t="shared" si="11"/>
        <v>26.465400000000031</v>
      </c>
      <c r="T48" s="5">
        <f t="shared" si="5"/>
        <v>26.465400000000031</v>
      </c>
      <c r="U48" s="18"/>
      <c r="V48" s="18"/>
      <c r="W48" s="1">
        <f t="shared" si="6"/>
        <v>11</v>
      </c>
      <c r="X48" s="1">
        <f t="shared" si="14"/>
        <v>9.4898487874465012</v>
      </c>
      <c r="Y48" s="1">
        <v>16.215800000000002</v>
      </c>
      <c r="Z48" s="1">
        <v>14.6332</v>
      </c>
      <c r="AA48" s="1">
        <v>11.450200000000001</v>
      </c>
      <c r="AB48" s="1">
        <v>3.2991999999999999</v>
      </c>
      <c r="AC48" s="1">
        <v>0.27300000000000002</v>
      </c>
      <c r="AD48" s="1">
        <v>4.8428000000000004</v>
      </c>
      <c r="AE48" s="1">
        <v>10.234400000000001</v>
      </c>
      <c r="AF48" s="1"/>
      <c r="AG48" s="1">
        <f t="shared" si="7"/>
        <v>26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85</v>
      </c>
      <c r="B49" s="1" t="s">
        <v>34</v>
      </c>
      <c r="C49" s="1"/>
      <c r="D49" s="1">
        <v>342.19</v>
      </c>
      <c r="E49" s="1">
        <v>88.793999999999997</v>
      </c>
      <c r="F49" s="1">
        <v>246.62899999999999</v>
      </c>
      <c r="G49" s="7">
        <v>1</v>
      </c>
      <c r="H49" s="1">
        <v>50</v>
      </c>
      <c r="I49" s="1" t="s">
        <v>35</v>
      </c>
      <c r="J49" s="1"/>
      <c r="K49" s="1">
        <v>88.6</v>
      </c>
      <c r="L49" s="1">
        <f t="shared" si="12"/>
        <v>0.19400000000000261</v>
      </c>
      <c r="M49" s="1"/>
      <c r="N49" s="1"/>
      <c r="O49" s="1">
        <v>50</v>
      </c>
      <c r="P49" s="1">
        <v>0</v>
      </c>
      <c r="Q49" s="1">
        <v>60</v>
      </c>
      <c r="R49" s="1">
        <f t="shared" si="13"/>
        <v>17.758800000000001</v>
      </c>
      <c r="S49" s="5"/>
      <c r="T49" s="5">
        <f t="shared" si="5"/>
        <v>0</v>
      </c>
      <c r="U49" s="18"/>
      <c r="V49" s="18"/>
      <c r="W49" s="1">
        <f t="shared" si="6"/>
        <v>20.081818591346263</v>
      </c>
      <c r="X49" s="1">
        <f t="shared" si="14"/>
        <v>20.081818591346263</v>
      </c>
      <c r="Y49" s="1">
        <v>7.7347999999999999</v>
      </c>
      <c r="Z49" s="1">
        <v>-7.1199999999999999E-2</v>
      </c>
      <c r="AA49" s="1">
        <v>10.792199999999999</v>
      </c>
      <c r="AB49" s="1">
        <v>20.430599999999998</v>
      </c>
      <c r="AC49" s="1">
        <v>18.401599999999998</v>
      </c>
      <c r="AD49" s="1">
        <v>12.501200000000001</v>
      </c>
      <c r="AE49" s="1">
        <v>3.7355999999999998</v>
      </c>
      <c r="AF49" s="1"/>
      <c r="AG49" s="1">
        <f t="shared" si="7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86</v>
      </c>
      <c r="B50" s="1" t="s">
        <v>34</v>
      </c>
      <c r="C50" s="1">
        <v>125.419</v>
      </c>
      <c r="D50" s="1"/>
      <c r="E50" s="1">
        <v>13.77</v>
      </c>
      <c r="F50" s="1">
        <v>110.252</v>
      </c>
      <c r="G50" s="7">
        <v>1</v>
      </c>
      <c r="H50" s="1">
        <v>45</v>
      </c>
      <c r="I50" s="15" t="s">
        <v>38</v>
      </c>
      <c r="J50" s="1"/>
      <c r="K50" s="1">
        <v>11.7</v>
      </c>
      <c r="L50" s="1">
        <f t="shared" si="12"/>
        <v>2.0700000000000003</v>
      </c>
      <c r="M50" s="1"/>
      <c r="N50" s="1"/>
      <c r="O50" s="1">
        <v>0</v>
      </c>
      <c r="P50" s="1">
        <v>0</v>
      </c>
      <c r="Q50" s="1">
        <v>0</v>
      </c>
      <c r="R50" s="1">
        <f t="shared" si="13"/>
        <v>2.754</v>
      </c>
      <c r="S50" s="5"/>
      <c r="T50" s="5">
        <f t="shared" si="5"/>
        <v>0</v>
      </c>
      <c r="U50" s="18"/>
      <c r="V50" s="18"/>
      <c r="W50" s="1">
        <f t="shared" si="6"/>
        <v>40.033405954974583</v>
      </c>
      <c r="X50" s="1">
        <f t="shared" si="14"/>
        <v>40.033405954974583</v>
      </c>
      <c r="Y50" s="1">
        <v>2.4527999999999999</v>
      </c>
      <c r="Z50" s="1">
        <v>1.2292000000000001</v>
      </c>
      <c r="AA50" s="1">
        <v>2.7778</v>
      </c>
      <c r="AB50" s="1">
        <v>4.9185999999999996</v>
      </c>
      <c r="AC50" s="1">
        <v>2.7618</v>
      </c>
      <c r="AD50" s="1">
        <v>0</v>
      </c>
      <c r="AE50" s="1">
        <v>0</v>
      </c>
      <c r="AF50" s="17" t="s">
        <v>46</v>
      </c>
      <c r="AG50" s="1">
        <f t="shared" si="7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87</v>
      </c>
      <c r="B51" s="1" t="s">
        <v>40</v>
      </c>
      <c r="C51" s="1">
        <v>146</v>
      </c>
      <c r="D51" s="1">
        <v>7</v>
      </c>
      <c r="E51" s="1">
        <v>60</v>
      </c>
      <c r="F51" s="1">
        <v>86</v>
      </c>
      <c r="G51" s="7">
        <v>0.45</v>
      </c>
      <c r="H51" s="1">
        <v>50</v>
      </c>
      <c r="I51" s="1" t="s">
        <v>35</v>
      </c>
      <c r="J51" s="1"/>
      <c r="K51" s="1">
        <v>74</v>
      </c>
      <c r="L51" s="1">
        <f t="shared" si="12"/>
        <v>-14</v>
      </c>
      <c r="M51" s="1"/>
      <c r="N51" s="1"/>
      <c r="O51" s="1">
        <v>46.800000000000011</v>
      </c>
      <c r="P51" s="1">
        <v>34.799999999999997</v>
      </c>
      <c r="Q51" s="1">
        <v>54.600000000000023</v>
      </c>
      <c r="R51" s="1">
        <f t="shared" si="13"/>
        <v>12</v>
      </c>
      <c r="S51" s="5"/>
      <c r="T51" s="5">
        <f t="shared" si="5"/>
        <v>0</v>
      </c>
      <c r="U51" s="18"/>
      <c r="V51" s="18"/>
      <c r="W51" s="1">
        <f t="shared" si="6"/>
        <v>18.516666666666669</v>
      </c>
      <c r="X51" s="1">
        <f t="shared" si="14"/>
        <v>18.516666666666669</v>
      </c>
      <c r="Y51" s="1">
        <v>18.600000000000001</v>
      </c>
      <c r="Z51" s="1">
        <v>17.399999999999999</v>
      </c>
      <c r="AA51" s="1">
        <v>14.4</v>
      </c>
      <c r="AB51" s="1">
        <v>9.1999999999999993</v>
      </c>
      <c r="AC51" s="1">
        <v>16</v>
      </c>
      <c r="AD51" s="1">
        <v>15.4</v>
      </c>
      <c r="AE51" s="1">
        <v>9.6</v>
      </c>
      <c r="AF51" s="1"/>
      <c r="AG51" s="1">
        <f t="shared" si="7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88</v>
      </c>
      <c r="B52" s="1" t="s">
        <v>40</v>
      </c>
      <c r="C52" s="1">
        <v>1</v>
      </c>
      <c r="D52" s="1">
        <v>210</v>
      </c>
      <c r="E52" s="1">
        <v>94</v>
      </c>
      <c r="F52" s="1">
        <v>107</v>
      </c>
      <c r="G52" s="7">
        <v>0.45</v>
      </c>
      <c r="H52" s="1">
        <v>50</v>
      </c>
      <c r="I52" s="1" t="s">
        <v>35</v>
      </c>
      <c r="J52" s="1"/>
      <c r="K52" s="1">
        <v>105</v>
      </c>
      <c r="L52" s="1">
        <f t="shared" si="12"/>
        <v>-11</v>
      </c>
      <c r="M52" s="1"/>
      <c r="N52" s="1"/>
      <c r="O52" s="1">
        <v>200</v>
      </c>
      <c r="P52" s="1">
        <v>0</v>
      </c>
      <c r="Q52" s="1">
        <v>0</v>
      </c>
      <c r="R52" s="1">
        <f t="shared" si="13"/>
        <v>18.8</v>
      </c>
      <c r="S52" s="5"/>
      <c r="T52" s="5">
        <f t="shared" si="5"/>
        <v>0</v>
      </c>
      <c r="U52" s="18"/>
      <c r="V52" s="18"/>
      <c r="W52" s="1">
        <f t="shared" si="6"/>
        <v>16.329787234042552</v>
      </c>
      <c r="X52" s="1">
        <f t="shared" si="14"/>
        <v>16.329787234042552</v>
      </c>
      <c r="Y52" s="1">
        <v>16.2</v>
      </c>
      <c r="Z52" s="1">
        <v>26.8</v>
      </c>
      <c r="AA52" s="1">
        <v>31.6</v>
      </c>
      <c r="AB52" s="1">
        <v>24.4</v>
      </c>
      <c r="AC52" s="1">
        <v>26</v>
      </c>
      <c r="AD52" s="1">
        <v>25.8</v>
      </c>
      <c r="AE52" s="1">
        <v>21.2</v>
      </c>
      <c r="AF52" s="1"/>
      <c r="AG52" s="1">
        <f t="shared" si="7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89</v>
      </c>
      <c r="B53" s="1" t="s">
        <v>40</v>
      </c>
      <c r="C53" s="1"/>
      <c r="D53" s="1">
        <v>48</v>
      </c>
      <c r="E53" s="1">
        <v>2</v>
      </c>
      <c r="F53" s="1">
        <v>46</v>
      </c>
      <c r="G53" s="7">
        <v>0.4</v>
      </c>
      <c r="H53" s="1">
        <v>40</v>
      </c>
      <c r="I53" s="1" t="s">
        <v>35</v>
      </c>
      <c r="J53" s="1"/>
      <c r="K53" s="1">
        <v>4</v>
      </c>
      <c r="L53" s="1">
        <f t="shared" si="12"/>
        <v>-2</v>
      </c>
      <c r="M53" s="1"/>
      <c r="N53" s="1"/>
      <c r="O53" s="1">
        <v>0</v>
      </c>
      <c r="P53" s="1">
        <v>0</v>
      </c>
      <c r="Q53" s="1">
        <v>0</v>
      </c>
      <c r="R53" s="1">
        <f t="shared" si="13"/>
        <v>0.4</v>
      </c>
      <c r="S53" s="5"/>
      <c r="T53" s="5">
        <f t="shared" si="5"/>
        <v>0</v>
      </c>
      <c r="U53" s="18"/>
      <c r="V53" s="18"/>
      <c r="W53" s="1">
        <f t="shared" si="6"/>
        <v>115</v>
      </c>
      <c r="X53" s="1">
        <f t="shared" si="14"/>
        <v>115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 t="s">
        <v>90</v>
      </c>
      <c r="AG53" s="1">
        <f t="shared" si="7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91</v>
      </c>
      <c r="B54" s="1" t="s">
        <v>40</v>
      </c>
      <c r="C54" s="1">
        <v>1</v>
      </c>
      <c r="D54" s="1">
        <v>48</v>
      </c>
      <c r="E54" s="1">
        <v>2</v>
      </c>
      <c r="F54" s="1">
        <v>47</v>
      </c>
      <c r="G54" s="7">
        <v>0.4</v>
      </c>
      <c r="H54" s="1">
        <v>40</v>
      </c>
      <c r="I54" s="1" t="s">
        <v>35</v>
      </c>
      <c r="J54" s="1"/>
      <c r="K54" s="1">
        <v>4</v>
      </c>
      <c r="L54" s="1">
        <f t="shared" si="12"/>
        <v>-2</v>
      </c>
      <c r="M54" s="1"/>
      <c r="N54" s="1"/>
      <c r="O54" s="1">
        <v>0</v>
      </c>
      <c r="P54" s="1">
        <v>0</v>
      </c>
      <c r="Q54" s="1">
        <v>0</v>
      </c>
      <c r="R54" s="1">
        <f t="shared" si="13"/>
        <v>0.4</v>
      </c>
      <c r="S54" s="5"/>
      <c r="T54" s="5">
        <f t="shared" si="5"/>
        <v>0</v>
      </c>
      <c r="U54" s="18"/>
      <c r="V54" s="18"/>
      <c r="W54" s="1">
        <f t="shared" si="6"/>
        <v>117.5</v>
      </c>
      <c r="X54" s="1">
        <f t="shared" si="14"/>
        <v>117.5</v>
      </c>
      <c r="Y54" s="1">
        <v>1</v>
      </c>
      <c r="Z54" s="1">
        <v>1.2</v>
      </c>
      <c r="AA54" s="1">
        <v>0.2</v>
      </c>
      <c r="AB54" s="1">
        <v>0</v>
      </c>
      <c r="AC54" s="1">
        <v>0</v>
      </c>
      <c r="AD54" s="1">
        <v>0</v>
      </c>
      <c r="AE54" s="1">
        <v>0</v>
      </c>
      <c r="AF54" s="1" t="s">
        <v>92</v>
      </c>
      <c r="AG54" s="1">
        <f t="shared" si="7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93</v>
      </c>
      <c r="B55" s="1" t="s">
        <v>34</v>
      </c>
      <c r="C55" s="1">
        <v>6.8010000000000002</v>
      </c>
      <c r="D55" s="1">
        <v>128.233</v>
      </c>
      <c r="E55" s="1">
        <v>35.118000000000002</v>
      </c>
      <c r="F55" s="1">
        <v>90.51</v>
      </c>
      <c r="G55" s="7">
        <v>1</v>
      </c>
      <c r="H55" s="1">
        <v>50</v>
      </c>
      <c r="I55" s="1" t="s">
        <v>35</v>
      </c>
      <c r="J55" s="1"/>
      <c r="K55" s="1">
        <v>50.6</v>
      </c>
      <c r="L55" s="1">
        <f t="shared" si="12"/>
        <v>-15.481999999999999</v>
      </c>
      <c r="M55" s="1"/>
      <c r="N55" s="1"/>
      <c r="O55" s="1">
        <v>100</v>
      </c>
      <c r="P55" s="1">
        <v>0</v>
      </c>
      <c r="Q55" s="1">
        <v>50</v>
      </c>
      <c r="R55" s="1">
        <f t="shared" si="13"/>
        <v>7.0236000000000001</v>
      </c>
      <c r="S55" s="5"/>
      <c r="T55" s="5">
        <f t="shared" si="5"/>
        <v>0</v>
      </c>
      <c r="U55" s="18"/>
      <c r="V55" s="18"/>
      <c r="W55" s="1">
        <f t="shared" si="6"/>
        <v>34.243123184691612</v>
      </c>
      <c r="X55" s="1">
        <f t="shared" si="14"/>
        <v>34.243123184691612</v>
      </c>
      <c r="Y55" s="1">
        <v>5.9779999999999998</v>
      </c>
      <c r="Z55" s="1">
        <v>9.8171999999999997</v>
      </c>
      <c r="AA55" s="1">
        <v>12.250400000000001</v>
      </c>
      <c r="AB55" s="1">
        <v>12.776199999999999</v>
      </c>
      <c r="AC55" s="1">
        <v>9.5141999999999989</v>
      </c>
      <c r="AD55" s="1">
        <v>3.2652000000000001</v>
      </c>
      <c r="AE55" s="1">
        <v>7.0168000000000008</v>
      </c>
      <c r="AF55" s="1"/>
      <c r="AG55" s="1">
        <f t="shared" si="7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94</v>
      </c>
      <c r="B56" s="1" t="s">
        <v>40</v>
      </c>
      <c r="C56" s="1">
        <v>83</v>
      </c>
      <c r="D56" s="1">
        <v>204</v>
      </c>
      <c r="E56" s="13">
        <f>49+E127</f>
        <v>64</v>
      </c>
      <c r="F56" s="1">
        <v>219</v>
      </c>
      <c r="G56" s="7">
        <v>0.1</v>
      </c>
      <c r="H56" s="1">
        <v>731</v>
      </c>
      <c r="I56" s="1" t="s">
        <v>35</v>
      </c>
      <c r="J56" s="1"/>
      <c r="K56" s="1">
        <v>61</v>
      </c>
      <c r="L56" s="1">
        <f t="shared" si="12"/>
        <v>3</v>
      </c>
      <c r="M56" s="1"/>
      <c r="N56" s="1"/>
      <c r="O56" s="1">
        <v>0</v>
      </c>
      <c r="P56" s="1">
        <v>0</v>
      </c>
      <c r="Q56" s="1">
        <v>220</v>
      </c>
      <c r="R56" s="1">
        <f t="shared" si="13"/>
        <v>12.8</v>
      </c>
      <c r="S56" s="5"/>
      <c r="T56" s="5">
        <f t="shared" si="5"/>
        <v>0</v>
      </c>
      <c r="U56" s="18"/>
      <c r="V56" s="18"/>
      <c r="W56" s="1">
        <f t="shared" si="6"/>
        <v>34.296875</v>
      </c>
      <c r="X56" s="1">
        <f t="shared" si="14"/>
        <v>34.296875</v>
      </c>
      <c r="Y56" s="1">
        <v>16</v>
      </c>
      <c r="Z56" s="1">
        <v>10.4</v>
      </c>
      <c r="AA56" s="1">
        <v>13.2</v>
      </c>
      <c r="AB56" s="1">
        <v>17</v>
      </c>
      <c r="AC56" s="1">
        <v>12.2</v>
      </c>
      <c r="AD56" s="1">
        <v>6.2</v>
      </c>
      <c r="AE56" s="1">
        <v>5.8</v>
      </c>
      <c r="AF56" s="16" t="s">
        <v>74</v>
      </c>
      <c r="AG56" s="1">
        <f t="shared" si="7"/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95</v>
      </c>
      <c r="B57" s="1" t="s">
        <v>34</v>
      </c>
      <c r="C57" s="1">
        <v>6.0140000000000002</v>
      </c>
      <c r="D57" s="1">
        <v>163.256</v>
      </c>
      <c r="E57" s="1">
        <v>34.06</v>
      </c>
      <c r="F57" s="1">
        <v>123.027</v>
      </c>
      <c r="G57" s="7">
        <v>1</v>
      </c>
      <c r="H57" s="1">
        <v>50</v>
      </c>
      <c r="I57" s="1" t="s">
        <v>35</v>
      </c>
      <c r="J57" s="1"/>
      <c r="K57" s="1">
        <v>81.900000000000006</v>
      </c>
      <c r="L57" s="1">
        <f t="shared" si="12"/>
        <v>-47.84</v>
      </c>
      <c r="M57" s="1"/>
      <c r="N57" s="1"/>
      <c r="O57" s="1">
        <v>99.765399999999985</v>
      </c>
      <c r="P57" s="1">
        <v>72.455000000000013</v>
      </c>
      <c r="Q57" s="1">
        <v>0</v>
      </c>
      <c r="R57" s="1">
        <f t="shared" si="13"/>
        <v>6.8120000000000003</v>
      </c>
      <c r="S57" s="5"/>
      <c r="T57" s="5">
        <f t="shared" si="5"/>
        <v>0</v>
      </c>
      <c r="U57" s="18"/>
      <c r="V57" s="18"/>
      <c r="W57" s="1">
        <f t="shared" si="6"/>
        <v>43.342248972401642</v>
      </c>
      <c r="X57" s="1">
        <f t="shared" si="14"/>
        <v>43.342248972401642</v>
      </c>
      <c r="Y57" s="1">
        <v>14.3918</v>
      </c>
      <c r="Z57" s="1">
        <v>25.248799999999999</v>
      </c>
      <c r="AA57" s="1">
        <v>25.1602</v>
      </c>
      <c r="AB57" s="1">
        <v>21.5242</v>
      </c>
      <c r="AC57" s="1">
        <v>11.835599999999999</v>
      </c>
      <c r="AD57" s="1">
        <v>11.785399999999999</v>
      </c>
      <c r="AE57" s="1">
        <v>12.861000000000001</v>
      </c>
      <c r="AF57" s="1"/>
      <c r="AG57" s="1">
        <f t="shared" si="7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96</v>
      </c>
      <c r="B58" s="1" t="s">
        <v>34</v>
      </c>
      <c r="C58" s="1">
        <v>4.0389999999999997</v>
      </c>
      <c r="D58" s="1">
        <v>10.891999999999999</v>
      </c>
      <c r="E58" s="1">
        <v>14.817</v>
      </c>
      <c r="F58" s="1">
        <v>0.114</v>
      </c>
      <c r="G58" s="7">
        <v>1</v>
      </c>
      <c r="H58" s="1">
        <v>55</v>
      </c>
      <c r="I58" s="1" t="s">
        <v>35</v>
      </c>
      <c r="J58" s="1"/>
      <c r="K58" s="1">
        <v>14.3</v>
      </c>
      <c r="L58" s="1">
        <f t="shared" si="12"/>
        <v>0.51699999999999946</v>
      </c>
      <c r="M58" s="1"/>
      <c r="N58" s="1"/>
      <c r="O58" s="1">
        <v>0</v>
      </c>
      <c r="P58" s="1">
        <v>14.5944</v>
      </c>
      <c r="Q58" s="1">
        <v>0</v>
      </c>
      <c r="R58" s="1">
        <f t="shared" si="13"/>
        <v>2.9634</v>
      </c>
      <c r="S58" s="5">
        <f t="shared" si="11"/>
        <v>17.888999999999999</v>
      </c>
      <c r="T58" s="5">
        <f t="shared" si="5"/>
        <v>17.888999999999999</v>
      </c>
      <c r="U58" s="18"/>
      <c r="V58" s="18"/>
      <c r="W58" s="1">
        <f t="shared" si="6"/>
        <v>11</v>
      </c>
      <c r="X58" s="1">
        <f t="shared" si="14"/>
        <v>4.9633529054464471</v>
      </c>
      <c r="Y58" s="1">
        <v>2.1612</v>
      </c>
      <c r="Z58" s="1">
        <v>2.9718</v>
      </c>
      <c r="AA58" s="1">
        <v>1.3515999999999999</v>
      </c>
      <c r="AB58" s="1">
        <v>0.27039999999999997</v>
      </c>
      <c r="AC58" s="1">
        <v>0</v>
      </c>
      <c r="AD58" s="1">
        <v>0</v>
      </c>
      <c r="AE58" s="1">
        <v>0.54339999999999999</v>
      </c>
      <c r="AF58" s="1"/>
      <c r="AG58" s="1">
        <f t="shared" si="7"/>
        <v>18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97</v>
      </c>
      <c r="B59" s="1" t="s">
        <v>40</v>
      </c>
      <c r="C59" s="1">
        <v>145</v>
      </c>
      <c r="D59" s="1">
        <v>63</v>
      </c>
      <c r="E59" s="1">
        <v>61</v>
      </c>
      <c r="F59" s="1">
        <v>144</v>
      </c>
      <c r="G59" s="7">
        <v>0.1</v>
      </c>
      <c r="H59" s="1">
        <v>731</v>
      </c>
      <c r="I59" s="1" t="s">
        <v>35</v>
      </c>
      <c r="J59" s="1"/>
      <c r="K59" s="1">
        <v>73</v>
      </c>
      <c r="L59" s="1">
        <f t="shared" si="12"/>
        <v>-12</v>
      </c>
      <c r="M59" s="1"/>
      <c r="N59" s="1"/>
      <c r="O59" s="1">
        <v>0</v>
      </c>
      <c r="P59" s="1">
        <v>0</v>
      </c>
      <c r="Q59" s="1">
        <v>220</v>
      </c>
      <c r="R59" s="1">
        <f t="shared" si="13"/>
        <v>12.2</v>
      </c>
      <c r="S59" s="5"/>
      <c r="T59" s="5">
        <f t="shared" si="5"/>
        <v>0</v>
      </c>
      <c r="U59" s="18"/>
      <c r="V59" s="18"/>
      <c r="W59" s="1">
        <f t="shared" si="6"/>
        <v>29.836065573770494</v>
      </c>
      <c r="X59" s="1">
        <f t="shared" si="14"/>
        <v>29.836065573770494</v>
      </c>
      <c r="Y59" s="1">
        <v>12</v>
      </c>
      <c r="Z59" s="1">
        <v>8</v>
      </c>
      <c r="AA59" s="1">
        <v>10.199999999999999</v>
      </c>
      <c r="AB59" s="1">
        <v>9.4</v>
      </c>
      <c r="AC59" s="1">
        <v>6.6</v>
      </c>
      <c r="AD59" s="1">
        <v>3.8</v>
      </c>
      <c r="AE59" s="1">
        <v>3.2</v>
      </c>
      <c r="AF59" s="16" t="s">
        <v>74</v>
      </c>
      <c r="AG59" s="1">
        <f t="shared" si="7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98</v>
      </c>
      <c r="B60" s="1" t="s">
        <v>40</v>
      </c>
      <c r="C60" s="1"/>
      <c r="D60" s="1">
        <v>10</v>
      </c>
      <c r="E60" s="1">
        <v>4</v>
      </c>
      <c r="F60" s="1">
        <v>6</v>
      </c>
      <c r="G60" s="7">
        <v>0.4</v>
      </c>
      <c r="H60" s="1">
        <v>50</v>
      </c>
      <c r="I60" s="1" t="s">
        <v>35</v>
      </c>
      <c r="J60" s="1"/>
      <c r="K60" s="1">
        <v>4</v>
      </c>
      <c r="L60" s="1">
        <f t="shared" si="12"/>
        <v>0</v>
      </c>
      <c r="M60" s="1"/>
      <c r="N60" s="1"/>
      <c r="O60" s="1">
        <v>0</v>
      </c>
      <c r="P60" s="1">
        <v>6</v>
      </c>
      <c r="Q60" s="1">
        <v>50</v>
      </c>
      <c r="R60" s="1">
        <f t="shared" si="13"/>
        <v>0.8</v>
      </c>
      <c r="S60" s="5"/>
      <c r="T60" s="5">
        <f t="shared" si="5"/>
        <v>0</v>
      </c>
      <c r="U60" s="18"/>
      <c r="V60" s="18"/>
      <c r="W60" s="1">
        <f t="shared" si="6"/>
        <v>77.5</v>
      </c>
      <c r="X60" s="1">
        <f t="shared" si="14"/>
        <v>77.5</v>
      </c>
      <c r="Y60" s="1">
        <v>0.4</v>
      </c>
      <c r="Z60" s="1">
        <v>0.4</v>
      </c>
      <c r="AA60" s="1">
        <v>0.4</v>
      </c>
      <c r="AB60" s="1">
        <v>0.8</v>
      </c>
      <c r="AC60" s="1">
        <v>1</v>
      </c>
      <c r="AD60" s="1">
        <v>0.4</v>
      </c>
      <c r="AE60" s="1">
        <v>0</v>
      </c>
      <c r="AF60" s="1" t="s">
        <v>99</v>
      </c>
      <c r="AG60" s="1">
        <f t="shared" si="7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100</v>
      </c>
      <c r="B61" s="1" t="s">
        <v>34</v>
      </c>
      <c r="C61" s="1">
        <v>49.253</v>
      </c>
      <c r="D61" s="1">
        <v>96.043000000000006</v>
      </c>
      <c r="E61" s="1">
        <v>25.274000000000001</v>
      </c>
      <c r="F61" s="1">
        <v>120.02200000000001</v>
      </c>
      <c r="G61" s="7">
        <v>1</v>
      </c>
      <c r="H61" s="1">
        <v>40</v>
      </c>
      <c r="I61" s="15" t="s">
        <v>38</v>
      </c>
      <c r="J61" s="1"/>
      <c r="K61" s="1">
        <v>25.1</v>
      </c>
      <c r="L61" s="1">
        <f t="shared" si="12"/>
        <v>0.17399999999999949</v>
      </c>
      <c r="M61" s="1"/>
      <c r="N61" s="1"/>
      <c r="O61" s="1">
        <v>0</v>
      </c>
      <c r="P61" s="1">
        <v>0</v>
      </c>
      <c r="Q61" s="1">
        <v>0</v>
      </c>
      <c r="R61" s="1">
        <f t="shared" si="13"/>
        <v>5.0548000000000002</v>
      </c>
      <c r="S61" s="5"/>
      <c r="T61" s="5">
        <f t="shared" si="5"/>
        <v>0</v>
      </c>
      <c r="U61" s="18"/>
      <c r="V61" s="18"/>
      <c r="W61" s="1">
        <f t="shared" si="6"/>
        <v>23.744163962965896</v>
      </c>
      <c r="X61" s="1">
        <f t="shared" si="14"/>
        <v>23.744163962965896</v>
      </c>
      <c r="Y61" s="1">
        <v>4.7778</v>
      </c>
      <c r="Z61" s="1">
        <v>0</v>
      </c>
      <c r="AA61" s="1">
        <v>4.7404000000000002</v>
      </c>
      <c r="AB61" s="1">
        <v>4.7404000000000002</v>
      </c>
      <c r="AC61" s="1">
        <v>0</v>
      </c>
      <c r="AD61" s="1">
        <v>7.9903999999999993</v>
      </c>
      <c r="AE61" s="1">
        <v>7.9903999999999993</v>
      </c>
      <c r="AF61" s="17" t="s">
        <v>46</v>
      </c>
      <c r="AG61" s="1">
        <f t="shared" si="7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101</v>
      </c>
      <c r="B62" s="1" t="s">
        <v>34</v>
      </c>
      <c r="C62" s="1">
        <v>20.693999999999999</v>
      </c>
      <c r="D62" s="1">
        <v>57.362000000000002</v>
      </c>
      <c r="E62" s="1">
        <v>9.5380000000000003</v>
      </c>
      <c r="F62" s="1">
        <v>68.518000000000001</v>
      </c>
      <c r="G62" s="7">
        <v>1</v>
      </c>
      <c r="H62" s="1">
        <v>40</v>
      </c>
      <c r="I62" s="1" t="s">
        <v>35</v>
      </c>
      <c r="J62" s="1"/>
      <c r="K62" s="1">
        <v>8.5</v>
      </c>
      <c r="L62" s="1">
        <f t="shared" si="12"/>
        <v>1.0380000000000003</v>
      </c>
      <c r="M62" s="1"/>
      <c r="N62" s="1"/>
      <c r="O62" s="1">
        <v>0</v>
      </c>
      <c r="P62" s="1">
        <v>0</v>
      </c>
      <c r="Q62" s="1">
        <v>0</v>
      </c>
      <c r="R62" s="1">
        <f t="shared" si="13"/>
        <v>1.9076</v>
      </c>
      <c r="S62" s="5"/>
      <c r="T62" s="5">
        <f t="shared" si="5"/>
        <v>0</v>
      </c>
      <c r="U62" s="18"/>
      <c r="V62" s="18"/>
      <c r="W62" s="1">
        <f t="shared" si="6"/>
        <v>35.918431537009859</v>
      </c>
      <c r="X62" s="1">
        <f t="shared" si="14"/>
        <v>35.918431537009859</v>
      </c>
      <c r="Y62" s="1">
        <v>1.9076</v>
      </c>
      <c r="Z62" s="1">
        <v>0.83279999999999998</v>
      </c>
      <c r="AA62" s="1">
        <v>0.83279999999999998</v>
      </c>
      <c r="AB62" s="1">
        <v>0</v>
      </c>
      <c r="AC62" s="1">
        <v>0</v>
      </c>
      <c r="AD62" s="1">
        <v>0</v>
      </c>
      <c r="AE62" s="1">
        <v>0.26440000000000002</v>
      </c>
      <c r="AF62" s="17" t="s">
        <v>46</v>
      </c>
      <c r="AG62" s="1">
        <f t="shared" si="7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102</v>
      </c>
      <c r="B63" s="1" t="s">
        <v>40</v>
      </c>
      <c r="C63" s="1">
        <v>12</v>
      </c>
      <c r="D63" s="1">
        <v>325</v>
      </c>
      <c r="E63" s="1">
        <v>134</v>
      </c>
      <c r="F63" s="1">
        <v>180</v>
      </c>
      <c r="G63" s="7">
        <v>0.4</v>
      </c>
      <c r="H63" s="1">
        <v>40</v>
      </c>
      <c r="I63" s="1" t="s">
        <v>35</v>
      </c>
      <c r="J63" s="1"/>
      <c r="K63" s="1">
        <v>212</v>
      </c>
      <c r="L63" s="1">
        <f t="shared" si="12"/>
        <v>-78</v>
      </c>
      <c r="M63" s="1"/>
      <c r="N63" s="1"/>
      <c r="O63" s="1">
        <v>123</v>
      </c>
      <c r="P63" s="1">
        <v>131.19999999999979</v>
      </c>
      <c r="Q63" s="1">
        <v>75.064919941775969</v>
      </c>
      <c r="R63" s="1">
        <f t="shared" si="13"/>
        <v>26.8</v>
      </c>
      <c r="S63" s="5"/>
      <c r="T63" s="5">
        <v>200</v>
      </c>
      <c r="U63" s="18">
        <f>VLOOKUP(A63,[2]Sheet!$A:$U,20,0)</f>
        <v>350</v>
      </c>
      <c r="V63" s="18" t="str">
        <f>VLOOKUP(A63,[2]Sheet!$A:$U,21,0)</f>
        <v>Есть потребность</v>
      </c>
      <c r="W63" s="1">
        <f t="shared" si="6"/>
        <v>26.465108953051335</v>
      </c>
      <c r="X63" s="1">
        <f t="shared" si="14"/>
        <v>19.002422385887158</v>
      </c>
      <c r="Y63" s="1">
        <v>43.2</v>
      </c>
      <c r="Z63" s="1">
        <v>42.8</v>
      </c>
      <c r="AA63" s="1">
        <v>43.6</v>
      </c>
      <c r="AB63" s="1">
        <v>46.2</v>
      </c>
      <c r="AC63" s="1">
        <v>34.4</v>
      </c>
      <c r="AD63" s="1">
        <v>15.4</v>
      </c>
      <c r="AE63" s="1">
        <v>15.8</v>
      </c>
      <c r="AF63" s="1"/>
      <c r="AG63" s="1">
        <f t="shared" si="7"/>
        <v>80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103</v>
      </c>
      <c r="B64" s="1" t="s">
        <v>40</v>
      </c>
      <c r="C64" s="1">
        <v>-1</v>
      </c>
      <c r="D64" s="1">
        <v>107</v>
      </c>
      <c r="E64" s="1">
        <v>68</v>
      </c>
      <c r="F64" s="1">
        <v>34</v>
      </c>
      <c r="G64" s="7">
        <v>0.4</v>
      </c>
      <c r="H64" s="1">
        <v>40</v>
      </c>
      <c r="I64" s="15" t="s">
        <v>38</v>
      </c>
      <c r="J64" s="1"/>
      <c r="K64" s="1">
        <v>77</v>
      </c>
      <c r="L64" s="1">
        <f t="shared" si="12"/>
        <v>-9</v>
      </c>
      <c r="M64" s="1"/>
      <c r="N64" s="1"/>
      <c r="O64" s="1">
        <v>147.6</v>
      </c>
      <c r="P64" s="1">
        <v>0</v>
      </c>
      <c r="Q64" s="1">
        <v>0</v>
      </c>
      <c r="R64" s="1">
        <f t="shared" si="13"/>
        <v>13.6</v>
      </c>
      <c r="S64" s="5"/>
      <c r="T64" s="5">
        <v>150</v>
      </c>
      <c r="U64" s="18">
        <f>VLOOKUP(A64,[2]Sheet!$A:$U,20,0)</f>
        <v>350</v>
      </c>
      <c r="V64" s="18" t="str">
        <f>VLOOKUP(A64,[2]Sheet!$A:$U,21,0)</f>
        <v>Есть потребность</v>
      </c>
      <c r="W64" s="1">
        <f t="shared" si="6"/>
        <v>24.382352941176475</v>
      </c>
      <c r="X64" s="1">
        <f t="shared" si="14"/>
        <v>13.352941176470589</v>
      </c>
      <c r="Y64" s="1">
        <v>9.8000000000000007</v>
      </c>
      <c r="Z64" s="1">
        <v>15.8</v>
      </c>
      <c r="AA64" s="1">
        <v>21.6</v>
      </c>
      <c r="AB64" s="1">
        <v>6</v>
      </c>
      <c r="AC64" s="1">
        <v>0</v>
      </c>
      <c r="AD64" s="1">
        <v>0</v>
      </c>
      <c r="AE64" s="1">
        <v>0</v>
      </c>
      <c r="AF64" s="1"/>
      <c r="AG64" s="1">
        <f t="shared" si="7"/>
        <v>60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104</v>
      </c>
      <c r="B65" s="1" t="s">
        <v>34</v>
      </c>
      <c r="C65" s="1"/>
      <c r="D65" s="1">
        <v>120.98399999999999</v>
      </c>
      <c r="E65" s="1">
        <v>71.727000000000004</v>
      </c>
      <c r="F65" s="1">
        <v>42.588000000000001</v>
      </c>
      <c r="G65" s="7">
        <v>1</v>
      </c>
      <c r="H65" s="1">
        <v>40</v>
      </c>
      <c r="I65" s="15" t="s">
        <v>38</v>
      </c>
      <c r="J65" s="1"/>
      <c r="K65" s="1">
        <v>77.2</v>
      </c>
      <c r="L65" s="1">
        <f t="shared" si="12"/>
        <v>-5.472999999999999</v>
      </c>
      <c r="M65" s="1"/>
      <c r="N65" s="1"/>
      <c r="O65" s="1">
        <v>0</v>
      </c>
      <c r="P65" s="1">
        <v>0</v>
      </c>
      <c r="Q65" s="1">
        <v>60</v>
      </c>
      <c r="R65" s="1">
        <f t="shared" si="13"/>
        <v>14.345400000000001</v>
      </c>
      <c r="S65" s="5">
        <f t="shared" si="11"/>
        <v>55.211400000000019</v>
      </c>
      <c r="T65" s="5">
        <f t="shared" ref="T65" si="15">U65</f>
        <v>150</v>
      </c>
      <c r="U65" s="18">
        <f>VLOOKUP(A65,[2]Sheet!$A:$U,20,0)</f>
        <v>150</v>
      </c>
      <c r="V65" s="18" t="str">
        <f>VLOOKUP(A65,[2]Sheet!$A:$U,21,0)</f>
        <v>Промо</v>
      </c>
      <c r="W65" s="1">
        <f t="shared" si="6"/>
        <v>17.607595466142456</v>
      </c>
      <c r="X65" s="1">
        <f t="shared" si="14"/>
        <v>7.1512819440378088</v>
      </c>
      <c r="Y65" s="1">
        <v>7.2096</v>
      </c>
      <c r="Z65" s="1">
        <v>3.2608000000000001</v>
      </c>
      <c r="AA65" s="1">
        <v>3.4409999999999998</v>
      </c>
      <c r="AB65" s="1">
        <v>11.0456</v>
      </c>
      <c r="AC65" s="1">
        <v>15.014200000000001</v>
      </c>
      <c r="AD65" s="1">
        <v>4.5118</v>
      </c>
      <c r="AE65" s="1">
        <v>5.2612000000000014</v>
      </c>
      <c r="AF65" s="1"/>
      <c r="AG65" s="1">
        <f t="shared" si="7"/>
        <v>150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105</v>
      </c>
      <c r="B66" s="1" t="s">
        <v>34</v>
      </c>
      <c r="C66" s="1"/>
      <c r="D66" s="1">
        <v>236.44399999999999</v>
      </c>
      <c r="E66" s="1">
        <v>64.295000000000002</v>
      </c>
      <c r="F66" s="1">
        <v>161.26300000000001</v>
      </c>
      <c r="G66" s="7">
        <v>1</v>
      </c>
      <c r="H66" s="1">
        <v>40</v>
      </c>
      <c r="I66" s="15" t="s">
        <v>38</v>
      </c>
      <c r="J66" s="1"/>
      <c r="K66" s="1">
        <v>85.9</v>
      </c>
      <c r="L66" s="1">
        <f t="shared" si="12"/>
        <v>-21.605000000000004</v>
      </c>
      <c r="M66" s="1"/>
      <c r="N66" s="1"/>
      <c r="O66" s="1">
        <v>0</v>
      </c>
      <c r="P66" s="1">
        <v>0</v>
      </c>
      <c r="Q66" s="1">
        <v>50</v>
      </c>
      <c r="R66" s="1">
        <f t="shared" si="13"/>
        <v>12.859</v>
      </c>
      <c r="S66" s="5"/>
      <c r="T66" s="5">
        <f t="shared" si="5"/>
        <v>0</v>
      </c>
      <c r="U66" s="18"/>
      <c r="V66" s="18"/>
      <c r="W66" s="1">
        <f t="shared" si="6"/>
        <v>16.429193560930088</v>
      </c>
      <c r="X66" s="1">
        <f t="shared" si="14"/>
        <v>16.429193560930088</v>
      </c>
      <c r="Y66" s="1">
        <v>5.6180000000000003</v>
      </c>
      <c r="Z66" s="1">
        <v>0</v>
      </c>
      <c r="AA66" s="1">
        <v>5.3816000000000006</v>
      </c>
      <c r="AB66" s="1">
        <v>16.513000000000002</v>
      </c>
      <c r="AC66" s="1">
        <v>15.0838</v>
      </c>
      <c r="AD66" s="1">
        <v>4.3112000000000004</v>
      </c>
      <c r="AE66" s="1">
        <v>0</v>
      </c>
      <c r="AF66" s="1"/>
      <c r="AG66" s="1">
        <f t="shared" si="7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106</v>
      </c>
      <c r="B67" s="1" t="s">
        <v>34</v>
      </c>
      <c r="C67" s="1"/>
      <c r="D67" s="1">
        <v>106.59699999999999</v>
      </c>
      <c r="E67" s="1">
        <v>83.328000000000003</v>
      </c>
      <c r="F67" s="1">
        <v>3.4550000000000001</v>
      </c>
      <c r="G67" s="7">
        <v>1</v>
      </c>
      <c r="H67" s="1">
        <v>40</v>
      </c>
      <c r="I67" s="15" t="s">
        <v>38</v>
      </c>
      <c r="J67" s="1"/>
      <c r="K67" s="1">
        <v>87.5</v>
      </c>
      <c r="L67" s="1">
        <f t="shared" si="12"/>
        <v>-4.171999999999997</v>
      </c>
      <c r="M67" s="1"/>
      <c r="N67" s="1"/>
      <c r="O67" s="1">
        <v>100</v>
      </c>
      <c r="P67" s="1">
        <v>0</v>
      </c>
      <c r="Q67" s="1">
        <v>100</v>
      </c>
      <c r="R67" s="1">
        <f t="shared" si="13"/>
        <v>16.665600000000001</v>
      </c>
      <c r="S67" s="5"/>
      <c r="T67" s="5">
        <f t="shared" ref="T67" si="16">U67</f>
        <v>150</v>
      </c>
      <c r="U67" s="18">
        <f>VLOOKUP(A67,[2]Sheet!$A:$U,20,0)</f>
        <v>150</v>
      </c>
      <c r="V67" s="18" t="str">
        <f>VLOOKUP(A67,[2]Sheet!$A:$U,21,0)</f>
        <v>Промо</v>
      </c>
      <c r="W67" s="1">
        <f t="shared" si="6"/>
        <v>21.20865735407066</v>
      </c>
      <c r="X67" s="1">
        <f t="shared" si="14"/>
        <v>12.208081317204298</v>
      </c>
      <c r="Y67" s="1">
        <v>13.021000000000001</v>
      </c>
      <c r="Z67" s="1">
        <v>0</v>
      </c>
      <c r="AA67" s="1">
        <v>0.1852</v>
      </c>
      <c r="AB67" s="1">
        <v>0.73</v>
      </c>
      <c r="AC67" s="1">
        <v>4.1936</v>
      </c>
      <c r="AD67" s="1">
        <v>18.5868</v>
      </c>
      <c r="AE67" s="1">
        <v>23.832799999999999</v>
      </c>
      <c r="AF67" s="1"/>
      <c r="AG67" s="1">
        <f t="shared" si="7"/>
        <v>150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107</v>
      </c>
      <c r="B68" s="1" t="s">
        <v>34</v>
      </c>
      <c r="C68" s="1">
        <v>0.91200000000000003</v>
      </c>
      <c r="D68" s="1">
        <v>43.548999999999999</v>
      </c>
      <c r="E68" s="1">
        <v>7.234</v>
      </c>
      <c r="F68" s="1">
        <v>37.226999999999997</v>
      </c>
      <c r="G68" s="7">
        <v>1</v>
      </c>
      <c r="H68" s="1">
        <v>40</v>
      </c>
      <c r="I68" s="15" t="s">
        <v>38</v>
      </c>
      <c r="J68" s="1"/>
      <c r="K68" s="1">
        <v>23.1</v>
      </c>
      <c r="L68" s="1">
        <f t="shared" si="12"/>
        <v>-15.866000000000001</v>
      </c>
      <c r="M68" s="1"/>
      <c r="N68" s="1"/>
      <c r="O68" s="1">
        <v>60</v>
      </c>
      <c r="P68" s="1">
        <v>0</v>
      </c>
      <c r="Q68" s="1">
        <v>30</v>
      </c>
      <c r="R68" s="1">
        <f t="shared" si="13"/>
        <v>1.4468000000000001</v>
      </c>
      <c r="S68" s="5"/>
      <c r="T68" s="5">
        <v>30</v>
      </c>
      <c r="U68" s="18">
        <f>VLOOKUP(A68,[2]Sheet!$A:$U,20,0)</f>
        <v>70</v>
      </c>
      <c r="V68" s="18" t="str">
        <f>VLOOKUP(A68,[2]Sheet!$A:$U,21,0)</f>
        <v>Есть потребность</v>
      </c>
      <c r="W68" s="1">
        <f t="shared" si="6"/>
        <v>108.67224218965994</v>
      </c>
      <c r="X68" s="1">
        <f t="shared" si="14"/>
        <v>87.93682609897705</v>
      </c>
      <c r="Y68" s="1">
        <v>1.4468000000000001</v>
      </c>
      <c r="Z68" s="1">
        <v>4.7493999999999996</v>
      </c>
      <c r="AA68" s="1">
        <v>7.492</v>
      </c>
      <c r="AB68" s="1">
        <v>2.5602</v>
      </c>
      <c r="AC68" s="1">
        <v>0</v>
      </c>
      <c r="AD68" s="1">
        <v>0</v>
      </c>
      <c r="AE68" s="1">
        <v>0</v>
      </c>
      <c r="AF68" s="1"/>
      <c r="AG68" s="1">
        <f t="shared" si="7"/>
        <v>30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108</v>
      </c>
      <c r="B69" s="1" t="s">
        <v>34</v>
      </c>
      <c r="C69" s="1">
        <v>31.05</v>
      </c>
      <c r="D69" s="1">
        <v>129.602</v>
      </c>
      <c r="E69" s="1">
        <v>23.841999999999999</v>
      </c>
      <c r="F69" s="1">
        <v>134.21</v>
      </c>
      <c r="G69" s="7">
        <v>1</v>
      </c>
      <c r="H69" s="1">
        <v>30</v>
      </c>
      <c r="I69" s="1" t="s">
        <v>35</v>
      </c>
      <c r="J69" s="1"/>
      <c r="K69" s="1">
        <v>25.7</v>
      </c>
      <c r="L69" s="1">
        <f t="shared" si="12"/>
        <v>-1.8580000000000005</v>
      </c>
      <c r="M69" s="1"/>
      <c r="N69" s="1"/>
      <c r="O69" s="1">
        <v>0</v>
      </c>
      <c r="P69" s="1">
        <v>0</v>
      </c>
      <c r="Q69" s="1">
        <v>0</v>
      </c>
      <c r="R69" s="1">
        <f t="shared" si="13"/>
        <v>4.7683999999999997</v>
      </c>
      <c r="S69" s="5"/>
      <c r="T69" s="5">
        <f t="shared" si="5"/>
        <v>0</v>
      </c>
      <c r="U69" s="18"/>
      <c r="V69" s="18"/>
      <c r="W69" s="1">
        <f t="shared" si="6"/>
        <v>28.145709252579486</v>
      </c>
      <c r="X69" s="1">
        <f t="shared" si="14"/>
        <v>28.145709252579486</v>
      </c>
      <c r="Y69" s="1">
        <v>7.6109999999999998</v>
      </c>
      <c r="Z69" s="1">
        <v>5.9893999999999998</v>
      </c>
      <c r="AA69" s="1">
        <v>1.8408</v>
      </c>
      <c r="AB69" s="1">
        <v>0.5272</v>
      </c>
      <c r="AC69" s="1">
        <v>0</v>
      </c>
      <c r="AD69" s="1">
        <v>0</v>
      </c>
      <c r="AE69" s="1">
        <v>4.5743999999999998</v>
      </c>
      <c r="AF69" s="17" t="s">
        <v>46</v>
      </c>
      <c r="AG69" s="1">
        <f t="shared" si="7"/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109</v>
      </c>
      <c r="B70" s="1" t="s">
        <v>40</v>
      </c>
      <c r="C70" s="1">
        <v>209</v>
      </c>
      <c r="D70" s="1">
        <v>6</v>
      </c>
      <c r="E70" s="1">
        <v>49</v>
      </c>
      <c r="F70" s="1">
        <v>160</v>
      </c>
      <c r="G70" s="7">
        <v>0.6</v>
      </c>
      <c r="H70" s="1">
        <v>60</v>
      </c>
      <c r="I70" s="1" t="s">
        <v>35</v>
      </c>
      <c r="J70" s="1"/>
      <c r="K70" s="1">
        <v>70</v>
      </c>
      <c r="L70" s="1">
        <f t="shared" ref="L70:L101" si="17">E70-K70</f>
        <v>-21</v>
      </c>
      <c r="M70" s="1"/>
      <c r="N70" s="1"/>
      <c r="O70" s="1">
        <v>73</v>
      </c>
      <c r="P70" s="1">
        <v>0</v>
      </c>
      <c r="Q70" s="1">
        <v>0</v>
      </c>
      <c r="R70" s="1">
        <f t="shared" ref="R70:R101" si="18">E70/5</f>
        <v>9.8000000000000007</v>
      </c>
      <c r="S70" s="5"/>
      <c r="T70" s="5">
        <f t="shared" si="5"/>
        <v>0</v>
      </c>
      <c r="U70" s="18"/>
      <c r="V70" s="18"/>
      <c r="W70" s="1">
        <f t="shared" si="6"/>
        <v>23.77551020408163</v>
      </c>
      <c r="X70" s="1">
        <f t="shared" ref="X70:X101" si="19">(F70+O70+P70+Q70)/R70</f>
        <v>23.77551020408163</v>
      </c>
      <c r="Y70" s="1">
        <v>10.8</v>
      </c>
      <c r="Z70" s="1">
        <v>20.399999999999999</v>
      </c>
      <c r="AA70" s="1">
        <v>23</v>
      </c>
      <c r="AB70" s="1">
        <v>3.8</v>
      </c>
      <c r="AC70" s="1">
        <v>3.6</v>
      </c>
      <c r="AD70" s="1">
        <v>5.9474</v>
      </c>
      <c r="AE70" s="1">
        <v>7</v>
      </c>
      <c r="AF70" s="17" t="s">
        <v>46</v>
      </c>
      <c r="AG70" s="1">
        <f t="shared" si="7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110</v>
      </c>
      <c r="B71" s="1" t="s">
        <v>40</v>
      </c>
      <c r="C71" s="1">
        <v>100</v>
      </c>
      <c r="D71" s="1">
        <v>15</v>
      </c>
      <c r="E71" s="1">
        <v>70</v>
      </c>
      <c r="F71" s="1">
        <v>33</v>
      </c>
      <c r="G71" s="7">
        <v>0.6</v>
      </c>
      <c r="H71" s="1">
        <v>60</v>
      </c>
      <c r="I71" s="1" t="s">
        <v>35</v>
      </c>
      <c r="J71" s="1"/>
      <c r="K71" s="1">
        <v>105</v>
      </c>
      <c r="L71" s="1">
        <f t="shared" si="17"/>
        <v>-35</v>
      </c>
      <c r="M71" s="1"/>
      <c r="N71" s="1"/>
      <c r="O71" s="1">
        <v>209.8</v>
      </c>
      <c r="P71" s="1">
        <v>64.599999999999994</v>
      </c>
      <c r="Q71" s="1">
        <v>0</v>
      </c>
      <c r="R71" s="1">
        <f t="shared" si="18"/>
        <v>14</v>
      </c>
      <c r="S71" s="5"/>
      <c r="T71" s="5">
        <f t="shared" ref="T71:T130" si="20">S71</f>
        <v>0</v>
      </c>
      <c r="U71" s="18"/>
      <c r="V71" s="18"/>
      <c r="W71" s="1">
        <f t="shared" ref="W71:W130" si="21">(F71+O71+P71+Q71+T71)/R71</f>
        <v>21.957142857142856</v>
      </c>
      <c r="X71" s="1">
        <f t="shared" si="19"/>
        <v>21.957142857142856</v>
      </c>
      <c r="Y71" s="1">
        <v>20.6</v>
      </c>
      <c r="Z71" s="1">
        <v>28.8</v>
      </c>
      <c r="AA71" s="1">
        <v>29.8</v>
      </c>
      <c r="AB71" s="1">
        <v>6</v>
      </c>
      <c r="AC71" s="1">
        <v>3.6</v>
      </c>
      <c r="AD71" s="1">
        <v>9.4</v>
      </c>
      <c r="AE71" s="1">
        <v>10.6</v>
      </c>
      <c r="AF71" s="1"/>
      <c r="AG71" s="1">
        <f t="shared" ref="AG71:AG130" si="22">ROUND(G71*T71,0)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111</v>
      </c>
      <c r="B72" s="1" t="s">
        <v>40</v>
      </c>
      <c r="C72" s="1">
        <v>53</v>
      </c>
      <c r="D72" s="1">
        <v>4</v>
      </c>
      <c r="E72" s="1">
        <v>33</v>
      </c>
      <c r="F72" s="1">
        <v>18</v>
      </c>
      <c r="G72" s="7">
        <v>0.4</v>
      </c>
      <c r="H72" s="1">
        <v>90</v>
      </c>
      <c r="I72" s="1" t="s">
        <v>35</v>
      </c>
      <c r="J72" s="1"/>
      <c r="K72" s="1">
        <v>36</v>
      </c>
      <c r="L72" s="1">
        <f t="shared" si="17"/>
        <v>-3</v>
      </c>
      <c r="M72" s="1"/>
      <c r="N72" s="1"/>
      <c r="O72" s="1">
        <v>10.80000000000001</v>
      </c>
      <c r="P72" s="1">
        <v>66.199999999999989</v>
      </c>
      <c r="Q72" s="1">
        <v>50</v>
      </c>
      <c r="R72" s="1">
        <f t="shared" si="18"/>
        <v>6.6</v>
      </c>
      <c r="S72" s="5"/>
      <c r="T72" s="5">
        <f t="shared" si="20"/>
        <v>0</v>
      </c>
      <c r="U72" s="18"/>
      <c r="V72" s="18"/>
      <c r="W72" s="1">
        <f t="shared" si="21"/>
        <v>21.969696969696972</v>
      </c>
      <c r="X72" s="1">
        <f t="shared" si="19"/>
        <v>21.969696969696972</v>
      </c>
      <c r="Y72" s="1">
        <v>8.1999999999999993</v>
      </c>
      <c r="Z72" s="1">
        <v>10</v>
      </c>
      <c r="AA72" s="1">
        <v>8.4</v>
      </c>
      <c r="AB72" s="1">
        <v>9.6</v>
      </c>
      <c r="AC72" s="1">
        <v>6.2</v>
      </c>
      <c r="AD72" s="1">
        <v>1.8</v>
      </c>
      <c r="AE72" s="1">
        <v>5.4</v>
      </c>
      <c r="AF72" s="1"/>
      <c r="AG72" s="1">
        <f t="shared" si="22"/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112</v>
      </c>
      <c r="B73" s="1" t="s">
        <v>40</v>
      </c>
      <c r="C73" s="1">
        <v>121</v>
      </c>
      <c r="D73" s="1">
        <v>12</v>
      </c>
      <c r="E73" s="1">
        <v>74</v>
      </c>
      <c r="F73" s="1">
        <v>44</v>
      </c>
      <c r="G73" s="7">
        <v>0.33</v>
      </c>
      <c r="H73" s="1">
        <v>60</v>
      </c>
      <c r="I73" s="15" t="s">
        <v>38</v>
      </c>
      <c r="J73" s="1"/>
      <c r="K73" s="1">
        <v>84</v>
      </c>
      <c r="L73" s="1">
        <f t="shared" si="17"/>
        <v>-10</v>
      </c>
      <c r="M73" s="1"/>
      <c r="N73" s="1"/>
      <c r="O73" s="1">
        <v>0</v>
      </c>
      <c r="P73" s="1">
        <v>20</v>
      </c>
      <c r="Q73" s="1">
        <v>84</v>
      </c>
      <c r="R73" s="1">
        <f t="shared" si="18"/>
        <v>14.8</v>
      </c>
      <c r="S73" s="5">
        <f t="shared" si="11"/>
        <v>14.800000000000011</v>
      </c>
      <c r="T73" s="5">
        <f t="shared" si="20"/>
        <v>14.800000000000011</v>
      </c>
      <c r="U73" s="18"/>
      <c r="V73" s="18"/>
      <c r="W73" s="1">
        <f t="shared" si="21"/>
        <v>11</v>
      </c>
      <c r="X73" s="1">
        <f t="shared" si="19"/>
        <v>10</v>
      </c>
      <c r="Y73" s="1">
        <v>15</v>
      </c>
      <c r="Z73" s="1">
        <v>10.4</v>
      </c>
      <c r="AA73" s="1">
        <v>9.4</v>
      </c>
      <c r="AB73" s="1">
        <v>13.2</v>
      </c>
      <c r="AC73" s="1">
        <v>10</v>
      </c>
      <c r="AD73" s="1">
        <v>9.4</v>
      </c>
      <c r="AE73" s="1">
        <v>7.2</v>
      </c>
      <c r="AF73" s="1"/>
      <c r="AG73" s="1">
        <f t="shared" si="22"/>
        <v>5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113</v>
      </c>
      <c r="B74" s="1" t="s">
        <v>40</v>
      </c>
      <c r="C74" s="1">
        <v>161</v>
      </c>
      <c r="D74" s="1">
        <v>8</v>
      </c>
      <c r="E74" s="1">
        <v>61</v>
      </c>
      <c r="F74" s="1">
        <v>100</v>
      </c>
      <c r="G74" s="7">
        <v>0.35</v>
      </c>
      <c r="H74" s="1">
        <v>90</v>
      </c>
      <c r="I74" s="1" t="s">
        <v>35</v>
      </c>
      <c r="J74" s="1"/>
      <c r="K74" s="1">
        <v>84</v>
      </c>
      <c r="L74" s="1">
        <f t="shared" si="17"/>
        <v>-23</v>
      </c>
      <c r="M74" s="1"/>
      <c r="N74" s="1"/>
      <c r="O74" s="1">
        <v>16.800000000000011</v>
      </c>
      <c r="P74" s="1">
        <v>0</v>
      </c>
      <c r="Q74" s="1">
        <v>57</v>
      </c>
      <c r="R74" s="1">
        <f t="shared" si="18"/>
        <v>12.2</v>
      </c>
      <c r="S74" s="5"/>
      <c r="T74" s="5">
        <f t="shared" si="20"/>
        <v>0</v>
      </c>
      <c r="U74" s="18"/>
      <c r="V74" s="18"/>
      <c r="W74" s="1">
        <f t="shared" si="21"/>
        <v>14.245901639344265</v>
      </c>
      <c r="X74" s="1">
        <f t="shared" si="19"/>
        <v>14.245901639344265</v>
      </c>
      <c r="Y74" s="1">
        <v>14.4</v>
      </c>
      <c r="Z74" s="1">
        <v>14.8</v>
      </c>
      <c r="AA74" s="1">
        <v>13.4</v>
      </c>
      <c r="AB74" s="1">
        <v>13</v>
      </c>
      <c r="AC74" s="1">
        <v>9.1999999999999993</v>
      </c>
      <c r="AD74" s="1">
        <v>2</v>
      </c>
      <c r="AE74" s="1">
        <v>5.8</v>
      </c>
      <c r="AF74" s="1"/>
      <c r="AG74" s="1">
        <f t="shared" si="22"/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114</v>
      </c>
      <c r="B75" s="1" t="s">
        <v>40</v>
      </c>
      <c r="C75" s="1">
        <v>9</v>
      </c>
      <c r="D75" s="1">
        <v>7</v>
      </c>
      <c r="E75" s="1">
        <v>7</v>
      </c>
      <c r="F75" s="1">
        <v>2</v>
      </c>
      <c r="G75" s="7">
        <v>0.37</v>
      </c>
      <c r="H75" s="1"/>
      <c r="I75" s="1" t="s">
        <v>35</v>
      </c>
      <c r="J75" s="1"/>
      <c r="K75" s="1">
        <v>16</v>
      </c>
      <c r="L75" s="1">
        <f t="shared" si="17"/>
        <v>-9</v>
      </c>
      <c r="M75" s="1"/>
      <c r="N75" s="1"/>
      <c r="O75" s="1">
        <v>0</v>
      </c>
      <c r="P75" s="1">
        <v>17</v>
      </c>
      <c r="Q75" s="1">
        <v>4</v>
      </c>
      <c r="R75" s="1">
        <f t="shared" si="18"/>
        <v>1.4</v>
      </c>
      <c r="S75" s="5"/>
      <c r="T75" s="5">
        <f t="shared" si="20"/>
        <v>0</v>
      </c>
      <c r="U75" s="18"/>
      <c r="V75" s="18"/>
      <c r="W75" s="1">
        <f t="shared" si="21"/>
        <v>16.428571428571431</v>
      </c>
      <c r="X75" s="1">
        <f t="shared" si="19"/>
        <v>16.428571428571431</v>
      </c>
      <c r="Y75" s="1">
        <v>2</v>
      </c>
      <c r="Z75" s="1">
        <v>2</v>
      </c>
      <c r="AA75" s="1">
        <v>1.6</v>
      </c>
      <c r="AB75" s="1">
        <v>0.4</v>
      </c>
      <c r="AC75" s="1">
        <v>0.2</v>
      </c>
      <c r="AD75" s="1">
        <v>0.4</v>
      </c>
      <c r="AE75" s="1">
        <v>0</v>
      </c>
      <c r="AF75" s="1"/>
      <c r="AG75" s="1">
        <f t="shared" si="22"/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115</v>
      </c>
      <c r="B76" s="1" t="s">
        <v>40</v>
      </c>
      <c r="C76" s="1">
        <v>34</v>
      </c>
      <c r="D76" s="1">
        <v>3</v>
      </c>
      <c r="E76" s="1">
        <v>52</v>
      </c>
      <c r="F76" s="1">
        <v>-15</v>
      </c>
      <c r="G76" s="7">
        <v>0.6</v>
      </c>
      <c r="H76" s="1">
        <v>70</v>
      </c>
      <c r="I76" s="1" t="s">
        <v>35</v>
      </c>
      <c r="J76" s="1"/>
      <c r="K76" s="1">
        <v>55</v>
      </c>
      <c r="L76" s="1">
        <f t="shared" si="17"/>
        <v>-3</v>
      </c>
      <c r="M76" s="1"/>
      <c r="N76" s="1"/>
      <c r="O76" s="1">
        <v>0</v>
      </c>
      <c r="P76" s="1">
        <v>100</v>
      </c>
      <c r="Q76" s="1">
        <v>106.4</v>
      </c>
      <c r="R76" s="1">
        <f t="shared" si="18"/>
        <v>10.4</v>
      </c>
      <c r="S76" s="5"/>
      <c r="T76" s="5">
        <f t="shared" si="20"/>
        <v>0</v>
      </c>
      <c r="U76" s="18"/>
      <c r="V76" s="18"/>
      <c r="W76" s="1">
        <f t="shared" si="21"/>
        <v>18.403846153846153</v>
      </c>
      <c r="X76" s="1">
        <f t="shared" si="19"/>
        <v>18.403846153846153</v>
      </c>
      <c r="Y76" s="1">
        <v>17.399999999999999</v>
      </c>
      <c r="Z76" s="1">
        <v>8.1999999999999993</v>
      </c>
      <c r="AA76" s="1">
        <v>1.8</v>
      </c>
      <c r="AB76" s="1">
        <v>1.2</v>
      </c>
      <c r="AC76" s="1">
        <v>4.2</v>
      </c>
      <c r="AD76" s="1">
        <v>7</v>
      </c>
      <c r="AE76" s="1">
        <v>7.6</v>
      </c>
      <c r="AF76" s="1" t="s">
        <v>116</v>
      </c>
      <c r="AG76" s="1">
        <f t="shared" si="22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117</v>
      </c>
      <c r="B77" s="1" t="s">
        <v>40</v>
      </c>
      <c r="C77" s="1"/>
      <c r="D77" s="1">
        <v>96</v>
      </c>
      <c r="E77" s="1">
        <v>18</v>
      </c>
      <c r="F77" s="1">
        <v>78</v>
      </c>
      <c r="G77" s="7">
        <v>0.33</v>
      </c>
      <c r="H77" s="1">
        <v>40</v>
      </c>
      <c r="I77" s="1" t="s">
        <v>35</v>
      </c>
      <c r="J77" s="1"/>
      <c r="K77" s="1">
        <v>18</v>
      </c>
      <c r="L77" s="1">
        <f t="shared" si="17"/>
        <v>0</v>
      </c>
      <c r="M77" s="1"/>
      <c r="N77" s="1"/>
      <c r="O77" s="1">
        <v>24.40000000000002</v>
      </c>
      <c r="P77" s="1">
        <v>0</v>
      </c>
      <c r="Q77" s="1">
        <v>60</v>
      </c>
      <c r="R77" s="1">
        <f t="shared" si="18"/>
        <v>3.6</v>
      </c>
      <c r="S77" s="5"/>
      <c r="T77" s="5">
        <f t="shared" si="20"/>
        <v>0</v>
      </c>
      <c r="U77" s="18"/>
      <c r="V77" s="18"/>
      <c r="W77" s="1">
        <f t="shared" si="21"/>
        <v>45.111111111111121</v>
      </c>
      <c r="X77" s="1">
        <f t="shared" si="19"/>
        <v>45.111111111111121</v>
      </c>
      <c r="Y77" s="1">
        <v>3.6</v>
      </c>
      <c r="Z77" s="1">
        <v>2.4</v>
      </c>
      <c r="AA77" s="1">
        <v>8.4</v>
      </c>
      <c r="AB77" s="1">
        <v>9.6</v>
      </c>
      <c r="AC77" s="1">
        <v>3.6</v>
      </c>
      <c r="AD77" s="1">
        <v>0</v>
      </c>
      <c r="AE77" s="1">
        <v>-0.6</v>
      </c>
      <c r="AF77" s="1"/>
      <c r="AG77" s="1">
        <f t="shared" si="22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118</v>
      </c>
      <c r="B78" s="1" t="s">
        <v>40</v>
      </c>
      <c r="C78" s="1">
        <v>35</v>
      </c>
      <c r="D78" s="1"/>
      <c r="E78" s="1">
        <v>4</v>
      </c>
      <c r="F78" s="1">
        <v>31</v>
      </c>
      <c r="G78" s="7">
        <v>0.4</v>
      </c>
      <c r="H78" s="1">
        <v>55</v>
      </c>
      <c r="I78" s="15" t="s">
        <v>38</v>
      </c>
      <c r="J78" s="1"/>
      <c r="K78" s="1">
        <v>5</v>
      </c>
      <c r="L78" s="1">
        <f t="shared" si="17"/>
        <v>-1</v>
      </c>
      <c r="M78" s="1"/>
      <c r="N78" s="1"/>
      <c r="O78" s="1">
        <v>0</v>
      </c>
      <c r="P78" s="1">
        <v>0</v>
      </c>
      <c r="Q78" s="1">
        <v>0</v>
      </c>
      <c r="R78" s="1">
        <f t="shared" si="18"/>
        <v>0.8</v>
      </c>
      <c r="S78" s="5"/>
      <c r="T78" s="5">
        <f t="shared" si="20"/>
        <v>0</v>
      </c>
      <c r="U78" s="18"/>
      <c r="V78" s="18"/>
      <c r="W78" s="1">
        <f t="shared" si="21"/>
        <v>38.75</v>
      </c>
      <c r="X78" s="1">
        <f t="shared" si="19"/>
        <v>38.75</v>
      </c>
      <c r="Y78" s="1">
        <v>1.4</v>
      </c>
      <c r="Z78" s="1">
        <v>1.4</v>
      </c>
      <c r="AA78" s="1">
        <v>0.8</v>
      </c>
      <c r="AB78" s="1">
        <v>0.2</v>
      </c>
      <c r="AC78" s="1">
        <v>2</v>
      </c>
      <c r="AD78" s="1">
        <v>2.2000000000000002</v>
      </c>
      <c r="AE78" s="1">
        <v>0.6</v>
      </c>
      <c r="AF78" s="17" t="s">
        <v>46</v>
      </c>
      <c r="AG78" s="1">
        <f t="shared" si="22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119</v>
      </c>
      <c r="B79" s="1" t="s">
        <v>40</v>
      </c>
      <c r="C79" s="1">
        <v>3</v>
      </c>
      <c r="D79" s="1"/>
      <c r="E79" s="1">
        <v>3</v>
      </c>
      <c r="F79" s="1">
        <v>-1</v>
      </c>
      <c r="G79" s="7">
        <v>0.35</v>
      </c>
      <c r="H79" s="1">
        <v>40</v>
      </c>
      <c r="I79" s="15" t="s">
        <v>38</v>
      </c>
      <c r="J79" s="1"/>
      <c r="K79" s="1">
        <v>4</v>
      </c>
      <c r="L79" s="1">
        <f t="shared" si="17"/>
        <v>-1</v>
      </c>
      <c r="M79" s="1"/>
      <c r="N79" s="1"/>
      <c r="O79" s="1">
        <v>20.599999999999991</v>
      </c>
      <c r="P79" s="1">
        <v>38.800000000000011</v>
      </c>
      <c r="Q79" s="1">
        <v>0</v>
      </c>
      <c r="R79" s="1">
        <f t="shared" si="18"/>
        <v>0.6</v>
      </c>
      <c r="S79" s="5"/>
      <c r="T79" s="5">
        <v>30</v>
      </c>
      <c r="U79" s="18">
        <f>VLOOKUP(A79,[2]Sheet!$A:$U,20,0)</f>
        <v>70</v>
      </c>
      <c r="V79" s="18" t="str">
        <f>VLOOKUP(A79,[2]Sheet!$A:$U,21,0)</f>
        <v>Есть потребность</v>
      </c>
      <c r="W79" s="1">
        <f t="shared" si="21"/>
        <v>147.33333333333334</v>
      </c>
      <c r="X79" s="1">
        <f t="shared" si="19"/>
        <v>97.333333333333343</v>
      </c>
      <c r="Y79" s="1">
        <v>4.2</v>
      </c>
      <c r="Z79" s="1">
        <v>5.4</v>
      </c>
      <c r="AA79" s="1">
        <v>2.8</v>
      </c>
      <c r="AB79" s="1">
        <v>0.4</v>
      </c>
      <c r="AC79" s="1">
        <v>0.2</v>
      </c>
      <c r="AD79" s="1">
        <v>0.4</v>
      </c>
      <c r="AE79" s="1">
        <v>0.4</v>
      </c>
      <c r="AF79" s="1"/>
      <c r="AG79" s="1">
        <f t="shared" si="22"/>
        <v>11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120</v>
      </c>
      <c r="B80" s="1" t="s">
        <v>40</v>
      </c>
      <c r="C80" s="1">
        <v>4</v>
      </c>
      <c r="D80" s="1">
        <v>3</v>
      </c>
      <c r="E80" s="1">
        <v>4</v>
      </c>
      <c r="F80" s="1"/>
      <c r="G80" s="7">
        <v>0.35</v>
      </c>
      <c r="H80" s="1">
        <v>45</v>
      </c>
      <c r="I80" s="15" t="s">
        <v>38</v>
      </c>
      <c r="J80" s="1"/>
      <c r="K80" s="1">
        <v>16</v>
      </c>
      <c r="L80" s="1">
        <f t="shared" si="17"/>
        <v>-12</v>
      </c>
      <c r="M80" s="1"/>
      <c r="N80" s="1"/>
      <c r="O80" s="1">
        <v>19.399999999999999</v>
      </c>
      <c r="P80" s="1">
        <v>23.4</v>
      </c>
      <c r="Q80" s="1">
        <v>0</v>
      </c>
      <c r="R80" s="1">
        <f t="shared" si="18"/>
        <v>0.8</v>
      </c>
      <c r="S80" s="5"/>
      <c r="T80" s="5">
        <v>20</v>
      </c>
      <c r="U80" s="18">
        <f>VLOOKUP(A80,[2]Sheet!$A:$U,20,0)</f>
        <v>100</v>
      </c>
      <c r="V80" s="18" t="str">
        <f>VLOOKUP(A80,[2]Sheet!$A:$U,21,0)</f>
        <v>Есть потребность</v>
      </c>
      <c r="W80" s="1">
        <f t="shared" si="21"/>
        <v>78.499999999999986</v>
      </c>
      <c r="X80" s="1">
        <f t="shared" si="19"/>
        <v>53.499999999999993</v>
      </c>
      <c r="Y80" s="1">
        <v>3</v>
      </c>
      <c r="Z80" s="1">
        <v>3.6</v>
      </c>
      <c r="AA80" s="1">
        <v>2.6</v>
      </c>
      <c r="AB80" s="1">
        <v>2.8</v>
      </c>
      <c r="AC80" s="1">
        <v>2.2000000000000002</v>
      </c>
      <c r="AD80" s="1">
        <v>0</v>
      </c>
      <c r="AE80" s="1">
        <v>-0.4</v>
      </c>
      <c r="AF80" s="1"/>
      <c r="AG80" s="1">
        <f t="shared" si="22"/>
        <v>7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9" t="s">
        <v>121</v>
      </c>
      <c r="B81" s="9" t="s">
        <v>40</v>
      </c>
      <c r="C81" s="9"/>
      <c r="D81" s="9"/>
      <c r="E81" s="9"/>
      <c r="F81" s="9"/>
      <c r="G81" s="10">
        <v>0</v>
      </c>
      <c r="H81" s="9"/>
      <c r="I81" s="9" t="s">
        <v>35</v>
      </c>
      <c r="J81" s="9"/>
      <c r="K81" s="9"/>
      <c r="L81" s="9">
        <f t="shared" si="17"/>
        <v>0</v>
      </c>
      <c r="M81" s="9"/>
      <c r="N81" s="9"/>
      <c r="O81" s="9">
        <v>0</v>
      </c>
      <c r="P81" s="9">
        <v>0</v>
      </c>
      <c r="Q81" s="9">
        <v>0</v>
      </c>
      <c r="R81" s="9">
        <f t="shared" si="18"/>
        <v>0</v>
      </c>
      <c r="S81" s="11"/>
      <c r="T81" s="5">
        <f t="shared" si="20"/>
        <v>0</v>
      </c>
      <c r="U81" s="18"/>
      <c r="V81" s="18"/>
      <c r="W81" s="1" t="e">
        <f t="shared" si="21"/>
        <v>#DIV/0!</v>
      </c>
      <c r="X81" s="9" t="e">
        <f t="shared" si="19"/>
        <v>#DIV/0!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 t="s">
        <v>41</v>
      </c>
      <c r="AG81" s="1">
        <f t="shared" si="22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9" t="s">
        <v>122</v>
      </c>
      <c r="B82" s="9" t="s">
        <v>34</v>
      </c>
      <c r="C82" s="9"/>
      <c r="D82" s="9"/>
      <c r="E82" s="9"/>
      <c r="F82" s="9"/>
      <c r="G82" s="10">
        <v>0</v>
      </c>
      <c r="H82" s="9"/>
      <c r="I82" s="9" t="s">
        <v>35</v>
      </c>
      <c r="J82" s="9"/>
      <c r="K82" s="9"/>
      <c r="L82" s="9">
        <f t="shared" si="17"/>
        <v>0</v>
      </c>
      <c r="M82" s="9"/>
      <c r="N82" s="9"/>
      <c r="O82" s="9">
        <v>0</v>
      </c>
      <c r="P82" s="9">
        <v>0</v>
      </c>
      <c r="Q82" s="9">
        <v>0</v>
      </c>
      <c r="R82" s="9">
        <f t="shared" si="18"/>
        <v>0</v>
      </c>
      <c r="S82" s="11"/>
      <c r="T82" s="5">
        <f t="shared" si="20"/>
        <v>0</v>
      </c>
      <c r="U82" s="18"/>
      <c r="V82" s="18"/>
      <c r="W82" s="1" t="e">
        <f t="shared" si="21"/>
        <v>#DIV/0!</v>
      </c>
      <c r="X82" s="9" t="e">
        <f t="shared" si="19"/>
        <v>#DIV/0!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 t="s">
        <v>41</v>
      </c>
      <c r="AG82" s="1">
        <f t="shared" si="22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9" t="s">
        <v>123</v>
      </c>
      <c r="B83" s="9" t="s">
        <v>34</v>
      </c>
      <c r="C83" s="9"/>
      <c r="D83" s="9"/>
      <c r="E83" s="9"/>
      <c r="F83" s="9"/>
      <c r="G83" s="10">
        <v>0</v>
      </c>
      <c r="H83" s="9"/>
      <c r="I83" s="9" t="s">
        <v>35</v>
      </c>
      <c r="J83" s="9"/>
      <c r="K83" s="9"/>
      <c r="L83" s="9">
        <f t="shared" si="17"/>
        <v>0</v>
      </c>
      <c r="M83" s="9"/>
      <c r="N83" s="9"/>
      <c r="O83" s="9">
        <v>0</v>
      </c>
      <c r="P83" s="9">
        <v>0</v>
      </c>
      <c r="Q83" s="9">
        <v>0</v>
      </c>
      <c r="R83" s="9">
        <f t="shared" si="18"/>
        <v>0</v>
      </c>
      <c r="S83" s="11"/>
      <c r="T83" s="5">
        <f t="shared" si="20"/>
        <v>0</v>
      </c>
      <c r="U83" s="18"/>
      <c r="V83" s="18"/>
      <c r="W83" s="1" t="e">
        <f t="shared" si="21"/>
        <v>#DIV/0!</v>
      </c>
      <c r="X83" s="9" t="e">
        <f t="shared" si="19"/>
        <v>#DIV/0!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 t="s">
        <v>41</v>
      </c>
      <c r="AG83" s="1">
        <f t="shared" si="22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2" t="s">
        <v>124</v>
      </c>
      <c r="B84" s="9" t="s">
        <v>40</v>
      </c>
      <c r="C84" s="9"/>
      <c r="D84" s="9"/>
      <c r="E84" s="9">
        <v>1</v>
      </c>
      <c r="F84" s="9">
        <v>-1</v>
      </c>
      <c r="G84" s="10">
        <v>0</v>
      </c>
      <c r="H84" s="9"/>
      <c r="I84" s="12" t="s">
        <v>55</v>
      </c>
      <c r="J84" s="9"/>
      <c r="K84" s="9">
        <v>1</v>
      </c>
      <c r="L84" s="9">
        <f t="shared" si="17"/>
        <v>0</v>
      </c>
      <c r="M84" s="9"/>
      <c r="N84" s="9"/>
      <c r="O84" s="9"/>
      <c r="P84" s="9"/>
      <c r="Q84" s="9"/>
      <c r="R84" s="9">
        <f t="shared" si="18"/>
        <v>0.2</v>
      </c>
      <c r="S84" s="11"/>
      <c r="T84" s="5">
        <f t="shared" si="20"/>
        <v>0</v>
      </c>
      <c r="U84" s="18"/>
      <c r="V84" s="18"/>
      <c r="W84" s="1">
        <f t="shared" si="21"/>
        <v>-5</v>
      </c>
      <c r="X84" s="9">
        <f t="shared" si="19"/>
        <v>-5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/>
      <c r="AG84" s="1">
        <f t="shared" si="22"/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125</v>
      </c>
      <c r="B85" s="1" t="s">
        <v>34</v>
      </c>
      <c r="C85" s="1">
        <v>99.703000000000003</v>
      </c>
      <c r="D85" s="1">
        <v>103.11199999999999</v>
      </c>
      <c r="E85" s="1">
        <v>90.302999999999997</v>
      </c>
      <c r="F85" s="1">
        <v>106.527</v>
      </c>
      <c r="G85" s="7">
        <v>1</v>
      </c>
      <c r="H85" s="1">
        <v>60</v>
      </c>
      <c r="I85" s="1" t="s">
        <v>35</v>
      </c>
      <c r="J85" s="1"/>
      <c r="K85" s="1">
        <v>88.4</v>
      </c>
      <c r="L85" s="1">
        <f t="shared" si="17"/>
        <v>1.9029999999999916</v>
      </c>
      <c r="M85" s="1"/>
      <c r="N85" s="1"/>
      <c r="O85" s="1">
        <v>14.279800000000019</v>
      </c>
      <c r="P85" s="1">
        <v>112.5308</v>
      </c>
      <c r="Q85" s="1">
        <v>72.264999999999986</v>
      </c>
      <c r="R85" s="1">
        <f t="shared" si="18"/>
        <v>18.060600000000001</v>
      </c>
      <c r="S85" s="5"/>
      <c r="T85" s="5">
        <v>100</v>
      </c>
      <c r="U85" s="18">
        <f>VLOOKUP(A85,[2]Sheet!$A:$U,20,0)</f>
        <v>200</v>
      </c>
      <c r="V85" s="18" t="str">
        <f>VLOOKUP(A85,[2]Sheet!$A:$U,21,0)</f>
        <v>Промо</v>
      </c>
      <c r="W85" s="1">
        <f t="shared" si="21"/>
        <v>22.457869616734769</v>
      </c>
      <c r="X85" s="1">
        <f t="shared" si="19"/>
        <v>16.920955007031882</v>
      </c>
      <c r="Y85" s="1">
        <v>28.770600000000002</v>
      </c>
      <c r="Z85" s="1">
        <v>23.8322</v>
      </c>
      <c r="AA85" s="1">
        <v>20.955400000000001</v>
      </c>
      <c r="AB85" s="1">
        <v>14.3246</v>
      </c>
      <c r="AC85" s="1">
        <v>2.42</v>
      </c>
      <c r="AD85" s="1">
        <v>12.898199999999999</v>
      </c>
      <c r="AE85" s="1">
        <v>19.516999999999999</v>
      </c>
      <c r="AF85" s="1"/>
      <c r="AG85" s="1">
        <f t="shared" si="22"/>
        <v>100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9" t="s">
        <v>126</v>
      </c>
      <c r="B86" s="9" t="s">
        <v>40</v>
      </c>
      <c r="C86" s="9"/>
      <c r="D86" s="9"/>
      <c r="E86" s="9"/>
      <c r="F86" s="9"/>
      <c r="G86" s="10">
        <v>0</v>
      </c>
      <c r="H86" s="9"/>
      <c r="I86" s="9" t="s">
        <v>35</v>
      </c>
      <c r="J86" s="9"/>
      <c r="K86" s="9"/>
      <c r="L86" s="9">
        <f t="shared" si="17"/>
        <v>0</v>
      </c>
      <c r="M86" s="9"/>
      <c r="N86" s="9"/>
      <c r="O86" s="9">
        <v>0</v>
      </c>
      <c r="P86" s="9">
        <v>0</v>
      </c>
      <c r="Q86" s="9">
        <v>0</v>
      </c>
      <c r="R86" s="9">
        <f t="shared" si="18"/>
        <v>0</v>
      </c>
      <c r="S86" s="11"/>
      <c r="T86" s="5">
        <f t="shared" si="20"/>
        <v>0</v>
      </c>
      <c r="U86" s="18"/>
      <c r="V86" s="18"/>
      <c r="W86" s="1" t="e">
        <f t="shared" si="21"/>
        <v>#DIV/0!</v>
      </c>
      <c r="X86" s="9" t="e">
        <f t="shared" si="19"/>
        <v>#DIV/0!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 t="s">
        <v>41</v>
      </c>
      <c r="AG86" s="1">
        <f t="shared" si="22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127</v>
      </c>
      <c r="B87" s="1" t="s">
        <v>34</v>
      </c>
      <c r="C87" s="1">
        <v>754.64800000000002</v>
      </c>
      <c r="D87" s="1">
        <v>74.819999999999993</v>
      </c>
      <c r="E87" s="1">
        <v>514.17100000000005</v>
      </c>
      <c r="F87" s="1">
        <v>177.744</v>
      </c>
      <c r="G87" s="7">
        <v>1</v>
      </c>
      <c r="H87" s="1">
        <v>60</v>
      </c>
      <c r="I87" s="1" t="s">
        <v>35</v>
      </c>
      <c r="J87" s="1"/>
      <c r="K87" s="1">
        <v>650</v>
      </c>
      <c r="L87" s="1">
        <f t="shared" si="17"/>
        <v>-135.82899999999995</v>
      </c>
      <c r="M87" s="1"/>
      <c r="N87" s="1"/>
      <c r="O87" s="1">
        <v>56.636569399275572</v>
      </c>
      <c r="P87" s="1">
        <v>147.50800000000001</v>
      </c>
      <c r="Q87" s="1">
        <v>378.06543060072448</v>
      </c>
      <c r="R87" s="1">
        <f t="shared" si="18"/>
        <v>102.83420000000001</v>
      </c>
      <c r="S87" s="5">
        <f t="shared" ref="S87:S88" si="23">11*R87-Q87-P87-O87-F87</f>
        <v>371.22219999999993</v>
      </c>
      <c r="T87" s="5">
        <f>S87+R87*$T$1</f>
        <v>618.02427999999998</v>
      </c>
      <c r="U87" s="18"/>
      <c r="V87" s="18"/>
      <c r="W87" s="1">
        <f t="shared" si="21"/>
        <v>13.399999999999999</v>
      </c>
      <c r="X87" s="1">
        <f t="shared" si="19"/>
        <v>7.3900900673122365</v>
      </c>
      <c r="Y87" s="1">
        <v>93.611000000000004</v>
      </c>
      <c r="Z87" s="1">
        <v>73.753999999999991</v>
      </c>
      <c r="AA87" s="1">
        <v>82.291200000000003</v>
      </c>
      <c r="AB87" s="1">
        <v>76.831199999999995</v>
      </c>
      <c r="AC87" s="1">
        <v>111.5638</v>
      </c>
      <c r="AD87" s="1">
        <v>119.0112</v>
      </c>
      <c r="AE87" s="1">
        <v>67.967799999999997</v>
      </c>
      <c r="AF87" s="1"/>
      <c r="AG87" s="1">
        <f t="shared" si="22"/>
        <v>618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128</v>
      </c>
      <c r="B88" s="1" t="s">
        <v>34</v>
      </c>
      <c r="C88" s="1">
        <v>166.577</v>
      </c>
      <c r="D88" s="1">
        <v>504.76799999999997</v>
      </c>
      <c r="E88" s="1">
        <v>452.98099999999999</v>
      </c>
      <c r="F88" s="1">
        <v>128.74100000000001</v>
      </c>
      <c r="G88" s="7">
        <v>1</v>
      </c>
      <c r="H88" s="1">
        <v>60</v>
      </c>
      <c r="I88" s="1" t="s">
        <v>35</v>
      </c>
      <c r="J88" s="1"/>
      <c r="K88" s="1">
        <v>601.70000000000005</v>
      </c>
      <c r="L88" s="1">
        <f t="shared" si="17"/>
        <v>-148.71900000000005</v>
      </c>
      <c r="M88" s="1"/>
      <c r="N88" s="1"/>
      <c r="O88" s="1">
        <v>167.9470233417772</v>
      </c>
      <c r="P88" s="1">
        <v>181.9736000000002</v>
      </c>
      <c r="Q88" s="1">
        <v>284.73117665822252</v>
      </c>
      <c r="R88" s="1">
        <f t="shared" si="18"/>
        <v>90.596199999999996</v>
      </c>
      <c r="S88" s="5">
        <f t="shared" si="23"/>
        <v>233.16540000000001</v>
      </c>
      <c r="T88" s="5">
        <f>S88+R88*$T$1</f>
        <v>450.59627999999998</v>
      </c>
      <c r="U88" s="18">
        <f>VLOOKUP(A88,[2]Sheet!$A:$U,20,0)</f>
        <v>350</v>
      </c>
      <c r="V88" s="18" t="str">
        <f>VLOOKUP(A88,[2]Sheet!$A:$U,21,0)</f>
        <v>Промо</v>
      </c>
      <c r="W88" s="1">
        <f t="shared" si="21"/>
        <v>13.399999999999999</v>
      </c>
      <c r="X88" s="1">
        <f t="shared" si="19"/>
        <v>8.4263225168384555</v>
      </c>
      <c r="Y88" s="1">
        <v>90.205799999999996</v>
      </c>
      <c r="Z88" s="1">
        <v>76.264800000000008</v>
      </c>
      <c r="AA88" s="1">
        <v>80.529399999999995</v>
      </c>
      <c r="AB88" s="1">
        <v>76.1738</v>
      </c>
      <c r="AC88" s="1">
        <v>98.932400000000001</v>
      </c>
      <c r="AD88" s="1">
        <v>67.966399999999993</v>
      </c>
      <c r="AE88" s="1">
        <v>26.086600000000001</v>
      </c>
      <c r="AF88" s="1"/>
      <c r="AG88" s="1">
        <f t="shared" si="22"/>
        <v>451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56</v>
      </c>
      <c r="B89" s="1" t="s">
        <v>34</v>
      </c>
      <c r="C89" s="1">
        <v>5.2999999999999999E-2</v>
      </c>
      <c r="D89" s="1">
        <v>1165.03</v>
      </c>
      <c r="E89" s="13">
        <f>629.324+E21</f>
        <v>631.822</v>
      </c>
      <c r="F89" s="13">
        <f>473.128+F21</f>
        <v>470.63</v>
      </c>
      <c r="G89" s="7">
        <v>1</v>
      </c>
      <c r="H89" s="1">
        <v>60</v>
      </c>
      <c r="I89" s="1" t="s">
        <v>35</v>
      </c>
      <c r="J89" s="1"/>
      <c r="K89" s="1">
        <v>702.2</v>
      </c>
      <c r="L89" s="1">
        <f t="shared" si="17"/>
        <v>-70.378000000000043</v>
      </c>
      <c r="M89" s="1"/>
      <c r="N89" s="1"/>
      <c r="O89" s="1">
        <v>654.91039999999975</v>
      </c>
      <c r="P89" s="1">
        <v>357.83139999999997</v>
      </c>
      <c r="Q89" s="1">
        <v>0</v>
      </c>
      <c r="R89" s="1">
        <f t="shared" si="18"/>
        <v>126.3644</v>
      </c>
      <c r="S89" s="5"/>
      <c r="T89" s="5">
        <f t="shared" ref="T89" si="24">U89</f>
        <v>300</v>
      </c>
      <c r="U89" s="18">
        <f>VLOOKUP(A89,[2]Sheet!$A:$U,20,0)</f>
        <v>300</v>
      </c>
      <c r="V89" s="18" t="str">
        <f>VLOOKUP(A89,[2]Sheet!$A:$U,21,0)</f>
        <v>Промо</v>
      </c>
      <c r="W89" s="1">
        <f t="shared" si="21"/>
        <v>14.11292895783939</v>
      </c>
      <c r="X89" s="1">
        <f t="shared" si="19"/>
        <v>11.738842585411714</v>
      </c>
      <c r="Y89" s="1">
        <v>133.12180000000001</v>
      </c>
      <c r="Z89" s="1">
        <v>160.41480000000001</v>
      </c>
      <c r="AA89" s="1">
        <v>168.05799999999999</v>
      </c>
      <c r="AB89" s="1">
        <v>164.81059999999999</v>
      </c>
      <c r="AC89" s="1">
        <v>136.1634</v>
      </c>
      <c r="AD89" s="1">
        <v>154.62280000000001</v>
      </c>
      <c r="AE89" s="1">
        <v>109.41240000000001</v>
      </c>
      <c r="AF89" s="1"/>
      <c r="AG89" s="1">
        <f t="shared" si="22"/>
        <v>300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9" t="s">
        <v>129</v>
      </c>
      <c r="B90" s="9" t="s">
        <v>34</v>
      </c>
      <c r="C90" s="9"/>
      <c r="D90" s="9"/>
      <c r="E90" s="9"/>
      <c r="F90" s="9"/>
      <c r="G90" s="10">
        <v>0</v>
      </c>
      <c r="H90" s="9"/>
      <c r="I90" s="9" t="s">
        <v>38</v>
      </c>
      <c r="J90" s="9"/>
      <c r="K90" s="9"/>
      <c r="L90" s="9">
        <f t="shared" si="17"/>
        <v>0</v>
      </c>
      <c r="M90" s="9"/>
      <c r="N90" s="9"/>
      <c r="O90" s="9">
        <v>0</v>
      </c>
      <c r="P90" s="9">
        <v>0</v>
      </c>
      <c r="Q90" s="9">
        <v>0</v>
      </c>
      <c r="R90" s="9">
        <f t="shared" si="18"/>
        <v>0</v>
      </c>
      <c r="S90" s="11"/>
      <c r="T90" s="5">
        <f t="shared" si="20"/>
        <v>0</v>
      </c>
      <c r="U90" s="18"/>
      <c r="V90" s="18"/>
      <c r="W90" s="1" t="e">
        <f t="shared" si="21"/>
        <v>#DIV/0!</v>
      </c>
      <c r="X90" s="9" t="e">
        <f t="shared" si="19"/>
        <v>#DIV/0!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 t="s">
        <v>41</v>
      </c>
      <c r="AG90" s="1">
        <f t="shared" si="22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130</v>
      </c>
      <c r="B91" s="1" t="s">
        <v>40</v>
      </c>
      <c r="C91" s="1"/>
      <c r="D91" s="1">
        <v>156</v>
      </c>
      <c r="E91" s="1">
        <v>24</v>
      </c>
      <c r="F91" s="1">
        <v>132</v>
      </c>
      <c r="G91" s="7">
        <v>0.3</v>
      </c>
      <c r="H91" s="1">
        <v>40</v>
      </c>
      <c r="I91" s="15" t="s">
        <v>38</v>
      </c>
      <c r="J91" s="1"/>
      <c r="K91" s="1">
        <v>33</v>
      </c>
      <c r="L91" s="1">
        <f t="shared" si="17"/>
        <v>-9</v>
      </c>
      <c r="M91" s="1"/>
      <c r="N91" s="1"/>
      <c r="O91" s="1">
        <v>50</v>
      </c>
      <c r="P91" s="1">
        <v>0</v>
      </c>
      <c r="Q91" s="1">
        <v>0</v>
      </c>
      <c r="R91" s="1">
        <f t="shared" si="18"/>
        <v>4.8</v>
      </c>
      <c r="S91" s="5"/>
      <c r="T91" s="5">
        <f t="shared" si="20"/>
        <v>0</v>
      </c>
      <c r="U91" s="18"/>
      <c r="V91" s="18"/>
      <c r="W91" s="1">
        <f t="shared" si="21"/>
        <v>37.916666666666671</v>
      </c>
      <c r="X91" s="1">
        <f t="shared" si="19"/>
        <v>37.916666666666671</v>
      </c>
      <c r="Y91" s="1">
        <v>1.2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/>
      <c r="AG91" s="1">
        <f t="shared" si="22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9" t="s">
        <v>131</v>
      </c>
      <c r="B92" s="9" t="s">
        <v>40</v>
      </c>
      <c r="C92" s="9"/>
      <c r="D92" s="9"/>
      <c r="E92" s="9"/>
      <c r="F92" s="9"/>
      <c r="G92" s="10">
        <v>0</v>
      </c>
      <c r="H92" s="9"/>
      <c r="I92" s="9" t="s">
        <v>38</v>
      </c>
      <c r="J92" s="9"/>
      <c r="K92" s="9"/>
      <c r="L92" s="9">
        <f t="shared" si="17"/>
        <v>0</v>
      </c>
      <c r="M92" s="9"/>
      <c r="N92" s="9"/>
      <c r="O92" s="9">
        <v>0</v>
      </c>
      <c r="P92" s="9">
        <v>0</v>
      </c>
      <c r="Q92" s="9">
        <v>0</v>
      </c>
      <c r="R92" s="9">
        <f t="shared" si="18"/>
        <v>0</v>
      </c>
      <c r="S92" s="11"/>
      <c r="T92" s="5">
        <f t="shared" si="20"/>
        <v>0</v>
      </c>
      <c r="U92" s="18"/>
      <c r="V92" s="18"/>
      <c r="W92" s="1" t="e">
        <f t="shared" si="21"/>
        <v>#DIV/0!</v>
      </c>
      <c r="X92" s="9" t="e">
        <f t="shared" si="19"/>
        <v>#DIV/0!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 t="s">
        <v>41</v>
      </c>
      <c r="AG92" s="1">
        <f t="shared" si="22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132</v>
      </c>
      <c r="B93" s="1" t="s">
        <v>40</v>
      </c>
      <c r="C93" s="1"/>
      <c r="D93" s="1">
        <v>147</v>
      </c>
      <c r="E93" s="1">
        <v>10</v>
      </c>
      <c r="F93" s="1">
        <v>133</v>
      </c>
      <c r="G93" s="7">
        <v>7.0000000000000007E-2</v>
      </c>
      <c r="H93" s="1">
        <v>90</v>
      </c>
      <c r="I93" s="15" t="s">
        <v>38</v>
      </c>
      <c r="J93" s="1"/>
      <c r="K93" s="1">
        <v>13</v>
      </c>
      <c r="L93" s="1">
        <f t="shared" si="17"/>
        <v>-3</v>
      </c>
      <c r="M93" s="1"/>
      <c r="N93" s="1"/>
      <c r="O93" s="1">
        <v>50</v>
      </c>
      <c r="P93" s="1">
        <v>0</v>
      </c>
      <c r="Q93" s="1">
        <v>20</v>
      </c>
      <c r="R93" s="1">
        <f t="shared" si="18"/>
        <v>2</v>
      </c>
      <c r="S93" s="5"/>
      <c r="T93" s="5">
        <f t="shared" si="20"/>
        <v>0</v>
      </c>
      <c r="U93" s="18"/>
      <c r="V93" s="18"/>
      <c r="W93" s="1">
        <f t="shared" si="21"/>
        <v>101.5</v>
      </c>
      <c r="X93" s="1">
        <f t="shared" si="19"/>
        <v>101.5</v>
      </c>
      <c r="Y93" s="1">
        <v>0.6</v>
      </c>
      <c r="Z93" s="1">
        <v>0.6</v>
      </c>
      <c r="AA93" s="1">
        <v>5.2</v>
      </c>
      <c r="AB93" s="1">
        <v>6</v>
      </c>
      <c r="AC93" s="1">
        <v>2</v>
      </c>
      <c r="AD93" s="1">
        <v>0.6</v>
      </c>
      <c r="AE93" s="1">
        <v>0</v>
      </c>
      <c r="AF93" s="1"/>
      <c r="AG93" s="1">
        <f t="shared" si="22"/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133</v>
      </c>
      <c r="B94" s="1" t="s">
        <v>40</v>
      </c>
      <c r="C94" s="1"/>
      <c r="D94" s="1">
        <v>93</v>
      </c>
      <c r="E94" s="1">
        <v>19</v>
      </c>
      <c r="F94" s="1">
        <v>70</v>
      </c>
      <c r="G94" s="7">
        <v>7.0000000000000007E-2</v>
      </c>
      <c r="H94" s="1">
        <v>90</v>
      </c>
      <c r="I94" s="15" t="s">
        <v>38</v>
      </c>
      <c r="J94" s="1"/>
      <c r="K94" s="1">
        <v>22</v>
      </c>
      <c r="L94" s="1">
        <f t="shared" si="17"/>
        <v>-3</v>
      </c>
      <c r="M94" s="1"/>
      <c r="N94" s="1"/>
      <c r="O94" s="1">
        <v>50</v>
      </c>
      <c r="P94" s="1">
        <v>0</v>
      </c>
      <c r="Q94" s="1">
        <v>20</v>
      </c>
      <c r="R94" s="1">
        <f t="shared" si="18"/>
        <v>3.8</v>
      </c>
      <c r="S94" s="5"/>
      <c r="T94" s="5">
        <f t="shared" si="20"/>
        <v>0</v>
      </c>
      <c r="U94" s="18"/>
      <c r="V94" s="18"/>
      <c r="W94" s="1">
        <f t="shared" si="21"/>
        <v>36.842105263157897</v>
      </c>
      <c r="X94" s="1">
        <f t="shared" si="19"/>
        <v>36.842105263157897</v>
      </c>
      <c r="Y94" s="1">
        <v>1</v>
      </c>
      <c r="Z94" s="1">
        <v>0</v>
      </c>
      <c r="AA94" s="1">
        <v>0</v>
      </c>
      <c r="AB94" s="1">
        <v>0</v>
      </c>
      <c r="AC94" s="1">
        <v>0.6</v>
      </c>
      <c r="AD94" s="1">
        <v>0.6</v>
      </c>
      <c r="AE94" s="1">
        <v>0</v>
      </c>
      <c r="AF94" s="1"/>
      <c r="AG94" s="1">
        <f t="shared" si="22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134</v>
      </c>
      <c r="B95" s="1" t="s">
        <v>40</v>
      </c>
      <c r="C95" s="1">
        <v>7</v>
      </c>
      <c r="D95" s="1">
        <v>94</v>
      </c>
      <c r="E95" s="1">
        <v>20</v>
      </c>
      <c r="F95" s="1">
        <v>76</v>
      </c>
      <c r="G95" s="7">
        <v>7.0000000000000007E-2</v>
      </c>
      <c r="H95" s="1">
        <v>90</v>
      </c>
      <c r="I95" s="1" t="s">
        <v>35</v>
      </c>
      <c r="J95" s="1"/>
      <c r="K95" s="1">
        <v>25</v>
      </c>
      <c r="L95" s="1">
        <f t="shared" si="17"/>
        <v>-5</v>
      </c>
      <c r="M95" s="1"/>
      <c r="N95" s="1"/>
      <c r="O95" s="1">
        <v>60</v>
      </c>
      <c r="P95" s="1">
        <v>0</v>
      </c>
      <c r="Q95" s="1">
        <v>30</v>
      </c>
      <c r="R95" s="1">
        <f t="shared" si="18"/>
        <v>4</v>
      </c>
      <c r="S95" s="5"/>
      <c r="T95" s="5">
        <f t="shared" si="20"/>
        <v>0</v>
      </c>
      <c r="U95" s="18"/>
      <c r="V95" s="18"/>
      <c r="W95" s="1">
        <f t="shared" si="21"/>
        <v>41.5</v>
      </c>
      <c r="X95" s="1">
        <f t="shared" si="19"/>
        <v>41.5</v>
      </c>
      <c r="Y95" s="1">
        <v>5</v>
      </c>
      <c r="Z95" s="1">
        <v>8.8000000000000007</v>
      </c>
      <c r="AA95" s="1">
        <v>11</v>
      </c>
      <c r="AB95" s="1">
        <v>5.6</v>
      </c>
      <c r="AC95" s="1">
        <v>3.8</v>
      </c>
      <c r="AD95" s="1">
        <v>2.6</v>
      </c>
      <c r="AE95" s="1">
        <v>0.8</v>
      </c>
      <c r="AF95" s="1"/>
      <c r="AG95" s="1">
        <f t="shared" si="22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135</v>
      </c>
      <c r="B96" s="1" t="s">
        <v>40</v>
      </c>
      <c r="C96" s="1">
        <v>8</v>
      </c>
      <c r="D96" s="1">
        <v>48</v>
      </c>
      <c r="E96" s="1">
        <v>21</v>
      </c>
      <c r="F96" s="1">
        <v>34</v>
      </c>
      <c r="G96" s="7">
        <v>0.3</v>
      </c>
      <c r="H96" s="1"/>
      <c r="I96" s="1" t="s">
        <v>35</v>
      </c>
      <c r="J96" s="1"/>
      <c r="K96" s="1">
        <v>21</v>
      </c>
      <c r="L96" s="1">
        <f t="shared" si="17"/>
        <v>0</v>
      </c>
      <c r="M96" s="1"/>
      <c r="N96" s="1"/>
      <c r="O96" s="1">
        <v>16.599999999999991</v>
      </c>
      <c r="P96" s="1">
        <v>0</v>
      </c>
      <c r="Q96" s="1">
        <v>0</v>
      </c>
      <c r="R96" s="1">
        <f t="shared" si="18"/>
        <v>4.2</v>
      </c>
      <c r="S96" s="5"/>
      <c r="T96" s="5">
        <f t="shared" si="20"/>
        <v>0</v>
      </c>
      <c r="U96" s="18"/>
      <c r="V96" s="18"/>
      <c r="W96" s="1">
        <f t="shared" si="21"/>
        <v>12.047619047619046</v>
      </c>
      <c r="X96" s="1">
        <f t="shared" si="19"/>
        <v>12.047619047619046</v>
      </c>
      <c r="Y96" s="1">
        <v>3.4</v>
      </c>
      <c r="Z96" s="1">
        <v>4</v>
      </c>
      <c r="AA96" s="1">
        <v>5.8</v>
      </c>
      <c r="AB96" s="1">
        <v>4.8</v>
      </c>
      <c r="AC96" s="1">
        <v>6</v>
      </c>
      <c r="AD96" s="1">
        <v>4</v>
      </c>
      <c r="AE96" s="1">
        <v>0</v>
      </c>
      <c r="AF96" s="1"/>
      <c r="AG96" s="1">
        <f t="shared" si="22"/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136</v>
      </c>
      <c r="B97" s="1" t="s">
        <v>40</v>
      </c>
      <c r="C97" s="1">
        <v>65</v>
      </c>
      <c r="D97" s="1"/>
      <c r="E97" s="1">
        <v>-1</v>
      </c>
      <c r="F97" s="1">
        <v>65</v>
      </c>
      <c r="G97" s="7">
        <v>0.11</v>
      </c>
      <c r="H97" s="1">
        <v>30</v>
      </c>
      <c r="I97" s="1" t="s">
        <v>35</v>
      </c>
      <c r="J97" s="1"/>
      <c r="K97" s="1">
        <v>50</v>
      </c>
      <c r="L97" s="1">
        <f t="shared" si="17"/>
        <v>-51</v>
      </c>
      <c r="M97" s="1"/>
      <c r="N97" s="1"/>
      <c r="O97" s="1">
        <v>0</v>
      </c>
      <c r="P97" s="1">
        <v>0</v>
      </c>
      <c r="Q97" s="1">
        <v>0</v>
      </c>
      <c r="R97" s="1">
        <f t="shared" si="18"/>
        <v>-0.2</v>
      </c>
      <c r="S97" s="5"/>
      <c r="T97" s="5">
        <f t="shared" si="20"/>
        <v>0</v>
      </c>
      <c r="U97" s="18"/>
      <c r="V97" s="18"/>
      <c r="W97" s="1">
        <f t="shared" si="21"/>
        <v>-325</v>
      </c>
      <c r="X97" s="1">
        <f t="shared" si="19"/>
        <v>-325</v>
      </c>
      <c r="Y97" s="1">
        <v>0.2</v>
      </c>
      <c r="Z97" s="1">
        <v>0.2</v>
      </c>
      <c r="AA97" s="1">
        <v>0.2</v>
      </c>
      <c r="AB97" s="1">
        <v>4.2</v>
      </c>
      <c r="AC97" s="1">
        <v>4</v>
      </c>
      <c r="AD97" s="1">
        <v>2</v>
      </c>
      <c r="AE97" s="1">
        <v>2</v>
      </c>
      <c r="AF97" s="17" t="s">
        <v>46</v>
      </c>
      <c r="AG97" s="1">
        <f t="shared" si="22"/>
        <v>0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9" t="s">
        <v>137</v>
      </c>
      <c r="B98" s="9" t="s">
        <v>40</v>
      </c>
      <c r="C98" s="9"/>
      <c r="D98" s="9"/>
      <c r="E98" s="9"/>
      <c r="F98" s="9"/>
      <c r="G98" s="10">
        <v>0</v>
      </c>
      <c r="H98" s="9"/>
      <c r="I98" s="9" t="s">
        <v>35</v>
      </c>
      <c r="J98" s="9"/>
      <c r="K98" s="9"/>
      <c r="L98" s="9">
        <f t="shared" si="17"/>
        <v>0</v>
      </c>
      <c r="M98" s="9"/>
      <c r="N98" s="9"/>
      <c r="O98" s="9">
        <v>0</v>
      </c>
      <c r="P98" s="9">
        <v>0</v>
      </c>
      <c r="Q98" s="9">
        <v>0</v>
      </c>
      <c r="R98" s="9">
        <f t="shared" si="18"/>
        <v>0</v>
      </c>
      <c r="S98" s="11"/>
      <c r="T98" s="5">
        <f t="shared" si="20"/>
        <v>0</v>
      </c>
      <c r="U98" s="18"/>
      <c r="V98" s="18"/>
      <c r="W98" s="1" t="e">
        <f t="shared" si="21"/>
        <v>#DIV/0!</v>
      </c>
      <c r="X98" s="9" t="e">
        <f t="shared" si="19"/>
        <v>#DIV/0!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 t="s">
        <v>41</v>
      </c>
      <c r="AG98" s="1">
        <f t="shared" si="22"/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138</v>
      </c>
      <c r="B99" s="1" t="s">
        <v>40</v>
      </c>
      <c r="C99" s="1">
        <v>6</v>
      </c>
      <c r="D99" s="1">
        <v>86</v>
      </c>
      <c r="E99" s="1">
        <v>39</v>
      </c>
      <c r="F99" s="1">
        <v>48</v>
      </c>
      <c r="G99" s="7">
        <v>0.08</v>
      </c>
      <c r="H99" s="1">
        <v>45</v>
      </c>
      <c r="I99" s="1" t="s">
        <v>35</v>
      </c>
      <c r="J99" s="1"/>
      <c r="K99" s="1">
        <v>54</v>
      </c>
      <c r="L99" s="1">
        <f t="shared" si="17"/>
        <v>-15</v>
      </c>
      <c r="M99" s="1"/>
      <c r="N99" s="1"/>
      <c r="O99" s="1">
        <v>0</v>
      </c>
      <c r="P99" s="1">
        <v>57</v>
      </c>
      <c r="Q99" s="1">
        <v>80</v>
      </c>
      <c r="R99" s="1">
        <f t="shared" si="18"/>
        <v>7.8</v>
      </c>
      <c r="S99" s="5"/>
      <c r="T99" s="5">
        <f t="shared" si="20"/>
        <v>0</v>
      </c>
      <c r="U99" s="18"/>
      <c r="V99" s="18"/>
      <c r="W99" s="1">
        <f t="shared" si="21"/>
        <v>23.717948717948719</v>
      </c>
      <c r="X99" s="1">
        <f t="shared" si="19"/>
        <v>23.717948717948719</v>
      </c>
      <c r="Y99" s="1">
        <v>11.2</v>
      </c>
      <c r="Z99" s="1">
        <v>11</v>
      </c>
      <c r="AA99" s="1">
        <v>8.1999999999999993</v>
      </c>
      <c r="AB99" s="1">
        <v>3.4</v>
      </c>
      <c r="AC99" s="1">
        <v>0</v>
      </c>
      <c r="AD99" s="1">
        <v>0</v>
      </c>
      <c r="AE99" s="1">
        <v>-0.2</v>
      </c>
      <c r="AF99" s="1"/>
      <c r="AG99" s="1">
        <f t="shared" si="22"/>
        <v>0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139</v>
      </c>
      <c r="B100" s="1" t="s">
        <v>40</v>
      </c>
      <c r="C100" s="1">
        <v>-2</v>
      </c>
      <c r="D100" s="1">
        <v>71</v>
      </c>
      <c r="E100" s="1">
        <v>5</v>
      </c>
      <c r="F100" s="1">
        <v>62</v>
      </c>
      <c r="G100" s="7">
        <v>0.08</v>
      </c>
      <c r="H100" s="1">
        <v>45</v>
      </c>
      <c r="I100" s="1" t="s">
        <v>35</v>
      </c>
      <c r="J100" s="1"/>
      <c r="K100" s="1">
        <v>7</v>
      </c>
      <c r="L100" s="1">
        <f t="shared" si="17"/>
        <v>-2</v>
      </c>
      <c r="M100" s="1"/>
      <c r="N100" s="1"/>
      <c r="O100" s="1">
        <v>78.400000000000006</v>
      </c>
      <c r="P100" s="1">
        <v>0</v>
      </c>
      <c r="Q100" s="1">
        <v>20</v>
      </c>
      <c r="R100" s="1">
        <f t="shared" si="18"/>
        <v>1</v>
      </c>
      <c r="S100" s="5"/>
      <c r="T100" s="5">
        <f t="shared" si="20"/>
        <v>0</v>
      </c>
      <c r="U100" s="18"/>
      <c r="V100" s="18"/>
      <c r="W100" s="1">
        <f t="shared" si="21"/>
        <v>160.4</v>
      </c>
      <c r="X100" s="1">
        <f t="shared" si="19"/>
        <v>160.4</v>
      </c>
      <c r="Y100" s="1">
        <v>0.4</v>
      </c>
      <c r="Z100" s="1">
        <v>8.1999999999999993</v>
      </c>
      <c r="AA100" s="1">
        <v>13.4</v>
      </c>
      <c r="AB100" s="1">
        <v>9.4</v>
      </c>
      <c r="AC100" s="1">
        <v>6.8</v>
      </c>
      <c r="AD100" s="1">
        <v>4</v>
      </c>
      <c r="AE100" s="1">
        <v>1</v>
      </c>
      <c r="AF100" s="1"/>
      <c r="AG100" s="1">
        <f t="shared" si="22"/>
        <v>0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 t="s">
        <v>140</v>
      </c>
      <c r="B101" s="1" t="s">
        <v>40</v>
      </c>
      <c r="C101" s="1">
        <v>31</v>
      </c>
      <c r="D101" s="1"/>
      <c r="E101" s="1">
        <v>10</v>
      </c>
      <c r="F101" s="1">
        <v>21</v>
      </c>
      <c r="G101" s="7">
        <v>0.17</v>
      </c>
      <c r="H101" s="1">
        <v>30</v>
      </c>
      <c r="I101" s="15" t="s">
        <v>38</v>
      </c>
      <c r="J101" s="1"/>
      <c r="K101" s="1">
        <v>10</v>
      </c>
      <c r="L101" s="1">
        <f t="shared" si="17"/>
        <v>0</v>
      </c>
      <c r="M101" s="1"/>
      <c r="N101" s="1"/>
      <c r="O101" s="1">
        <v>0</v>
      </c>
      <c r="P101" s="1">
        <v>0</v>
      </c>
      <c r="Q101" s="1">
        <v>5.4000000000000021</v>
      </c>
      <c r="R101" s="1">
        <f t="shared" si="18"/>
        <v>2</v>
      </c>
      <c r="S101" s="5"/>
      <c r="T101" s="5">
        <f t="shared" si="20"/>
        <v>0</v>
      </c>
      <c r="U101" s="18"/>
      <c r="V101" s="18"/>
      <c r="W101" s="1">
        <f t="shared" si="21"/>
        <v>13.200000000000001</v>
      </c>
      <c r="X101" s="1">
        <f t="shared" si="19"/>
        <v>13.200000000000001</v>
      </c>
      <c r="Y101" s="1">
        <v>2.2000000000000002</v>
      </c>
      <c r="Z101" s="1">
        <v>2.2000000000000002</v>
      </c>
      <c r="AA101" s="1">
        <v>2</v>
      </c>
      <c r="AB101" s="1">
        <v>0</v>
      </c>
      <c r="AC101" s="1">
        <v>0</v>
      </c>
      <c r="AD101" s="1">
        <v>0</v>
      </c>
      <c r="AE101" s="1">
        <v>0</v>
      </c>
      <c r="AF101" s="1"/>
      <c r="AG101" s="1">
        <f t="shared" si="22"/>
        <v>0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 t="s">
        <v>141</v>
      </c>
      <c r="B102" s="1" t="s">
        <v>34</v>
      </c>
      <c r="C102" s="1">
        <v>0.71399999999999997</v>
      </c>
      <c r="D102" s="1">
        <v>231.62799999999999</v>
      </c>
      <c r="E102" s="1">
        <v>58.176000000000002</v>
      </c>
      <c r="F102" s="1">
        <v>166.857</v>
      </c>
      <c r="G102" s="7">
        <v>1</v>
      </c>
      <c r="H102" s="1">
        <v>40</v>
      </c>
      <c r="I102" s="15" t="s">
        <v>38</v>
      </c>
      <c r="J102" s="1"/>
      <c r="K102" s="1">
        <v>89.5</v>
      </c>
      <c r="L102" s="1">
        <f t="shared" ref="L102:L130" si="25">E102-K102</f>
        <v>-31.323999999999998</v>
      </c>
      <c r="M102" s="1"/>
      <c r="N102" s="1"/>
      <c r="O102" s="1">
        <v>40</v>
      </c>
      <c r="P102" s="1">
        <v>0</v>
      </c>
      <c r="Q102" s="1">
        <v>50</v>
      </c>
      <c r="R102" s="1">
        <f t="shared" ref="R102:R130" si="26">E102/5</f>
        <v>11.635200000000001</v>
      </c>
      <c r="S102" s="5"/>
      <c r="T102" s="5">
        <f t="shared" si="20"/>
        <v>0</v>
      </c>
      <c r="U102" s="18"/>
      <c r="V102" s="18"/>
      <c r="W102" s="1">
        <f t="shared" si="21"/>
        <v>22.075856023102304</v>
      </c>
      <c r="X102" s="1">
        <f t="shared" ref="X102:X130" si="27">(F102+O102+P102+Q102)/R102</f>
        <v>22.075856023102304</v>
      </c>
      <c r="Y102" s="1">
        <v>5.8108000000000004</v>
      </c>
      <c r="Z102" s="1">
        <v>6.2143999999999986</v>
      </c>
      <c r="AA102" s="1">
        <v>6.7900000000000009</v>
      </c>
      <c r="AB102" s="1">
        <v>2.7458</v>
      </c>
      <c r="AC102" s="1">
        <v>0</v>
      </c>
      <c r="AD102" s="1">
        <v>0</v>
      </c>
      <c r="AE102" s="1">
        <v>0</v>
      </c>
      <c r="AF102" s="1"/>
      <c r="AG102" s="1">
        <f t="shared" si="22"/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 t="s">
        <v>142</v>
      </c>
      <c r="B103" s="1" t="s">
        <v>34</v>
      </c>
      <c r="C103" s="1">
        <v>94.54</v>
      </c>
      <c r="D103" s="1">
        <v>9.3889999999999993</v>
      </c>
      <c r="E103" s="1">
        <v>47.098999999999997</v>
      </c>
      <c r="F103" s="1">
        <v>48.86</v>
      </c>
      <c r="G103" s="7">
        <v>1</v>
      </c>
      <c r="H103" s="1">
        <v>40</v>
      </c>
      <c r="I103" s="15" t="s">
        <v>38</v>
      </c>
      <c r="J103" s="1"/>
      <c r="K103" s="1">
        <v>65</v>
      </c>
      <c r="L103" s="1">
        <f t="shared" si="25"/>
        <v>-17.901000000000003</v>
      </c>
      <c r="M103" s="1"/>
      <c r="N103" s="1"/>
      <c r="O103" s="1">
        <v>60</v>
      </c>
      <c r="P103" s="1">
        <v>0</v>
      </c>
      <c r="Q103" s="1">
        <v>70</v>
      </c>
      <c r="R103" s="1">
        <f t="shared" si="26"/>
        <v>9.4197999999999986</v>
      </c>
      <c r="S103" s="5"/>
      <c r="T103" s="5">
        <v>50</v>
      </c>
      <c r="U103" s="18">
        <f>VLOOKUP(A103,[2]Sheet!$A:$U,20,0)</f>
        <v>100</v>
      </c>
      <c r="V103" s="18" t="str">
        <f>VLOOKUP(A103,[2]Sheet!$A:$U,21,0)</f>
        <v>Промо</v>
      </c>
      <c r="W103" s="1">
        <f t="shared" si="21"/>
        <v>24.295632603664625</v>
      </c>
      <c r="X103" s="1">
        <f t="shared" si="27"/>
        <v>18.987664281619573</v>
      </c>
      <c r="Y103" s="1">
        <v>15.959199999999999</v>
      </c>
      <c r="Z103" s="1">
        <v>17.477399999999999</v>
      </c>
      <c r="AA103" s="1">
        <v>11.980600000000001</v>
      </c>
      <c r="AB103" s="1">
        <v>12.179600000000001</v>
      </c>
      <c r="AC103" s="1">
        <v>7.9207999999999998</v>
      </c>
      <c r="AD103" s="1">
        <v>2.3073999999999999</v>
      </c>
      <c r="AE103" s="1">
        <v>0</v>
      </c>
      <c r="AF103" s="16" t="s">
        <v>74</v>
      </c>
      <c r="AG103" s="1">
        <f t="shared" si="22"/>
        <v>50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 t="s">
        <v>143</v>
      </c>
      <c r="B104" s="1" t="s">
        <v>34</v>
      </c>
      <c r="C104" s="1"/>
      <c r="D104" s="1">
        <v>72.411000000000001</v>
      </c>
      <c r="E104" s="1">
        <v>13.872999999999999</v>
      </c>
      <c r="F104" s="1">
        <v>57.814999999999998</v>
      </c>
      <c r="G104" s="7">
        <v>1</v>
      </c>
      <c r="H104" s="1">
        <v>40</v>
      </c>
      <c r="I104" s="15" t="s">
        <v>38</v>
      </c>
      <c r="J104" s="1"/>
      <c r="K104" s="1">
        <v>22</v>
      </c>
      <c r="L104" s="1">
        <f t="shared" si="25"/>
        <v>-8.1270000000000007</v>
      </c>
      <c r="M104" s="1"/>
      <c r="N104" s="1"/>
      <c r="O104" s="1">
        <v>80</v>
      </c>
      <c r="P104" s="1">
        <v>0</v>
      </c>
      <c r="Q104" s="1">
        <v>30</v>
      </c>
      <c r="R104" s="1">
        <f t="shared" si="26"/>
        <v>2.7746</v>
      </c>
      <c r="S104" s="5"/>
      <c r="T104" s="5">
        <f t="shared" ref="T104" si="28">U104</f>
        <v>50</v>
      </c>
      <c r="U104" s="18">
        <f>VLOOKUP(A104,[2]Sheet!$A:$U,20,0)</f>
        <v>50</v>
      </c>
      <c r="V104" s="18" t="str">
        <f>VLOOKUP(A104,[2]Sheet!$A:$U,21,0)</f>
        <v>Промо</v>
      </c>
      <c r="W104" s="1">
        <f t="shared" si="21"/>
        <v>78.503207669573996</v>
      </c>
      <c r="X104" s="1">
        <f t="shared" si="27"/>
        <v>60.482592085345637</v>
      </c>
      <c r="Y104" s="1">
        <v>0.99499999999999988</v>
      </c>
      <c r="Z104" s="1">
        <v>1.2778</v>
      </c>
      <c r="AA104" s="1">
        <v>0.2828</v>
      </c>
      <c r="AB104" s="1">
        <v>0</v>
      </c>
      <c r="AC104" s="1">
        <v>0</v>
      </c>
      <c r="AD104" s="1">
        <v>0</v>
      </c>
      <c r="AE104" s="1">
        <v>-0.14399999999999999</v>
      </c>
      <c r="AF104" s="1"/>
      <c r="AG104" s="1">
        <f t="shared" si="22"/>
        <v>50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9" t="s">
        <v>144</v>
      </c>
      <c r="B105" s="9" t="s">
        <v>40</v>
      </c>
      <c r="C105" s="9"/>
      <c r="D105" s="9"/>
      <c r="E105" s="9"/>
      <c r="F105" s="9"/>
      <c r="G105" s="10">
        <v>0</v>
      </c>
      <c r="H105" s="9"/>
      <c r="I105" s="9" t="s">
        <v>35</v>
      </c>
      <c r="J105" s="9"/>
      <c r="K105" s="9"/>
      <c r="L105" s="9">
        <f t="shared" si="25"/>
        <v>0</v>
      </c>
      <c r="M105" s="9"/>
      <c r="N105" s="9"/>
      <c r="O105" s="9">
        <v>0</v>
      </c>
      <c r="P105" s="9">
        <v>0</v>
      </c>
      <c r="Q105" s="9">
        <v>0</v>
      </c>
      <c r="R105" s="9">
        <f t="shared" si="26"/>
        <v>0</v>
      </c>
      <c r="S105" s="11"/>
      <c r="T105" s="5">
        <f t="shared" si="20"/>
        <v>0</v>
      </c>
      <c r="U105" s="18"/>
      <c r="V105" s="18"/>
      <c r="W105" s="1" t="e">
        <f t="shared" si="21"/>
        <v>#DIV/0!</v>
      </c>
      <c r="X105" s="9" t="e">
        <f t="shared" si="27"/>
        <v>#DIV/0!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 t="s">
        <v>145</v>
      </c>
      <c r="AG105" s="1">
        <f t="shared" si="22"/>
        <v>0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 t="s">
        <v>146</v>
      </c>
      <c r="B106" s="1" t="s">
        <v>40</v>
      </c>
      <c r="C106" s="1">
        <v>-1</v>
      </c>
      <c r="D106" s="1">
        <v>30</v>
      </c>
      <c r="E106" s="1">
        <v>8</v>
      </c>
      <c r="F106" s="1">
        <v>19</v>
      </c>
      <c r="G106" s="7">
        <v>0.28000000000000003</v>
      </c>
      <c r="H106" s="1">
        <v>40</v>
      </c>
      <c r="I106" s="15" t="s">
        <v>38</v>
      </c>
      <c r="J106" s="1"/>
      <c r="K106" s="1">
        <v>13</v>
      </c>
      <c r="L106" s="1">
        <f t="shared" si="25"/>
        <v>-5</v>
      </c>
      <c r="M106" s="1"/>
      <c r="N106" s="1"/>
      <c r="O106" s="1">
        <v>80</v>
      </c>
      <c r="P106" s="1">
        <v>0</v>
      </c>
      <c r="Q106" s="1">
        <v>30</v>
      </c>
      <c r="R106" s="1">
        <f t="shared" si="26"/>
        <v>1.6</v>
      </c>
      <c r="S106" s="5"/>
      <c r="T106" s="5">
        <f t="shared" si="20"/>
        <v>0</v>
      </c>
      <c r="U106" s="18"/>
      <c r="V106" s="18"/>
      <c r="W106" s="1">
        <f t="shared" si="21"/>
        <v>80.625</v>
      </c>
      <c r="X106" s="1">
        <f t="shared" si="27"/>
        <v>80.625</v>
      </c>
      <c r="Y106" s="1">
        <v>0.4</v>
      </c>
      <c r="Z106" s="1">
        <v>13.6</v>
      </c>
      <c r="AA106" s="1">
        <v>14.8</v>
      </c>
      <c r="AB106" s="1">
        <v>1.4</v>
      </c>
      <c r="AC106" s="1">
        <v>0</v>
      </c>
      <c r="AD106" s="1">
        <v>0</v>
      </c>
      <c r="AE106" s="1">
        <v>-0.4</v>
      </c>
      <c r="AF106" s="1"/>
      <c r="AG106" s="1">
        <f t="shared" si="22"/>
        <v>0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 t="s">
        <v>147</v>
      </c>
      <c r="B107" s="1" t="s">
        <v>40</v>
      </c>
      <c r="C107" s="1">
        <v>41</v>
      </c>
      <c r="D107" s="1">
        <v>154</v>
      </c>
      <c r="E107" s="1">
        <v>56</v>
      </c>
      <c r="F107" s="1">
        <v>133</v>
      </c>
      <c r="G107" s="7">
        <v>0.28000000000000003</v>
      </c>
      <c r="H107" s="1">
        <v>40</v>
      </c>
      <c r="I107" s="15" t="s">
        <v>38</v>
      </c>
      <c r="J107" s="1"/>
      <c r="K107" s="1">
        <v>87</v>
      </c>
      <c r="L107" s="1">
        <f t="shared" si="25"/>
        <v>-31</v>
      </c>
      <c r="M107" s="1"/>
      <c r="N107" s="1"/>
      <c r="O107" s="1">
        <v>0</v>
      </c>
      <c r="P107" s="1">
        <v>30</v>
      </c>
      <c r="Q107" s="1">
        <v>70</v>
      </c>
      <c r="R107" s="1">
        <f t="shared" si="26"/>
        <v>11.2</v>
      </c>
      <c r="S107" s="5"/>
      <c r="T107" s="5">
        <f t="shared" si="20"/>
        <v>0</v>
      </c>
      <c r="U107" s="18"/>
      <c r="V107" s="18"/>
      <c r="W107" s="1">
        <f t="shared" si="21"/>
        <v>20.803571428571431</v>
      </c>
      <c r="X107" s="1">
        <f t="shared" si="27"/>
        <v>20.803571428571431</v>
      </c>
      <c r="Y107" s="1">
        <v>17.8</v>
      </c>
      <c r="Z107" s="1">
        <v>15</v>
      </c>
      <c r="AA107" s="1">
        <v>16.2</v>
      </c>
      <c r="AB107" s="1">
        <v>26</v>
      </c>
      <c r="AC107" s="1">
        <v>15.2</v>
      </c>
      <c r="AD107" s="1">
        <v>1.2</v>
      </c>
      <c r="AE107" s="1">
        <v>0</v>
      </c>
      <c r="AF107" s="1"/>
      <c r="AG107" s="1">
        <f t="shared" si="22"/>
        <v>0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 t="s">
        <v>148</v>
      </c>
      <c r="B108" s="1" t="s">
        <v>40</v>
      </c>
      <c r="C108" s="1"/>
      <c r="D108" s="1">
        <v>204</v>
      </c>
      <c r="E108" s="1">
        <v>20</v>
      </c>
      <c r="F108" s="1">
        <v>182</v>
      </c>
      <c r="G108" s="7">
        <v>0.28000000000000003</v>
      </c>
      <c r="H108" s="1">
        <v>40</v>
      </c>
      <c r="I108" s="15" t="s">
        <v>38</v>
      </c>
      <c r="J108" s="1"/>
      <c r="K108" s="1">
        <v>65</v>
      </c>
      <c r="L108" s="1">
        <f t="shared" si="25"/>
        <v>-45</v>
      </c>
      <c r="M108" s="1"/>
      <c r="N108" s="1"/>
      <c r="O108" s="1">
        <v>50</v>
      </c>
      <c r="P108" s="1">
        <v>0</v>
      </c>
      <c r="Q108" s="1">
        <v>60</v>
      </c>
      <c r="R108" s="1">
        <f t="shared" si="26"/>
        <v>4</v>
      </c>
      <c r="S108" s="5"/>
      <c r="T108" s="5">
        <f t="shared" si="20"/>
        <v>0</v>
      </c>
      <c r="U108" s="18"/>
      <c r="V108" s="18"/>
      <c r="W108" s="1">
        <f t="shared" si="21"/>
        <v>73</v>
      </c>
      <c r="X108" s="1">
        <f t="shared" si="27"/>
        <v>73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/>
      <c r="AG108" s="1">
        <f t="shared" si="22"/>
        <v>0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 t="s">
        <v>149</v>
      </c>
      <c r="B109" s="1" t="s">
        <v>40</v>
      </c>
      <c r="C109" s="1">
        <v>23</v>
      </c>
      <c r="D109" s="1">
        <v>31</v>
      </c>
      <c r="E109" s="1">
        <v>8</v>
      </c>
      <c r="F109" s="1">
        <v>45</v>
      </c>
      <c r="G109" s="7">
        <v>0.09</v>
      </c>
      <c r="H109" s="1">
        <v>45</v>
      </c>
      <c r="I109" s="1" t="s">
        <v>35</v>
      </c>
      <c r="J109" s="1"/>
      <c r="K109" s="1">
        <v>9</v>
      </c>
      <c r="L109" s="1">
        <f t="shared" si="25"/>
        <v>-1</v>
      </c>
      <c r="M109" s="1"/>
      <c r="N109" s="1"/>
      <c r="O109" s="1">
        <v>21.366527196652729</v>
      </c>
      <c r="P109" s="1">
        <v>0</v>
      </c>
      <c r="Q109" s="1"/>
      <c r="R109" s="1">
        <f t="shared" si="26"/>
        <v>1.6</v>
      </c>
      <c r="S109" s="5"/>
      <c r="T109" s="5">
        <f t="shared" si="20"/>
        <v>0</v>
      </c>
      <c r="U109" s="18"/>
      <c r="V109" s="18"/>
      <c r="W109" s="1">
        <f t="shared" si="21"/>
        <v>41.479079497907954</v>
      </c>
      <c r="X109" s="1">
        <f t="shared" si="27"/>
        <v>41.479079497907954</v>
      </c>
      <c r="Y109" s="1">
        <v>0.6</v>
      </c>
      <c r="Z109" s="1">
        <v>3.2</v>
      </c>
      <c r="AA109" s="1">
        <v>4.2</v>
      </c>
      <c r="AB109" s="1">
        <v>3.8</v>
      </c>
      <c r="AC109" s="1">
        <v>3</v>
      </c>
      <c r="AD109" s="1">
        <v>0.8</v>
      </c>
      <c r="AE109" s="1">
        <v>0.8</v>
      </c>
      <c r="AF109" s="17" t="s">
        <v>46</v>
      </c>
      <c r="AG109" s="1">
        <f t="shared" si="22"/>
        <v>0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 t="s">
        <v>150</v>
      </c>
      <c r="B110" s="1" t="s">
        <v>34</v>
      </c>
      <c r="C110" s="1"/>
      <c r="D110" s="1">
        <v>29.724</v>
      </c>
      <c r="E110" s="1">
        <v>4.4119999999999999</v>
      </c>
      <c r="F110" s="1">
        <v>24.73</v>
      </c>
      <c r="G110" s="7">
        <v>1</v>
      </c>
      <c r="H110" s="1">
        <v>60</v>
      </c>
      <c r="I110" s="1" t="s">
        <v>35</v>
      </c>
      <c r="J110" s="1"/>
      <c r="K110" s="1">
        <v>37.5</v>
      </c>
      <c r="L110" s="1">
        <f t="shared" si="25"/>
        <v>-33.088000000000001</v>
      </c>
      <c r="M110" s="1"/>
      <c r="N110" s="1"/>
      <c r="O110" s="1">
        <v>0</v>
      </c>
      <c r="P110" s="1">
        <v>0</v>
      </c>
      <c r="Q110" s="1">
        <v>0</v>
      </c>
      <c r="R110" s="1">
        <f t="shared" si="26"/>
        <v>0.88239999999999996</v>
      </c>
      <c r="S110" s="5"/>
      <c r="T110" s="5">
        <f t="shared" si="20"/>
        <v>0</v>
      </c>
      <c r="U110" s="18"/>
      <c r="V110" s="18"/>
      <c r="W110" s="1">
        <f t="shared" si="21"/>
        <v>28.025838621940164</v>
      </c>
      <c r="X110" s="1">
        <f t="shared" si="27"/>
        <v>28.025838621940164</v>
      </c>
      <c r="Y110" s="1">
        <v>0</v>
      </c>
      <c r="Z110" s="1">
        <v>0</v>
      </c>
      <c r="AA110" s="1">
        <v>3.0287999999999999</v>
      </c>
      <c r="AB110" s="1">
        <v>5.5287999999999986</v>
      </c>
      <c r="AC110" s="1">
        <v>3</v>
      </c>
      <c r="AD110" s="1">
        <v>0.5</v>
      </c>
      <c r="AE110" s="1">
        <v>0</v>
      </c>
      <c r="AF110" s="1"/>
      <c r="AG110" s="1">
        <f t="shared" si="22"/>
        <v>0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 t="s">
        <v>151</v>
      </c>
      <c r="B111" s="1" t="s">
        <v>34</v>
      </c>
      <c r="C111" s="1">
        <v>37.374000000000002</v>
      </c>
      <c r="D111" s="1"/>
      <c r="E111" s="1">
        <v>19.989000000000001</v>
      </c>
      <c r="F111" s="1">
        <v>17.385000000000002</v>
      </c>
      <c r="G111" s="7">
        <v>1</v>
      </c>
      <c r="H111" s="1">
        <v>50</v>
      </c>
      <c r="I111" s="1" t="s">
        <v>35</v>
      </c>
      <c r="J111" s="1"/>
      <c r="K111" s="1">
        <v>20</v>
      </c>
      <c r="L111" s="1">
        <f t="shared" si="25"/>
        <v>-1.0999999999999233E-2</v>
      </c>
      <c r="M111" s="1"/>
      <c r="N111" s="1"/>
      <c r="O111" s="1">
        <v>0</v>
      </c>
      <c r="P111" s="1">
        <v>0</v>
      </c>
      <c r="Q111" s="1">
        <v>3.534599999999998</v>
      </c>
      <c r="R111" s="1">
        <f t="shared" si="26"/>
        <v>3.9978000000000002</v>
      </c>
      <c r="S111" s="5">
        <f t="shared" ref="S111:S117" si="29">11*R111-Q111-P111-O111-F111</f>
        <v>23.0562</v>
      </c>
      <c r="T111" s="5">
        <f t="shared" si="20"/>
        <v>23.0562</v>
      </c>
      <c r="U111" s="18"/>
      <c r="V111" s="18"/>
      <c r="W111" s="1">
        <f t="shared" si="21"/>
        <v>11</v>
      </c>
      <c r="X111" s="1">
        <f t="shared" si="27"/>
        <v>5.2327780279153533</v>
      </c>
      <c r="Y111" s="1">
        <v>2.9937999999999998</v>
      </c>
      <c r="Z111" s="1">
        <v>2.4958</v>
      </c>
      <c r="AA111" s="1">
        <v>0</v>
      </c>
      <c r="AB111" s="1">
        <v>2.0022000000000002</v>
      </c>
      <c r="AC111" s="1">
        <v>2.5017999999999998</v>
      </c>
      <c r="AD111" s="1">
        <v>0.49959999999999999</v>
      </c>
      <c r="AE111" s="1">
        <v>0</v>
      </c>
      <c r="AF111" s="1"/>
      <c r="AG111" s="1">
        <f t="shared" si="22"/>
        <v>23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 t="s">
        <v>152</v>
      </c>
      <c r="B112" s="1" t="s">
        <v>40</v>
      </c>
      <c r="C112" s="1"/>
      <c r="D112" s="1">
        <v>20</v>
      </c>
      <c r="E112" s="1">
        <v>1</v>
      </c>
      <c r="F112" s="1">
        <v>19</v>
      </c>
      <c r="G112" s="7">
        <v>0.09</v>
      </c>
      <c r="H112" s="1">
        <v>45</v>
      </c>
      <c r="I112" s="15" t="s">
        <v>38</v>
      </c>
      <c r="J112" s="1"/>
      <c r="K112" s="1">
        <v>21</v>
      </c>
      <c r="L112" s="1">
        <f t="shared" si="25"/>
        <v>-20</v>
      </c>
      <c r="M112" s="1"/>
      <c r="N112" s="1"/>
      <c r="O112" s="1">
        <v>35</v>
      </c>
      <c r="P112" s="1">
        <v>14.79999999999999</v>
      </c>
      <c r="Q112" s="1">
        <v>0</v>
      </c>
      <c r="R112" s="1">
        <f t="shared" si="26"/>
        <v>0.2</v>
      </c>
      <c r="S112" s="5"/>
      <c r="T112" s="5">
        <f t="shared" si="20"/>
        <v>0</v>
      </c>
      <c r="U112" s="18"/>
      <c r="V112" s="18"/>
      <c r="W112" s="1">
        <f t="shared" si="21"/>
        <v>343.99999999999989</v>
      </c>
      <c r="X112" s="1">
        <f t="shared" si="27"/>
        <v>343.99999999999989</v>
      </c>
      <c r="Y112" s="1">
        <v>0</v>
      </c>
      <c r="Z112" s="1">
        <v>4.5999999999999996</v>
      </c>
      <c r="AA112" s="1">
        <v>5</v>
      </c>
      <c r="AB112" s="1">
        <v>2.2000000000000002</v>
      </c>
      <c r="AC112" s="1">
        <v>1.8</v>
      </c>
      <c r="AD112" s="1">
        <v>4.2</v>
      </c>
      <c r="AE112" s="1">
        <v>4.5999999999999996</v>
      </c>
      <c r="AF112" s="1"/>
      <c r="AG112" s="1">
        <f t="shared" si="22"/>
        <v>0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 t="s">
        <v>153</v>
      </c>
      <c r="B113" s="1" t="s">
        <v>40</v>
      </c>
      <c r="C113" s="1"/>
      <c r="D113" s="1">
        <v>50</v>
      </c>
      <c r="E113" s="1">
        <v>1</v>
      </c>
      <c r="F113" s="1">
        <v>49</v>
      </c>
      <c r="G113" s="7">
        <v>0.09</v>
      </c>
      <c r="H113" s="1">
        <v>45</v>
      </c>
      <c r="I113" s="1" t="s">
        <v>35</v>
      </c>
      <c r="J113" s="1"/>
      <c r="K113" s="1">
        <v>1</v>
      </c>
      <c r="L113" s="1">
        <f t="shared" si="25"/>
        <v>0</v>
      </c>
      <c r="M113" s="1"/>
      <c r="N113" s="1"/>
      <c r="O113" s="1">
        <v>8</v>
      </c>
      <c r="P113" s="1">
        <v>0</v>
      </c>
      <c r="Q113" s="1">
        <v>0</v>
      </c>
      <c r="R113" s="1">
        <f t="shared" si="26"/>
        <v>0.2</v>
      </c>
      <c r="S113" s="5"/>
      <c r="T113" s="5">
        <f t="shared" si="20"/>
        <v>0</v>
      </c>
      <c r="U113" s="18"/>
      <c r="V113" s="18"/>
      <c r="W113" s="1">
        <f t="shared" si="21"/>
        <v>285</v>
      </c>
      <c r="X113" s="1">
        <f t="shared" si="27"/>
        <v>285</v>
      </c>
      <c r="Y113" s="1">
        <v>0</v>
      </c>
      <c r="Z113" s="1">
        <v>2.4</v>
      </c>
      <c r="AA113" s="1">
        <v>3.2</v>
      </c>
      <c r="AB113" s="1">
        <v>4</v>
      </c>
      <c r="AC113" s="1">
        <v>2.8</v>
      </c>
      <c r="AD113" s="1">
        <v>0.2</v>
      </c>
      <c r="AE113" s="1">
        <v>0.6</v>
      </c>
      <c r="AF113" s="1"/>
      <c r="AG113" s="1">
        <f t="shared" si="22"/>
        <v>0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 t="s">
        <v>154</v>
      </c>
      <c r="B114" s="1" t="s">
        <v>34</v>
      </c>
      <c r="C114" s="1">
        <v>12.36</v>
      </c>
      <c r="D114" s="1">
        <v>57.411999999999999</v>
      </c>
      <c r="E114" s="1">
        <v>20.065000000000001</v>
      </c>
      <c r="F114" s="1">
        <v>46.972999999999999</v>
      </c>
      <c r="G114" s="7">
        <v>1</v>
      </c>
      <c r="H114" s="1">
        <v>60</v>
      </c>
      <c r="I114" s="15" t="s">
        <v>38</v>
      </c>
      <c r="J114" s="1"/>
      <c r="K114" s="1">
        <v>18.2</v>
      </c>
      <c r="L114" s="1">
        <f t="shared" si="25"/>
        <v>1.865000000000002</v>
      </c>
      <c r="M114" s="1"/>
      <c r="N114" s="1"/>
      <c r="O114" s="1">
        <v>0</v>
      </c>
      <c r="P114" s="1">
        <v>0</v>
      </c>
      <c r="Q114" s="1">
        <v>40</v>
      </c>
      <c r="R114" s="1">
        <f t="shared" si="26"/>
        <v>4.0129999999999999</v>
      </c>
      <c r="S114" s="5"/>
      <c r="T114" s="5">
        <v>15</v>
      </c>
      <c r="U114" s="18">
        <f>VLOOKUP(A114,[2]Sheet!$A:$U,20,0)</f>
        <v>40</v>
      </c>
      <c r="V114" s="18" t="str">
        <f>VLOOKUP(A114,[2]Sheet!$A:$U,21,0)</f>
        <v>Промо</v>
      </c>
      <c r="W114" s="1">
        <f t="shared" si="21"/>
        <v>25.410665337652631</v>
      </c>
      <c r="X114" s="1">
        <f t="shared" si="27"/>
        <v>21.672813356591078</v>
      </c>
      <c r="Y114" s="1">
        <v>4.2946</v>
      </c>
      <c r="Z114" s="1">
        <v>4.9442000000000004</v>
      </c>
      <c r="AA114" s="1">
        <v>4.3916000000000004</v>
      </c>
      <c r="AB114" s="1">
        <v>2.4704000000000002</v>
      </c>
      <c r="AC114" s="1">
        <v>2.1956000000000002</v>
      </c>
      <c r="AD114" s="1">
        <v>2.9826000000000001</v>
      </c>
      <c r="AE114" s="1">
        <v>2.9758</v>
      </c>
      <c r="AF114" s="1"/>
      <c r="AG114" s="1">
        <f t="shared" si="22"/>
        <v>15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 t="s">
        <v>155</v>
      </c>
      <c r="B115" s="1" t="s">
        <v>34</v>
      </c>
      <c r="C115" s="1">
        <v>66.084999999999994</v>
      </c>
      <c r="D115" s="1">
        <v>83.902000000000001</v>
      </c>
      <c r="E115" s="1">
        <v>63.328000000000003</v>
      </c>
      <c r="F115" s="1">
        <v>77.028999999999996</v>
      </c>
      <c r="G115" s="7">
        <v>1</v>
      </c>
      <c r="H115" s="1">
        <v>60</v>
      </c>
      <c r="I115" s="1" t="s">
        <v>35</v>
      </c>
      <c r="J115" s="1"/>
      <c r="K115" s="1">
        <v>66.900000000000006</v>
      </c>
      <c r="L115" s="1">
        <f t="shared" si="25"/>
        <v>-3.5720000000000027</v>
      </c>
      <c r="M115" s="1"/>
      <c r="N115" s="1"/>
      <c r="O115" s="1">
        <v>0</v>
      </c>
      <c r="P115" s="1">
        <v>49.261200000000009</v>
      </c>
      <c r="Q115" s="1">
        <v>70</v>
      </c>
      <c r="R115" s="1">
        <f t="shared" si="26"/>
        <v>12.665600000000001</v>
      </c>
      <c r="S115" s="5"/>
      <c r="T115" s="5">
        <v>60</v>
      </c>
      <c r="U115" s="18">
        <f>VLOOKUP(A115,[2]Sheet!$A:$U,20,0)</f>
        <v>100</v>
      </c>
      <c r="V115" s="18" t="str">
        <f>VLOOKUP(A115,[2]Sheet!$A:$U,21,0)</f>
        <v>Промо</v>
      </c>
      <c r="W115" s="1">
        <f t="shared" si="21"/>
        <v>20.235140853966652</v>
      </c>
      <c r="X115" s="1">
        <f t="shared" si="27"/>
        <v>15.497899823142999</v>
      </c>
      <c r="Y115" s="1">
        <v>14.0534</v>
      </c>
      <c r="Z115" s="1">
        <v>14.257400000000001</v>
      </c>
      <c r="AA115" s="1">
        <v>11.395</v>
      </c>
      <c r="AB115" s="1">
        <v>10.089399999999999</v>
      </c>
      <c r="AC115" s="1">
        <v>12.381</v>
      </c>
      <c r="AD115" s="1">
        <v>7.4349999999999996</v>
      </c>
      <c r="AE115" s="1">
        <v>1.6252</v>
      </c>
      <c r="AF115" s="1"/>
      <c r="AG115" s="1">
        <f t="shared" si="22"/>
        <v>60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 t="s">
        <v>156</v>
      </c>
      <c r="B116" s="1" t="s">
        <v>34</v>
      </c>
      <c r="C116" s="1">
        <v>8.2729999999999997</v>
      </c>
      <c r="D116" s="1">
        <v>24.684999999999999</v>
      </c>
      <c r="E116" s="1">
        <v>2.2589999999999999</v>
      </c>
      <c r="F116" s="1">
        <v>30.699000000000002</v>
      </c>
      <c r="G116" s="7">
        <v>1</v>
      </c>
      <c r="H116" s="1">
        <v>60</v>
      </c>
      <c r="I116" s="15" t="s">
        <v>38</v>
      </c>
      <c r="J116" s="1"/>
      <c r="K116" s="1">
        <v>8.5</v>
      </c>
      <c r="L116" s="1">
        <f t="shared" si="25"/>
        <v>-6.2409999999999997</v>
      </c>
      <c r="M116" s="1"/>
      <c r="N116" s="1"/>
      <c r="O116" s="1">
        <v>5.9983999999999966</v>
      </c>
      <c r="P116" s="1">
        <v>0</v>
      </c>
      <c r="Q116" s="1">
        <v>20</v>
      </c>
      <c r="R116" s="1">
        <f t="shared" si="26"/>
        <v>0.45179999999999998</v>
      </c>
      <c r="S116" s="5"/>
      <c r="T116" s="5">
        <f t="shared" si="20"/>
        <v>0</v>
      </c>
      <c r="U116" s="18"/>
      <c r="V116" s="18"/>
      <c r="W116" s="1">
        <f t="shared" si="21"/>
        <v>125.4922532093847</v>
      </c>
      <c r="X116" s="1">
        <f t="shared" si="27"/>
        <v>125.4922532093847</v>
      </c>
      <c r="Y116" s="1">
        <v>0.44900000000000001</v>
      </c>
      <c r="Z116" s="1">
        <v>2.4214000000000002</v>
      </c>
      <c r="AA116" s="1">
        <v>2.9722</v>
      </c>
      <c r="AB116" s="1">
        <v>1.8866000000000001</v>
      </c>
      <c r="AC116" s="1">
        <v>1.3388</v>
      </c>
      <c r="AD116" s="1">
        <v>2.1850000000000001</v>
      </c>
      <c r="AE116" s="1">
        <v>1.911</v>
      </c>
      <c r="AF116" s="17" t="s">
        <v>46</v>
      </c>
      <c r="AG116" s="1">
        <f t="shared" si="22"/>
        <v>0</v>
      </c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 t="s">
        <v>157</v>
      </c>
      <c r="B117" s="1" t="s">
        <v>34</v>
      </c>
      <c r="C117" s="1">
        <v>696.68499999999995</v>
      </c>
      <c r="D117" s="1">
        <v>228.44399999999999</v>
      </c>
      <c r="E117" s="1">
        <v>444.68099999999998</v>
      </c>
      <c r="F117" s="1">
        <v>442.69600000000003</v>
      </c>
      <c r="G117" s="7">
        <v>1</v>
      </c>
      <c r="H117" s="1">
        <v>60</v>
      </c>
      <c r="I117" s="1" t="s">
        <v>35</v>
      </c>
      <c r="J117" s="1"/>
      <c r="K117" s="1">
        <v>487.5</v>
      </c>
      <c r="L117" s="1">
        <f t="shared" si="25"/>
        <v>-42.819000000000017</v>
      </c>
      <c r="M117" s="1"/>
      <c r="N117" s="1"/>
      <c r="O117" s="1">
        <v>0</v>
      </c>
      <c r="P117" s="1">
        <v>0</v>
      </c>
      <c r="Q117" s="1">
        <v>418.8096000000001</v>
      </c>
      <c r="R117" s="1">
        <f t="shared" si="26"/>
        <v>88.936199999999999</v>
      </c>
      <c r="S117" s="5">
        <f t="shared" si="29"/>
        <v>116.79259999999988</v>
      </c>
      <c r="T117" s="5">
        <f>S117+R117*$T$1</f>
        <v>330.23947999999984</v>
      </c>
      <c r="U117" s="18">
        <f>VLOOKUP(A117,[2]Sheet!$A:$U,20,0)</f>
        <v>250</v>
      </c>
      <c r="V117" s="18" t="str">
        <f>VLOOKUP(A117,[2]Sheet!$A:$U,21,0)</f>
        <v>Промо</v>
      </c>
      <c r="W117" s="1">
        <f t="shared" si="21"/>
        <v>13.400000000000002</v>
      </c>
      <c r="X117" s="1">
        <f t="shared" si="27"/>
        <v>9.6867822101686407</v>
      </c>
      <c r="Y117" s="1">
        <v>91.3386</v>
      </c>
      <c r="Z117" s="1">
        <v>70.101199999999992</v>
      </c>
      <c r="AA117" s="1">
        <v>70.0642</v>
      </c>
      <c r="AB117" s="1">
        <v>68.50160000000001</v>
      </c>
      <c r="AC117" s="1">
        <v>70.50160000000001</v>
      </c>
      <c r="AD117" s="1">
        <v>132.61420000000001</v>
      </c>
      <c r="AE117" s="1">
        <v>90.657399999999996</v>
      </c>
      <c r="AF117" s="1"/>
      <c r="AG117" s="1">
        <f t="shared" si="22"/>
        <v>330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 t="s">
        <v>158</v>
      </c>
      <c r="B118" s="1" t="s">
        <v>40</v>
      </c>
      <c r="C118" s="1">
        <v>247</v>
      </c>
      <c r="D118" s="1"/>
      <c r="E118" s="1">
        <v>1</v>
      </c>
      <c r="F118" s="1">
        <v>246</v>
      </c>
      <c r="G118" s="7">
        <v>0.25</v>
      </c>
      <c r="H118" s="1">
        <v>1096</v>
      </c>
      <c r="I118" s="1" t="s">
        <v>35</v>
      </c>
      <c r="J118" s="1"/>
      <c r="K118" s="1">
        <v>1</v>
      </c>
      <c r="L118" s="1">
        <f t="shared" si="25"/>
        <v>0</v>
      </c>
      <c r="M118" s="1"/>
      <c r="N118" s="1"/>
      <c r="O118" s="1">
        <v>0</v>
      </c>
      <c r="P118" s="1">
        <v>0</v>
      </c>
      <c r="Q118" s="1">
        <v>0</v>
      </c>
      <c r="R118" s="1">
        <f t="shared" si="26"/>
        <v>0.2</v>
      </c>
      <c r="S118" s="5"/>
      <c r="T118" s="5">
        <f t="shared" si="20"/>
        <v>0</v>
      </c>
      <c r="U118" s="18"/>
      <c r="V118" s="18"/>
      <c r="W118" s="1">
        <f t="shared" si="21"/>
        <v>1230</v>
      </c>
      <c r="X118" s="1">
        <f t="shared" si="27"/>
        <v>1230</v>
      </c>
      <c r="Y118" s="1">
        <v>1.2</v>
      </c>
      <c r="Z118" s="1">
        <v>1.6</v>
      </c>
      <c r="AA118" s="1">
        <v>4.4000000000000004</v>
      </c>
      <c r="AB118" s="1">
        <v>6.4</v>
      </c>
      <c r="AC118" s="1">
        <v>3</v>
      </c>
      <c r="AD118" s="1">
        <v>1</v>
      </c>
      <c r="AE118" s="1">
        <v>0.6</v>
      </c>
      <c r="AF118" s="17" t="s">
        <v>46</v>
      </c>
      <c r="AG118" s="1">
        <f t="shared" si="22"/>
        <v>0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 t="s">
        <v>159</v>
      </c>
      <c r="B119" s="1" t="s">
        <v>40</v>
      </c>
      <c r="C119" s="1">
        <v>85</v>
      </c>
      <c r="D119" s="1">
        <v>60</v>
      </c>
      <c r="E119" s="1"/>
      <c r="F119" s="1">
        <v>145</v>
      </c>
      <c r="G119" s="7">
        <v>0.32500000000000001</v>
      </c>
      <c r="H119" s="1">
        <v>1096</v>
      </c>
      <c r="I119" s="1" t="s">
        <v>35</v>
      </c>
      <c r="J119" s="1"/>
      <c r="K119" s="1"/>
      <c r="L119" s="1">
        <f t="shared" si="25"/>
        <v>0</v>
      </c>
      <c r="M119" s="1"/>
      <c r="N119" s="1"/>
      <c r="O119" s="1">
        <v>0</v>
      </c>
      <c r="P119" s="1">
        <v>0</v>
      </c>
      <c r="Q119" s="1">
        <v>0</v>
      </c>
      <c r="R119" s="1">
        <f t="shared" si="26"/>
        <v>0</v>
      </c>
      <c r="S119" s="5"/>
      <c r="T119" s="5">
        <f t="shared" si="20"/>
        <v>0</v>
      </c>
      <c r="U119" s="18"/>
      <c r="V119" s="18"/>
      <c r="W119" s="1" t="e">
        <f t="shared" si="21"/>
        <v>#DIV/0!</v>
      </c>
      <c r="X119" s="1" t="e">
        <f t="shared" si="27"/>
        <v>#DIV/0!</v>
      </c>
      <c r="Y119" s="1">
        <v>2</v>
      </c>
      <c r="Z119" s="1">
        <v>2</v>
      </c>
      <c r="AA119" s="1">
        <v>3.4</v>
      </c>
      <c r="AB119" s="1">
        <v>7.2</v>
      </c>
      <c r="AC119" s="1">
        <v>3.2</v>
      </c>
      <c r="AD119" s="1">
        <v>3</v>
      </c>
      <c r="AE119" s="1">
        <v>3.4</v>
      </c>
      <c r="AF119" s="17" t="s">
        <v>46</v>
      </c>
      <c r="AG119" s="1">
        <f t="shared" si="22"/>
        <v>0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 t="s">
        <v>160</v>
      </c>
      <c r="B120" s="1" t="s">
        <v>40</v>
      </c>
      <c r="C120" s="1">
        <v>91</v>
      </c>
      <c r="D120" s="1">
        <v>60</v>
      </c>
      <c r="E120" s="1">
        <v>1</v>
      </c>
      <c r="F120" s="1">
        <v>150</v>
      </c>
      <c r="G120" s="7">
        <v>0.25</v>
      </c>
      <c r="H120" s="1">
        <v>1096</v>
      </c>
      <c r="I120" s="15" t="s">
        <v>38</v>
      </c>
      <c r="J120" s="1"/>
      <c r="K120" s="1">
        <v>1</v>
      </c>
      <c r="L120" s="1">
        <f t="shared" si="25"/>
        <v>0</v>
      </c>
      <c r="M120" s="1"/>
      <c r="N120" s="1"/>
      <c r="O120" s="1">
        <v>0</v>
      </c>
      <c r="P120" s="1">
        <v>0</v>
      </c>
      <c r="Q120" s="1">
        <v>0</v>
      </c>
      <c r="R120" s="1">
        <f t="shared" si="26"/>
        <v>0.2</v>
      </c>
      <c r="S120" s="5"/>
      <c r="T120" s="5">
        <f t="shared" si="20"/>
        <v>0</v>
      </c>
      <c r="U120" s="18"/>
      <c r="V120" s="18"/>
      <c r="W120" s="1">
        <f t="shared" si="21"/>
        <v>750</v>
      </c>
      <c r="X120" s="1">
        <f t="shared" si="27"/>
        <v>750</v>
      </c>
      <c r="Y120" s="1">
        <v>0.2</v>
      </c>
      <c r="Z120" s="1">
        <v>0</v>
      </c>
      <c r="AA120" s="1">
        <v>4</v>
      </c>
      <c r="AB120" s="1">
        <v>7.8</v>
      </c>
      <c r="AC120" s="1">
        <v>4.2</v>
      </c>
      <c r="AD120" s="1">
        <v>3</v>
      </c>
      <c r="AE120" s="1">
        <v>2.4</v>
      </c>
      <c r="AF120" s="17" t="s">
        <v>46</v>
      </c>
      <c r="AG120" s="1">
        <f t="shared" si="22"/>
        <v>0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9" t="s">
        <v>161</v>
      </c>
      <c r="B121" s="9" t="s">
        <v>34</v>
      </c>
      <c r="C121" s="9">
        <v>11.631</v>
      </c>
      <c r="D121" s="9"/>
      <c r="E121" s="9">
        <v>14.414999999999999</v>
      </c>
      <c r="F121" s="9">
        <v>-2.7839999999999998</v>
      </c>
      <c r="G121" s="10">
        <v>0</v>
      </c>
      <c r="H121" s="9"/>
      <c r="I121" s="9" t="s">
        <v>162</v>
      </c>
      <c r="J121" s="9"/>
      <c r="K121" s="9">
        <v>13</v>
      </c>
      <c r="L121" s="9">
        <f t="shared" si="25"/>
        <v>1.4149999999999991</v>
      </c>
      <c r="M121" s="9"/>
      <c r="N121" s="9"/>
      <c r="O121" s="9">
        <v>0</v>
      </c>
      <c r="P121" s="9">
        <v>0</v>
      </c>
      <c r="Q121" s="9">
        <v>0</v>
      </c>
      <c r="R121" s="9">
        <f t="shared" si="26"/>
        <v>2.883</v>
      </c>
      <c r="S121" s="11"/>
      <c r="T121" s="5">
        <f t="shared" si="20"/>
        <v>0</v>
      </c>
      <c r="U121" s="18"/>
      <c r="V121" s="18"/>
      <c r="W121" s="1">
        <f t="shared" si="21"/>
        <v>-0.96566077003121742</v>
      </c>
      <c r="X121" s="9">
        <f t="shared" si="27"/>
        <v>-0.96566077003121742</v>
      </c>
      <c r="Y121" s="9">
        <v>1.5528</v>
      </c>
      <c r="Z121" s="9">
        <v>1.0740000000000001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/>
      <c r="AG121" s="1">
        <f t="shared" si="22"/>
        <v>0</v>
      </c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 t="s">
        <v>163</v>
      </c>
      <c r="B122" s="1" t="s">
        <v>40</v>
      </c>
      <c r="C122" s="1"/>
      <c r="D122" s="1">
        <v>171</v>
      </c>
      <c r="E122" s="1">
        <v>43</v>
      </c>
      <c r="F122" s="1">
        <v>125</v>
      </c>
      <c r="G122" s="7">
        <v>0.3</v>
      </c>
      <c r="H122" s="1">
        <v>40</v>
      </c>
      <c r="I122" s="15" t="s">
        <v>38</v>
      </c>
      <c r="J122" s="1"/>
      <c r="K122" s="1">
        <v>46</v>
      </c>
      <c r="L122" s="1">
        <f t="shared" si="25"/>
        <v>-3</v>
      </c>
      <c r="M122" s="1"/>
      <c r="N122" s="1"/>
      <c r="O122" s="1">
        <v>80</v>
      </c>
      <c r="P122" s="1">
        <v>0</v>
      </c>
      <c r="Q122" s="1">
        <v>30</v>
      </c>
      <c r="R122" s="1">
        <f t="shared" si="26"/>
        <v>8.6</v>
      </c>
      <c r="S122" s="5"/>
      <c r="T122" s="5">
        <f t="shared" ref="T122:T123" si="30">U122</f>
        <v>30</v>
      </c>
      <c r="U122" s="18">
        <f>VLOOKUP(A122,[2]Sheet!$A:$U,20,0)</f>
        <v>30</v>
      </c>
      <c r="V122" s="18" t="str">
        <f>VLOOKUP(A122,[2]Sheet!$A:$U,21,0)</f>
        <v>Есть потребность</v>
      </c>
      <c r="W122" s="1">
        <f t="shared" si="21"/>
        <v>30.813953488372093</v>
      </c>
      <c r="X122" s="1">
        <f t="shared" si="27"/>
        <v>27.325581395348838</v>
      </c>
      <c r="Y122" s="1">
        <v>4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-0.2</v>
      </c>
      <c r="AF122" s="1"/>
      <c r="AG122" s="1">
        <f t="shared" si="22"/>
        <v>9</v>
      </c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 t="s">
        <v>164</v>
      </c>
      <c r="B123" s="1" t="s">
        <v>40</v>
      </c>
      <c r="C123" s="1"/>
      <c r="D123" s="1">
        <v>171</v>
      </c>
      <c r="E123" s="1">
        <v>40</v>
      </c>
      <c r="F123" s="1">
        <v>128</v>
      </c>
      <c r="G123" s="7">
        <v>0.3</v>
      </c>
      <c r="H123" s="1">
        <v>40</v>
      </c>
      <c r="I123" s="15" t="s">
        <v>38</v>
      </c>
      <c r="J123" s="1"/>
      <c r="K123" s="1">
        <v>45</v>
      </c>
      <c r="L123" s="1">
        <f t="shared" si="25"/>
        <v>-5</v>
      </c>
      <c r="M123" s="1"/>
      <c r="N123" s="1"/>
      <c r="O123" s="1">
        <v>80</v>
      </c>
      <c r="P123" s="1">
        <v>0</v>
      </c>
      <c r="Q123" s="1">
        <v>30</v>
      </c>
      <c r="R123" s="1">
        <f t="shared" si="26"/>
        <v>8</v>
      </c>
      <c r="S123" s="5"/>
      <c r="T123" s="5">
        <f t="shared" si="30"/>
        <v>30</v>
      </c>
      <c r="U123" s="18">
        <f>VLOOKUP(A123,[2]Sheet!$A:$U,20,0)</f>
        <v>30</v>
      </c>
      <c r="V123" s="18" t="str">
        <f>VLOOKUP(A123,[2]Sheet!$A:$U,21,0)</f>
        <v>Есть потребность</v>
      </c>
      <c r="W123" s="1">
        <f t="shared" si="21"/>
        <v>33.5</v>
      </c>
      <c r="X123" s="1">
        <f t="shared" si="27"/>
        <v>29.75</v>
      </c>
      <c r="Y123" s="1">
        <v>4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/>
      <c r="AG123" s="1">
        <f t="shared" si="22"/>
        <v>9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 t="s">
        <v>165</v>
      </c>
      <c r="B124" s="1" t="s">
        <v>34</v>
      </c>
      <c r="C124" s="1">
        <v>11.01</v>
      </c>
      <c r="D124" s="1"/>
      <c r="E124" s="1">
        <v>11.000999999999999</v>
      </c>
      <c r="F124" s="1">
        <v>8.9999999999999993E-3</v>
      </c>
      <c r="G124" s="7">
        <v>1</v>
      </c>
      <c r="H124" s="1">
        <v>50</v>
      </c>
      <c r="I124" s="1" t="s">
        <v>35</v>
      </c>
      <c r="J124" s="1"/>
      <c r="K124" s="1">
        <v>19</v>
      </c>
      <c r="L124" s="1">
        <f t="shared" si="25"/>
        <v>-7.9990000000000006</v>
      </c>
      <c r="M124" s="1"/>
      <c r="N124" s="1"/>
      <c r="O124" s="1">
        <v>13.6068</v>
      </c>
      <c r="P124" s="1">
        <v>8.9283999999999999</v>
      </c>
      <c r="Q124" s="1">
        <v>0</v>
      </c>
      <c r="R124" s="1">
        <f t="shared" si="26"/>
        <v>2.2001999999999997</v>
      </c>
      <c r="S124" s="5">
        <v>4</v>
      </c>
      <c r="T124" s="5">
        <f t="shared" si="20"/>
        <v>4</v>
      </c>
      <c r="U124" s="18"/>
      <c r="V124" s="18"/>
      <c r="W124" s="1">
        <f t="shared" si="21"/>
        <v>12.064448686483049</v>
      </c>
      <c r="X124" s="1">
        <f t="shared" si="27"/>
        <v>10.246432142532498</v>
      </c>
      <c r="Y124" s="1">
        <v>1.9244000000000001</v>
      </c>
      <c r="Z124" s="1">
        <v>2.4641999999999999</v>
      </c>
      <c r="AA124" s="1">
        <v>2.7404000000000002</v>
      </c>
      <c r="AB124" s="1">
        <v>0.82479999999999998</v>
      </c>
      <c r="AC124" s="1">
        <v>0</v>
      </c>
      <c r="AD124" s="1">
        <v>0</v>
      </c>
      <c r="AE124" s="1">
        <v>-0.1072</v>
      </c>
      <c r="AF124" s="1"/>
      <c r="AG124" s="1">
        <f t="shared" si="22"/>
        <v>4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 t="s">
        <v>166</v>
      </c>
      <c r="B125" s="1" t="s">
        <v>40</v>
      </c>
      <c r="C125" s="1"/>
      <c r="D125" s="1">
        <v>102</v>
      </c>
      <c r="E125" s="1">
        <v>2</v>
      </c>
      <c r="F125" s="1">
        <v>100</v>
      </c>
      <c r="G125" s="7">
        <v>0.3</v>
      </c>
      <c r="H125" s="1">
        <v>40</v>
      </c>
      <c r="I125" s="15" t="s">
        <v>38</v>
      </c>
      <c r="J125" s="1"/>
      <c r="K125" s="1">
        <v>2</v>
      </c>
      <c r="L125" s="1">
        <f t="shared" si="25"/>
        <v>0</v>
      </c>
      <c r="M125" s="1"/>
      <c r="N125" s="1"/>
      <c r="O125" s="1">
        <v>80</v>
      </c>
      <c r="P125" s="1">
        <v>0</v>
      </c>
      <c r="Q125" s="1">
        <v>70</v>
      </c>
      <c r="R125" s="1">
        <f t="shared" si="26"/>
        <v>0.4</v>
      </c>
      <c r="S125" s="5"/>
      <c r="T125" s="5">
        <f t="shared" si="20"/>
        <v>0</v>
      </c>
      <c r="U125" s="18"/>
      <c r="V125" s="18"/>
      <c r="W125" s="1">
        <f t="shared" si="21"/>
        <v>625</v>
      </c>
      <c r="X125" s="1">
        <f t="shared" si="27"/>
        <v>625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/>
      <c r="AG125" s="1">
        <f t="shared" si="22"/>
        <v>0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 t="s">
        <v>167</v>
      </c>
      <c r="B126" s="1" t="s">
        <v>40</v>
      </c>
      <c r="C126" s="1"/>
      <c r="D126" s="1">
        <v>63</v>
      </c>
      <c r="E126" s="1">
        <v>8</v>
      </c>
      <c r="F126" s="1">
        <v>51</v>
      </c>
      <c r="G126" s="7">
        <v>0.12</v>
      </c>
      <c r="H126" s="1">
        <v>45</v>
      </c>
      <c r="I126" s="15" t="s">
        <v>38</v>
      </c>
      <c r="J126" s="1"/>
      <c r="K126" s="1">
        <v>11</v>
      </c>
      <c r="L126" s="1">
        <f t="shared" si="25"/>
        <v>-3</v>
      </c>
      <c r="M126" s="1"/>
      <c r="N126" s="1"/>
      <c r="O126" s="1">
        <v>58.200000000000017</v>
      </c>
      <c r="P126" s="1">
        <v>0</v>
      </c>
      <c r="Q126" s="1">
        <v>0</v>
      </c>
      <c r="R126" s="1">
        <f t="shared" si="26"/>
        <v>1.6</v>
      </c>
      <c r="S126" s="5"/>
      <c r="T126" s="5">
        <f t="shared" si="20"/>
        <v>0</v>
      </c>
      <c r="U126" s="18"/>
      <c r="V126" s="18"/>
      <c r="W126" s="1">
        <f t="shared" si="21"/>
        <v>68.25</v>
      </c>
      <c r="X126" s="1">
        <f t="shared" si="27"/>
        <v>68.25</v>
      </c>
      <c r="Y126" s="1">
        <v>1.2</v>
      </c>
      <c r="Z126" s="1">
        <v>5</v>
      </c>
      <c r="AA126" s="1">
        <v>8.4</v>
      </c>
      <c r="AB126" s="1">
        <v>5.6</v>
      </c>
      <c r="AC126" s="1">
        <v>3</v>
      </c>
      <c r="AD126" s="1">
        <v>1.4</v>
      </c>
      <c r="AE126" s="1">
        <v>0</v>
      </c>
      <c r="AF126" s="1"/>
      <c r="AG126" s="1">
        <f t="shared" si="22"/>
        <v>0</v>
      </c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9" t="s">
        <v>168</v>
      </c>
      <c r="B127" s="9" t="s">
        <v>40</v>
      </c>
      <c r="C127" s="9"/>
      <c r="D127" s="9">
        <v>17</v>
      </c>
      <c r="E127" s="13">
        <v>15</v>
      </c>
      <c r="F127" s="9"/>
      <c r="G127" s="10">
        <v>0</v>
      </c>
      <c r="H127" s="9"/>
      <c r="I127" s="9" t="s">
        <v>169</v>
      </c>
      <c r="J127" s="9" t="s">
        <v>94</v>
      </c>
      <c r="K127" s="9">
        <v>19</v>
      </c>
      <c r="L127" s="9">
        <f t="shared" si="25"/>
        <v>-4</v>
      </c>
      <c r="M127" s="9"/>
      <c r="N127" s="9"/>
      <c r="O127" s="9">
        <v>0</v>
      </c>
      <c r="P127" s="9">
        <v>0</v>
      </c>
      <c r="Q127" s="9">
        <v>0</v>
      </c>
      <c r="R127" s="9">
        <f t="shared" si="26"/>
        <v>3</v>
      </c>
      <c r="S127" s="11"/>
      <c r="T127" s="5">
        <f t="shared" si="20"/>
        <v>0</v>
      </c>
      <c r="U127" s="18"/>
      <c r="V127" s="18"/>
      <c r="W127" s="1">
        <f t="shared" si="21"/>
        <v>0</v>
      </c>
      <c r="X127" s="9">
        <f t="shared" si="27"/>
        <v>0</v>
      </c>
      <c r="Y127" s="9">
        <v>5.6</v>
      </c>
      <c r="Z127" s="9">
        <v>4</v>
      </c>
      <c r="AA127" s="9">
        <v>5</v>
      </c>
      <c r="AB127" s="9">
        <v>7</v>
      </c>
      <c r="AC127" s="9">
        <v>4.5999999999999996</v>
      </c>
      <c r="AD127" s="9">
        <v>3</v>
      </c>
      <c r="AE127" s="9">
        <v>2.6</v>
      </c>
      <c r="AF127" s="9"/>
      <c r="AG127" s="1">
        <f t="shared" si="22"/>
        <v>0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4" t="s">
        <v>170</v>
      </c>
      <c r="B128" s="1" t="s">
        <v>34</v>
      </c>
      <c r="C128" s="1"/>
      <c r="D128" s="1"/>
      <c r="E128" s="1"/>
      <c r="F128" s="1"/>
      <c r="G128" s="7">
        <v>1</v>
      </c>
      <c r="H128" s="1"/>
      <c r="I128" s="1" t="s">
        <v>35</v>
      </c>
      <c r="J128" s="1"/>
      <c r="K128" s="1"/>
      <c r="L128" s="1">
        <f t="shared" si="25"/>
        <v>0</v>
      </c>
      <c r="M128" s="1"/>
      <c r="N128" s="1"/>
      <c r="O128" s="1"/>
      <c r="P128" s="1">
        <v>0</v>
      </c>
      <c r="Q128" s="1">
        <v>0</v>
      </c>
      <c r="R128" s="1">
        <f t="shared" si="26"/>
        <v>0</v>
      </c>
      <c r="S128" s="5"/>
      <c r="T128" s="5">
        <f t="shared" si="20"/>
        <v>0</v>
      </c>
      <c r="U128" s="18"/>
      <c r="V128" s="18"/>
      <c r="W128" s="1" t="e">
        <f t="shared" si="21"/>
        <v>#DIV/0!</v>
      </c>
      <c r="X128" s="1" t="e">
        <f t="shared" si="27"/>
        <v>#DIV/0!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 t="s">
        <v>171</v>
      </c>
      <c r="AG128" s="1">
        <f t="shared" si="22"/>
        <v>0</v>
      </c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9" t="s">
        <v>172</v>
      </c>
      <c r="B129" s="9" t="s">
        <v>34</v>
      </c>
      <c r="C129" s="9"/>
      <c r="D129" s="9"/>
      <c r="E129" s="9"/>
      <c r="F129" s="9"/>
      <c r="G129" s="10">
        <v>0</v>
      </c>
      <c r="H129" s="9"/>
      <c r="I129" s="9" t="s">
        <v>35</v>
      </c>
      <c r="J129" s="9"/>
      <c r="K129" s="9"/>
      <c r="L129" s="9">
        <f t="shared" si="25"/>
        <v>0</v>
      </c>
      <c r="M129" s="9"/>
      <c r="N129" s="9"/>
      <c r="O129" s="9"/>
      <c r="P129" s="9">
        <v>0</v>
      </c>
      <c r="Q129" s="9">
        <v>0</v>
      </c>
      <c r="R129" s="9">
        <f t="shared" si="26"/>
        <v>0</v>
      </c>
      <c r="S129" s="11"/>
      <c r="T129" s="5">
        <f t="shared" si="20"/>
        <v>0</v>
      </c>
      <c r="U129" s="18"/>
      <c r="V129" s="18"/>
      <c r="W129" s="1" t="e">
        <f t="shared" si="21"/>
        <v>#DIV/0!</v>
      </c>
      <c r="X129" s="9" t="e">
        <f t="shared" si="27"/>
        <v>#DIV/0!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 t="s">
        <v>41</v>
      </c>
      <c r="AG129" s="1">
        <f t="shared" si="22"/>
        <v>0</v>
      </c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9" t="s">
        <v>173</v>
      </c>
      <c r="B130" s="9" t="s">
        <v>34</v>
      </c>
      <c r="C130" s="9"/>
      <c r="D130" s="9"/>
      <c r="E130" s="9"/>
      <c r="F130" s="9"/>
      <c r="G130" s="10">
        <v>0</v>
      </c>
      <c r="H130" s="9"/>
      <c r="I130" s="9" t="s">
        <v>35</v>
      </c>
      <c r="J130" s="9"/>
      <c r="K130" s="9"/>
      <c r="L130" s="9">
        <f t="shared" si="25"/>
        <v>0</v>
      </c>
      <c r="M130" s="9"/>
      <c r="N130" s="9"/>
      <c r="O130" s="9"/>
      <c r="P130" s="9">
        <v>0</v>
      </c>
      <c r="Q130" s="9">
        <v>0</v>
      </c>
      <c r="R130" s="9">
        <f t="shared" si="26"/>
        <v>0</v>
      </c>
      <c r="S130" s="11"/>
      <c r="T130" s="5">
        <f t="shared" si="20"/>
        <v>0</v>
      </c>
      <c r="U130" s="18"/>
      <c r="V130" s="18"/>
      <c r="W130" s="1" t="e">
        <f t="shared" si="21"/>
        <v>#DIV/0!</v>
      </c>
      <c r="X130" s="9" t="e">
        <f t="shared" si="27"/>
        <v>#DIV/0!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 t="s">
        <v>41</v>
      </c>
      <c r="AG130" s="1">
        <f t="shared" si="22"/>
        <v>0</v>
      </c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</sheetData>
  <autoFilter ref="A3:AG13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2026-10-20T10:25:57Z</dcterms:created>
  <dcterms:modified xsi:type="dcterms:W3CDTF">2026-10-21T10:14:27Z</dcterms:modified>
</cp:coreProperties>
</file>