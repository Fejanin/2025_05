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22,10,26 ПОКОМ КИ\дозаказ 24-26,10\"/>
    </mc:Choice>
  </mc:AlternateContent>
  <xr:revisionPtr revIDLastSave="0" documentId="13_ncr:1_{4EF7FCA6-699B-481B-84CA-3A159055E76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P523" i="2"/>
  <c r="BO523" i="2"/>
  <c r="BN523" i="2"/>
  <c r="BM523" i="2"/>
  <c r="Z523" i="2"/>
  <c r="Y523" i="2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P513" i="2"/>
  <c r="BO513" i="2"/>
  <c r="BN513" i="2"/>
  <c r="BM513" i="2"/>
  <c r="Z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Z499" i="2"/>
  <c r="Z500" i="2" s="1"/>
  <c r="Y499" i="2"/>
  <c r="Y500" i="2" s="1"/>
  <c r="P499" i="2"/>
  <c r="X496" i="2"/>
  <c r="Y495" i="2"/>
  <c r="X495" i="2"/>
  <c r="BP494" i="2"/>
  <c r="BO494" i="2"/>
  <c r="BN494" i="2"/>
  <c r="BM494" i="2"/>
  <c r="Z494" i="2"/>
  <c r="Z495" i="2" s="1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P439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Z419" i="2"/>
  <c r="Y419" i="2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P387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P373" i="2"/>
  <c r="BO373" i="2"/>
  <c r="BN373" i="2"/>
  <c r="BM373" i="2"/>
  <c r="Z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P350" i="2"/>
  <c r="BO350" i="2"/>
  <c r="BN350" i="2"/>
  <c r="BM350" i="2"/>
  <c r="Z350" i="2"/>
  <c r="Y350" i="2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Z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N316" i="2"/>
  <c r="BM316" i="2"/>
  <c r="Z316" i="2"/>
  <c r="Y316" i="2"/>
  <c r="P316" i="2"/>
  <c r="BO315" i="2"/>
  <c r="BN315" i="2"/>
  <c r="BM315" i="2"/>
  <c r="Z315" i="2"/>
  <c r="Y315" i="2"/>
  <c r="BP315" i="2" s="1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Z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Z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Z245" i="2"/>
  <c r="Y245" i="2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P230" i="2"/>
  <c r="BO230" i="2"/>
  <c r="BN230" i="2"/>
  <c r="BM230" i="2"/>
  <c r="Z230" i="2"/>
  <c r="Y230" i="2"/>
  <c r="P230" i="2"/>
  <c r="BO229" i="2"/>
  <c r="BN229" i="2"/>
  <c r="BM229" i="2"/>
  <c r="Z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P206" i="2"/>
  <c r="BO206" i="2"/>
  <c r="BM206" i="2"/>
  <c r="Y206" i="2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N190" i="2"/>
  <c r="BM190" i="2"/>
  <c r="Z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P165" i="2"/>
  <c r="BO164" i="2"/>
  <c r="BN164" i="2"/>
  <c r="BM164" i="2"/>
  <c r="Z164" i="2"/>
  <c r="Y164" i="2"/>
  <c r="P164" i="2"/>
  <c r="X161" i="2"/>
  <c r="Y160" i="2"/>
  <c r="X160" i="2"/>
  <c r="BP159" i="2"/>
  <c r="BO159" i="2"/>
  <c r="BN159" i="2"/>
  <c r="BM159" i="2"/>
  <c r="Z159" i="2"/>
  <c r="Z160" i="2" s="1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P112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Z89" i="2"/>
  <c r="Y89" i="2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Z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BP53" i="2" l="1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7" i="2"/>
  <c r="BP30" i="2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Z138" i="2" s="1"/>
  <c r="BN136" i="2"/>
  <c r="BP136" i="2"/>
  <c r="Y144" i="2"/>
  <c r="Z142" i="2"/>
  <c r="Z143" i="2" s="1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Z293" i="2" s="1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Z420" i="2" s="1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Z434" i="2" s="1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491" i="2" s="1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X568" i="2" s="1"/>
  <c r="Y173" i="2"/>
  <c r="BP181" i="2"/>
  <c r="BN181" i="2"/>
  <c r="Z181" i="2"/>
  <c r="BP27" i="2"/>
  <c r="Z43" i="2"/>
  <c r="Z46" i="2" s="1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BN440" i="2"/>
  <c r="BN443" i="2"/>
  <c r="Z478" i="2"/>
  <c r="BN505" i="2"/>
  <c r="BP512" i="2"/>
  <c r="BP530" i="2"/>
  <c r="BN530" i="2"/>
  <c r="BP59" i="2"/>
  <c r="Y75" i="2"/>
  <c r="BN91" i="2"/>
  <c r="Z91" i="2"/>
  <c r="Z95" i="2" s="1"/>
  <c r="Z99" i="2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BP260" i="2"/>
  <c r="Z266" i="2"/>
  <c r="BP269" i="2"/>
  <c r="BN269" i="2"/>
  <c r="Z269" i="2"/>
  <c r="Z307" i="2"/>
  <c r="Z308" i="2" s="1"/>
  <c r="Y330" i="2"/>
  <c r="Z392" i="2"/>
  <c r="BP457" i="2"/>
  <c r="Y471" i="2"/>
  <c r="Z530" i="2"/>
  <c r="BN317" i="2"/>
  <c r="BN324" i="2"/>
  <c r="Z324" i="2"/>
  <c r="Y448" i="2"/>
  <c r="BP171" i="2"/>
  <c r="BN171" i="2"/>
  <c r="Z171" i="2"/>
  <c r="Z166" i="2"/>
  <c r="Z168" i="2" s="1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Y401" i="2"/>
  <c r="BN398" i="2"/>
  <c r="BN433" i="2"/>
  <c r="Z473" i="2"/>
  <c r="Z474" i="2" s="1"/>
  <c r="Y525" i="2"/>
  <c r="Z152" i="2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98" i="2"/>
  <c r="Z401" i="2" s="1"/>
  <c r="Y409" i="2"/>
  <c r="BP404" i="2"/>
  <c r="Z450" i="2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345" i="2" s="1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453" i="2" l="1"/>
  <c r="Z351" i="2"/>
  <c r="Z156" i="2"/>
  <c r="Z388" i="2"/>
  <c r="Z173" i="2"/>
  <c r="Z395" i="2"/>
  <c r="Z257" i="2"/>
  <c r="Z102" i="2"/>
  <c r="Z427" i="2"/>
  <c r="Z79" i="2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<sst xmlns="http://schemas.openxmlformats.org/spreadsheetml/2006/main" count="4283" uniqueCount="914">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</sst>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450" sqref="AA45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46321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/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hidden="1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hidden="1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hidden="1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510</v>
      </c>
      <c r="Y450" s="55">
        <f>IFERROR(IF(X450="",0,CEILING((X450/$H450),1)*$H450),"")</f>
        <v>510</v>
      </c>
      <c r="Z450" s="41">
        <f>IFERROR(IF(Y450=0,"",ROUNDUP(Y450/H450,0)*0.02175),"")</f>
        <v>0.73949999999999994</v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525.98</v>
      </c>
      <c r="BN450" s="78">
        <f>IFERROR(Y450*I450/H450,"0")</f>
        <v>525.98</v>
      </c>
      <c r="BO450" s="78">
        <f>IFERROR(1/J450*(X450/H450),"0")</f>
        <v>0.70833333333333326</v>
      </c>
      <c r="BP450" s="78">
        <f>IFERROR(1/J450*(Y450/H450),"0")</f>
        <v>0.70833333333333326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34</v>
      </c>
      <c r="Y453" s="43">
        <f>IFERROR(Y450/H450,"0")+IFERROR(Y451/H451,"0")+IFERROR(Y452/H452,"0")</f>
        <v>34</v>
      </c>
      <c r="Z453" s="43">
        <f>IFERROR(IF(Z450="",0,Z450),"0")+IFERROR(IF(Z451="",0,Z451),"0")+IFERROR(IF(Z452="",0,Z452),"0")</f>
        <v>0.73949999999999994</v>
      </c>
      <c r="AA453" s="67"/>
      <c r="AB453" s="67"/>
      <c r="AC453" s="67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510</v>
      </c>
      <c r="Y454" s="43">
        <f>IFERROR(SUM(Y450:Y452),"0")</f>
        <v>510</v>
      </c>
      <c r="Z454" s="42"/>
      <c r="AA454" s="67"/>
      <c r="AB454" s="67"/>
      <c r="AC454" s="67"/>
    </row>
    <row r="455" spans="1:68" ht="14.25" hidden="1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510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510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525.98</v>
      </c>
      <c r="Y566" s="43">
        <f>IFERROR(SUM(BN22:BN562),"0")</f>
        <v>525.98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550.98</v>
      </c>
      <c r="Y568" s="43">
        <f>GrossWeightTotalR+PalletQtyTotalR*25</f>
        <v>550.98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34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34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0.73949999999999994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510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4,00"/>
        <filter val="510,00"/>
        <filter val="525,98"/>
        <filter val="550,98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3" spans="2:8" x14ac:dyDescent="0.2">
      <c r="B13" s="53" t="s">
        <v>897</v>
      </c>
      <c r="C13" s="53" t="s">
        <v>880</v>
      </c>
      <c r="D13" s="53" t="s">
        <v>46</v>
      </c>
      <c r="E13" s="53" t="s">
        <v>46</v>
      </c>
    </row>
    <row r="15" spans="2:8" x14ac:dyDescent="0.2">
      <c r="B15" s="53" t="s">
        <v>898</v>
      </c>
      <c r="C15" s="53" t="s">
        <v>883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886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889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892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895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2026-10-26T11:33:31Z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