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дозаказ 24,10 и 26,10\"/>
    </mc:Choice>
  </mc:AlternateContent>
  <xr:revisionPtr revIDLastSave="0" documentId="13_ncr:1_{A6F646E4-47EB-4C93-A2B1-B9D3DB6D8B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P523" i="2"/>
  <c r="BO523" i="2"/>
  <c r="BN523" i="2"/>
  <c r="BM523" i="2"/>
  <c r="Z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Z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P387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N315" i="2"/>
  <c r="BM315" i="2"/>
  <c r="Z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Z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N164" i="2"/>
  <c r="BM164" i="2"/>
  <c r="Z164" i="2"/>
  <c r="Y164" i="2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Z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BP53" i="2" l="1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BN136" i="2"/>
  <c r="BP136" i="2"/>
  <c r="Z138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Z34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01" i="2" l="1"/>
  <c r="Z95" i="2"/>
  <c r="X568" i="2"/>
  <c r="Z491" i="2"/>
  <c r="Z434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<sst xmlns="http://schemas.openxmlformats.org/spreadsheetml/2006/main" count="4283" uniqueCount="914">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</sst>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440" sqref="AA4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810</v>
      </c>
      <c r="Y440" s="55">
        <f t="shared" si="61"/>
        <v>810</v>
      </c>
      <c r="Z440" s="41">
        <f>IFERROR(IF(Y440=0,"",ROUNDUP(Y440/H440,0)*0.02175),"")</f>
        <v>1.1744999999999999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835.38</v>
      </c>
      <c r="BN440" s="78">
        <f t="shared" si="63"/>
        <v>835.38</v>
      </c>
      <c r="BO440" s="78">
        <f t="shared" si="64"/>
        <v>1.125</v>
      </c>
      <c r="BP440" s="78">
        <f t="shared" si="65"/>
        <v>1.125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600</v>
      </c>
      <c r="Y442" s="55">
        <f t="shared" si="61"/>
        <v>600</v>
      </c>
      <c r="Z442" s="41">
        <f>IFERROR(IF(Y442=0,"",ROUNDUP(Y442/H442,0)*0.02175),"")</f>
        <v>0.86999999999999988</v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618.79999999999995</v>
      </c>
      <c r="BN442" s="78">
        <f t="shared" si="63"/>
        <v>618.79999999999995</v>
      </c>
      <c r="BO442" s="78">
        <f t="shared" si="64"/>
        <v>0.83333333333333326</v>
      </c>
      <c r="BP442" s="78">
        <f t="shared" si="65"/>
        <v>0.83333333333333326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94</v>
      </c>
      <c r="Y447" s="43">
        <f>IFERROR(Y439/H439,"0")+IFERROR(Y440/H440,"0")+IFERROR(Y441/H441,"0")+IFERROR(Y442/H442,"0")+IFERROR(Y443/H443,"0")+IFERROR(Y444/H444,"0")+IFERROR(Y445/H445,"0")+IFERROR(Y446/H446,"0")</f>
        <v>94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2.0444999999999998</v>
      </c>
      <c r="AA447" s="67"/>
      <c r="AB447" s="67"/>
      <c r="AC447" s="67"/>
    </row>
    <row r="448" spans="1:68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1410</v>
      </c>
      <c r="Y448" s="43">
        <f>IFERROR(SUM(Y439:Y446),"0")</f>
        <v>1410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510</v>
      </c>
      <c r="Y450" s="55">
        <f>IFERROR(IF(X450="",0,CEILING((X450/$H450),1)*$H450),"")</f>
        <v>510</v>
      </c>
      <c r="Z450" s="41">
        <f>IFERROR(IF(Y450=0,"",ROUNDUP(Y450/H450,0)*0.02175),"")</f>
        <v>0.73949999999999994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525.98</v>
      </c>
      <c r="BN450" s="78">
        <f>IFERROR(Y450*I450/H450,"0")</f>
        <v>525.98</v>
      </c>
      <c r="BO450" s="78">
        <f>IFERROR(1/J450*(X450/H450),"0")</f>
        <v>0.70833333333333326</v>
      </c>
      <c r="BP450" s="78">
        <f>IFERROR(1/J450*(Y450/H450),"0")</f>
        <v>0.70833333333333326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34</v>
      </c>
      <c r="Y453" s="43">
        <f>IFERROR(Y450/H450,"0")+IFERROR(Y451/H451,"0")+IFERROR(Y452/H452,"0")</f>
        <v>34</v>
      </c>
      <c r="Z453" s="43">
        <f>IFERROR(IF(Z450="",0,Z450),"0")+IFERROR(IF(Z451="",0,Z451),"0")+IFERROR(IF(Z452="",0,Z452),"0")</f>
        <v>0.73949999999999994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510</v>
      </c>
      <c r="Y454" s="43">
        <f>IFERROR(SUM(Y450:Y452),"0")</f>
        <v>510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1920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1920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1980.1599999999999</v>
      </c>
      <c r="Y566" s="43">
        <f>IFERROR(SUM(BN22:BN562),"0")</f>
        <v>1980.1599999999999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3</v>
      </c>
      <c r="Y567" s="44">
        <f>ROUNDUP(SUM(BP22:BP562),0)</f>
        <v>3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2055.16</v>
      </c>
      <c r="Y568" s="43">
        <f>GrossWeightTotalR+PalletQtyTotalR*25</f>
        <v>2055.16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128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128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2.7839999999999998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1920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10,00"/>
        <filter val="1 920,00"/>
        <filter val="1 980,16"/>
        <filter val="128,00"/>
        <filter val="2 055,16"/>
        <filter val="3"/>
        <filter val="34,00"/>
        <filter val="510,00"/>
        <filter val="600,00"/>
        <filter val="810,00"/>
        <filter val="94,00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2026-10-26T11:06:54Z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